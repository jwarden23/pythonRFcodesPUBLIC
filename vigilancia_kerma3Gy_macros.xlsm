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hidePivotFieldList="1"/>
  <bookViews>
    <workbookView xWindow="120" yWindow="45" windowWidth="18915" windowHeight="11820" firstSheet="3" activeTab="7"/>
  </bookViews>
  <sheets>
    <sheet name="PruebaTabla" sheetId="4" r:id="rId1"/>
    <sheet name="TablaResumen" sheetId="7" r:id="rId2"/>
    <sheet name="Graficas" sheetId="5" r:id="rId3"/>
    <sheet name="Datos" sheetId="1" r:id="rId4"/>
    <sheet name="CateterismoCardiacoPED" sheetId="8" r:id="rId5"/>
    <sheet name="Examenes" sheetId="9" r:id="rId6"/>
    <sheet name="Hoja1" sheetId="11" r:id="rId7"/>
    <sheet name="Hoja2" sheetId="12" r:id="rId8"/>
  </sheets>
  <definedNames>
    <definedName name="_xlnm._FilterDatabase" localSheetId="3" hidden="1">Datos!$X$4:$Y$6</definedName>
    <definedName name="_xlnm._FilterDatabase" localSheetId="6" hidden="1">Hoja1!$G$1:$G$105</definedName>
  </definedNames>
  <calcPr calcId="144525"/>
  <pivotCaches>
    <pivotCache cacheId="0" r:id="rId9"/>
    <pivotCache cacheId="1" r:id="rId10"/>
    <pivotCache cacheId="2" r:id="rId11"/>
    <pivotCache cacheId="3" r:id="rId12"/>
    <pivotCache cacheId="9" r:id="rId13"/>
  </pivotCaches>
</workbook>
</file>

<file path=xl/calcChain.xml><?xml version="1.0" encoding="utf-8"?>
<calcChain xmlns="http://schemas.openxmlformats.org/spreadsheetml/2006/main">
  <c r="G45" i="12" l="1"/>
  <c r="W105" i="11" l="1"/>
  <c r="V105" i="11"/>
  <c r="U105" i="11"/>
  <c r="W104" i="11"/>
  <c r="V104" i="11"/>
  <c r="U104" i="11"/>
  <c r="W103" i="11"/>
  <c r="V103" i="11"/>
  <c r="U103" i="11"/>
  <c r="W102" i="11"/>
  <c r="V102" i="11"/>
  <c r="U102" i="11"/>
  <c r="W101" i="11"/>
  <c r="V101" i="11"/>
  <c r="U101" i="11"/>
  <c r="W100" i="11"/>
  <c r="V100" i="11"/>
  <c r="U100" i="11"/>
  <c r="W99" i="11"/>
  <c r="V99" i="11"/>
  <c r="U99" i="11"/>
  <c r="W98" i="11"/>
  <c r="V98" i="11"/>
  <c r="U98" i="11"/>
  <c r="W97" i="11"/>
  <c r="V97" i="11"/>
  <c r="U97" i="11"/>
  <c r="W96" i="11"/>
  <c r="V96" i="11"/>
  <c r="U96" i="11"/>
  <c r="W95" i="11"/>
  <c r="V95" i="11"/>
  <c r="U95" i="11"/>
  <c r="W94" i="11"/>
  <c r="V94" i="11"/>
  <c r="U94" i="11"/>
  <c r="W93" i="11"/>
  <c r="V93" i="11"/>
  <c r="U93" i="11"/>
  <c r="W92" i="11"/>
  <c r="V92" i="11"/>
  <c r="U92" i="11"/>
  <c r="W91" i="11"/>
  <c r="V91" i="11"/>
  <c r="U91" i="11"/>
  <c r="W90" i="11"/>
  <c r="V90" i="11"/>
  <c r="U90" i="11"/>
  <c r="W89" i="11"/>
  <c r="V89" i="11"/>
  <c r="U89" i="11"/>
  <c r="W88" i="11"/>
  <c r="V88" i="11"/>
  <c r="U88" i="11"/>
  <c r="W87" i="11"/>
  <c r="V87" i="11"/>
  <c r="U87" i="11"/>
  <c r="W86" i="11"/>
  <c r="V86" i="11"/>
  <c r="U86" i="11"/>
  <c r="W85" i="11"/>
  <c r="V85" i="11"/>
  <c r="U85" i="11"/>
  <c r="W84" i="11"/>
  <c r="V84" i="11"/>
  <c r="U84" i="11"/>
  <c r="W83" i="11"/>
  <c r="V83" i="11"/>
  <c r="U83" i="11"/>
  <c r="W82" i="11"/>
  <c r="V82" i="11"/>
  <c r="U82" i="11"/>
  <c r="W81" i="11"/>
  <c r="V81" i="11"/>
  <c r="U81" i="11"/>
  <c r="W80" i="11"/>
  <c r="V80" i="11"/>
  <c r="U80" i="11"/>
  <c r="W79" i="11"/>
  <c r="V79" i="11"/>
  <c r="U79" i="11"/>
  <c r="W78" i="11"/>
  <c r="V78" i="11"/>
  <c r="U78" i="11"/>
  <c r="W77" i="11"/>
  <c r="V77" i="11"/>
  <c r="U77" i="11"/>
  <c r="W76" i="11"/>
  <c r="V76" i="11"/>
  <c r="U76" i="11"/>
  <c r="W75" i="11"/>
  <c r="V75" i="11"/>
  <c r="U75" i="11"/>
  <c r="W74" i="11"/>
  <c r="V74" i="11"/>
  <c r="U74" i="11"/>
  <c r="W73" i="11"/>
  <c r="V73" i="11"/>
  <c r="U73" i="11"/>
  <c r="W72" i="11"/>
  <c r="V72" i="11"/>
  <c r="U72" i="11"/>
  <c r="W71" i="11"/>
  <c r="V71" i="11"/>
  <c r="U71" i="11"/>
  <c r="W70" i="11"/>
  <c r="V70" i="11"/>
  <c r="U70" i="11"/>
  <c r="W69" i="11"/>
  <c r="V69" i="11"/>
  <c r="U69" i="11"/>
  <c r="W68" i="11"/>
  <c r="V68" i="11"/>
  <c r="U68" i="11"/>
  <c r="W67" i="11"/>
  <c r="V67" i="11"/>
  <c r="U67" i="11"/>
  <c r="W66" i="11"/>
  <c r="V66" i="11"/>
  <c r="U66" i="11"/>
  <c r="W65" i="11"/>
  <c r="V65" i="11"/>
  <c r="U65" i="11"/>
  <c r="W64" i="11"/>
  <c r="V64" i="11"/>
  <c r="U64" i="11"/>
  <c r="W63" i="11"/>
  <c r="V63" i="11"/>
  <c r="U63" i="11"/>
  <c r="W62" i="11"/>
  <c r="V62" i="11"/>
  <c r="U62" i="11"/>
  <c r="W61" i="11"/>
  <c r="V61" i="11"/>
  <c r="U61" i="11"/>
  <c r="W60" i="11"/>
  <c r="V60" i="11"/>
  <c r="U60" i="11"/>
  <c r="W59" i="11"/>
  <c r="V59" i="11"/>
  <c r="U59" i="11"/>
  <c r="W58" i="11"/>
  <c r="V58" i="11"/>
  <c r="U58" i="11"/>
  <c r="W57" i="11"/>
  <c r="V57" i="11"/>
  <c r="U57" i="11"/>
  <c r="W56" i="11"/>
  <c r="V56" i="11"/>
  <c r="U56" i="11"/>
  <c r="W55" i="11"/>
  <c r="V55" i="11"/>
  <c r="U55" i="11"/>
  <c r="W54" i="11"/>
  <c r="V54" i="11"/>
  <c r="U54" i="11"/>
  <c r="W53" i="11"/>
  <c r="V53" i="11"/>
  <c r="U53" i="11"/>
  <c r="W52" i="11"/>
  <c r="V52" i="11"/>
  <c r="U52" i="11"/>
  <c r="W51" i="11"/>
  <c r="V51" i="11"/>
  <c r="U51" i="11"/>
  <c r="W50" i="11"/>
  <c r="V50" i="11"/>
  <c r="U50" i="11"/>
  <c r="W49" i="11"/>
  <c r="V49" i="11"/>
  <c r="U49" i="11"/>
  <c r="W48" i="11"/>
  <c r="V48" i="11"/>
  <c r="U48" i="11"/>
  <c r="W47" i="11"/>
  <c r="V47" i="11"/>
  <c r="U47" i="11"/>
  <c r="W46" i="11"/>
  <c r="V46" i="11"/>
  <c r="U46" i="11"/>
  <c r="W45" i="11"/>
  <c r="V45" i="11"/>
  <c r="U45" i="11"/>
  <c r="W44" i="11"/>
  <c r="V44" i="11"/>
  <c r="U44" i="11"/>
  <c r="W43" i="11"/>
  <c r="V43" i="11"/>
  <c r="U43" i="11"/>
  <c r="W42" i="11"/>
  <c r="V42" i="11"/>
  <c r="U42" i="11"/>
  <c r="W41" i="11"/>
  <c r="V41" i="11"/>
  <c r="U41" i="11"/>
  <c r="W40" i="11"/>
  <c r="V40" i="11"/>
  <c r="U40" i="11"/>
  <c r="W39" i="11"/>
  <c r="V39" i="11"/>
  <c r="U39" i="11"/>
  <c r="W38" i="11"/>
  <c r="V38" i="11"/>
  <c r="U38" i="11"/>
  <c r="W37" i="11"/>
  <c r="V37" i="11"/>
  <c r="U37" i="11"/>
  <c r="W36" i="11"/>
  <c r="V36" i="11"/>
  <c r="U36" i="11"/>
  <c r="W35" i="11"/>
  <c r="V35" i="11"/>
  <c r="U35" i="11"/>
  <c r="W34" i="11"/>
  <c r="V34" i="11"/>
  <c r="U34" i="11"/>
  <c r="W33" i="11"/>
  <c r="V33" i="11"/>
  <c r="U33" i="11"/>
  <c r="W32" i="11"/>
  <c r="V32" i="11"/>
  <c r="U32" i="11"/>
  <c r="W31" i="11"/>
  <c r="V31" i="11"/>
  <c r="U31" i="11"/>
  <c r="W30" i="11"/>
  <c r="V30" i="11"/>
  <c r="U30" i="11"/>
  <c r="W29" i="11"/>
  <c r="V29" i="11"/>
  <c r="U29" i="11"/>
  <c r="W28" i="11"/>
  <c r="V28" i="11"/>
  <c r="U28" i="11"/>
  <c r="W27" i="11"/>
  <c r="V27" i="11"/>
  <c r="U27" i="11"/>
  <c r="W26" i="11"/>
  <c r="V26" i="11"/>
  <c r="U26" i="11"/>
  <c r="W25" i="11"/>
  <c r="V25" i="11"/>
  <c r="U25" i="11"/>
  <c r="W24" i="11"/>
  <c r="V24" i="11"/>
  <c r="U24" i="11"/>
  <c r="W23" i="11"/>
  <c r="V23" i="11"/>
  <c r="U23" i="11"/>
  <c r="W22" i="11"/>
  <c r="V22" i="11"/>
  <c r="U22" i="11"/>
  <c r="W21" i="11"/>
  <c r="V21" i="11"/>
  <c r="U21" i="11"/>
  <c r="W20" i="11"/>
  <c r="V20" i="11"/>
  <c r="U20" i="11"/>
  <c r="W19" i="11"/>
  <c r="V19" i="11"/>
  <c r="U19" i="11"/>
  <c r="W18" i="11"/>
  <c r="V18" i="11"/>
  <c r="U18" i="11"/>
  <c r="W17" i="11"/>
  <c r="V17" i="11"/>
  <c r="U17" i="11"/>
  <c r="W16" i="11"/>
  <c r="V16" i="11"/>
  <c r="U16" i="11"/>
  <c r="W15" i="11"/>
  <c r="V15" i="11"/>
  <c r="U15" i="11"/>
  <c r="W14" i="11"/>
  <c r="V14" i="11"/>
  <c r="U14" i="11"/>
  <c r="W13" i="11"/>
  <c r="V13" i="11"/>
  <c r="U13" i="11"/>
  <c r="W12" i="11"/>
  <c r="V12" i="11"/>
  <c r="U12" i="11"/>
  <c r="W11" i="11"/>
  <c r="V11" i="11"/>
  <c r="U11" i="11"/>
  <c r="W10" i="11"/>
  <c r="V10" i="11"/>
  <c r="U10" i="11"/>
  <c r="W9" i="11"/>
  <c r="V9" i="11"/>
  <c r="U9" i="11"/>
  <c r="W8" i="11"/>
  <c r="V8" i="11"/>
  <c r="U8" i="11"/>
  <c r="W7" i="11"/>
  <c r="V7" i="11"/>
  <c r="U7" i="11"/>
  <c r="W6" i="11"/>
  <c r="V6" i="11"/>
  <c r="U6" i="11"/>
  <c r="C2430" i="1"/>
  <c r="C2431" i="1"/>
  <c r="C2432" i="1"/>
  <c r="C2433" i="1"/>
  <c r="C2434" i="1"/>
  <c r="C2435" i="1"/>
  <c r="C2436" i="1"/>
  <c r="C2437" i="1"/>
  <c r="W2421" i="1"/>
  <c r="W2420" i="1"/>
  <c r="X2420" i="1"/>
  <c r="Y2420" i="1"/>
  <c r="X2421" i="1"/>
  <c r="Y2421" i="1"/>
  <c r="W2422" i="1"/>
  <c r="X2422" i="1"/>
  <c r="Y2422" i="1"/>
  <c r="W2423" i="1"/>
  <c r="X2423" i="1"/>
  <c r="Y2423" i="1"/>
  <c r="W2424" i="1"/>
  <c r="X2424" i="1"/>
  <c r="Y2424" i="1"/>
  <c r="W2425" i="1"/>
  <c r="X2425" i="1"/>
  <c r="Y2425" i="1"/>
  <c r="W2426" i="1"/>
  <c r="X2426" i="1"/>
  <c r="Y2426" i="1"/>
  <c r="W2427" i="1"/>
  <c r="X2427" i="1"/>
  <c r="Y2427" i="1"/>
  <c r="W2428" i="1"/>
  <c r="X2428" i="1"/>
  <c r="Y2428" i="1"/>
  <c r="W2429" i="1"/>
  <c r="X2429" i="1"/>
  <c r="Y2429" i="1"/>
  <c r="W2430" i="1"/>
  <c r="X2430" i="1"/>
  <c r="Y2430" i="1"/>
  <c r="W2431" i="1"/>
  <c r="X2431" i="1"/>
  <c r="Y2431" i="1"/>
  <c r="W2432" i="1"/>
  <c r="X2432" i="1"/>
  <c r="Y2432" i="1"/>
  <c r="W2433" i="1"/>
  <c r="X2433" i="1"/>
  <c r="Y2433" i="1"/>
  <c r="W2434" i="1"/>
  <c r="X2434" i="1"/>
  <c r="Y2434" i="1"/>
  <c r="W2435" i="1"/>
  <c r="X2435" i="1"/>
  <c r="Y2435" i="1"/>
  <c r="W2436" i="1"/>
  <c r="X2436" i="1"/>
  <c r="Y2436" i="1"/>
  <c r="W2437" i="1"/>
  <c r="X2437" i="1"/>
  <c r="Y2437" i="1"/>
  <c r="AA2420" i="1"/>
  <c r="AA2421" i="1"/>
  <c r="AA2422" i="1"/>
  <c r="AA2423" i="1"/>
  <c r="AA2424" i="1"/>
  <c r="AA2425" i="1"/>
  <c r="AA2426" i="1"/>
  <c r="AA2427" i="1"/>
  <c r="AA2428" i="1"/>
  <c r="AA2429" i="1"/>
  <c r="AA2430" i="1"/>
  <c r="AA2431" i="1"/>
  <c r="AA2432" i="1"/>
  <c r="AA2433" i="1"/>
  <c r="AA2434" i="1"/>
  <c r="AA2435" i="1"/>
  <c r="AA2436" i="1"/>
  <c r="AA2437" i="1"/>
  <c r="C2420" i="1"/>
  <c r="C2421" i="1"/>
  <c r="C2422" i="1"/>
  <c r="C2423" i="1"/>
  <c r="C2424" i="1"/>
  <c r="C2425" i="1"/>
  <c r="C2426" i="1"/>
  <c r="C2427" i="1"/>
  <c r="C2428" i="1"/>
  <c r="C2429" i="1"/>
  <c r="W2416" i="1"/>
  <c r="X2416" i="1"/>
  <c r="Y2416" i="1"/>
  <c r="W2417" i="1"/>
  <c r="X2417" i="1"/>
  <c r="Y2417" i="1"/>
  <c r="W2418" i="1"/>
  <c r="X2418" i="1"/>
  <c r="Y2418" i="1"/>
  <c r="W2419" i="1"/>
  <c r="X2419" i="1"/>
  <c r="Y2419" i="1"/>
  <c r="C2419" i="1"/>
  <c r="AA2419" i="1"/>
  <c r="C2418" i="1"/>
  <c r="AA2418" i="1"/>
  <c r="C2417" i="1"/>
  <c r="AA2417" i="1"/>
  <c r="C2416" i="1"/>
  <c r="AA2416" i="1"/>
  <c r="Y2415" i="1"/>
  <c r="X2415" i="1"/>
  <c r="W2415" i="1"/>
  <c r="Y2414" i="1"/>
  <c r="X2414" i="1"/>
  <c r="W2414" i="1"/>
  <c r="Y2413" i="1"/>
  <c r="X2413" i="1"/>
  <c r="W2413" i="1"/>
  <c r="Y2412" i="1"/>
  <c r="X2412" i="1"/>
  <c r="W2412" i="1"/>
  <c r="Y2411" i="1"/>
  <c r="X2411" i="1"/>
  <c r="W2411" i="1"/>
  <c r="Y2410" i="1"/>
  <c r="X2410" i="1"/>
  <c r="W2410" i="1"/>
  <c r="Y2409" i="1"/>
  <c r="X2409" i="1"/>
  <c r="W2409" i="1"/>
  <c r="Y2408" i="1"/>
  <c r="X2408" i="1"/>
  <c r="W2408" i="1"/>
  <c r="C2408" i="1"/>
  <c r="C2409" i="1"/>
  <c r="C2410" i="1"/>
  <c r="C2411" i="1"/>
  <c r="C2412" i="1"/>
  <c r="C2413" i="1"/>
  <c r="C2414" i="1"/>
  <c r="C2415" i="1"/>
  <c r="AA2408" i="1"/>
  <c r="AA2409" i="1"/>
  <c r="AA2410" i="1"/>
  <c r="AA2411" i="1"/>
  <c r="AA2412" i="1"/>
  <c r="AA2413" i="1"/>
  <c r="AA2414" i="1"/>
  <c r="AA2415" i="1"/>
  <c r="C2404" i="1" l="1"/>
  <c r="C2405" i="1"/>
  <c r="C2406" i="1"/>
  <c r="C2407" i="1"/>
  <c r="W2393" i="1"/>
  <c r="X2393" i="1"/>
  <c r="Y2393" i="1"/>
  <c r="W2394" i="1"/>
  <c r="X2394" i="1"/>
  <c r="Y2394" i="1"/>
  <c r="W2395" i="1"/>
  <c r="X2395" i="1"/>
  <c r="Y2395" i="1"/>
  <c r="W2396" i="1"/>
  <c r="X2396" i="1"/>
  <c r="Y2396" i="1"/>
  <c r="W2397" i="1"/>
  <c r="X2397" i="1"/>
  <c r="Y2397" i="1"/>
  <c r="W2398" i="1"/>
  <c r="X2398" i="1"/>
  <c r="Y2398" i="1"/>
  <c r="W2399" i="1"/>
  <c r="X2399" i="1"/>
  <c r="Y2399" i="1"/>
  <c r="W2400" i="1"/>
  <c r="X2400" i="1"/>
  <c r="Y2400" i="1"/>
  <c r="W2401" i="1"/>
  <c r="X2401" i="1"/>
  <c r="Y2401" i="1"/>
  <c r="W2402" i="1"/>
  <c r="X2402" i="1"/>
  <c r="Y2402" i="1"/>
  <c r="W2403" i="1"/>
  <c r="X2403" i="1"/>
  <c r="Y2403" i="1"/>
  <c r="W2404" i="1"/>
  <c r="X2404" i="1"/>
  <c r="Y2404" i="1"/>
  <c r="W2405" i="1"/>
  <c r="X2405" i="1"/>
  <c r="Y2405" i="1"/>
  <c r="W2406" i="1"/>
  <c r="X2406" i="1"/>
  <c r="Y2406" i="1"/>
  <c r="W2407" i="1"/>
  <c r="X2407" i="1"/>
  <c r="Y2407" i="1"/>
  <c r="AA2393" i="1"/>
  <c r="AA2394" i="1"/>
  <c r="AA2395" i="1"/>
  <c r="AA2396" i="1"/>
  <c r="AA2397" i="1"/>
  <c r="AA2398" i="1"/>
  <c r="AA2399" i="1"/>
  <c r="AA2400" i="1"/>
  <c r="AA2401" i="1"/>
  <c r="AA2402" i="1"/>
  <c r="AA2403" i="1"/>
  <c r="AA2404" i="1"/>
  <c r="AA2405" i="1"/>
  <c r="AA2406" i="1"/>
  <c r="AA2407" i="1"/>
  <c r="C2393" i="1"/>
  <c r="C2394" i="1"/>
  <c r="C2395" i="1"/>
  <c r="C2396" i="1"/>
  <c r="C2397" i="1"/>
  <c r="C2398" i="1"/>
  <c r="C2399" i="1"/>
  <c r="C2400" i="1"/>
  <c r="C2401" i="1"/>
  <c r="C2402" i="1"/>
  <c r="C2403" i="1"/>
  <c r="W2391" i="1"/>
  <c r="X2391" i="1"/>
  <c r="Y2391" i="1"/>
  <c r="W2392" i="1"/>
  <c r="X2392" i="1"/>
  <c r="Y2392" i="1"/>
  <c r="C2392" i="1"/>
  <c r="AA2392" i="1"/>
  <c r="C2391" i="1"/>
  <c r="AA2391" i="1"/>
  <c r="W2388" i="1"/>
  <c r="X2388" i="1"/>
  <c r="Y2388" i="1"/>
  <c r="W2389" i="1"/>
  <c r="X2389" i="1"/>
  <c r="Y2389" i="1"/>
  <c r="W2390" i="1"/>
  <c r="X2390" i="1"/>
  <c r="Y2390" i="1"/>
  <c r="C2388" i="1"/>
  <c r="C2389" i="1"/>
  <c r="C2390" i="1"/>
  <c r="AA2388" i="1"/>
  <c r="AA2389" i="1"/>
  <c r="AA2390" i="1"/>
  <c r="W2377" i="1"/>
  <c r="X2377" i="1"/>
  <c r="Y2377" i="1"/>
  <c r="W2378" i="1"/>
  <c r="X2378" i="1"/>
  <c r="Y2378" i="1"/>
  <c r="W2379" i="1"/>
  <c r="X2379" i="1"/>
  <c r="Y2379" i="1"/>
  <c r="W2380" i="1"/>
  <c r="X2380" i="1"/>
  <c r="Y2380" i="1"/>
  <c r="W2381" i="1"/>
  <c r="X2381" i="1"/>
  <c r="Y2381" i="1"/>
  <c r="W2382" i="1"/>
  <c r="X2382" i="1"/>
  <c r="Y2382" i="1"/>
  <c r="W2383" i="1"/>
  <c r="X2383" i="1"/>
  <c r="Y2383" i="1"/>
  <c r="W2384" i="1"/>
  <c r="X2384" i="1"/>
  <c r="Y2384" i="1"/>
  <c r="W2385" i="1"/>
  <c r="X2385" i="1"/>
  <c r="Y2385" i="1"/>
  <c r="W2386" i="1"/>
  <c r="X2386" i="1"/>
  <c r="Y2386" i="1"/>
  <c r="W2387" i="1"/>
  <c r="X2387" i="1"/>
  <c r="Y2387" i="1"/>
  <c r="C2382" i="1"/>
  <c r="C2383" i="1"/>
  <c r="C2384" i="1"/>
  <c r="C2385" i="1"/>
  <c r="C2386" i="1"/>
  <c r="C2387" i="1"/>
  <c r="AA2387" i="1"/>
  <c r="AA2386" i="1"/>
  <c r="AA2385" i="1"/>
  <c r="AA2384" i="1"/>
  <c r="AA2383" i="1"/>
  <c r="AA2382" i="1"/>
  <c r="C2381" i="1"/>
  <c r="AA2381" i="1"/>
  <c r="C2380" i="1"/>
  <c r="AA2380" i="1"/>
  <c r="C2379" i="1"/>
  <c r="AA2379" i="1"/>
  <c r="C2378" i="1"/>
  <c r="AA2378" i="1"/>
  <c r="C2377" i="1"/>
  <c r="AA2377" i="1"/>
  <c r="W2374" i="1" l="1"/>
  <c r="X2374" i="1"/>
  <c r="Y2374" i="1"/>
  <c r="W2375" i="1"/>
  <c r="X2375" i="1"/>
  <c r="Y2375" i="1"/>
  <c r="W2376" i="1"/>
  <c r="X2376" i="1"/>
  <c r="Y2376" i="1"/>
  <c r="W2373" i="1"/>
  <c r="X2373" i="1"/>
  <c r="Y2373" i="1"/>
  <c r="C2376" i="1"/>
  <c r="AA2376" i="1"/>
  <c r="C2374" i="1"/>
  <c r="C2375" i="1"/>
  <c r="AA2374" i="1"/>
  <c r="AA2375" i="1"/>
  <c r="W2370" i="1"/>
  <c r="X2370" i="1"/>
  <c r="Y2370" i="1"/>
  <c r="W2371" i="1"/>
  <c r="X2371" i="1"/>
  <c r="Y2371" i="1"/>
  <c r="W2372" i="1"/>
  <c r="X2372" i="1"/>
  <c r="Y2372" i="1"/>
  <c r="C2371" i="1"/>
  <c r="C2372" i="1"/>
  <c r="C2373" i="1"/>
  <c r="AA2371" i="1"/>
  <c r="AA2372" i="1"/>
  <c r="AA2373" i="1"/>
  <c r="C2370" i="1"/>
  <c r="AA2370" i="1"/>
  <c r="W2368" i="1"/>
  <c r="X2368" i="1"/>
  <c r="Y2368" i="1"/>
  <c r="W2369" i="1"/>
  <c r="X2369" i="1"/>
  <c r="Y2369" i="1"/>
  <c r="C2369" i="1"/>
  <c r="AA2369" i="1"/>
  <c r="C2368" i="1"/>
  <c r="AA2368" i="1"/>
  <c r="W2363" i="1"/>
  <c r="X2363" i="1"/>
  <c r="Y2363" i="1"/>
  <c r="W2364" i="1"/>
  <c r="X2364" i="1"/>
  <c r="Y2364" i="1"/>
  <c r="W2365" i="1"/>
  <c r="X2365" i="1"/>
  <c r="Y2365" i="1"/>
  <c r="W2366" i="1"/>
  <c r="X2366" i="1"/>
  <c r="Y2366" i="1"/>
  <c r="W2367" i="1"/>
  <c r="X2367" i="1"/>
  <c r="Y2367" i="1"/>
  <c r="C2366" i="1"/>
  <c r="C2367" i="1"/>
  <c r="AA2366" i="1"/>
  <c r="AA2367" i="1"/>
  <c r="C2364" i="1"/>
  <c r="C2365" i="1"/>
  <c r="AA2364" i="1"/>
  <c r="AA2365" i="1"/>
  <c r="C2363" i="1"/>
  <c r="AA2363" i="1"/>
  <c r="W2356" i="1"/>
  <c r="X2356" i="1"/>
  <c r="Y2356" i="1"/>
  <c r="W2357" i="1"/>
  <c r="X2357" i="1"/>
  <c r="Y2357" i="1"/>
  <c r="W2358" i="1"/>
  <c r="X2358" i="1"/>
  <c r="Y2358" i="1"/>
  <c r="W2359" i="1"/>
  <c r="X2359" i="1"/>
  <c r="Y2359" i="1"/>
  <c r="W2360" i="1"/>
  <c r="X2360" i="1"/>
  <c r="Y2360" i="1"/>
  <c r="W2361" i="1"/>
  <c r="X2361" i="1"/>
  <c r="Y2361" i="1"/>
  <c r="W2362" i="1"/>
  <c r="X2362" i="1"/>
  <c r="Y2362" i="1"/>
  <c r="C2362" i="1"/>
  <c r="AA2362" i="1"/>
  <c r="C2361" i="1"/>
  <c r="AA2361" i="1"/>
  <c r="C2359" i="1"/>
  <c r="C2360" i="1"/>
  <c r="AA2359" i="1"/>
  <c r="AA2360" i="1"/>
  <c r="C2358" i="1"/>
  <c r="AA2358" i="1"/>
  <c r="C2357" i="1"/>
  <c r="AA2357" i="1"/>
  <c r="AA2356" i="1"/>
  <c r="W2353" i="1"/>
  <c r="X2353" i="1"/>
  <c r="Y2353" i="1"/>
  <c r="W2354" i="1"/>
  <c r="X2354" i="1"/>
  <c r="Y2354" i="1"/>
  <c r="W2355" i="1"/>
  <c r="X2355" i="1"/>
  <c r="Y2355" i="1"/>
  <c r="C2355" i="1"/>
  <c r="AA2355" i="1"/>
  <c r="C2354" i="1"/>
  <c r="AA2354" i="1"/>
  <c r="C2353" i="1"/>
  <c r="AA2353" i="1"/>
  <c r="Y2331" i="1"/>
  <c r="Y2332" i="1"/>
  <c r="Y2333" i="1"/>
  <c r="Y2334" i="1"/>
  <c r="X2331" i="1"/>
  <c r="X2332" i="1"/>
  <c r="X2333" i="1"/>
  <c r="X2334" i="1"/>
  <c r="C2342" i="1"/>
  <c r="C2343" i="1"/>
  <c r="C2344" i="1"/>
  <c r="C2345" i="1"/>
  <c r="C2346" i="1"/>
  <c r="C2347" i="1"/>
  <c r="C2348" i="1"/>
  <c r="C2349" i="1"/>
  <c r="C2350" i="1"/>
  <c r="C2351" i="1"/>
  <c r="C2352" i="1"/>
  <c r="W2343" i="1"/>
  <c r="X2343" i="1"/>
  <c r="Y2343" i="1"/>
  <c r="W2344" i="1"/>
  <c r="X2344" i="1"/>
  <c r="Y2344" i="1"/>
  <c r="W2345" i="1"/>
  <c r="X2345" i="1"/>
  <c r="Y2345" i="1"/>
  <c r="W2346" i="1"/>
  <c r="X2346" i="1"/>
  <c r="Y2346" i="1"/>
  <c r="W2347" i="1"/>
  <c r="X2347" i="1"/>
  <c r="Y2347" i="1"/>
  <c r="W2348" i="1"/>
  <c r="X2348" i="1"/>
  <c r="Y2348" i="1"/>
  <c r="W2349" i="1"/>
  <c r="X2349" i="1"/>
  <c r="Y2349" i="1"/>
  <c r="W2350" i="1"/>
  <c r="X2350" i="1"/>
  <c r="Y2350" i="1"/>
  <c r="W2351" i="1"/>
  <c r="X2351" i="1"/>
  <c r="Y2351" i="1"/>
  <c r="W2352" i="1"/>
  <c r="X2352" i="1"/>
  <c r="Y2352" i="1"/>
  <c r="W2342" i="1"/>
  <c r="X2342" i="1"/>
  <c r="Y2342" i="1"/>
  <c r="AA2331" i="1"/>
  <c r="AA2332" i="1"/>
  <c r="AA2333" i="1"/>
  <c r="AA2334" i="1"/>
  <c r="AA2335" i="1"/>
  <c r="AA2336" i="1"/>
  <c r="AA2337" i="1"/>
  <c r="AA2338" i="1"/>
  <c r="AA2339" i="1"/>
  <c r="AA2340" i="1"/>
  <c r="AA2341" i="1"/>
  <c r="AA2316" i="1"/>
  <c r="AA2317" i="1"/>
  <c r="AA2318" i="1"/>
  <c r="AA2319" i="1"/>
  <c r="AA2320" i="1"/>
  <c r="AA2321" i="1"/>
  <c r="AA2322" i="1"/>
  <c r="AA2323" i="1"/>
  <c r="AA2324" i="1"/>
  <c r="AA2325" i="1"/>
  <c r="AA2326" i="1"/>
  <c r="AA2327" i="1"/>
  <c r="AA2328" i="1"/>
  <c r="AA2329" i="1"/>
  <c r="AA2330" i="1"/>
  <c r="AA2300" i="1"/>
  <c r="AA2301" i="1"/>
  <c r="AA2302" i="1"/>
  <c r="AA2303" i="1"/>
  <c r="AA2304" i="1"/>
  <c r="AA2305" i="1"/>
  <c r="AA2306" i="1"/>
  <c r="AA2307" i="1"/>
  <c r="AA2308" i="1"/>
  <c r="AA2309" i="1"/>
  <c r="AA2310" i="1"/>
  <c r="AA2311" i="1"/>
  <c r="AA2312" i="1"/>
  <c r="AA2313" i="1"/>
  <c r="AA2314" i="1"/>
  <c r="AA2315" i="1"/>
  <c r="AA2286" i="1"/>
  <c r="AA2287" i="1"/>
  <c r="AA2288" i="1"/>
  <c r="AA2289" i="1"/>
  <c r="AA2290" i="1"/>
  <c r="AA2291" i="1"/>
  <c r="AA2292" i="1"/>
  <c r="AA2293" i="1"/>
  <c r="AA2294" i="1"/>
  <c r="AA2295" i="1"/>
  <c r="AA2296" i="1"/>
  <c r="AA2297" i="1"/>
  <c r="AA2298" i="1"/>
  <c r="AA2299" i="1"/>
  <c r="AA2285" i="1"/>
  <c r="AA2283" i="1"/>
  <c r="AA2284" i="1"/>
  <c r="AA2271" i="1"/>
  <c r="AA2272" i="1"/>
  <c r="AA2273" i="1"/>
  <c r="AA2274" i="1"/>
  <c r="AA2275" i="1"/>
  <c r="AA2276" i="1"/>
  <c r="AA2277" i="1"/>
  <c r="AA2278" i="1"/>
  <c r="AA2279" i="1"/>
  <c r="AA2280" i="1"/>
  <c r="AA2281" i="1"/>
  <c r="AA2282" i="1"/>
  <c r="AA2263" i="1"/>
  <c r="AA2264" i="1"/>
  <c r="AA2265" i="1"/>
  <c r="AA2266" i="1"/>
  <c r="AA2267" i="1"/>
  <c r="AA2268" i="1"/>
  <c r="AA2269" i="1"/>
  <c r="AA2270" i="1"/>
  <c r="AA2249" i="1"/>
  <c r="AA2250" i="1"/>
  <c r="AA2251" i="1"/>
  <c r="AA2252" i="1"/>
  <c r="AA2253" i="1"/>
  <c r="AA2254" i="1"/>
  <c r="AA2255" i="1"/>
  <c r="AA2256" i="1"/>
  <c r="AA2257" i="1"/>
  <c r="AA2258" i="1"/>
  <c r="AA2259" i="1"/>
  <c r="AA2260" i="1"/>
  <c r="AA2261" i="1"/>
  <c r="AA2262" i="1"/>
  <c r="AA2236" i="1"/>
  <c r="AA2237" i="1"/>
  <c r="AA2238" i="1"/>
  <c r="AA2239" i="1"/>
  <c r="AA2240" i="1"/>
  <c r="AA2241" i="1"/>
  <c r="AA2242" i="1"/>
  <c r="AA2243" i="1"/>
  <c r="AA2244" i="1"/>
  <c r="AA2245" i="1"/>
  <c r="AA2246" i="1"/>
  <c r="AA2247" i="1"/>
  <c r="AA2248" i="1"/>
  <c r="AA2225" i="1"/>
  <c r="AA2226" i="1"/>
  <c r="AA2227" i="1"/>
  <c r="AA2228" i="1"/>
  <c r="AA2229" i="1"/>
  <c r="AA2230" i="1"/>
  <c r="AA2231" i="1"/>
  <c r="AA2232" i="1"/>
  <c r="AA2233" i="1"/>
  <c r="AA2234" i="1"/>
  <c r="AA2235" i="1"/>
  <c r="AA2224" i="1"/>
  <c r="AA2223" i="1"/>
  <c r="AA2209" i="1"/>
  <c r="AA2210" i="1"/>
  <c r="AA2211" i="1"/>
  <c r="AA2212" i="1"/>
  <c r="AA2213" i="1"/>
  <c r="AA2214" i="1"/>
  <c r="AA2215" i="1"/>
  <c r="AA2216" i="1"/>
  <c r="AA2217" i="1"/>
  <c r="AA2218" i="1"/>
  <c r="AA2219" i="1"/>
  <c r="AA2220" i="1"/>
  <c r="AA2221" i="1"/>
  <c r="AA2222" i="1"/>
  <c r="AA2200" i="1"/>
  <c r="AA2201" i="1"/>
  <c r="AA2202" i="1"/>
  <c r="AA2203" i="1"/>
  <c r="AA2204" i="1"/>
  <c r="AA2205" i="1"/>
  <c r="AA2206" i="1"/>
  <c r="AA2207" i="1"/>
  <c r="AA2208" i="1"/>
  <c r="AA2190" i="1"/>
  <c r="AA2191" i="1"/>
  <c r="AA2192" i="1"/>
  <c r="AA2193" i="1"/>
  <c r="AA2194" i="1"/>
  <c r="AA2195" i="1"/>
  <c r="AA2196" i="1"/>
  <c r="AA2197" i="1"/>
  <c r="AA2198" i="1"/>
  <c r="AA2199" i="1"/>
  <c r="AA2178" i="1"/>
  <c r="AA2179" i="1"/>
  <c r="AA2180" i="1"/>
  <c r="AA2181" i="1"/>
  <c r="AA2182" i="1"/>
  <c r="AA2183" i="1"/>
  <c r="AA2184" i="1"/>
  <c r="AA2185" i="1"/>
  <c r="AA2186" i="1"/>
  <c r="AA2187" i="1"/>
  <c r="AA2188" i="1"/>
  <c r="AA2189" i="1"/>
  <c r="AA2169" i="1"/>
  <c r="AA2170" i="1"/>
  <c r="AA2171" i="1"/>
  <c r="AA2172" i="1"/>
  <c r="AA2173" i="1"/>
  <c r="AA2174" i="1"/>
  <c r="AA2175" i="1"/>
  <c r="AA2176" i="1"/>
  <c r="AA2177" i="1"/>
  <c r="AA2168" i="1"/>
  <c r="AA2166" i="1"/>
  <c r="AA2167" i="1"/>
  <c r="AA2153" i="1"/>
  <c r="AA2154" i="1"/>
  <c r="AA2155" i="1"/>
  <c r="AA2156" i="1"/>
  <c r="AA2157" i="1"/>
  <c r="AA2158" i="1"/>
  <c r="AA2159" i="1"/>
  <c r="AA2160" i="1"/>
  <c r="AA2161" i="1"/>
  <c r="AA2162" i="1"/>
  <c r="AA2163" i="1"/>
  <c r="AA2164" i="1"/>
  <c r="AA2165" i="1"/>
  <c r="AA2137" i="1"/>
  <c r="AA2138" i="1"/>
  <c r="AA2139" i="1"/>
  <c r="AA2140" i="1"/>
  <c r="AA2141" i="1"/>
  <c r="AA2142" i="1"/>
  <c r="AA2143" i="1"/>
  <c r="AA2144" i="1"/>
  <c r="AA2145" i="1"/>
  <c r="AA2146" i="1"/>
  <c r="AA2147" i="1"/>
  <c r="AA2148" i="1"/>
  <c r="AA2149" i="1"/>
  <c r="AA2150" i="1"/>
  <c r="AA2151" i="1"/>
  <c r="AA2152" i="1"/>
  <c r="AA2115" i="1"/>
  <c r="AA2116" i="1"/>
  <c r="AA2117" i="1"/>
  <c r="AA2118" i="1"/>
  <c r="AA2119" i="1"/>
  <c r="AA2120" i="1"/>
  <c r="AA2121" i="1"/>
  <c r="AA2122" i="1"/>
  <c r="AA2123" i="1"/>
  <c r="AA2124" i="1"/>
  <c r="AA2125" i="1"/>
  <c r="AA2126" i="1"/>
  <c r="AA2127" i="1"/>
  <c r="AA2128" i="1"/>
  <c r="AA2129" i="1"/>
  <c r="AA2130" i="1"/>
  <c r="AA2131" i="1"/>
  <c r="AA2132" i="1"/>
  <c r="AA2133" i="1"/>
  <c r="AA2134" i="1"/>
  <c r="AA2135" i="1"/>
  <c r="AA2136" i="1"/>
  <c r="AA2100" i="1"/>
  <c r="AA2101" i="1"/>
  <c r="AA2102" i="1"/>
  <c r="AA2103" i="1"/>
  <c r="AA2104" i="1"/>
  <c r="AA2105" i="1"/>
  <c r="AA2106" i="1"/>
  <c r="AA2107" i="1"/>
  <c r="AA2108" i="1"/>
  <c r="AA2109" i="1"/>
  <c r="AA2110" i="1"/>
  <c r="AA2111" i="1"/>
  <c r="AA2112" i="1"/>
  <c r="AA2113" i="1"/>
  <c r="AA2114" i="1"/>
  <c r="AA2083" i="1"/>
  <c r="AA2084" i="1"/>
  <c r="AA2085" i="1"/>
  <c r="AA2087" i="1"/>
  <c r="AA2088" i="1"/>
  <c r="AA2089" i="1"/>
  <c r="AA2090" i="1"/>
  <c r="AA2091" i="1"/>
  <c r="AA2092" i="1"/>
  <c r="AA2093" i="1"/>
  <c r="AA2094" i="1"/>
  <c r="AA2095" i="1"/>
  <c r="AA2096" i="1"/>
  <c r="AA2097" i="1"/>
  <c r="AA2098" i="1"/>
  <c r="AA2099" i="1"/>
  <c r="AA2077" i="1"/>
  <c r="AA2078" i="1"/>
  <c r="AA2079" i="1"/>
  <c r="AA2080" i="1"/>
  <c r="AA2081" i="1"/>
  <c r="AA2082" i="1"/>
  <c r="AA2075" i="1"/>
  <c r="AA2076" i="1"/>
  <c r="AA2073" i="1"/>
  <c r="AA2074" i="1"/>
  <c r="AA2059" i="1"/>
  <c r="AA2061" i="1"/>
  <c r="AA2062" i="1"/>
  <c r="AA2063" i="1"/>
  <c r="AA2064" i="1"/>
  <c r="AA2065" i="1"/>
  <c r="AA2066" i="1"/>
  <c r="AA2067" i="1"/>
  <c r="AA2068" i="1"/>
  <c r="AA2069" i="1"/>
  <c r="AA2070" i="1"/>
  <c r="AA2071" i="1"/>
  <c r="AA2072" i="1"/>
  <c r="AA2039" i="1"/>
  <c r="AA2040" i="1"/>
  <c r="AA2041" i="1"/>
  <c r="AA2042" i="1"/>
  <c r="AA2043" i="1"/>
  <c r="AA2044" i="1"/>
  <c r="AA2045" i="1"/>
  <c r="AA2046" i="1"/>
  <c r="AA2047" i="1"/>
  <c r="AA2048" i="1"/>
  <c r="AA2049" i="1"/>
  <c r="AA2052" i="1"/>
  <c r="AA2053" i="1"/>
  <c r="AA2054" i="1"/>
  <c r="AA2055" i="1"/>
  <c r="AA2056" i="1"/>
  <c r="AA2057" i="1"/>
  <c r="AA2058" i="1"/>
  <c r="AA2023" i="1"/>
  <c r="AA2024" i="1"/>
  <c r="AA2025" i="1"/>
  <c r="AA2026" i="1"/>
  <c r="AA2030" i="1"/>
  <c r="AA2031" i="1"/>
  <c r="AA2032" i="1"/>
  <c r="AA2034" i="1"/>
  <c r="AA2035" i="1"/>
  <c r="AA2036" i="1"/>
  <c r="AA2006" i="1"/>
  <c r="AA2007" i="1"/>
  <c r="AA2008" i="1"/>
  <c r="AA2009" i="1"/>
  <c r="AA2010" i="1"/>
  <c r="AA2011" i="1"/>
  <c r="AA2012" i="1"/>
  <c r="AA2013" i="1"/>
  <c r="AA2014" i="1"/>
  <c r="AA2016" i="1"/>
  <c r="AA2017" i="1"/>
  <c r="AA2018" i="1"/>
  <c r="AA2019" i="1"/>
  <c r="AA2020" i="1"/>
  <c r="AA2021" i="1"/>
  <c r="AA2003" i="1"/>
  <c r="AA2004" i="1"/>
  <c r="AA2005" i="1"/>
  <c r="AA2001" i="1"/>
  <c r="AA2002" i="1"/>
  <c r="AA1990" i="1"/>
  <c r="AA1991" i="1"/>
  <c r="AA1992" i="1"/>
  <c r="AA1993" i="1"/>
  <c r="AA1994" i="1"/>
  <c r="AA1995" i="1"/>
  <c r="AA1996" i="1"/>
  <c r="AA1997" i="1"/>
  <c r="AA1998" i="1"/>
  <c r="AA1999" i="1"/>
  <c r="AA2000" i="1"/>
  <c r="AA1975" i="1"/>
  <c r="AA1976" i="1"/>
  <c r="AA1977" i="1"/>
  <c r="AA1978" i="1"/>
  <c r="AA1979" i="1"/>
  <c r="AA1980" i="1"/>
  <c r="AA1981" i="1"/>
  <c r="AA1982" i="1"/>
  <c r="AA1983" i="1"/>
  <c r="AA1984" i="1"/>
  <c r="AA1985" i="1"/>
  <c r="AA1986" i="1"/>
  <c r="AA1987" i="1"/>
  <c r="AA1988" i="1"/>
  <c r="AA1989" i="1"/>
  <c r="AA1965" i="1"/>
  <c r="AA1966" i="1"/>
  <c r="AA1967" i="1"/>
  <c r="AA1968" i="1"/>
  <c r="AA1969" i="1"/>
  <c r="AA1970" i="1"/>
  <c r="AA1971" i="1"/>
  <c r="AA1972" i="1"/>
  <c r="AA1973" i="1"/>
  <c r="AA1974" i="1"/>
  <c r="AA1952" i="1"/>
  <c r="AA1953" i="1"/>
  <c r="AA1954" i="1"/>
  <c r="AA1955" i="1"/>
  <c r="AA1956" i="1"/>
  <c r="AA1959" i="1"/>
  <c r="AA1960" i="1"/>
  <c r="AA1961" i="1"/>
  <c r="AA1962" i="1"/>
  <c r="AA1963" i="1"/>
  <c r="AA1964" i="1"/>
  <c r="AA1937" i="1"/>
  <c r="AA1939" i="1"/>
  <c r="AA1940" i="1"/>
  <c r="AA1941" i="1"/>
  <c r="AA1942" i="1"/>
  <c r="AA1943" i="1"/>
  <c r="AA1944" i="1"/>
  <c r="AA1945" i="1"/>
  <c r="AA1946" i="1"/>
  <c r="AA1948" i="1"/>
  <c r="AA1949" i="1"/>
  <c r="AA1950" i="1"/>
  <c r="AA1951" i="1"/>
  <c r="AA1933" i="1"/>
  <c r="AA1934" i="1"/>
  <c r="AA1935" i="1"/>
  <c r="AA1936" i="1"/>
  <c r="AA1931" i="1"/>
  <c r="AA1932" i="1"/>
  <c r="AA1921" i="1"/>
  <c r="AA1922" i="1"/>
  <c r="AA1923" i="1"/>
  <c r="AA1924" i="1"/>
  <c r="AA1925" i="1"/>
  <c r="AA1926" i="1"/>
  <c r="AA1927" i="1"/>
  <c r="AA1928" i="1"/>
  <c r="AA1929" i="1"/>
  <c r="AA1930" i="1"/>
  <c r="AA1904" i="1"/>
  <c r="AA1905" i="1"/>
  <c r="AA1906" i="1"/>
  <c r="AA1907" i="1"/>
  <c r="AA1908" i="1"/>
  <c r="AA1909" i="1"/>
  <c r="AA1910" i="1"/>
  <c r="AA1911" i="1"/>
  <c r="AA1912" i="1"/>
  <c r="AA1913" i="1"/>
  <c r="AA1914" i="1"/>
  <c r="AA1915" i="1"/>
  <c r="AA1916" i="1"/>
  <c r="AA1917" i="1"/>
  <c r="AA1918" i="1"/>
  <c r="AA1919" i="1"/>
  <c r="AA1920" i="1"/>
  <c r="AA1887" i="1"/>
  <c r="AA1888" i="1"/>
  <c r="AA1889" i="1"/>
  <c r="AA1890" i="1"/>
  <c r="AA1891" i="1"/>
  <c r="AA1892" i="1"/>
  <c r="AA1893" i="1"/>
  <c r="AA1894" i="1"/>
  <c r="AA1895" i="1"/>
  <c r="AA1896" i="1"/>
  <c r="AA1897" i="1"/>
  <c r="AA1898" i="1"/>
  <c r="AA1899" i="1"/>
  <c r="AA1900" i="1"/>
  <c r="AA1901" i="1"/>
  <c r="AA1902" i="1"/>
  <c r="AA1903" i="1"/>
  <c r="AA1871" i="1"/>
  <c r="AA1873" i="1"/>
  <c r="AA1874" i="1"/>
  <c r="AA1875" i="1"/>
  <c r="AA1876" i="1"/>
  <c r="AA1877" i="1"/>
  <c r="AA1878" i="1"/>
  <c r="AA1879" i="1"/>
  <c r="AA1880" i="1"/>
  <c r="AA1881" i="1"/>
  <c r="AA1882" i="1"/>
  <c r="AA1883" i="1"/>
  <c r="AA1884" i="1"/>
  <c r="AA1885" i="1"/>
  <c r="AA1886" i="1"/>
  <c r="AA1856" i="1"/>
  <c r="AA1857" i="1"/>
  <c r="AA1858" i="1"/>
  <c r="AA1859" i="1"/>
  <c r="AA1860" i="1"/>
  <c r="AA1861" i="1"/>
  <c r="AA1862" i="1"/>
  <c r="AA1863" i="1"/>
  <c r="AA1864" i="1"/>
  <c r="AA1865" i="1"/>
  <c r="AA1866" i="1"/>
  <c r="AA1867" i="1"/>
  <c r="AA1868" i="1"/>
  <c r="AA1869" i="1"/>
  <c r="AA1870" i="1"/>
  <c r="AA1854" i="1"/>
  <c r="AA1855" i="1"/>
  <c r="AA1852" i="1"/>
  <c r="AA1853" i="1"/>
  <c r="AA1840" i="1"/>
  <c r="AA1841" i="1"/>
  <c r="AA1842" i="1"/>
  <c r="AA1843" i="1"/>
  <c r="AA1844" i="1"/>
  <c r="AA1845" i="1"/>
  <c r="AA1846" i="1"/>
  <c r="AA1847" i="1"/>
  <c r="AA1848" i="1"/>
  <c r="AA1849" i="1"/>
  <c r="AA1850" i="1"/>
  <c r="AA1851" i="1"/>
  <c r="AA1819" i="1"/>
  <c r="AA1820" i="1"/>
  <c r="AA1821" i="1"/>
  <c r="AA1822" i="1"/>
  <c r="AA1823" i="1"/>
  <c r="AA1824" i="1"/>
  <c r="AA1825" i="1"/>
  <c r="AA1826" i="1"/>
  <c r="AA1827" i="1"/>
  <c r="AA1828" i="1"/>
  <c r="AA1829" i="1"/>
  <c r="AA1830" i="1"/>
  <c r="AA1831" i="1"/>
  <c r="AA1832" i="1"/>
  <c r="AA1833" i="1"/>
  <c r="AA1834" i="1"/>
  <c r="AA1835" i="1"/>
  <c r="AA1836" i="1"/>
  <c r="AA1837" i="1"/>
  <c r="AA1838" i="1"/>
  <c r="AA1839" i="1"/>
  <c r="AA1806" i="1"/>
  <c r="AA1807" i="1"/>
  <c r="AA1808" i="1"/>
  <c r="AA1809" i="1"/>
  <c r="AA1810" i="1"/>
  <c r="AA1811" i="1"/>
  <c r="AA1812" i="1"/>
  <c r="AA1813" i="1"/>
  <c r="AA1814" i="1"/>
  <c r="AA1815" i="1"/>
  <c r="AA1816" i="1"/>
  <c r="AA1818" i="1"/>
  <c r="AA1794" i="1"/>
  <c r="AA1795" i="1"/>
  <c r="AA1797" i="1"/>
  <c r="AA1798" i="1"/>
  <c r="AA1799" i="1"/>
  <c r="AA1800" i="1"/>
  <c r="AA1801" i="1"/>
  <c r="AA1802" i="1"/>
  <c r="AA1803" i="1"/>
  <c r="AA1804" i="1"/>
  <c r="AA1805" i="1"/>
  <c r="AA1773" i="1"/>
  <c r="AA1774" i="1"/>
  <c r="AA1775" i="1"/>
  <c r="AA1776" i="1"/>
  <c r="AA1777" i="1"/>
  <c r="AA1778" i="1"/>
  <c r="AA1779" i="1"/>
  <c r="AA1780" i="1"/>
  <c r="AA1781" i="1"/>
  <c r="AA1782" i="1"/>
  <c r="AA1783" i="1"/>
  <c r="AA1784" i="1"/>
  <c r="AA1785" i="1"/>
  <c r="AA1786" i="1"/>
  <c r="AA1787" i="1"/>
  <c r="AA1788" i="1"/>
  <c r="AA1792" i="1"/>
  <c r="AA1793" i="1"/>
  <c r="AA1771" i="1"/>
  <c r="AA1772" i="1"/>
  <c r="AA1763" i="1"/>
  <c r="AA1764" i="1"/>
  <c r="AA1765" i="1"/>
  <c r="AA1766" i="1"/>
  <c r="AA1767" i="1"/>
  <c r="AA1768" i="1"/>
  <c r="AA1769" i="1"/>
  <c r="AA1770" i="1"/>
  <c r="AA1744" i="1"/>
  <c r="AA1745" i="1"/>
  <c r="AA1746" i="1"/>
  <c r="AA1747" i="1"/>
  <c r="AA1748" i="1"/>
  <c r="AA1749" i="1"/>
  <c r="AA1750" i="1"/>
  <c r="AA1751" i="1"/>
  <c r="AA1752" i="1"/>
  <c r="AA1753" i="1"/>
  <c r="AA1754" i="1"/>
  <c r="AA1755" i="1"/>
  <c r="AA1756" i="1"/>
  <c r="AA1757" i="1"/>
  <c r="AA1758" i="1"/>
  <c r="AA1759" i="1"/>
  <c r="AA1760" i="1"/>
  <c r="AA1761" i="1"/>
  <c r="AA1762" i="1"/>
  <c r="AA1728" i="1"/>
  <c r="AA1729" i="1"/>
  <c r="AA1730" i="1"/>
  <c r="AA1731" i="1"/>
  <c r="AA1732" i="1"/>
  <c r="AA1733" i="1"/>
  <c r="AA1734" i="1"/>
  <c r="AA1735" i="1"/>
  <c r="AA1736" i="1"/>
  <c r="AA1737" i="1"/>
  <c r="AA1738" i="1"/>
  <c r="AA1739" i="1"/>
  <c r="AA1740" i="1"/>
  <c r="AA1741" i="1"/>
  <c r="AA1742" i="1"/>
  <c r="AA1743" i="1"/>
  <c r="AA1711" i="1"/>
  <c r="AA1712" i="1"/>
  <c r="AA1713" i="1"/>
  <c r="AA1714" i="1"/>
  <c r="AA1715" i="1"/>
  <c r="AA1716" i="1"/>
  <c r="AA1717" i="1"/>
  <c r="AA1718" i="1"/>
  <c r="AA1719" i="1"/>
  <c r="AA1720" i="1"/>
  <c r="AA1721" i="1"/>
  <c r="AA1722" i="1"/>
  <c r="AA1723" i="1"/>
  <c r="AA1724" i="1"/>
  <c r="AA1725" i="1"/>
  <c r="AA1726" i="1"/>
  <c r="AA1727" i="1"/>
  <c r="AA1698" i="1"/>
  <c r="AA1699" i="1"/>
  <c r="AA1700" i="1"/>
  <c r="AA1701" i="1"/>
  <c r="AA1702" i="1"/>
  <c r="AA1703" i="1"/>
  <c r="AA1704" i="1"/>
  <c r="AA1705" i="1"/>
  <c r="AA1706" i="1"/>
  <c r="AA1707" i="1"/>
  <c r="AA1708" i="1"/>
  <c r="AA1709" i="1"/>
  <c r="AA1710" i="1"/>
  <c r="AA1697" i="1"/>
  <c r="AA1695" i="1"/>
  <c r="AA1696" i="1"/>
  <c r="AA1688" i="1"/>
  <c r="AA1689" i="1"/>
  <c r="AA1690" i="1"/>
  <c r="AA1691" i="1"/>
  <c r="AA1692" i="1"/>
  <c r="AA1693" i="1"/>
  <c r="AA1694" i="1"/>
  <c r="AA1677" i="1"/>
  <c r="AA1678" i="1"/>
  <c r="AA1679" i="1"/>
  <c r="AA1680" i="1"/>
  <c r="AA1681" i="1"/>
  <c r="AA1682" i="1"/>
  <c r="AA1683" i="1"/>
  <c r="AA1684" i="1"/>
  <c r="AA1685" i="1"/>
  <c r="AA1686" i="1"/>
  <c r="AA1687" i="1"/>
  <c r="AA1662" i="1"/>
  <c r="AA1663" i="1"/>
  <c r="AA1664" i="1"/>
  <c r="AA1665" i="1"/>
  <c r="AA1666" i="1"/>
  <c r="AA1667" i="1"/>
  <c r="AA1668" i="1"/>
  <c r="AA1669" i="1"/>
  <c r="AA1670" i="1"/>
  <c r="AA1671" i="1"/>
  <c r="AA1672" i="1"/>
  <c r="AA1673" i="1"/>
  <c r="AA1674" i="1"/>
  <c r="AA1675" i="1"/>
  <c r="AA1676" i="1"/>
  <c r="AA1650" i="1"/>
  <c r="AA1651" i="1"/>
  <c r="AA1652" i="1"/>
  <c r="AA1653" i="1"/>
  <c r="AA1654" i="1"/>
  <c r="AA1655" i="1"/>
  <c r="AA1656" i="1"/>
  <c r="AA1657" i="1"/>
  <c r="AA1658" i="1"/>
  <c r="AA1659" i="1"/>
  <c r="AA1660" i="1"/>
  <c r="AA1661" i="1"/>
  <c r="AA1637" i="1"/>
  <c r="AA1638" i="1"/>
  <c r="AA1639" i="1"/>
  <c r="AA1640" i="1"/>
  <c r="AA1641" i="1"/>
  <c r="AA1642" i="1"/>
  <c r="AA1643" i="1"/>
  <c r="AA1644" i="1"/>
  <c r="AA1645" i="1"/>
  <c r="AA1646" i="1"/>
  <c r="AA1647" i="1"/>
  <c r="AA1648" i="1"/>
  <c r="AA1636" i="1"/>
  <c r="AA1635" i="1"/>
  <c r="AA1624" i="1"/>
  <c r="AA1625" i="1"/>
  <c r="AA1626" i="1"/>
  <c r="AA1627" i="1"/>
  <c r="AA1628" i="1"/>
  <c r="AA1629" i="1"/>
  <c r="AA1630" i="1"/>
  <c r="AA1631" i="1"/>
  <c r="AA1632" i="1"/>
  <c r="AA1633" i="1"/>
  <c r="AA1634" i="1"/>
  <c r="AA1610" i="1"/>
  <c r="AA1611" i="1"/>
  <c r="AA1612" i="1"/>
  <c r="AA1613" i="1"/>
  <c r="AA1614" i="1"/>
  <c r="AA1615" i="1"/>
  <c r="AA1616" i="1"/>
  <c r="AA1617" i="1"/>
  <c r="AA1618" i="1"/>
  <c r="AA1619" i="1"/>
  <c r="AA1620" i="1"/>
  <c r="AA1621" i="1"/>
  <c r="AA1622" i="1"/>
  <c r="AA1623" i="1"/>
  <c r="AA1596" i="1"/>
  <c r="AA1597" i="1"/>
  <c r="AA1598" i="1"/>
  <c r="AA1599" i="1"/>
  <c r="AA1600" i="1"/>
  <c r="AA1601" i="1"/>
  <c r="AA1602" i="1"/>
  <c r="AA1603" i="1"/>
  <c r="AA1604" i="1"/>
  <c r="AA1605" i="1"/>
  <c r="AA1606" i="1"/>
  <c r="AA1607" i="1"/>
  <c r="AA1608" i="1"/>
  <c r="AA1609" i="1"/>
  <c r="AA1587" i="1"/>
  <c r="AA1588" i="1"/>
  <c r="AA1589" i="1"/>
  <c r="AA1590" i="1"/>
  <c r="AA1591" i="1"/>
  <c r="AA1592" i="1"/>
  <c r="AA1593" i="1"/>
  <c r="AA1594" i="1"/>
  <c r="AA1595" i="1"/>
  <c r="AA1574" i="1"/>
  <c r="AA1575" i="1"/>
  <c r="AA1576" i="1"/>
  <c r="AA1577" i="1"/>
  <c r="AA1578" i="1"/>
  <c r="AA1579" i="1"/>
  <c r="AA1580" i="1"/>
  <c r="AA1581" i="1"/>
  <c r="AA1582" i="1"/>
  <c r="AA1583" i="1"/>
  <c r="AA1584" i="1"/>
  <c r="AA1585" i="1"/>
  <c r="AA1586" i="1"/>
  <c r="AA1571" i="1"/>
  <c r="AA1572" i="1"/>
  <c r="AA1573" i="1"/>
  <c r="AA1568" i="1"/>
  <c r="AA1569" i="1"/>
  <c r="AA1570" i="1"/>
  <c r="AA1559" i="1"/>
  <c r="AA1560" i="1"/>
  <c r="AA1561" i="1"/>
  <c r="AA1562" i="1"/>
  <c r="AA1563" i="1"/>
  <c r="AA1564" i="1"/>
  <c r="AA1565" i="1"/>
  <c r="AA1566" i="1"/>
  <c r="AA1567" i="1"/>
  <c r="AA1548" i="1"/>
  <c r="AA1549" i="1"/>
  <c r="AA1550" i="1"/>
  <c r="AA1551" i="1"/>
  <c r="AA1552" i="1"/>
  <c r="AA1553" i="1"/>
  <c r="AA1554" i="1"/>
  <c r="AA1555" i="1"/>
  <c r="AA1556" i="1"/>
  <c r="AA1557" i="1"/>
  <c r="AA1558" i="1"/>
  <c r="AA1535" i="1"/>
  <c r="AA1536" i="1"/>
  <c r="AA1537" i="1"/>
  <c r="AA1538" i="1"/>
  <c r="AA1539" i="1"/>
  <c r="AA1540" i="1"/>
  <c r="AA1541" i="1"/>
  <c r="AA1542" i="1"/>
  <c r="AA1543" i="1"/>
  <c r="AA1544" i="1"/>
  <c r="AA1545" i="1"/>
  <c r="AA1546" i="1"/>
  <c r="AA1547" i="1"/>
  <c r="AA1527" i="1"/>
  <c r="AA1528" i="1"/>
  <c r="AA1529" i="1"/>
  <c r="AA1530" i="1"/>
  <c r="AA1531" i="1"/>
  <c r="AA1532" i="1"/>
  <c r="AA1533" i="1"/>
  <c r="AA1534" i="1"/>
  <c r="AA1512" i="1"/>
  <c r="AA1513" i="1"/>
  <c r="AA1514" i="1"/>
  <c r="AA1515" i="1"/>
  <c r="AA1516" i="1"/>
  <c r="AA1517" i="1"/>
  <c r="AA1518" i="1"/>
  <c r="AA1519" i="1"/>
  <c r="AA1520" i="1"/>
  <c r="AA1521" i="1"/>
  <c r="AA1522" i="1"/>
  <c r="AA1523" i="1"/>
  <c r="AA1524" i="1"/>
  <c r="AA1525" i="1"/>
  <c r="AA1526" i="1"/>
  <c r="AA1509" i="1"/>
  <c r="AA1510" i="1"/>
  <c r="AA1511" i="1"/>
  <c r="AA1507" i="1"/>
  <c r="AA1508" i="1"/>
  <c r="AA1498" i="1"/>
  <c r="AA1499" i="1"/>
  <c r="AA1500" i="1"/>
  <c r="AA1501" i="1"/>
  <c r="AA1502" i="1"/>
  <c r="AA1503" i="1"/>
  <c r="AA1504" i="1"/>
  <c r="AA1505" i="1"/>
  <c r="AA1506" i="1"/>
  <c r="AA1484" i="1"/>
  <c r="AA1485" i="1"/>
  <c r="AA1486" i="1"/>
  <c r="AA1487" i="1"/>
  <c r="AA1488" i="1"/>
  <c r="AA1489" i="1"/>
  <c r="AA1490" i="1"/>
  <c r="AA1491" i="1"/>
  <c r="AA1492" i="1"/>
  <c r="AA1493" i="1"/>
  <c r="AA1494" i="1"/>
  <c r="AA1495" i="1"/>
  <c r="AA1496" i="1"/>
  <c r="AA1497" i="1"/>
  <c r="AA1472" i="1"/>
  <c r="AA1473" i="1"/>
  <c r="AA1474" i="1"/>
  <c r="AA1475" i="1"/>
  <c r="AA1476" i="1"/>
  <c r="AA1477" i="1"/>
  <c r="AA1478" i="1"/>
  <c r="AA1479" i="1"/>
  <c r="AA1480" i="1"/>
  <c r="AA1481" i="1"/>
  <c r="AA1482" i="1"/>
  <c r="AA1483" i="1"/>
  <c r="AA1452" i="1"/>
  <c r="AA1453" i="1"/>
  <c r="AA1454" i="1"/>
  <c r="AA1455" i="1"/>
  <c r="AA1456" i="1"/>
  <c r="AA1457" i="1"/>
  <c r="AA1458" i="1"/>
  <c r="AA1459" i="1"/>
  <c r="AA1460" i="1"/>
  <c r="AA1461" i="1"/>
  <c r="AA1462" i="1"/>
  <c r="AA1463" i="1"/>
  <c r="AA1464" i="1"/>
  <c r="AA1465" i="1"/>
  <c r="AA1466" i="1"/>
  <c r="AA1467" i="1"/>
  <c r="AA1468" i="1"/>
  <c r="AA1469" i="1"/>
  <c r="AA1470" i="1"/>
  <c r="AA1471" i="1"/>
  <c r="AA1449" i="1"/>
  <c r="AA1450" i="1"/>
  <c r="AA1451" i="1"/>
  <c r="AA1436" i="1"/>
  <c r="AA1437" i="1"/>
  <c r="AA1438" i="1"/>
  <c r="AA1439" i="1"/>
  <c r="AA1440" i="1"/>
  <c r="AA1441" i="1"/>
  <c r="AA1442" i="1"/>
  <c r="AA1443" i="1"/>
  <c r="AA1444" i="1"/>
  <c r="AA1445" i="1"/>
  <c r="AA1446" i="1"/>
  <c r="AA1447" i="1"/>
  <c r="AA1448" i="1"/>
  <c r="AA1423" i="1"/>
  <c r="AA1424" i="1"/>
  <c r="AA1425" i="1"/>
  <c r="AA1426" i="1"/>
  <c r="AA1427" i="1"/>
  <c r="AA1428" i="1"/>
  <c r="AA1429" i="1"/>
  <c r="AA1430" i="1"/>
  <c r="AA1431" i="1"/>
  <c r="AA1432" i="1"/>
  <c r="AA1433" i="1"/>
  <c r="AA1434" i="1"/>
  <c r="AA1435" i="1"/>
  <c r="AA1414" i="1"/>
  <c r="AA1415" i="1"/>
  <c r="AA1416" i="1"/>
  <c r="AA1417" i="1"/>
  <c r="AA1418" i="1"/>
  <c r="AA1419" i="1"/>
  <c r="AA1420" i="1"/>
  <c r="AA1421" i="1"/>
  <c r="AA1422" i="1"/>
  <c r="AA1403" i="1"/>
  <c r="AA1404" i="1"/>
  <c r="AA1405" i="1"/>
  <c r="AA1406" i="1"/>
  <c r="AA1407" i="1"/>
  <c r="AA1408" i="1"/>
  <c r="AA1409" i="1"/>
  <c r="AA1410" i="1"/>
  <c r="AA1411" i="1"/>
  <c r="AA1412" i="1"/>
  <c r="AA1413" i="1"/>
  <c r="AA1400" i="1"/>
  <c r="AA1401" i="1"/>
  <c r="AA1402" i="1"/>
  <c r="AA1397" i="1"/>
  <c r="AA1398" i="1"/>
  <c r="AA1399" i="1"/>
  <c r="AA1394" i="1"/>
  <c r="AA1395" i="1"/>
  <c r="AA1396" i="1"/>
  <c r="AA1392" i="1"/>
  <c r="AA1393" i="1"/>
  <c r="AA1390" i="1"/>
  <c r="AA1391" i="1"/>
  <c r="AA1377" i="1"/>
  <c r="AA1378" i="1"/>
  <c r="AA1379" i="1"/>
  <c r="AA1380" i="1"/>
  <c r="AA1381" i="1"/>
  <c r="AA1382" i="1"/>
  <c r="AA1383" i="1"/>
  <c r="AA1384" i="1"/>
  <c r="AA1385" i="1"/>
  <c r="AA1386" i="1"/>
  <c r="AA1387" i="1"/>
  <c r="AA1388" i="1"/>
  <c r="AA1389" i="1"/>
  <c r="AA1362" i="1"/>
  <c r="AA1363" i="1"/>
  <c r="AA1364" i="1"/>
  <c r="AA1365" i="1"/>
  <c r="AA1366" i="1"/>
  <c r="AA1367" i="1"/>
  <c r="AA1368" i="1"/>
  <c r="AA1369" i="1"/>
  <c r="AA1370" i="1"/>
  <c r="AA1371" i="1"/>
  <c r="AA1372" i="1"/>
  <c r="AA1373" i="1"/>
  <c r="AA1374" i="1"/>
  <c r="AA1375" i="1"/>
  <c r="AA1376" i="1"/>
  <c r="AA1347" i="1"/>
  <c r="AA1348" i="1"/>
  <c r="AA1349" i="1"/>
  <c r="AA1350" i="1"/>
  <c r="AA1351" i="1"/>
  <c r="AA1352" i="1"/>
  <c r="AA1353" i="1"/>
  <c r="AA1354" i="1"/>
  <c r="AA1355" i="1"/>
  <c r="AA1356" i="1"/>
  <c r="AA1357" i="1"/>
  <c r="AA1358" i="1"/>
  <c r="AA1359" i="1"/>
  <c r="AA1360" i="1"/>
  <c r="AA1361" i="1"/>
  <c r="AA1346" i="1"/>
  <c r="AA1344" i="1"/>
  <c r="AA1345" i="1"/>
  <c r="AA1332" i="1"/>
  <c r="AA1333" i="1"/>
  <c r="AA1334" i="1"/>
  <c r="AA1335" i="1"/>
  <c r="AA1336" i="1"/>
  <c r="AA1337" i="1"/>
  <c r="AA1338" i="1"/>
  <c r="AA1339" i="1"/>
  <c r="AA1340" i="1"/>
  <c r="AA1341" i="1"/>
  <c r="AA1342" i="1"/>
  <c r="AA1343" i="1"/>
  <c r="AA1314" i="1"/>
  <c r="AA1315" i="1"/>
  <c r="AA1316" i="1"/>
  <c r="AA1317" i="1"/>
  <c r="AA1318" i="1"/>
  <c r="AA1319" i="1"/>
  <c r="AA1320" i="1"/>
  <c r="AA1321" i="1"/>
  <c r="AA1322" i="1"/>
  <c r="AA1323" i="1"/>
  <c r="AA1324" i="1"/>
  <c r="AA1325" i="1"/>
  <c r="AA1326" i="1"/>
  <c r="AA1327" i="1"/>
  <c r="AA1328" i="1"/>
  <c r="AA1329" i="1"/>
  <c r="AA1330" i="1"/>
  <c r="AA1331" i="1"/>
  <c r="AA1296" i="1"/>
  <c r="AA1297" i="1"/>
  <c r="AA1298" i="1"/>
  <c r="AA1299" i="1"/>
  <c r="AA1300" i="1"/>
  <c r="AA1301" i="1"/>
  <c r="AA1302" i="1"/>
  <c r="AA1303" i="1"/>
  <c r="AA1304" i="1"/>
  <c r="AA1305" i="1"/>
  <c r="AA1306" i="1"/>
  <c r="AA1307" i="1"/>
  <c r="AA1308" i="1"/>
  <c r="AA1309" i="1"/>
  <c r="AA1310" i="1"/>
  <c r="AA1311" i="1"/>
  <c r="AA1312" i="1"/>
  <c r="AA1313" i="1"/>
  <c r="AA1283" i="1"/>
  <c r="AA1284" i="1"/>
  <c r="AA1285" i="1"/>
  <c r="AA1286" i="1"/>
  <c r="AA1287" i="1"/>
  <c r="AA1288" i="1"/>
  <c r="AA1289" i="1"/>
  <c r="AA1290" i="1"/>
  <c r="AA1291" i="1"/>
  <c r="AA1292" i="1"/>
  <c r="AA1293" i="1"/>
  <c r="AA1294" i="1"/>
  <c r="AA1295" i="1"/>
  <c r="AA1274" i="1"/>
  <c r="AA1275" i="1"/>
  <c r="AA1276" i="1"/>
  <c r="AA1277" i="1"/>
  <c r="AA1278" i="1"/>
  <c r="AA1279" i="1"/>
  <c r="AA1280" i="1"/>
  <c r="AA1281" i="1"/>
  <c r="AA1282" i="1"/>
  <c r="AA1273" i="1"/>
  <c r="AA1270" i="1"/>
  <c r="AA1271" i="1"/>
  <c r="AA1272" i="1"/>
  <c r="AA1257" i="1"/>
  <c r="AA1258" i="1"/>
  <c r="AA1259" i="1"/>
  <c r="AA1260" i="1"/>
  <c r="AA1261" i="1"/>
  <c r="AA1262" i="1"/>
  <c r="AA1263" i="1"/>
  <c r="AA1264" i="1"/>
  <c r="AA1265" i="1"/>
  <c r="AA1266" i="1"/>
  <c r="AA1267" i="1"/>
  <c r="AA1268" i="1"/>
  <c r="AA1269" i="1"/>
  <c r="AA1239" i="1"/>
  <c r="AA1240" i="1"/>
  <c r="AA1241" i="1"/>
  <c r="AA1242" i="1"/>
  <c r="AA1243" i="1"/>
  <c r="AA1244" i="1"/>
  <c r="AA1245" i="1"/>
  <c r="AA1246" i="1"/>
  <c r="AA1247" i="1"/>
  <c r="AA1248" i="1"/>
  <c r="AA1249" i="1"/>
  <c r="AA1250" i="1"/>
  <c r="AA1251" i="1"/>
  <c r="AA1252" i="1"/>
  <c r="AA1253" i="1"/>
  <c r="AA1254" i="1"/>
  <c r="AA1255" i="1"/>
  <c r="AA1256" i="1"/>
  <c r="AA1226" i="1"/>
  <c r="AA1227" i="1"/>
  <c r="AA1228" i="1"/>
  <c r="AA1229" i="1"/>
  <c r="AA1230" i="1"/>
  <c r="AA1231" i="1"/>
  <c r="AA1232" i="1"/>
  <c r="AA1233" i="1"/>
  <c r="AA1234" i="1"/>
  <c r="AA1235" i="1"/>
  <c r="AA1236" i="1"/>
  <c r="AA1237" i="1"/>
  <c r="AA1238" i="1"/>
  <c r="AA1218" i="1"/>
  <c r="AA1219" i="1"/>
  <c r="AA1220" i="1"/>
  <c r="AA1221" i="1"/>
  <c r="AA1222" i="1"/>
  <c r="AA1223" i="1"/>
  <c r="AA1224" i="1"/>
  <c r="AA1225" i="1"/>
  <c r="AA1202" i="1"/>
  <c r="AA1203" i="1"/>
  <c r="AA1204" i="1"/>
  <c r="AA1205" i="1"/>
  <c r="AA1206" i="1"/>
  <c r="AA1207" i="1"/>
  <c r="AA1208" i="1"/>
  <c r="AA1209" i="1"/>
  <c r="AA1210" i="1"/>
  <c r="AA1211" i="1"/>
  <c r="AA1212" i="1"/>
  <c r="AA1213" i="1"/>
  <c r="AA1214" i="1"/>
  <c r="AA1215" i="1"/>
  <c r="AA1216" i="1"/>
  <c r="AA1217" i="1"/>
  <c r="AA1199" i="1"/>
  <c r="AA1200" i="1"/>
  <c r="AA1201" i="1"/>
  <c r="AA1196" i="1"/>
  <c r="AA1197" i="1"/>
  <c r="AA1198" i="1"/>
  <c r="AA1185" i="1"/>
  <c r="AA1186" i="1"/>
  <c r="AA1187" i="1"/>
  <c r="AA1188" i="1"/>
  <c r="AA1189" i="1"/>
  <c r="AA1190" i="1"/>
  <c r="AA1191" i="1"/>
  <c r="AA1192" i="1"/>
  <c r="AA1193" i="1"/>
  <c r="AA1194" i="1"/>
  <c r="AA1195" i="1"/>
  <c r="AA1166" i="1"/>
  <c r="AA1167" i="1"/>
  <c r="AA1168" i="1"/>
  <c r="AA1169" i="1"/>
  <c r="AA1170" i="1"/>
  <c r="AA1171" i="1"/>
  <c r="AA1172" i="1"/>
  <c r="AA1173" i="1"/>
  <c r="AA1174" i="1"/>
  <c r="AA1175" i="1"/>
  <c r="AA1176" i="1"/>
  <c r="AA1177" i="1"/>
  <c r="AA1178" i="1"/>
  <c r="AA1179" i="1"/>
  <c r="AA1180" i="1"/>
  <c r="AA1181" i="1"/>
  <c r="AA1182" i="1"/>
  <c r="AA1183" i="1"/>
  <c r="AA1184" i="1"/>
  <c r="AA1153" i="1"/>
  <c r="AA1154" i="1"/>
  <c r="AA1155" i="1"/>
  <c r="AA1156" i="1"/>
  <c r="AA1157" i="1"/>
  <c r="AA1158" i="1"/>
  <c r="AA1159" i="1"/>
  <c r="AA1160" i="1"/>
  <c r="AA1161" i="1"/>
  <c r="AA1162" i="1"/>
  <c r="AA1163" i="1"/>
  <c r="AA1164" i="1"/>
  <c r="AA1165" i="1"/>
  <c r="AA1144" i="1"/>
  <c r="AA1145" i="1"/>
  <c r="AA1146" i="1"/>
  <c r="AA1147" i="1"/>
  <c r="AA1148" i="1"/>
  <c r="AA1149" i="1"/>
  <c r="AA1150" i="1"/>
  <c r="AA1151" i="1"/>
  <c r="AA1152" i="1"/>
  <c r="AA1133" i="1"/>
  <c r="AA1134" i="1"/>
  <c r="AA1135" i="1"/>
  <c r="AA1136" i="1"/>
  <c r="AA1137" i="1"/>
  <c r="AA1138" i="1"/>
  <c r="AA1139" i="1"/>
  <c r="AA1140" i="1"/>
  <c r="AA1141" i="1"/>
  <c r="AA1142" i="1"/>
  <c r="AA1143" i="1"/>
  <c r="AA1122" i="1"/>
  <c r="AA1123" i="1"/>
  <c r="AA1124" i="1"/>
  <c r="AA1125" i="1"/>
  <c r="AA1126" i="1"/>
  <c r="AA1127" i="1"/>
  <c r="AA1128" i="1"/>
  <c r="AA1129" i="1"/>
  <c r="AA1130" i="1"/>
  <c r="AA1131" i="1"/>
  <c r="AA1132" i="1"/>
  <c r="AA1111" i="1"/>
  <c r="AA1112" i="1"/>
  <c r="AA1113" i="1"/>
  <c r="AA1114" i="1"/>
  <c r="AA1115" i="1"/>
  <c r="AA1116" i="1"/>
  <c r="AA1117" i="1"/>
  <c r="AA1118" i="1"/>
  <c r="AA1119" i="1"/>
  <c r="AA1120" i="1"/>
  <c r="AA1121" i="1"/>
  <c r="AA1101" i="1"/>
  <c r="AA1102" i="1"/>
  <c r="AA1103" i="1"/>
  <c r="AA1104" i="1"/>
  <c r="AA1105" i="1"/>
  <c r="AA1106" i="1"/>
  <c r="AA1107" i="1"/>
  <c r="AA1108" i="1"/>
  <c r="AA1109" i="1"/>
  <c r="AA1110" i="1"/>
  <c r="AA1095" i="1"/>
  <c r="AA1096" i="1"/>
  <c r="AA1097" i="1"/>
  <c r="AA1098" i="1"/>
  <c r="AA1099" i="1"/>
  <c r="AA1100" i="1"/>
  <c r="AA1094" i="1"/>
  <c r="AA1090" i="1"/>
  <c r="AA1091" i="1"/>
  <c r="AA1092" i="1"/>
  <c r="AA1093" i="1"/>
  <c r="AA1083" i="1"/>
  <c r="AA1084" i="1"/>
  <c r="AA1085" i="1"/>
  <c r="AA1086" i="1"/>
  <c r="AA1087" i="1"/>
  <c r="AA1088" i="1"/>
  <c r="AA1089" i="1"/>
  <c r="AA1075" i="1"/>
  <c r="AA1076" i="1"/>
  <c r="AA1077" i="1"/>
  <c r="AA1078" i="1"/>
  <c r="AA1079" i="1"/>
  <c r="AA1080" i="1"/>
  <c r="AA1081" i="1"/>
  <c r="AA1082" i="1"/>
  <c r="AA1069" i="1"/>
  <c r="AA1070" i="1"/>
  <c r="AA1071" i="1"/>
  <c r="AA1072" i="1"/>
  <c r="AA1073" i="1"/>
  <c r="AA1074" i="1"/>
  <c r="AA1063" i="1"/>
  <c r="AA1064" i="1"/>
  <c r="AA1065" i="1"/>
  <c r="AA1066" i="1"/>
  <c r="AA1067" i="1"/>
  <c r="AA1068" i="1"/>
  <c r="AA1062" i="1"/>
  <c r="AA1057" i="1"/>
  <c r="AA1058" i="1"/>
  <c r="AA1059" i="1"/>
  <c r="AA1060" i="1"/>
  <c r="AA1061" i="1"/>
  <c r="AA1052" i="1"/>
  <c r="AA1053" i="1"/>
  <c r="AA1054" i="1"/>
  <c r="AA1055" i="1"/>
  <c r="AA1056" i="1"/>
  <c r="AA1043" i="1"/>
  <c r="AA1044" i="1"/>
  <c r="AA1045" i="1"/>
  <c r="AA1046" i="1"/>
  <c r="AA1047" i="1"/>
  <c r="AA1048" i="1"/>
  <c r="AA1049" i="1"/>
  <c r="AA1050" i="1"/>
  <c r="AA1051" i="1"/>
  <c r="AA1038" i="1"/>
  <c r="AA1039" i="1"/>
  <c r="AA1040" i="1"/>
  <c r="AA1041" i="1"/>
  <c r="AA1042" i="1"/>
  <c r="AA1032" i="1"/>
  <c r="AA1033" i="1"/>
  <c r="AA1034" i="1"/>
  <c r="AA1035" i="1"/>
  <c r="AA1036" i="1"/>
  <c r="AA1037" i="1"/>
  <c r="AA1031" i="1"/>
  <c r="AA1026" i="1"/>
  <c r="AA1027" i="1"/>
  <c r="AA1028" i="1"/>
  <c r="AA1029" i="1"/>
  <c r="AA1030" i="1"/>
  <c r="AA1021" i="1"/>
  <c r="AA1022" i="1"/>
  <c r="AA1023" i="1"/>
  <c r="AA1024" i="1"/>
  <c r="AA1025" i="1"/>
  <c r="AA1015" i="1"/>
  <c r="AA1016" i="1"/>
  <c r="AA1017" i="1"/>
  <c r="AA1018" i="1"/>
  <c r="AA1019" i="1"/>
  <c r="AA1020" i="1"/>
  <c r="AA1010" i="1"/>
  <c r="AA1011" i="1"/>
  <c r="AA1012" i="1"/>
  <c r="AA1013" i="1"/>
  <c r="AA1014" i="1"/>
  <c r="AA1006" i="1"/>
  <c r="AA1007" i="1"/>
  <c r="AA1008" i="1"/>
  <c r="AA1009" i="1"/>
  <c r="AA1005" i="1"/>
  <c r="AA1004" i="1"/>
  <c r="AA998" i="1"/>
  <c r="AA999" i="1"/>
  <c r="AA1000" i="1"/>
  <c r="AA1001" i="1"/>
  <c r="AA1002" i="1"/>
  <c r="AA1003" i="1"/>
  <c r="AA994" i="1"/>
  <c r="AA995" i="1"/>
  <c r="AA996" i="1"/>
  <c r="AA997" i="1"/>
  <c r="AA988" i="1"/>
  <c r="AA989" i="1"/>
  <c r="AA990" i="1"/>
  <c r="AA991" i="1"/>
  <c r="AA992" i="1"/>
  <c r="AA993" i="1"/>
  <c r="AA984" i="1"/>
  <c r="AA985" i="1"/>
  <c r="AA986" i="1"/>
  <c r="AA987" i="1"/>
  <c r="AA976" i="1"/>
  <c r="AA977" i="1"/>
  <c r="AA978" i="1"/>
  <c r="AA979" i="1"/>
  <c r="AA980" i="1"/>
  <c r="AA981" i="1"/>
  <c r="AA982" i="1"/>
  <c r="AA983" i="1"/>
  <c r="AA974" i="1"/>
  <c r="AA975" i="1"/>
  <c r="AA971" i="1"/>
  <c r="AA972" i="1"/>
  <c r="AA973" i="1"/>
  <c r="AA967" i="1"/>
  <c r="AA968" i="1"/>
  <c r="AA969" i="1"/>
  <c r="AA970" i="1"/>
  <c r="AA962" i="1"/>
  <c r="AA963" i="1"/>
  <c r="AA964" i="1"/>
  <c r="AA965" i="1"/>
  <c r="AA966" i="1"/>
  <c r="AA958" i="1"/>
  <c r="AA959" i="1"/>
  <c r="AA960" i="1"/>
  <c r="AA961" i="1"/>
  <c r="AA955" i="1"/>
  <c r="AA956" i="1"/>
  <c r="AA957" i="1"/>
  <c r="AA951" i="1"/>
  <c r="AA952" i="1"/>
  <c r="AA953" i="1"/>
  <c r="AA954" i="1"/>
  <c r="AA947" i="1"/>
  <c r="AA948" i="1"/>
  <c r="AA949" i="1"/>
  <c r="AA950" i="1"/>
  <c r="AA945" i="1"/>
  <c r="AA946" i="1"/>
  <c r="AA940" i="1"/>
  <c r="AA941" i="1"/>
  <c r="AA942" i="1"/>
  <c r="AA943" i="1"/>
  <c r="AA944" i="1"/>
  <c r="AA937" i="1"/>
  <c r="AA938" i="1"/>
  <c r="AA939" i="1"/>
  <c r="AA930" i="1"/>
  <c r="AA931" i="1"/>
  <c r="AA932" i="1"/>
  <c r="AA933" i="1"/>
  <c r="AA934" i="1"/>
  <c r="AA935" i="1"/>
  <c r="AA936" i="1"/>
  <c r="AA925" i="1"/>
  <c r="AA926" i="1"/>
  <c r="AA927" i="1"/>
  <c r="AA928" i="1"/>
  <c r="AA929" i="1"/>
  <c r="AA921" i="1"/>
  <c r="AA922" i="1"/>
  <c r="AA923" i="1"/>
  <c r="AA924" i="1"/>
  <c r="AA920" i="1"/>
  <c r="AA919" i="1"/>
  <c r="AA916" i="1"/>
  <c r="AA917" i="1"/>
  <c r="AA918" i="1"/>
  <c r="AA912" i="1"/>
  <c r="AA913" i="1"/>
  <c r="AA914" i="1"/>
  <c r="AA915" i="1"/>
  <c r="AA908" i="1"/>
  <c r="AA909" i="1"/>
  <c r="AA910" i="1"/>
  <c r="AA911" i="1"/>
  <c r="AA905" i="1"/>
  <c r="AA906" i="1"/>
  <c r="AA907" i="1"/>
  <c r="AA904" i="1"/>
  <c r="AA903" i="1"/>
  <c r="AA900" i="1"/>
  <c r="AA901" i="1"/>
  <c r="AA902" i="1"/>
  <c r="AA898" i="1"/>
  <c r="AA899" i="1"/>
  <c r="AA895" i="1"/>
  <c r="AA896" i="1"/>
  <c r="AA897" i="1"/>
  <c r="AA891" i="1"/>
  <c r="AA892" i="1"/>
  <c r="AA893" i="1"/>
  <c r="AA894" i="1"/>
  <c r="AA889" i="1"/>
  <c r="AA890" i="1"/>
  <c r="AA884" i="1"/>
  <c r="AA885" i="1"/>
  <c r="AA886" i="1"/>
  <c r="AA887" i="1"/>
  <c r="AA888" i="1"/>
  <c r="AA880" i="1"/>
  <c r="AA881" i="1"/>
  <c r="AA882" i="1"/>
  <c r="AA883" i="1"/>
  <c r="AA877" i="1"/>
  <c r="AA878" i="1"/>
  <c r="AA879" i="1"/>
  <c r="AA873" i="1"/>
  <c r="AA874" i="1"/>
  <c r="AA875" i="1"/>
  <c r="AA876" i="1"/>
  <c r="AA872" i="1"/>
  <c r="AA870" i="1"/>
  <c r="AA871" i="1"/>
  <c r="AA867" i="1"/>
  <c r="AA868" i="1"/>
  <c r="AA869" i="1"/>
  <c r="AA866" i="1"/>
  <c r="AA861" i="1"/>
  <c r="AA862" i="1"/>
  <c r="AA863" i="1"/>
  <c r="AA864" i="1"/>
  <c r="AA865" i="1"/>
  <c r="AA860" i="1"/>
  <c r="AA855" i="1"/>
  <c r="AA856" i="1"/>
  <c r="AA857" i="1"/>
  <c r="AA858" i="1"/>
  <c r="AA859" i="1"/>
  <c r="AA852" i="1"/>
  <c r="AA853" i="1"/>
  <c r="AA854" i="1"/>
  <c r="AA849" i="1"/>
  <c r="AA850" i="1"/>
  <c r="AA851" i="1"/>
  <c r="AA848" i="1"/>
  <c r="AA846" i="1"/>
  <c r="AA847" i="1"/>
  <c r="AA841" i="1"/>
  <c r="AA842" i="1"/>
  <c r="AA843" i="1"/>
  <c r="AA844" i="1"/>
  <c r="AA845" i="1"/>
  <c r="AA838" i="1"/>
  <c r="AA839" i="1"/>
  <c r="AA840" i="1"/>
  <c r="AA837" i="1"/>
  <c r="AA836" i="1"/>
  <c r="AA835" i="1"/>
  <c r="AA830" i="1"/>
  <c r="AA831" i="1"/>
  <c r="AA832" i="1"/>
  <c r="AA833" i="1"/>
  <c r="AA834" i="1"/>
  <c r="AA829" i="1"/>
  <c r="AA828" i="1"/>
  <c r="AA827" i="1"/>
  <c r="AA822" i="1"/>
  <c r="AA823" i="1"/>
  <c r="AA824" i="1"/>
  <c r="AA825" i="1"/>
  <c r="AA826" i="1"/>
  <c r="AA816" i="1"/>
  <c r="AA817" i="1"/>
  <c r="AA818" i="1"/>
  <c r="AA819" i="1"/>
  <c r="AA820" i="1"/>
  <c r="AA821" i="1"/>
  <c r="AA812" i="1"/>
  <c r="AA813" i="1"/>
  <c r="AA814" i="1"/>
  <c r="AA815" i="1"/>
  <c r="AA811" i="1"/>
  <c r="AA810" i="1"/>
  <c r="AA806" i="1"/>
  <c r="AA807" i="1"/>
  <c r="AA808" i="1"/>
  <c r="AA809" i="1"/>
  <c r="AA800" i="1"/>
  <c r="AA801" i="1"/>
  <c r="AA802" i="1"/>
  <c r="AA803" i="1"/>
  <c r="AA804" i="1"/>
  <c r="AA805" i="1"/>
  <c r="AA794" i="1"/>
  <c r="AA795" i="1"/>
  <c r="AA796" i="1"/>
  <c r="AA797" i="1"/>
  <c r="AA798" i="1"/>
  <c r="AA799" i="1"/>
  <c r="AA789" i="1"/>
  <c r="AA790" i="1"/>
  <c r="AA791" i="1"/>
  <c r="AA792" i="1"/>
  <c r="AA793" i="1"/>
  <c r="AA788" i="1"/>
  <c r="AA787" i="1"/>
  <c r="AA786" i="1"/>
  <c r="AA782" i="1"/>
  <c r="AA783" i="1"/>
  <c r="AA784" i="1"/>
  <c r="AA785" i="1"/>
  <c r="AA778" i="1"/>
  <c r="AA779" i="1"/>
  <c r="AA780" i="1"/>
  <c r="AA781" i="1"/>
  <c r="AA771" i="1"/>
  <c r="AA772" i="1"/>
  <c r="AA773" i="1"/>
  <c r="AA774" i="1"/>
  <c r="AA775" i="1"/>
  <c r="AA776" i="1"/>
  <c r="AA777" i="1"/>
  <c r="AA768" i="1"/>
  <c r="AA769" i="1"/>
  <c r="AA770" i="1"/>
  <c r="AA765" i="1"/>
  <c r="AA766" i="1"/>
  <c r="AA767" i="1"/>
  <c r="AA764" i="1"/>
  <c r="AA759" i="1"/>
  <c r="AA760" i="1"/>
  <c r="AA761" i="1"/>
  <c r="AA762" i="1"/>
  <c r="AA763" i="1"/>
  <c r="AA752" i="1"/>
  <c r="AA753" i="1"/>
  <c r="AA754" i="1"/>
  <c r="AA755" i="1"/>
  <c r="AA756" i="1"/>
  <c r="AA757" i="1"/>
  <c r="AA758" i="1"/>
  <c r="AA750" i="1"/>
  <c r="AA751" i="1"/>
  <c r="AA746" i="1"/>
  <c r="AA747" i="1"/>
  <c r="AA748" i="1"/>
  <c r="AA749" i="1"/>
  <c r="AA744" i="1"/>
  <c r="AA745" i="1"/>
  <c r="AA739" i="1"/>
  <c r="AA740" i="1"/>
  <c r="AA741" i="1"/>
  <c r="AA742" i="1"/>
  <c r="AA743" i="1"/>
  <c r="AA733" i="1"/>
  <c r="AA734" i="1"/>
  <c r="AA735" i="1"/>
  <c r="AA736" i="1"/>
  <c r="AA737" i="1"/>
  <c r="AA738" i="1"/>
  <c r="AA730" i="1"/>
  <c r="AA731" i="1"/>
  <c r="AA732" i="1"/>
  <c r="AA729" i="1"/>
  <c r="AA724" i="1"/>
  <c r="AA725" i="1"/>
  <c r="AA726" i="1"/>
  <c r="AA727" i="1"/>
  <c r="AA728" i="1"/>
  <c r="AA721" i="1"/>
  <c r="AA722" i="1"/>
  <c r="AA723" i="1"/>
  <c r="AA718" i="1"/>
  <c r="AA719" i="1"/>
  <c r="AA720" i="1"/>
  <c r="AA716" i="1"/>
  <c r="AA717" i="1"/>
  <c r="AA713" i="1"/>
  <c r="AA714" i="1"/>
  <c r="AA715" i="1"/>
  <c r="AA712" i="1"/>
  <c r="AA706" i="1"/>
  <c r="AA707" i="1"/>
  <c r="AA708" i="1"/>
  <c r="AA709" i="1"/>
  <c r="AA710" i="1"/>
  <c r="AA711" i="1"/>
  <c r="AA702" i="1"/>
  <c r="AA703" i="1"/>
  <c r="AA704" i="1"/>
  <c r="AA705" i="1"/>
  <c r="AA699" i="1"/>
  <c r="AA700" i="1"/>
  <c r="AA701" i="1"/>
  <c r="AA695" i="1"/>
  <c r="AA696" i="1"/>
  <c r="AA697" i="1"/>
  <c r="AA698" i="1"/>
  <c r="AA693" i="1"/>
  <c r="AA694" i="1"/>
  <c r="AA691" i="1"/>
  <c r="AA692" i="1"/>
  <c r="AA685" i="1"/>
  <c r="AA686" i="1"/>
  <c r="AA687" i="1"/>
  <c r="AA688" i="1"/>
  <c r="AA689" i="1"/>
  <c r="AA690" i="1"/>
  <c r="AA676" i="1"/>
  <c r="AA677" i="1"/>
  <c r="AA678" i="1"/>
  <c r="AA679" i="1"/>
  <c r="AA680" i="1"/>
  <c r="AA681" i="1"/>
  <c r="AA682" i="1"/>
  <c r="AA683" i="1"/>
  <c r="AA684" i="1"/>
  <c r="AA670" i="1"/>
  <c r="AA671" i="1"/>
  <c r="AA672" i="1"/>
  <c r="AA673" i="1"/>
  <c r="AA674" i="1"/>
  <c r="AA675" i="1"/>
  <c r="AA666" i="1"/>
  <c r="AA667" i="1"/>
  <c r="AA668" i="1"/>
  <c r="AA669" i="1"/>
  <c r="AA659" i="1"/>
  <c r="AA660" i="1"/>
  <c r="AA661" i="1"/>
  <c r="AA662" i="1"/>
  <c r="AA663" i="1"/>
  <c r="AA664" i="1"/>
  <c r="AA665" i="1"/>
  <c r="AA653" i="1"/>
  <c r="AA654" i="1"/>
  <c r="AA655" i="1"/>
  <c r="AA656" i="1"/>
  <c r="AA657" i="1"/>
  <c r="AA658" i="1"/>
  <c r="AA649" i="1"/>
  <c r="AA650" i="1"/>
  <c r="AA651" i="1"/>
  <c r="AA652" i="1"/>
  <c r="AA648" i="1"/>
  <c r="AA647" i="1"/>
  <c r="AA646" i="1"/>
  <c r="AA644" i="1"/>
  <c r="AA645" i="1"/>
  <c r="AA640" i="1"/>
  <c r="AA641" i="1"/>
  <c r="AA642" i="1"/>
  <c r="AA643" i="1"/>
  <c r="AA632" i="1"/>
  <c r="AA633" i="1"/>
  <c r="AA634" i="1"/>
  <c r="AA635" i="1"/>
  <c r="AA636" i="1"/>
  <c r="AA637" i="1"/>
  <c r="AA638" i="1"/>
  <c r="AA639" i="1"/>
  <c r="AA627" i="1"/>
  <c r="AA628" i="1"/>
  <c r="AA629" i="1"/>
  <c r="AA630" i="1"/>
  <c r="AA631" i="1"/>
  <c r="AA621" i="1"/>
  <c r="AA622" i="1"/>
  <c r="AA623" i="1"/>
  <c r="AA624" i="1"/>
  <c r="AA625" i="1"/>
  <c r="AA626" i="1"/>
  <c r="AA620" i="1"/>
  <c r="AA617" i="1"/>
  <c r="AA618" i="1"/>
  <c r="AA619" i="1"/>
  <c r="AA613" i="1"/>
  <c r="AA614" i="1"/>
  <c r="AA615" i="1"/>
  <c r="AA616" i="1"/>
  <c r="AA609" i="1"/>
  <c r="AA610" i="1"/>
  <c r="AA611" i="1"/>
  <c r="AA612" i="1"/>
  <c r="AA607" i="1"/>
  <c r="AA608" i="1"/>
  <c r="AA602" i="1"/>
  <c r="AA603" i="1"/>
  <c r="AA604" i="1"/>
  <c r="AA605" i="1"/>
  <c r="AA606" i="1"/>
  <c r="AA600" i="1"/>
  <c r="AA601" i="1"/>
  <c r="AA596" i="1"/>
  <c r="AA597" i="1"/>
  <c r="AA598" i="1"/>
  <c r="AA599" i="1"/>
  <c r="AA591" i="1"/>
  <c r="AA592" i="1"/>
  <c r="AA593" i="1"/>
  <c r="AA594" i="1"/>
  <c r="AA595" i="1"/>
  <c r="AA587" i="1"/>
  <c r="AA588" i="1"/>
  <c r="AA589" i="1"/>
  <c r="AA590" i="1"/>
  <c r="AA583" i="1"/>
  <c r="AA584" i="1"/>
  <c r="AA585" i="1"/>
  <c r="AA586" i="1"/>
  <c r="AA582" i="1"/>
  <c r="AA580" i="1"/>
  <c r="AA581" i="1"/>
  <c r="AA573" i="1"/>
  <c r="AA574" i="1"/>
  <c r="AA575" i="1"/>
  <c r="AA576" i="1"/>
  <c r="AA577" i="1"/>
  <c r="AA578" i="1"/>
  <c r="AA579" i="1"/>
  <c r="AA569" i="1"/>
  <c r="AA570" i="1"/>
  <c r="AA571" i="1"/>
  <c r="AA572" i="1"/>
  <c r="AA564" i="1"/>
  <c r="AA565" i="1"/>
  <c r="AA566" i="1"/>
  <c r="AA567" i="1"/>
  <c r="AA568" i="1"/>
  <c r="AA558" i="1"/>
  <c r="AA559" i="1"/>
  <c r="AA560" i="1"/>
  <c r="AA561" i="1"/>
  <c r="AA562" i="1"/>
  <c r="AA563" i="1"/>
  <c r="AA555" i="1"/>
  <c r="AA556" i="1"/>
  <c r="AA557" i="1"/>
  <c r="AA554" i="1"/>
  <c r="AA549" i="1"/>
  <c r="AA550" i="1"/>
  <c r="AA551" i="1"/>
  <c r="AA552" i="1"/>
  <c r="AA553" i="1"/>
  <c r="AA544" i="1"/>
  <c r="AA545" i="1"/>
  <c r="AA546" i="1"/>
  <c r="AA547" i="1"/>
  <c r="AA548" i="1"/>
  <c r="AA539" i="1"/>
  <c r="AA540" i="1"/>
  <c r="AA541" i="1"/>
  <c r="AA542" i="1"/>
  <c r="AA543" i="1"/>
  <c r="AA535" i="1"/>
  <c r="AA536" i="1"/>
  <c r="AA537" i="1"/>
  <c r="AA538" i="1"/>
  <c r="AA531" i="1"/>
  <c r="AA532" i="1"/>
  <c r="AA533" i="1"/>
  <c r="AA534" i="1"/>
  <c r="AA530" i="1"/>
  <c r="AA529" i="1"/>
  <c r="AA526" i="1"/>
  <c r="AA527" i="1"/>
  <c r="AA528" i="1"/>
  <c r="AA523" i="1"/>
  <c r="AA524" i="1"/>
  <c r="AA525" i="1"/>
  <c r="AA521" i="1"/>
  <c r="AA522" i="1"/>
  <c r="AA520" i="1"/>
  <c r="AA517" i="1"/>
  <c r="AA518" i="1"/>
  <c r="AA519" i="1"/>
  <c r="AA512" i="1"/>
  <c r="AA513" i="1"/>
  <c r="AA514" i="1"/>
  <c r="AA515" i="1"/>
  <c r="AA516" i="1"/>
  <c r="AA507" i="1"/>
  <c r="AA508" i="1"/>
  <c r="AA509" i="1"/>
  <c r="AA510" i="1"/>
  <c r="AA511" i="1"/>
  <c r="AA506" i="1"/>
  <c r="AA500" i="1"/>
  <c r="AA501" i="1"/>
  <c r="AA502" i="1"/>
  <c r="AA503" i="1"/>
  <c r="AA504" i="1"/>
  <c r="AA505" i="1"/>
  <c r="AA498" i="1"/>
  <c r="AA499" i="1"/>
  <c r="AA497" i="1"/>
  <c r="AA496" i="1"/>
  <c r="AA493" i="1"/>
  <c r="AA494" i="1"/>
  <c r="AA495" i="1"/>
  <c r="AA489" i="1"/>
  <c r="AA490" i="1"/>
  <c r="AA491" i="1"/>
  <c r="AA492" i="1"/>
  <c r="AA485" i="1"/>
  <c r="AA486" i="1"/>
  <c r="AA487" i="1"/>
  <c r="AA488" i="1"/>
  <c r="AA480" i="1"/>
  <c r="AA481" i="1"/>
  <c r="AA482" i="1"/>
  <c r="AA483" i="1"/>
  <c r="AA484" i="1"/>
  <c r="AA474" i="1"/>
  <c r="AA475" i="1"/>
  <c r="AA476" i="1"/>
  <c r="AA477" i="1"/>
  <c r="AA478" i="1"/>
  <c r="AA479" i="1"/>
  <c r="AA470" i="1"/>
  <c r="AA471" i="1"/>
  <c r="AA472" i="1"/>
  <c r="AA473" i="1"/>
  <c r="AA467" i="1"/>
  <c r="AA468" i="1"/>
  <c r="AA469" i="1"/>
  <c r="AA464" i="1"/>
  <c r="AA465" i="1"/>
  <c r="AA466" i="1"/>
  <c r="AA461" i="1"/>
  <c r="AA462" i="1"/>
  <c r="AA463" i="1"/>
  <c r="AA459" i="1"/>
  <c r="AA460" i="1"/>
  <c r="AA457" i="1"/>
  <c r="AA458" i="1"/>
  <c r="AA453" i="1"/>
  <c r="AA454" i="1"/>
  <c r="AA455" i="1"/>
  <c r="AA456" i="1"/>
  <c r="AA450" i="1"/>
  <c r="AA451" i="1"/>
  <c r="AA452" i="1"/>
  <c r="AA447" i="1"/>
  <c r="AA448" i="1"/>
  <c r="AA449" i="1"/>
  <c r="AA443" i="1"/>
  <c r="AA444" i="1"/>
  <c r="AA445" i="1"/>
  <c r="AA446" i="1"/>
  <c r="AA442" i="1"/>
  <c r="AA437" i="1"/>
  <c r="AA438" i="1"/>
  <c r="AA439" i="1"/>
  <c r="AA440" i="1"/>
  <c r="AA441" i="1"/>
  <c r="AA435" i="1"/>
  <c r="AA436" i="1"/>
  <c r="AA432" i="1"/>
  <c r="AA433" i="1"/>
  <c r="AA434" i="1"/>
  <c r="AA427" i="1"/>
  <c r="AA428" i="1"/>
  <c r="AA429" i="1"/>
  <c r="AA430" i="1"/>
  <c r="AA431" i="1"/>
  <c r="AA419" i="1"/>
  <c r="AA420" i="1"/>
  <c r="AA421" i="1"/>
  <c r="AA422" i="1"/>
  <c r="AA423" i="1"/>
  <c r="AA424" i="1"/>
  <c r="AA425" i="1"/>
  <c r="AA426" i="1"/>
  <c r="AA418" i="1"/>
  <c r="AA413" i="1"/>
  <c r="AA414" i="1"/>
  <c r="AA415" i="1"/>
  <c r="AA416" i="1"/>
  <c r="AA417" i="1"/>
  <c r="AA412" i="1"/>
  <c r="AA408" i="1"/>
  <c r="AA409" i="1"/>
  <c r="AA410" i="1"/>
  <c r="AA403" i="1"/>
  <c r="AA404" i="1"/>
  <c r="AA405" i="1"/>
  <c r="AA406" i="1"/>
  <c r="AA407" i="1"/>
  <c r="AA399" i="1"/>
  <c r="AA400" i="1"/>
  <c r="AA401" i="1"/>
  <c r="AA402" i="1"/>
  <c r="AA398" i="1"/>
  <c r="AA392" i="1"/>
  <c r="AA393" i="1"/>
  <c r="AA394" i="1"/>
  <c r="AA395" i="1"/>
  <c r="AA396" i="1"/>
  <c r="AA397" i="1"/>
  <c r="AA389" i="1"/>
  <c r="AA390" i="1"/>
  <c r="AA391" i="1"/>
  <c r="AA385" i="1"/>
  <c r="AA386" i="1"/>
  <c r="AA387" i="1"/>
  <c r="AA388" i="1"/>
  <c r="AA379" i="1"/>
  <c r="AA380" i="1"/>
  <c r="AA381" i="1"/>
  <c r="AA382" i="1"/>
  <c r="AA383" i="1"/>
  <c r="AA384" i="1"/>
  <c r="AA373" i="1"/>
  <c r="AA374" i="1"/>
  <c r="AA375" i="1"/>
  <c r="AA376" i="1"/>
  <c r="AA377" i="1"/>
  <c r="AA378" i="1"/>
  <c r="AA372" i="1"/>
  <c r="AA371" i="1"/>
  <c r="AA368" i="1"/>
  <c r="AA369" i="1"/>
  <c r="AA370" i="1"/>
  <c r="AA363" i="1"/>
  <c r="AA364" i="1"/>
  <c r="AA365" i="1"/>
  <c r="AA366" i="1"/>
  <c r="AA367" i="1"/>
  <c r="AA360" i="1"/>
  <c r="AA361" i="1"/>
  <c r="AA362" i="1"/>
  <c r="AA355" i="1"/>
  <c r="AA356" i="1"/>
  <c r="AA357" i="1"/>
  <c r="AA358" i="1"/>
  <c r="AA351" i="1"/>
  <c r="AA352" i="1"/>
  <c r="AA353" i="1"/>
  <c r="AA354" i="1"/>
  <c r="AA346" i="1"/>
  <c r="AA347" i="1"/>
  <c r="AA348" i="1"/>
  <c r="AA349" i="1"/>
  <c r="AA350" i="1"/>
  <c r="AA342" i="1"/>
  <c r="AA343" i="1"/>
  <c r="AA344" i="1"/>
  <c r="AA345" i="1"/>
  <c r="AA340" i="1"/>
  <c r="AA341" i="1"/>
  <c r="AA337" i="1"/>
  <c r="AA338" i="1"/>
  <c r="AA339" i="1"/>
  <c r="AA332" i="1"/>
  <c r="AA333" i="1"/>
  <c r="AA334" i="1"/>
  <c r="AA336" i="1"/>
  <c r="AA328" i="1"/>
  <c r="AA329" i="1"/>
  <c r="AA330" i="1"/>
  <c r="AA331" i="1"/>
  <c r="AA323" i="1"/>
  <c r="AA324" i="1"/>
  <c r="AA325" i="1"/>
  <c r="AA326" i="1"/>
  <c r="AA327" i="1"/>
  <c r="AA319" i="1"/>
  <c r="AA320" i="1"/>
  <c r="AA321" i="1"/>
  <c r="AA322" i="1"/>
  <c r="AA318" i="1"/>
  <c r="AA317" i="1"/>
  <c r="AA312" i="1"/>
  <c r="AA313" i="1"/>
  <c r="AA314" i="1"/>
  <c r="AA315" i="1"/>
  <c r="AA316" i="1"/>
  <c r="AA306" i="1"/>
  <c r="AA307" i="1"/>
  <c r="AA308" i="1"/>
  <c r="AA309" i="1"/>
  <c r="AA310" i="1"/>
  <c r="AA311" i="1"/>
  <c r="AA301" i="1"/>
  <c r="AA302" i="1"/>
  <c r="AA303" i="1"/>
  <c r="AA304" i="1"/>
  <c r="AA305" i="1"/>
  <c r="AA296" i="1"/>
  <c r="AA297" i="1"/>
  <c r="AA298" i="1"/>
  <c r="AA299" i="1"/>
  <c r="AA300" i="1"/>
  <c r="AA294" i="1"/>
  <c r="AA295" i="1"/>
  <c r="AA283" i="1"/>
  <c r="AA284" i="1"/>
  <c r="AA285" i="1"/>
  <c r="AA286" i="1"/>
  <c r="AA287" i="1"/>
  <c r="AA288" i="1"/>
  <c r="AA289" i="1"/>
  <c r="AA290" i="1"/>
  <c r="AA291" i="1"/>
  <c r="AA292" i="1"/>
  <c r="AA293" i="1"/>
  <c r="AA277" i="1"/>
  <c r="AA278" i="1"/>
  <c r="AA279" i="1"/>
  <c r="AA280" i="1"/>
  <c r="AA281" i="1"/>
  <c r="AA282" i="1"/>
  <c r="AA270" i="1"/>
  <c r="AA271" i="1"/>
  <c r="AA272" i="1"/>
  <c r="AA273" i="1"/>
  <c r="AA274" i="1"/>
  <c r="AA275" i="1"/>
  <c r="AA276" i="1"/>
  <c r="AA267" i="1"/>
  <c r="AA268" i="1"/>
  <c r="AA269" i="1"/>
  <c r="AA262" i="1"/>
  <c r="AA263" i="1"/>
  <c r="AA264" i="1"/>
  <c r="AA265" i="1"/>
  <c r="AA266" i="1"/>
  <c r="AA257" i="1"/>
  <c r="AA258" i="1"/>
  <c r="AA259" i="1"/>
  <c r="AA260" i="1"/>
  <c r="AA261" i="1"/>
  <c r="AA249" i="1"/>
  <c r="AA250" i="1"/>
  <c r="AA251" i="1"/>
  <c r="AA252" i="1"/>
  <c r="AA253" i="1"/>
  <c r="AA254" i="1"/>
  <c r="AA255" i="1"/>
  <c r="AA256" i="1"/>
  <c r="AA242" i="1"/>
  <c r="AA243" i="1"/>
  <c r="AA244" i="1"/>
  <c r="AA245" i="1"/>
  <c r="AA246" i="1"/>
  <c r="AA247" i="1"/>
  <c r="AA248" i="1"/>
  <c r="AA240" i="1"/>
  <c r="AA241" i="1"/>
  <c r="AA236" i="1"/>
  <c r="AA237" i="1"/>
  <c r="AA238" i="1"/>
  <c r="AA239" i="1"/>
  <c r="AA235" i="1"/>
  <c r="AA234" i="1"/>
  <c r="AA230" i="1"/>
  <c r="AA231" i="1"/>
  <c r="AA232" i="1"/>
  <c r="AA233" i="1"/>
  <c r="AA226" i="1"/>
  <c r="AA227" i="1"/>
  <c r="AA228" i="1"/>
  <c r="AA222" i="1"/>
  <c r="AA223" i="1"/>
  <c r="AA224" i="1"/>
  <c r="AA225" i="1"/>
  <c r="AA220" i="1"/>
  <c r="AA221" i="1"/>
  <c r="AA217" i="1"/>
  <c r="AA218" i="1"/>
  <c r="AA219" i="1"/>
  <c r="AA214" i="1"/>
  <c r="AA215" i="1"/>
  <c r="AA210" i="1"/>
  <c r="AA211" i="1"/>
  <c r="AA212" i="1"/>
  <c r="AA213" i="1"/>
  <c r="AA207" i="1"/>
  <c r="AA208" i="1"/>
  <c r="AA206" i="1"/>
  <c r="AA203" i="1"/>
  <c r="AA204" i="1"/>
  <c r="AA205" i="1"/>
  <c r="AA202" i="1"/>
  <c r="AA199" i="1"/>
  <c r="AA200" i="1"/>
  <c r="AA201" i="1"/>
  <c r="AA197" i="1"/>
  <c r="AA198" i="1"/>
  <c r="AA195" i="1"/>
  <c r="AA196" i="1"/>
  <c r="AA194" i="1"/>
  <c r="AA192" i="1"/>
  <c r="AA190" i="1"/>
  <c r="AA191" i="1"/>
  <c r="AA188" i="1"/>
  <c r="AA185" i="1"/>
  <c r="AA182" i="1"/>
  <c r="AA183" i="1"/>
  <c r="AA181" i="1"/>
  <c r="AA179" i="1"/>
  <c r="AA180" i="1"/>
  <c r="AA175" i="1"/>
  <c r="AA176" i="1"/>
  <c r="AA177" i="1"/>
  <c r="AA178" i="1"/>
  <c r="AA174" i="1"/>
  <c r="AA172" i="1"/>
  <c r="AA173" i="1"/>
  <c r="AA171" i="1"/>
  <c r="AA168" i="1"/>
  <c r="AA169" i="1"/>
  <c r="AA170" i="1"/>
  <c r="AA166" i="1"/>
  <c r="AA167" i="1"/>
  <c r="AA164" i="1"/>
  <c r="AA165" i="1"/>
  <c r="AA163" i="1"/>
  <c r="AA161" i="1"/>
  <c r="AA162" i="1"/>
  <c r="AA159" i="1"/>
  <c r="AA160" i="1"/>
  <c r="AA156" i="1"/>
  <c r="AA157" i="1"/>
  <c r="AA158" i="1"/>
  <c r="AA155" i="1"/>
  <c r="AA153" i="1"/>
  <c r="AA151" i="1"/>
  <c r="AA152" i="1"/>
  <c r="AA149" i="1"/>
  <c r="AA150" i="1"/>
  <c r="AA147" i="1"/>
  <c r="AA148" i="1"/>
  <c r="AA144" i="1"/>
  <c r="AA145" i="1"/>
  <c r="AA146" i="1"/>
  <c r="AA141" i="1"/>
  <c r="AA142" i="1"/>
  <c r="AA143" i="1"/>
  <c r="AA140" i="1"/>
  <c r="AA138" i="1"/>
  <c r="AA139" i="1"/>
  <c r="AA130" i="1"/>
  <c r="AA131" i="1"/>
  <c r="AA132" i="1"/>
  <c r="AA133" i="1"/>
  <c r="AA134" i="1"/>
  <c r="AA135" i="1"/>
  <c r="AA136" i="1"/>
  <c r="AA128" i="1"/>
  <c r="AA129" i="1"/>
  <c r="AA126" i="1"/>
  <c r="AA127" i="1"/>
  <c r="AA124" i="1"/>
  <c r="AA125" i="1"/>
  <c r="AA122" i="1"/>
  <c r="AA123" i="1"/>
  <c r="AA121" i="1"/>
  <c r="AA118" i="1"/>
  <c r="AA119" i="1"/>
  <c r="AA120" i="1"/>
  <c r="AA117" i="1"/>
  <c r="AA115" i="1"/>
  <c r="AA116" i="1"/>
  <c r="AA112" i="1"/>
  <c r="AA113" i="1"/>
  <c r="AA114" i="1"/>
  <c r="AA111" i="1"/>
  <c r="AA110" i="1"/>
  <c r="AA108" i="1"/>
  <c r="AA109" i="1"/>
  <c r="AA105" i="1"/>
  <c r="AA106" i="1"/>
  <c r="AA107" i="1"/>
  <c r="AA103" i="1"/>
  <c r="AA104" i="1"/>
  <c r="AA102" i="1"/>
  <c r="AA101" i="1"/>
  <c r="AA100" i="1"/>
  <c r="AA99" i="1"/>
  <c r="AA98" i="1"/>
  <c r="AA97" i="1"/>
  <c r="AA95" i="1"/>
  <c r="AA96" i="1"/>
  <c r="AA94" i="1"/>
  <c r="AA92" i="1"/>
  <c r="AA93" i="1"/>
  <c r="AA90" i="1"/>
  <c r="AA91" i="1"/>
  <c r="AA89" i="1"/>
  <c r="AA88" i="1"/>
  <c r="AA87" i="1"/>
  <c r="AA86" i="1"/>
  <c r="AA84" i="1"/>
  <c r="AA83" i="1"/>
  <c r="AA82" i="1"/>
  <c r="AA81" i="1"/>
  <c r="AA79" i="1"/>
  <c r="AA80" i="1"/>
  <c r="AA77" i="1"/>
  <c r="AA78" i="1"/>
  <c r="AA76" i="1"/>
  <c r="AA75" i="1"/>
  <c r="AA74" i="1"/>
  <c r="AA73" i="1"/>
  <c r="AA72" i="1"/>
  <c r="AA71" i="1"/>
  <c r="AA70" i="1"/>
  <c r="AA69" i="1"/>
  <c r="AA67" i="1"/>
  <c r="AA68" i="1"/>
  <c r="AA65" i="1"/>
  <c r="AA66" i="1"/>
  <c r="AA64" i="1"/>
  <c r="AA63" i="1"/>
  <c r="AA62" i="1"/>
  <c r="AA61" i="1"/>
  <c r="AA59" i="1"/>
  <c r="AA60" i="1"/>
  <c r="AA58" i="1"/>
  <c r="AA57" i="1"/>
  <c r="AA56" i="1"/>
  <c r="AA55" i="1"/>
  <c r="AA53" i="1"/>
  <c r="AA54" i="1"/>
  <c r="AA52" i="1"/>
  <c r="AA51" i="1"/>
  <c r="AA50" i="1"/>
  <c r="AA48" i="1"/>
  <c r="AA49" i="1"/>
  <c r="AA47" i="1"/>
  <c r="AA44" i="1"/>
  <c r="AA43" i="1"/>
  <c r="AA41" i="1"/>
  <c r="AA42" i="1"/>
  <c r="AA40" i="1"/>
  <c r="AA39" i="1"/>
  <c r="AA38" i="1"/>
  <c r="AA36" i="1"/>
  <c r="AA37" i="1"/>
  <c r="AA35" i="1"/>
  <c r="AA33" i="1"/>
  <c r="AA34" i="1"/>
  <c r="AA31" i="1"/>
  <c r="AA32" i="1"/>
  <c r="AA30" i="1"/>
  <c r="AA29" i="1"/>
  <c r="AA28" i="1"/>
  <c r="AA27" i="1"/>
  <c r="AA25" i="1"/>
  <c r="AA26" i="1"/>
  <c r="AA24" i="1"/>
  <c r="AA23" i="1"/>
  <c r="AA22" i="1"/>
  <c r="AA21" i="1"/>
  <c r="AA20" i="1"/>
  <c r="AA19" i="1"/>
  <c r="AA18" i="1"/>
  <c r="AA17" i="1"/>
  <c r="AA16" i="1"/>
  <c r="AA15" i="1"/>
  <c r="AA14" i="1"/>
  <c r="AA13" i="1"/>
  <c r="AA12" i="1"/>
  <c r="AA11" i="1"/>
  <c r="AA10" i="1"/>
  <c r="AA9" i="1"/>
  <c r="AA2342" i="1"/>
  <c r="AA2343" i="1"/>
  <c r="AA2344" i="1"/>
  <c r="AA2345" i="1"/>
  <c r="AA2346" i="1"/>
  <c r="AA2347" i="1"/>
  <c r="AA2348" i="1"/>
  <c r="AA2349" i="1"/>
  <c r="AA2350" i="1"/>
  <c r="AA2351" i="1"/>
  <c r="AA2352" i="1"/>
  <c r="AB42" i="1"/>
  <c r="AB43" i="1"/>
  <c r="C2337" i="1" l="1"/>
  <c r="C2338" i="1"/>
  <c r="C2339" i="1"/>
  <c r="C2340" i="1"/>
  <c r="C2341" i="1"/>
  <c r="I2022" i="1" l="1"/>
  <c r="AA2022" i="1" s="1"/>
  <c r="I2015" i="1"/>
  <c r="AA2015" i="1" s="1"/>
  <c r="I2038" i="1"/>
  <c r="AA2038" i="1" s="1"/>
  <c r="I2037" i="1"/>
  <c r="AA2037" i="1" s="1"/>
  <c r="I2033" i="1"/>
  <c r="AA2033" i="1" s="1"/>
  <c r="I2029" i="1"/>
  <c r="AA2029" i="1" s="1"/>
  <c r="I2028" i="1"/>
  <c r="AA2028" i="1" s="1"/>
  <c r="I2027" i="1"/>
  <c r="AA2027" i="1" s="1"/>
  <c r="I2051" i="1"/>
  <c r="AA2051" i="1" s="1"/>
  <c r="I2050" i="1"/>
  <c r="I2060" i="1"/>
  <c r="AA2060" i="1" s="1"/>
  <c r="AA2086" i="1" l="1"/>
  <c r="AA2050" i="1"/>
  <c r="A38" i="11"/>
  <c r="A87" i="11"/>
  <c r="A36" i="11"/>
  <c r="A35" i="11"/>
  <c r="A34" i="11"/>
  <c r="A84" i="11"/>
  <c r="A32" i="11"/>
  <c r="A31" i="11"/>
  <c r="A30" i="11"/>
  <c r="A29" i="11"/>
  <c r="A28" i="11"/>
  <c r="A27" i="11"/>
  <c r="A26" i="11"/>
  <c r="A68" i="11"/>
  <c r="A24" i="11"/>
  <c r="A23" i="11"/>
  <c r="A22" i="11"/>
  <c r="A21" i="11"/>
  <c r="A46" i="11"/>
  <c r="A19" i="11"/>
  <c r="A18" i="11"/>
  <c r="A17" i="11"/>
  <c r="A16" i="11"/>
  <c r="A15" i="11"/>
  <c r="A90" i="11"/>
  <c r="A13" i="11"/>
  <c r="A12" i="11"/>
  <c r="A11" i="11"/>
  <c r="A10" i="11"/>
  <c r="A9" i="11"/>
  <c r="A8" i="11"/>
  <c r="A7" i="11"/>
  <c r="A55" i="11"/>
  <c r="W5" i="11"/>
  <c r="V5" i="11"/>
  <c r="U5" i="11"/>
  <c r="A5" i="11"/>
  <c r="W4" i="11"/>
  <c r="V4" i="11"/>
  <c r="U4" i="11"/>
  <c r="A4" i="11"/>
  <c r="W3" i="11"/>
  <c r="V3" i="11"/>
  <c r="U3" i="11"/>
  <c r="A3" i="11"/>
  <c r="W2" i="11"/>
  <c r="V2" i="11"/>
  <c r="U2" i="11"/>
  <c r="A2" i="11"/>
  <c r="W1" i="11"/>
  <c r="V1" i="11"/>
  <c r="U1" i="11"/>
  <c r="A1" i="11"/>
  <c r="W2331" i="1"/>
  <c r="W2332" i="1"/>
  <c r="W2333" i="1"/>
  <c r="W2334" i="1"/>
  <c r="W2335" i="1"/>
  <c r="X2335" i="1"/>
  <c r="Y2335" i="1"/>
  <c r="W2336" i="1"/>
  <c r="X2336" i="1"/>
  <c r="Y2336" i="1"/>
  <c r="W2337" i="1"/>
  <c r="X2337" i="1"/>
  <c r="Y2337" i="1"/>
  <c r="W2338" i="1"/>
  <c r="X2338" i="1"/>
  <c r="Y2338" i="1"/>
  <c r="W2339" i="1"/>
  <c r="X2339" i="1"/>
  <c r="Y2339" i="1"/>
  <c r="W2340" i="1"/>
  <c r="X2340" i="1"/>
  <c r="Y2340" i="1"/>
  <c r="W2341" i="1"/>
  <c r="X2341" i="1"/>
  <c r="Y2341" i="1"/>
  <c r="C2331" i="1"/>
  <c r="C2332" i="1"/>
  <c r="C2333" i="1"/>
  <c r="C2334" i="1"/>
  <c r="C2335" i="1"/>
  <c r="C2336" i="1"/>
  <c r="C2316" i="1"/>
  <c r="C2317" i="1"/>
  <c r="C2319" i="1"/>
  <c r="C2320" i="1"/>
  <c r="C2327" i="1"/>
  <c r="C2328" i="1"/>
  <c r="C2329" i="1"/>
  <c r="C2323" i="1"/>
  <c r="C2324" i="1"/>
  <c r="C2325" i="1"/>
  <c r="C2326" i="1"/>
  <c r="W2316" i="1"/>
  <c r="X2316" i="1"/>
  <c r="Y2316" i="1"/>
  <c r="W2317" i="1"/>
  <c r="X2317" i="1"/>
  <c r="Y2317" i="1"/>
  <c r="W2318" i="1"/>
  <c r="X2318" i="1"/>
  <c r="Y2318" i="1"/>
  <c r="W2319" i="1"/>
  <c r="X2319" i="1"/>
  <c r="Y2319" i="1"/>
  <c r="W2320" i="1"/>
  <c r="X2320" i="1"/>
  <c r="Y2320" i="1"/>
  <c r="W2321" i="1"/>
  <c r="X2321" i="1"/>
  <c r="Y2321" i="1"/>
  <c r="W2322" i="1"/>
  <c r="X2322" i="1"/>
  <c r="Y2322" i="1"/>
  <c r="W2323" i="1"/>
  <c r="X2323" i="1"/>
  <c r="Y2323" i="1"/>
  <c r="C2318" i="1"/>
  <c r="C2321" i="1"/>
  <c r="C2322" i="1"/>
  <c r="C2330" i="1"/>
  <c r="C2300" i="1"/>
  <c r="W2324" i="1"/>
  <c r="X2324" i="1"/>
  <c r="Y2324" i="1"/>
  <c r="W2325" i="1"/>
  <c r="X2325" i="1"/>
  <c r="Y2325" i="1"/>
  <c r="W2326" i="1"/>
  <c r="X2326" i="1"/>
  <c r="Y2326" i="1"/>
  <c r="W2327" i="1"/>
  <c r="X2327" i="1"/>
  <c r="Y2327" i="1"/>
  <c r="W2328" i="1"/>
  <c r="X2328" i="1"/>
  <c r="Y2328" i="1"/>
  <c r="W2329" i="1"/>
  <c r="X2329" i="1"/>
  <c r="Y2329" i="1"/>
  <c r="W2330" i="1"/>
  <c r="X2330" i="1"/>
  <c r="Y2330" i="1"/>
  <c r="W2300" i="1"/>
  <c r="X2300" i="1"/>
  <c r="Y2300" i="1"/>
  <c r="W2301" i="1"/>
  <c r="X2301" i="1"/>
  <c r="Y2301" i="1"/>
  <c r="C2301" i="1"/>
  <c r="W2302" i="1"/>
  <c r="X2302" i="1"/>
  <c r="Y2302" i="1"/>
  <c r="W2303" i="1"/>
  <c r="X2303" i="1"/>
  <c r="Y2303" i="1"/>
  <c r="W2304" i="1"/>
  <c r="X2304" i="1"/>
  <c r="Y2304" i="1"/>
  <c r="W2305" i="1"/>
  <c r="X2305" i="1"/>
  <c r="Y2305" i="1"/>
  <c r="W2306" i="1"/>
  <c r="X2306" i="1"/>
  <c r="Y2306" i="1"/>
  <c r="W2307" i="1"/>
  <c r="X2307" i="1"/>
  <c r="Y2307" i="1"/>
  <c r="W2308" i="1"/>
  <c r="X2308" i="1"/>
  <c r="Y2308" i="1"/>
  <c r="W2309" i="1"/>
  <c r="X2309" i="1"/>
  <c r="Y2309" i="1"/>
  <c r="W2310" i="1"/>
  <c r="X2310" i="1"/>
  <c r="Y2310" i="1"/>
  <c r="W2311" i="1"/>
  <c r="X2311" i="1"/>
  <c r="Y2311" i="1"/>
  <c r="W2312" i="1"/>
  <c r="X2312" i="1"/>
  <c r="Y2312" i="1"/>
  <c r="W2313" i="1"/>
  <c r="X2313" i="1"/>
  <c r="Y2313" i="1"/>
  <c r="W2314" i="1"/>
  <c r="X2314" i="1"/>
  <c r="Y2314" i="1"/>
  <c r="W2315" i="1"/>
  <c r="X2315" i="1"/>
  <c r="Y2315" i="1"/>
  <c r="C2302" i="1"/>
  <c r="C2303" i="1"/>
  <c r="C2304" i="1"/>
  <c r="C2305" i="1"/>
  <c r="C2306" i="1"/>
  <c r="C2307" i="1"/>
  <c r="C2308" i="1"/>
  <c r="C2309" i="1"/>
  <c r="C2310" i="1"/>
  <c r="C2311" i="1"/>
  <c r="C2312" i="1"/>
  <c r="C2313" i="1"/>
  <c r="C2314" i="1"/>
  <c r="C2315" i="1"/>
  <c r="W2286" i="1" l="1"/>
  <c r="X2286" i="1"/>
  <c r="Y2286" i="1"/>
  <c r="W2287" i="1"/>
  <c r="X2287" i="1"/>
  <c r="Y2287" i="1"/>
  <c r="W2288" i="1"/>
  <c r="X2288" i="1"/>
  <c r="Y2288" i="1"/>
  <c r="W2289" i="1"/>
  <c r="X2289" i="1"/>
  <c r="Y2289" i="1"/>
  <c r="W2290" i="1"/>
  <c r="X2290" i="1"/>
  <c r="Y2290" i="1"/>
  <c r="W2291" i="1"/>
  <c r="X2291" i="1"/>
  <c r="Y2291" i="1"/>
  <c r="W2292" i="1"/>
  <c r="X2292" i="1"/>
  <c r="Y2292" i="1"/>
  <c r="W2293" i="1"/>
  <c r="X2293" i="1"/>
  <c r="Y2293" i="1"/>
  <c r="W2294" i="1"/>
  <c r="X2294" i="1"/>
  <c r="Y2294" i="1"/>
  <c r="W2295" i="1"/>
  <c r="X2295" i="1"/>
  <c r="Y2295" i="1"/>
  <c r="W2296" i="1"/>
  <c r="X2296" i="1"/>
  <c r="Y2296" i="1"/>
  <c r="W2297" i="1"/>
  <c r="X2297" i="1"/>
  <c r="Y2297" i="1"/>
  <c r="W2298" i="1"/>
  <c r="X2298" i="1"/>
  <c r="Y2298" i="1"/>
  <c r="W2299" i="1"/>
  <c r="X2299" i="1"/>
  <c r="Y2299" i="1"/>
  <c r="W2285" i="1"/>
  <c r="X2285" i="1"/>
  <c r="Y2285" i="1"/>
  <c r="W2283" i="1"/>
  <c r="X2283" i="1"/>
  <c r="Y2283" i="1"/>
  <c r="W2284" i="1"/>
  <c r="X2284" i="1"/>
  <c r="Y2284" i="1"/>
  <c r="C2286" i="1"/>
  <c r="C2287" i="1"/>
  <c r="C2288" i="1"/>
  <c r="C2289" i="1"/>
  <c r="C2290" i="1"/>
  <c r="C2291" i="1"/>
  <c r="C2292" i="1"/>
  <c r="C2293" i="1"/>
  <c r="C2294" i="1"/>
  <c r="C2295" i="1"/>
  <c r="C2296" i="1"/>
  <c r="C2297" i="1"/>
  <c r="C2298" i="1"/>
  <c r="C2299" i="1"/>
  <c r="C2285" i="1"/>
  <c r="C2283" i="1"/>
  <c r="C2284" i="1"/>
  <c r="W2271" i="1" l="1"/>
  <c r="X2271" i="1"/>
  <c r="Y2271" i="1"/>
  <c r="W2272" i="1"/>
  <c r="X2272" i="1"/>
  <c r="Y2272" i="1"/>
  <c r="W2273" i="1"/>
  <c r="X2273" i="1"/>
  <c r="Y2273" i="1"/>
  <c r="W2274" i="1"/>
  <c r="X2274" i="1"/>
  <c r="Y2274" i="1"/>
  <c r="W2275" i="1"/>
  <c r="X2275" i="1"/>
  <c r="Y2275" i="1"/>
  <c r="W2276" i="1"/>
  <c r="X2276" i="1"/>
  <c r="Y2276" i="1"/>
  <c r="W2277" i="1"/>
  <c r="X2277" i="1"/>
  <c r="Y2277" i="1"/>
  <c r="W2278" i="1"/>
  <c r="X2278" i="1"/>
  <c r="Y2278" i="1"/>
  <c r="W2279" i="1"/>
  <c r="X2279" i="1"/>
  <c r="Y2279" i="1"/>
  <c r="W2280" i="1"/>
  <c r="X2280" i="1"/>
  <c r="Y2280" i="1"/>
  <c r="W2281" i="1"/>
  <c r="X2281" i="1"/>
  <c r="Y2281" i="1"/>
  <c r="W2282" i="1"/>
  <c r="X2282" i="1"/>
  <c r="Y2282" i="1"/>
  <c r="C2271" i="1"/>
  <c r="C2272" i="1"/>
  <c r="C2273" i="1"/>
  <c r="C2274" i="1"/>
  <c r="C2275" i="1"/>
  <c r="C2276" i="1"/>
  <c r="C2277" i="1"/>
  <c r="C2278" i="1"/>
  <c r="C2279" i="1"/>
  <c r="C2280" i="1"/>
  <c r="C2281" i="1"/>
  <c r="C2282" i="1"/>
  <c r="W2263" i="1"/>
  <c r="X2263" i="1"/>
  <c r="Y2263" i="1"/>
  <c r="W2264" i="1"/>
  <c r="X2264" i="1"/>
  <c r="Y2264" i="1"/>
  <c r="W2265" i="1"/>
  <c r="X2265" i="1"/>
  <c r="Y2265" i="1"/>
  <c r="W2266" i="1"/>
  <c r="X2266" i="1"/>
  <c r="Y2266" i="1"/>
  <c r="W2267" i="1"/>
  <c r="X2267" i="1"/>
  <c r="Y2267" i="1"/>
  <c r="W2268" i="1"/>
  <c r="X2268" i="1"/>
  <c r="Y2268" i="1"/>
  <c r="W2269" i="1"/>
  <c r="X2269" i="1"/>
  <c r="Y2269" i="1"/>
  <c r="W2270" i="1"/>
  <c r="X2270" i="1"/>
  <c r="Y2270" i="1"/>
  <c r="C2263" i="1"/>
  <c r="C2264" i="1"/>
  <c r="C2265" i="1"/>
  <c r="C2266" i="1"/>
  <c r="C2267" i="1"/>
  <c r="C2268" i="1"/>
  <c r="C2269" i="1"/>
  <c r="C2270" i="1"/>
  <c r="Y2261" i="1"/>
  <c r="W2250" i="1" l="1"/>
  <c r="X2250" i="1"/>
  <c r="Y2250" i="1"/>
  <c r="W2251" i="1"/>
  <c r="X2251" i="1"/>
  <c r="Y2251" i="1"/>
  <c r="W2252" i="1"/>
  <c r="X2252" i="1"/>
  <c r="Y2252" i="1"/>
  <c r="W2253" i="1"/>
  <c r="X2253" i="1"/>
  <c r="Y2253" i="1"/>
  <c r="W2254" i="1"/>
  <c r="X2254" i="1"/>
  <c r="Y2254" i="1"/>
  <c r="W2255" i="1"/>
  <c r="X2255" i="1"/>
  <c r="Y2255" i="1"/>
  <c r="W2256" i="1"/>
  <c r="X2256" i="1"/>
  <c r="Y2256" i="1"/>
  <c r="W2257" i="1"/>
  <c r="X2257" i="1"/>
  <c r="Y2257" i="1"/>
  <c r="W2258" i="1"/>
  <c r="X2258" i="1"/>
  <c r="Y2258" i="1"/>
  <c r="W2259" i="1"/>
  <c r="X2259" i="1"/>
  <c r="Y2259" i="1"/>
  <c r="W2260" i="1"/>
  <c r="X2260" i="1"/>
  <c r="Y2260" i="1"/>
  <c r="W2261" i="1"/>
  <c r="X2261" i="1"/>
  <c r="W2262" i="1"/>
  <c r="X2262" i="1"/>
  <c r="Y2262" i="1"/>
  <c r="C2249" i="1"/>
  <c r="C2250" i="1"/>
  <c r="C2251" i="1"/>
  <c r="C2252" i="1"/>
  <c r="C2253" i="1"/>
  <c r="C2254" i="1"/>
  <c r="C2255" i="1"/>
  <c r="C2256" i="1"/>
  <c r="C2257" i="1"/>
  <c r="C2258" i="1"/>
  <c r="C2259" i="1"/>
  <c r="C2260" i="1"/>
  <c r="C2261" i="1"/>
  <c r="C2262" i="1"/>
  <c r="W2249" i="1"/>
  <c r="X2249" i="1"/>
  <c r="Y2249" i="1"/>
  <c r="W2236" i="1"/>
  <c r="X2236" i="1"/>
  <c r="Y2236" i="1"/>
  <c r="W2237" i="1"/>
  <c r="X2237" i="1"/>
  <c r="Y2237" i="1"/>
  <c r="W2238" i="1"/>
  <c r="X2238" i="1"/>
  <c r="Y2238" i="1"/>
  <c r="W2239" i="1"/>
  <c r="X2239" i="1"/>
  <c r="Y2239" i="1"/>
  <c r="C2236" i="1"/>
  <c r="C2237" i="1"/>
  <c r="C2238" i="1"/>
  <c r="C2239" i="1"/>
  <c r="C2240" i="1"/>
  <c r="C2241" i="1"/>
  <c r="C2242" i="1"/>
  <c r="C2243" i="1"/>
  <c r="C2244" i="1"/>
  <c r="C2245" i="1"/>
  <c r="C2246" i="1"/>
  <c r="C2247" i="1"/>
  <c r="C2248" i="1"/>
  <c r="W2240" i="1"/>
  <c r="X2240" i="1"/>
  <c r="Y2240" i="1"/>
  <c r="W2241" i="1"/>
  <c r="X2241" i="1"/>
  <c r="Y2241" i="1"/>
  <c r="W2242" i="1"/>
  <c r="X2242" i="1"/>
  <c r="Y2242" i="1"/>
  <c r="W2243" i="1"/>
  <c r="X2243" i="1"/>
  <c r="Y2243" i="1"/>
  <c r="W2244" i="1"/>
  <c r="X2244" i="1"/>
  <c r="Y2244" i="1"/>
  <c r="W2245" i="1"/>
  <c r="X2245" i="1"/>
  <c r="Y2245" i="1"/>
  <c r="W2246" i="1"/>
  <c r="X2246" i="1"/>
  <c r="Y2246" i="1"/>
  <c r="W2247" i="1"/>
  <c r="X2247" i="1"/>
  <c r="Y2247" i="1"/>
  <c r="W2248" i="1"/>
  <c r="X2248" i="1"/>
  <c r="Y2248" i="1"/>
  <c r="W2225" i="1"/>
  <c r="X2225" i="1"/>
  <c r="Y2225" i="1"/>
  <c r="C2225" i="1"/>
  <c r="X2227" i="1"/>
  <c r="Y2227" i="1"/>
  <c r="X2228" i="1"/>
  <c r="Y2228" i="1"/>
  <c r="X2229" i="1"/>
  <c r="Y2229" i="1"/>
  <c r="X2230" i="1"/>
  <c r="Y2230" i="1"/>
  <c r="X2231" i="1"/>
  <c r="Y2231" i="1"/>
  <c r="X2232" i="1"/>
  <c r="Y2232" i="1"/>
  <c r="X2233" i="1"/>
  <c r="Y2233" i="1"/>
  <c r="X2234" i="1"/>
  <c r="Y2234" i="1"/>
  <c r="X2235" i="1"/>
  <c r="Y2235" i="1"/>
  <c r="X2224" i="1"/>
  <c r="Y2224" i="1"/>
  <c r="X2223" i="1"/>
  <c r="Y2223" i="1"/>
  <c r="C2230" i="1"/>
  <c r="C2231" i="1"/>
  <c r="C2232" i="1"/>
  <c r="C2233" i="1"/>
  <c r="C2234" i="1"/>
  <c r="C2235" i="1"/>
  <c r="C2224" i="1"/>
  <c r="C2223" i="1"/>
  <c r="W2230" i="1"/>
  <c r="W2231" i="1"/>
  <c r="W2232" i="1"/>
  <c r="W2233" i="1"/>
  <c r="W2234" i="1"/>
  <c r="W2235" i="1"/>
  <c r="W2224" i="1"/>
  <c r="W2223" i="1"/>
  <c r="W2226" i="1"/>
  <c r="X2226" i="1"/>
  <c r="Y2226" i="1"/>
  <c r="W2227" i="1"/>
  <c r="W2228" i="1"/>
  <c r="W2229" i="1"/>
  <c r="W2209" i="1"/>
  <c r="X2209" i="1"/>
  <c r="Y2209" i="1"/>
  <c r="C2226" i="1"/>
  <c r="C2227" i="1"/>
  <c r="C2228" i="1"/>
  <c r="C2229" i="1"/>
  <c r="W2210" i="1"/>
  <c r="X2210" i="1"/>
  <c r="Y2210" i="1"/>
  <c r="W2211" i="1"/>
  <c r="X2211" i="1"/>
  <c r="Y2211" i="1"/>
  <c r="W2212" i="1"/>
  <c r="X2212" i="1"/>
  <c r="Y2212" i="1"/>
  <c r="W2213" i="1"/>
  <c r="X2213" i="1"/>
  <c r="Y2213" i="1"/>
  <c r="W2214" i="1"/>
  <c r="X2214" i="1"/>
  <c r="Y2214" i="1"/>
  <c r="W2215" i="1"/>
  <c r="X2215" i="1"/>
  <c r="Y2215" i="1"/>
  <c r="C2209" i="1"/>
  <c r="C2210" i="1"/>
  <c r="C2211" i="1"/>
  <c r="C2212" i="1"/>
  <c r="C2213" i="1"/>
  <c r="C2214" i="1"/>
  <c r="C2215" i="1"/>
  <c r="C2216" i="1"/>
  <c r="C2217" i="1"/>
  <c r="W2216" i="1" l="1"/>
  <c r="X2216" i="1"/>
  <c r="Y2216" i="1"/>
  <c r="W2217" i="1"/>
  <c r="X2217" i="1"/>
  <c r="Y2217" i="1"/>
  <c r="W2218" i="1"/>
  <c r="X2218" i="1"/>
  <c r="Y2218" i="1"/>
  <c r="W2219" i="1"/>
  <c r="X2219" i="1"/>
  <c r="Y2219" i="1"/>
  <c r="W2220" i="1"/>
  <c r="X2220" i="1"/>
  <c r="Y2220" i="1"/>
  <c r="W2221" i="1"/>
  <c r="X2221" i="1"/>
  <c r="Y2221" i="1"/>
  <c r="W2222" i="1"/>
  <c r="X2222" i="1"/>
  <c r="Y2222" i="1"/>
  <c r="C2218" i="1"/>
  <c r="C2219" i="1"/>
  <c r="C2220" i="1"/>
  <c r="C2221" i="1"/>
  <c r="C2222" i="1"/>
  <c r="C2200" i="1"/>
  <c r="C2201" i="1"/>
  <c r="C2202" i="1"/>
  <c r="C2203" i="1"/>
  <c r="C2204" i="1"/>
  <c r="C2205" i="1"/>
  <c r="C2206" i="1"/>
  <c r="C2207" i="1"/>
  <c r="C2208" i="1"/>
  <c r="W2200" i="1"/>
  <c r="X2200" i="1"/>
  <c r="Y2200" i="1"/>
  <c r="W2201" i="1"/>
  <c r="X2201" i="1"/>
  <c r="Y2201" i="1"/>
  <c r="W2202" i="1"/>
  <c r="X2202" i="1"/>
  <c r="Y2202" i="1"/>
  <c r="W2203" i="1"/>
  <c r="X2203" i="1"/>
  <c r="Y2203" i="1"/>
  <c r="W2204" i="1"/>
  <c r="X2204" i="1"/>
  <c r="Y2204" i="1"/>
  <c r="W2205" i="1"/>
  <c r="X2205" i="1"/>
  <c r="Y2205" i="1"/>
  <c r="W2206" i="1"/>
  <c r="X2206" i="1"/>
  <c r="Y2206" i="1"/>
  <c r="W2207" i="1"/>
  <c r="X2207" i="1"/>
  <c r="Y2207" i="1"/>
  <c r="W2208" i="1"/>
  <c r="X2208" i="1"/>
  <c r="Y2208" i="1"/>
  <c r="C2190" i="1" l="1"/>
  <c r="C2191" i="1"/>
  <c r="C2192" i="1"/>
  <c r="C2193" i="1"/>
  <c r="C2194" i="1"/>
  <c r="C2195" i="1"/>
  <c r="C2196" i="1"/>
  <c r="C2197" i="1"/>
  <c r="C2198" i="1"/>
  <c r="C2199" i="1"/>
  <c r="W2190" i="1"/>
  <c r="X2190" i="1"/>
  <c r="Y2190" i="1"/>
  <c r="W2191" i="1"/>
  <c r="X2191" i="1"/>
  <c r="Y2191" i="1"/>
  <c r="W2192" i="1"/>
  <c r="X2192" i="1"/>
  <c r="Y2192" i="1"/>
  <c r="W2193" i="1"/>
  <c r="X2193" i="1"/>
  <c r="Y2193" i="1"/>
  <c r="W2194" i="1"/>
  <c r="X2194" i="1"/>
  <c r="Y2194" i="1"/>
  <c r="W2195" i="1"/>
  <c r="X2195" i="1"/>
  <c r="Y2195" i="1"/>
  <c r="W2196" i="1"/>
  <c r="X2196" i="1"/>
  <c r="Y2196" i="1"/>
  <c r="W2197" i="1"/>
  <c r="X2197" i="1"/>
  <c r="Y2197" i="1"/>
  <c r="W2198" i="1"/>
  <c r="X2198" i="1"/>
  <c r="Y2198" i="1"/>
  <c r="W2199" i="1"/>
  <c r="X2199" i="1"/>
  <c r="Y2199" i="1"/>
  <c r="W2189" i="1"/>
  <c r="W2178" i="1"/>
  <c r="X2178" i="1"/>
  <c r="Y2178" i="1"/>
  <c r="W2179" i="1"/>
  <c r="X2179" i="1"/>
  <c r="Y2179" i="1"/>
  <c r="W2180" i="1"/>
  <c r="X2180" i="1"/>
  <c r="Y2180" i="1"/>
  <c r="W2181" i="1"/>
  <c r="X2181" i="1"/>
  <c r="Y2181" i="1"/>
  <c r="W2182" i="1"/>
  <c r="X2182" i="1"/>
  <c r="Y2182" i="1"/>
  <c r="W2183" i="1"/>
  <c r="X2183" i="1"/>
  <c r="Y2183" i="1"/>
  <c r="W2184" i="1"/>
  <c r="X2184" i="1"/>
  <c r="Y2184" i="1"/>
  <c r="W2185" i="1"/>
  <c r="X2185" i="1"/>
  <c r="Y2185" i="1"/>
  <c r="W2186" i="1"/>
  <c r="X2186" i="1"/>
  <c r="Y2186" i="1"/>
  <c r="W2187" i="1"/>
  <c r="X2187" i="1"/>
  <c r="Y2187" i="1"/>
  <c r="C2178" i="1"/>
  <c r="C2179" i="1"/>
  <c r="C2180" i="1"/>
  <c r="C2181" i="1"/>
  <c r="C2182" i="1"/>
  <c r="C2183" i="1"/>
  <c r="C2184" i="1"/>
  <c r="C2185" i="1"/>
  <c r="W2188" i="1"/>
  <c r="X2188" i="1"/>
  <c r="Y2188" i="1"/>
  <c r="X2189" i="1"/>
  <c r="Y2189" i="1"/>
  <c r="W2169" i="1"/>
  <c r="X2169" i="1"/>
  <c r="Y2169" i="1"/>
  <c r="W2170" i="1"/>
  <c r="X2170" i="1"/>
  <c r="Y2170" i="1"/>
  <c r="W2171" i="1"/>
  <c r="X2171" i="1"/>
  <c r="Y2171" i="1"/>
  <c r="W2172" i="1"/>
  <c r="X2172" i="1"/>
  <c r="Y2172" i="1"/>
  <c r="W2173" i="1"/>
  <c r="X2173" i="1"/>
  <c r="Y2173" i="1"/>
  <c r="C2186" i="1"/>
  <c r="C2187" i="1"/>
  <c r="C2188" i="1"/>
  <c r="C2189" i="1"/>
  <c r="C2169" i="1"/>
  <c r="C2170" i="1"/>
  <c r="C2171" i="1"/>
  <c r="C2172" i="1"/>
  <c r="C2173" i="1"/>
  <c r="W2175" i="1" l="1"/>
  <c r="W2176" i="1"/>
  <c r="W2177" i="1"/>
  <c r="W2168" i="1"/>
  <c r="W2174" i="1"/>
  <c r="W2166" i="1"/>
  <c r="W2167" i="1"/>
  <c r="C2174" i="1"/>
  <c r="C2175" i="1"/>
  <c r="C2176" i="1"/>
  <c r="C2177" i="1"/>
  <c r="C2168" i="1"/>
  <c r="C2166" i="1"/>
  <c r="C2167" i="1"/>
  <c r="X2174" i="1"/>
  <c r="Y2174" i="1"/>
  <c r="X2175" i="1"/>
  <c r="Y2175" i="1"/>
  <c r="X2176" i="1"/>
  <c r="Y2176" i="1"/>
  <c r="X2177" i="1"/>
  <c r="Y2177" i="1"/>
  <c r="X2168" i="1"/>
  <c r="Y2168" i="1"/>
  <c r="X2166" i="1"/>
  <c r="Y2166" i="1"/>
  <c r="X2167" i="1"/>
  <c r="Y2167" i="1"/>
  <c r="W2153" i="1"/>
  <c r="X2153" i="1"/>
  <c r="Y2153" i="1"/>
  <c r="W2154" i="1"/>
  <c r="X2154" i="1"/>
  <c r="Y2154" i="1"/>
  <c r="C2153" i="1"/>
  <c r="C2154" i="1"/>
  <c r="W2155" i="1"/>
  <c r="C2155" i="1"/>
  <c r="C2156" i="1"/>
  <c r="C2157" i="1"/>
  <c r="X2155" i="1"/>
  <c r="Y2155" i="1"/>
  <c r="X2156" i="1"/>
  <c r="Y2156" i="1"/>
  <c r="X2157" i="1"/>
  <c r="Y2157" i="1"/>
  <c r="X2158" i="1"/>
  <c r="Y2158" i="1"/>
  <c r="X2159" i="1"/>
  <c r="Y2159" i="1"/>
  <c r="X2160" i="1"/>
  <c r="Y2160" i="1"/>
  <c r="W2156" i="1"/>
  <c r="W2157" i="1"/>
  <c r="W2158" i="1"/>
  <c r="W2159" i="1"/>
  <c r="W2160" i="1"/>
  <c r="W2161" i="1"/>
  <c r="C2158" i="1"/>
  <c r="C2159" i="1"/>
  <c r="X2161" i="1" l="1"/>
  <c r="Y2161" i="1"/>
  <c r="W2162" i="1"/>
  <c r="X2162" i="1"/>
  <c r="Y2162" i="1"/>
  <c r="W2163" i="1"/>
  <c r="X2163" i="1"/>
  <c r="Y2163" i="1"/>
  <c r="W2164" i="1"/>
  <c r="X2164" i="1"/>
  <c r="Y2164" i="1"/>
  <c r="W2165" i="1"/>
  <c r="X2165" i="1"/>
  <c r="Y2165" i="1"/>
  <c r="W2137" i="1"/>
  <c r="X2137" i="1"/>
  <c r="Y2137" i="1"/>
  <c r="W2138" i="1"/>
  <c r="X2138" i="1"/>
  <c r="Y2138" i="1"/>
  <c r="W2139" i="1"/>
  <c r="X2139" i="1"/>
  <c r="Y2139" i="1"/>
  <c r="W2140" i="1"/>
  <c r="X2140" i="1"/>
  <c r="Y2140" i="1"/>
  <c r="W2141" i="1"/>
  <c r="X2141" i="1"/>
  <c r="Y2141" i="1"/>
  <c r="W2142" i="1"/>
  <c r="X2142" i="1"/>
  <c r="Y2142" i="1"/>
  <c r="W2143" i="1"/>
  <c r="X2143" i="1"/>
  <c r="Y2143" i="1"/>
  <c r="W2144" i="1"/>
  <c r="X2144" i="1"/>
  <c r="Y2144" i="1"/>
  <c r="W2145" i="1"/>
  <c r="X2145" i="1"/>
  <c r="Y2145" i="1"/>
  <c r="W2146" i="1"/>
  <c r="X2146" i="1"/>
  <c r="Y2146" i="1"/>
  <c r="W2147" i="1"/>
  <c r="X2147" i="1"/>
  <c r="Y2147" i="1"/>
  <c r="C2160" i="1"/>
  <c r="C2161" i="1"/>
  <c r="C2162" i="1"/>
  <c r="C2163" i="1"/>
  <c r="C2164" i="1"/>
  <c r="C2165" i="1"/>
  <c r="C2137" i="1"/>
  <c r="C2138" i="1"/>
  <c r="C2139" i="1"/>
  <c r="C2140" i="1"/>
  <c r="C2141" i="1"/>
  <c r="C2142" i="1"/>
  <c r="C2143" i="1"/>
  <c r="C2144" i="1"/>
  <c r="C2145" i="1"/>
  <c r="C2146" i="1"/>
  <c r="C2147" i="1"/>
  <c r="C2148" i="1"/>
  <c r="C2149" i="1"/>
  <c r="C2150" i="1"/>
  <c r="C2151" i="1"/>
  <c r="C2152" i="1"/>
  <c r="W2148" i="1"/>
  <c r="X2148" i="1"/>
  <c r="Y2148" i="1"/>
  <c r="W2149" i="1"/>
  <c r="X2149" i="1"/>
  <c r="Y2149" i="1"/>
  <c r="W2150" i="1"/>
  <c r="X2150" i="1"/>
  <c r="Y2150" i="1"/>
  <c r="W2151" i="1"/>
  <c r="X2151" i="1"/>
  <c r="Y2151" i="1"/>
  <c r="W2152" i="1"/>
  <c r="X2152" i="1"/>
  <c r="Y2152" i="1"/>
  <c r="W2115" i="1"/>
  <c r="X2115" i="1"/>
  <c r="Y2115" i="1"/>
  <c r="W2116" i="1"/>
  <c r="X2116" i="1"/>
  <c r="Y2116" i="1"/>
  <c r="W2117" i="1"/>
  <c r="X2117" i="1"/>
  <c r="Y2117" i="1"/>
  <c r="W2118" i="1"/>
  <c r="X2118" i="1"/>
  <c r="Y2118" i="1"/>
  <c r="W2119" i="1"/>
  <c r="X2119" i="1"/>
  <c r="Y2119" i="1"/>
  <c r="W2120" i="1"/>
  <c r="X2120" i="1"/>
  <c r="Y2120" i="1"/>
  <c r="W2121" i="1"/>
  <c r="X2121" i="1"/>
  <c r="Y2121" i="1"/>
  <c r="C2116" i="1"/>
  <c r="C2117" i="1"/>
  <c r="C2118" i="1"/>
  <c r="C2115" i="1"/>
  <c r="C2119" i="1"/>
  <c r="C2120" i="1"/>
  <c r="C2121" i="1"/>
  <c r="C2123" i="1"/>
  <c r="C2124" i="1"/>
  <c r="C2125" i="1"/>
  <c r="C2126" i="1"/>
  <c r="C2127" i="1"/>
  <c r="C2128" i="1"/>
  <c r="C2129" i="1"/>
  <c r="C2130" i="1"/>
  <c r="C2131" i="1"/>
  <c r="C2122" i="1"/>
  <c r="C2132" i="1"/>
  <c r="C2133" i="1"/>
  <c r="C2134" i="1"/>
  <c r="C2135" i="1"/>
  <c r="C2136" i="1"/>
  <c r="W2122" i="1"/>
  <c r="X2122" i="1"/>
  <c r="Y2122" i="1"/>
  <c r="W2123" i="1"/>
  <c r="X2123" i="1"/>
  <c r="Y2123" i="1"/>
  <c r="W2124" i="1"/>
  <c r="X2124" i="1"/>
  <c r="Y2124" i="1"/>
  <c r="W2125" i="1"/>
  <c r="X2125" i="1"/>
  <c r="Y2125" i="1"/>
  <c r="W2126" i="1"/>
  <c r="X2126" i="1"/>
  <c r="Y2126" i="1"/>
  <c r="W2127" i="1"/>
  <c r="X2127" i="1"/>
  <c r="Y2127" i="1"/>
  <c r="W2128" i="1"/>
  <c r="X2128" i="1"/>
  <c r="Y2128" i="1"/>
  <c r="W2129" i="1"/>
  <c r="X2129" i="1"/>
  <c r="Y2129" i="1"/>
  <c r="W2130" i="1"/>
  <c r="X2130" i="1"/>
  <c r="Y2130" i="1"/>
  <c r="W2131" i="1"/>
  <c r="X2131" i="1"/>
  <c r="Y2131" i="1"/>
  <c r="W2132" i="1"/>
  <c r="X2132" i="1"/>
  <c r="Y2132" i="1"/>
  <c r="W2133" i="1"/>
  <c r="X2133" i="1"/>
  <c r="Y2133" i="1"/>
  <c r="W2134" i="1"/>
  <c r="X2134" i="1"/>
  <c r="Y2134" i="1"/>
  <c r="W2135" i="1"/>
  <c r="X2135" i="1"/>
  <c r="Y2135" i="1"/>
  <c r="W2136" i="1"/>
  <c r="X2136" i="1"/>
  <c r="Y2136" i="1"/>
  <c r="C2108" i="1"/>
  <c r="C2109" i="1"/>
  <c r="C2110" i="1"/>
  <c r="C2111" i="1"/>
  <c r="W2100" i="1" l="1"/>
  <c r="W2101" i="1"/>
  <c r="W2102" i="1"/>
  <c r="W2103" i="1"/>
  <c r="W2104" i="1"/>
  <c r="W2105" i="1"/>
  <c r="W2106" i="1"/>
  <c r="W2107" i="1"/>
  <c r="W2108" i="1"/>
  <c r="W2109" i="1"/>
  <c r="W2110" i="1"/>
  <c r="W2111" i="1"/>
  <c r="W2112" i="1"/>
  <c r="W2113" i="1"/>
  <c r="W2114" i="1"/>
  <c r="C2100" i="1"/>
  <c r="C2101" i="1"/>
  <c r="C2102" i="1"/>
  <c r="C2103" i="1"/>
  <c r="C2104" i="1"/>
  <c r="C2105" i="1"/>
  <c r="C2106" i="1"/>
  <c r="C2107" i="1"/>
  <c r="C2112" i="1"/>
  <c r="C2113" i="1"/>
  <c r="X2100" i="1"/>
  <c r="Y2100" i="1"/>
  <c r="X2101" i="1"/>
  <c r="Y2101" i="1"/>
  <c r="X2102" i="1"/>
  <c r="Y2102" i="1"/>
  <c r="X2103" i="1"/>
  <c r="Y2103" i="1"/>
  <c r="X2104" i="1"/>
  <c r="Y2104" i="1"/>
  <c r="X2105" i="1"/>
  <c r="Y2105" i="1"/>
  <c r="X2106" i="1"/>
  <c r="Y2106" i="1"/>
  <c r="X2107" i="1"/>
  <c r="Y2107" i="1"/>
  <c r="X2108" i="1"/>
  <c r="Y2108" i="1"/>
  <c r="X2109" i="1"/>
  <c r="Y2109" i="1"/>
  <c r="X2110" i="1"/>
  <c r="Y2110" i="1"/>
  <c r="X2111" i="1"/>
  <c r="Y2111" i="1"/>
  <c r="X2112" i="1"/>
  <c r="Y2112" i="1"/>
  <c r="X2113" i="1"/>
  <c r="Y2113" i="1"/>
  <c r="X2114" i="1"/>
  <c r="Y2114" i="1"/>
  <c r="W2083" i="1"/>
  <c r="X2083" i="1"/>
  <c r="Y2083" i="1"/>
  <c r="W2084" i="1"/>
  <c r="X2084" i="1"/>
  <c r="Y2084" i="1"/>
  <c r="W2085" i="1"/>
  <c r="X2085" i="1"/>
  <c r="Y2085" i="1"/>
  <c r="W2086" i="1"/>
  <c r="X2086" i="1"/>
  <c r="Y2086" i="1"/>
  <c r="W2087" i="1"/>
  <c r="X2087" i="1"/>
  <c r="Y2087" i="1"/>
  <c r="W2088" i="1"/>
  <c r="X2088" i="1"/>
  <c r="Y2088" i="1"/>
  <c r="W2089" i="1"/>
  <c r="X2089" i="1"/>
  <c r="Y2089" i="1"/>
  <c r="W2090" i="1"/>
  <c r="X2090" i="1"/>
  <c r="Y2090" i="1"/>
  <c r="W2091" i="1"/>
  <c r="X2091" i="1"/>
  <c r="Y2091" i="1"/>
  <c r="W2092" i="1"/>
  <c r="X2092" i="1"/>
  <c r="Y2092" i="1"/>
  <c r="W2093" i="1"/>
  <c r="X2093" i="1"/>
  <c r="Y2093" i="1"/>
  <c r="W2094" i="1"/>
  <c r="X2094" i="1"/>
  <c r="Y2094" i="1"/>
  <c r="W2095" i="1"/>
  <c r="X2095" i="1"/>
  <c r="Y2095" i="1"/>
  <c r="W2096" i="1"/>
  <c r="X2096" i="1"/>
  <c r="Y2096" i="1"/>
  <c r="W2097" i="1"/>
  <c r="X2097" i="1"/>
  <c r="Y2097" i="1"/>
  <c r="W2098" i="1"/>
  <c r="X2098" i="1"/>
  <c r="Y2098" i="1"/>
  <c r="W2099" i="1"/>
  <c r="X2099" i="1"/>
  <c r="Y2099" i="1"/>
  <c r="W2077" i="1"/>
  <c r="X2077" i="1"/>
  <c r="Y2077" i="1"/>
  <c r="W2078" i="1"/>
  <c r="X2078" i="1"/>
  <c r="Y2078" i="1"/>
  <c r="W2079" i="1"/>
  <c r="X2079" i="1"/>
  <c r="Y2079" i="1"/>
  <c r="W2080" i="1"/>
  <c r="X2080" i="1"/>
  <c r="Y2080" i="1"/>
  <c r="W2081" i="1"/>
  <c r="X2081" i="1"/>
  <c r="Y2081" i="1"/>
  <c r="W2082" i="1"/>
  <c r="X2082" i="1"/>
  <c r="Y2082" i="1"/>
  <c r="W2075" i="1"/>
  <c r="X2075" i="1"/>
  <c r="Y2075" i="1"/>
  <c r="W2076" i="1"/>
  <c r="X2076" i="1"/>
  <c r="Y2076" i="1"/>
  <c r="W2073" i="1"/>
  <c r="X2073" i="1"/>
  <c r="Y2073" i="1"/>
  <c r="W2074" i="1"/>
  <c r="X2074" i="1"/>
  <c r="Y2074" i="1"/>
  <c r="C2114" i="1"/>
  <c r="C2083" i="1"/>
  <c r="C2084" i="1"/>
  <c r="C2085" i="1"/>
  <c r="C2086" i="1"/>
  <c r="C2087" i="1"/>
  <c r="C2088" i="1"/>
  <c r="C2089" i="1"/>
  <c r="C2090" i="1"/>
  <c r="C2091" i="1"/>
  <c r="C2092" i="1"/>
  <c r="C2093" i="1"/>
  <c r="C2094" i="1"/>
  <c r="C2095" i="1"/>
  <c r="C2096" i="1"/>
  <c r="C2097" i="1"/>
  <c r="C2098" i="1"/>
  <c r="C2099" i="1"/>
  <c r="C2077" i="1"/>
  <c r="C2078" i="1"/>
  <c r="C2082" i="1"/>
  <c r="C2081" i="1"/>
  <c r="C2080" i="1"/>
  <c r="C2079" i="1"/>
  <c r="C2075" i="1"/>
  <c r="C2076" i="1"/>
  <c r="C2074" i="1"/>
  <c r="C2059" i="1"/>
  <c r="C2060" i="1"/>
  <c r="W2059" i="1"/>
  <c r="X2059" i="1"/>
  <c r="Y2059" i="1"/>
  <c r="W2060" i="1"/>
  <c r="X2060" i="1"/>
  <c r="Y2060" i="1"/>
  <c r="W2061" i="1"/>
  <c r="X2061" i="1"/>
  <c r="Y2061" i="1"/>
  <c r="W2062" i="1"/>
  <c r="X2062" i="1"/>
  <c r="Y2062" i="1"/>
  <c r="W2063" i="1"/>
  <c r="X2063" i="1"/>
  <c r="Y2063" i="1"/>
  <c r="W2064" i="1"/>
  <c r="X2064" i="1"/>
  <c r="Y2064" i="1"/>
  <c r="W2065" i="1"/>
  <c r="X2065" i="1"/>
  <c r="Y2065" i="1"/>
  <c r="W2066" i="1"/>
  <c r="X2066" i="1"/>
  <c r="Y2066" i="1"/>
  <c r="C2073" i="1"/>
  <c r="C2061" i="1"/>
  <c r="C2062" i="1"/>
  <c r="C2063" i="1"/>
  <c r="C2064" i="1"/>
  <c r="C2065" i="1"/>
  <c r="C2066" i="1"/>
  <c r="W2067" i="1"/>
  <c r="X2067" i="1"/>
  <c r="Y2067" i="1"/>
  <c r="W2068" i="1"/>
  <c r="X2068" i="1"/>
  <c r="Y2068" i="1"/>
  <c r="W2069" i="1"/>
  <c r="X2069" i="1"/>
  <c r="Y2069" i="1"/>
  <c r="W2070" i="1"/>
  <c r="X2070" i="1"/>
  <c r="Y2070" i="1"/>
  <c r="W2071" i="1"/>
  <c r="X2071" i="1"/>
  <c r="Y2071" i="1"/>
  <c r="W2072" i="1"/>
  <c r="X2072" i="1"/>
  <c r="Y2072" i="1"/>
  <c r="W2039" i="1"/>
  <c r="X2039" i="1"/>
  <c r="Y2039" i="1"/>
  <c r="W2040" i="1"/>
  <c r="X2040" i="1"/>
  <c r="Y2040" i="1"/>
  <c r="W2041" i="1"/>
  <c r="X2041" i="1"/>
  <c r="Y2041" i="1"/>
  <c r="W2042" i="1"/>
  <c r="X2042" i="1"/>
  <c r="Y2042" i="1"/>
  <c r="W2043" i="1"/>
  <c r="X2043" i="1"/>
  <c r="Y2043" i="1"/>
  <c r="W2044" i="1"/>
  <c r="X2044" i="1"/>
  <c r="Y2044" i="1"/>
  <c r="W2045" i="1"/>
  <c r="X2045" i="1"/>
  <c r="Y2045" i="1"/>
  <c r="W2046" i="1"/>
  <c r="X2046" i="1"/>
  <c r="Y2046" i="1"/>
  <c r="W2047" i="1"/>
  <c r="X2047" i="1"/>
  <c r="Y2047" i="1"/>
  <c r="W2048" i="1"/>
  <c r="X2048" i="1"/>
  <c r="Y2048" i="1"/>
  <c r="C2067" i="1"/>
  <c r="C2068" i="1"/>
  <c r="C2069" i="1"/>
  <c r="C2070" i="1"/>
  <c r="C2071" i="1"/>
  <c r="C2072" i="1"/>
  <c r="C2039" i="1"/>
  <c r="C2040" i="1"/>
  <c r="C2041" i="1"/>
  <c r="C2042" i="1"/>
  <c r="C2043" i="1"/>
  <c r="C2044" i="1"/>
  <c r="C2045" i="1"/>
  <c r="C2046" i="1"/>
  <c r="C2047" i="1"/>
  <c r="C2048" i="1"/>
  <c r="W2049" i="1"/>
  <c r="X2049" i="1"/>
  <c r="Y2049" i="1"/>
  <c r="W2050" i="1"/>
  <c r="X2050" i="1"/>
  <c r="Y2050" i="1"/>
  <c r="W2051" i="1"/>
  <c r="X2051" i="1"/>
  <c r="Y2051" i="1"/>
  <c r="W2052" i="1"/>
  <c r="X2052" i="1"/>
  <c r="Y2052" i="1"/>
  <c r="W2053" i="1"/>
  <c r="X2053" i="1"/>
  <c r="Y2053" i="1"/>
  <c r="W2054" i="1"/>
  <c r="X2054" i="1"/>
  <c r="Y2054" i="1"/>
  <c r="W2055" i="1"/>
  <c r="X2055" i="1"/>
  <c r="Y2055" i="1"/>
  <c r="W2056" i="1"/>
  <c r="X2056" i="1"/>
  <c r="Y2056" i="1"/>
  <c r="W2057" i="1"/>
  <c r="X2057" i="1"/>
  <c r="Y2057" i="1"/>
  <c r="W2058" i="1"/>
  <c r="X2058" i="1"/>
  <c r="Y2058" i="1"/>
  <c r="C2049" i="1" l="1"/>
  <c r="C2050" i="1"/>
  <c r="C2051" i="1"/>
  <c r="C2052" i="1"/>
  <c r="C2053" i="1"/>
  <c r="C2054" i="1"/>
  <c r="C2055" i="1"/>
  <c r="C2056" i="1"/>
  <c r="C2057" i="1"/>
  <c r="C2058" i="1"/>
  <c r="C2023" i="1" l="1"/>
  <c r="C2024" i="1"/>
  <c r="C2025" i="1"/>
  <c r="C2026" i="1"/>
  <c r="C2027" i="1"/>
  <c r="C2028" i="1"/>
  <c r="C2029" i="1"/>
  <c r="C2030" i="1"/>
  <c r="C2031" i="1"/>
  <c r="C2032" i="1"/>
  <c r="C2033" i="1"/>
  <c r="C2034" i="1"/>
  <c r="C2035" i="1"/>
  <c r="C2036" i="1"/>
  <c r="C2037" i="1"/>
  <c r="C2038" i="1"/>
  <c r="C2006" i="1"/>
  <c r="C2007" i="1"/>
  <c r="C2008" i="1"/>
  <c r="C2009" i="1"/>
  <c r="C2010" i="1"/>
  <c r="C2011" i="1"/>
  <c r="C2012" i="1"/>
  <c r="C2013" i="1"/>
  <c r="C2014" i="1"/>
  <c r="C2015" i="1"/>
  <c r="C2016" i="1"/>
  <c r="C2017" i="1"/>
  <c r="C2018" i="1"/>
  <c r="C2019" i="1"/>
  <c r="W2023" i="1"/>
  <c r="X2023" i="1"/>
  <c r="Y2023" i="1"/>
  <c r="W2024" i="1"/>
  <c r="X2024" i="1"/>
  <c r="Y2024" i="1"/>
  <c r="W2025" i="1"/>
  <c r="X2025" i="1"/>
  <c r="Y2025" i="1"/>
  <c r="W2026" i="1"/>
  <c r="X2026" i="1"/>
  <c r="Y2026" i="1"/>
  <c r="W2027" i="1"/>
  <c r="X2027" i="1"/>
  <c r="Y2027" i="1"/>
  <c r="W2028" i="1"/>
  <c r="X2028" i="1"/>
  <c r="Y2028" i="1"/>
  <c r="W2029" i="1"/>
  <c r="X2029" i="1"/>
  <c r="Y2029" i="1"/>
  <c r="W2030" i="1"/>
  <c r="X2030" i="1"/>
  <c r="Y2030" i="1"/>
  <c r="W2031" i="1"/>
  <c r="X2031" i="1"/>
  <c r="Y2031" i="1"/>
  <c r="W2032" i="1"/>
  <c r="X2032" i="1"/>
  <c r="Y2032" i="1"/>
  <c r="W2033" i="1"/>
  <c r="X2033" i="1"/>
  <c r="Y2033" i="1"/>
  <c r="W2034" i="1"/>
  <c r="X2034" i="1"/>
  <c r="Y2034" i="1"/>
  <c r="W2035" i="1"/>
  <c r="X2035" i="1"/>
  <c r="Y2035" i="1"/>
  <c r="W2036" i="1"/>
  <c r="X2036" i="1"/>
  <c r="Y2036" i="1"/>
  <c r="W2037" i="1"/>
  <c r="X2037" i="1"/>
  <c r="Y2037" i="1"/>
  <c r="W2038" i="1"/>
  <c r="X2038" i="1"/>
  <c r="Y2038" i="1"/>
  <c r="W2006" i="1"/>
  <c r="X2006" i="1"/>
  <c r="Y2006" i="1"/>
  <c r="W2007" i="1"/>
  <c r="X2007" i="1"/>
  <c r="Y2007" i="1"/>
  <c r="W2008" i="1"/>
  <c r="X2008" i="1"/>
  <c r="Y2008" i="1"/>
  <c r="W2009" i="1"/>
  <c r="X2009" i="1"/>
  <c r="Y2009" i="1"/>
  <c r="W2010" i="1"/>
  <c r="X2010" i="1"/>
  <c r="Y2010" i="1"/>
  <c r="W2011" i="1"/>
  <c r="X2011" i="1"/>
  <c r="Y2011" i="1"/>
  <c r="W2012" i="1"/>
  <c r="X2012" i="1"/>
  <c r="Y2012" i="1"/>
  <c r="W2013" i="1"/>
  <c r="X2013" i="1"/>
  <c r="Y2013" i="1"/>
  <c r="W2014" i="1"/>
  <c r="X2014" i="1"/>
  <c r="Y2014" i="1"/>
  <c r="W2015" i="1"/>
  <c r="X2015" i="1"/>
  <c r="Y2015" i="1"/>
  <c r="W2016" i="1"/>
  <c r="X2016" i="1"/>
  <c r="Y2016" i="1"/>
  <c r="W2017" i="1"/>
  <c r="X2017" i="1"/>
  <c r="Y2017" i="1"/>
  <c r="W2018" i="1"/>
  <c r="X2018" i="1"/>
  <c r="Y2018" i="1"/>
  <c r="W2019" i="1"/>
  <c r="X2019" i="1"/>
  <c r="Y2019" i="1"/>
  <c r="W2020" i="1"/>
  <c r="X2020" i="1"/>
  <c r="Y2020" i="1"/>
  <c r="I1947" i="1" l="1"/>
  <c r="I1958" i="1"/>
  <c r="AA1958" i="1" s="1"/>
  <c r="I1957" i="1"/>
  <c r="AA1957" i="1" s="1"/>
  <c r="AA1947" i="1" l="1"/>
  <c r="AA1649" i="1"/>
  <c r="W2021" i="1"/>
  <c r="X2021" i="1"/>
  <c r="Y2021" i="1"/>
  <c r="W2022" i="1"/>
  <c r="X2022" i="1"/>
  <c r="Y2022" i="1"/>
  <c r="C2020" i="1"/>
  <c r="C2021" i="1"/>
  <c r="C2022" i="1"/>
  <c r="C2003" i="1"/>
  <c r="C2004" i="1"/>
  <c r="C2005" i="1"/>
  <c r="W2003" i="1"/>
  <c r="W2004" i="1"/>
  <c r="W2005" i="1"/>
  <c r="W2001" i="1"/>
  <c r="W2002" i="1"/>
  <c r="X2003" i="1"/>
  <c r="Y2003" i="1"/>
  <c r="X2004" i="1"/>
  <c r="Y2004" i="1"/>
  <c r="X2005" i="1"/>
  <c r="Y2005" i="1"/>
  <c r="X2001" i="1"/>
  <c r="Y2001" i="1"/>
  <c r="X2002" i="1"/>
  <c r="Y2002" i="1"/>
  <c r="C2001" i="1" l="1"/>
  <c r="C2002" i="1"/>
  <c r="W1990" i="1"/>
  <c r="X1990" i="1"/>
  <c r="Y1990" i="1"/>
  <c r="W1991" i="1"/>
  <c r="X1991" i="1"/>
  <c r="Y1991" i="1"/>
  <c r="W1992" i="1"/>
  <c r="X1992" i="1"/>
  <c r="Y1992" i="1"/>
  <c r="W1993" i="1"/>
  <c r="X1993" i="1"/>
  <c r="Y1993" i="1"/>
  <c r="C1990" i="1"/>
  <c r="C1991" i="1"/>
  <c r="C1992" i="1"/>
  <c r="C1993" i="1"/>
  <c r="C1994" i="1" l="1"/>
  <c r="C1995" i="1"/>
  <c r="C1996" i="1"/>
  <c r="C1997" i="1"/>
  <c r="C1998" i="1"/>
  <c r="C1999" i="1"/>
  <c r="C2000" i="1"/>
  <c r="W1994" i="1"/>
  <c r="X1994" i="1"/>
  <c r="Y1994" i="1"/>
  <c r="W1995" i="1"/>
  <c r="X1995" i="1"/>
  <c r="Y1995" i="1"/>
  <c r="W1996" i="1"/>
  <c r="X1996" i="1"/>
  <c r="Y1996" i="1"/>
  <c r="W1997" i="1"/>
  <c r="X1997" i="1"/>
  <c r="Y1997" i="1"/>
  <c r="W1998" i="1"/>
  <c r="X1998" i="1"/>
  <c r="Y1998" i="1"/>
  <c r="W1999" i="1"/>
  <c r="X1999" i="1"/>
  <c r="Y1999" i="1"/>
  <c r="W2000" i="1"/>
  <c r="X2000" i="1"/>
  <c r="Y2000" i="1"/>
  <c r="W1975" i="1"/>
  <c r="X1975" i="1"/>
  <c r="Y1975" i="1"/>
  <c r="W1976" i="1"/>
  <c r="X1976" i="1"/>
  <c r="Y1976" i="1"/>
  <c r="W1977" i="1"/>
  <c r="X1977" i="1"/>
  <c r="Y1977" i="1"/>
  <c r="C1975" i="1"/>
  <c r="W1978" i="1"/>
  <c r="X1978" i="1"/>
  <c r="Y1978" i="1"/>
  <c r="W1979" i="1"/>
  <c r="X1979" i="1"/>
  <c r="Y1979" i="1"/>
  <c r="W1980" i="1"/>
  <c r="X1980" i="1"/>
  <c r="Y1980" i="1"/>
  <c r="W1981" i="1"/>
  <c r="X1981" i="1"/>
  <c r="Y1981" i="1"/>
  <c r="W1982" i="1"/>
  <c r="X1982" i="1"/>
  <c r="Y1982" i="1"/>
  <c r="W1983" i="1"/>
  <c r="X1983" i="1"/>
  <c r="Y1983" i="1"/>
  <c r="W1984" i="1"/>
  <c r="X1984" i="1"/>
  <c r="Y1984" i="1"/>
  <c r="W1985" i="1"/>
  <c r="X1985" i="1"/>
  <c r="Y1985" i="1"/>
  <c r="W1986" i="1"/>
  <c r="X1986" i="1"/>
  <c r="Y1986" i="1"/>
  <c r="W1987" i="1"/>
  <c r="X1987" i="1"/>
  <c r="Y1987" i="1"/>
  <c r="W1988" i="1"/>
  <c r="X1988" i="1"/>
  <c r="Y1988" i="1"/>
  <c r="W1989" i="1"/>
  <c r="X1989" i="1"/>
  <c r="Y1989" i="1"/>
  <c r="C1977" i="1"/>
  <c r="C1978" i="1"/>
  <c r="C1979" i="1"/>
  <c r="C1980" i="1"/>
  <c r="C1981" i="1"/>
  <c r="C1982" i="1"/>
  <c r="C1983" i="1"/>
  <c r="C1984" i="1"/>
  <c r="C1985" i="1"/>
  <c r="C1986" i="1"/>
  <c r="C1987" i="1"/>
  <c r="C1988" i="1"/>
  <c r="C1989" i="1"/>
  <c r="C1976" i="1"/>
  <c r="W1965" i="1"/>
  <c r="X1965" i="1"/>
  <c r="Y1965" i="1"/>
  <c r="W1966" i="1"/>
  <c r="X1966" i="1"/>
  <c r="Y1966" i="1"/>
  <c r="W1967" i="1"/>
  <c r="X1967" i="1"/>
  <c r="Y1967" i="1"/>
  <c r="W1968" i="1"/>
  <c r="X1968" i="1"/>
  <c r="Y1968" i="1"/>
  <c r="W1969" i="1"/>
  <c r="X1969" i="1"/>
  <c r="Y1969" i="1"/>
  <c r="W1970" i="1"/>
  <c r="X1970" i="1"/>
  <c r="Y1970" i="1"/>
  <c r="W1971" i="1"/>
  <c r="X1971" i="1"/>
  <c r="Y1971" i="1"/>
  <c r="W1972" i="1"/>
  <c r="X1972" i="1"/>
  <c r="Y1972" i="1"/>
  <c r="W1973" i="1"/>
  <c r="X1973" i="1"/>
  <c r="Y1973" i="1"/>
  <c r="W1974" i="1"/>
  <c r="X1974" i="1"/>
  <c r="Y1974" i="1"/>
  <c r="C1967" i="1"/>
  <c r="C1968" i="1"/>
  <c r="C1969" i="1"/>
  <c r="C1970" i="1"/>
  <c r="C1971" i="1"/>
  <c r="C1972" i="1"/>
  <c r="C1973" i="1"/>
  <c r="C1974" i="1"/>
  <c r="C1965" i="1"/>
  <c r="C1966" i="1"/>
  <c r="C1952" i="1"/>
  <c r="C1953" i="1"/>
  <c r="W1952" i="1"/>
  <c r="X1952" i="1"/>
  <c r="Y1952" i="1"/>
  <c r="W1953" i="1"/>
  <c r="X1953" i="1"/>
  <c r="Y1953" i="1"/>
  <c r="W1954" i="1"/>
  <c r="X1954" i="1"/>
  <c r="Y1954" i="1"/>
  <c r="W1955" i="1"/>
  <c r="X1955" i="1"/>
  <c r="Y1955" i="1"/>
  <c r="W1956" i="1"/>
  <c r="X1956" i="1"/>
  <c r="Y1956" i="1"/>
  <c r="W1957" i="1"/>
  <c r="X1957" i="1"/>
  <c r="Y1957" i="1"/>
  <c r="W1958" i="1"/>
  <c r="X1958" i="1"/>
  <c r="Y1958" i="1"/>
  <c r="W1959" i="1"/>
  <c r="X1959" i="1"/>
  <c r="Y1959" i="1"/>
  <c r="I1938" i="1"/>
  <c r="AA1938" i="1" s="1"/>
  <c r="C1954" i="1"/>
  <c r="C1955" i="1"/>
  <c r="C1956" i="1"/>
  <c r="C1957" i="1"/>
  <c r="C1958" i="1"/>
  <c r="C1959" i="1"/>
  <c r="C1960" i="1"/>
  <c r="C1961" i="1"/>
  <c r="C1962" i="1"/>
  <c r="C1963" i="1"/>
  <c r="C1964" i="1"/>
  <c r="C1937" i="1"/>
  <c r="C1938" i="1"/>
  <c r="C1939" i="1"/>
  <c r="C1940" i="1"/>
  <c r="C1941" i="1"/>
  <c r="C1942" i="1"/>
  <c r="C1943" i="1"/>
  <c r="C1944" i="1"/>
  <c r="C1945" i="1"/>
  <c r="C1946" i="1"/>
  <c r="C1947" i="1"/>
  <c r="C1948" i="1"/>
  <c r="C1949" i="1"/>
  <c r="C1950" i="1"/>
  <c r="C1951" i="1"/>
  <c r="W1960" i="1"/>
  <c r="X1960" i="1"/>
  <c r="Y1960" i="1"/>
  <c r="W1961" i="1"/>
  <c r="X1961" i="1"/>
  <c r="Y1961" i="1"/>
  <c r="W1962" i="1"/>
  <c r="X1962" i="1"/>
  <c r="Y1962" i="1"/>
  <c r="W1963" i="1"/>
  <c r="X1963" i="1"/>
  <c r="Y1963" i="1"/>
  <c r="W1964" i="1"/>
  <c r="X1964" i="1"/>
  <c r="Y1964" i="1"/>
  <c r="W1937" i="1"/>
  <c r="X1937" i="1"/>
  <c r="Y1937" i="1"/>
  <c r="W1938" i="1"/>
  <c r="X1938" i="1"/>
  <c r="Y1938" i="1"/>
  <c r="W1939" i="1"/>
  <c r="X1939" i="1"/>
  <c r="Y1939" i="1"/>
  <c r="W1940" i="1"/>
  <c r="X1940" i="1"/>
  <c r="Y1940" i="1"/>
  <c r="W1941" i="1"/>
  <c r="X1941" i="1"/>
  <c r="Y1941" i="1"/>
  <c r="W1942" i="1"/>
  <c r="X1942" i="1"/>
  <c r="Y1942" i="1"/>
  <c r="W1943" i="1"/>
  <c r="X1943" i="1"/>
  <c r="Y1943" i="1"/>
  <c r="W1944" i="1"/>
  <c r="X1944" i="1"/>
  <c r="Y1944" i="1"/>
  <c r="W1945" i="1"/>
  <c r="X1945" i="1"/>
  <c r="Y1945" i="1"/>
  <c r="W1946" i="1"/>
  <c r="X1946" i="1"/>
  <c r="Y1946" i="1"/>
  <c r="W1947" i="1"/>
  <c r="X1947" i="1"/>
  <c r="Y1947" i="1"/>
  <c r="W1948" i="1"/>
  <c r="X1948" i="1"/>
  <c r="Y1948" i="1"/>
  <c r="W1949" i="1"/>
  <c r="X1949" i="1"/>
  <c r="Y1949" i="1"/>
  <c r="W1950" i="1"/>
  <c r="X1950" i="1"/>
  <c r="Y1950" i="1"/>
  <c r="W1951" i="1"/>
  <c r="X1951" i="1"/>
  <c r="Y1951" i="1"/>
  <c r="I1872" i="1" l="1"/>
  <c r="AA1872" i="1" s="1"/>
  <c r="C1935" i="1" l="1"/>
  <c r="C1936" i="1"/>
  <c r="W1933" i="1"/>
  <c r="X1933" i="1"/>
  <c r="Y1933" i="1"/>
  <c r="C1933" i="1"/>
  <c r="W1934" i="1"/>
  <c r="X1934" i="1"/>
  <c r="Y1934" i="1"/>
  <c r="W1935" i="1"/>
  <c r="X1935" i="1"/>
  <c r="Y1935" i="1"/>
  <c r="W1936" i="1"/>
  <c r="X1936" i="1"/>
  <c r="Y1936" i="1"/>
  <c r="C1934" i="1"/>
  <c r="W1931" i="1"/>
  <c r="W1932" i="1"/>
  <c r="W1921" i="1"/>
  <c r="X1931" i="1"/>
  <c r="Y1931" i="1"/>
  <c r="X1932" i="1"/>
  <c r="Y1932" i="1"/>
  <c r="X1921" i="1"/>
  <c r="Y1921" i="1"/>
  <c r="C1931" i="1"/>
  <c r="C1932" i="1"/>
  <c r="C1921" i="1"/>
  <c r="W1922" i="1"/>
  <c r="X1922" i="1"/>
  <c r="Y1922" i="1"/>
  <c r="W1923" i="1"/>
  <c r="X1923" i="1"/>
  <c r="Y1923" i="1"/>
  <c r="W1925" i="1"/>
  <c r="W1924" i="1"/>
  <c r="X1924" i="1"/>
  <c r="Y1924" i="1"/>
  <c r="X1925" i="1"/>
  <c r="Y1925" i="1"/>
  <c r="W1926" i="1"/>
  <c r="X1926" i="1"/>
  <c r="Y1926" i="1"/>
  <c r="C1928" i="1"/>
  <c r="W1927" i="1"/>
  <c r="X1927" i="1"/>
  <c r="Y1927" i="1"/>
  <c r="W1928" i="1"/>
  <c r="X1928" i="1"/>
  <c r="Y1928" i="1"/>
  <c r="W1929" i="1"/>
  <c r="X1929" i="1"/>
  <c r="Y1929" i="1"/>
  <c r="W1930" i="1"/>
  <c r="X1930" i="1"/>
  <c r="Y1930" i="1"/>
  <c r="C1924" i="1"/>
  <c r="C1925" i="1"/>
  <c r="C1926" i="1"/>
  <c r="C1927" i="1"/>
  <c r="C1929" i="1"/>
  <c r="C1930" i="1"/>
  <c r="C1922" i="1"/>
  <c r="C1923" i="1"/>
  <c r="C1904" i="1"/>
  <c r="C1905" i="1"/>
  <c r="C1906" i="1"/>
  <c r="W1904" i="1"/>
  <c r="X1904" i="1"/>
  <c r="Y1904" i="1"/>
  <c r="W1905" i="1"/>
  <c r="X1905" i="1"/>
  <c r="Y1905" i="1"/>
  <c r="W1906" i="1"/>
  <c r="X1906" i="1"/>
  <c r="Y1906" i="1"/>
  <c r="W1907" i="1"/>
  <c r="X1907" i="1"/>
  <c r="Y1907" i="1"/>
  <c r="C1907" i="1"/>
  <c r="W1908" i="1"/>
  <c r="X1908" i="1"/>
  <c r="Y1908" i="1"/>
  <c r="W1909" i="1"/>
  <c r="X1909" i="1"/>
  <c r="Y1909" i="1"/>
  <c r="W1910" i="1"/>
  <c r="X1910" i="1"/>
  <c r="Y1910" i="1"/>
  <c r="W1911" i="1"/>
  <c r="X1911" i="1"/>
  <c r="Y1911" i="1"/>
  <c r="W1912" i="1"/>
  <c r="X1912" i="1"/>
  <c r="Y1912" i="1"/>
  <c r="W1913" i="1"/>
  <c r="X1913" i="1"/>
  <c r="Y1913" i="1"/>
  <c r="C1908" i="1"/>
  <c r="C1909" i="1"/>
  <c r="C1910" i="1"/>
  <c r="C1911" i="1"/>
  <c r="C1912" i="1"/>
  <c r="C1913" i="1"/>
  <c r="W1914" i="1"/>
  <c r="W1915" i="1"/>
  <c r="W1916" i="1"/>
  <c r="X1914" i="1"/>
  <c r="Y1914" i="1"/>
  <c r="X1915" i="1"/>
  <c r="Y1915" i="1"/>
  <c r="X1916" i="1"/>
  <c r="Y1916" i="1"/>
  <c r="C1914" i="1"/>
  <c r="C1915" i="1"/>
  <c r="C1916" i="1"/>
  <c r="C1917" i="1"/>
  <c r="C1918" i="1"/>
  <c r="C1919" i="1"/>
  <c r="X1919" i="1"/>
  <c r="X1918" i="1"/>
  <c r="X1917" i="1"/>
  <c r="Y1917" i="1"/>
  <c r="Y1918" i="1"/>
  <c r="Y1919" i="1"/>
  <c r="W1920" i="1"/>
  <c r="W1917" i="1"/>
  <c r="W1918" i="1"/>
  <c r="W1919" i="1"/>
  <c r="X1920" i="1"/>
  <c r="Y1920" i="1"/>
  <c r="W1887" i="1"/>
  <c r="X1887" i="1"/>
  <c r="Y1887" i="1"/>
  <c r="W1888" i="1"/>
  <c r="X1888" i="1"/>
  <c r="Y1888" i="1"/>
  <c r="W1889" i="1"/>
  <c r="X1889" i="1"/>
  <c r="Y1889" i="1"/>
  <c r="W1890" i="1"/>
  <c r="X1890" i="1"/>
  <c r="Y1890" i="1"/>
  <c r="C1920" i="1"/>
  <c r="C1887" i="1"/>
  <c r="C1888" i="1"/>
  <c r="C1889" i="1"/>
  <c r="W1891" i="1"/>
  <c r="X1891" i="1"/>
  <c r="C1893" i="1"/>
  <c r="C1890" i="1"/>
  <c r="C1891" i="1"/>
  <c r="C1892" i="1"/>
  <c r="Y1891" i="1"/>
  <c r="W1892" i="1"/>
  <c r="X1892" i="1"/>
  <c r="Y1892" i="1"/>
  <c r="W1893" i="1"/>
  <c r="X1893" i="1"/>
  <c r="Y1893" i="1"/>
  <c r="W1894" i="1"/>
  <c r="X1894" i="1"/>
  <c r="Y1894" i="1"/>
  <c r="W1895" i="1"/>
  <c r="X1895" i="1"/>
  <c r="Y1895" i="1"/>
  <c r="C1894" i="1"/>
  <c r="C1895" i="1"/>
  <c r="W1897" i="1"/>
  <c r="X1897" i="1"/>
  <c r="Y1897" i="1"/>
  <c r="W1898" i="1"/>
  <c r="X1898" i="1"/>
  <c r="Y1898" i="1"/>
  <c r="W1899" i="1"/>
  <c r="X1899" i="1"/>
  <c r="Y1899" i="1"/>
  <c r="W1900" i="1"/>
  <c r="X1900" i="1"/>
  <c r="Y1900" i="1"/>
  <c r="W1901" i="1"/>
  <c r="X1901" i="1"/>
  <c r="Y1901" i="1"/>
  <c r="W1902" i="1"/>
  <c r="X1902" i="1"/>
  <c r="Y1902" i="1"/>
  <c r="W1903" i="1"/>
  <c r="X1903" i="1"/>
  <c r="Y1903" i="1"/>
  <c r="C1897" i="1"/>
  <c r="C1898" i="1"/>
  <c r="C1899" i="1"/>
  <c r="C1900" i="1"/>
  <c r="C1901" i="1"/>
  <c r="C1902" i="1"/>
  <c r="W1896" i="1"/>
  <c r="X1896" i="1"/>
  <c r="Y1896" i="1"/>
  <c r="W1871" i="1"/>
  <c r="X1871" i="1"/>
  <c r="Y1871" i="1"/>
  <c r="W1872" i="1"/>
  <c r="X1872" i="1"/>
  <c r="Y1872" i="1"/>
  <c r="C1896" i="1"/>
  <c r="C1903" i="1"/>
  <c r="C1871" i="1"/>
  <c r="C1872" i="1"/>
  <c r="C1873" i="1"/>
  <c r="C1874" i="1"/>
  <c r="C1875" i="1"/>
  <c r="W1873" i="1"/>
  <c r="X1873" i="1"/>
  <c r="Y1873" i="1"/>
  <c r="W1874" i="1"/>
  <c r="X1874" i="1"/>
  <c r="Y1874" i="1"/>
  <c r="W1875" i="1"/>
  <c r="X1875" i="1"/>
  <c r="Y1875" i="1"/>
  <c r="C1876" i="1"/>
  <c r="C1877" i="1"/>
  <c r="C1878" i="1"/>
  <c r="C1879" i="1"/>
  <c r="W1876" i="1"/>
  <c r="X1876" i="1"/>
  <c r="Y1876" i="1"/>
  <c r="W1877" i="1"/>
  <c r="X1877" i="1"/>
  <c r="Y1877" i="1"/>
  <c r="W1878" i="1"/>
  <c r="X1878" i="1"/>
  <c r="Y1878" i="1"/>
  <c r="W1879" i="1"/>
  <c r="X1879" i="1"/>
  <c r="Y1879" i="1"/>
  <c r="C1880" i="1"/>
  <c r="C1881" i="1"/>
  <c r="C1882" i="1"/>
  <c r="C1883" i="1"/>
  <c r="C1884" i="1"/>
  <c r="C1885" i="1"/>
  <c r="C1886" i="1"/>
  <c r="W1880" i="1"/>
  <c r="X1880" i="1"/>
  <c r="Y1880" i="1"/>
  <c r="W1881" i="1"/>
  <c r="X1881" i="1"/>
  <c r="Y1881" i="1"/>
  <c r="W1882" i="1"/>
  <c r="X1882" i="1"/>
  <c r="Y1882" i="1"/>
  <c r="W1883" i="1"/>
  <c r="X1883" i="1"/>
  <c r="Y1883" i="1"/>
  <c r="W1884" i="1"/>
  <c r="X1884" i="1"/>
  <c r="Y1884" i="1"/>
  <c r="W1885" i="1"/>
  <c r="X1885" i="1"/>
  <c r="Y1885" i="1"/>
  <c r="W1886" i="1"/>
  <c r="X1886" i="1"/>
  <c r="Y1886" i="1"/>
  <c r="W1856" i="1"/>
  <c r="X1856" i="1"/>
  <c r="Y1856" i="1"/>
  <c r="W1857" i="1"/>
  <c r="X1857" i="1"/>
  <c r="Y1857" i="1"/>
  <c r="W1858" i="1"/>
  <c r="X1858" i="1"/>
  <c r="Y1858" i="1"/>
  <c r="W1859" i="1"/>
  <c r="X1859" i="1"/>
  <c r="Y1859" i="1"/>
  <c r="W1860" i="1"/>
  <c r="X1860" i="1"/>
  <c r="Y1860" i="1"/>
  <c r="W1861" i="1"/>
  <c r="X1861" i="1"/>
  <c r="Y1861" i="1"/>
  <c r="W1862" i="1"/>
  <c r="X1862" i="1"/>
  <c r="Y1862" i="1"/>
  <c r="C1857" i="1"/>
  <c r="C1858" i="1"/>
  <c r="C1859" i="1"/>
  <c r="C1860" i="1"/>
  <c r="C1861" i="1"/>
  <c r="C1862" i="1"/>
  <c r="C1856" i="1"/>
  <c r="W1863" i="1"/>
  <c r="X1863" i="1"/>
  <c r="Y1863" i="1"/>
  <c r="W1864" i="1"/>
  <c r="X1864" i="1"/>
  <c r="Y1864" i="1"/>
  <c r="W1865" i="1"/>
  <c r="X1865" i="1"/>
  <c r="Y1865" i="1"/>
  <c r="C1863" i="1"/>
  <c r="C1864" i="1"/>
  <c r="C1865" i="1"/>
  <c r="W1866" i="1"/>
  <c r="X1866" i="1"/>
  <c r="Y1866" i="1"/>
  <c r="W1867" i="1"/>
  <c r="X1867" i="1"/>
  <c r="Y1867" i="1"/>
  <c r="X1869" i="1"/>
  <c r="Y1869" i="1"/>
  <c r="X1870" i="1"/>
  <c r="Y1870" i="1"/>
  <c r="W1869" i="1"/>
  <c r="W1870" i="1"/>
  <c r="C1869" i="1"/>
  <c r="C1870" i="1"/>
  <c r="W1868" i="1"/>
  <c r="X1868" i="1"/>
  <c r="Y1868" i="1"/>
  <c r="W1854" i="1"/>
  <c r="X1854" i="1"/>
  <c r="Y1854" i="1"/>
  <c r="W1855" i="1"/>
  <c r="X1855" i="1"/>
  <c r="Y1855" i="1"/>
  <c r="W1852" i="1"/>
  <c r="X1852" i="1"/>
  <c r="Y1852" i="1"/>
  <c r="W1853" i="1"/>
  <c r="X1853" i="1"/>
  <c r="Y1853" i="1"/>
  <c r="X1840" i="1"/>
  <c r="Y1840" i="1"/>
  <c r="C1866" i="1"/>
  <c r="C1867" i="1"/>
  <c r="C1868" i="1"/>
  <c r="C1854" i="1"/>
  <c r="C1855" i="1"/>
  <c r="C1852" i="1"/>
  <c r="C1853" i="1"/>
  <c r="C1840" i="1"/>
  <c r="C1841" i="1"/>
  <c r="W1840" i="1"/>
  <c r="W1841" i="1"/>
  <c r="X1841" i="1"/>
  <c r="Y1841" i="1"/>
  <c r="C1842" i="1"/>
  <c r="C1843" i="1"/>
  <c r="C1844" i="1"/>
  <c r="C1845" i="1"/>
  <c r="W1842" i="1"/>
  <c r="X1842" i="1"/>
  <c r="Y1842" i="1"/>
  <c r="W1843" i="1"/>
  <c r="X1843" i="1"/>
  <c r="Y1843" i="1"/>
  <c r="W1844" i="1"/>
  <c r="X1844" i="1"/>
  <c r="Y1844" i="1"/>
  <c r="W1845" i="1"/>
  <c r="X1845" i="1"/>
  <c r="Y1845" i="1"/>
  <c r="W1846" i="1"/>
  <c r="X1846" i="1"/>
  <c r="Y1846" i="1"/>
  <c r="W1847" i="1"/>
  <c r="X1847" i="1"/>
  <c r="Y1847" i="1"/>
  <c r="W1848" i="1"/>
  <c r="X1848" i="1"/>
  <c r="Y1848" i="1"/>
  <c r="W1849" i="1"/>
  <c r="X1849" i="1"/>
  <c r="Y1849" i="1"/>
  <c r="W1850" i="1"/>
  <c r="X1850" i="1"/>
  <c r="Y1850" i="1"/>
  <c r="W1851" i="1"/>
  <c r="X1851" i="1"/>
  <c r="Y1851" i="1"/>
  <c r="W1819" i="1"/>
  <c r="X1819" i="1"/>
  <c r="Y1819" i="1"/>
  <c r="C1846" i="1"/>
  <c r="C1847" i="1"/>
  <c r="C1848" i="1"/>
  <c r="C1849" i="1"/>
  <c r="C1850" i="1"/>
  <c r="C1851" i="1"/>
  <c r="C1819" i="1"/>
  <c r="X1820" i="1"/>
  <c r="Y1820" i="1"/>
  <c r="X1821" i="1"/>
  <c r="Y1821" i="1"/>
  <c r="C1820" i="1"/>
  <c r="C1821" i="1"/>
  <c r="W1820" i="1"/>
  <c r="W1821" i="1"/>
  <c r="W1822" i="1"/>
  <c r="X1822" i="1"/>
  <c r="Y1822" i="1"/>
  <c r="W1823" i="1"/>
  <c r="X1823" i="1"/>
  <c r="Y1823" i="1"/>
  <c r="W1824" i="1"/>
  <c r="X1824" i="1"/>
  <c r="Y1824" i="1"/>
  <c r="C1822" i="1"/>
  <c r="C1823" i="1"/>
  <c r="C1824" i="1"/>
  <c r="W1825" i="1"/>
  <c r="X1825" i="1"/>
  <c r="Y1825" i="1"/>
  <c r="W1826" i="1"/>
  <c r="X1826" i="1"/>
  <c r="Y1826" i="1"/>
  <c r="W1827" i="1"/>
  <c r="X1827" i="1"/>
  <c r="Y1827" i="1"/>
  <c r="W1828" i="1"/>
  <c r="X1828" i="1"/>
  <c r="Y1828" i="1"/>
  <c r="W1829" i="1"/>
  <c r="X1829" i="1"/>
  <c r="Y1829" i="1"/>
  <c r="W1830" i="1"/>
  <c r="X1830" i="1"/>
  <c r="Y1830" i="1"/>
  <c r="C1825" i="1"/>
  <c r="C1826" i="1"/>
  <c r="C1827" i="1"/>
  <c r="C1828" i="1"/>
  <c r="C1829" i="1"/>
  <c r="C1830" i="1"/>
  <c r="C1831" i="1"/>
  <c r="C1832" i="1"/>
  <c r="C1833" i="1"/>
  <c r="C1834" i="1"/>
  <c r="W1831" i="1"/>
  <c r="X1831" i="1"/>
  <c r="Y1831" i="1"/>
  <c r="W1832" i="1"/>
  <c r="X1832" i="1"/>
  <c r="Y1832" i="1"/>
  <c r="W1833" i="1"/>
  <c r="X1833" i="1"/>
  <c r="Y1833" i="1"/>
  <c r="W1834" i="1"/>
  <c r="X1834" i="1"/>
  <c r="Y1834" i="1"/>
  <c r="C1835" i="1"/>
  <c r="C1836" i="1"/>
  <c r="W1835" i="1"/>
  <c r="X1835" i="1"/>
  <c r="Y1835" i="1"/>
  <c r="W1836" i="1"/>
  <c r="X1836" i="1"/>
  <c r="Y1836" i="1"/>
  <c r="W1837" i="1"/>
  <c r="X1837" i="1"/>
  <c r="Y1837" i="1"/>
  <c r="W1838" i="1"/>
  <c r="X1838" i="1"/>
  <c r="Y1838" i="1"/>
  <c r="W1839" i="1"/>
  <c r="X1839" i="1"/>
  <c r="Y1839" i="1"/>
  <c r="W1806" i="1"/>
  <c r="X1806" i="1"/>
  <c r="Y1806" i="1"/>
  <c r="W1807" i="1"/>
  <c r="X1807" i="1"/>
  <c r="Y1807" i="1"/>
  <c r="C1837" i="1"/>
  <c r="C1838" i="1"/>
  <c r="C1839" i="1"/>
  <c r="C1806" i="1"/>
  <c r="C1807" i="1"/>
  <c r="C1808" i="1"/>
  <c r="W1808" i="1"/>
  <c r="X1808" i="1"/>
  <c r="Y1808" i="1"/>
  <c r="W1809" i="1"/>
  <c r="X1809" i="1"/>
  <c r="Y1809" i="1"/>
  <c r="W1810" i="1"/>
  <c r="X1810" i="1"/>
  <c r="Y1810" i="1"/>
  <c r="W1811" i="1"/>
  <c r="X1811" i="1"/>
  <c r="Y1811" i="1"/>
  <c r="C1809" i="1"/>
  <c r="C1810" i="1"/>
  <c r="C1811" i="1"/>
  <c r="C1818" i="1"/>
  <c r="I1817" i="1"/>
  <c r="AA1817" i="1" s="1"/>
  <c r="W1812" i="1"/>
  <c r="W1813" i="1"/>
  <c r="W1814" i="1"/>
  <c r="W1815" i="1"/>
  <c r="W1816" i="1"/>
  <c r="C1812" i="1"/>
  <c r="C1813" i="1"/>
  <c r="C1814" i="1"/>
  <c r="C1815" i="1"/>
  <c r="C1816" i="1"/>
  <c r="C1817" i="1"/>
  <c r="X1812" i="1"/>
  <c r="Y1812" i="1"/>
  <c r="X1813" i="1"/>
  <c r="Y1813" i="1"/>
  <c r="X1814" i="1"/>
  <c r="Y1814" i="1"/>
  <c r="X1815" i="1"/>
  <c r="Y1815" i="1"/>
  <c r="W1817" i="1"/>
  <c r="W1818" i="1"/>
  <c r="W1794" i="1"/>
  <c r="W1795" i="1"/>
  <c r="W1796" i="1"/>
  <c r="I1796" i="1"/>
  <c r="AA1796" i="1" s="1"/>
  <c r="C1794" i="1"/>
  <c r="C1795" i="1"/>
  <c r="C1796" i="1"/>
  <c r="X1816" i="1"/>
  <c r="Y1816" i="1"/>
  <c r="X1817" i="1"/>
  <c r="Y1817" i="1"/>
  <c r="X1818" i="1"/>
  <c r="Y1818" i="1"/>
  <c r="X1794" i="1"/>
  <c r="Y1794" i="1"/>
  <c r="X1795" i="1"/>
  <c r="Y1795" i="1"/>
  <c r="X1796" i="1"/>
  <c r="Y1796" i="1"/>
  <c r="X1797" i="1"/>
  <c r="Y1797" i="1"/>
  <c r="C1797" i="1"/>
  <c r="W1797" i="1"/>
  <c r="W1798" i="1"/>
  <c r="X1798" i="1"/>
  <c r="Y1798" i="1"/>
  <c r="W1799" i="1"/>
  <c r="X1799" i="1"/>
  <c r="Y1799" i="1"/>
  <c r="W1800" i="1"/>
  <c r="X1800" i="1"/>
  <c r="Y1800" i="1"/>
  <c r="W1801" i="1"/>
  <c r="X1801" i="1"/>
  <c r="Y1801" i="1"/>
  <c r="W1802" i="1"/>
  <c r="X1802" i="1"/>
  <c r="Y1802" i="1"/>
  <c r="C1798" i="1"/>
  <c r="C1799" i="1"/>
  <c r="C1800" i="1"/>
  <c r="C1801" i="1"/>
  <c r="C1802" i="1"/>
  <c r="W1773" i="1"/>
  <c r="X1773" i="1"/>
  <c r="Y1773" i="1"/>
  <c r="W1774" i="1"/>
  <c r="X1774" i="1"/>
  <c r="Y1774" i="1"/>
  <c r="W1775" i="1"/>
  <c r="X1775" i="1"/>
  <c r="Y1775" i="1"/>
  <c r="W1776" i="1"/>
  <c r="X1776" i="1"/>
  <c r="Y1776" i="1"/>
  <c r="W1777" i="1"/>
  <c r="X1777" i="1"/>
  <c r="Y1777" i="1"/>
  <c r="C1773" i="1"/>
  <c r="C1774" i="1"/>
  <c r="C1775" i="1"/>
  <c r="C1776" i="1"/>
  <c r="C1777" i="1"/>
  <c r="W1803" i="1"/>
  <c r="X1803" i="1"/>
  <c r="Y1803" i="1"/>
  <c r="W1804" i="1"/>
  <c r="X1804" i="1"/>
  <c r="Y1804" i="1"/>
  <c r="W1805" i="1"/>
  <c r="X1805" i="1"/>
  <c r="Y1805" i="1"/>
  <c r="W1778" i="1"/>
  <c r="X1778" i="1"/>
  <c r="Y1778" i="1"/>
  <c r="W1779" i="1"/>
  <c r="X1779" i="1"/>
  <c r="Y1779" i="1"/>
  <c r="W1780" i="1"/>
  <c r="X1780" i="1"/>
  <c r="Y1780" i="1"/>
  <c r="C1803" i="1"/>
  <c r="C1804" i="1"/>
  <c r="C1805" i="1"/>
  <c r="C1778" i="1"/>
  <c r="C1779" i="1"/>
  <c r="C1780" i="1"/>
  <c r="X1782" i="1"/>
  <c r="Y1782" i="1"/>
  <c r="W1781" i="1"/>
  <c r="W1782" i="1"/>
  <c r="X1783" i="1"/>
  <c r="Y1783" i="1"/>
  <c r="X1784" i="1"/>
  <c r="Y1784" i="1"/>
  <c r="X1785" i="1"/>
  <c r="Y1785" i="1"/>
  <c r="X1786" i="1"/>
  <c r="Y1786" i="1"/>
  <c r="W1783" i="1"/>
  <c r="W1784" i="1"/>
  <c r="W1785" i="1"/>
  <c r="W1786" i="1"/>
  <c r="W1787" i="1"/>
  <c r="C1782" i="1"/>
  <c r="C1783" i="1"/>
  <c r="C1784" i="1"/>
  <c r="C1785" i="1"/>
  <c r="C1786" i="1"/>
  <c r="I1789" i="1"/>
  <c r="AA1789" i="1" s="1"/>
  <c r="I1790" i="1"/>
  <c r="AA1790" i="1" s="1"/>
  <c r="I1791" i="1"/>
  <c r="AA1791" i="1" s="1"/>
  <c r="W1788" i="1"/>
  <c r="W1789" i="1"/>
  <c r="W1790" i="1"/>
  <c r="W1791" i="1"/>
  <c r="W1792" i="1"/>
  <c r="X1781" i="1"/>
  <c r="Y1781" i="1"/>
  <c r="X1787" i="1"/>
  <c r="Y1787" i="1"/>
  <c r="X1788" i="1"/>
  <c r="Y1788" i="1"/>
  <c r="X1789" i="1"/>
  <c r="Y1789" i="1"/>
  <c r="X1790" i="1"/>
  <c r="Y1790" i="1"/>
  <c r="X1791" i="1"/>
  <c r="Y1791" i="1"/>
  <c r="X1792" i="1"/>
  <c r="Y1792" i="1"/>
  <c r="X1793" i="1"/>
  <c r="Y1793" i="1"/>
  <c r="W1793" i="1"/>
  <c r="C1781" i="1"/>
  <c r="C1787" i="1"/>
  <c r="C1788" i="1"/>
  <c r="C1789" i="1"/>
  <c r="C1790" i="1"/>
  <c r="C1791" i="1"/>
  <c r="C1792" i="1"/>
  <c r="Y1694" i="1" l="1"/>
  <c r="Y1687" i="1"/>
  <c r="Y1676" i="1"/>
  <c r="X1694" i="1"/>
  <c r="X1687" i="1"/>
  <c r="X1676" i="1"/>
  <c r="W1694" i="1"/>
  <c r="W1687" i="1"/>
  <c r="W1676" i="1"/>
  <c r="Y1727" i="1"/>
  <c r="Y1709" i="1"/>
  <c r="Y1710" i="1"/>
  <c r="X1727" i="1"/>
  <c r="X1709" i="1"/>
  <c r="X1710" i="1"/>
  <c r="W1727" i="1"/>
  <c r="W1709" i="1"/>
  <c r="W1710" i="1"/>
  <c r="Y1761" i="1" l="1"/>
  <c r="Y1762" i="1"/>
  <c r="Y1742" i="1"/>
  <c r="Y1743" i="1"/>
  <c r="Y1726" i="1"/>
  <c r="X1761" i="1"/>
  <c r="X1762" i="1"/>
  <c r="X1742" i="1"/>
  <c r="X1743" i="1"/>
  <c r="X1726" i="1"/>
  <c r="W1761" i="1"/>
  <c r="W1762" i="1"/>
  <c r="W1742" i="1"/>
  <c r="W1743" i="1"/>
  <c r="W1726" i="1"/>
  <c r="Y1656" i="1"/>
  <c r="Y1657" i="1"/>
  <c r="Y1658" i="1"/>
  <c r="Y1659" i="1"/>
  <c r="Y1660" i="1"/>
  <c r="Y1661" i="1"/>
  <c r="X1656" i="1"/>
  <c r="X1657" i="1"/>
  <c r="X1658" i="1"/>
  <c r="X1659" i="1"/>
  <c r="X1660" i="1"/>
  <c r="X1661" i="1"/>
  <c r="W1656" i="1"/>
  <c r="W1657" i="1"/>
  <c r="W1658" i="1"/>
  <c r="W1659" i="1"/>
  <c r="W1660" i="1"/>
  <c r="W1661" i="1"/>
  <c r="Y1721" i="1" l="1"/>
  <c r="Y1722" i="1"/>
  <c r="Y1723" i="1"/>
  <c r="Y1724" i="1"/>
  <c r="Y1725" i="1"/>
  <c r="Y1705" i="1"/>
  <c r="Y1706" i="1"/>
  <c r="Y1707" i="1"/>
  <c r="Y1708" i="1"/>
  <c r="Y1672" i="1"/>
  <c r="Y1673" i="1"/>
  <c r="Y1674" i="1"/>
  <c r="Y1675" i="1"/>
  <c r="X1721" i="1"/>
  <c r="X1722" i="1"/>
  <c r="X1723" i="1"/>
  <c r="X1724" i="1"/>
  <c r="X1725" i="1"/>
  <c r="X1705" i="1"/>
  <c r="X1706" i="1"/>
  <c r="X1707" i="1"/>
  <c r="X1708" i="1"/>
  <c r="X1672" i="1"/>
  <c r="X1673" i="1"/>
  <c r="X1674" i="1"/>
  <c r="X1675" i="1"/>
  <c r="W1721" i="1"/>
  <c r="W1722" i="1"/>
  <c r="W1723" i="1"/>
  <c r="W1724" i="1"/>
  <c r="W1725" i="1"/>
  <c r="W1705" i="1"/>
  <c r="W1706" i="1"/>
  <c r="W1707" i="1"/>
  <c r="W1708" i="1"/>
  <c r="W1672" i="1"/>
  <c r="W1673" i="1"/>
  <c r="W1674" i="1"/>
  <c r="W1675" i="1"/>
  <c r="Y1771" i="1"/>
  <c r="Y1772" i="1"/>
  <c r="Y1769" i="1"/>
  <c r="Y1770" i="1"/>
  <c r="Y1756" i="1"/>
  <c r="Y1757" i="1"/>
  <c r="Y1758" i="1"/>
  <c r="Y1759" i="1"/>
  <c r="Y1760" i="1"/>
  <c r="Y1738" i="1"/>
  <c r="Y1739" i="1"/>
  <c r="Y1740" i="1"/>
  <c r="Y1741" i="1"/>
  <c r="Y1720" i="1"/>
  <c r="X1771" i="1"/>
  <c r="X1772" i="1"/>
  <c r="X1769" i="1"/>
  <c r="X1770" i="1"/>
  <c r="X1756" i="1"/>
  <c r="X1757" i="1"/>
  <c r="X1758" i="1"/>
  <c r="X1759" i="1"/>
  <c r="X1760" i="1"/>
  <c r="X1738" i="1"/>
  <c r="X1739" i="1"/>
  <c r="X1740" i="1"/>
  <c r="X1741" i="1"/>
  <c r="X1720" i="1"/>
  <c r="W1771" i="1"/>
  <c r="W1772" i="1"/>
  <c r="W1769" i="1"/>
  <c r="W1770" i="1"/>
  <c r="W1756" i="1"/>
  <c r="W1757" i="1"/>
  <c r="W1758" i="1"/>
  <c r="W1759" i="1"/>
  <c r="W1760" i="1"/>
  <c r="W1738" i="1"/>
  <c r="W1739" i="1"/>
  <c r="W1740" i="1"/>
  <c r="W1741" i="1"/>
  <c r="W1720" i="1"/>
  <c r="Y1685" i="1"/>
  <c r="Y1686" i="1"/>
  <c r="Y1511" i="1"/>
  <c r="Y1665" i="1"/>
  <c r="Y1666" i="1"/>
  <c r="Y1667" i="1"/>
  <c r="Y1668" i="1"/>
  <c r="Y1669" i="1"/>
  <c r="Y1670" i="1"/>
  <c r="Y1671" i="1"/>
  <c r="Y1653" i="1"/>
  <c r="Y1654" i="1"/>
  <c r="Y1655" i="1"/>
  <c r="X1655" i="1"/>
  <c r="X1685" i="1"/>
  <c r="X1686" i="1"/>
  <c r="X1511" i="1"/>
  <c r="X1665" i="1"/>
  <c r="X1666" i="1"/>
  <c r="X1667" i="1"/>
  <c r="X1668" i="1"/>
  <c r="X1669" i="1"/>
  <c r="X1670" i="1"/>
  <c r="X1671" i="1"/>
  <c r="X1653" i="1"/>
  <c r="X1654" i="1"/>
  <c r="W1685" i="1"/>
  <c r="W1686" i="1"/>
  <c r="W1511" i="1"/>
  <c r="W1665" i="1"/>
  <c r="W1666" i="1"/>
  <c r="W1667" i="1"/>
  <c r="W1668" i="1"/>
  <c r="W1669" i="1"/>
  <c r="W1670" i="1"/>
  <c r="W1671" i="1"/>
  <c r="W1653" i="1"/>
  <c r="W1654" i="1"/>
  <c r="W1655" i="1"/>
  <c r="Y1717" i="1"/>
  <c r="Y1718" i="1"/>
  <c r="Y1719" i="1"/>
  <c r="Y1702" i="1"/>
  <c r="Y1703" i="1"/>
  <c r="Y1704" i="1"/>
  <c r="Y1697" i="1"/>
  <c r="Y1696" i="1"/>
  <c r="Y1690" i="1"/>
  <c r="Y1691" i="1"/>
  <c r="Y1692" i="1"/>
  <c r="Y1693" i="1"/>
  <c r="Y1682" i="1"/>
  <c r="Y1683" i="1"/>
  <c r="Y1684" i="1"/>
  <c r="X1717" i="1"/>
  <c r="X1718" i="1"/>
  <c r="X1719" i="1"/>
  <c r="X1702" i="1"/>
  <c r="X1703" i="1"/>
  <c r="X1704" i="1"/>
  <c r="X1697" i="1"/>
  <c r="X1696" i="1"/>
  <c r="X1690" i="1"/>
  <c r="X1691" i="1"/>
  <c r="X1692" i="1"/>
  <c r="X1693" i="1"/>
  <c r="X1682" i="1"/>
  <c r="X1683" i="1"/>
  <c r="X1684" i="1"/>
  <c r="W1717" i="1"/>
  <c r="W1718" i="1"/>
  <c r="W1719" i="1"/>
  <c r="W1702" i="1"/>
  <c r="W1703" i="1"/>
  <c r="W1704" i="1"/>
  <c r="W1697" i="1"/>
  <c r="W1696" i="1"/>
  <c r="W1690" i="1"/>
  <c r="W1691" i="1"/>
  <c r="W1692" i="1"/>
  <c r="W1693" i="1"/>
  <c r="W1682" i="1"/>
  <c r="W1683" i="1"/>
  <c r="W1684" i="1"/>
  <c r="Y1766" i="1"/>
  <c r="Y1767" i="1"/>
  <c r="Y1768" i="1"/>
  <c r="Y1753" i="1"/>
  <c r="Y1754" i="1"/>
  <c r="Y1755" i="1"/>
  <c r="Y1732" i="1"/>
  <c r="Y1733" i="1"/>
  <c r="Y1734" i="1"/>
  <c r="Y1735" i="1"/>
  <c r="Y1736" i="1"/>
  <c r="Y1737" i="1"/>
  <c r="Y1715" i="1"/>
  <c r="Y1716" i="1"/>
  <c r="X1766" i="1"/>
  <c r="X1767" i="1"/>
  <c r="X1768" i="1"/>
  <c r="X1753" i="1"/>
  <c r="X1754" i="1"/>
  <c r="X1755" i="1"/>
  <c r="X1732" i="1"/>
  <c r="X1733" i="1"/>
  <c r="X1734" i="1"/>
  <c r="X1735" i="1"/>
  <c r="X1736" i="1"/>
  <c r="X1737" i="1"/>
  <c r="X1715" i="1"/>
  <c r="X1716" i="1"/>
  <c r="W1766" i="1"/>
  <c r="W1767" i="1"/>
  <c r="W1768" i="1"/>
  <c r="W1753" i="1"/>
  <c r="W1754" i="1"/>
  <c r="W1755" i="1"/>
  <c r="W1732" i="1"/>
  <c r="W1733" i="1"/>
  <c r="W1734" i="1"/>
  <c r="W1735" i="1"/>
  <c r="W1736" i="1"/>
  <c r="W1737" i="1"/>
  <c r="W1715" i="1"/>
  <c r="W1716" i="1"/>
  <c r="Y1689" i="1"/>
  <c r="Y1679" i="1"/>
  <c r="Y1680" i="1"/>
  <c r="Y1681" i="1"/>
  <c r="Y1663" i="1"/>
  <c r="Y1664" i="1"/>
  <c r="Y1652" i="1"/>
  <c r="X1689" i="1"/>
  <c r="X1679" i="1"/>
  <c r="X1680" i="1"/>
  <c r="X1681" i="1"/>
  <c r="X1663" i="1"/>
  <c r="X1664" i="1"/>
  <c r="X1652" i="1"/>
  <c r="W1689" i="1"/>
  <c r="W1679" i="1"/>
  <c r="W1680" i="1"/>
  <c r="W1681" i="1"/>
  <c r="W1663" i="1"/>
  <c r="W1664" i="1"/>
  <c r="W1652" i="1"/>
  <c r="Y1731" i="1"/>
  <c r="Y1712" i="1"/>
  <c r="Y1713" i="1"/>
  <c r="Y1714" i="1"/>
  <c r="Y1700" i="1"/>
  <c r="Y1701" i="1"/>
  <c r="Y1695" i="1"/>
  <c r="Y1688" i="1"/>
  <c r="X1731" i="1"/>
  <c r="X1712" i="1"/>
  <c r="X1713" i="1"/>
  <c r="X1714" i="1"/>
  <c r="X1700" i="1"/>
  <c r="X1701" i="1"/>
  <c r="X1695" i="1"/>
  <c r="X1688" i="1"/>
  <c r="W1731" i="1"/>
  <c r="W1712" i="1"/>
  <c r="W1713" i="1"/>
  <c r="W1714" i="1"/>
  <c r="W1700" i="1"/>
  <c r="W1701" i="1"/>
  <c r="W1695" i="1"/>
  <c r="W1688" i="1"/>
  <c r="Y1764" i="1"/>
  <c r="Y1765" i="1"/>
  <c r="Y1748" i="1"/>
  <c r="Y1749" i="1"/>
  <c r="Y1750" i="1"/>
  <c r="Y1751" i="1"/>
  <c r="Y1752" i="1"/>
  <c r="Y1730" i="1"/>
  <c r="X1730" i="1"/>
  <c r="X1764" i="1"/>
  <c r="X1765" i="1"/>
  <c r="X1748" i="1"/>
  <c r="X1749" i="1"/>
  <c r="X1750" i="1"/>
  <c r="X1751" i="1"/>
  <c r="X1752" i="1"/>
  <c r="W1764" i="1"/>
  <c r="W1765" i="1"/>
  <c r="W1748" i="1"/>
  <c r="W1749" i="1"/>
  <c r="W1750" i="1"/>
  <c r="W1751" i="1"/>
  <c r="W1752" i="1"/>
  <c r="W1730" i="1"/>
  <c r="Y1698" i="1"/>
  <c r="Y1699" i="1"/>
  <c r="Y1677" i="1"/>
  <c r="Y1678" i="1"/>
  <c r="Y1662" i="1"/>
  <c r="Y1650" i="1"/>
  <c r="Y1651" i="1"/>
  <c r="X1698" i="1"/>
  <c r="X1699" i="1"/>
  <c r="X1677" i="1"/>
  <c r="X1678" i="1"/>
  <c r="X1662" i="1"/>
  <c r="X1650" i="1"/>
  <c r="X1651" i="1"/>
  <c r="W1698" i="1"/>
  <c r="W1699" i="1"/>
  <c r="W1677" i="1"/>
  <c r="W1678" i="1"/>
  <c r="W1662" i="1"/>
  <c r="W1650" i="1"/>
  <c r="W1651" i="1"/>
  <c r="Y1763" i="1"/>
  <c r="Y1744" i="1"/>
  <c r="Y1745" i="1"/>
  <c r="Y1746" i="1"/>
  <c r="Y1747" i="1"/>
  <c r="Y1728" i="1"/>
  <c r="Y1729" i="1"/>
  <c r="Y1711" i="1"/>
  <c r="X1763" i="1"/>
  <c r="X1744" i="1"/>
  <c r="X1745" i="1"/>
  <c r="X1746" i="1"/>
  <c r="X1747" i="1"/>
  <c r="X1728" i="1"/>
  <c r="X1729" i="1"/>
  <c r="X1711" i="1"/>
  <c r="W1763" i="1"/>
  <c r="W1744" i="1"/>
  <c r="W1745" i="1"/>
  <c r="W1746" i="1"/>
  <c r="W1747" i="1"/>
  <c r="W1728" i="1"/>
  <c r="W1729" i="1"/>
  <c r="W1711" i="1"/>
  <c r="Y1649" i="1" l="1"/>
  <c r="Y1634" i="1"/>
  <c r="Y1622" i="1"/>
  <c r="Y1623" i="1"/>
  <c r="Y1609" i="1"/>
  <c r="Y1595" i="1"/>
  <c r="X1649" i="1"/>
  <c r="X1634" i="1"/>
  <c r="X1622" i="1"/>
  <c r="X1623" i="1"/>
  <c r="X1609" i="1"/>
  <c r="X1595" i="1"/>
  <c r="W1649" i="1"/>
  <c r="W1634" i="1"/>
  <c r="W1622" i="1"/>
  <c r="W1623" i="1"/>
  <c r="W1609" i="1"/>
  <c r="W1595" i="1"/>
  <c r="Y1586" i="1"/>
  <c r="X1586" i="1"/>
  <c r="W1586" i="1"/>
  <c r="Y1604" i="1"/>
  <c r="Y1605" i="1"/>
  <c r="Y1606" i="1"/>
  <c r="Y1607" i="1"/>
  <c r="Y1608" i="1"/>
  <c r="Y1594" i="1"/>
  <c r="Y1582" i="1"/>
  <c r="Y1583" i="1"/>
  <c r="Y1584" i="1"/>
  <c r="Y1585" i="1"/>
  <c r="X1604" i="1"/>
  <c r="X1605" i="1"/>
  <c r="X1606" i="1"/>
  <c r="X1607" i="1"/>
  <c r="X1608" i="1"/>
  <c r="X1594" i="1"/>
  <c r="X1582" i="1"/>
  <c r="X1583" i="1"/>
  <c r="X1584" i="1"/>
  <c r="X1585" i="1"/>
  <c r="W1604" i="1"/>
  <c r="W1605" i="1"/>
  <c r="W1606" i="1"/>
  <c r="W1607" i="1"/>
  <c r="W1608" i="1"/>
  <c r="W1594" i="1"/>
  <c r="W1582" i="1"/>
  <c r="W1583" i="1"/>
  <c r="W1584" i="1"/>
  <c r="W1585" i="1"/>
  <c r="Y1642" i="1"/>
  <c r="Y1643" i="1"/>
  <c r="Y1644" i="1"/>
  <c r="Y1645" i="1"/>
  <c r="Y1646" i="1"/>
  <c r="Y1647" i="1"/>
  <c r="Y1648" i="1"/>
  <c r="Y1636" i="1"/>
  <c r="Y1630" i="1"/>
  <c r="Y1631" i="1"/>
  <c r="Y1632" i="1"/>
  <c r="Y1633" i="1"/>
  <c r="Y1620" i="1"/>
  <c r="Y1621" i="1"/>
  <c r="X1642" i="1"/>
  <c r="X1643" i="1"/>
  <c r="X1644" i="1"/>
  <c r="X1645" i="1"/>
  <c r="X1646" i="1"/>
  <c r="X1647" i="1"/>
  <c r="X1648" i="1"/>
  <c r="X1636" i="1"/>
  <c r="X1630" i="1"/>
  <c r="X1631" i="1"/>
  <c r="X1632" i="1"/>
  <c r="X1633" i="1"/>
  <c r="X1620" i="1"/>
  <c r="X1621" i="1"/>
  <c r="W1642" i="1"/>
  <c r="W1643" i="1"/>
  <c r="W1644" i="1"/>
  <c r="W1645" i="1"/>
  <c r="W1646" i="1"/>
  <c r="W1647" i="1"/>
  <c r="W1648" i="1"/>
  <c r="W1636" i="1"/>
  <c r="W1630" i="1"/>
  <c r="W1631" i="1"/>
  <c r="W1632" i="1"/>
  <c r="W1633" i="1"/>
  <c r="W1620" i="1"/>
  <c r="W1621" i="1"/>
  <c r="Y1603" i="1"/>
  <c r="Y1591" i="1"/>
  <c r="Y1592" i="1"/>
  <c r="Y1593" i="1"/>
  <c r="Y1578" i="1"/>
  <c r="Y1579" i="1"/>
  <c r="Y1580" i="1"/>
  <c r="Y1581" i="1"/>
  <c r="X1603" i="1"/>
  <c r="X1591" i="1"/>
  <c r="X1592" i="1"/>
  <c r="X1593" i="1"/>
  <c r="X1578" i="1"/>
  <c r="X1579" i="1"/>
  <c r="X1580" i="1"/>
  <c r="X1581" i="1"/>
  <c r="W1603" i="1"/>
  <c r="W1591" i="1"/>
  <c r="W1592" i="1"/>
  <c r="W1593" i="1"/>
  <c r="W1578" i="1"/>
  <c r="W1579" i="1"/>
  <c r="W1580" i="1"/>
  <c r="W1581" i="1"/>
  <c r="Y1639" i="1"/>
  <c r="Y1640" i="1"/>
  <c r="Y1641" i="1"/>
  <c r="Y1626" i="1"/>
  <c r="Y1627" i="1"/>
  <c r="Y1628" i="1"/>
  <c r="Y1629" i="1"/>
  <c r="Y1617" i="1"/>
  <c r="Y1618" i="1"/>
  <c r="Y1619" i="1"/>
  <c r="Y1601" i="1"/>
  <c r="Y1602" i="1"/>
  <c r="X1639" i="1"/>
  <c r="X1640" i="1"/>
  <c r="X1641" i="1"/>
  <c r="X1626" i="1"/>
  <c r="X1627" i="1"/>
  <c r="X1628" i="1"/>
  <c r="X1629" i="1"/>
  <c r="X1617" i="1"/>
  <c r="X1618" i="1"/>
  <c r="X1619" i="1"/>
  <c r="X1601" i="1"/>
  <c r="X1602" i="1"/>
  <c r="W1639" i="1"/>
  <c r="W1640" i="1"/>
  <c r="W1641" i="1"/>
  <c r="W1626" i="1"/>
  <c r="W1627" i="1"/>
  <c r="W1628" i="1"/>
  <c r="W1629" i="1"/>
  <c r="W1617" i="1"/>
  <c r="W1618" i="1"/>
  <c r="W1619" i="1"/>
  <c r="W1601" i="1"/>
  <c r="W1602" i="1"/>
  <c r="Y1599" i="1"/>
  <c r="Y1600" i="1"/>
  <c r="Y1588" i="1"/>
  <c r="Y1589" i="1"/>
  <c r="Y1590" i="1"/>
  <c r="Y1576" i="1"/>
  <c r="Y1577" i="1"/>
  <c r="X1599" i="1"/>
  <c r="X1600" i="1"/>
  <c r="X1588" i="1"/>
  <c r="X1589" i="1"/>
  <c r="X1590" i="1"/>
  <c r="X1576" i="1"/>
  <c r="X1577" i="1"/>
  <c r="W1599" i="1"/>
  <c r="W1600" i="1"/>
  <c r="W1588" i="1"/>
  <c r="W1589" i="1"/>
  <c r="W1590" i="1"/>
  <c r="W1576" i="1"/>
  <c r="W1577" i="1"/>
  <c r="Y1638" i="1"/>
  <c r="Y1635" i="1"/>
  <c r="Y1624" i="1"/>
  <c r="Y1625" i="1"/>
  <c r="Y1613" i="1"/>
  <c r="Y1614" i="1"/>
  <c r="Y1615" i="1"/>
  <c r="Y1616" i="1"/>
  <c r="X1638" i="1"/>
  <c r="X1635" i="1"/>
  <c r="X1624" i="1"/>
  <c r="X1625" i="1"/>
  <c r="X1613" i="1"/>
  <c r="X1614" i="1"/>
  <c r="X1615" i="1"/>
  <c r="X1616" i="1"/>
  <c r="W1638" i="1"/>
  <c r="W1635" i="1"/>
  <c r="W1624" i="1"/>
  <c r="W1625" i="1"/>
  <c r="W1613" i="1"/>
  <c r="W1614" i="1"/>
  <c r="W1615" i="1"/>
  <c r="W1616" i="1"/>
  <c r="Y1587" i="1" l="1"/>
  <c r="Y1574" i="1"/>
  <c r="Y1575" i="1"/>
  <c r="X1587" i="1"/>
  <c r="X1574" i="1"/>
  <c r="X1575" i="1"/>
  <c r="W1587" i="1"/>
  <c r="W1574" i="1"/>
  <c r="W1575" i="1"/>
  <c r="Y1610" i="1" l="1"/>
  <c r="Y1637" i="1"/>
  <c r="Y1611" i="1"/>
  <c r="Y1612" i="1"/>
  <c r="Y1596" i="1"/>
  <c r="Y1597" i="1"/>
  <c r="Y1598" i="1"/>
  <c r="X1610" i="1"/>
  <c r="X1637" i="1"/>
  <c r="X1611" i="1"/>
  <c r="X1612" i="1"/>
  <c r="X1596" i="1"/>
  <c r="X1597" i="1"/>
  <c r="X1598" i="1"/>
  <c r="W1610" i="1"/>
  <c r="W1637" i="1"/>
  <c r="W1611" i="1"/>
  <c r="W1612" i="1"/>
  <c r="W1596" i="1"/>
  <c r="W1597" i="1"/>
  <c r="W1598" i="1"/>
  <c r="W1484" i="1"/>
  <c r="X1484" i="1"/>
  <c r="Y1484" i="1"/>
  <c r="W1485" i="1"/>
  <c r="X1485" i="1"/>
  <c r="Y1485" i="1"/>
  <c r="W1486" i="1"/>
  <c r="X1486" i="1"/>
  <c r="Y1486" i="1"/>
  <c r="W1487" i="1"/>
  <c r="X1487" i="1"/>
  <c r="Y1487" i="1"/>
  <c r="W1499" i="1"/>
  <c r="X1499" i="1"/>
  <c r="Y1499" i="1"/>
  <c r="W1500" i="1"/>
  <c r="X1500" i="1"/>
  <c r="Y1500" i="1"/>
  <c r="X1515" i="1"/>
  <c r="Y1515" i="1"/>
  <c r="W1515" i="1"/>
  <c r="Y1532" i="1"/>
  <c r="Y1531" i="1"/>
  <c r="X1531" i="1"/>
  <c r="X1532" i="1"/>
  <c r="W1531" i="1"/>
  <c r="W1532" i="1"/>
  <c r="Y1542" i="1"/>
  <c r="X1542" i="1"/>
  <c r="W1542" i="1"/>
  <c r="Y1556" i="1"/>
  <c r="Y1557" i="1"/>
  <c r="Y1558" i="1"/>
  <c r="X1556" i="1"/>
  <c r="X1557" i="1"/>
  <c r="X1558" i="1"/>
  <c r="W1556" i="1"/>
  <c r="W1557" i="1"/>
  <c r="W1558" i="1"/>
  <c r="Y1563" i="1"/>
  <c r="Y1564" i="1"/>
  <c r="Y1565" i="1"/>
  <c r="Y1566" i="1"/>
  <c r="X1563" i="1"/>
  <c r="X1564" i="1"/>
  <c r="X1565" i="1"/>
  <c r="X1566" i="1"/>
  <c r="W1563" i="1"/>
  <c r="W1564" i="1"/>
  <c r="W1565" i="1"/>
  <c r="W1566" i="1"/>
  <c r="Y1571" i="1"/>
  <c r="Y1572" i="1"/>
  <c r="Y1573" i="1"/>
  <c r="Y1568" i="1"/>
  <c r="Y1569" i="1"/>
  <c r="Y1570" i="1"/>
  <c r="X1571" i="1"/>
  <c r="X1572" i="1"/>
  <c r="X1573" i="1"/>
  <c r="X1568" i="1"/>
  <c r="X1569" i="1"/>
  <c r="X1570" i="1"/>
  <c r="W1571" i="1"/>
  <c r="W1572" i="1"/>
  <c r="W1573" i="1"/>
  <c r="W1568" i="1"/>
  <c r="W1569" i="1"/>
  <c r="W1570" i="1"/>
  <c r="W1559" i="1"/>
  <c r="Y1567" i="1" l="1"/>
  <c r="Y1547" i="1"/>
  <c r="Y1534" i="1"/>
  <c r="Y1525" i="1"/>
  <c r="Y1526" i="1"/>
  <c r="Y1505" i="1"/>
  <c r="Y1506" i="1"/>
  <c r="X1567" i="1"/>
  <c r="X1547" i="1"/>
  <c r="X1534" i="1"/>
  <c r="X1525" i="1"/>
  <c r="X1526" i="1"/>
  <c r="X1505" i="1"/>
  <c r="X1506" i="1"/>
  <c r="W1567" i="1"/>
  <c r="W1547" i="1"/>
  <c r="W1534" i="1"/>
  <c r="W1525" i="1"/>
  <c r="W1526" i="1"/>
  <c r="W1505" i="1"/>
  <c r="W1506" i="1"/>
  <c r="Y1543" i="1"/>
  <c r="Y1544" i="1"/>
  <c r="Y1545" i="1"/>
  <c r="Y1546" i="1"/>
  <c r="Y1518" i="1"/>
  <c r="Y1519" i="1"/>
  <c r="Y1520" i="1"/>
  <c r="Y1521" i="1"/>
  <c r="Y1522" i="1"/>
  <c r="Y1523" i="1"/>
  <c r="Y1524" i="1"/>
  <c r="Y1496" i="1"/>
  <c r="Y1497" i="1"/>
  <c r="X1543" i="1"/>
  <c r="X1544" i="1"/>
  <c r="X1545" i="1"/>
  <c r="X1546" i="1"/>
  <c r="X1518" i="1"/>
  <c r="X1519" i="1"/>
  <c r="X1520" i="1"/>
  <c r="X1521" i="1"/>
  <c r="X1522" i="1"/>
  <c r="X1523" i="1"/>
  <c r="X1524" i="1"/>
  <c r="X1496" i="1"/>
  <c r="X1497" i="1"/>
  <c r="W1543" i="1"/>
  <c r="W1544" i="1"/>
  <c r="W1545" i="1"/>
  <c r="W1546" i="1"/>
  <c r="W1518" i="1"/>
  <c r="W1519" i="1"/>
  <c r="W1520" i="1"/>
  <c r="W1521" i="1"/>
  <c r="W1522" i="1"/>
  <c r="W1523" i="1"/>
  <c r="W1524" i="1"/>
  <c r="W1496" i="1"/>
  <c r="W1497" i="1"/>
  <c r="Y1507" i="1"/>
  <c r="Y1508" i="1"/>
  <c r="Y1501" i="1"/>
  <c r="Y1502" i="1"/>
  <c r="Y1503" i="1"/>
  <c r="Y1504" i="1"/>
  <c r="Y1488" i="1"/>
  <c r="Y1489" i="1"/>
  <c r="Y1490" i="1"/>
  <c r="Y1491" i="1"/>
  <c r="Y1492" i="1"/>
  <c r="Y1493" i="1"/>
  <c r="Y1494" i="1"/>
  <c r="Y1495" i="1"/>
  <c r="X1507" i="1"/>
  <c r="X1508" i="1"/>
  <c r="X1501" i="1"/>
  <c r="X1502" i="1"/>
  <c r="X1503" i="1"/>
  <c r="X1504" i="1"/>
  <c r="X1488" i="1"/>
  <c r="X1489" i="1"/>
  <c r="X1490" i="1"/>
  <c r="X1491" i="1"/>
  <c r="X1492" i="1"/>
  <c r="X1493" i="1"/>
  <c r="X1494" i="1"/>
  <c r="X1495" i="1"/>
  <c r="W1507" i="1"/>
  <c r="W1508" i="1"/>
  <c r="W1501" i="1"/>
  <c r="W1502" i="1"/>
  <c r="W1503" i="1"/>
  <c r="W1504" i="1"/>
  <c r="W1488" i="1"/>
  <c r="W1489" i="1"/>
  <c r="W1490" i="1"/>
  <c r="W1491" i="1"/>
  <c r="W1492" i="1"/>
  <c r="W1493" i="1"/>
  <c r="W1494" i="1"/>
  <c r="W1495" i="1"/>
  <c r="Y1561" i="1"/>
  <c r="Y1562" i="1"/>
  <c r="Y1552" i="1"/>
  <c r="Y1553" i="1"/>
  <c r="Y1554" i="1"/>
  <c r="Y1555" i="1"/>
  <c r="Y1539" i="1"/>
  <c r="Y1540" i="1"/>
  <c r="Y1541" i="1"/>
  <c r="Y1533" i="1"/>
  <c r="Y1516" i="1"/>
  <c r="Y1517" i="1"/>
  <c r="Y1509" i="1"/>
  <c r="Y1510" i="1"/>
  <c r="X1561" i="1"/>
  <c r="X1562" i="1"/>
  <c r="X1552" i="1"/>
  <c r="X1553" i="1"/>
  <c r="X1554" i="1"/>
  <c r="X1555" i="1"/>
  <c r="X1539" i="1"/>
  <c r="X1540" i="1"/>
  <c r="X1541" i="1"/>
  <c r="X1533" i="1"/>
  <c r="X1516" i="1"/>
  <c r="X1517" i="1"/>
  <c r="X1509" i="1"/>
  <c r="X1510" i="1"/>
  <c r="W1561" i="1"/>
  <c r="W1562" i="1"/>
  <c r="W1552" i="1"/>
  <c r="W1553" i="1"/>
  <c r="W1554" i="1"/>
  <c r="W1555" i="1"/>
  <c r="W1539" i="1"/>
  <c r="W1540" i="1"/>
  <c r="W1541" i="1"/>
  <c r="W1533" i="1"/>
  <c r="W1516" i="1"/>
  <c r="W1517" i="1"/>
  <c r="W1509" i="1"/>
  <c r="W1510" i="1"/>
  <c r="Y1560" i="1"/>
  <c r="Y1549" i="1"/>
  <c r="Y1550" i="1"/>
  <c r="Y1551" i="1"/>
  <c r="Y1537" i="1"/>
  <c r="Y1538" i="1"/>
  <c r="Y1529" i="1"/>
  <c r="Y1530" i="1"/>
  <c r="X1560" i="1"/>
  <c r="X1549" i="1"/>
  <c r="X1550" i="1"/>
  <c r="X1551" i="1"/>
  <c r="X1537" i="1"/>
  <c r="X1538" i="1"/>
  <c r="X1529" i="1"/>
  <c r="X1530" i="1"/>
  <c r="W1560" i="1"/>
  <c r="W1549" i="1"/>
  <c r="W1550" i="1"/>
  <c r="W1551" i="1"/>
  <c r="W1537" i="1"/>
  <c r="W1538" i="1"/>
  <c r="W1529" i="1"/>
  <c r="W1530" i="1"/>
  <c r="Y1514" i="1"/>
  <c r="Y1498" i="1"/>
  <c r="X1514" i="1"/>
  <c r="X1498" i="1"/>
  <c r="W1514" i="1"/>
  <c r="W1498" i="1"/>
  <c r="Y1559" i="1"/>
  <c r="Y1548" i="1"/>
  <c r="Y1535" i="1"/>
  <c r="Y1536" i="1"/>
  <c r="Y1527" i="1"/>
  <c r="Y1528" i="1"/>
  <c r="Y1512" i="1"/>
  <c r="Y1513" i="1"/>
  <c r="X1559" i="1"/>
  <c r="X1548" i="1"/>
  <c r="X1535" i="1"/>
  <c r="X1536" i="1"/>
  <c r="X1527" i="1"/>
  <c r="X1528" i="1"/>
  <c r="X1512" i="1"/>
  <c r="X1513" i="1"/>
  <c r="W1548" i="1"/>
  <c r="W1535" i="1"/>
  <c r="W1536" i="1"/>
  <c r="W1527" i="1"/>
  <c r="W1528" i="1"/>
  <c r="W1512" i="1"/>
  <c r="W1513" i="1"/>
  <c r="Y1483" i="1" l="1"/>
  <c r="Y1470" i="1"/>
  <c r="Y1471" i="1"/>
  <c r="Y1448" i="1"/>
  <c r="Y1434" i="1"/>
  <c r="Y1435" i="1"/>
  <c r="X1483" i="1"/>
  <c r="X1470" i="1"/>
  <c r="X1471" i="1"/>
  <c r="X1448" i="1"/>
  <c r="X1434" i="1"/>
  <c r="X1435" i="1"/>
  <c r="W1483" i="1"/>
  <c r="W1470" i="1"/>
  <c r="W1471" i="1"/>
  <c r="W1448" i="1"/>
  <c r="W1434" i="1"/>
  <c r="W1435" i="1"/>
  <c r="Y1445" i="1"/>
  <c r="Y1446" i="1"/>
  <c r="Y1447" i="1"/>
  <c r="Y1430" i="1"/>
  <c r="Y1431" i="1"/>
  <c r="Y1432" i="1"/>
  <c r="Y1433" i="1"/>
  <c r="X1445" i="1"/>
  <c r="X1446" i="1"/>
  <c r="X1447" i="1"/>
  <c r="X1430" i="1"/>
  <c r="X1431" i="1"/>
  <c r="X1432" i="1"/>
  <c r="X1433" i="1"/>
  <c r="W1445" i="1"/>
  <c r="W1446" i="1"/>
  <c r="W1447" i="1"/>
  <c r="W1430" i="1"/>
  <c r="W1431" i="1"/>
  <c r="W1432" i="1"/>
  <c r="W1433" i="1"/>
  <c r="Y1479" i="1"/>
  <c r="Y1480" i="1"/>
  <c r="Y1481" i="1"/>
  <c r="Y1482" i="1"/>
  <c r="Y1463" i="1"/>
  <c r="Y1464" i="1"/>
  <c r="Y1465" i="1"/>
  <c r="Y1466" i="1"/>
  <c r="Y1467" i="1"/>
  <c r="Y1468" i="1"/>
  <c r="Y1469" i="1"/>
  <c r="Y1450" i="1"/>
  <c r="Y1451" i="1"/>
  <c r="X1479" i="1"/>
  <c r="X1480" i="1"/>
  <c r="X1481" i="1"/>
  <c r="X1482" i="1"/>
  <c r="X1463" i="1"/>
  <c r="X1464" i="1"/>
  <c r="X1465" i="1"/>
  <c r="X1466" i="1"/>
  <c r="X1467" i="1"/>
  <c r="X1468" i="1"/>
  <c r="X1469" i="1"/>
  <c r="X1450" i="1"/>
  <c r="X1451" i="1"/>
  <c r="W1479" i="1"/>
  <c r="W1480" i="1"/>
  <c r="W1481" i="1"/>
  <c r="W1482" i="1"/>
  <c r="W1463" i="1"/>
  <c r="W1464" i="1"/>
  <c r="W1465" i="1"/>
  <c r="W1466" i="1"/>
  <c r="W1467" i="1"/>
  <c r="W1468" i="1"/>
  <c r="W1469" i="1"/>
  <c r="W1450" i="1"/>
  <c r="W1451" i="1"/>
  <c r="Y1441" i="1"/>
  <c r="Y1442" i="1"/>
  <c r="Y1443" i="1"/>
  <c r="Y1444" i="1"/>
  <c r="Y1427" i="1"/>
  <c r="Y1428" i="1"/>
  <c r="Y1429" i="1"/>
  <c r="X1441" i="1"/>
  <c r="X1442" i="1"/>
  <c r="X1443" i="1"/>
  <c r="X1444" i="1"/>
  <c r="X1427" i="1"/>
  <c r="X1428" i="1"/>
  <c r="X1429" i="1"/>
  <c r="W1441" i="1"/>
  <c r="W1442" i="1"/>
  <c r="W1443" i="1"/>
  <c r="W1444" i="1"/>
  <c r="W1427" i="1"/>
  <c r="W1428" i="1"/>
  <c r="W1429" i="1"/>
  <c r="Y1475" i="1"/>
  <c r="Y1476" i="1"/>
  <c r="Y1477" i="1"/>
  <c r="Y1478" i="1"/>
  <c r="Y1455" i="1"/>
  <c r="Y1456" i="1"/>
  <c r="Y1457" i="1"/>
  <c r="Y1458" i="1"/>
  <c r="Y1459" i="1"/>
  <c r="Y1460" i="1"/>
  <c r="Y1461" i="1"/>
  <c r="Y1462" i="1"/>
  <c r="X1475" i="1"/>
  <c r="X1476" i="1"/>
  <c r="X1477" i="1"/>
  <c r="X1478" i="1"/>
  <c r="X1455" i="1"/>
  <c r="X1456" i="1"/>
  <c r="X1457" i="1"/>
  <c r="X1458" i="1"/>
  <c r="X1459" i="1"/>
  <c r="X1460" i="1"/>
  <c r="X1461" i="1"/>
  <c r="X1462" i="1"/>
  <c r="W1475" i="1"/>
  <c r="W1476" i="1"/>
  <c r="W1477" i="1"/>
  <c r="W1478" i="1"/>
  <c r="W1455" i="1"/>
  <c r="W1456" i="1"/>
  <c r="W1457" i="1"/>
  <c r="W1458" i="1"/>
  <c r="W1459" i="1"/>
  <c r="W1460" i="1"/>
  <c r="W1461" i="1"/>
  <c r="W1462" i="1"/>
  <c r="Y1439" i="1"/>
  <c r="Y1440" i="1"/>
  <c r="Y1425" i="1"/>
  <c r="Y1426" i="1"/>
  <c r="X1439" i="1"/>
  <c r="X1440" i="1"/>
  <c r="X1425" i="1"/>
  <c r="X1426" i="1"/>
  <c r="W1439" i="1"/>
  <c r="W1440" i="1"/>
  <c r="W1425" i="1"/>
  <c r="W1426" i="1"/>
  <c r="Y1472" i="1"/>
  <c r="Y1473" i="1"/>
  <c r="Y1474" i="1"/>
  <c r="Y1452" i="1"/>
  <c r="Y1453" i="1"/>
  <c r="Y1454" i="1"/>
  <c r="Y1449" i="1"/>
  <c r="X1472" i="1"/>
  <c r="X1473" i="1"/>
  <c r="X1474" i="1"/>
  <c r="X1452" i="1"/>
  <c r="X1453" i="1"/>
  <c r="X1454" i="1"/>
  <c r="X1449" i="1"/>
  <c r="W1472" i="1"/>
  <c r="W1473" i="1"/>
  <c r="W1474" i="1"/>
  <c r="W1452" i="1"/>
  <c r="W1453" i="1"/>
  <c r="W1454" i="1"/>
  <c r="W1449" i="1"/>
  <c r="Y1436" i="1"/>
  <c r="Y1437" i="1"/>
  <c r="Y1438" i="1"/>
  <c r="Y1423" i="1"/>
  <c r="Y1424" i="1"/>
  <c r="X1436" i="1"/>
  <c r="X1437" i="1"/>
  <c r="X1438" i="1"/>
  <c r="X1423" i="1"/>
  <c r="X1424" i="1"/>
  <c r="W1436" i="1"/>
  <c r="W1437" i="1"/>
  <c r="W1438" i="1"/>
  <c r="W1423" i="1"/>
  <c r="W1424" i="1"/>
  <c r="Y1361" i="1" l="1"/>
  <c r="Y1343" i="1"/>
  <c r="Y1329" i="1"/>
  <c r="Y1330" i="1"/>
  <c r="Y1331" i="1"/>
  <c r="X1361" i="1"/>
  <c r="X1343" i="1"/>
  <c r="X1329" i="1"/>
  <c r="X1330" i="1"/>
  <c r="X1331" i="1"/>
  <c r="W1361" i="1"/>
  <c r="W1343" i="1"/>
  <c r="W1329" i="1"/>
  <c r="W1330" i="1"/>
  <c r="W1331" i="1"/>
  <c r="Y1421" i="1"/>
  <c r="Y1422" i="1"/>
  <c r="Y1413" i="1"/>
  <c r="Y1388" i="1"/>
  <c r="Y1389" i="1"/>
  <c r="Y1376" i="1"/>
  <c r="Y1360" i="1"/>
  <c r="X1421" i="1"/>
  <c r="X1422" i="1"/>
  <c r="X1413" i="1"/>
  <c r="X1388" i="1"/>
  <c r="X1389" i="1"/>
  <c r="X1376" i="1"/>
  <c r="X1360" i="1"/>
  <c r="W1421" i="1"/>
  <c r="W1422" i="1"/>
  <c r="W1413" i="1"/>
  <c r="W1388" i="1"/>
  <c r="W1389" i="1"/>
  <c r="W1376" i="1"/>
  <c r="W1360" i="1"/>
  <c r="Y1326" i="1"/>
  <c r="Y1327" i="1"/>
  <c r="Y1328" i="1"/>
  <c r="X1326" i="1"/>
  <c r="X1327" i="1"/>
  <c r="X1328" i="1"/>
  <c r="W1326" i="1"/>
  <c r="W1327" i="1"/>
  <c r="W1328" i="1"/>
  <c r="Y1354" i="1"/>
  <c r="Y1355" i="1"/>
  <c r="Y1356" i="1"/>
  <c r="Y1357" i="1"/>
  <c r="Y1358" i="1"/>
  <c r="Y1359" i="1"/>
  <c r="Y1344" i="1"/>
  <c r="Y1345" i="1"/>
  <c r="Y1339" i="1"/>
  <c r="Y1340" i="1"/>
  <c r="Y1341" i="1"/>
  <c r="Y1342" i="1"/>
  <c r="Y1325" i="1"/>
  <c r="X1354" i="1"/>
  <c r="X1355" i="1"/>
  <c r="X1356" i="1"/>
  <c r="X1357" i="1"/>
  <c r="X1358" i="1"/>
  <c r="X1359" i="1"/>
  <c r="X1344" i="1"/>
  <c r="X1345" i="1"/>
  <c r="X1339" i="1"/>
  <c r="X1340" i="1"/>
  <c r="X1341" i="1"/>
  <c r="X1342" i="1"/>
  <c r="X1325" i="1"/>
  <c r="W1354" i="1"/>
  <c r="W1355" i="1"/>
  <c r="W1356" i="1"/>
  <c r="W1357" i="1"/>
  <c r="W1358" i="1"/>
  <c r="W1359" i="1"/>
  <c r="W1344" i="1"/>
  <c r="W1345" i="1"/>
  <c r="W1339" i="1"/>
  <c r="W1340" i="1"/>
  <c r="W1341" i="1"/>
  <c r="W1342" i="1"/>
  <c r="W1325" i="1"/>
  <c r="Y1396" i="1"/>
  <c r="Y1392" i="1"/>
  <c r="Y1393" i="1"/>
  <c r="Y1390" i="1"/>
  <c r="Y1391" i="1"/>
  <c r="Y1385" i="1"/>
  <c r="Y1386" i="1"/>
  <c r="Y1387" i="1"/>
  <c r="Y1371" i="1"/>
  <c r="Y1372" i="1"/>
  <c r="Y1373" i="1"/>
  <c r="Y1374" i="1"/>
  <c r="Y1375" i="1"/>
  <c r="X1396" i="1"/>
  <c r="X1392" i="1"/>
  <c r="X1393" i="1"/>
  <c r="X1390" i="1"/>
  <c r="X1391" i="1"/>
  <c r="X1385" i="1"/>
  <c r="X1386" i="1"/>
  <c r="X1387" i="1"/>
  <c r="X1371" i="1"/>
  <c r="X1372" i="1"/>
  <c r="X1373" i="1"/>
  <c r="X1374" i="1"/>
  <c r="X1375" i="1"/>
  <c r="W1396" i="1"/>
  <c r="W1392" i="1"/>
  <c r="W1393" i="1"/>
  <c r="W1390" i="1"/>
  <c r="W1391" i="1"/>
  <c r="W1385" i="1"/>
  <c r="W1386" i="1"/>
  <c r="W1387" i="1"/>
  <c r="W1371" i="1"/>
  <c r="W1372" i="1"/>
  <c r="W1373" i="1"/>
  <c r="W1374" i="1"/>
  <c r="W1375" i="1"/>
  <c r="Y1420" i="1"/>
  <c r="Y1409" i="1"/>
  <c r="Y1410" i="1"/>
  <c r="Y1411" i="1"/>
  <c r="Y1412" i="1"/>
  <c r="Y1400" i="1"/>
  <c r="Y1401" i="1"/>
  <c r="Y1402" i="1"/>
  <c r="Y1397" i="1"/>
  <c r="Y1398" i="1"/>
  <c r="Y1399" i="1"/>
  <c r="Y1395" i="1"/>
  <c r="Y997" i="1"/>
  <c r="X1420" i="1"/>
  <c r="X1409" i="1"/>
  <c r="X1410" i="1"/>
  <c r="X1411" i="1"/>
  <c r="X1412" i="1"/>
  <c r="X1400" i="1"/>
  <c r="X1401" i="1"/>
  <c r="X1402" i="1"/>
  <c r="X1397" i="1"/>
  <c r="X1398" i="1"/>
  <c r="X1399" i="1"/>
  <c r="X1395" i="1"/>
  <c r="X997" i="1"/>
  <c r="W1420" i="1"/>
  <c r="W1409" i="1"/>
  <c r="W1410" i="1"/>
  <c r="W1411" i="1"/>
  <c r="W1412" i="1"/>
  <c r="W1400" i="1"/>
  <c r="W1401" i="1"/>
  <c r="W1402" i="1"/>
  <c r="W1397" i="1"/>
  <c r="W1398" i="1"/>
  <c r="W1399" i="1"/>
  <c r="W1395" i="1"/>
  <c r="W997" i="1"/>
  <c r="Y1349" i="1"/>
  <c r="Y1350" i="1"/>
  <c r="Y1351" i="1"/>
  <c r="Y1352" i="1"/>
  <c r="Y1353" i="1"/>
  <c r="Y1336" i="1"/>
  <c r="Y1337" i="1"/>
  <c r="Y1338" i="1"/>
  <c r="Y1322" i="1"/>
  <c r="Y1323" i="1"/>
  <c r="Y1324" i="1"/>
  <c r="X1349" i="1"/>
  <c r="X1350" i="1"/>
  <c r="X1351" i="1"/>
  <c r="X1352" i="1"/>
  <c r="X1353" i="1"/>
  <c r="X1336" i="1"/>
  <c r="X1337" i="1"/>
  <c r="X1338" i="1"/>
  <c r="X1322" i="1"/>
  <c r="X1323" i="1"/>
  <c r="X1324" i="1"/>
  <c r="W1349" i="1"/>
  <c r="W1350" i="1"/>
  <c r="W1351" i="1"/>
  <c r="W1352" i="1"/>
  <c r="W1353" i="1"/>
  <c r="W1336" i="1"/>
  <c r="W1337" i="1"/>
  <c r="W1338" i="1"/>
  <c r="W1322" i="1"/>
  <c r="W1323" i="1"/>
  <c r="W1324" i="1"/>
  <c r="Y1416" i="1"/>
  <c r="Y1417" i="1"/>
  <c r="Y1418" i="1"/>
  <c r="Y1419" i="1"/>
  <c r="Y1408" i="1"/>
  <c r="Y1382" i="1"/>
  <c r="Y1383" i="1"/>
  <c r="Y1384" i="1"/>
  <c r="Y1368" i="1"/>
  <c r="Y1369" i="1"/>
  <c r="Y1370" i="1"/>
  <c r="Y1348" i="1"/>
  <c r="X1416" i="1"/>
  <c r="X1417" i="1"/>
  <c r="X1418" i="1"/>
  <c r="X1419" i="1"/>
  <c r="X1408" i="1"/>
  <c r="X1382" i="1"/>
  <c r="X1383" i="1"/>
  <c r="X1384" i="1"/>
  <c r="X1368" i="1"/>
  <c r="X1369" i="1"/>
  <c r="X1370" i="1"/>
  <c r="X1348" i="1"/>
  <c r="W1416" i="1"/>
  <c r="W1417" i="1"/>
  <c r="W1418" i="1"/>
  <c r="W1419" i="1"/>
  <c r="W1408" i="1"/>
  <c r="W1382" i="1"/>
  <c r="W1383" i="1"/>
  <c r="W1384" i="1"/>
  <c r="W1368" i="1"/>
  <c r="W1369" i="1"/>
  <c r="W1370" i="1"/>
  <c r="W1348" i="1"/>
  <c r="Y1365" i="1"/>
  <c r="Y1366" i="1"/>
  <c r="Y1367" i="1"/>
  <c r="Y1347" i="1"/>
  <c r="Y1346" i="1"/>
  <c r="Y1334" i="1"/>
  <c r="Y1335" i="1"/>
  <c r="X1365" i="1"/>
  <c r="X1366" i="1"/>
  <c r="X1367" i="1"/>
  <c r="X1347" i="1"/>
  <c r="X1346" i="1"/>
  <c r="X1334" i="1"/>
  <c r="X1335" i="1"/>
  <c r="W1365" i="1"/>
  <c r="W1366" i="1"/>
  <c r="W1367" i="1"/>
  <c r="W1347" i="1"/>
  <c r="W1346" i="1"/>
  <c r="W1334" i="1"/>
  <c r="W1335" i="1"/>
  <c r="Y1405" i="1"/>
  <c r="Y1406" i="1"/>
  <c r="Y1407" i="1"/>
  <c r="Y1394" i="1"/>
  <c r="Y1379" i="1"/>
  <c r="Y1380" i="1"/>
  <c r="Y1381" i="1"/>
  <c r="X1405" i="1"/>
  <c r="X1406" i="1"/>
  <c r="X1407" i="1"/>
  <c r="X1394" i="1"/>
  <c r="X1379" i="1"/>
  <c r="X1380" i="1"/>
  <c r="X1381" i="1"/>
  <c r="W1405" i="1"/>
  <c r="W1406" i="1"/>
  <c r="W1407" i="1"/>
  <c r="W1394" i="1"/>
  <c r="W1379" i="1"/>
  <c r="W1380" i="1"/>
  <c r="W1381" i="1"/>
  <c r="Y1362" i="1"/>
  <c r="Y1363" i="1"/>
  <c r="Y1364" i="1"/>
  <c r="Y1332" i="1"/>
  <c r="Y1333" i="1"/>
  <c r="Y1314" i="1"/>
  <c r="Y1315" i="1"/>
  <c r="Y1316" i="1"/>
  <c r="X1362" i="1"/>
  <c r="X1363" i="1"/>
  <c r="X1364" i="1"/>
  <c r="X1332" i="1"/>
  <c r="X1333" i="1"/>
  <c r="X1314" i="1"/>
  <c r="X1315" i="1"/>
  <c r="X1316" i="1"/>
  <c r="W1362" i="1"/>
  <c r="W1363" i="1"/>
  <c r="W1364" i="1"/>
  <c r="W1332" i="1"/>
  <c r="W1333" i="1"/>
  <c r="W1314" i="1"/>
  <c r="W1315" i="1"/>
  <c r="W1316" i="1"/>
  <c r="Y1414" i="1"/>
  <c r="Y1415" i="1"/>
  <c r="Y1403" i="1"/>
  <c r="Y1404" i="1"/>
  <c r="Y1377" i="1"/>
  <c r="Y1378" i="1"/>
  <c r="X1414" i="1"/>
  <c r="X1415" i="1"/>
  <c r="X1403" i="1"/>
  <c r="X1404" i="1"/>
  <c r="X1377" i="1"/>
  <c r="X1378" i="1"/>
  <c r="W1414" i="1"/>
  <c r="W1415" i="1"/>
  <c r="W1403" i="1"/>
  <c r="W1404" i="1"/>
  <c r="W1377" i="1"/>
  <c r="W1378" i="1"/>
  <c r="Y1313" i="1" l="1"/>
  <c r="Y1295" i="1"/>
  <c r="Y1282" i="1"/>
  <c r="Y1254" i="1"/>
  <c r="Y1255" i="1"/>
  <c r="Y1256" i="1"/>
  <c r="Y1238" i="1"/>
  <c r="Y1225" i="1"/>
  <c r="X1313" i="1"/>
  <c r="X1295" i="1"/>
  <c r="X1282" i="1"/>
  <c r="X1254" i="1"/>
  <c r="X1255" i="1"/>
  <c r="X1256" i="1"/>
  <c r="X1238" i="1"/>
  <c r="X1225" i="1"/>
  <c r="W1313" i="1"/>
  <c r="W1295" i="1"/>
  <c r="W1282" i="1"/>
  <c r="W1254" i="1"/>
  <c r="W1255" i="1"/>
  <c r="W1256" i="1"/>
  <c r="W1238" i="1"/>
  <c r="W1225" i="1"/>
  <c r="X1253" i="1"/>
  <c r="X1232" i="1"/>
  <c r="X1233" i="1"/>
  <c r="X1234" i="1"/>
  <c r="X1235" i="1"/>
  <c r="X1236" i="1"/>
  <c r="X1237" i="1"/>
  <c r="X1223" i="1"/>
  <c r="X1224" i="1"/>
  <c r="W1253" i="1"/>
  <c r="W1232" i="1"/>
  <c r="W1233" i="1"/>
  <c r="W1234" i="1"/>
  <c r="W1235" i="1"/>
  <c r="W1236" i="1"/>
  <c r="W1237" i="1"/>
  <c r="W1223" i="1"/>
  <c r="W1224" i="1"/>
  <c r="Y1252" i="1"/>
  <c r="X1252" i="1"/>
  <c r="W1252" i="1"/>
  <c r="Y1270" i="1" l="1"/>
  <c r="Y1271" i="1"/>
  <c r="Y1272" i="1"/>
  <c r="Y1266" i="1"/>
  <c r="Y1267" i="1"/>
  <c r="Y1268" i="1"/>
  <c r="Y1269" i="1"/>
  <c r="Y1248" i="1"/>
  <c r="Y1249" i="1"/>
  <c r="Y1250" i="1"/>
  <c r="Y1251" i="1"/>
  <c r="X1270" i="1"/>
  <c r="X1271" i="1"/>
  <c r="X1272" i="1"/>
  <c r="X1266" i="1"/>
  <c r="X1267" i="1"/>
  <c r="X1268" i="1"/>
  <c r="X1269" i="1"/>
  <c r="X1248" i="1"/>
  <c r="X1249" i="1"/>
  <c r="X1250" i="1"/>
  <c r="X1251" i="1"/>
  <c r="W1270" i="1"/>
  <c r="W1271" i="1"/>
  <c r="W1272" i="1"/>
  <c r="W1266" i="1"/>
  <c r="W1267" i="1"/>
  <c r="W1268" i="1"/>
  <c r="W1269" i="1"/>
  <c r="W1248" i="1"/>
  <c r="W1249" i="1"/>
  <c r="W1250" i="1"/>
  <c r="W1251" i="1"/>
  <c r="Y1307" i="1"/>
  <c r="Y1308" i="1"/>
  <c r="Y1309" i="1"/>
  <c r="Y1310" i="1"/>
  <c r="Y1311" i="1"/>
  <c r="Y1312" i="1"/>
  <c r="Y1292" i="1"/>
  <c r="Y1293" i="1"/>
  <c r="Y1294" i="1"/>
  <c r="Y1280" i="1"/>
  <c r="Y1281" i="1"/>
  <c r="Y1273" i="1"/>
  <c r="X1307" i="1"/>
  <c r="X1308" i="1"/>
  <c r="X1309" i="1"/>
  <c r="X1310" i="1"/>
  <c r="X1311" i="1"/>
  <c r="X1312" i="1"/>
  <c r="X1292" i="1"/>
  <c r="X1293" i="1"/>
  <c r="X1294" i="1"/>
  <c r="X1280" i="1"/>
  <c r="X1281" i="1"/>
  <c r="X1273" i="1"/>
  <c r="W1307" i="1"/>
  <c r="W1308" i="1"/>
  <c r="W1309" i="1"/>
  <c r="W1310" i="1"/>
  <c r="W1311" i="1"/>
  <c r="W1312" i="1"/>
  <c r="W1292" i="1"/>
  <c r="W1293" i="1"/>
  <c r="W1294" i="1"/>
  <c r="W1280" i="1"/>
  <c r="W1281" i="1"/>
  <c r="W1273" i="1"/>
  <c r="X1221" i="1"/>
  <c r="X1222" i="1"/>
  <c r="W1221" i="1"/>
  <c r="W1222" i="1"/>
  <c r="Y1276" i="1"/>
  <c r="Y1277" i="1"/>
  <c r="Y1278" i="1"/>
  <c r="Y1279" i="1"/>
  <c r="Y1262" i="1"/>
  <c r="Y1263" i="1"/>
  <c r="Y1264" i="1"/>
  <c r="Y1265" i="1"/>
  <c r="Y1244" i="1"/>
  <c r="Y1245" i="1"/>
  <c r="Y1246" i="1"/>
  <c r="Y1247" i="1"/>
  <c r="Y1231" i="1"/>
  <c r="X1276" i="1"/>
  <c r="X1277" i="1"/>
  <c r="X1278" i="1"/>
  <c r="X1279" i="1"/>
  <c r="X1262" i="1"/>
  <c r="X1263" i="1"/>
  <c r="X1264" i="1"/>
  <c r="X1265" i="1"/>
  <c r="X1244" i="1"/>
  <c r="X1245" i="1"/>
  <c r="X1246" i="1"/>
  <c r="X1247" i="1"/>
  <c r="X1231" i="1"/>
  <c r="W1276" i="1"/>
  <c r="W1277" i="1"/>
  <c r="W1278" i="1"/>
  <c r="W1279" i="1"/>
  <c r="W1262" i="1"/>
  <c r="W1263" i="1"/>
  <c r="W1264" i="1"/>
  <c r="W1265" i="1"/>
  <c r="W1244" i="1"/>
  <c r="W1245" i="1"/>
  <c r="W1246" i="1"/>
  <c r="W1247" i="1"/>
  <c r="W1231" i="1"/>
  <c r="Y1300" i="1"/>
  <c r="Y1301" i="1"/>
  <c r="Y1302" i="1"/>
  <c r="Y1303" i="1"/>
  <c r="Y1304" i="1"/>
  <c r="Y1305" i="1"/>
  <c r="Y1306" i="1"/>
  <c r="Y1286" i="1"/>
  <c r="Y1287" i="1"/>
  <c r="Y1288" i="1"/>
  <c r="Y1289" i="1"/>
  <c r="Y1290" i="1"/>
  <c r="Y1291" i="1"/>
  <c r="X1300" i="1"/>
  <c r="X1301" i="1"/>
  <c r="X1302" i="1"/>
  <c r="X1303" i="1"/>
  <c r="X1304" i="1"/>
  <c r="X1305" i="1"/>
  <c r="X1306" i="1"/>
  <c r="X1286" i="1"/>
  <c r="X1287" i="1"/>
  <c r="X1288" i="1"/>
  <c r="X1289" i="1"/>
  <c r="X1290" i="1"/>
  <c r="X1291" i="1"/>
  <c r="W1301" i="1"/>
  <c r="W1302" i="1"/>
  <c r="W1303" i="1"/>
  <c r="W1304" i="1"/>
  <c r="W1305" i="1"/>
  <c r="W1306" i="1"/>
  <c r="W1286" i="1"/>
  <c r="W1287" i="1"/>
  <c r="W1288" i="1"/>
  <c r="W1289" i="1"/>
  <c r="W1290" i="1"/>
  <c r="W1291" i="1"/>
  <c r="Y1230" i="1" l="1"/>
  <c r="Y1219" i="1"/>
  <c r="Y1220" i="1"/>
  <c r="X1230" i="1"/>
  <c r="X1219" i="1"/>
  <c r="X1220" i="1"/>
  <c r="W1230" i="1"/>
  <c r="W1219" i="1"/>
  <c r="W1220" i="1"/>
  <c r="W1300" i="1"/>
  <c r="Y1240" i="1"/>
  <c r="Y1241" i="1"/>
  <c r="Y1242" i="1"/>
  <c r="Y1243" i="1"/>
  <c r="Y1227" i="1"/>
  <c r="Y1228" i="1"/>
  <c r="Y1229" i="1"/>
  <c r="X1240" i="1"/>
  <c r="X1241" i="1"/>
  <c r="X1242" i="1"/>
  <c r="X1243" i="1"/>
  <c r="X1227" i="1"/>
  <c r="X1228" i="1"/>
  <c r="X1229" i="1"/>
  <c r="W1240" i="1"/>
  <c r="W1241" i="1"/>
  <c r="W1242" i="1"/>
  <c r="W1243" i="1"/>
  <c r="W1227" i="1"/>
  <c r="W1228" i="1"/>
  <c r="W1229" i="1"/>
  <c r="Y1297" i="1"/>
  <c r="Y1298" i="1"/>
  <c r="Y1299" i="1"/>
  <c r="Y1284" i="1"/>
  <c r="Y1285" i="1"/>
  <c r="Y1259" i="1"/>
  <c r="Y1260" i="1"/>
  <c r="Y1261" i="1"/>
  <c r="X1297" i="1"/>
  <c r="X1298" i="1"/>
  <c r="X1299" i="1"/>
  <c r="X1284" i="1"/>
  <c r="X1285" i="1"/>
  <c r="X1259" i="1"/>
  <c r="X1260" i="1"/>
  <c r="X1261" i="1"/>
  <c r="W1297" i="1"/>
  <c r="W1298" i="1"/>
  <c r="W1299" i="1"/>
  <c r="W1284" i="1"/>
  <c r="W1285" i="1"/>
  <c r="W1259" i="1"/>
  <c r="W1260" i="1"/>
  <c r="W1261" i="1"/>
  <c r="Y1218" i="1" l="1"/>
  <c r="X1218" i="1"/>
  <c r="W1218" i="1"/>
  <c r="Y1226" i="1"/>
  <c r="X1226" i="1"/>
  <c r="W1226" i="1"/>
  <c r="Y1239" i="1"/>
  <c r="X1239" i="1"/>
  <c r="W1239" i="1"/>
  <c r="Y1258" i="1"/>
  <c r="X1258" i="1"/>
  <c r="W1258" i="1"/>
  <c r="Y1257" i="1"/>
  <c r="X1257" i="1"/>
  <c r="W1257" i="1"/>
  <c r="Y1275" i="1"/>
  <c r="X1275" i="1"/>
  <c r="W1275" i="1"/>
  <c r="Y1274" i="1"/>
  <c r="X1274" i="1"/>
  <c r="W1274" i="1"/>
  <c r="Y1283" i="1"/>
  <c r="X1283" i="1"/>
  <c r="W1283" i="1"/>
  <c r="Y1296" i="1"/>
  <c r="X1296" i="1"/>
  <c r="W1296" i="1"/>
  <c r="W1152" i="1" l="1"/>
  <c r="X1152" i="1"/>
  <c r="Y1152" i="1"/>
  <c r="W1151" i="1"/>
  <c r="X1151" i="1"/>
  <c r="Y1151" i="1"/>
  <c r="W1165" i="1"/>
  <c r="X1165" i="1"/>
  <c r="Y1165" i="1"/>
  <c r="W1164" i="1"/>
  <c r="X1164" i="1"/>
  <c r="Y1164" i="1"/>
  <c r="W1184" i="1"/>
  <c r="X1184" i="1"/>
  <c r="Y1184" i="1"/>
  <c r="W1183" i="1"/>
  <c r="X1183" i="1"/>
  <c r="Y1183" i="1"/>
  <c r="W1182" i="1"/>
  <c r="X1182" i="1"/>
  <c r="Y1182" i="1"/>
  <c r="W1181" i="1"/>
  <c r="X1181" i="1"/>
  <c r="Y1181" i="1"/>
  <c r="W1180" i="1"/>
  <c r="X1180" i="1"/>
  <c r="Y1180" i="1"/>
  <c r="Y1179" i="1"/>
  <c r="X1179" i="1"/>
  <c r="W1179" i="1"/>
  <c r="Y1178" i="1"/>
  <c r="X1178" i="1"/>
  <c r="W1178" i="1"/>
  <c r="Y1177" i="1"/>
  <c r="X1177" i="1"/>
  <c r="W1177" i="1"/>
  <c r="Y1195" i="1"/>
  <c r="X1195" i="1"/>
  <c r="W1195" i="1"/>
  <c r="Y1194" i="1"/>
  <c r="X1194" i="1"/>
  <c r="W1194" i="1"/>
  <c r="Y1193" i="1"/>
  <c r="X1193" i="1"/>
  <c r="W1193" i="1"/>
  <c r="Y1198" i="1"/>
  <c r="X1198" i="1"/>
  <c r="W1198" i="1"/>
  <c r="Y1197" i="1"/>
  <c r="X1197" i="1"/>
  <c r="W1197" i="1"/>
  <c r="Y1201" i="1"/>
  <c r="X1201" i="1"/>
  <c r="W1201" i="1"/>
  <c r="Y1200" i="1"/>
  <c r="X1200" i="1"/>
  <c r="W1200" i="1"/>
  <c r="Y1217" i="1"/>
  <c r="X1217" i="1"/>
  <c r="W1217" i="1"/>
  <c r="Y1216" i="1"/>
  <c r="X1216" i="1"/>
  <c r="W1216" i="1"/>
  <c r="Y1215" i="1"/>
  <c r="X1215" i="1"/>
  <c r="W1215" i="1"/>
  <c r="Y1214" i="1"/>
  <c r="X1214" i="1"/>
  <c r="W1214" i="1"/>
  <c r="Y1213" i="1"/>
  <c r="X1213" i="1"/>
  <c r="W1213" i="1"/>
  <c r="Y1212" i="1"/>
  <c r="X1212" i="1"/>
  <c r="W1212" i="1"/>
  <c r="Y1150" i="1" l="1"/>
  <c r="X1150" i="1"/>
  <c r="W1150" i="1"/>
  <c r="Y1149" i="1"/>
  <c r="X1149" i="1"/>
  <c r="W1149" i="1"/>
  <c r="Y1148" i="1"/>
  <c r="X1148" i="1"/>
  <c r="W1148" i="1"/>
  <c r="Y1163" i="1"/>
  <c r="X1163" i="1"/>
  <c r="W1163" i="1"/>
  <c r="Y1162" i="1"/>
  <c r="X1162" i="1"/>
  <c r="W1162" i="1"/>
  <c r="Y1161" i="1"/>
  <c r="X1161" i="1"/>
  <c r="W1161" i="1"/>
  <c r="Y1160" i="1"/>
  <c r="X1160" i="1"/>
  <c r="W1160" i="1"/>
  <c r="Y1159" i="1"/>
  <c r="X1159" i="1"/>
  <c r="W1159" i="1"/>
  <c r="Y1176" i="1"/>
  <c r="X1176" i="1"/>
  <c r="W1176" i="1"/>
  <c r="Y1175" i="1"/>
  <c r="X1175" i="1"/>
  <c r="W1175" i="1"/>
  <c r="Y1174" i="1"/>
  <c r="X1174" i="1"/>
  <c r="W1174" i="1"/>
  <c r="Y1173" i="1"/>
  <c r="X1173" i="1"/>
  <c r="W1173" i="1"/>
  <c r="Y1192" i="1"/>
  <c r="X1192" i="1"/>
  <c r="W1192" i="1"/>
  <c r="Y1191" i="1"/>
  <c r="X1191" i="1"/>
  <c r="W1191" i="1"/>
  <c r="Y1190" i="1"/>
  <c r="X1190" i="1"/>
  <c r="W1190" i="1"/>
  <c r="Y1211" i="1"/>
  <c r="X1211" i="1"/>
  <c r="W1211" i="1"/>
  <c r="Y1210" i="1"/>
  <c r="X1210" i="1"/>
  <c r="W1210" i="1"/>
  <c r="Y1209" i="1"/>
  <c r="X1209" i="1"/>
  <c r="W1209" i="1"/>
  <c r="Y1208" i="1"/>
  <c r="X1208" i="1"/>
  <c r="W1208" i="1"/>
  <c r="Y1207" i="1"/>
  <c r="X1207" i="1"/>
  <c r="W1207" i="1"/>
  <c r="Y1147" i="1"/>
  <c r="X1147" i="1"/>
  <c r="W1147" i="1"/>
  <c r="Y1146" i="1"/>
  <c r="X1146" i="1"/>
  <c r="W1146" i="1"/>
  <c r="Y1158" i="1"/>
  <c r="X1158" i="1"/>
  <c r="W1158" i="1"/>
  <c r="Y1157" i="1"/>
  <c r="X1157" i="1"/>
  <c r="W1157" i="1"/>
  <c r="Y1172" i="1"/>
  <c r="X1172" i="1"/>
  <c r="W1172" i="1"/>
  <c r="Y1171" i="1"/>
  <c r="X1171" i="1"/>
  <c r="W1171" i="1"/>
  <c r="Y1170" i="1"/>
  <c r="X1170" i="1"/>
  <c r="W1170" i="1"/>
  <c r="Y1189" i="1"/>
  <c r="X1189" i="1"/>
  <c r="W1189" i="1"/>
  <c r="Y1188" i="1"/>
  <c r="X1188" i="1"/>
  <c r="W1188" i="1"/>
  <c r="Y1187" i="1"/>
  <c r="X1187" i="1"/>
  <c r="W1187" i="1"/>
  <c r="Y1196" i="1"/>
  <c r="X1196" i="1"/>
  <c r="W1196" i="1"/>
  <c r="Y1199" i="1"/>
  <c r="X1199" i="1"/>
  <c r="W1199" i="1"/>
  <c r="Y1206" i="1"/>
  <c r="X1206" i="1"/>
  <c r="W1206" i="1"/>
  <c r="Y1205" i="1"/>
  <c r="X1205" i="1"/>
  <c r="W1205" i="1"/>
  <c r="Y1204" i="1"/>
  <c r="X1204" i="1"/>
  <c r="W1204" i="1"/>
  <c r="Y1145" i="1"/>
  <c r="X1145" i="1"/>
  <c r="W1145" i="1"/>
  <c r="Y1144" i="1"/>
  <c r="X1144" i="1"/>
  <c r="W1144" i="1"/>
  <c r="Y1156" i="1"/>
  <c r="X1156" i="1"/>
  <c r="W1156" i="1"/>
  <c r="Y1155" i="1"/>
  <c r="X1155" i="1"/>
  <c r="W1155" i="1"/>
  <c r="Y1154" i="1"/>
  <c r="X1154" i="1"/>
  <c r="W1154" i="1"/>
  <c r="Y1153" i="1"/>
  <c r="X1153" i="1"/>
  <c r="W1153" i="1"/>
  <c r="Y1169" i="1"/>
  <c r="X1169" i="1"/>
  <c r="W1169" i="1"/>
  <c r="Y1168" i="1"/>
  <c r="X1168" i="1"/>
  <c r="W1168" i="1"/>
  <c r="Y1167" i="1"/>
  <c r="X1167" i="1"/>
  <c r="W1167" i="1"/>
  <c r="Y1166" i="1"/>
  <c r="X1166" i="1"/>
  <c r="W1166" i="1"/>
  <c r="Y1186" i="1"/>
  <c r="X1186" i="1"/>
  <c r="W1186" i="1"/>
  <c r="Y1185" i="1"/>
  <c r="X1185" i="1"/>
  <c r="W1185" i="1"/>
  <c r="Y1203" i="1"/>
  <c r="X1203" i="1"/>
  <c r="W1203" i="1"/>
  <c r="Y1202" i="1"/>
  <c r="X1202" i="1"/>
  <c r="W1202" i="1"/>
  <c r="Y1089" i="1" l="1"/>
  <c r="X1089" i="1"/>
  <c r="W1089" i="1"/>
  <c r="Y1088" i="1"/>
  <c r="X1088" i="1"/>
  <c r="W1088" i="1"/>
  <c r="Y1087" i="1"/>
  <c r="X1087" i="1"/>
  <c r="W1087" i="1"/>
  <c r="Y1093" i="1"/>
  <c r="X1093" i="1"/>
  <c r="W1093" i="1"/>
  <c r="Y1092" i="1"/>
  <c r="X1092" i="1"/>
  <c r="W1092" i="1"/>
  <c r="Y1100" i="1"/>
  <c r="X1100" i="1"/>
  <c r="W1100" i="1"/>
  <c r="Y1110" i="1"/>
  <c r="X1110" i="1"/>
  <c r="W1110" i="1"/>
  <c r="Y1109" i="1"/>
  <c r="X1109" i="1"/>
  <c r="W1109" i="1"/>
  <c r="Y1121" i="1"/>
  <c r="X1121" i="1"/>
  <c r="W1121" i="1"/>
  <c r="Y1120" i="1"/>
  <c r="X1120" i="1"/>
  <c r="W1120" i="1"/>
  <c r="Y1119" i="1"/>
  <c r="X1119" i="1"/>
  <c r="W1119" i="1"/>
  <c r="Y1132" i="1"/>
  <c r="X1132" i="1"/>
  <c r="W1132" i="1"/>
  <c r="Y1131" i="1"/>
  <c r="X1131" i="1"/>
  <c r="W1131" i="1"/>
  <c r="Y1130" i="1"/>
  <c r="X1130" i="1"/>
  <c r="W1130" i="1"/>
  <c r="Y1143" i="1"/>
  <c r="X1143" i="1"/>
  <c r="W1143" i="1"/>
  <c r="Y1099" i="1"/>
  <c r="X1099" i="1"/>
  <c r="W1099" i="1"/>
  <c r="Y1098" i="1"/>
  <c r="X1098" i="1"/>
  <c r="W1098" i="1"/>
  <c r="Y1108" i="1"/>
  <c r="X1108" i="1"/>
  <c r="W1108" i="1"/>
  <c r="Y1107" i="1"/>
  <c r="X1107" i="1"/>
  <c r="W1107" i="1"/>
  <c r="Y1106" i="1"/>
  <c r="X1106" i="1"/>
  <c r="W1106" i="1"/>
  <c r="Y1105" i="1"/>
  <c r="X1105" i="1"/>
  <c r="W1105" i="1"/>
  <c r="Y1118" i="1"/>
  <c r="X1118" i="1"/>
  <c r="W1118" i="1"/>
  <c r="Y1117" i="1"/>
  <c r="X1117" i="1"/>
  <c r="W1117" i="1"/>
  <c r="Y1116" i="1"/>
  <c r="X1116" i="1"/>
  <c r="W1116" i="1"/>
  <c r="Y1129" i="1"/>
  <c r="X1129" i="1"/>
  <c r="W1129" i="1"/>
  <c r="Y1128" i="1"/>
  <c r="X1128" i="1"/>
  <c r="W1128" i="1"/>
  <c r="Y1127" i="1"/>
  <c r="X1127" i="1"/>
  <c r="W1127" i="1"/>
  <c r="Y1126" i="1"/>
  <c r="X1126" i="1"/>
  <c r="W1126" i="1"/>
  <c r="Y1125" i="1"/>
  <c r="X1125" i="1"/>
  <c r="W1125" i="1"/>
  <c r="Y1142" i="1"/>
  <c r="X1142" i="1"/>
  <c r="W1142" i="1"/>
  <c r="Y1141" i="1"/>
  <c r="X1141" i="1"/>
  <c r="W1141" i="1"/>
  <c r="Y1140" i="1"/>
  <c r="X1140" i="1"/>
  <c r="W1140" i="1"/>
  <c r="Y1139" i="1"/>
  <c r="X1139" i="1"/>
  <c r="W1139" i="1"/>
  <c r="Y1082" i="1"/>
  <c r="X1082" i="1"/>
  <c r="W1082" i="1"/>
  <c r="Y1081" i="1"/>
  <c r="X1081" i="1"/>
  <c r="W1081" i="1"/>
  <c r="Y1080" i="1"/>
  <c r="X1080" i="1"/>
  <c r="W1080" i="1"/>
  <c r="Y1086" i="1"/>
  <c r="X1086" i="1"/>
  <c r="W1086" i="1"/>
  <c r="Y1085" i="1"/>
  <c r="X1085" i="1"/>
  <c r="W1085" i="1"/>
  <c r="Y1084" i="1"/>
  <c r="X1084" i="1"/>
  <c r="W1084" i="1"/>
  <c r="Y1083" i="1"/>
  <c r="X1083" i="1"/>
  <c r="W1083" i="1"/>
  <c r="Y1091" i="1"/>
  <c r="X1091" i="1"/>
  <c r="W1091" i="1"/>
  <c r="Y1090" i="1"/>
  <c r="X1090" i="1"/>
  <c r="W1090" i="1"/>
  <c r="Y1094" i="1"/>
  <c r="X1094" i="1"/>
  <c r="W1094" i="1"/>
  <c r="Y1097" i="1"/>
  <c r="X1097" i="1"/>
  <c r="W1097" i="1"/>
  <c r="Y1096" i="1"/>
  <c r="X1096" i="1"/>
  <c r="W1096" i="1"/>
  <c r="Y1104" i="1"/>
  <c r="X1104" i="1"/>
  <c r="W1104" i="1"/>
  <c r="Y1103" i="1"/>
  <c r="X1103" i="1"/>
  <c r="W1103" i="1"/>
  <c r="Y1115" i="1"/>
  <c r="X1115" i="1"/>
  <c r="W1115" i="1"/>
  <c r="Y1114" i="1"/>
  <c r="X1114" i="1"/>
  <c r="W1114" i="1"/>
  <c r="Y1113" i="1"/>
  <c r="X1113" i="1"/>
  <c r="W1113" i="1"/>
  <c r="Y1112" i="1"/>
  <c r="X1112" i="1"/>
  <c r="W1112" i="1"/>
  <c r="Y1124" i="1"/>
  <c r="X1124" i="1"/>
  <c r="W1124" i="1"/>
  <c r="Y1138" i="1"/>
  <c r="X1138" i="1"/>
  <c r="W1138" i="1"/>
  <c r="Y1137" i="1"/>
  <c r="X1137" i="1"/>
  <c r="W1137" i="1"/>
  <c r="Y1136" i="1"/>
  <c r="X1136" i="1"/>
  <c r="W1136" i="1"/>
  <c r="Y1079" i="1"/>
  <c r="X1079" i="1"/>
  <c r="W1079" i="1"/>
  <c r="Y1078" i="1"/>
  <c r="X1078" i="1"/>
  <c r="W1078" i="1"/>
  <c r="Y1077" i="1"/>
  <c r="X1077" i="1"/>
  <c r="W1077" i="1"/>
  <c r="Y1076" i="1"/>
  <c r="X1076" i="1"/>
  <c r="W1076" i="1"/>
  <c r="Y1075" i="1"/>
  <c r="X1075" i="1"/>
  <c r="W1075" i="1"/>
  <c r="Y1095" i="1"/>
  <c r="X1095" i="1"/>
  <c r="W1095" i="1"/>
  <c r="Y1102" i="1"/>
  <c r="X1102" i="1"/>
  <c r="W1102" i="1"/>
  <c r="Y1101" i="1"/>
  <c r="X1101" i="1"/>
  <c r="W1101" i="1"/>
  <c r="Y1111" i="1"/>
  <c r="W1111" i="1"/>
  <c r="Y1123" i="1"/>
  <c r="X1123" i="1"/>
  <c r="X1111" i="1"/>
  <c r="W1123" i="1"/>
  <c r="Y1122" i="1"/>
  <c r="X1122" i="1"/>
  <c r="W1122" i="1"/>
  <c r="Y1135" i="1"/>
  <c r="X1135" i="1"/>
  <c r="W1135" i="1"/>
  <c r="Y1134" i="1"/>
  <c r="X1134" i="1"/>
  <c r="W1134" i="1"/>
  <c r="Y1133" i="1"/>
  <c r="X1133" i="1"/>
  <c r="W1133" i="1"/>
  <c r="Y1025" i="1" l="1"/>
  <c r="X1025" i="1"/>
  <c r="W1025" i="1"/>
  <c r="Y1030" i="1"/>
  <c r="X1030" i="1"/>
  <c r="W1030" i="1"/>
  <c r="Y1037" i="1"/>
  <c r="X1037" i="1"/>
  <c r="W1037" i="1"/>
  <c r="Y1042" i="1"/>
  <c r="X1042" i="1"/>
  <c r="W1042" i="1"/>
  <c r="Y1056" i="1"/>
  <c r="X1056" i="1"/>
  <c r="W1056" i="1"/>
  <c r="Y1061" i="1"/>
  <c r="X1061" i="1"/>
  <c r="W1061" i="1"/>
  <c r="Y1068" i="1"/>
  <c r="X1068" i="1"/>
  <c r="W1068" i="1"/>
  <c r="Y1024" i="1"/>
  <c r="X1024" i="1"/>
  <c r="W1024" i="1"/>
  <c r="Y1023" i="1"/>
  <c r="X1023" i="1"/>
  <c r="W1023" i="1"/>
  <c r="Y1022" i="1"/>
  <c r="X1022" i="1"/>
  <c r="W1022" i="1"/>
  <c r="Y1029" i="1"/>
  <c r="X1029" i="1"/>
  <c r="W1029" i="1"/>
  <c r="Y1028" i="1"/>
  <c r="X1028" i="1"/>
  <c r="W1028" i="1"/>
  <c r="Y1027" i="1"/>
  <c r="X1027" i="1"/>
  <c r="W1027" i="1"/>
  <c r="Y1031" i="1"/>
  <c r="X1031" i="1"/>
  <c r="W1031" i="1"/>
  <c r="Y1036" i="1"/>
  <c r="X1036" i="1"/>
  <c r="W1036" i="1"/>
  <c r="Y1035" i="1"/>
  <c r="X1035" i="1"/>
  <c r="W1035" i="1"/>
  <c r="Y1034" i="1"/>
  <c r="X1034" i="1"/>
  <c r="W1034" i="1"/>
  <c r="Y1033" i="1"/>
  <c r="X1033" i="1"/>
  <c r="W1033" i="1"/>
  <c r="Y1041" i="1"/>
  <c r="X1041" i="1"/>
  <c r="W1041" i="1"/>
  <c r="Y1040" i="1"/>
  <c r="X1040" i="1"/>
  <c r="W1040" i="1"/>
  <c r="Y1051" i="1"/>
  <c r="X1051" i="1"/>
  <c r="W1051" i="1"/>
  <c r="Y1050" i="1"/>
  <c r="X1050" i="1"/>
  <c r="W1050" i="1"/>
  <c r="Y1049" i="1"/>
  <c r="X1049" i="1"/>
  <c r="W1049" i="1"/>
  <c r="Y1048" i="1"/>
  <c r="X1048" i="1"/>
  <c r="W1048" i="1"/>
  <c r="Y1047" i="1"/>
  <c r="X1047" i="1"/>
  <c r="W1047" i="1"/>
  <c r="Y1046" i="1"/>
  <c r="X1046" i="1"/>
  <c r="W1046" i="1"/>
  <c r="Y1055" i="1"/>
  <c r="X1055" i="1"/>
  <c r="W1055" i="1"/>
  <c r="Y1060" i="1"/>
  <c r="X1060" i="1"/>
  <c r="W1060" i="1"/>
  <c r="Y1059" i="1"/>
  <c r="X1059" i="1"/>
  <c r="W1059" i="1"/>
  <c r="Y1062" i="1"/>
  <c r="X1062" i="1"/>
  <c r="W1062" i="1"/>
  <c r="Y1067" i="1"/>
  <c r="X1067" i="1"/>
  <c r="W1067" i="1"/>
  <c r="Y1066" i="1"/>
  <c r="X1066" i="1"/>
  <c r="W1066" i="1"/>
  <c r="Y1065" i="1"/>
  <c r="X1065" i="1"/>
  <c r="W1065" i="1"/>
  <c r="Y1074" i="1"/>
  <c r="X1074" i="1"/>
  <c r="W1074" i="1"/>
  <c r="Y1073" i="1"/>
  <c r="X1073" i="1"/>
  <c r="W1073" i="1"/>
  <c r="Y1021" i="1"/>
  <c r="X1021" i="1"/>
  <c r="W1021" i="1"/>
  <c r="Y1026" i="1"/>
  <c r="X1026" i="1"/>
  <c r="W1026" i="1"/>
  <c r="Y1032" i="1"/>
  <c r="X1032" i="1"/>
  <c r="W1032" i="1"/>
  <c r="Y1039" i="1"/>
  <c r="X1039" i="1"/>
  <c r="W1039" i="1"/>
  <c r="Y1038" i="1"/>
  <c r="X1038" i="1"/>
  <c r="W1038" i="1"/>
  <c r="Y1045" i="1"/>
  <c r="X1045" i="1"/>
  <c r="W1045" i="1"/>
  <c r="Y1044" i="1"/>
  <c r="X1044" i="1"/>
  <c r="W1044" i="1"/>
  <c r="Y1043" i="1"/>
  <c r="X1043" i="1"/>
  <c r="W1043" i="1"/>
  <c r="Y1054" i="1"/>
  <c r="X1054" i="1"/>
  <c r="W1054" i="1"/>
  <c r="Y1053" i="1"/>
  <c r="X1053" i="1"/>
  <c r="W1053" i="1"/>
  <c r="Y1052" i="1"/>
  <c r="X1052" i="1"/>
  <c r="W1052" i="1"/>
  <c r="Y1058" i="1"/>
  <c r="X1058" i="1"/>
  <c r="W1058" i="1"/>
  <c r="Y1057" i="1"/>
  <c r="X1057" i="1"/>
  <c r="W1057" i="1"/>
  <c r="Y1064" i="1"/>
  <c r="X1064" i="1"/>
  <c r="W1064" i="1"/>
  <c r="Y1063" i="1"/>
  <c r="X1063" i="1"/>
  <c r="W1063" i="1"/>
  <c r="Y1072" i="1"/>
  <c r="X1072" i="1"/>
  <c r="W1072" i="1"/>
  <c r="Y1071" i="1"/>
  <c r="X1071" i="1"/>
  <c r="Y1070" i="1"/>
  <c r="X1070" i="1"/>
  <c r="W1070" i="1"/>
  <c r="W1071" i="1"/>
  <c r="Y1069" i="1"/>
  <c r="X1069" i="1"/>
  <c r="W1069" i="1"/>
  <c r="Y961" i="1" l="1"/>
  <c r="X961" i="1"/>
  <c r="W961" i="1"/>
  <c r="Y987" i="1"/>
  <c r="X987" i="1"/>
  <c r="W987" i="1"/>
  <c r="Y986" i="1"/>
  <c r="X986" i="1"/>
  <c r="W986" i="1"/>
  <c r="Y993" i="1"/>
  <c r="X985" i="1"/>
  <c r="W985" i="1"/>
  <c r="Y985" i="1"/>
  <c r="X993" i="1"/>
  <c r="W993" i="1"/>
  <c r="Y992" i="1"/>
  <c r="X992" i="1"/>
  <c r="W992" i="1"/>
  <c r="Y991" i="1"/>
  <c r="X991" i="1"/>
  <c r="W991" i="1"/>
  <c r="Y990" i="1"/>
  <c r="X990" i="1"/>
  <c r="W990" i="1"/>
  <c r="Y996" i="1"/>
  <c r="X996" i="1"/>
  <c r="W996" i="1"/>
  <c r="Y995" i="1"/>
  <c r="X995" i="1"/>
  <c r="W995" i="1"/>
  <c r="Y1003" i="1"/>
  <c r="X1003" i="1"/>
  <c r="W1003" i="1"/>
  <c r="Y1002" i="1"/>
  <c r="X1002" i="1"/>
  <c r="W1002" i="1"/>
  <c r="Y1001" i="1"/>
  <c r="X1001" i="1"/>
  <c r="W1001" i="1"/>
  <c r="Y1000" i="1"/>
  <c r="X1000" i="1"/>
  <c r="W1000" i="1"/>
  <c r="Y999" i="1"/>
  <c r="X999" i="1"/>
  <c r="W999" i="1"/>
  <c r="Y1004" i="1"/>
  <c r="X1004" i="1"/>
  <c r="W1004" i="1"/>
  <c r="Y1005" i="1"/>
  <c r="X1005" i="1"/>
  <c r="W1005" i="1"/>
  <c r="Y1009" i="1"/>
  <c r="X1009" i="1"/>
  <c r="W1009" i="1"/>
  <c r="Y1008" i="1"/>
  <c r="X1008" i="1"/>
  <c r="W1008" i="1"/>
  <c r="Y1014" i="1"/>
  <c r="X1014" i="1"/>
  <c r="W1014" i="1"/>
  <c r="Y1013" i="1" l="1"/>
  <c r="X1013" i="1"/>
  <c r="W1013" i="1"/>
  <c r="Y1012" i="1"/>
  <c r="X1012" i="1"/>
  <c r="W1012" i="1"/>
  <c r="Y1020" i="1"/>
  <c r="X1020" i="1"/>
  <c r="W1020" i="1"/>
  <c r="Y1019" i="1"/>
  <c r="X1019" i="1"/>
  <c r="W1019" i="1"/>
  <c r="Y1018" i="1"/>
  <c r="X1018" i="1"/>
  <c r="W1018" i="1"/>
  <c r="Y984" i="1"/>
  <c r="X984" i="1"/>
  <c r="W984" i="1"/>
  <c r="Y989" i="1"/>
  <c r="X989" i="1"/>
  <c r="W989" i="1"/>
  <c r="Y988" i="1"/>
  <c r="X988" i="1"/>
  <c r="W988" i="1"/>
  <c r="Y994" i="1"/>
  <c r="X994" i="1"/>
  <c r="W994" i="1"/>
  <c r="Y998" i="1"/>
  <c r="X998" i="1"/>
  <c r="W998" i="1"/>
  <c r="Y1007" i="1"/>
  <c r="X1007" i="1"/>
  <c r="W1007" i="1"/>
  <c r="Y1006" i="1"/>
  <c r="X1006" i="1"/>
  <c r="W1006" i="1"/>
  <c r="Y1011" i="1"/>
  <c r="X1011" i="1"/>
  <c r="W1011" i="1"/>
  <c r="Y1010" i="1"/>
  <c r="X1010" i="1"/>
  <c r="W1010" i="1"/>
  <c r="Y1017" i="1"/>
  <c r="X1017" i="1"/>
  <c r="W1017" i="1"/>
  <c r="Y1016" i="1"/>
  <c r="X1016" i="1"/>
  <c r="W1016" i="1"/>
  <c r="Y1015" i="1"/>
  <c r="X1015" i="1"/>
  <c r="W1015" i="1"/>
  <c r="Y924" i="1" l="1"/>
  <c r="X924" i="1"/>
  <c r="W924" i="1"/>
  <c r="Y923" i="1"/>
  <c r="X923" i="1"/>
  <c r="W923" i="1"/>
  <c r="Y922" i="1"/>
  <c r="X922" i="1"/>
  <c r="W922" i="1"/>
  <c r="Y929" i="1"/>
  <c r="X929" i="1"/>
  <c r="W929" i="1"/>
  <c r="Y928" i="1"/>
  <c r="X928" i="1"/>
  <c r="W928" i="1"/>
  <c r="Y936" i="1"/>
  <c r="X936" i="1"/>
  <c r="W936" i="1"/>
  <c r="X935" i="1" l="1"/>
  <c r="W935" i="1"/>
  <c r="Y934" i="1"/>
  <c r="Y935" i="1"/>
  <c r="X934" i="1"/>
  <c r="W934" i="1"/>
  <c r="Y933" i="1"/>
  <c r="X933" i="1"/>
  <c r="W933" i="1"/>
  <c r="Y939" i="1"/>
  <c r="X939" i="1"/>
  <c r="W939" i="1"/>
  <c r="Y938" i="1"/>
  <c r="X938" i="1"/>
  <c r="W938" i="1"/>
  <c r="Y944" i="1"/>
  <c r="X944" i="1"/>
  <c r="W944" i="1"/>
  <c r="Y943" i="1"/>
  <c r="X943" i="1"/>
  <c r="W943" i="1"/>
  <c r="Y942" i="1"/>
  <c r="X942" i="1"/>
  <c r="W942" i="1"/>
  <c r="Y941" i="1"/>
  <c r="X941" i="1"/>
  <c r="W941" i="1"/>
  <c r="Y946" i="1"/>
  <c r="X946" i="1"/>
  <c r="W946" i="1"/>
  <c r="Y950" i="1"/>
  <c r="X950" i="1"/>
  <c r="W950" i="1"/>
  <c r="Y949" i="1"/>
  <c r="X949" i="1"/>
  <c r="W949" i="1"/>
  <c r="Y954" i="1"/>
  <c r="X954" i="1"/>
  <c r="W954" i="1"/>
  <c r="Y953" i="1"/>
  <c r="X953" i="1"/>
  <c r="W953" i="1"/>
  <c r="Y957" i="1"/>
  <c r="X957" i="1"/>
  <c r="W957" i="1"/>
  <c r="Y921" i="1"/>
  <c r="X921" i="1"/>
  <c r="W921" i="1"/>
  <c r="Y927" i="1"/>
  <c r="X927" i="1"/>
  <c r="W927" i="1"/>
  <c r="Y926" i="1"/>
  <c r="X926" i="1"/>
  <c r="W926" i="1"/>
  <c r="Y925" i="1"/>
  <c r="X925" i="1"/>
  <c r="W925" i="1"/>
  <c r="Y932" i="1"/>
  <c r="X932" i="1"/>
  <c r="W932" i="1"/>
  <c r="Y931" i="1"/>
  <c r="X931" i="1"/>
  <c r="W931" i="1"/>
  <c r="Y930" i="1"/>
  <c r="X930" i="1"/>
  <c r="W930" i="1"/>
  <c r="Y937" i="1"/>
  <c r="X937" i="1"/>
  <c r="W937" i="1"/>
  <c r="Y940" i="1"/>
  <c r="X940" i="1"/>
  <c r="W940" i="1"/>
  <c r="X945" i="1"/>
  <c r="W945" i="1"/>
  <c r="Y948" i="1"/>
  <c r="Y945" i="1"/>
  <c r="X948" i="1"/>
  <c r="W948" i="1"/>
  <c r="Y947" i="1"/>
  <c r="X947" i="1"/>
  <c r="W947" i="1"/>
  <c r="Y952" i="1"/>
  <c r="X952" i="1"/>
  <c r="W952" i="1"/>
  <c r="Y951" i="1"/>
  <c r="X951" i="1"/>
  <c r="W951" i="1"/>
  <c r="Y956" i="1"/>
  <c r="X956" i="1"/>
  <c r="W956" i="1"/>
  <c r="Y955" i="1"/>
  <c r="X955" i="1"/>
  <c r="W955" i="1"/>
  <c r="Y966" i="1" l="1"/>
  <c r="X966" i="1"/>
  <c r="W966" i="1"/>
  <c r="Y965" i="1"/>
  <c r="X965" i="1"/>
  <c r="W965" i="1"/>
  <c r="Y964" i="1"/>
  <c r="X964" i="1"/>
  <c r="W964" i="1"/>
  <c r="Y970" i="1"/>
  <c r="X970" i="1"/>
  <c r="W970" i="1"/>
  <c r="Y969" i="1"/>
  <c r="X969" i="1"/>
  <c r="W969" i="1"/>
  <c r="Y973" i="1"/>
  <c r="X973" i="1"/>
  <c r="W973" i="1"/>
  <c r="Y972" i="1"/>
  <c r="X972" i="1"/>
  <c r="W972" i="1"/>
  <c r="Y975" i="1"/>
  <c r="X975" i="1"/>
  <c r="W975" i="1"/>
  <c r="Y983" i="1"/>
  <c r="X983" i="1"/>
  <c r="W983" i="1"/>
  <c r="Y982" i="1"/>
  <c r="X982" i="1"/>
  <c r="W982" i="1"/>
  <c r="Y981" i="1"/>
  <c r="X981" i="1"/>
  <c r="W981" i="1"/>
  <c r="Y980" i="1"/>
  <c r="X980" i="1"/>
  <c r="W980" i="1"/>
  <c r="Y979" i="1"/>
  <c r="X979" i="1"/>
  <c r="W979" i="1"/>
  <c r="Y960" i="1"/>
  <c r="X960" i="1"/>
  <c r="W960" i="1"/>
  <c r="Y959" i="1"/>
  <c r="X959" i="1"/>
  <c r="W959" i="1"/>
  <c r="Y958" i="1"/>
  <c r="X958" i="1"/>
  <c r="W958" i="1"/>
  <c r="Y963" i="1"/>
  <c r="X963" i="1"/>
  <c r="W963" i="1"/>
  <c r="Y962" i="1"/>
  <c r="X962" i="1"/>
  <c r="W962" i="1"/>
  <c r="Y968" i="1"/>
  <c r="X968" i="1"/>
  <c r="W968" i="1"/>
  <c r="Y967" i="1"/>
  <c r="X967" i="1"/>
  <c r="W967" i="1"/>
  <c r="Y971" i="1"/>
  <c r="X971" i="1"/>
  <c r="W971" i="1"/>
  <c r="Y974" i="1"/>
  <c r="X974" i="1"/>
  <c r="W974" i="1"/>
  <c r="Y978" i="1"/>
  <c r="X978" i="1"/>
  <c r="W978" i="1"/>
  <c r="Y977" i="1"/>
  <c r="X977" i="1"/>
  <c r="W977" i="1"/>
  <c r="Y976" i="1"/>
  <c r="X976" i="1"/>
  <c r="W976" i="1"/>
  <c r="Y902" i="1" l="1"/>
  <c r="X902" i="1"/>
  <c r="W902" i="1"/>
  <c r="Y901" i="1"/>
  <c r="X901" i="1"/>
  <c r="W901" i="1"/>
  <c r="Y903" i="1"/>
  <c r="X903" i="1"/>
  <c r="W903" i="1"/>
  <c r="Y907" i="1"/>
  <c r="X907" i="1"/>
  <c r="W907" i="1"/>
  <c r="Y872" i="1"/>
  <c r="X872" i="1"/>
  <c r="W872" i="1"/>
  <c r="Y911" i="1"/>
  <c r="X911" i="1"/>
  <c r="W911" i="1"/>
  <c r="Y915" i="1"/>
  <c r="X915" i="1"/>
  <c r="W915" i="1"/>
  <c r="Y914" i="1"/>
  <c r="X914" i="1"/>
  <c r="W914" i="1"/>
  <c r="Y918" i="1"/>
  <c r="X918" i="1"/>
  <c r="W918" i="1"/>
  <c r="Y917" i="1"/>
  <c r="X917" i="1"/>
  <c r="W917" i="1"/>
  <c r="Y919" i="1"/>
  <c r="X919" i="1"/>
  <c r="W919" i="1"/>
  <c r="Y920" i="1"/>
  <c r="X920" i="1"/>
  <c r="W920" i="1"/>
  <c r="Y904" i="1"/>
  <c r="X904" i="1"/>
  <c r="W904" i="1"/>
  <c r="Y900" i="1"/>
  <c r="X900" i="1"/>
  <c r="W900" i="1"/>
  <c r="Y906" i="1"/>
  <c r="X906" i="1"/>
  <c r="W906" i="1"/>
  <c r="Y905" i="1"/>
  <c r="X905" i="1"/>
  <c r="W905" i="1"/>
  <c r="Y910" i="1"/>
  <c r="X910" i="1"/>
  <c r="W910" i="1"/>
  <c r="Y909" i="1"/>
  <c r="X909" i="1"/>
  <c r="W909" i="1"/>
  <c r="Y908" i="1"/>
  <c r="X908" i="1"/>
  <c r="W908" i="1"/>
  <c r="Y913" i="1"/>
  <c r="X913" i="1"/>
  <c r="W913" i="1"/>
  <c r="Y912" i="1"/>
  <c r="X912" i="1"/>
  <c r="W912" i="1"/>
  <c r="Y916" i="1"/>
  <c r="X916" i="1"/>
  <c r="W916" i="1"/>
  <c r="Y876" i="1" l="1"/>
  <c r="X876" i="1"/>
  <c r="W876" i="1"/>
  <c r="Y875" i="1"/>
  <c r="X875" i="1"/>
  <c r="W875" i="1"/>
  <c r="Y883" i="1"/>
  <c r="X883" i="1"/>
  <c r="W883" i="1"/>
  <c r="Y882" i="1"/>
  <c r="X882" i="1"/>
  <c r="Y888" i="1"/>
  <c r="X888" i="1"/>
  <c r="W888" i="1"/>
  <c r="W882" i="1"/>
  <c r="Y887" i="1"/>
  <c r="X887" i="1"/>
  <c r="W887" i="1"/>
  <c r="Y886" i="1"/>
  <c r="X886" i="1"/>
  <c r="W886" i="1"/>
  <c r="Y890" i="1"/>
  <c r="X890" i="1"/>
  <c r="W890" i="1"/>
  <c r="Y889" i="1"/>
  <c r="X889" i="1"/>
  <c r="W889" i="1"/>
  <c r="Y894" i="1"/>
  <c r="X894" i="1"/>
  <c r="W894" i="1"/>
  <c r="Y893" i="1"/>
  <c r="X893" i="1"/>
  <c r="W893" i="1"/>
  <c r="Y897" i="1"/>
  <c r="X897" i="1"/>
  <c r="W897" i="1"/>
  <c r="Y874" i="1"/>
  <c r="X874" i="1"/>
  <c r="W874" i="1"/>
  <c r="Y873" i="1"/>
  <c r="X873" i="1"/>
  <c r="W873" i="1"/>
  <c r="Y879" i="1"/>
  <c r="X879" i="1"/>
  <c r="W879" i="1"/>
  <c r="Y878" i="1"/>
  <c r="X878" i="1"/>
  <c r="W878" i="1"/>
  <c r="Y877" i="1"/>
  <c r="X877" i="1"/>
  <c r="W877" i="1"/>
  <c r="Y881" i="1"/>
  <c r="X881" i="1"/>
  <c r="W881" i="1"/>
  <c r="Y880" i="1"/>
  <c r="X880" i="1"/>
  <c r="W880" i="1"/>
  <c r="Y885" i="1"/>
  <c r="X885" i="1"/>
  <c r="W885" i="1"/>
  <c r="Y884" i="1"/>
  <c r="X884" i="1"/>
  <c r="W884" i="1"/>
  <c r="Y892" i="1"/>
  <c r="X892" i="1"/>
  <c r="W892" i="1"/>
  <c r="Y891" i="1"/>
  <c r="X891" i="1"/>
  <c r="W891" i="1"/>
  <c r="Y896" i="1"/>
  <c r="X896" i="1"/>
  <c r="W896" i="1"/>
  <c r="Y895" i="1"/>
  <c r="X895" i="1"/>
  <c r="W895" i="1"/>
  <c r="Y899" i="1"/>
  <c r="X899" i="1"/>
  <c r="W899" i="1"/>
  <c r="Y898" i="1"/>
  <c r="X898" i="1"/>
  <c r="W898" i="1"/>
  <c r="Y854" i="1" l="1"/>
  <c r="X854" i="1"/>
  <c r="W854" i="1"/>
  <c r="Y853" i="1"/>
  <c r="X853" i="1"/>
  <c r="W853" i="1"/>
  <c r="Y859" i="1"/>
  <c r="X859" i="1"/>
  <c r="W859" i="1"/>
  <c r="Y860" i="1"/>
  <c r="X860" i="1"/>
  <c r="W860" i="1"/>
  <c r="Y865" i="1"/>
  <c r="X865" i="1"/>
  <c r="W865" i="1"/>
  <c r="Y864" i="1"/>
  <c r="X864" i="1"/>
  <c r="W864" i="1"/>
  <c r="Y863" i="1"/>
  <c r="X863" i="1"/>
  <c r="W863" i="1"/>
  <c r="Y862" i="1"/>
  <c r="X862" i="1"/>
  <c r="W862" i="1"/>
  <c r="Y866" i="1"/>
  <c r="X866" i="1"/>
  <c r="W866" i="1"/>
  <c r="Y869" i="1"/>
  <c r="X869" i="1"/>
  <c r="W869" i="1"/>
  <c r="Y868" i="1"/>
  <c r="X868" i="1"/>
  <c r="W868" i="1"/>
  <c r="Y867" i="1"/>
  <c r="X867" i="1"/>
  <c r="W867" i="1"/>
  <c r="Y871" i="1"/>
  <c r="X871" i="1"/>
  <c r="W871" i="1"/>
  <c r="Y852" i="1"/>
  <c r="X852" i="1"/>
  <c r="W852" i="1"/>
  <c r="Y858" i="1"/>
  <c r="X858" i="1"/>
  <c r="W858" i="1"/>
  <c r="Y857" i="1"/>
  <c r="X857" i="1"/>
  <c r="W857" i="1"/>
  <c r="Y856" i="1"/>
  <c r="X856" i="1"/>
  <c r="W856" i="1"/>
  <c r="Y855" i="1"/>
  <c r="X855" i="1"/>
  <c r="W855" i="1"/>
  <c r="Y861" i="1"/>
  <c r="X861" i="1"/>
  <c r="W861" i="1"/>
  <c r="Y870" i="1"/>
  <c r="X870" i="1"/>
  <c r="W870" i="1"/>
  <c r="Y837" i="1" l="1"/>
  <c r="X837" i="1"/>
  <c r="W837" i="1"/>
  <c r="Y840" i="1"/>
  <c r="X840" i="1"/>
  <c r="W840" i="1"/>
  <c r="Y839" i="1"/>
  <c r="X839" i="1"/>
  <c r="W839" i="1"/>
  <c r="Y845" i="1"/>
  <c r="X845" i="1"/>
  <c r="W845" i="1"/>
  <c r="Y844" i="1"/>
  <c r="X844" i="1"/>
  <c r="W844" i="1"/>
  <c r="Y843" i="1"/>
  <c r="X843" i="1"/>
  <c r="W843" i="1"/>
  <c r="Y847" i="1"/>
  <c r="X847" i="1"/>
  <c r="W847" i="1"/>
  <c r="Y846" i="1"/>
  <c r="X846" i="1"/>
  <c r="W846" i="1"/>
  <c r="Y851" i="1"/>
  <c r="X851" i="1"/>
  <c r="W851" i="1"/>
  <c r="X850" i="1"/>
  <c r="W850" i="1"/>
  <c r="Y849" i="1"/>
  <c r="Y850" i="1"/>
  <c r="X849" i="1"/>
  <c r="W849" i="1"/>
  <c r="Y838" i="1"/>
  <c r="X838" i="1"/>
  <c r="W838" i="1"/>
  <c r="Y842" i="1"/>
  <c r="X842" i="1"/>
  <c r="W842" i="1"/>
  <c r="Y841" i="1"/>
  <c r="X841" i="1"/>
  <c r="W841" i="1"/>
  <c r="Y848" i="1"/>
  <c r="X848" i="1"/>
  <c r="W848" i="1"/>
  <c r="Y826" i="1" l="1"/>
  <c r="X826" i="1"/>
  <c r="W826" i="1"/>
  <c r="Y825" i="1"/>
  <c r="X825" i="1"/>
  <c r="W825" i="1"/>
  <c r="Y824" i="1"/>
  <c r="X824" i="1"/>
  <c r="Y827" i="1"/>
  <c r="X827" i="1"/>
  <c r="W827" i="1"/>
  <c r="W824" i="1"/>
  <c r="Y828" i="1"/>
  <c r="X828" i="1"/>
  <c r="W828" i="1"/>
  <c r="Y829" i="1"/>
  <c r="X829" i="1"/>
  <c r="W829" i="1"/>
  <c r="Y834" i="1"/>
  <c r="X834" i="1"/>
  <c r="W834" i="1"/>
  <c r="Y833" i="1"/>
  <c r="X833" i="1"/>
  <c r="W833" i="1"/>
  <c r="Y832" i="1"/>
  <c r="X832" i="1"/>
  <c r="W832" i="1"/>
  <c r="Y835" i="1"/>
  <c r="X835" i="1"/>
  <c r="W835" i="1"/>
  <c r="Y836" i="1" l="1"/>
  <c r="X836" i="1"/>
  <c r="W836" i="1"/>
  <c r="Y823" i="1"/>
  <c r="X823" i="1"/>
  <c r="W823" i="1"/>
  <c r="Y822" i="1"/>
  <c r="X822" i="1"/>
  <c r="W822" i="1"/>
  <c r="Y831" i="1"/>
  <c r="X831" i="1"/>
  <c r="W831" i="1"/>
  <c r="Y830" i="1"/>
  <c r="X830" i="1"/>
  <c r="W830" i="1"/>
  <c r="Y809" i="1" l="1"/>
  <c r="X809" i="1"/>
  <c r="W809" i="1"/>
  <c r="Y808" i="1"/>
  <c r="X808" i="1"/>
  <c r="W808" i="1"/>
  <c r="Y807" i="1"/>
  <c r="X807" i="1"/>
  <c r="W807" i="1"/>
  <c r="Y815" i="1"/>
  <c r="X815" i="1"/>
  <c r="W815" i="1"/>
  <c r="Y814" i="1"/>
  <c r="X814" i="1"/>
  <c r="W814" i="1"/>
  <c r="Y813" i="1"/>
  <c r="X813" i="1"/>
  <c r="W813" i="1"/>
  <c r="Y821" i="1"/>
  <c r="X821" i="1"/>
  <c r="W821" i="1"/>
  <c r="Y820" i="1"/>
  <c r="X820" i="1"/>
  <c r="W820" i="1"/>
  <c r="Y819" i="1"/>
  <c r="X819" i="1"/>
  <c r="W819" i="1"/>
  <c r="Y818" i="1"/>
  <c r="X818" i="1"/>
  <c r="W818" i="1"/>
  <c r="Y817" i="1"/>
  <c r="X817" i="1"/>
  <c r="W817" i="1"/>
  <c r="Y806" i="1"/>
  <c r="X806" i="1"/>
  <c r="W806" i="1"/>
  <c r="Y810" i="1"/>
  <c r="X810" i="1"/>
  <c r="W810" i="1"/>
  <c r="Y811" i="1"/>
  <c r="X811" i="1"/>
  <c r="W811" i="1"/>
  <c r="Y812" i="1"/>
  <c r="X812" i="1"/>
  <c r="W812" i="1"/>
  <c r="Y816" i="1"/>
  <c r="X816" i="1"/>
  <c r="W816" i="1"/>
  <c r="Y767" i="1" l="1"/>
  <c r="X767" i="1"/>
  <c r="W767" i="1"/>
  <c r="Y766" i="1"/>
  <c r="X766" i="1"/>
  <c r="W766" i="1"/>
  <c r="Y770" i="1"/>
  <c r="X770" i="1"/>
  <c r="W770" i="1"/>
  <c r="Y769" i="1"/>
  <c r="X769" i="1"/>
  <c r="W769" i="1"/>
  <c r="Y777" i="1"/>
  <c r="X777" i="1"/>
  <c r="W777" i="1"/>
  <c r="Y776" i="1"/>
  <c r="X776" i="1"/>
  <c r="W776" i="1"/>
  <c r="Y775" i="1"/>
  <c r="X775" i="1"/>
  <c r="W775" i="1"/>
  <c r="Y774" i="1"/>
  <c r="X774" i="1"/>
  <c r="W774" i="1"/>
  <c r="Y781" i="1"/>
  <c r="X781" i="1"/>
  <c r="W781" i="1"/>
  <c r="Y780" i="1"/>
  <c r="X780" i="1"/>
  <c r="W780" i="1"/>
  <c r="Y785" i="1"/>
  <c r="X785" i="1"/>
  <c r="W785" i="1"/>
  <c r="Y784" i="1"/>
  <c r="X784" i="1"/>
  <c r="W784" i="1"/>
  <c r="Y786" i="1"/>
  <c r="X786" i="1"/>
  <c r="W786" i="1"/>
  <c r="Y787" i="1"/>
  <c r="X787" i="1"/>
  <c r="W787" i="1"/>
  <c r="Y788" i="1"/>
  <c r="X788" i="1"/>
  <c r="W788" i="1"/>
  <c r="Y793" i="1"/>
  <c r="X793" i="1"/>
  <c r="W793" i="1"/>
  <c r="Y792" i="1"/>
  <c r="X792" i="1"/>
  <c r="W792" i="1"/>
  <c r="Y799" i="1"/>
  <c r="X799" i="1"/>
  <c r="W799" i="1"/>
  <c r="Y798" i="1"/>
  <c r="X798" i="1"/>
  <c r="W798" i="1"/>
  <c r="Y797" i="1"/>
  <c r="X797" i="1"/>
  <c r="W797" i="1"/>
  <c r="Y796" i="1"/>
  <c r="X796" i="1"/>
  <c r="W796" i="1"/>
  <c r="Y805" i="1"/>
  <c r="X805" i="1"/>
  <c r="W805" i="1"/>
  <c r="Y804" i="1"/>
  <c r="X804" i="1"/>
  <c r="W804" i="1"/>
  <c r="Y803" i="1"/>
  <c r="X803" i="1"/>
  <c r="W803" i="1"/>
  <c r="Y802" i="1"/>
  <c r="X802" i="1"/>
  <c r="W802" i="1"/>
  <c r="Y765" i="1"/>
  <c r="X765" i="1"/>
  <c r="W765" i="1"/>
  <c r="Y768" i="1"/>
  <c r="X768" i="1"/>
  <c r="W768" i="1"/>
  <c r="Y773" i="1"/>
  <c r="X773" i="1"/>
  <c r="W773" i="1"/>
  <c r="Y772" i="1"/>
  <c r="X772" i="1"/>
  <c r="W772" i="1"/>
  <c r="Y771" i="1"/>
  <c r="X771" i="1"/>
  <c r="W771" i="1"/>
  <c r="Y779" i="1"/>
  <c r="X779" i="1"/>
  <c r="W779" i="1"/>
  <c r="Y778" i="1"/>
  <c r="X778" i="1"/>
  <c r="W778" i="1"/>
  <c r="Y783" i="1"/>
  <c r="X783" i="1"/>
  <c r="W783" i="1"/>
  <c r="Y782" i="1"/>
  <c r="X782" i="1"/>
  <c r="W782" i="1"/>
  <c r="Y791" i="1"/>
  <c r="X791" i="1"/>
  <c r="W791" i="1"/>
  <c r="Y790" i="1"/>
  <c r="X790" i="1"/>
  <c r="W790" i="1"/>
  <c r="Y789" i="1"/>
  <c r="W789" i="1"/>
  <c r="Y795" i="1"/>
  <c r="X795" i="1"/>
  <c r="X789" i="1"/>
  <c r="W795" i="1"/>
  <c r="Y794" i="1"/>
  <c r="X794" i="1"/>
  <c r="Y801" i="1"/>
  <c r="X801" i="1"/>
  <c r="W801" i="1"/>
  <c r="W794" i="1"/>
  <c r="Y800" i="1"/>
  <c r="X800" i="1"/>
  <c r="W800" i="1"/>
  <c r="Y758" i="1" l="1"/>
  <c r="X758" i="1"/>
  <c r="W758" i="1"/>
  <c r="Y757" i="1" l="1"/>
  <c r="X757" i="1"/>
  <c r="W757" i="1"/>
  <c r="Y756" i="1"/>
  <c r="X756" i="1"/>
  <c r="W756" i="1"/>
  <c r="Y755" i="1"/>
  <c r="X755" i="1"/>
  <c r="W755" i="1"/>
  <c r="Y763" i="1"/>
  <c r="X763" i="1"/>
  <c r="W763" i="1"/>
  <c r="Y762" i="1"/>
  <c r="X762" i="1"/>
  <c r="W762" i="1"/>
  <c r="Y751" i="1"/>
  <c r="X751" i="1"/>
  <c r="W751" i="1"/>
  <c r="Y750" i="1"/>
  <c r="X750" i="1"/>
  <c r="W750" i="1"/>
  <c r="Y754" i="1"/>
  <c r="X754" i="1"/>
  <c r="W754" i="1"/>
  <c r="Y753" i="1"/>
  <c r="X753" i="1"/>
  <c r="W753" i="1"/>
  <c r="Y752" i="1"/>
  <c r="X752" i="1"/>
  <c r="W752" i="1"/>
  <c r="Y761" i="1"/>
  <c r="X761" i="1"/>
  <c r="W761" i="1"/>
  <c r="Y760" i="1"/>
  <c r="X760" i="1"/>
  <c r="W760" i="1"/>
  <c r="Y759" i="1"/>
  <c r="X759" i="1"/>
  <c r="W759" i="1"/>
  <c r="Y764" i="1"/>
  <c r="X764" i="1"/>
  <c r="W764" i="1"/>
  <c r="Y749" i="1" l="1"/>
  <c r="X749" i="1"/>
  <c r="W749" i="1"/>
  <c r="Y720" i="1" l="1"/>
  <c r="X720" i="1"/>
  <c r="W720" i="1"/>
  <c r="Y719" i="1"/>
  <c r="X719" i="1"/>
  <c r="W719" i="1"/>
  <c r="Y723" i="1"/>
  <c r="X723" i="1"/>
  <c r="W723" i="1"/>
  <c r="Y722" i="1"/>
  <c r="X722" i="1"/>
  <c r="W722" i="1"/>
  <c r="Y721" i="1"/>
  <c r="X721" i="1"/>
  <c r="W721" i="1"/>
  <c r="Y728" i="1"/>
  <c r="X728" i="1"/>
  <c r="W728" i="1"/>
  <c r="Y727" i="1" l="1"/>
  <c r="X727" i="1"/>
  <c r="W727" i="1"/>
  <c r="Y726" i="1"/>
  <c r="X726" i="1"/>
  <c r="W726" i="1"/>
  <c r="Y729" i="1"/>
  <c r="X729" i="1"/>
  <c r="W729" i="1"/>
  <c r="Y732" i="1"/>
  <c r="X732" i="1"/>
  <c r="W732" i="1"/>
  <c r="Y738" i="1"/>
  <c r="X738" i="1"/>
  <c r="W738" i="1"/>
  <c r="Y737" i="1"/>
  <c r="X737" i="1"/>
  <c r="W737" i="1"/>
  <c r="Y736" i="1"/>
  <c r="X736" i="1"/>
  <c r="W736" i="1"/>
  <c r="Y743" i="1"/>
  <c r="X743" i="1"/>
  <c r="W743" i="1"/>
  <c r="Y742" i="1"/>
  <c r="X742" i="1"/>
  <c r="W742" i="1"/>
  <c r="Y745" i="1"/>
  <c r="X745" i="1"/>
  <c r="W745" i="1"/>
  <c r="Y744" i="1" l="1"/>
  <c r="X744" i="1"/>
  <c r="W744" i="1"/>
  <c r="Y748" i="1"/>
  <c r="X748" i="1"/>
  <c r="W748" i="1"/>
  <c r="Y747" i="1"/>
  <c r="X747" i="1"/>
  <c r="W747" i="1"/>
  <c r="Y718" i="1"/>
  <c r="X718" i="1"/>
  <c r="W718" i="1"/>
  <c r="Y725" i="1"/>
  <c r="X725" i="1"/>
  <c r="W725" i="1"/>
  <c r="Y724" i="1"/>
  <c r="X724" i="1"/>
  <c r="W724" i="1"/>
  <c r="Y731" i="1"/>
  <c r="X731" i="1"/>
  <c r="Y730" i="1"/>
  <c r="X730" i="1"/>
  <c r="W730" i="1"/>
  <c r="W731" i="1"/>
  <c r="Y735" i="1"/>
  <c r="X735" i="1"/>
  <c r="W735" i="1"/>
  <c r="Y734" i="1"/>
  <c r="X734" i="1"/>
  <c r="W734" i="1"/>
  <c r="Y733" i="1"/>
  <c r="X733" i="1"/>
  <c r="W733" i="1"/>
  <c r="Y741" i="1"/>
  <c r="X741" i="1"/>
  <c r="W741" i="1"/>
  <c r="Y740" i="1"/>
  <c r="X740" i="1"/>
  <c r="W740" i="1"/>
  <c r="Y739" i="1"/>
  <c r="X739" i="1"/>
  <c r="W739" i="1"/>
  <c r="Y746" i="1"/>
  <c r="X746" i="1"/>
  <c r="W746" i="1"/>
  <c r="Y701" i="1" l="1"/>
  <c r="X701" i="1"/>
  <c r="W701" i="1"/>
  <c r="Y694" i="1" l="1"/>
  <c r="X694" i="1"/>
  <c r="W694" i="1"/>
  <c r="Y698" i="1"/>
  <c r="X698" i="1"/>
  <c r="W698" i="1"/>
  <c r="Y697" i="1"/>
  <c r="X697" i="1"/>
  <c r="W697" i="1"/>
  <c r="Y700" i="1"/>
  <c r="X700" i="1"/>
  <c r="W700" i="1"/>
  <c r="Y705" i="1"/>
  <c r="X705" i="1"/>
  <c r="W705" i="1"/>
  <c r="Y704" i="1"/>
  <c r="X704" i="1"/>
  <c r="W704" i="1"/>
  <c r="Y711" i="1"/>
  <c r="X711" i="1"/>
  <c r="W711" i="1"/>
  <c r="Y710" i="1"/>
  <c r="X710" i="1"/>
  <c r="W710" i="1"/>
  <c r="Y709" i="1"/>
  <c r="X709" i="1"/>
  <c r="W709" i="1"/>
  <c r="Y712" i="1"/>
  <c r="X712" i="1"/>
  <c r="W712" i="1"/>
  <c r="Y715" i="1"/>
  <c r="X715" i="1"/>
  <c r="W715" i="1"/>
  <c r="Y714" i="1"/>
  <c r="X714" i="1"/>
  <c r="W714" i="1"/>
  <c r="Y717" i="1"/>
  <c r="X717" i="1"/>
  <c r="W717" i="1"/>
  <c r="Y716" i="1"/>
  <c r="X716" i="1"/>
  <c r="W716" i="1"/>
  <c r="Y693" i="1"/>
  <c r="X693" i="1"/>
  <c r="W693" i="1"/>
  <c r="Y696" i="1"/>
  <c r="X696" i="1"/>
  <c r="W696" i="1"/>
  <c r="Y695" i="1"/>
  <c r="X695" i="1"/>
  <c r="W695" i="1"/>
  <c r="Y699" i="1"/>
  <c r="X699" i="1"/>
  <c r="W699" i="1"/>
  <c r="Y703" i="1"/>
  <c r="X703" i="1"/>
  <c r="W703" i="1"/>
  <c r="Y702" i="1"/>
  <c r="X702" i="1"/>
  <c r="W702" i="1"/>
  <c r="Y708" i="1"/>
  <c r="X708" i="1"/>
  <c r="W708" i="1"/>
  <c r="Y707" i="1"/>
  <c r="X707" i="1"/>
  <c r="W707" i="1"/>
  <c r="Y706" i="1"/>
  <c r="X706" i="1"/>
  <c r="W706" i="1"/>
  <c r="Y713" i="1"/>
  <c r="X713" i="1"/>
  <c r="W713" i="1"/>
  <c r="Y684" i="1" l="1"/>
  <c r="X684" i="1"/>
  <c r="W684" i="1"/>
  <c r="Y658" i="1"/>
  <c r="X658" i="1"/>
  <c r="W658" i="1"/>
  <c r="Y626" i="1" l="1"/>
  <c r="X626" i="1"/>
  <c r="W626" i="1"/>
  <c r="Y625" i="1"/>
  <c r="X625" i="1"/>
  <c r="W625" i="1"/>
  <c r="Y624" i="1"/>
  <c r="X624" i="1"/>
  <c r="W624" i="1"/>
  <c r="Y631" i="1"/>
  <c r="X631" i="1"/>
  <c r="W631" i="1"/>
  <c r="Y630" i="1"/>
  <c r="X630" i="1"/>
  <c r="W630" i="1"/>
  <c r="Y639" i="1"/>
  <c r="X639" i="1"/>
  <c r="W639" i="1"/>
  <c r="Y638" i="1"/>
  <c r="X638" i="1"/>
  <c r="W638" i="1"/>
  <c r="Y637" i="1"/>
  <c r="X637" i="1"/>
  <c r="W637" i="1"/>
  <c r="Y636" i="1"/>
  <c r="X636" i="1"/>
  <c r="W636" i="1"/>
  <c r="Y645" i="1"/>
  <c r="X645" i="1"/>
  <c r="W645" i="1"/>
  <c r="Y646" i="1"/>
  <c r="X646" i="1"/>
  <c r="W646" i="1"/>
  <c r="Y647" i="1"/>
  <c r="X647" i="1"/>
  <c r="W647" i="1"/>
  <c r="Y648" i="1"/>
  <c r="X648" i="1"/>
  <c r="W648" i="1"/>
  <c r="Y652" i="1"/>
  <c r="X652" i="1"/>
  <c r="W652" i="1"/>
  <c r="Y651" i="1"/>
  <c r="X651" i="1"/>
  <c r="W651" i="1"/>
  <c r="Y650" i="1"/>
  <c r="X650" i="1"/>
  <c r="W650" i="1"/>
  <c r="Y657" i="1"/>
  <c r="X657" i="1"/>
  <c r="W657" i="1"/>
  <c r="Y656" i="1"/>
  <c r="X656" i="1"/>
  <c r="W656" i="1"/>
  <c r="Y655" i="1"/>
  <c r="X655" i="1"/>
  <c r="W655" i="1"/>
  <c r="Y665" i="1"/>
  <c r="X665" i="1"/>
  <c r="W665" i="1"/>
  <c r="Y664" i="1"/>
  <c r="X664" i="1"/>
  <c r="W664" i="1"/>
  <c r="Y663" i="1"/>
  <c r="X663" i="1"/>
  <c r="W663" i="1"/>
  <c r="Y669" i="1"/>
  <c r="X669" i="1"/>
  <c r="W669" i="1"/>
  <c r="Y668" i="1"/>
  <c r="X668" i="1"/>
  <c r="W668" i="1"/>
  <c r="Y675" i="1"/>
  <c r="X675" i="1"/>
  <c r="W675" i="1"/>
  <c r="Y674" i="1"/>
  <c r="X674" i="1"/>
  <c r="W674" i="1"/>
  <c r="Y673" i="1"/>
  <c r="X673" i="1"/>
  <c r="W673" i="1"/>
  <c r="Y672" i="1"/>
  <c r="X672" i="1"/>
  <c r="W672" i="1"/>
  <c r="Y683" i="1"/>
  <c r="X683" i="1"/>
  <c r="W683" i="1"/>
  <c r="Y682" i="1"/>
  <c r="X682" i="1"/>
  <c r="W682" i="1"/>
  <c r="Y681" i="1"/>
  <c r="X681" i="1"/>
  <c r="W681" i="1"/>
  <c r="Y680" i="1"/>
  <c r="X680" i="1"/>
  <c r="W680" i="1"/>
  <c r="Y679" i="1"/>
  <c r="X679" i="1"/>
  <c r="W679" i="1"/>
  <c r="Y690" i="1"/>
  <c r="X690" i="1"/>
  <c r="W690" i="1"/>
  <c r="Y689" i="1"/>
  <c r="X689" i="1"/>
  <c r="W689" i="1"/>
  <c r="Y692" i="1"/>
  <c r="X692" i="1"/>
  <c r="W692" i="1"/>
  <c r="Y623" i="1"/>
  <c r="X623" i="1"/>
  <c r="W623" i="1"/>
  <c r="Y622" i="1"/>
  <c r="X622" i="1"/>
  <c r="W622" i="1"/>
  <c r="Y621" i="1"/>
  <c r="X621" i="1"/>
  <c r="W621" i="1"/>
  <c r="Y629" i="1"/>
  <c r="X629" i="1"/>
  <c r="W629" i="1"/>
  <c r="Y628" i="1"/>
  <c r="X628" i="1"/>
  <c r="W628" i="1"/>
  <c r="Y627" i="1"/>
  <c r="X627" i="1"/>
  <c r="W627" i="1"/>
  <c r="Y635" i="1"/>
  <c r="X635" i="1"/>
  <c r="W635" i="1"/>
  <c r="Y634" i="1"/>
  <c r="X634" i="1"/>
  <c r="W634" i="1"/>
  <c r="Y633" i="1"/>
  <c r="X633" i="1"/>
  <c r="W633" i="1"/>
  <c r="Y632" i="1"/>
  <c r="X632" i="1"/>
  <c r="W632" i="1"/>
  <c r="Y643" i="1"/>
  <c r="X643" i="1"/>
  <c r="W643" i="1"/>
  <c r="Y642" i="1"/>
  <c r="X642" i="1"/>
  <c r="W642" i="1"/>
  <c r="Y641" i="1" l="1"/>
  <c r="X641" i="1"/>
  <c r="W641" i="1"/>
  <c r="Y640" i="1"/>
  <c r="X640" i="1"/>
  <c r="W640" i="1"/>
  <c r="Y644" i="1"/>
  <c r="X644" i="1"/>
  <c r="W644" i="1"/>
  <c r="Y649" i="1"/>
  <c r="X649" i="1"/>
  <c r="W649" i="1"/>
  <c r="Y654" i="1" l="1"/>
  <c r="X654" i="1"/>
  <c r="W654" i="1"/>
  <c r="Y653" i="1"/>
  <c r="X653" i="1"/>
  <c r="W653" i="1"/>
  <c r="Y662" i="1"/>
  <c r="X662" i="1"/>
  <c r="W662" i="1"/>
  <c r="Y661" i="1"/>
  <c r="X661" i="1"/>
  <c r="W661" i="1"/>
  <c r="Y660" i="1"/>
  <c r="X660" i="1"/>
  <c r="W660" i="1"/>
  <c r="Y659" i="1"/>
  <c r="X659" i="1"/>
  <c r="W659" i="1"/>
  <c r="Y667" i="1"/>
  <c r="X667" i="1"/>
  <c r="W667" i="1"/>
  <c r="Y666" i="1"/>
  <c r="X666" i="1"/>
  <c r="W666" i="1"/>
  <c r="Y671" i="1"/>
  <c r="X671" i="1"/>
  <c r="W671" i="1"/>
  <c r="Y670" i="1"/>
  <c r="X670" i="1"/>
  <c r="W670" i="1"/>
  <c r="Y678" i="1"/>
  <c r="X678" i="1"/>
  <c r="W678" i="1"/>
  <c r="Y677" i="1"/>
  <c r="X677" i="1"/>
  <c r="W677" i="1"/>
  <c r="Y676" i="1"/>
  <c r="X676" i="1"/>
  <c r="W676" i="1"/>
  <c r="Y688" i="1"/>
  <c r="X688" i="1"/>
  <c r="W688" i="1"/>
  <c r="Y687" i="1"/>
  <c r="X687" i="1"/>
  <c r="W687" i="1"/>
  <c r="Y686" i="1"/>
  <c r="X686" i="1"/>
  <c r="W686" i="1"/>
  <c r="Y685" i="1"/>
  <c r="X685" i="1"/>
  <c r="W685" i="1"/>
  <c r="Y691" i="1"/>
  <c r="X691" i="1"/>
  <c r="W691" i="1"/>
  <c r="Y606" i="1" l="1"/>
  <c r="X606" i="1"/>
  <c r="W606" i="1"/>
  <c r="Y605" i="1"/>
  <c r="X605" i="1"/>
  <c r="W605" i="1"/>
  <c r="Y604" i="1"/>
  <c r="X604" i="1"/>
  <c r="W604" i="1"/>
  <c r="Y603" i="1"/>
  <c r="X603" i="1"/>
  <c r="W603" i="1"/>
  <c r="Y612" i="1"/>
  <c r="X612" i="1"/>
  <c r="W612" i="1"/>
  <c r="Y611" i="1"/>
  <c r="X611" i="1"/>
  <c r="W611" i="1"/>
  <c r="Y610" i="1"/>
  <c r="X610" i="1"/>
  <c r="W610" i="1"/>
  <c r="Y616" i="1"/>
  <c r="X616" i="1"/>
  <c r="W616" i="1"/>
  <c r="Y619" i="1"/>
  <c r="X619" i="1"/>
  <c r="W619" i="1"/>
  <c r="Y620" i="1"/>
  <c r="X620" i="1"/>
  <c r="W620" i="1"/>
  <c r="Y602" i="1"/>
  <c r="X602" i="1"/>
  <c r="W602" i="1"/>
  <c r="Y608" i="1"/>
  <c r="X608" i="1"/>
  <c r="W608" i="1"/>
  <c r="Y607" i="1"/>
  <c r="X607" i="1"/>
  <c r="W607" i="1"/>
  <c r="Y609" i="1"/>
  <c r="X609" i="1"/>
  <c r="W609" i="1"/>
  <c r="Y615" i="1"/>
  <c r="X615" i="1"/>
  <c r="W615" i="1"/>
  <c r="Y614" i="1"/>
  <c r="X614" i="1"/>
  <c r="W614" i="1"/>
  <c r="Y613" i="1" l="1"/>
  <c r="X613" i="1"/>
  <c r="W613" i="1"/>
  <c r="Y618" i="1"/>
  <c r="X618" i="1"/>
  <c r="W618" i="1"/>
  <c r="Y617" i="1"/>
  <c r="X617" i="1"/>
  <c r="W617" i="1"/>
  <c r="Y595" i="1" l="1"/>
  <c r="X595" i="1"/>
  <c r="W595" i="1"/>
  <c r="Y579" i="1"/>
  <c r="X579" i="1"/>
  <c r="W579" i="1"/>
  <c r="Y578" i="1"/>
  <c r="X578" i="1"/>
  <c r="W578" i="1"/>
  <c r="Y577" i="1"/>
  <c r="X577" i="1"/>
  <c r="W577" i="1"/>
  <c r="Y576" i="1"/>
  <c r="X576" i="1"/>
  <c r="W576" i="1"/>
  <c r="Y575" i="1"/>
  <c r="X575" i="1"/>
  <c r="W575" i="1"/>
  <c r="Y581" i="1"/>
  <c r="X581" i="1"/>
  <c r="W581" i="1"/>
  <c r="Y580" i="1"/>
  <c r="X580" i="1"/>
  <c r="W580" i="1"/>
  <c r="Y582" i="1"/>
  <c r="X582" i="1"/>
  <c r="W582" i="1"/>
  <c r="Y586" i="1"/>
  <c r="X586" i="1"/>
  <c r="W586" i="1"/>
  <c r="Y585" i="1"/>
  <c r="X585" i="1"/>
  <c r="W585" i="1"/>
  <c r="Y590" i="1"/>
  <c r="X590" i="1"/>
  <c r="W590" i="1"/>
  <c r="Y592" i="1"/>
  <c r="X592" i="1"/>
  <c r="W592" i="1"/>
  <c r="Y594" i="1"/>
  <c r="X594" i="1"/>
  <c r="W594" i="1"/>
  <c r="Y598" i="1"/>
  <c r="X598" i="1"/>
  <c r="W598" i="1"/>
  <c r="Y600" i="1" l="1"/>
  <c r="X600" i="1"/>
  <c r="W600" i="1"/>
  <c r="Y573" i="1"/>
  <c r="X573" i="1"/>
  <c r="W573" i="1"/>
  <c r="Y574" i="1"/>
  <c r="X574" i="1"/>
  <c r="W574" i="1"/>
  <c r="Y584" i="1"/>
  <c r="X584" i="1"/>
  <c r="W584" i="1"/>
  <c r="Y583" i="1"/>
  <c r="X583" i="1"/>
  <c r="W583" i="1"/>
  <c r="Y589" i="1"/>
  <c r="X589" i="1"/>
  <c r="W589" i="1"/>
  <c r="Y588" i="1"/>
  <c r="X588" i="1"/>
  <c r="W588" i="1"/>
  <c r="Y587" i="1"/>
  <c r="X587" i="1"/>
  <c r="W587" i="1"/>
  <c r="Y591" i="1"/>
  <c r="X591" i="1"/>
  <c r="W591" i="1"/>
  <c r="Y593" i="1"/>
  <c r="X593" i="1"/>
  <c r="W593" i="1"/>
  <c r="Y597" i="1"/>
  <c r="X597" i="1"/>
  <c r="W597" i="1"/>
  <c r="Y599" i="1"/>
  <c r="X599" i="1"/>
  <c r="W599" i="1"/>
  <c r="Y596" i="1"/>
  <c r="X596" i="1"/>
  <c r="W596" i="1"/>
  <c r="Y601" i="1"/>
  <c r="X601" i="1"/>
  <c r="W601" i="1"/>
  <c r="Y555" i="1" l="1"/>
  <c r="X555" i="1"/>
  <c r="W555" i="1"/>
  <c r="Y556" i="1"/>
  <c r="X556" i="1"/>
  <c r="W556" i="1"/>
  <c r="Y549" i="1" l="1"/>
  <c r="X549" i="1"/>
  <c r="W549" i="1"/>
  <c r="Y553" i="1"/>
  <c r="X553" i="1"/>
  <c r="W553" i="1"/>
  <c r="Y554" i="1"/>
  <c r="X554" i="1"/>
  <c r="W554" i="1"/>
  <c r="Y557" i="1"/>
  <c r="X557" i="1"/>
  <c r="W557" i="1"/>
  <c r="Y560" i="1"/>
  <c r="X560" i="1"/>
  <c r="W560" i="1"/>
  <c r="Y562" i="1"/>
  <c r="X562" i="1"/>
  <c r="W562" i="1"/>
  <c r="Y559" i="1"/>
  <c r="X559" i="1"/>
  <c r="W559" i="1"/>
  <c r="Y561" i="1"/>
  <c r="X561" i="1"/>
  <c r="W561" i="1"/>
  <c r="Y567" i="1"/>
  <c r="X567" i="1"/>
  <c r="W567" i="1"/>
  <c r="Y564" i="1"/>
  <c r="X564" i="1"/>
  <c r="W564" i="1"/>
  <c r="Y565" i="1"/>
  <c r="X565" i="1"/>
  <c r="W565" i="1"/>
  <c r="Y571" i="1"/>
  <c r="X571" i="1"/>
  <c r="W571" i="1"/>
  <c r="C9" i="1"/>
  <c r="Y572" i="1"/>
  <c r="Y569" i="1"/>
  <c r="Y566" i="1"/>
  <c r="Y568" i="1"/>
  <c r="Y558" i="1"/>
  <c r="Y563" i="1"/>
  <c r="Y552" i="1"/>
  <c r="Y551" i="1"/>
  <c r="Y550" i="1"/>
  <c r="Y570" i="1"/>
  <c r="X572" i="1"/>
  <c r="X569" i="1"/>
  <c r="X566" i="1"/>
  <c r="X568" i="1"/>
  <c r="X558" i="1"/>
  <c r="X563" i="1"/>
  <c r="X552" i="1"/>
  <c r="X551" i="1"/>
  <c r="X550" i="1"/>
  <c r="X570" i="1"/>
  <c r="C446" i="1" l="1"/>
  <c r="C444" i="1"/>
  <c r="C442" i="1"/>
  <c r="C440" i="1"/>
  <c r="C438" i="1"/>
  <c r="C439" i="1"/>
  <c r="C437" i="1"/>
  <c r="C441" i="1"/>
  <c r="C436" i="1"/>
  <c r="C435" i="1"/>
  <c r="C432" i="1"/>
  <c r="C434" i="1"/>
  <c r="C433" i="1"/>
  <c r="C430" i="1"/>
  <c r="C427" i="1"/>
  <c r="C431" i="1"/>
  <c r="C428" i="1"/>
  <c r="C429" i="1"/>
  <c r="C420" i="1"/>
  <c r="C421" i="1"/>
  <c r="C424" i="1"/>
  <c r="C419" i="1"/>
  <c r="C422" i="1"/>
  <c r="C426" i="1"/>
  <c r="C423" i="1"/>
  <c r="C425" i="1"/>
  <c r="C418" i="1"/>
  <c r="C417" i="1"/>
  <c r="C413" i="1"/>
  <c r="C416" i="1"/>
  <c r="C415" i="1"/>
  <c r="C414" i="1"/>
  <c r="C412" i="1"/>
  <c r="C411" i="1"/>
  <c r="C408" i="1"/>
  <c r="C409" i="1"/>
  <c r="C410" i="1"/>
  <c r="C404" i="1"/>
  <c r="C406" i="1"/>
  <c r="C407" i="1"/>
  <c r="C405" i="1"/>
  <c r="C403" i="1"/>
  <c r="C402" i="1"/>
  <c r="C399" i="1"/>
  <c r="C400" i="1"/>
  <c r="C401" i="1"/>
  <c r="C398" i="1"/>
  <c r="C394" i="1"/>
  <c r="C395" i="1"/>
  <c r="C396" i="1"/>
  <c r="C392" i="1"/>
  <c r="C393" i="1"/>
  <c r="C397" i="1"/>
  <c r="C390" i="1"/>
  <c r="C391" i="1"/>
  <c r="C389" i="1"/>
  <c r="C387" i="1"/>
  <c r="C386" i="1"/>
  <c r="C385" i="1"/>
  <c r="C388" i="1"/>
  <c r="C379" i="1"/>
  <c r="C383" i="1"/>
  <c r="C384" i="1"/>
  <c r="C382" i="1"/>
  <c r="C380" i="1"/>
  <c r="C381" i="1"/>
  <c r="C377" i="1"/>
  <c r="C375" i="1"/>
  <c r="C378" i="1"/>
  <c r="C373" i="1"/>
  <c r="C374" i="1"/>
  <c r="C376" i="1"/>
  <c r="C372" i="1"/>
  <c r="C371" i="1"/>
  <c r="C369" i="1"/>
  <c r="C370" i="1"/>
  <c r="C368" i="1"/>
  <c r="C363" i="1"/>
  <c r="C365" i="1"/>
  <c r="C364" i="1"/>
  <c r="C367" i="1"/>
  <c r="C366" i="1"/>
  <c r="C361" i="1"/>
  <c r="C362" i="1"/>
  <c r="C360" i="1"/>
  <c r="C355" i="1"/>
  <c r="C356" i="1"/>
  <c r="C359" i="1"/>
  <c r="C357" i="1"/>
  <c r="C358" i="1"/>
  <c r="C351" i="1"/>
  <c r="C353" i="1"/>
  <c r="C354" i="1"/>
  <c r="C352" i="1"/>
  <c r="C348" i="1"/>
  <c r="C349" i="1"/>
  <c r="C346" i="1"/>
  <c r="C347" i="1"/>
  <c r="C350" i="1"/>
  <c r="C343" i="1"/>
  <c r="C344" i="1"/>
  <c r="C342" i="1"/>
  <c r="C345" i="1"/>
  <c r="C341" i="1"/>
  <c r="C340" i="1"/>
  <c r="C337" i="1"/>
  <c r="C339" i="1"/>
  <c r="C338" i="1"/>
  <c r="C333" i="1"/>
  <c r="C334" i="1"/>
  <c r="C332" i="1"/>
  <c r="C336" i="1"/>
  <c r="C335" i="1"/>
  <c r="C328" i="1"/>
  <c r="C331" i="1"/>
  <c r="C330" i="1"/>
  <c r="C329" i="1"/>
  <c r="C325" i="1"/>
  <c r="C326" i="1"/>
  <c r="C327" i="1"/>
  <c r="C324" i="1"/>
  <c r="C323" i="1"/>
  <c r="C319" i="1"/>
  <c r="C320" i="1"/>
  <c r="C322" i="1"/>
  <c r="C321" i="1"/>
  <c r="C318" i="1"/>
  <c r="C317" i="1"/>
  <c r="C314" i="1"/>
  <c r="C316" i="1"/>
  <c r="C313" i="1"/>
  <c r="C315" i="1"/>
  <c r="C312" i="1"/>
  <c r="C306" i="1"/>
  <c r="C309" i="1"/>
  <c r="C307" i="1"/>
  <c r="C308" i="1"/>
  <c r="C310" i="1"/>
  <c r="C311" i="1"/>
  <c r="C305" i="1"/>
  <c r="C304" i="1"/>
  <c r="C303" i="1"/>
  <c r="C302" i="1"/>
  <c r="C301" i="1"/>
  <c r="C300" i="1"/>
  <c r="C297" i="1"/>
  <c r="C296" i="1"/>
  <c r="C298" i="1"/>
  <c r="C299" i="1"/>
  <c r="C295" i="1"/>
  <c r="C294" i="1"/>
  <c r="C292" i="1"/>
  <c r="C290" i="1"/>
  <c r="C285" i="1"/>
  <c r="C291" i="1"/>
  <c r="C286" i="1"/>
  <c r="C289" i="1"/>
  <c r="C283" i="1"/>
  <c r="C293" i="1"/>
  <c r="C284" i="1"/>
  <c r="C287" i="1"/>
  <c r="C288" i="1"/>
  <c r="C282" i="1"/>
  <c r="C277" i="1"/>
  <c r="C278" i="1"/>
  <c r="C279" i="1"/>
  <c r="C281" i="1"/>
  <c r="C280" i="1"/>
  <c r="C270" i="1"/>
  <c r="C275" i="1"/>
  <c r="C272" i="1"/>
  <c r="C273" i="1"/>
  <c r="C274" i="1"/>
  <c r="C271" i="1"/>
  <c r="C276" i="1"/>
  <c r="C268" i="1"/>
  <c r="C269" i="1"/>
  <c r="C267" i="1"/>
  <c r="C265" i="1"/>
  <c r="C266" i="1"/>
  <c r="C262" i="1"/>
  <c r="C264" i="1"/>
  <c r="C263" i="1"/>
  <c r="C260" i="1"/>
  <c r="C257" i="1"/>
  <c r="C258" i="1"/>
  <c r="C261" i="1"/>
  <c r="C259" i="1"/>
  <c r="C249" i="1"/>
  <c r="C255" i="1"/>
  <c r="C252" i="1"/>
  <c r="C254" i="1"/>
  <c r="C250" i="1"/>
  <c r="C251" i="1"/>
  <c r="C253" i="1"/>
  <c r="C256" i="1"/>
  <c r="C244" i="1"/>
  <c r="C245" i="1"/>
  <c r="C243" i="1"/>
  <c r="C242" i="1"/>
  <c r="C248" i="1"/>
  <c r="C246" i="1"/>
  <c r="C247" i="1"/>
  <c r="C240" i="1"/>
  <c r="C241" i="1"/>
  <c r="C237" i="1"/>
  <c r="C239" i="1"/>
  <c r="C236" i="1"/>
  <c r="C238" i="1"/>
  <c r="C235" i="1"/>
  <c r="C234" i="1"/>
  <c r="C232" i="1"/>
  <c r="C233" i="1"/>
  <c r="C231" i="1"/>
  <c r="C230" i="1"/>
  <c r="C228" i="1"/>
  <c r="C227" i="1"/>
  <c r="C226" i="1"/>
  <c r="C229" i="1"/>
  <c r="C222" i="1"/>
  <c r="C225" i="1"/>
  <c r="C223" i="1"/>
  <c r="C224" i="1"/>
  <c r="C220" i="1"/>
  <c r="C221" i="1"/>
  <c r="C217" i="1"/>
  <c r="C219" i="1"/>
  <c r="C218" i="1"/>
  <c r="C215" i="1"/>
  <c r="C214" i="1"/>
  <c r="C216" i="1"/>
  <c r="C212" i="1"/>
  <c r="C213" i="1"/>
  <c r="C210" i="1"/>
  <c r="C211" i="1"/>
  <c r="C209" i="1"/>
  <c r="C208" i="1"/>
  <c r="C207" i="1"/>
  <c r="C206" i="1"/>
  <c r="C204" i="1"/>
  <c r="C205" i="1"/>
  <c r="C203" i="1"/>
  <c r="C202" i="1"/>
  <c r="C201" i="1"/>
  <c r="C200" i="1"/>
  <c r="C199" i="1"/>
  <c r="C197" i="1"/>
  <c r="C198" i="1"/>
  <c r="C195" i="1"/>
  <c r="C196" i="1"/>
  <c r="C194" i="1"/>
  <c r="C192" i="1"/>
  <c r="C193" i="1"/>
  <c r="C191" i="1"/>
  <c r="C190" i="1"/>
  <c r="C188" i="1"/>
  <c r="C189" i="1"/>
  <c r="C186" i="1"/>
  <c r="C187" i="1"/>
  <c r="C185" i="1"/>
  <c r="C184" i="1"/>
  <c r="C183" i="1"/>
  <c r="C182" i="1"/>
  <c r="C181" i="1"/>
  <c r="C179" i="1"/>
  <c r="C180" i="1"/>
  <c r="C177" i="1"/>
  <c r="C176" i="1"/>
  <c r="C175" i="1"/>
  <c r="C178" i="1"/>
  <c r="C174" i="1"/>
  <c r="C173" i="1"/>
  <c r="C172" i="1"/>
  <c r="C171" i="1"/>
  <c r="C169" i="1"/>
  <c r="C170" i="1"/>
  <c r="C168" i="1"/>
  <c r="C167" i="1"/>
  <c r="C166" i="1"/>
  <c r="C165" i="1"/>
  <c r="C164" i="1"/>
  <c r="C163" i="1"/>
  <c r="C162" i="1"/>
  <c r="C161" i="1"/>
  <c r="C160" i="1"/>
  <c r="C159" i="1"/>
  <c r="C156" i="1"/>
  <c r="C158" i="1"/>
  <c r="C157" i="1"/>
  <c r="C154" i="1"/>
  <c r="C155" i="1"/>
  <c r="C153" i="1"/>
  <c r="C151" i="1"/>
  <c r="C152" i="1"/>
  <c r="C149" i="1"/>
  <c r="C150" i="1"/>
  <c r="C148" i="1"/>
  <c r="C147" i="1"/>
  <c r="C145" i="1"/>
  <c r="C146" i="1"/>
  <c r="C144" i="1"/>
  <c r="C141" i="1"/>
  <c r="C143" i="1"/>
  <c r="C142" i="1"/>
  <c r="C140" i="1"/>
  <c r="C138" i="1"/>
  <c r="C139" i="1"/>
  <c r="C137" i="1"/>
  <c r="C136" i="1"/>
  <c r="C134" i="1"/>
  <c r="C133" i="1"/>
  <c r="C130" i="1"/>
  <c r="C131" i="1"/>
  <c r="C132" i="1"/>
  <c r="C135" i="1"/>
  <c r="C128" i="1"/>
  <c r="C129" i="1"/>
  <c r="C126" i="1"/>
  <c r="C127" i="1"/>
  <c r="C124" i="1"/>
  <c r="C125" i="1"/>
  <c r="C123" i="1"/>
  <c r="C122" i="1"/>
  <c r="C121" i="1"/>
  <c r="C120" i="1"/>
  <c r="C118" i="1"/>
  <c r="C119" i="1"/>
  <c r="C117" i="1"/>
  <c r="C116" i="1"/>
  <c r="C115" i="1"/>
  <c r="C113" i="1"/>
  <c r="C112" i="1"/>
  <c r="C114" i="1"/>
  <c r="C111" i="1"/>
  <c r="C110" i="1"/>
  <c r="C109" i="1"/>
  <c r="C108" i="1"/>
  <c r="C106" i="1"/>
  <c r="C107" i="1"/>
  <c r="C105" i="1"/>
  <c r="C104" i="1"/>
  <c r="C103" i="1"/>
  <c r="C102" i="1"/>
  <c r="C101" i="1"/>
  <c r="C100" i="1"/>
  <c r="C99" i="1"/>
  <c r="C98" i="1"/>
  <c r="C97" i="1"/>
  <c r="C96" i="1"/>
  <c r="C95" i="1"/>
  <c r="C94" i="1"/>
  <c r="C93" i="1"/>
  <c r="C92" i="1"/>
  <c r="C91" i="1"/>
  <c r="C90" i="1"/>
  <c r="C89" i="1"/>
  <c r="C88" i="1"/>
  <c r="C87" i="1"/>
  <c r="C86" i="1"/>
  <c r="C85" i="1"/>
  <c r="C84" i="1"/>
  <c r="C83" i="1"/>
  <c r="C82" i="1"/>
  <c r="C81" i="1"/>
  <c r="C80" i="1"/>
  <c r="C79" i="1"/>
  <c r="C78" i="1"/>
  <c r="C77" i="1"/>
  <c r="C76" i="1"/>
  <c r="C75" i="1"/>
  <c r="C74" i="1"/>
  <c r="C73" i="1"/>
  <c r="C72" i="1"/>
  <c r="C71" i="1"/>
  <c r="C70" i="1"/>
  <c r="C69" i="1"/>
  <c r="C67" i="1"/>
  <c r="C68" i="1"/>
  <c r="C65" i="1"/>
  <c r="C66" i="1"/>
  <c r="C64" i="1"/>
  <c r="C63" i="1"/>
  <c r="C62" i="1"/>
  <c r="C61" i="1"/>
  <c r="C59" i="1"/>
  <c r="C60" i="1"/>
  <c r="C58" i="1"/>
  <c r="C57" i="1"/>
  <c r="C56" i="1"/>
  <c r="C55" i="1"/>
  <c r="C54" i="1"/>
  <c r="C53" i="1"/>
  <c r="C52" i="1"/>
  <c r="C51" i="1"/>
  <c r="C50" i="1"/>
  <c r="C48" i="1"/>
  <c r="C49" i="1"/>
  <c r="C47" i="1"/>
  <c r="C46" i="1"/>
  <c r="C45" i="1"/>
  <c r="C44" i="1"/>
  <c r="C43" i="1"/>
  <c r="C42" i="1"/>
  <c r="C41" i="1"/>
  <c r="C40" i="1"/>
  <c r="C39" i="1"/>
  <c r="C38" i="1"/>
  <c r="C36" i="1"/>
  <c r="C37" i="1"/>
  <c r="C35" i="1"/>
  <c r="C33" i="1"/>
  <c r="C34" i="1"/>
  <c r="C31" i="1"/>
  <c r="C32" i="1"/>
  <c r="C30" i="1"/>
  <c r="C29" i="1"/>
  <c r="C28" i="1"/>
  <c r="C27" i="1"/>
  <c r="C26" i="1"/>
  <c r="C25" i="1"/>
  <c r="C24" i="1"/>
  <c r="C23" i="1"/>
  <c r="C22" i="1"/>
  <c r="C21" i="1"/>
  <c r="C20" i="1"/>
  <c r="C19" i="1"/>
  <c r="C18" i="1"/>
  <c r="C17" i="1"/>
  <c r="C16" i="1"/>
  <c r="C15" i="1"/>
  <c r="C14" i="1"/>
  <c r="C13" i="1"/>
  <c r="C12" i="1"/>
  <c r="C11" i="1"/>
  <c r="C10" i="1"/>
  <c r="C443" i="1"/>
  <c r="C445" i="1"/>
  <c r="W532" i="1" l="1"/>
  <c r="W572" i="1"/>
  <c r="W569" i="1"/>
  <c r="W566" i="1"/>
  <c r="W568" i="1"/>
  <c r="W558" i="1"/>
  <c r="W563" i="1"/>
  <c r="W552" i="1"/>
  <c r="W551" i="1"/>
  <c r="W550" i="1"/>
  <c r="W570" i="1"/>
  <c r="Y468" i="1" l="1"/>
  <c r="Y465" i="1"/>
  <c r="Y463" i="1"/>
  <c r="Y461" i="1"/>
  <c r="Y459" i="1"/>
  <c r="Y467" i="1"/>
  <c r="Y469" i="1"/>
  <c r="Y466" i="1"/>
  <c r="Y464" i="1"/>
  <c r="Y462" i="1"/>
  <c r="Y460" i="1"/>
  <c r="Y458" i="1"/>
  <c r="Y457" i="1"/>
  <c r="Y489" i="1"/>
  <c r="Y492" i="1"/>
  <c r="Y488" i="1"/>
  <c r="Y487" i="1"/>
  <c r="Y480" i="1"/>
  <c r="Y475" i="1"/>
  <c r="Y478" i="1"/>
  <c r="Y474" i="1"/>
  <c r="Y479" i="1"/>
  <c r="Y470" i="1"/>
  <c r="Y472" i="1"/>
  <c r="Y497" i="1"/>
  <c r="Y496" i="1"/>
  <c r="Y493" i="1"/>
  <c r="Y495" i="1"/>
  <c r="Y494" i="1"/>
  <c r="Y490" i="1"/>
  <c r="Y491" i="1"/>
  <c r="Y485" i="1"/>
  <c r="Y486" i="1"/>
  <c r="Y481" i="1"/>
  <c r="Y484" i="1"/>
  <c r="Y482" i="1"/>
  <c r="Y483" i="1"/>
  <c r="Y477" i="1"/>
  <c r="Y476" i="1"/>
  <c r="Y471" i="1"/>
  <c r="Y473" i="1"/>
  <c r="Y518" i="1"/>
  <c r="Y517" i="1"/>
  <c r="Y519" i="1"/>
  <c r="Y513" i="1"/>
  <c r="Y515" i="1"/>
  <c r="Y507" i="1"/>
  <c r="Y511" i="1"/>
  <c r="Y506" i="1"/>
  <c r="Y524" i="1"/>
  <c r="Y523" i="1"/>
  <c r="Y521" i="1"/>
  <c r="Y522" i="1"/>
  <c r="Y520" i="1"/>
  <c r="Y505" i="1"/>
  <c r="Y501" i="1"/>
  <c r="Y504" i="1"/>
  <c r="Y530" i="1"/>
  <c r="Y529" i="1"/>
  <c r="Y528" i="1"/>
  <c r="Y526" i="1"/>
  <c r="Y527" i="1"/>
  <c r="Y525" i="1"/>
  <c r="Y514" i="1"/>
  <c r="Y516" i="1"/>
  <c r="Y512" i="1"/>
  <c r="Y510" i="1"/>
  <c r="Y509" i="1"/>
  <c r="Y508" i="1"/>
  <c r="Y500" i="1"/>
  <c r="Y503" i="1"/>
  <c r="Y502" i="1"/>
  <c r="Y499" i="1"/>
  <c r="Y498" i="1"/>
  <c r="Y547" i="1"/>
  <c r="Y544" i="1"/>
  <c r="Y546" i="1"/>
  <c r="Y543" i="1"/>
  <c r="Y540" i="1"/>
  <c r="Y542" i="1"/>
  <c r="Y536" i="1"/>
  <c r="Y538" i="1"/>
  <c r="Y537" i="1"/>
  <c r="Y533" i="1"/>
  <c r="Y534" i="1"/>
  <c r="Y548" i="1"/>
  <c r="Y545" i="1"/>
  <c r="Y539" i="1"/>
  <c r="Y541" i="1"/>
  <c r="Y535" i="1"/>
  <c r="Y531" i="1"/>
  <c r="X468" i="1"/>
  <c r="X465" i="1"/>
  <c r="X463" i="1"/>
  <c r="X461" i="1"/>
  <c r="X459" i="1"/>
  <c r="X467" i="1"/>
  <c r="X469" i="1"/>
  <c r="X466" i="1"/>
  <c r="X464" i="1"/>
  <c r="X462" i="1"/>
  <c r="X460" i="1"/>
  <c r="X458" i="1"/>
  <c r="X457" i="1"/>
  <c r="X489" i="1"/>
  <c r="X492" i="1"/>
  <c r="X488" i="1"/>
  <c r="X487" i="1"/>
  <c r="X480" i="1"/>
  <c r="X475" i="1"/>
  <c r="X478" i="1"/>
  <c r="X474" i="1"/>
  <c r="X479" i="1"/>
  <c r="X470" i="1"/>
  <c r="X472" i="1"/>
  <c r="X497" i="1"/>
  <c r="X496" i="1"/>
  <c r="X493" i="1"/>
  <c r="X495" i="1"/>
  <c r="X494" i="1"/>
  <c r="X490" i="1"/>
  <c r="X491" i="1"/>
  <c r="X485" i="1"/>
  <c r="X486" i="1"/>
  <c r="X481" i="1"/>
  <c r="X484" i="1"/>
  <c r="X482" i="1"/>
  <c r="X483" i="1"/>
  <c r="X477" i="1"/>
  <c r="X476" i="1"/>
  <c r="X471" i="1"/>
  <c r="X473" i="1"/>
  <c r="X518" i="1"/>
  <c r="X517" i="1"/>
  <c r="X519" i="1"/>
  <c r="X513" i="1"/>
  <c r="X515" i="1"/>
  <c r="X507" i="1"/>
  <c r="X511" i="1"/>
  <c r="X506" i="1"/>
  <c r="X524" i="1"/>
  <c r="X523" i="1"/>
  <c r="X521" i="1"/>
  <c r="X522" i="1"/>
  <c r="X520" i="1"/>
  <c r="X505" i="1"/>
  <c r="X501" i="1"/>
  <c r="X504" i="1"/>
  <c r="X530" i="1"/>
  <c r="X529" i="1"/>
  <c r="X528" i="1"/>
  <c r="X526" i="1"/>
  <c r="X527" i="1"/>
  <c r="X525" i="1"/>
  <c r="X514" i="1"/>
  <c r="X516" i="1"/>
  <c r="X512" i="1"/>
  <c r="X510" i="1"/>
  <c r="X509" i="1"/>
  <c r="X508" i="1"/>
  <c r="X500" i="1"/>
  <c r="X503" i="1"/>
  <c r="X502" i="1"/>
  <c r="X499" i="1"/>
  <c r="X498" i="1"/>
  <c r="X547" i="1"/>
  <c r="X544" i="1"/>
  <c r="X546" i="1"/>
  <c r="X543" i="1"/>
  <c r="X540" i="1"/>
  <c r="X542" i="1"/>
  <c r="X536" i="1"/>
  <c r="X538" i="1"/>
  <c r="X537" i="1"/>
  <c r="X533" i="1"/>
  <c r="X534" i="1"/>
  <c r="X548" i="1"/>
  <c r="X545" i="1"/>
  <c r="X539" i="1"/>
  <c r="X541" i="1"/>
  <c r="X535" i="1"/>
  <c r="X531" i="1"/>
  <c r="W468" i="1"/>
  <c r="W465" i="1"/>
  <c r="W463" i="1"/>
  <c r="W461" i="1"/>
  <c r="W459" i="1"/>
  <c r="W467" i="1"/>
  <c r="W469" i="1"/>
  <c r="W466" i="1"/>
  <c r="W464" i="1"/>
  <c r="W462" i="1"/>
  <c r="W460" i="1"/>
  <c r="W458" i="1"/>
  <c r="W457" i="1"/>
  <c r="W489" i="1"/>
  <c r="W492" i="1"/>
  <c r="W488" i="1"/>
  <c r="W487" i="1"/>
  <c r="W480" i="1"/>
  <c r="W475" i="1"/>
  <c r="W478" i="1"/>
  <c r="W474" i="1"/>
  <c r="W479" i="1"/>
  <c r="W470" i="1"/>
  <c r="W472" i="1"/>
  <c r="W497" i="1"/>
  <c r="W496" i="1"/>
  <c r="W493" i="1"/>
  <c r="W495" i="1"/>
  <c r="W494" i="1"/>
  <c r="W490" i="1"/>
  <c r="W491" i="1"/>
  <c r="W485" i="1"/>
  <c r="W486" i="1"/>
  <c r="W481" i="1"/>
  <c r="W484" i="1"/>
  <c r="W482" i="1"/>
  <c r="W483" i="1"/>
  <c r="W477" i="1"/>
  <c r="W476" i="1"/>
  <c r="W471" i="1"/>
  <c r="W473" i="1"/>
  <c r="W518" i="1"/>
  <c r="W517" i="1"/>
  <c r="W519" i="1"/>
  <c r="W513" i="1"/>
  <c r="W515" i="1"/>
  <c r="W507" i="1"/>
  <c r="W511" i="1"/>
  <c r="W506" i="1"/>
  <c r="W524" i="1"/>
  <c r="W523" i="1"/>
  <c r="W521" i="1"/>
  <c r="W522" i="1"/>
  <c r="W520" i="1"/>
  <c r="W505" i="1"/>
  <c r="W501" i="1"/>
  <c r="W504" i="1"/>
  <c r="W530" i="1"/>
  <c r="W529" i="1"/>
  <c r="W528" i="1"/>
  <c r="W526" i="1"/>
  <c r="W527" i="1"/>
  <c r="W525" i="1"/>
  <c r="W514" i="1"/>
  <c r="W516" i="1"/>
  <c r="W512" i="1"/>
  <c r="W510" i="1"/>
  <c r="W509" i="1"/>
  <c r="W508" i="1"/>
  <c r="W500" i="1"/>
  <c r="W503" i="1"/>
  <c r="W502" i="1"/>
  <c r="W499" i="1"/>
  <c r="W498" i="1"/>
  <c r="W547" i="1"/>
  <c r="W544" i="1"/>
  <c r="W546" i="1"/>
  <c r="W543" i="1"/>
  <c r="W540" i="1"/>
  <c r="W542" i="1"/>
  <c r="W536" i="1"/>
  <c r="W538" i="1"/>
  <c r="W537" i="1"/>
  <c r="W533" i="1"/>
  <c r="W534" i="1"/>
  <c r="W548" i="1"/>
  <c r="W545" i="1"/>
  <c r="W539" i="1"/>
  <c r="W541" i="1"/>
  <c r="W535" i="1"/>
  <c r="W531" i="1"/>
  <c r="Y449" i="1" l="1"/>
  <c r="X449" i="1"/>
  <c r="W449" i="1"/>
  <c r="Y444" i="1" l="1"/>
  <c r="Y453" i="1"/>
  <c r="Y447" i="1"/>
  <c r="Y442" i="1"/>
  <c r="Y437" i="1"/>
  <c r="Y430" i="1"/>
  <c r="Y428" i="1"/>
  <c r="Y429" i="1"/>
  <c r="Y422" i="1"/>
  <c r="Y427" i="1"/>
  <c r="Y451" i="1"/>
  <c r="Y421" i="1"/>
  <c r="Y443" i="1"/>
  <c r="Y419" i="1"/>
  <c r="Y450" i="1"/>
  <c r="X444" i="1"/>
  <c r="X453" i="1"/>
  <c r="X447" i="1"/>
  <c r="X442" i="1"/>
  <c r="X437" i="1"/>
  <c r="X430" i="1"/>
  <c r="X428" i="1"/>
  <c r="X429" i="1"/>
  <c r="X422" i="1"/>
  <c r="X427" i="1"/>
  <c r="X451" i="1"/>
  <c r="X421" i="1"/>
  <c r="X443" i="1"/>
  <c r="X419" i="1"/>
  <c r="X450" i="1"/>
  <c r="W444" i="1"/>
  <c r="W453" i="1"/>
  <c r="W447" i="1"/>
  <c r="W442" i="1"/>
  <c r="W437" i="1"/>
  <c r="W430" i="1"/>
  <c r="W428" i="1"/>
  <c r="W429" i="1"/>
  <c r="W422" i="1"/>
  <c r="W427" i="1"/>
  <c r="W451" i="1"/>
  <c r="W421" i="1"/>
  <c r="W443" i="1"/>
  <c r="W419" i="1"/>
  <c r="W450" i="1"/>
  <c r="Y433" i="1"/>
  <c r="W433" i="1"/>
  <c r="X433" i="1"/>
  <c r="X423" i="1" l="1"/>
  <c r="X439" i="1"/>
  <c r="X438" i="1"/>
  <c r="Y426" i="1" l="1"/>
  <c r="Y452" i="1"/>
  <c r="Y455" i="1"/>
  <c r="Y431" i="1"/>
  <c r="Y441" i="1"/>
  <c r="Y425" i="1"/>
  <c r="Y446" i="1"/>
  <c r="Y454" i="1"/>
  <c r="Y424" i="1"/>
  <c r="Y440" i="1"/>
  <c r="Y435" i="1"/>
  <c r="Y423" i="1"/>
  <c r="Y439" i="1"/>
  <c r="Y438" i="1"/>
  <c r="W426" i="1"/>
  <c r="W452" i="1"/>
  <c r="W455" i="1"/>
  <c r="W431" i="1"/>
  <c r="W441" i="1"/>
  <c r="W425" i="1"/>
  <c r="W446" i="1"/>
  <c r="W454" i="1"/>
  <c r="W424" i="1"/>
  <c r="W440" i="1"/>
  <c r="W435" i="1"/>
  <c r="W423" i="1"/>
  <c r="W439" i="1"/>
  <c r="W438" i="1"/>
  <c r="Y436" i="1"/>
  <c r="W436" i="1"/>
  <c r="Y434" i="1"/>
  <c r="W395" i="1" l="1"/>
  <c r="W445" i="1"/>
  <c r="X307" i="1"/>
  <c r="X313" i="1"/>
  <c r="X306" i="1"/>
  <c r="X59" i="1"/>
  <c r="X67" i="1"/>
  <c r="X270" i="1"/>
  <c r="X338" i="1"/>
  <c r="X347" i="1"/>
  <c r="X319" i="1"/>
  <c r="X44" i="1"/>
  <c r="X126" i="1"/>
  <c r="X9" i="1"/>
  <c r="X58" i="1"/>
  <c r="X73" i="1"/>
  <c r="X74" i="1"/>
  <c r="X222" i="1"/>
  <c r="X95" i="1"/>
  <c r="X312" i="1"/>
  <c r="X31" i="1"/>
  <c r="X34" i="1"/>
  <c r="X171" i="1"/>
  <c r="X115" i="1"/>
  <c r="X130" i="1"/>
  <c r="X195" i="1"/>
  <c r="X243" i="1"/>
  <c r="X346" i="1"/>
  <c r="Y307" i="1"/>
  <c r="Y313" i="1"/>
  <c r="Y306" i="1"/>
  <c r="Y59" i="1"/>
  <c r="Y67" i="1"/>
  <c r="Y270" i="1"/>
  <c r="Y338" i="1"/>
  <c r="Y347" i="1"/>
  <c r="Y319" i="1"/>
  <c r="Y44" i="1"/>
  <c r="Y126" i="1"/>
  <c r="Y9" i="1"/>
  <c r="Y58" i="1"/>
  <c r="Y73" i="1"/>
  <c r="Y74" i="1"/>
  <c r="Y222" i="1"/>
  <c r="Y95" i="1"/>
  <c r="Y312" i="1"/>
  <c r="Y31" i="1"/>
  <c r="Y34" i="1"/>
  <c r="Y171" i="1"/>
  <c r="Y115" i="1"/>
  <c r="Y130" i="1"/>
  <c r="Y195" i="1"/>
  <c r="Y243" i="1"/>
  <c r="Y346" i="1"/>
  <c r="Y151" i="1"/>
  <c r="Y76" i="1"/>
  <c r="Y77" i="1"/>
  <c r="Y242" i="1"/>
  <c r="Y122" i="1"/>
  <c r="Y318" i="1"/>
  <c r="Y283" i="1"/>
  <c r="Y323" i="1"/>
  <c r="Y278" i="1"/>
  <c r="Y337" i="1"/>
  <c r="Y230" i="1"/>
  <c r="Y277" i="1"/>
  <c r="Y369" i="1"/>
  <c r="Y368" i="1"/>
  <c r="Y366" i="1"/>
  <c r="Y355" i="1"/>
  <c r="Y363" i="1"/>
  <c r="Y364" i="1"/>
  <c r="Y371" i="1"/>
  <c r="Y356" i="1"/>
  <c r="Y358" i="1"/>
  <c r="Y360" i="1"/>
  <c r="Y362" i="1"/>
  <c r="Y370" i="1"/>
  <c r="Y365" i="1"/>
  <c r="Y357" i="1"/>
  <c r="Y361" i="1"/>
  <c r="Y420" i="1"/>
  <c r="Y432" i="1"/>
  <c r="Y456" i="1"/>
  <c r="Y448" i="1"/>
  <c r="X151" i="1"/>
  <c r="X76" i="1"/>
  <c r="X77" i="1"/>
  <c r="X33" i="1"/>
  <c r="X89" i="1"/>
  <c r="X53" i="1"/>
  <c r="X21" i="1"/>
  <c r="X23" i="1"/>
  <c r="X63" i="1"/>
  <c r="X112" i="1"/>
  <c r="X217" i="1"/>
  <c r="X242" i="1"/>
  <c r="X122" i="1"/>
  <c r="X318" i="1"/>
  <c r="X283" i="1"/>
  <c r="X323" i="1"/>
  <c r="X278" i="1"/>
  <c r="X337" i="1"/>
  <c r="X230" i="1"/>
  <c r="X277" i="1"/>
  <c r="X369" i="1"/>
  <c r="X368" i="1"/>
  <c r="X366" i="1"/>
  <c r="X355" i="1"/>
  <c r="X363" i="1"/>
  <c r="X364" i="1"/>
  <c r="X371" i="1"/>
  <c r="X356" i="1"/>
  <c r="X358" i="1"/>
  <c r="X360" i="1"/>
  <c r="X362" i="1"/>
  <c r="X370" i="1"/>
  <c r="X365" i="1"/>
  <c r="X357" i="1"/>
  <c r="X361" i="1"/>
  <c r="X420" i="1"/>
  <c r="X432" i="1"/>
  <c r="X456" i="1"/>
  <c r="X448" i="1"/>
  <c r="X434" i="1"/>
  <c r="X436" i="1"/>
  <c r="X426" i="1"/>
  <c r="X452" i="1"/>
  <c r="X455" i="1"/>
  <c r="X431" i="1"/>
  <c r="X441" i="1"/>
  <c r="X425" i="1"/>
  <c r="X446" i="1"/>
  <c r="X454" i="1"/>
  <c r="X424" i="1"/>
  <c r="W346" i="1"/>
  <c r="W151" i="1"/>
  <c r="W76" i="1"/>
  <c r="W77" i="1"/>
  <c r="W33" i="1"/>
  <c r="W89" i="1"/>
  <c r="W53" i="1"/>
  <c r="W21" i="1"/>
  <c r="W23" i="1"/>
  <c r="W63" i="1"/>
  <c r="W112" i="1"/>
  <c r="W217" i="1"/>
  <c r="W242" i="1"/>
  <c r="W122" i="1"/>
  <c r="W318" i="1"/>
  <c r="W283" i="1"/>
  <c r="W323" i="1"/>
  <c r="W278" i="1"/>
  <c r="W337" i="1"/>
  <c r="W230" i="1"/>
  <c r="W277" i="1"/>
  <c r="W369" i="1"/>
  <c r="W368" i="1"/>
  <c r="W366" i="1"/>
  <c r="W355" i="1"/>
  <c r="W363" i="1"/>
  <c r="W364" i="1"/>
  <c r="W371" i="1"/>
  <c r="W356" i="1"/>
  <c r="W358" i="1"/>
  <c r="W360" i="1"/>
  <c r="W362" i="1"/>
  <c r="W370" i="1"/>
  <c r="W365" i="1"/>
  <c r="W357" i="1"/>
  <c r="W361" i="1"/>
  <c r="W420" i="1"/>
  <c r="W432" i="1"/>
  <c r="W456" i="1"/>
  <c r="W448" i="1"/>
  <c r="W434" i="1"/>
  <c r="I411" i="1" l="1"/>
  <c r="AA411" i="1" s="1"/>
  <c r="I359" i="1" l="1"/>
  <c r="AA359" i="1" s="1"/>
  <c r="I335" i="1" l="1"/>
  <c r="AA335" i="1" s="1"/>
  <c r="AK39" i="8" l="1"/>
  <c r="AK40" i="8"/>
  <c r="AK41" i="8"/>
  <c r="AK42" i="8"/>
  <c r="AK43" i="8"/>
  <c r="AK44" i="8"/>
  <c r="AK45" i="8"/>
  <c r="AK46" i="8"/>
  <c r="AK38"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45" i="8"/>
  <c r="X46" i="8"/>
  <c r="X47" i="8"/>
  <c r="X48" i="8"/>
  <c r="X9" i="8"/>
  <c r="AQ8" i="8" l="1"/>
  <c r="AP8" i="8"/>
  <c r="AO8" i="8"/>
  <c r="T10" i="8"/>
  <c r="T11" i="8"/>
  <c r="T12" i="8"/>
  <c r="T14" i="8"/>
  <c r="T15" i="8"/>
  <c r="T16" i="8"/>
  <c r="T17" i="8"/>
  <c r="T20" i="8"/>
  <c r="T21" i="8"/>
  <c r="T22" i="8"/>
  <c r="T23" i="8"/>
  <c r="T25" i="8"/>
  <c r="T26" i="8"/>
  <c r="T27" i="8"/>
  <c r="T28" i="8"/>
  <c r="T29" i="8"/>
  <c r="T30" i="8"/>
  <c r="T31" i="8"/>
  <c r="T32" i="8"/>
  <c r="T33" i="8"/>
  <c r="T34" i="8"/>
  <c r="T35" i="8"/>
  <c r="T36" i="8"/>
  <c r="T37" i="8"/>
  <c r="T38" i="8"/>
  <c r="T39" i="8"/>
  <c r="T40" i="8"/>
  <c r="T41" i="8"/>
  <c r="T42" i="8"/>
  <c r="T43" i="8"/>
  <c r="T44" i="8"/>
  <c r="T45" i="8"/>
  <c r="T46" i="8"/>
  <c r="T47" i="8"/>
  <c r="T48" i="8"/>
  <c r="T9" i="8"/>
  <c r="W9" i="8" s="1"/>
  <c r="AK17" i="8"/>
  <c r="AK11" i="8"/>
  <c r="AK12" i="8"/>
  <c r="AK13" i="8"/>
  <c r="AK14" i="8"/>
  <c r="AK15" i="8"/>
  <c r="AK16" i="8"/>
  <c r="AK10" i="8"/>
  <c r="AD8" i="8"/>
  <c r="AE8" i="8"/>
  <c r="AC8" i="8"/>
  <c r="W8" i="8"/>
  <c r="V8" i="8"/>
  <c r="U8" i="8"/>
  <c r="AE9" i="8" l="1"/>
  <c r="V9" i="8"/>
  <c r="AD9" i="8" s="1"/>
  <c r="U9" i="8"/>
  <c r="AC9" i="8" s="1"/>
  <c r="Y255" i="1"/>
  <c r="Y240" i="1"/>
  <c r="Y237" i="1"/>
  <c r="Y247" i="1"/>
  <c r="Y246" i="1"/>
  <c r="Y248" i="1"/>
  <c r="Y231" i="1"/>
  <c r="Y235" i="1"/>
  <c r="Y226" i="1"/>
  <c r="Y251" i="1"/>
  <c r="Y238" i="1"/>
  <c r="Y253" i="1"/>
  <c r="Y234" i="1"/>
  <c r="Y250" i="1"/>
  <c r="Y254" i="1"/>
  <c r="Y252" i="1"/>
  <c r="Y257" i="1"/>
  <c r="Y264" i="1"/>
  <c r="Y269" i="1"/>
  <c r="Y275" i="1"/>
  <c r="Y262" i="1"/>
  <c r="Y271" i="1"/>
  <c r="Y272" i="1"/>
  <c r="Y273" i="1"/>
  <c r="Y290" i="1"/>
  <c r="Y289" i="1"/>
  <c r="Y293" i="1"/>
  <c r="Y294" i="1"/>
  <c r="Y279" i="1"/>
  <c r="Y280" i="1"/>
  <c r="Y292" i="1"/>
  <c r="Y286" i="1"/>
  <c r="Y256" i="1"/>
  <c r="Y276" i="1"/>
  <c r="Y274" i="1"/>
  <c r="Y282" i="1"/>
  <c r="Y281" i="1"/>
  <c r="Y266" i="1"/>
  <c r="Y267" i="1"/>
  <c r="Y287" i="1"/>
  <c r="Y288" i="1"/>
  <c r="Y249" i="1"/>
  <c r="Y260" i="1"/>
  <c r="Y258" i="1"/>
  <c r="Y265" i="1"/>
  <c r="Y284" i="1"/>
  <c r="Y285" i="1"/>
  <c r="Y291" i="1"/>
  <c r="Y259" i="1"/>
  <c r="Y261" i="1"/>
  <c r="Y263" i="1"/>
  <c r="Y268" i="1"/>
  <c r="Y301" i="1"/>
  <c r="Y298" i="1"/>
  <c r="Y296" i="1"/>
  <c r="Y303" i="1"/>
  <c r="Y297" i="1"/>
  <c r="Y304" i="1"/>
  <c r="Y300" i="1"/>
  <c r="Y299" i="1"/>
  <c r="Y305" i="1"/>
  <c r="X227" i="1"/>
  <c r="X255" i="1"/>
  <c r="X240" i="1"/>
  <c r="X237" i="1"/>
  <c r="X247" i="1"/>
  <c r="X246" i="1"/>
  <c r="X248" i="1"/>
  <c r="X231" i="1"/>
  <c r="X235" i="1"/>
  <c r="X226" i="1"/>
  <c r="X251" i="1"/>
  <c r="X238" i="1"/>
  <c r="X253" i="1"/>
  <c r="X234" i="1"/>
  <c r="X250" i="1"/>
  <c r="X254" i="1"/>
  <c r="X252" i="1"/>
  <c r="X257" i="1"/>
  <c r="X264" i="1"/>
  <c r="X269" i="1"/>
  <c r="X275" i="1"/>
  <c r="X262" i="1"/>
  <c r="X271" i="1"/>
  <c r="X272" i="1"/>
  <c r="X273" i="1"/>
  <c r="X290" i="1"/>
  <c r="X289" i="1"/>
  <c r="X293" i="1"/>
  <c r="X294" i="1"/>
  <c r="X279" i="1"/>
  <c r="X280" i="1"/>
  <c r="X292" i="1"/>
  <c r="X286" i="1"/>
  <c r="X256" i="1"/>
  <c r="X276" i="1"/>
  <c r="X274" i="1"/>
  <c r="X282" i="1"/>
  <c r="X281" i="1"/>
  <c r="X266" i="1"/>
  <c r="X267" i="1"/>
  <c r="X287" i="1"/>
  <c r="X288" i="1"/>
  <c r="X249" i="1"/>
  <c r="X260" i="1"/>
  <c r="X258" i="1"/>
  <c r="X265" i="1"/>
  <c r="X284" i="1"/>
  <c r="X285" i="1"/>
  <c r="X291" i="1"/>
  <c r="X259" i="1"/>
  <c r="X261" i="1"/>
  <c r="X263" i="1"/>
  <c r="X268" i="1"/>
  <c r="X301" i="1"/>
  <c r="X298" i="1"/>
  <c r="X296" i="1"/>
  <c r="X303" i="1"/>
  <c r="X297" i="1"/>
  <c r="X304" i="1"/>
  <c r="X300" i="1"/>
  <c r="X299" i="1"/>
  <c r="X305" i="1"/>
  <c r="X295" i="1"/>
  <c r="X314" i="1"/>
  <c r="X302" i="1"/>
  <c r="X316" i="1"/>
  <c r="W255" i="1"/>
  <c r="W240" i="1"/>
  <c r="W237" i="1"/>
  <c r="W247" i="1"/>
  <c r="W246" i="1"/>
  <c r="W248" i="1"/>
  <c r="W231" i="1"/>
  <c r="W235" i="1"/>
  <c r="W226" i="1"/>
  <c r="W251" i="1"/>
  <c r="W238" i="1"/>
  <c r="W253" i="1"/>
  <c r="W234" i="1"/>
  <c r="W250" i="1"/>
  <c r="W254" i="1"/>
  <c r="W252" i="1"/>
  <c r="W257" i="1"/>
  <c r="W264" i="1"/>
  <c r="W269" i="1"/>
  <c r="W275" i="1"/>
  <c r="W262" i="1"/>
  <c r="W271" i="1"/>
  <c r="W272" i="1"/>
  <c r="W273" i="1"/>
  <c r="W290" i="1"/>
  <c r="W289" i="1"/>
  <c r="W293" i="1"/>
  <c r="W294" i="1"/>
  <c r="W279" i="1"/>
  <c r="W280" i="1"/>
  <c r="W292" i="1"/>
  <c r="W286" i="1"/>
  <c r="W256" i="1"/>
  <c r="W276" i="1"/>
  <c r="W274" i="1"/>
  <c r="W282" i="1"/>
  <c r="W281" i="1"/>
  <c r="W266" i="1"/>
  <c r="W267" i="1"/>
  <c r="W287" i="1"/>
  <c r="W288" i="1"/>
  <c r="W249" i="1"/>
  <c r="W260" i="1"/>
  <c r="W258" i="1"/>
  <c r="W265" i="1"/>
  <c r="W284" i="1"/>
  <c r="W285" i="1"/>
  <c r="W291" i="1"/>
  <c r="W259" i="1"/>
  <c r="W261" i="1"/>
  <c r="W263" i="1"/>
  <c r="W268" i="1"/>
  <c r="W301" i="1"/>
  <c r="W298" i="1"/>
  <c r="W296" i="1"/>
  <c r="W303" i="1"/>
  <c r="W297" i="1"/>
  <c r="W304" i="1"/>
  <c r="W300" i="1"/>
  <c r="W299" i="1"/>
  <c r="W305" i="1"/>
  <c r="W295" i="1"/>
  <c r="W314" i="1"/>
  <c r="W302" i="1"/>
  <c r="W316" i="1"/>
  <c r="W325" i="1"/>
  <c r="W335" i="1"/>
  <c r="W329" i="1"/>
  <c r="W324" i="1"/>
  <c r="W319" i="1"/>
  <c r="W333" i="1"/>
  <c r="W243" i="1" l="1"/>
  <c r="Y85" i="1" l="1"/>
  <c r="X85" i="1"/>
  <c r="W85" i="1"/>
  <c r="I85" i="1"/>
  <c r="AA85" i="1" s="1"/>
  <c r="Y241" i="1"/>
  <c r="X241" i="1"/>
  <c r="W241" i="1"/>
  <c r="M32" i="8" l="1"/>
  <c r="K32" i="8"/>
  <c r="K24" i="8"/>
  <c r="K25" i="8"/>
  <c r="H24" i="8"/>
  <c r="T24" i="8" s="1"/>
  <c r="V24" i="8" l="1"/>
  <c r="W24" i="8"/>
  <c r="AE24" i="8" s="1"/>
  <c r="AD24" i="8"/>
  <c r="U24" i="8"/>
  <c r="AC24" i="8" s="1"/>
  <c r="V25" i="8"/>
  <c r="AD25" i="8" s="1"/>
  <c r="W25" i="8"/>
  <c r="AE25" i="8" s="1"/>
  <c r="U25" i="8"/>
  <c r="AC25" i="8" s="1"/>
  <c r="V32" i="8"/>
  <c r="AD32" i="8" s="1"/>
  <c r="W32" i="8"/>
  <c r="AE32" i="8" s="1"/>
  <c r="U32" i="8"/>
  <c r="AC32" i="8" s="1"/>
  <c r="K22" i="8"/>
  <c r="K23" i="8"/>
  <c r="K26" i="8"/>
  <c r="K27" i="8"/>
  <c r="K28" i="8"/>
  <c r="K29" i="8"/>
  <c r="K30" i="8"/>
  <c r="K31" i="8"/>
  <c r="K33" i="8"/>
  <c r="K34" i="8"/>
  <c r="K35" i="8"/>
  <c r="K36" i="8"/>
  <c r="K37" i="8"/>
  <c r="K38" i="8"/>
  <c r="K39" i="8"/>
  <c r="K40" i="8"/>
  <c r="K41" i="8"/>
  <c r="K42" i="8"/>
  <c r="U42" i="8" l="1"/>
  <c r="AC42" i="8" s="1"/>
  <c r="V42" i="8"/>
  <c r="AD42" i="8" s="1"/>
  <c r="W42" i="8"/>
  <c r="AE42" i="8" s="1"/>
  <c r="V40" i="8"/>
  <c r="AD40" i="8" s="1"/>
  <c r="W40" i="8"/>
  <c r="AE40" i="8" s="1"/>
  <c r="U40" i="8"/>
  <c r="AC40" i="8" s="1"/>
  <c r="U38" i="8"/>
  <c r="AC38" i="8" s="1"/>
  <c r="V38" i="8"/>
  <c r="AD38" i="8" s="1"/>
  <c r="W38" i="8"/>
  <c r="AE38" i="8" s="1"/>
  <c r="V36" i="8"/>
  <c r="AD36" i="8" s="1"/>
  <c r="W36" i="8"/>
  <c r="AE36" i="8" s="1"/>
  <c r="U36" i="8"/>
  <c r="AC36" i="8" s="1"/>
  <c r="U34" i="8"/>
  <c r="AC34" i="8" s="1"/>
  <c r="V34" i="8"/>
  <c r="AD34" i="8" s="1"/>
  <c r="W34" i="8"/>
  <c r="AE34" i="8" s="1"/>
  <c r="W31" i="8"/>
  <c r="AE31" i="8" s="1"/>
  <c r="U31" i="8"/>
  <c r="AC31" i="8" s="1"/>
  <c r="V31" i="8"/>
  <c r="AD31" i="8" s="1"/>
  <c r="V29" i="8"/>
  <c r="AD29" i="8" s="1"/>
  <c r="W29" i="8"/>
  <c r="AE29" i="8" s="1"/>
  <c r="U29" i="8"/>
  <c r="AC29" i="8" s="1"/>
  <c r="W27" i="8"/>
  <c r="AE27" i="8" s="1"/>
  <c r="U27" i="8"/>
  <c r="AC27" i="8" s="1"/>
  <c r="V27" i="8"/>
  <c r="AD27" i="8" s="1"/>
  <c r="W23" i="8"/>
  <c r="AE23" i="8" s="1"/>
  <c r="U23" i="8"/>
  <c r="AC23" i="8" s="1"/>
  <c r="V23" i="8"/>
  <c r="AD23" i="8" s="1"/>
  <c r="V41" i="8"/>
  <c r="AD41" i="8" s="1"/>
  <c r="W41" i="8"/>
  <c r="AE41" i="8" s="1"/>
  <c r="U41" i="8"/>
  <c r="AC41" i="8" s="1"/>
  <c r="W39" i="8"/>
  <c r="AE39" i="8" s="1"/>
  <c r="U39" i="8"/>
  <c r="AC39" i="8" s="1"/>
  <c r="V39" i="8"/>
  <c r="AD39" i="8" s="1"/>
  <c r="V37" i="8"/>
  <c r="AD37" i="8" s="1"/>
  <c r="W37" i="8"/>
  <c r="AE37" i="8" s="1"/>
  <c r="U37" i="8"/>
  <c r="AC37" i="8" s="1"/>
  <c r="W35" i="8"/>
  <c r="AE35" i="8" s="1"/>
  <c r="U35" i="8"/>
  <c r="AC35" i="8" s="1"/>
  <c r="V35" i="8"/>
  <c r="AD35" i="8" s="1"/>
  <c r="V33" i="8"/>
  <c r="AD33" i="8" s="1"/>
  <c r="W33" i="8"/>
  <c r="AE33" i="8" s="1"/>
  <c r="U33" i="8"/>
  <c r="AC33" i="8" s="1"/>
  <c r="U30" i="8"/>
  <c r="AC30" i="8" s="1"/>
  <c r="V30" i="8"/>
  <c r="AD30" i="8" s="1"/>
  <c r="W30" i="8"/>
  <c r="AE30" i="8" s="1"/>
  <c r="V28" i="8"/>
  <c r="AD28" i="8" s="1"/>
  <c r="W28" i="8"/>
  <c r="AE28" i="8" s="1"/>
  <c r="U28" i="8"/>
  <c r="AC28" i="8" s="1"/>
  <c r="U26" i="8"/>
  <c r="AC26" i="8" s="1"/>
  <c r="V26" i="8"/>
  <c r="AD26" i="8" s="1"/>
  <c r="W26" i="8"/>
  <c r="AE26" i="8" s="1"/>
  <c r="V22" i="8"/>
  <c r="AD22" i="8" s="1"/>
  <c r="U22" i="8"/>
  <c r="AC22" i="8" s="1"/>
  <c r="W22" i="8"/>
  <c r="AE22" i="8" s="1"/>
  <c r="W244" i="1"/>
  <c r="W211" i="1"/>
  <c r="W239" i="1"/>
  <c r="W245" i="1"/>
  <c r="W236" i="1"/>
  <c r="W227" i="1"/>
  <c r="Y221" i="1"/>
  <c r="Y232" i="1"/>
  <c r="Y233" i="1"/>
  <c r="Y244" i="1"/>
  <c r="Y211" i="1"/>
  <c r="Y239" i="1"/>
  <c r="Y245" i="1"/>
  <c r="Y236" i="1"/>
  <c r="Y227" i="1"/>
  <c r="X221" i="1"/>
  <c r="X232" i="1"/>
  <c r="X233" i="1"/>
  <c r="X244" i="1"/>
  <c r="X211" i="1"/>
  <c r="X239" i="1"/>
  <c r="X245" i="1"/>
  <c r="X236" i="1"/>
  <c r="W232" i="1"/>
  <c r="W233" i="1"/>
  <c r="H19" i="8" l="1"/>
  <c r="T19" i="8" s="1"/>
  <c r="H18" i="8"/>
  <c r="T18" i="8" s="1"/>
  <c r="K16" i="8"/>
  <c r="I216" i="1"/>
  <c r="AA216" i="1" s="1"/>
  <c r="I209" i="1"/>
  <c r="AA209" i="1" s="1"/>
  <c r="Y228" i="1"/>
  <c r="Y229" i="1"/>
  <c r="Y223" i="1"/>
  <c r="Y225" i="1"/>
  <c r="Y224" i="1"/>
  <c r="Y208" i="1"/>
  <c r="Y207" i="1"/>
  <c r="Y209" i="1"/>
  <c r="Y216" i="1"/>
  <c r="Y218" i="1"/>
  <c r="X225" i="1"/>
  <c r="X224" i="1"/>
  <c r="X208" i="1"/>
  <c r="X207" i="1"/>
  <c r="X209" i="1"/>
  <c r="X216" i="1"/>
  <c r="X218" i="1"/>
  <c r="W225" i="1"/>
  <c r="W224" i="1"/>
  <c r="W208" i="1"/>
  <c r="W207" i="1"/>
  <c r="W209" i="1"/>
  <c r="W216" i="1"/>
  <c r="W218" i="1"/>
  <c r="W221" i="1"/>
  <c r="I229" i="1"/>
  <c r="AA229" i="1" s="1"/>
  <c r="V16" i="8" l="1"/>
  <c r="AD16" i="8" s="1"/>
  <c r="W16" i="8"/>
  <c r="AE16" i="8" s="1"/>
  <c r="U16" i="8"/>
  <c r="AC16" i="8" s="1"/>
  <c r="Y220" i="1"/>
  <c r="Y210" i="1" l="1"/>
  <c r="X210" i="1"/>
  <c r="W210" i="1"/>
  <c r="H13" i="8" l="1"/>
  <c r="T13" i="8" s="1"/>
  <c r="I193" i="1"/>
  <c r="AA193" i="1" s="1"/>
  <c r="M10" i="8"/>
  <c r="M11" i="8"/>
  <c r="M12" i="8"/>
  <c r="M13" i="8"/>
  <c r="M14" i="8"/>
  <c r="M15" i="8"/>
  <c r="M16" i="8"/>
  <c r="M17" i="8"/>
  <c r="M18" i="8"/>
  <c r="M19" i="8"/>
  <c r="M20" i="8"/>
  <c r="M21" i="8"/>
  <c r="M22" i="8"/>
  <c r="M23" i="8"/>
  <c r="M25" i="8"/>
  <c r="M26" i="8"/>
  <c r="M27" i="8"/>
  <c r="M28" i="8"/>
  <c r="M29" i="8"/>
  <c r="M30" i="8"/>
  <c r="M31" i="8"/>
  <c r="M33" i="8"/>
  <c r="M34" i="8"/>
  <c r="M35" i="8"/>
  <c r="M36" i="8"/>
  <c r="M37" i="8"/>
  <c r="M38" i="8"/>
  <c r="M39" i="8"/>
  <c r="M40" i="8"/>
  <c r="M41" i="8"/>
  <c r="M42" i="8"/>
  <c r="M43" i="8"/>
  <c r="M44" i="8"/>
  <c r="M45" i="8"/>
  <c r="M46" i="8"/>
  <c r="M47" i="8"/>
  <c r="M48" i="8"/>
  <c r="M49" i="8"/>
  <c r="M50" i="8"/>
  <c r="K11" i="8"/>
  <c r="K12" i="8"/>
  <c r="K13" i="8"/>
  <c r="K14" i="8"/>
  <c r="K15" i="8"/>
  <c r="K17" i="8"/>
  <c r="K18" i="8"/>
  <c r="K19" i="8"/>
  <c r="K20" i="8"/>
  <c r="K21" i="8"/>
  <c r="K43" i="8"/>
  <c r="K44" i="8"/>
  <c r="K45" i="8"/>
  <c r="K46" i="8"/>
  <c r="K47" i="8"/>
  <c r="K48" i="8"/>
  <c r="K49" i="8"/>
  <c r="K50" i="8"/>
  <c r="K10" i="8"/>
  <c r="M9" i="8"/>
  <c r="W180" i="1"/>
  <c r="U10" i="8" l="1"/>
  <c r="AC10" i="8" s="1"/>
  <c r="V10" i="8"/>
  <c r="AD10" i="8" s="1"/>
  <c r="W10" i="8"/>
  <c r="AE10" i="8" s="1"/>
  <c r="W47" i="8"/>
  <c r="AE47" i="8" s="1"/>
  <c r="U47" i="8"/>
  <c r="AC47" i="8" s="1"/>
  <c r="V47" i="8"/>
  <c r="AD47" i="8" s="1"/>
  <c r="V45" i="8"/>
  <c r="AD45" i="8" s="1"/>
  <c r="W45" i="8"/>
  <c r="AE45" i="8" s="1"/>
  <c r="U45" i="8"/>
  <c r="AC45" i="8" s="1"/>
  <c r="W43" i="8"/>
  <c r="AE43" i="8" s="1"/>
  <c r="U43" i="8"/>
  <c r="AC43" i="8" s="1"/>
  <c r="V43" i="8"/>
  <c r="AD43" i="8" s="1"/>
  <c r="W20" i="8"/>
  <c r="AE20" i="8" s="1"/>
  <c r="V20" i="8"/>
  <c r="AD20" i="8" s="1"/>
  <c r="U20" i="8"/>
  <c r="AC20" i="8" s="1"/>
  <c r="V18" i="8"/>
  <c r="AD18" i="8" s="1"/>
  <c r="W18" i="8"/>
  <c r="AE18" i="8" s="1"/>
  <c r="U18" i="8"/>
  <c r="AC18" i="8" s="1"/>
  <c r="U15" i="8"/>
  <c r="AC15" i="8" s="1"/>
  <c r="W15" i="8"/>
  <c r="AE15" i="8" s="1"/>
  <c r="V15" i="8"/>
  <c r="AD15" i="8" s="1"/>
  <c r="W11" i="8"/>
  <c r="AE11" i="8" s="1"/>
  <c r="V11" i="8"/>
  <c r="AD11" i="8" s="1"/>
  <c r="U11" i="8"/>
  <c r="AC11" i="8" s="1"/>
  <c r="V48" i="8"/>
  <c r="AD48" i="8" s="1"/>
  <c r="W48" i="8"/>
  <c r="AE48" i="8" s="1"/>
  <c r="U48" i="8"/>
  <c r="AC48" i="8" s="1"/>
  <c r="U46" i="8"/>
  <c r="AC46" i="8" s="1"/>
  <c r="V46" i="8"/>
  <c r="AD46" i="8" s="1"/>
  <c r="W46" i="8"/>
  <c r="AE46" i="8" s="1"/>
  <c r="V44" i="8"/>
  <c r="AD44" i="8" s="1"/>
  <c r="W44" i="8"/>
  <c r="AE44" i="8" s="1"/>
  <c r="U44" i="8"/>
  <c r="AC44" i="8" s="1"/>
  <c r="V21" i="8"/>
  <c r="AD21" i="8" s="1"/>
  <c r="W21" i="8"/>
  <c r="AE21" i="8" s="1"/>
  <c r="U21" i="8"/>
  <c r="AC21" i="8" s="1"/>
  <c r="W19" i="8"/>
  <c r="AE19" i="8" s="1"/>
  <c r="V19" i="8"/>
  <c r="AD19" i="8" s="1"/>
  <c r="U19" i="8"/>
  <c r="AC19" i="8" s="1"/>
  <c r="W17" i="8"/>
  <c r="AE17" i="8" s="1"/>
  <c r="V17" i="8"/>
  <c r="AD17" i="8" s="1"/>
  <c r="U17" i="8"/>
  <c r="AC17" i="8" s="1"/>
  <c r="U14" i="8"/>
  <c r="AC14" i="8" s="1"/>
  <c r="V14" i="8"/>
  <c r="AD14" i="8" s="1"/>
  <c r="W14" i="8"/>
  <c r="AE14" i="8" s="1"/>
  <c r="V12" i="8"/>
  <c r="AD12" i="8" s="1"/>
  <c r="W12" i="8"/>
  <c r="AE12" i="8" s="1"/>
  <c r="U12" i="8"/>
  <c r="AC12" i="8" s="1"/>
  <c r="U13" i="8"/>
  <c r="AC13" i="8" s="1"/>
  <c r="V13" i="8"/>
  <c r="AD13" i="8" s="1"/>
  <c r="W13" i="8"/>
  <c r="AE13" i="8" s="1"/>
  <c r="Y144" i="1"/>
  <c r="Y168" i="1"/>
  <c r="Y200" i="1"/>
  <c r="Y201" i="1"/>
  <c r="Y196" i="1"/>
  <c r="Y199" i="1"/>
  <c r="Y192" i="1"/>
  <c r="Y194" i="1"/>
  <c r="Y198" i="1"/>
  <c r="Y202" i="1"/>
  <c r="Y193" i="1"/>
  <c r="Y215" i="1"/>
  <c r="Y214" i="1"/>
  <c r="Y212" i="1"/>
  <c r="Y213" i="1"/>
  <c r="Y206" i="1"/>
  <c r="Y204" i="1"/>
  <c r="Y205" i="1"/>
  <c r="Y203" i="1"/>
  <c r="Y217" i="1"/>
  <c r="Y219" i="1"/>
  <c r="X144" i="1"/>
  <c r="X168" i="1"/>
  <c r="X200" i="1"/>
  <c r="X201" i="1"/>
  <c r="X196" i="1"/>
  <c r="X199" i="1"/>
  <c r="X192" i="1"/>
  <c r="X194" i="1"/>
  <c r="X198" i="1"/>
  <c r="X202" i="1"/>
  <c r="X193" i="1"/>
  <c r="X215" i="1"/>
  <c r="X214" i="1"/>
  <c r="X212" i="1"/>
  <c r="X213" i="1"/>
  <c r="X206" i="1"/>
  <c r="X204" i="1"/>
  <c r="X205" i="1"/>
  <c r="X203" i="1"/>
  <c r="X219" i="1"/>
  <c r="X220" i="1"/>
  <c r="X228" i="1"/>
  <c r="X229" i="1"/>
  <c r="X223" i="1"/>
  <c r="W196" i="1"/>
  <c r="W199" i="1"/>
  <c r="W192" i="1"/>
  <c r="W194" i="1"/>
  <c r="W198" i="1"/>
  <c r="W202" i="1"/>
  <c r="W195" i="1"/>
  <c r="W193" i="1"/>
  <c r="W215" i="1"/>
  <c r="W214" i="1"/>
  <c r="W212" i="1"/>
  <c r="W213" i="1"/>
  <c r="W206" i="1"/>
  <c r="W204" i="1"/>
  <c r="W205" i="1"/>
  <c r="W203" i="1"/>
  <c r="W219" i="1"/>
  <c r="W220" i="1"/>
  <c r="W222" i="1"/>
  <c r="W228" i="1"/>
  <c r="W229" i="1"/>
  <c r="W223" i="1"/>
  <c r="I187" i="1"/>
  <c r="AA187" i="1" s="1"/>
  <c r="Y90" i="1"/>
  <c r="Y187" i="1"/>
  <c r="Y191" i="1"/>
  <c r="Y190" i="1"/>
  <c r="Y94" i="1"/>
  <c r="Y166" i="1"/>
  <c r="Y118" i="1"/>
  <c r="Y97" i="1"/>
  <c r="Y112" i="1"/>
  <c r="X90" i="1"/>
  <c r="X187" i="1"/>
  <c r="X191" i="1"/>
  <c r="X190" i="1"/>
  <c r="X94" i="1"/>
  <c r="X166" i="1"/>
  <c r="X118" i="1"/>
  <c r="X97" i="1"/>
  <c r="I186" i="1"/>
  <c r="AA186" i="1" s="1"/>
  <c r="I189" i="1"/>
  <c r="AA189" i="1" s="1"/>
  <c r="I184" i="1"/>
  <c r="AA184" i="1" s="1"/>
  <c r="W188" i="1"/>
  <c r="W183" i="1"/>
  <c r="W182" i="1"/>
  <c r="W185" i="1"/>
  <c r="W184" i="1"/>
  <c r="W189" i="1"/>
  <c r="W186" i="1"/>
  <c r="W95" i="1"/>
  <c r="W111" i="1"/>
  <c r="W150" i="1"/>
  <c r="W90" i="1"/>
  <c r="W187" i="1"/>
  <c r="W191" i="1"/>
  <c r="W190" i="1"/>
  <c r="W94" i="1"/>
  <c r="W166" i="1"/>
  <c r="W118" i="1"/>
  <c r="W97" i="1"/>
  <c r="W144" i="1"/>
  <c r="W168" i="1"/>
  <c r="W200" i="1"/>
  <c r="W201" i="1"/>
  <c r="I154" i="1" l="1"/>
  <c r="AA154" i="1" s="1"/>
  <c r="X155" i="1"/>
  <c r="Y155" i="1"/>
  <c r="X157" i="1"/>
  <c r="Y157" i="1"/>
  <c r="X163" i="1"/>
  <c r="Y163" i="1"/>
  <c r="X154" i="1"/>
  <c r="Y154" i="1"/>
  <c r="X159" i="1"/>
  <c r="Y159" i="1"/>
  <c r="X162" i="1"/>
  <c r="Y162" i="1"/>
  <c r="X175" i="1"/>
  <c r="Y175" i="1"/>
  <c r="X177" i="1"/>
  <c r="Y177" i="1"/>
  <c r="X170" i="1"/>
  <c r="Y170" i="1"/>
  <c r="X178" i="1"/>
  <c r="Y178" i="1"/>
  <c r="X169" i="1"/>
  <c r="Y169" i="1"/>
  <c r="X188" i="1"/>
  <c r="Y188" i="1"/>
  <c r="X183" i="1"/>
  <c r="Y183" i="1"/>
  <c r="X182" i="1"/>
  <c r="Y182" i="1"/>
  <c r="X185" i="1"/>
  <c r="Y185" i="1"/>
  <c r="X184" i="1"/>
  <c r="Y184" i="1"/>
  <c r="X189" i="1"/>
  <c r="Y189" i="1"/>
  <c r="X186" i="1"/>
  <c r="Y186" i="1"/>
  <c r="X111" i="1"/>
  <c r="Y111" i="1"/>
  <c r="X150" i="1"/>
  <c r="Y150" i="1"/>
  <c r="W159" i="1"/>
  <c r="W162" i="1"/>
  <c r="W175" i="1"/>
  <c r="W177" i="1"/>
  <c r="W170" i="1"/>
  <c r="W178" i="1"/>
  <c r="W169" i="1"/>
  <c r="X153" i="1"/>
  <c r="Y153" i="1"/>
  <c r="X152" i="1"/>
  <c r="Y152" i="1"/>
  <c r="X179" i="1"/>
  <c r="Y179" i="1"/>
  <c r="X173" i="1"/>
  <c r="Y173" i="1"/>
  <c r="X164" i="1"/>
  <c r="Y164" i="1"/>
  <c r="X165" i="1"/>
  <c r="Y165" i="1"/>
  <c r="X167" i="1"/>
  <c r="Y167" i="1"/>
  <c r="X147" i="1" l="1"/>
  <c r="Y147" i="1"/>
  <c r="X146" i="1"/>
  <c r="Y146" i="1"/>
  <c r="W84" i="1" l="1"/>
  <c r="X84" i="1"/>
  <c r="Y84" i="1"/>
  <c r="W87" i="1"/>
  <c r="X87" i="1"/>
  <c r="Y87" i="1"/>
  <c r="Y26" i="1"/>
  <c r="X26" i="1"/>
  <c r="W26" i="1"/>
  <c r="X161" i="1"/>
  <c r="Y161" i="1"/>
  <c r="W161" i="1"/>
  <c r="W37" i="1"/>
  <c r="X37" i="1"/>
  <c r="Y37" i="1"/>
  <c r="X101" i="1"/>
  <c r="Y101" i="1"/>
  <c r="W101" i="1"/>
  <c r="AB659" i="1"/>
  <c r="W66" i="1" l="1"/>
  <c r="W11" i="1"/>
  <c r="W92" i="1"/>
  <c r="W96" i="1"/>
  <c r="W93" i="1"/>
  <c r="W28" i="1"/>
  <c r="W86" i="1"/>
  <c r="W18" i="1"/>
  <c r="W15" i="1"/>
  <c r="W10" i="1"/>
  <c r="W20" i="1"/>
  <c r="W109" i="1"/>
  <c r="W107" i="1"/>
  <c r="W88" i="1"/>
  <c r="W83" i="1"/>
  <c r="W75" i="1"/>
  <c r="W57" i="1"/>
  <c r="W98" i="1"/>
  <c r="W114" i="1"/>
  <c r="W99" i="1"/>
  <c r="W100" i="1"/>
  <c r="W104" i="1"/>
  <c r="W102" i="1"/>
  <c r="W106" i="1"/>
  <c r="W108" i="1"/>
  <c r="W103" i="1"/>
  <c r="W105" i="1"/>
  <c r="W113" i="1"/>
  <c r="W116" i="1"/>
  <c r="W110" i="1"/>
  <c r="W115" i="1"/>
  <c r="W130" i="1"/>
  <c r="W120" i="1"/>
  <c r="W121" i="1"/>
  <c r="W123" i="1"/>
  <c r="W124" i="1"/>
  <c r="W125" i="1"/>
  <c r="W139" i="1"/>
  <c r="W117" i="1"/>
  <c r="W127" i="1"/>
  <c r="W137" i="1"/>
  <c r="W126" i="1"/>
  <c r="W140" i="1"/>
  <c r="W143" i="1"/>
  <c r="W141" i="1"/>
  <c r="W142" i="1"/>
  <c r="W145" i="1"/>
  <c r="W19" i="1"/>
  <c r="W14" i="1"/>
  <c r="W17" i="1"/>
  <c r="W16" i="1"/>
  <c r="W25" i="1"/>
  <c r="W35" i="1"/>
  <c r="W42" i="1"/>
  <c r="W24" i="1"/>
  <c r="W60" i="1"/>
  <c r="W40" i="1"/>
  <c r="W30" i="1"/>
  <c r="W36" i="1"/>
  <c r="W29" i="1"/>
  <c r="W38" i="1"/>
  <c r="W41" i="1"/>
  <c r="W43" i="1"/>
  <c r="W44" i="1"/>
  <c r="W39" i="1"/>
  <c r="W45" i="1"/>
  <c r="W46" i="1"/>
  <c r="W47" i="1"/>
  <c r="W48" i="1"/>
  <c r="W49" i="1"/>
  <c r="W52" i="1"/>
  <c r="W50" i="1"/>
  <c r="W54" i="1"/>
  <c r="W55" i="1"/>
  <c r="W51" i="1"/>
  <c r="W56" i="1"/>
  <c r="W65" i="1"/>
  <c r="W27" i="1"/>
  <c r="W12" i="1"/>
  <c r="W62" i="1"/>
  <c r="W61" i="1"/>
  <c r="W59" i="1"/>
  <c r="W64" i="1"/>
  <c r="W58" i="1"/>
  <c r="W9" i="1"/>
  <c r="W69" i="1"/>
  <c r="W67" i="1"/>
  <c r="W74" i="1"/>
  <c r="W73" i="1"/>
  <c r="W70" i="1"/>
  <c r="W81" i="1"/>
  <c r="W82" i="1"/>
  <c r="W34" i="1"/>
  <c r="W31" i="1"/>
  <c r="W32" i="1"/>
  <c r="W160" i="1"/>
  <c r="W149" i="1"/>
  <c r="W148" i="1"/>
  <c r="W138" i="1"/>
  <c r="W119" i="1"/>
  <c r="W128" i="1"/>
  <c r="W135" i="1"/>
  <c r="W134" i="1"/>
  <c r="W131" i="1"/>
  <c r="W132" i="1"/>
  <c r="W136" i="1"/>
  <c r="W133" i="1"/>
  <c r="W129" i="1"/>
  <c r="W79" i="1"/>
  <c r="W80" i="1"/>
  <c r="W78" i="1"/>
  <c r="W72" i="1"/>
  <c r="W71" i="1"/>
  <c r="W68" i="1"/>
  <c r="W22" i="1"/>
  <c r="W13" i="1"/>
  <c r="W174" i="1"/>
  <c r="W171" i="1"/>
  <c r="W156" i="1"/>
  <c r="W158" i="1"/>
  <c r="W176" i="1"/>
  <c r="W172" i="1"/>
  <c r="W146" i="1"/>
  <c r="W147" i="1"/>
  <c r="W167" i="1"/>
  <c r="W165" i="1"/>
  <c r="W164" i="1"/>
  <c r="W173" i="1"/>
  <c r="W179" i="1"/>
  <c r="W152" i="1"/>
  <c r="W153" i="1"/>
  <c r="W155" i="1"/>
  <c r="W157" i="1"/>
  <c r="W163" i="1"/>
  <c r="W154" i="1"/>
  <c r="W91" i="1"/>
  <c r="X180" i="1" l="1"/>
  <c r="Y180" i="1"/>
  <c r="AB737" i="1" l="1"/>
  <c r="AB736" i="1"/>
  <c r="X32" i="1"/>
  <c r="Y32" i="1"/>
  <c r="AB738" i="1"/>
  <c r="X172" i="1" l="1"/>
  <c r="Y172" i="1"/>
  <c r="Y145" i="1"/>
  <c r="X145" i="1"/>
  <c r="AB681" i="1"/>
  <c r="X142" i="1"/>
  <c r="Y142" i="1"/>
  <c r="AB680" i="1"/>
  <c r="X141" i="1"/>
  <c r="Y141" i="1"/>
  <c r="AB679" i="1"/>
  <c r="X143" i="1"/>
  <c r="Y143" i="1"/>
  <c r="AB678" i="1"/>
  <c r="X127" i="1" l="1"/>
  <c r="Y127" i="1"/>
  <c r="AB674" i="1"/>
  <c r="X140" i="1"/>
  <c r="Y140" i="1"/>
  <c r="AB677" i="1"/>
  <c r="AB676" i="1"/>
  <c r="I137" i="1"/>
  <c r="AA137" i="1" s="1"/>
  <c r="X137" i="1"/>
  <c r="Y137" i="1"/>
  <c r="AB675" i="1"/>
  <c r="X139" i="1"/>
  <c r="Y139" i="1"/>
  <c r="AB669" i="1" l="1"/>
  <c r="X125" i="1"/>
  <c r="Y125" i="1"/>
  <c r="AB756" i="1"/>
  <c r="AB755" i="1"/>
  <c r="AB754" i="1"/>
  <c r="AB753" i="1"/>
  <c r="Y79" i="1"/>
  <c r="Y80" i="1"/>
  <c r="Y78" i="1"/>
  <c r="Y72" i="1"/>
  <c r="Y71" i="1"/>
  <c r="Y68" i="1"/>
  <c r="Y22" i="1"/>
  <c r="Y13" i="1"/>
  <c r="Y174" i="1"/>
  <c r="Y156" i="1"/>
  <c r="Y158" i="1"/>
  <c r="Y176" i="1"/>
  <c r="X79" i="1"/>
  <c r="X80" i="1"/>
  <c r="X78" i="1"/>
  <c r="X72" i="1"/>
  <c r="X71" i="1"/>
  <c r="X68" i="1"/>
  <c r="X22" i="1"/>
  <c r="X13" i="1"/>
  <c r="X174" i="1"/>
  <c r="X156" i="1"/>
  <c r="X158" i="1"/>
  <c r="X176" i="1"/>
  <c r="X129" i="1"/>
  <c r="Y129" i="1"/>
  <c r="AB752" i="1"/>
  <c r="X133" i="1"/>
  <c r="Y133" i="1"/>
  <c r="AB751" i="1"/>
  <c r="X136" i="1"/>
  <c r="Y136" i="1"/>
  <c r="AB750" i="1"/>
  <c r="X132" i="1"/>
  <c r="Y132" i="1"/>
  <c r="AB749" i="1"/>
  <c r="X131" i="1"/>
  <c r="Y131" i="1"/>
  <c r="AB748" i="1"/>
  <c r="X134" i="1"/>
  <c r="Y134" i="1"/>
  <c r="AB747" i="1"/>
  <c r="X135" i="1"/>
  <c r="Y135" i="1"/>
  <c r="AB746" i="1"/>
  <c r="X128" i="1"/>
  <c r="Y128" i="1"/>
  <c r="AB745" i="1"/>
  <c r="X119" i="1"/>
  <c r="Y119" i="1"/>
  <c r="AB744" i="1"/>
  <c r="X138" i="1"/>
  <c r="Y138" i="1"/>
  <c r="AB743" i="1"/>
  <c r="X148" i="1"/>
  <c r="Y148" i="1"/>
  <c r="AB741" i="1"/>
  <c r="X149" i="1"/>
  <c r="Y149" i="1"/>
  <c r="AB740" i="1"/>
  <c r="R160" i="1"/>
  <c r="Q160" i="1"/>
  <c r="P160" i="1"/>
  <c r="M160" i="1"/>
  <c r="L160" i="1"/>
  <c r="X160" i="1"/>
  <c r="Y160" i="1"/>
  <c r="AB739" i="1"/>
  <c r="X104" i="1" l="1"/>
  <c r="Y104" i="1"/>
  <c r="X100" i="1"/>
  <c r="Y100" i="1"/>
  <c r="X114" i="1"/>
  <c r="Y114" i="1"/>
  <c r="X57" i="1"/>
  <c r="Y57" i="1"/>
  <c r="X75" i="1"/>
  <c r="Y75" i="1"/>
  <c r="X83" i="1"/>
  <c r="Y83" i="1"/>
  <c r="X88" i="1"/>
  <c r="Y88" i="1"/>
  <c r="X20" i="1"/>
  <c r="Y20" i="1"/>
  <c r="AB639" i="1"/>
  <c r="X28" i="1"/>
  <c r="Y28" i="1"/>
  <c r="Y66" i="1"/>
  <c r="Y11" i="1"/>
  <c r="X66" i="1"/>
  <c r="X11" i="1"/>
  <c r="X92" i="1"/>
  <c r="Y92" i="1" l="1"/>
  <c r="Y96" i="1"/>
  <c r="Y93" i="1"/>
  <c r="Y89" i="1"/>
  <c r="Y86" i="1"/>
  <c r="Y18" i="1"/>
  <c r="Y15" i="1"/>
  <c r="Y10" i="1"/>
  <c r="Y109" i="1"/>
  <c r="Y107" i="1"/>
  <c r="Y98" i="1"/>
  <c r="Y99" i="1"/>
  <c r="Y102" i="1"/>
  <c r="Y106" i="1"/>
  <c r="Y108" i="1"/>
  <c r="Y103" i="1"/>
  <c r="Y105" i="1"/>
  <c r="Y113" i="1"/>
  <c r="Y116" i="1"/>
  <c r="Y110" i="1"/>
  <c r="Y120" i="1"/>
  <c r="Y121" i="1"/>
  <c r="Y123" i="1"/>
  <c r="Y124" i="1"/>
  <c r="Y117" i="1"/>
  <c r="Y19" i="1"/>
  <c r="Y14" i="1"/>
  <c r="Y17" i="1"/>
  <c r="Y16" i="1"/>
  <c r="Y25" i="1"/>
  <c r="Y35" i="1"/>
  <c r="Y42" i="1"/>
  <c r="Y24" i="1"/>
  <c r="Y60" i="1"/>
  <c r="Y40" i="1"/>
  <c r="Y30" i="1"/>
  <c r="Y36" i="1"/>
  <c r="Y29" i="1"/>
  <c r="Y38" i="1"/>
  <c r="Y41" i="1"/>
  <c r="Y33" i="1"/>
  <c r="Y43" i="1"/>
  <c r="Y39" i="1"/>
  <c r="Y45" i="1"/>
  <c r="Y46" i="1"/>
  <c r="Y47" i="1"/>
  <c r="Y48" i="1"/>
  <c r="Y49" i="1"/>
  <c r="Y52" i="1"/>
  <c r="Y50" i="1"/>
  <c r="Y54" i="1"/>
  <c r="Y55" i="1"/>
  <c r="Y51" i="1"/>
  <c r="Y53" i="1"/>
  <c r="Y56" i="1"/>
  <c r="Y65" i="1"/>
  <c r="Y27" i="1"/>
  <c r="Y12" i="1"/>
  <c r="Y63" i="1"/>
  <c r="Y21" i="1"/>
  <c r="Y23" i="1"/>
  <c r="Y62" i="1"/>
  <c r="Y61" i="1"/>
  <c r="Y64" i="1"/>
  <c r="Y69" i="1"/>
  <c r="Y70" i="1"/>
  <c r="Y81" i="1"/>
  <c r="Y82" i="1"/>
  <c r="Y91" i="1"/>
  <c r="X96" i="1"/>
  <c r="X93" i="1"/>
  <c r="X86" i="1"/>
  <c r="X18" i="1"/>
  <c r="X15" i="1"/>
  <c r="X10" i="1"/>
  <c r="X109" i="1"/>
  <c r="X107" i="1"/>
  <c r="X98" i="1"/>
  <c r="X99" i="1"/>
  <c r="X102" i="1"/>
  <c r="X106" i="1"/>
  <c r="X108" i="1"/>
  <c r="X103" i="1"/>
  <c r="X105" i="1"/>
  <c r="X113" i="1"/>
  <c r="X116" i="1"/>
  <c r="X110" i="1"/>
  <c r="X120" i="1"/>
  <c r="X121" i="1"/>
  <c r="X123" i="1"/>
  <c r="X124" i="1"/>
  <c r="X117" i="1"/>
  <c r="X19" i="1"/>
  <c r="X14" i="1"/>
  <c r="X17" i="1"/>
  <c r="X16" i="1"/>
  <c r="X25" i="1"/>
  <c r="X35" i="1"/>
  <c r="X42" i="1"/>
  <c r="X24" i="1"/>
  <c r="X60" i="1"/>
  <c r="X40" i="1"/>
  <c r="X30" i="1"/>
  <c r="X36" i="1"/>
  <c r="X29" i="1"/>
  <c r="X38" i="1"/>
  <c r="X41" i="1"/>
  <c r="X43" i="1"/>
  <c r="X39" i="1"/>
  <c r="X45" i="1"/>
  <c r="X46" i="1"/>
  <c r="X47" i="1"/>
  <c r="X48" i="1"/>
  <c r="X49" i="1"/>
  <c r="X52" i="1"/>
  <c r="X50" i="1"/>
  <c r="X54" i="1"/>
  <c r="X55" i="1"/>
  <c r="X51" i="1"/>
  <c r="X56" i="1"/>
  <c r="X65" i="1"/>
  <c r="X27" i="1"/>
  <c r="X12" i="1"/>
  <c r="X62" i="1"/>
  <c r="X61" i="1"/>
  <c r="X64" i="1"/>
  <c r="X69" i="1"/>
  <c r="X70" i="1"/>
  <c r="X81" i="1"/>
  <c r="X82" i="1"/>
  <c r="X91" i="1"/>
  <c r="AB590" i="1"/>
  <c r="AB591" i="1"/>
  <c r="AB592" i="1"/>
  <c r="AB630" i="1"/>
  <c r="AB631" i="1"/>
  <c r="AB634" i="1"/>
  <c r="AB637" i="1"/>
  <c r="AB638" i="1"/>
  <c r="AB640" i="1"/>
  <c r="AB641" i="1"/>
  <c r="AB647" i="1"/>
  <c r="AB649" i="1"/>
  <c r="AB652" i="1"/>
  <c r="AB653" i="1"/>
  <c r="AB654" i="1"/>
  <c r="AB655" i="1"/>
  <c r="AB656" i="1"/>
  <c r="AB657" i="1"/>
  <c r="AB658" i="1"/>
  <c r="AB660" i="1"/>
  <c r="AB661" i="1"/>
  <c r="AB663" i="1"/>
  <c r="AB665" i="1"/>
  <c r="AB667" i="1"/>
  <c r="AB668" i="1"/>
  <c r="AB670" i="1"/>
  <c r="AB672" i="1"/>
  <c r="AB682" i="1"/>
  <c r="AB683" i="1"/>
  <c r="AB684" i="1"/>
  <c r="AB685" i="1"/>
  <c r="AB686" i="1"/>
  <c r="AB687" i="1"/>
  <c r="AB688" i="1"/>
  <c r="AB689" i="1"/>
  <c r="AB690" i="1"/>
  <c r="AB691" i="1"/>
  <c r="AB692" i="1"/>
  <c r="AB693" i="1"/>
  <c r="AB694" i="1"/>
  <c r="AB695" i="1"/>
  <c r="AB696" i="1"/>
  <c r="AB697" i="1"/>
  <c r="AB698" i="1"/>
  <c r="AB699" i="1"/>
  <c r="AB700" i="1"/>
  <c r="AB701" i="1"/>
  <c r="AB702" i="1"/>
  <c r="AB704" i="1"/>
  <c r="AB705" i="1"/>
  <c r="AB706" i="1"/>
  <c r="AB707" i="1"/>
  <c r="AB708" i="1"/>
  <c r="AB709" i="1"/>
  <c r="AB710" i="1"/>
  <c r="AB711" i="1"/>
  <c r="AB713" i="1"/>
  <c r="AB714" i="1"/>
  <c r="AB715" i="1"/>
  <c r="AB716" i="1"/>
  <c r="AB717" i="1"/>
  <c r="AB718" i="1"/>
  <c r="AB719" i="1"/>
  <c r="AB720" i="1"/>
  <c r="AB721" i="1"/>
  <c r="AB722" i="1"/>
  <c r="AB723" i="1"/>
  <c r="AB724" i="1"/>
  <c r="AB726" i="1"/>
  <c r="AB727" i="1"/>
  <c r="AB728" i="1"/>
  <c r="AB729" i="1"/>
  <c r="AB730" i="1"/>
  <c r="AB731" i="1"/>
  <c r="AB732" i="1"/>
  <c r="AB733" i="1"/>
  <c r="AB734" i="1"/>
  <c r="I46" i="1"/>
  <c r="AA46" i="1" s="1"/>
  <c r="I45" i="1"/>
  <c r="AA45" i="1" s="1"/>
  <c r="E9" i="5" l="1"/>
  <c r="E8" i="5"/>
</calcChain>
</file>

<file path=xl/sharedStrings.xml><?xml version="1.0" encoding="utf-8"?>
<sst xmlns="http://schemas.openxmlformats.org/spreadsheetml/2006/main" count="19607" uniqueCount="3549">
  <si>
    <t>Apellido 1</t>
  </si>
  <si>
    <t>Apellido 2</t>
  </si>
  <si>
    <t>Nombre</t>
  </si>
  <si>
    <t>Fecha de la dosis</t>
  </si>
  <si>
    <t>Dosis (Gy)</t>
  </si>
  <si>
    <t>Vigilancia de kerma</t>
  </si>
  <si>
    <t>Ortega</t>
  </si>
  <si>
    <t>Francisca</t>
  </si>
  <si>
    <t>Paraschiv</t>
  </si>
  <si>
    <t>Mihaela Florentina</t>
  </si>
  <si>
    <t>SIP</t>
  </si>
  <si>
    <t xml:space="preserve">Hueso </t>
  </si>
  <si>
    <t>Borrego</t>
  </si>
  <si>
    <t>Manuela</t>
  </si>
  <si>
    <t xml:space="preserve">Duro </t>
  </si>
  <si>
    <t>Moreno</t>
  </si>
  <si>
    <t>Ramón</t>
  </si>
  <si>
    <t>Vicent</t>
  </si>
  <si>
    <t>Roig</t>
  </si>
  <si>
    <t>Elvira</t>
  </si>
  <si>
    <t>Antonio</t>
  </si>
  <si>
    <t>Cervera</t>
  </si>
  <si>
    <t>Ruiz</t>
  </si>
  <si>
    <t>Camargo</t>
  </si>
  <si>
    <t>Monasterio</t>
  </si>
  <si>
    <t>Marilin</t>
  </si>
  <si>
    <t xml:space="preserve">Blasco </t>
  </si>
  <si>
    <t>Calatayud</t>
  </si>
  <si>
    <t>Josefa</t>
  </si>
  <si>
    <t>Castro</t>
  </si>
  <si>
    <t>Soler</t>
  </si>
  <si>
    <t xml:space="preserve">Rafael </t>
  </si>
  <si>
    <t>Gómez</t>
  </si>
  <si>
    <t>Noel</t>
  </si>
  <si>
    <t xml:space="preserve">Jiménez </t>
  </si>
  <si>
    <t>Lozano</t>
  </si>
  <si>
    <t>Ramos</t>
  </si>
  <si>
    <t>Miguel Ángel</t>
  </si>
  <si>
    <t>Pazmiño</t>
  </si>
  <si>
    <t>Manchón</t>
  </si>
  <si>
    <t>Aaron Javier</t>
  </si>
  <si>
    <t>Donat</t>
  </si>
  <si>
    <t>Canet</t>
  </si>
  <si>
    <t>Cuenca</t>
  </si>
  <si>
    <t>Puchalt</t>
  </si>
  <si>
    <t>José Antonio</t>
  </si>
  <si>
    <t>Pérez</t>
  </si>
  <si>
    <t>Jiménez</t>
  </si>
  <si>
    <t>Meritxell</t>
  </si>
  <si>
    <t>Henderson Edin</t>
  </si>
  <si>
    <t>Quintero</t>
  </si>
  <si>
    <t>Acosta</t>
  </si>
  <si>
    <t>Chust</t>
  </si>
  <si>
    <t>Piquer</t>
  </si>
  <si>
    <t>Isabel</t>
  </si>
  <si>
    <t>Ortell</t>
  </si>
  <si>
    <t>Renau</t>
  </si>
  <si>
    <t>Miguel</t>
  </si>
  <si>
    <t>Veliz</t>
  </si>
  <si>
    <t>Cadena</t>
  </si>
  <si>
    <t>Marlon Omar</t>
  </si>
  <si>
    <t>Astilleros</t>
  </si>
  <si>
    <t>Jacinto</t>
  </si>
  <si>
    <t>Última fecha</t>
  </si>
  <si>
    <t>Hlioui</t>
  </si>
  <si>
    <t>Hamid</t>
  </si>
  <si>
    <t>Navarro</t>
  </si>
  <si>
    <t>Baixauli</t>
  </si>
  <si>
    <t>Juan</t>
  </si>
  <si>
    <t xml:space="preserve">García </t>
  </si>
  <si>
    <t>Martí</t>
  </si>
  <si>
    <t>Rafael</t>
  </si>
  <si>
    <t>Waqas</t>
  </si>
  <si>
    <t>Hoolain Fatima</t>
  </si>
  <si>
    <t>Delgado</t>
  </si>
  <si>
    <t>Javier</t>
  </si>
  <si>
    <t>Fecha de nacimiento</t>
  </si>
  <si>
    <t>Torres</t>
  </si>
  <si>
    <t>Ballester</t>
  </si>
  <si>
    <t>Noguera</t>
  </si>
  <si>
    <t>José Vicente</t>
  </si>
  <si>
    <t>Palanca</t>
  </si>
  <si>
    <t>Pascual</t>
  </si>
  <si>
    <t>Francisco</t>
  </si>
  <si>
    <t>Examen</t>
  </si>
  <si>
    <t>Embolización de hemorragia digestiva alta. Procedimiento básico</t>
  </si>
  <si>
    <t xml:space="preserve">Cebriá </t>
  </si>
  <si>
    <t>Gamón</t>
  </si>
  <si>
    <t>Vicente</t>
  </si>
  <si>
    <t>Quimioembolización hepática. Procedimiento básico</t>
  </si>
  <si>
    <t>Nieto</t>
  </si>
  <si>
    <t>Donato</t>
  </si>
  <si>
    <t>Tratamiento endovascular aneurisma de aorta abdominal. Procedimiento basico</t>
  </si>
  <si>
    <t>Piorno</t>
  </si>
  <si>
    <t>Ángel</t>
  </si>
  <si>
    <t>Arteriografía renal</t>
  </si>
  <si>
    <t>Punzano</t>
  </si>
  <si>
    <t>Egea</t>
  </si>
  <si>
    <t>Felipe</t>
  </si>
  <si>
    <t>Ablación tumoral, radiofrecuencia</t>
  </si>
  <si>
    <t>Arteriografía troncos viscerales digestivos</t>
  </si>
  <si>
    <t>Calvo</t>
  </si>
  <si>
    <t>José</t>
  </si>
  <si>
    <t>Llanes</t>
  </si>
  <si>
    <t>Martínez</t>
  </si>
  <si>
    <t>Soriano</t>
  </si>
  <si>
    <t>Carmen</t>
  </si>
  <si>
    <t>Otras embolizaciones. Procedimiento básico</t>
  </si>
  <si>
    <t>Aortografía abdominal</t>
  </si>
  <si>
    <t>Ibáñez</t>
  </si>
  <si>
    <t>Valentín</t>
  </si>
  <si>
    <t>Embolización de aneurismas venosos</t>
  </si>
  <si>
    <t>Mitkov</t>
  </si>
  <si>
    <t>Rusev</t>
  </si>
  <si>
    <t>Plamen</t>
  </si>
  <si>
    <t>Pardo</t>
  </si>
  <si>
    <t>Serrano</t>
  </si>
  <si>
    <t>M Carmen</t>
  </si>
  <si>
    <t>Embolización grandes vasos. Procedimiento básico</t>
  </si>
  <si>
    <t>Verdejo</t>
  </si>
  <si>
    <t>Matrínez</t>
  </si>
  <si>
    <t>José Manuel</t>
  </si>
  <si>
    <t>(TIPS) Shunt protocava percutáneo. Procedimiento básico</t>
  </si>
  <si>
    <t>Catalina</t>
  </si>
  <si>
    <t>Calero</t>
  </si>
  <si>
    <t>Timoner</t>
  </si>
  <si>
    <t>Domingo</t>
  </si>
  <si>
    <t>Pedro Enrique</t>
  </si>
  <si>
    <t>Embolización esplénica. Procedimiento básico</t>
  </si>
  <si>
    <t>Gallego</t>
  </si>
  <si>
    <t>Hernández</t>
  </si>
  <si>
    <t>Salvador</t>
  </si>
  <si>
    <t>Murciano</t>
  </si>
  <si>
    <t>Rodilla</t>
  </si>
  <si>
    <t>Herlinda</t>
  </si>
  <si>
    <t>Arroyo</t>
  </si>
  <si>
    <t>Porta</t>
  </si>
  <si>
    <t>Adela</t>
  </si>
  <si>
    <t>Embolización en malformaciones vasculares cerebrales. Procedimiento báscio</t>
  </si>
  <si>
    <t>Angiografía cerebral completa y selectiva. Procedimiento básico</t>
  </si>
  <si>
    <t>Nadal</t>
  </si>
  <si>
    <t>Torralbo</t>
  </si>
  <si>
    <t>David</t>
  </si>
  <si>
    <t>Control catéter drenaje</t>
  </si>
  <si>
    <t>Botella</t>
  </si>
  <si>
    <t>Crespo</t>
  </si>
  <si>
    <t>Álvarez</t>
  </si>
  <si>
    <t>Infusión terapéutica quimioterapia. Procedimiento básico</t>
  </si>
  <si>
    <t>Andreu</t>
  </si>
  <si>
    <t>Soñer</t>
  </si>
  <si>
    <t>Paloma</t>
  </si>
  <si>
    <t>Embolización otras hemorragias. Procedimiento básico</t>
  </si>
  <si>
    <t>Vidal</t>
  </si>
  <si>
    <t>Morant</t>
  </si>
  <si>
    <t>Ángel Salvador</t>
  </si>
  <si>
    <t>Embolización de hemorragias digestivas. Procedimiento básico</t>
  </si>
  <si>
    <t>Pastor</t>
  </si>
  <si>
    <t>Sánchez</t>
  </si>
  <si>
    <t>Climent</t>
  </si>
  <si>
    <t>Villar</t>
  </si>
  <si>
    <t>Marín</t>
  </si>
  <si>
    <t>Arocha</t>
  </si>
  <si>
    <t>Mejías</t>
  </si>
  <si>
    <t>Caridad María</t>
  </si>
  <si>
    <t>Arteriografía miembros inferiores</t>
  </si>
  <si>
    <t>Joaquín</t>
  </si>
  <si>
    <t>Embolización tumoral. Procedimiento básico</t>
  </si>
  <si>
    <t>Milagros</t>
  </si>
  <si>
    <t>Torregrosa</t>
  </si>
  <si>
    <t>Valero</t>
  </si>
  <si>
    <t>Diego</t>
  </si>
  <si>
    <t>Orallo</t>
  </si>
  <si>
    <t>Florentina</t>
  </si>
  <si>
    <t>Embolización renal. Procedimiento básico</t>
  </si>
  <si>
    <t>Oliver</t>
  </si>
  <si>
    <t>Shunt portocava percutáneo TIPS. Procedimiento básico</t>
  </si>
  <si>
    <t>Campos</t>
  </si>
  <si>
    <t>Rogel</t>
  </si>
  <si>
    <t>Basilio</t>
  </si>
  <si>
    <t>Embolización anuerisma venoso. Procedimiento básico</t>
  </si>
  <si>
    <t>Embolización en tumores. Procedimiento básico</t>
  </si>
  <si>
    <t>Castillo</t>
  </si>
  <si>
    <t>Peiró</t>
  </si>
  <si>
    <t>Feliu</t>
  </si>
  <si>
    <t>Amadeo</t>
  </si>
  <si>
    <t>Etiquetas de fila</t>
  </si>
  <si>
    <t>Total general</t>
  </si>
  <si>
    <t>Suma de Dosis (Gy)</t>
  </si>
  <si>
    <t>Suma de SIP</t>
  </si>
  <si>
    <t>Giner</t>
  </si>
  <si>
    <t xml:space="preserve"> </t>
  </si>
  <si>
    <t>Nombre completo</t>
  </si>
  <si>
    <t>Aaron Javier Pazmiño Manchón</t>
  </si>
  <si>
    <t>Adela Arroyo Porta</t>
  </si>
  <si>
    <t>Amadeo Peiró Feliu</t>
  </si>
  <si>
    <t>Ángel Piorno Pérez</t>
  </si>
  <si>
    <t>Ángel Salvador Vidal Morant</t>
  </si>
  <si>
    <t>Antonio Cervera Ruiz</t>
  </si>
  <si>
    <t>Basilio Campos Rogel</t>
  </si>
  <si>
    <t>Caridad María Arocha Mejías</t>
  </si>
  <si>
    <t>Carmen Martínez Soriano</t>
  </si>
  <si>
    <t>Catalina Calero Serrano</t>
  </si>
  <si>
    <t>David Nadal Torralbo</t>
  </si>
  <si>
    <t>Diego Torregrosa Valero</t>
  </si>
  <si>
    <t>Donato Patio Nieto</t>
  </si>
  <si>
    <t>Elvira Vicent Roig</t>
  </si>
  <si>
    <t>Felipe Punzano Egea</t>
  </si>
  <si>
    <t>Florentina Orallo Álvarez</t>
  </si>
  <si>
    <t>Francisca Giner Ortega</t>
  </si>
  <si>
    <t>Francisco Palanca Pascual</t>
  </si>
  <si>
    <t xml:space="preserve">Hamid Hlioui </t>
  </si>
  <si>
    <t>Henderson Edin Jiménez  Ramos</t>
  </si>
  <si>
    <t>Herlinda Murciano Rodilla</t>
  </si>
  <si>
    <t xml:space="preserve">Hoolain Fatima Waqas </t>
  </si>
  <si>
    <t>Isabel Chust Piquer</t>
  </si>
  <si>
    <t>Jacinto Astilleros Jiménez</t>
  </si>
  <si>
    <t>Javier Delgado Jiménez</t>
  </si>
  <si>
    <t>Javier Gonzalo Climent</t>
  </si>
  <si>
    <t>Joaquín Soler Juan</t>
  </si>
  <si>
    <t>José Álvarez Ruiz</t>
  </si>
  <si>
    <t>José Antonio Cuenca Puchalt</t>
  </si>
  <si>
    <t>José Calvo Gómez</t>
  </si>
  <si>
    <t>José Manuel Botella Crespo</t>
  </si>
  <si>
    <t>José Manuel Verdejo Matrínez</t>
  </si>
  <si>
    <t>José Sánchez Castillo</t>
  </si>
  <si>
    <t>José Vicente Ballester Noguera</t>
  </si>
  <si>
    <t>José Villar Marín</t>
  </si>
  <si>
    <t>Josefa Blasco  Calatayud</t>
  </si>
  <si>
    <t>Juan Navarro Baixauli</t>
  </si>
  <si>
    <t>M Carmen Pardo Serrano</t>
  </si>
  <si>
    <t>Manuela Hueso  Borrego</t>
  </si>
  <si>
    <t>Marilin Camargo Monasterio</t>
  </si>
  <si>
    <t>Marlon Omar Veliz Cadena</t>
  </si>
  <si>
    <t>Meritxell Pérez Jiménez</t>
  </si>
  <si>
    <t>Miguel Ángel Lozano Ramos</t>
  </si>
  <si>
    <t>Miguel Ángel Quintero Acosta</t>
  </si>
  <si>
    <t>Miguel Ortell Renau</t>
  </si>
  <si>
    <t xml:space="preserve">Mihaela Florentina Paraschiv </t>
  </si>
  <si>
    <t>Milagros Jiménez  Navarro</t>
  </si>
  <si>
    <t>Noel Jiménez  Gómez</t>
  </si>
  <si>
    <t>Paloma Andreu Soñer</t>
  </si>
  <si>
    <t>Pascual Pastor Sánchez</t>
  </si>
  <si>
    <t>Pedro Enrique Timoner Domingo</t>
  </si>
  <si>
    <t>Plamen Mitkov Rusev</t>
  </si>
  <si>
    <t>Rafael  Castro Soler</t>
  </si>
  <si>
    <t>Rafael  Donat Canet</t>
  </si>
  <si>
    <t>Rafael García  Martí</t>
  </si>
  <si>
    <t>Ramón Duro  Moreno</t>
  </si>
  <si>
    <t>Ramón Llanes Tolos</t>
  </si>
  <si>
    <t>Salvador Gallego Hernández</t>
  </si>
  <si>
    <t>Valentín Martínez Ibáñez</t>
  </si>
  <si>
    <t>Vicente Cebriá  Gamón</t>
  </si>
  <si>
    <t>Vicente Torres Oliver</t>
  </si>
  <si>
    <t>Mes</t>
  </si>
  <si>
    <t>Año</t>
  </si>
  <si>
    <t>Zona corporal</t>
  </si>
  <si>
    <t>abdomen</t>
  </si>
  <si>
    <t>3061080110001370</t>
  </si>
  <si>
    <t>3061080107241010</t>
  </si>
  <si>
    <t>Embo otras hemorrajs proc basic</t>
  </si>
  <si>
    <t>Embo hepatica proc basic</t>
  </si>
  <si>
    <t>abodmen</t>
  </si>
  <si>
    <t>torax</t>
  </si>
  <si>
    <t>Cateterismo cardiaco pediatrico</t>
  </si>
  <si>
    <t>Equipo</t>
  </si>
  <si>
    <t>Vascular</t>
  </si>
  <si>
    <t>Hemodinámica</t>
  </si>
  <si>
    <t>Felix</t>
  </si>
  <si>
    <t>Fontestad</t>
  </si>
  <si>
    <t>Jesús</t>
  </si>
  <si>
    <t>Mariño</t>
  </si>
  <si>
    <t>San Martín</t>
  </si>
  <si>
    <t>Maximino Andrés</t>
  </si>
  <si>
    <t>Gerona</t>
  </si>
  <si>
    <t>Guillermo</t>
  </si>
  <si>
    <t>Herrada</t>
  </si>
  <si>
    <t>Perona</t>
  </si>
  <si>
    <t>Honorio</t>
  </si>
  <si>
    <t>Casas</t>
  </si>
  <si>
    <t>Gregorio</t>
  </si>
  <si>
    <t>Rambla</t>
  </si>
  <si>
    <t>Juan José</t>
  </si>
  <si>
    <t>Natividad</t>
  </si>
  <si>
    <t>Andrés</t>
  </si>
  <si>
    <t>Navalón</t>
  </si>
  <si>
    <t>Defez</t>
  </si>
  <si>
    <t>Rochina</t>
  </si>
  <si>
    <t>Herradón</t>
  </si>
  <si>
    <t>Ortiz</t>
  </si>
  <si>
    <t>Robles</t>
  </si>
  <si>
    <t>Argente</t>
  </si>
  <si>
    <t>Gomis</t>
  </si>
  <si>
    <t>Oliva</t>
  </si>
  <si>
    <t>Moresi</t>
  </si>
  <si>
    <t>Lorenzo</t>
  </si>
  <si>
    <t>Matute</t>
  </si>
  <si>
    <t>Tobias</t>
  </si>
  <si>
    <t>Luis Javier</t>
  </si>
  <si>
    <t>3061080111001050</t>
  </si>
  <si>
    <t>Reina</t>
  </si>
  <si>
    <t>Carlos</t>
  </si>
  <si>
    <t>Galarza</t>
  </si>
  <si>
    <t>Perelló</t>
  </si>
  <si>
    <t>María Dolores</t>
  </si>
  <si>
    <t>3061080102091010</t>
  </si>
  <si>
    <t>Garrigues</t>
  </si>
  <si>
    <t>Langa</t>
  </si>
  <si>
    <t>Vercher</t>
  </si>
  <si>
    <t>Montañana</t>
  </si>
  <si>
    <t>3061080110001100</t>
  </si>
  <si>
    <t>3061080106071010</t>
  </si>
  <si>
    <t>Gamiz</t>
  </si>
  <si>
    <t>Fos</t>
  </si>
  <si>
    <t>Fernández</t>
  </si>
  <si>
    <t>Juan Pedro</t>
  </si>
  <si>
    <t>3061080109001030</t>
  </si>
  <si>
    <t>Fengying</t>
  </si>
  <si>
    <t>Zheng</t>
  </si>
  <si>
    <t>3061080105041010</t>
  </si>
  <si>
    <t>Gonzalez</t>
  </si>
  <si>
    <t>Cano</t>
  </si>
  <si>
    <t>Esteban</t>
  </si>
  <si>
    <t>Juana</t>
  </si>
  <si>
    <t>Cocera</t>
  </si>
  <si>
    <t>Rogelio</t>
  </si>
  <si>
    <t>Drenaje biliar percutáneo interno externo</t>
  </si>
  <si>
    <t>García-Uceda</t>
  </si>
  <si>
    <t>Ruiz-Orejón</t>
  </si>
  <si>
    <t>Prieto</t>
  </si>
  <si>
    <t>Bonora</t>
  </si>
  <si>
    <t>Víctor</t>
  </si>
  <si>
    <t>Tormo</t>
  </si>
  <si>
    <t>Albert</t>
  </si>
  <si>
    <t>Vicenta</t>
  </si>
  <si>
    <t>Boles</t>
  </si>
  <si>
    <t>Alanna</t>
  </si>
  <si>
    <t>Mata</t>
  </si>
  <si>
    <t>Garrido</t>
  </si>
  <si>
    <t>Marta</t>
  </si>
  <si>
    <t>Peñarrocha</t>
  </si>
  <si>
    <t>Piqueras</t>
  </si>
  <si>
    <t>Marcos Antonio</t>
  </si>
  <si>
    <t>Pedrón</t>
  </si>
  <si>
    <t>Caballero</t>
  </si>
  <si>
    <t>Ángela</t>
  </si>
  <si>
    <t>Otro intervencionismo diagnostico de abdomen pediátrico</t>
  </si>
  <si>
    <t>Fuster</t>
  </si>
  <si>
    <t>Tarrazo</t>
  </si>
  <si>
    <t>Rosa María</t>
  </si>
  <si>
    <t>Rango de dosis</t>
  </si>
  <si>
    <t>Máxima (mGy):</t>
  </si>
  <si>
    <t>Mínima (mGy):</t>
  </si>
  <si>
    <t>Número de bines</t>
  </si>
  <si>
    <t>Muñoz</t>
  </si>
  <si>
    <t>Valverde</t>
  </si>
  <si>
    <t>Quevedo</t>
  </si>
  <si>
    <t>Manuel</t>
  </si>
  <si>
    <t>Khoshbekyan</t>
  </si>
  <si>
    <t>Poghos</t>
  </si>
  <si>
    <t>Cisne</t>
  </si>
  <si>
    <t>del Isaac</t>
  </si>
  <si>
    <t>Catalán</t>
  </si>
  <si>
    <t>Mónica</t>
  </si>
  <si>
    <t>Sendín</t>
  </si>
  <si>
    <t>Guerrero</t>
  </si>
  <si>
    <t>Collado</t>
  </si>
  <si>
    <t>Rodríguez</t>
  </si>
  <si>
    <t>Urbán</t>
  </si>
  <si>
    <t>García</t>
  </si>
  <si>
    <t>Alejandro</t>
  </si>
  <si>
    <t>Min bin</t>
  </si>
  <si>
    <t>Max bin</t>
  </si>
  <si>
    <t>Suma de dosis (Gy)</t>
  </si>
  <si>
    <t>Cuentas</t>
  </si>
  <si>
    <t>Intervalo</t>
  </si>
  <si>
    <t>Alberto</t>
  </si>
  <si>
    <t>Saiz</t>
  </si>
  <si>
    <t>Pilar</t>
  </si>
  <si>
    <t>[0 - 1)</t>
  </si>
  <si>
    <t>[1 - 2)</t>
  </si>
  <si>
    <t>[2 - 3)</t>
  </si>
  <si>
    <t>[3 - 4)</t>
  </si>
  <si>
    <t>[4 - 5)</t>
  </si>
  <si>
    <t>[5 - 6)</t>
  </si>
  <si>
    <t>[6 - 7)</t>
  </si>
  <si>
    <t>[7 - 8)</t>
  </si>
  <si>
    <t>[8 - 9)</t>
  </si>
  <si>
    <t>Columna1</t>
  </si>
  <si>
    <t>Columna2</t>
  </si>
  <si>
    <t>Columna3</t>
  </si>
  <si>
    <t>Columna4</t>
  </si>
  <si>
    <t>Columna5</t>
  </si>
  <si>
    <t>Columna6</t>
  </si>
  <si>
    <t>Columna7</t>
  </si>
  <si>
    <t>Columna8</t>
  </si>
  <si>
    <t>Columna9</t>
  </si>
  <si>
    <t>Tipo de paciente</t>
  </si>
  <si>
    <t>(en blanco)</t>
  </si>
  <si>
    <t>Garrigues Langa,Juan</t>
  </si>
  <si>
    <t>Vidal Morant,Ángel Salvador</t>
  </si>
  <si>
    <t xml:space="preserve">Donat Canet,Rafael </t>
  </si>
  <si>
    <t>Verdejo Matrínez,José Manuel</t>
  </si>
  <si>
    <t>Jiménez  Gómez,Noel</t>
  </si>
  <si>
    <t>Gallego Hernández,Salvador</t>
  </si>
  <si>
    <t>Astilleros Jiménez,Jacinto</t>
  </si>
  <si>
    <t>Tormo Albert,Rafael</t>
  </si>
  <si>
    <t>Reina Pérez,Carlos</t>
  </si>
  <si>
    <t>Timoner Domingo,Pedro Enrique</t>
  </si>
  <si>
    <t>Gerona Torregrosa,Guillermo</t>
  </si>
  <si>
    <t>Valverde Quevedo,Manuel</t>
  </si>
  <si>
    <t>Sendín Guerrero,José</t>
  </si>
  <si>
    <t>Martínez Ibáñez,Valentín</t>
  </si>
  <si>
    <t>Ortell Renau,Miguel</t>
  </si>
  <si>
    <t>Duro  Moreno,Ramón</t>
  </si>
  <si>
    <t>Punzano Egea,Felipe</t>
  </si>
  <si>
    <t xml:space="preserve">Castro Soler,Rafael </t>
  </si>
  <si>
    <t>Soler Juan,Joaquín</t>
  </si>
  <si>
    <t>Cebriá  Gamón,Vicente</t>
  </si>
  <si>
    <t>Muñoz Fernández,Francisco</t>
  </si>
  <si>
    <t>Sánchez Castillo,José</t>
  </si>
  <si>
    <t>Felix Fontestad,Jesús</t>
  </si>
  <si>
    <t>García-Uceda Ruiz-Orejón,José</t>
  </si>
  <si>
    <t>Blasco  Calatayud,Josefa</t>
  </si>
  <si>
    <t>Palanca Pascual,Francisco</t>
  </si>
  <si>
    <t>Mitkov Rusev,Plamen</t>
  </si>
  <si>
    <t>Quintero Acosta,Miguel Ángel</t>
  </si>
  <si>
    <t>Urbán García,Alejandro</t>
  </si>
  <si>
    <t>Calvo Gómez,José</t>
  </si>
  <si>
    <t>Campos Rogel,Basilio</t>
  </si>
  <si>
    <t>Hueso  Borrego,Manuela</t>
  </si>
  <si>
    <t>Villar Marín,José</t>
  </si>
  <si>
    <t>Torres Oliver,Vicente</t>
  </si>
  <si>
    <t>Fernández Serrano,Juan Pedro</t>
  </si>
  <si>
    <t>Calero Serrano,Catalina</t>
  </si>
  <si>
    <t>Vercher Montañana,Ramón</t>
  </si>
  <si>
    <t>Casas Pérez,Gregorio</t>
  </si>
  <si>
    <t>García  Martí,Rafael</t>
  </si>
  <si>
    <t>Chust Piquer,Isabel</t>
  </si>
  <si>
    <t>Murciano Rodilla,Herlinda</t>
  </si>
  <si>
    <t>Ballester Noguera,José Vicente</t>
  </si>
  <si>
    <t>Cisne del Isaac,Jesús</t>
  </si>
  <si>
    <t>Cervera Ruiz,Antonio</t>
  </si>
  <si>
    <t>Giner Ortega,Francisca</t>
  </si>
  <si>
    <t>Catalán Pérez,Mónica</t>
  </si>
  <si>
    <t>Cano Esteban,Juana</t>
  </si>
  <si>
    <t>Peñarrocha Piqueras,Marcos Antonio</t>
  </si>
  <si>
    <t>Mariño San Martín,Maximino Andrés</t>
  </si>
  <si>
    <t>Collado Rodríguez,José Vicente</t>
  </si>
  <si>
    <t>Botella Crespo,José Manuel</t>
  </si>
  <si>
    <t>Argente Gomis,Juan</t>
  </si>
  <si>
    <t>Arroyo Porta,Adela</t>
  </si>
  <si>
    <t>Pastor Sánchez,Pascual</t>
  </si>
  <si>
    <t>Piorno Pérez,Ángel</t>
  </si>
  <si>
    <t>Gamiz Fos,M Carmen</t>
  </si>
  <si>
    <t>Cocera Martínez,Rogelio</t>
  </si>
  <si>
    <t>Fuster Tarrazo,Rosa María</t>
  </si>
  <si>
    <t>Pardo Serrano,M Carmen</t>
  </si>
  <si>
    <t>Rochina Herradón,Antonio</t>
  </si>
  <si>
    <t>Herrada Perona,Honorio</t>
  </si>
  <si>
    <t>Alberto Saiz,Pilar</t>
  </si>
  <si>
    <t>Oliva Moresi,Lorenzo</t>
  </si>
  <si>
    <t>Navarro Palanca,Vicenta</t>
  </si>
  <si>
    <t>Orallo Álvarez,Florentina</t>
  </si>
  <si>
    <t>Jiménez  Navarro,Milagros</t>
  </si>
  <si>
    <t>Galarza Perelló,María Dolores</t>
  </si>
  <si>
    <t>Martínez Soriano,Carmen</t>
  </si>
  <si>
    <t>Puchalt Rambla,Juan José</t>
  </si>
  <si>
    <t>Navarro Baixauli,Juan</t>
  </si>
  <si>
    <t>Natividad Gallego,Andrés</t>
  </si>
  <si>
    <t>Lozano Ramos,Miguel Ángel</t>
  </si>
  <si>
    <t>Navalón Defez,Javier</t>
  </si>
  <si>
    <t>Andreu Soñer,Paloma</t>
  </si>
  <si>
    <t>Torregrosa Valero,Diego</t>
  </si>
  <si>
    <t>Vicent Roig,Elvira</t>
  </si>
  <si>
    <t>Álvarez Ruiz,José</t>
  </si>
  <si>
    <t>Nadal Torralbo,David</t>
  </si>
  <si>
    <t>Peiró Feliu,Amadeo</t>
  </si>
  <si>
    <t>Gonzalez Climent,Javier</t>
  </si>
  <si>
    <t>Cuenca Puchalt,José Antonio</t>
  </si>
  <si>
    <t>Veliz Cadena,Marlon Omar</t>
  </si>
  <si>
    <t>Matute Tobias,Luis Javier</t>
  </si>
  <si>
    <t>Hlioui ,Hamid</t>
  </si>
  <si>
    <t>Pazmiño Manchón,Aaron Javier</t>
  </si>
  <si>
    <t>Jiménez  Ramos,Henderson Edin</t>
  </si>
  <si>
    <t>Mata Garrido,Marta</t>
  </si>
  <si>
    <t>Paraschiv ,Mihaela Florentina</t>
  </si>
  <si>
    <t>Khoshbekyan ,Poghos</t>
  </si>
  <si>
    <t>Boles Fernández,Alanna</t>
  </si>
  <si>
    <t>Camargo Monasterio,Marilin</t>
  </si>
  <si>
    <t>Prieto Bonora,Víctor</t>
  </si>
  <si>
    <t>Pérez Jiménez,Meritxell</t>
  </si>
  <si>
    <t>Delgado Jiménez,Javier</t>
  </si>
  <si>
    <t>Ortiz Robles,Javier</t>
  </si>
  <si>
    <t>Fengying ,Zheng</t>
  </si>
  <si>
    <t>Arocha Mejías,Caridad María</t>
  </si>
  <si>
    <t>Pedrón Caballero,Ángela</t>
  </si>
  <si>
    <t>Waqas ,Hoolain Fatima</t>
  </si>
  <si>
    <t>Patiño</t>
  </si>
  <si>
    <t>Dilatación biliar hepática</t>
  </si>
  <si>
    <t>Otro intervencionismo de diagnóstico de tórax</t>
  </si>
  <si>
    <t>Embolización de hemorragia digestiva baja. Procedimiento básico</t>
  </si>
  <si>
    <t>Embolización de hemorragia digestiva baja: Procedimiento básico</t>
  </si>
  <si>
    <t>Filtro de cava</t>
  </si>
  <si>
    <t>Estudio de fístula arteriovenosa hemodialisis</t>
  </si>
  <si>
    <t>Tratamiento endovascular estenosis oclusiva miembros superiores. Procedimiento basico</t>
  </si>
  <si>
    <t>Tratamiento endovascular estenosis oclusiva cava superior: Procedimiento básico</t>
  </si>
  <si>
    <t>Colocación de cáteter central con tracto subcutáneo</t>
  </si>
  <si>
    <t>Embolización de miomas uterinos: Procedimiento básico</t>
  </si>
  <si>
    <t>Tratamiento estenosis oclusiva cava superior: Procedimiento básico</t>
  </si>
  <si>
    <t>Embolización bronquial. Procedimiento básico</t>
  </si>
  <si>
    <t>Patiño Nieto,Donato</t>
  </si>
  <si>
    <t>Apuntado</t>
  </si>
  <si>
    <t>Si</t>
  </si>
  <si>
    <t>Tolosa</t>
  </si>
  <si>
    <t>Llanes Tolosa,Ramón</t>
  </si>
  <si>
    <t>Del Pueblo</t>
  </si>
  <si>
    <t>Gastrostomía percutánea</t>
  </si>
  <si>
    <t>Del Pueblo Nieto,Josefa</t>
  </si>
  <si>
    <t>Muñoz Hernández,Manuela</t>
  </si>
  <si>
    <t>Fernando</t>
  </si>
  <si>
    <t>Llorca</t>
  </si>
  <si>
    <t>Consuelo</t>
  </si>
  <si>
    <t>Lacomba</t>
  </si>
  <si>
    <t>Albalate</t>
  </si>
  <si>
    <t>López</t>
  </si>
  <si>
    <t>Lidia</t>
  </si>
  <si>
    <t>Bermúdez</t>
  </si>
  <si>
    <t>Bienvenido</t>
  </si>
  <si>
    <t>Lamallem</t>
  </si>
  <si>
    <t>Jamil</t>
  </si>
  <si>
    <t>Embolización pulmonar: Procedimiento básico</t>
  </si>
  <si>
    <t>Emma</t>
  </si>
  <si>
    <t>Edgar</t>
  </si>
  <si>
    <t>Esclerosis de cavidades</t>
  </si>
  <si>
    <t>Hurtado</t>
  </si>
  <si>
    <t>Pamies</t>
  </si>
  <si>
    <t>Ainara</t>
  </si>
  <si>
    <t>Oller</t>
  </si>
  <si>
    <t>Hugo</t>
  </si>
  <si>
    <t>Yuste</t>
  </si>
  <si>
    <t>Thiago</t>
  </si>
  <si>
    <t>Dilatación vía biliar</t>
  </si>
  <si>
    <t>Vera</t>
  </si>
  <si>
    <t>Domínguez</t>
  </si>
  <si>
    <t>Tratamiento intraarterial ictus isquémico</t>
  </si>
  <si>
    <t>Verdú</t>
  </si>
  <si>
    <t>Luis</t>
  </si>
  <si>
    <t>Sarrión</t>
  </si>
  <si>
    <t>Benito</t>
  </si>
  <si>
    <t>Regina</t>
  </si>
  <si>
    <t>Embolización hepática: Procedimiento básico</t>
  </si>
  <si>
    <t>Frías</t>
  </si>
  <si>
    <t>Toma de presiones: Manometría venosa</t>
  </si>
  <si>
    <t>Eritrema en piel</t>
  </si>
  <si>
    <t>Navarrete</t>
  </si>
  <si>
    <t>Cándido</t>
  </si>
  <si>
    <t>Conde</t>
  </si>
  <si>
    <t>Miguel Francisco</t>
  </si>
  <si>
    <t>Arteaga</t>
  </si>
  <si>
    <t>Piedrahita</t>
  </si>
  <si>
    <t>Dylan Adriy</t>
  </si>
  <si>
    <t>Núñez</t>
  </si>
  <si>
    <t>Rosa</t>
  </si>
  <si>
    <t>Cateterismo cardíaco</t>
  </si>
  <si>
    <t>Fernando Llorca,Consuelo</t>
  </si>
  <si>
    <t>Lacomba Albalate,José</t>
  </si>
  <si>
    <t>López Pardo,Lidia</t>
  </si>
  <si>
    <t>Fernández Bermúdez,Bienvenido</t>
  </si>
  <si>
    <t>Lamallem ,Jamil</t>
  </si>
  <si>
    <t>López Sánchez,Emma</t>
  </si>
  <si>
    <t>Rodríguez Hernández,Edgar</t>
  </si>
  <si>
    <t>Hurtado Pamies,Ainara</t>
  </si>
  <si>
    <t>García Oller,Hugo</t>
  </si>
  <si>
    <t>López Yuste,Thiago</t>
  </si>
  <si>
    <t>Vera Domínguez,Manuel</t>
  </si>
  <si>
    <t>Juan Verdú,Luis</t>
  </si>
  <si>
    <t>Sarrión Benito,Regina</t>
  </si>
  <si>
    <t>Frías Benito,Juan</t>
  </si>
  <si>
    <t>Peiró Navarrete,Cándido</t>
  </si>
  <si>
    <t>Blasco  López,Francisco</t>
  </si>
  <si>
    <t>Conde Conde,Miguel Francisco</t>
  </si>
  <si>
    <t>Arteaga Piedrahita,Dylan Adriy</t>
  </si>
  <si>
    <t>Núñez Ortiz,Rosa</t>
  </si>
  <si>
    <t>Cateterismo cardíaco pediátrico</t>
  </si>
  <si>
    <t>Estruch</t>
  </si>
  <si>
    <t>Ricardo</t>
  </si>
  <si>
    <t>Biopsia percutánea mediante ecografía</t>
  </si>
  <si>
    <t>Calabuig</t>
  </si>
  <si>
    <t>Eliduvina</t>
  </si>
  <si>
    <t>Burriel</t>
  </si>
  <si>
    <t>Herminio</t>
  </si>
  <si>
    <t>Poles</t>
  </si>
  <si>
    <t>María</t>
  </si>
  <si>
    <t>Cantos</t>
  </si>
  <si>
    <t>Mendoza</t>
  </si>
  <si>
    <t>Rubén</t>
  </si>
  <si>
    <t>Arteriografía por vía venosa pediátrica</t>
  </si>
  <si>
    <t>Peinado</t>
  </si>
  <si>
    <t>Castillejos</t>
  </si>
  <si>
    <t>Angiografía cerebral completa y selectiva pediátrica</t>
  </si>
  <si>
    <t>Tortosa</t>
  </si>
  <si>
    <t>Falah</t>
  </si>
  <si>
    <t>Reda</t>
  </si>
  <si>
    <t>NFHE_USCA_100</t>
  </si>
  <si>
    <t>Esteve</t>
  </si>
  <si>
    <t>Lucía</t>
  </si>
  <si>
    <t>Nevado</t>
  </si>
  <si>
    <t>Amorós</t>
  </si>
  <si>
    <t>Francis</t>
  </si>
  <si>
    <t>Ciochina</t>
  </si>
  <si>
    <t>Maya Paulina</t>
  </si>
  <si>
    <t>Colocación cáteter vena central sin tracto subcutáneo pediátrico</t>
  </si>
  <si>
    <t>Constinuc</t>
  </si>
  <si>
    <t>David Constanti</t>
  </si>
  <si>
    <t>Zambrano</t>
  </si>
  <si>
    <t>Mancebo</t>
  </si>
  <si>
    <t>Matos</t>
  </si>
  <si>
    <t>Junior</t>
  </si>
  <si>
    <t>Cobo</t>
  </si>
  <si>
    <t>Iván</t>
  </si>
  <si>
    <t>Cruz</t>
  </si>
  <si>
    <t>Bermell</t>
  </si>
  <si>
    <t>Villena</t>
  </si>
  <si>
    <t>Abadia</t>
  </si>
  <si>
    <t>Mario</t>
  </si>
  <si>
    <t>Morralla</t>
  </si>
  <si>
    <t>Dols</t>
  </si>
  <si>
    <t>Sonia</t>
  </si>
  <si>
    <t>Pons</t>
  </si>
  <si>
    <t>Pous</t>
  </si>
  <si>
    <t>Noa</t>
  </si>
  <si>
    <t>Molina</t>
  </si>
  <si>
    <t>Pavón</t>
  </si>
  <si>
    <t>Greus</t>
  </si>
  <si>
    <t>Gil</t>
  </si>
  <si>
    <t>Enrique</t>
  </si>
  <si>
    <t>Krasnoruzhskikh</t>
  </si>
  <si>
    <t>Sola</t>
  </si>
  <si>
    <t>Zoe</t>
  </si>
  <si>
    <t>Palomares</t>
  </si>
  <si>
    <t>Alex</t>
  </si>
  <si>
    <t>Parra</t>
  </si>
  <si>
    <t>Alba</t>
  </si>
  <si>
    <t>Arteriografía pélvica pediátrica</t>
  </si>
  <si>
    <t>Sebastiá</t>
  </si>
  <si>
    <t>Hussain</t>
  </si>
  <si>
    <t>Rumi</t>
  </si>
  <si>
    <t>Duval</t>
  </si>
  <si>
    <t>Montoya</t>
  </si>
  <si>
    <t>Jaqueline</t>
  </si>
  <si>
    <t>Otro intervencionismo diagnóstico de abdomen</t>
  </si>
  <si>
    <t>PDA fluoro (Gy·cm2)</t>
  </si>
  <si>
    <t>PDA total (Gy·cm2)</t>
  </si>
  <si>
    <t>Ferrus</t>
  </si>
  <si>
    <t>Laia</t>
  </si>
  <si>
    <t>Juana María</t>
  </si>
  <si>
    <t>Calderón</t>
  </si>
  <si>
    <t>Herás</t>
  </si>
  <si>
    <t>Zaira</t>
  </si>
  <si>
    <t>Técnicamente es menor de edad pero se le aplica el de adulto</t>
  </si>
  <si>
    <t>Abad</t>
  </si>
  <si>
    <t>Isla</t>
  </si>
  <si>
    <t>Azucena</t>
  </si>
  <si>
    <t>Sanchis</t>
  </si>
  <si>
    <t>Jaime</t>
  </si>
  <si>
    <t>Iranzo</t>
  </si>
  <si>
    <t>Anguis</t>
  </si>
  <si>
    <t>Alós</t>
  </si>
  <si>
    <t>Salcedo</t>
  </si>
  <si>
    <t>Santamaria</t>
  </si>
  <si>
    <t>Biot</t>
  </si>
  <si>
    <t>Viña</t>
  </si>
  <si>
    <t>Mila</t>
  </si>
  <si>
    <t>Piro</t>
  </si>
  <si>
    <t>Carrillo</t>
  </si>
  <si>
    <t>Tratamiento endovascular estenosis oclusivas en miembros inferiores</t>
  </si>
  <si>
    <t>Castillero</t>
  </si>
  <si>
    <t>Aliaga</t>
  </si>
  <si>
    <t>Bea</t>
  </si>
  <si>
    <t>Mª Pilar</t>
  </si>
  <si>
    <t>Rico</t>
  </si>
  <si>
    <t>Blasco</t>
  </si>
  <si>
    <t>Marc</t>
  </si>
  <si>
    <t>Amiryan</t>
  </si>
  <si>
    <t>Peña</t>
  </si>
  <si>
    <t>Sara</t>
  </si>
  <si>
    <t>Otras arteriografías pediátricas</t>
  </si>
  <si>
    <t>Arteriografía cerebral completa y selectiva pediátrica</t>
  </si>
  <si>
    <t>NHFE_USCA_100</t>
  </si>
  <si>
    <t>Berenguer</t>
  </si>
  <si>
    <t>Manzanera</t>
  </si>
  <si>
    <t>Paula</t>
  </si>
  <si>
    <t>Toboso</t>
  </si>
  <si>
    <t>Silvia</t>
  </si>
  <si>
    <t>Llopis</t>
  </si>
  <si>
    <t>Donaire</t>
  </si>
  <si>
    <t>Francisco José</t>
  </si>
  <si>
    <t>Ndumu</t>
  </si>
  <si>
    <t>Nseng</t>
  </si>
  <si>
    <t>Cristina</t>
  </si>
  <si>
    <t>Abbas</t>
  </si>
  <si>
    <t>Zamma</t>
  </si>
  <si>
    <t>Guzman</t>
  </si>
  <si>
    <t>Province</t>
  </si>
  <si>
    <t>Ayun</t>
  </si>
  <si>
    <t>Dilatación vía biliar pediátrica</t>
  </si>
  <si>
    <t>Osuna</t>
  </si>
  <si>
    <t>Degracia</t>
  </si>
  <si>
    <t>Calaforra</t>
  </si>
  <si>
    <t>Brisa</t>
  </si>
  <si>
    <t>José Luis</t>
  </si>
  <si>
    <t>No para catPED</t>
  </si>
  <si>
    <t>Ips</t>
  </si>
  <si>
    <t>Sepúlveda</t>
  </si>
  <si>
    <t>Boix</t>
  </si>
  <si>
    <t>Amparo</t>
  </si>
  <si>
    <t>Ya notificado</t>
  </si>
  <si>
    <t>En gris no se considera</t>
  </si>
  <si>
    <t>Pagán</t>
  </si>
  <si>
    <t>Claudio</t>
  </si>
  <si>
    <t>Drenaje biliar percutáneo con drenaje de stent</t>
  </si>
  <si>
    <t>Charfaoui</t>
  </si>
  <si>
    <t>Sofiane</t>
  </si>
  <si>
    <t>Moscardo</t>
  </si>
  <si>
    <t>Ignacio</t>
  </si>
  <si>
    <t>Notario</t>
  </si>
  <si>
    <t>Ballesteros</t>
  </si>
  <si>
    <t>Julián</t>
  </si>
  <si>
    <t>Dueñas</t>
  </si>
  <si>
    <t>Arteriografía de miembros inferiores</t>
  </si>
  <si>
    <t>Montalva</t>
  </si>
  <si>
    <t>Vizcaya</t>
  </si>
  <si>
    <t>Ebuka</t>
  </si>
  <si>
    <t>Marcelino</t>
  </si>
  <si>
    <t>Julia Caridad</t>
  </si>
  <si>
    <t>Drenaje percutáneo de abscesos y colecciones</t>
  </si>
  <si>
    <t>Morcillo</t>
  </si>
  <si>
    <t>Mora</t>
  </si>
  <si>
    <t>Kassouad</t>
  </si>
  <si>
    <t>Yasmine</t>
  </si>
  <si>
    <t>Drenaje percutáneo de abscesos y colecciones pediátrico</t>
  </si>
  <si>
    <t>Izquierdo</t>
  </si>
  <si>
    <t>Lluch</t>
  </si>
  <si>
    <t>Malena</t>
  </si>
  <si>
    <t>Rowland</t>
  </si>
  <si>
    <t>Elizabeth</t>
  </si>
  <si>
    <t>Monar</t>
  </si>
  <si>
    <t>Van Vliet</t>
  </si>
  <si>
    <t>Juana Andrea</t>
  </si>
  <si>
    <t>Lahuerta</t>
  </si>
  <si>
    <t>Tratamiento de lesiones vertebrales: Verteroplastia simple</t>
  </si>
  <si>
    <t>Zaragoza</t>
  </si>
  <si>
    <t>Tratamiento endovascular estenosis oclusiva cava inferior</t>
  </si>
  <si>
    <t>Morell</t>
  </si>
  <si>
    <t>Capellino</t>
  </si>
  <si>
    <t xml:space="preserve">José </t>
  </si>
  <si>
    <t>Goterris</t>
  </si>
  <si>
    <t>Triguero</t>
  </si>
  <si>
    <t>Adrián</t>
  </si>
  <si>
    <t>Gavrilas</t>
  </si>
  <si>
    <t>Alin Constantin</t>
  </si>
  <si>
    <t>Beltrán</t>
  </si>
  <si>
    <t>Arribas</t>
  </si>
  <si>
    <t>Mª Teresa</t>
  </si>
  <si>
    <t>Cristian</t>
  </si>
  <si>
    <t>Tratamiento de lesiones vertebrales: Verteroplastia asistida por stent</t>
  </si>
  <si>
    <t>Frau</t>
  </si>
  <si>
    <t>Segarra</t>
  </si>
  <si>
    <t>Gutiérrez</t>
  </si>
  <si>
    <t>Duero</t>
  </si>
  <si>
    <t>Sahakyan</t>
  </si>
  <si>
    <t>Grigor</t>
  </si>
  <si>
    <t>Sanchez</t>
  </si>
  <si>
    <t>Plumed</t>
  </si>
  <si>
    <t>Antonia</t>
  </si>
  <si>
    <t>Cantero</t>
  </si>
  <si>
    <t>Alfonso</t>
  </si>
  <si>
    <t>Basterra</t>
  </si>
  <si>
    <t>Montserrat</t>
  </si>
  <si>
    <t>Samuel</t>
  </si>
  <si>
    <t>Serrador</t>
  </si>
  <si>
    <t>Armando</t>
  </si>
  <si>
    <t>Roger</t>
  </si>
  <si>
    <t>José Miguel</t>
  </si>
  <si>
    <t>Coll</t>
  </si>
  <si>
    <t>Hilario</t>
  </si>
  <si>
    <t>Maria Carmen</t>
  </si>
  <si>
    <t>Bosch</t>
  </si>
  <si>
    <t>Bueno</t>
  </si>
  <si>
    <t>Alfredo Manuel</t>
  </si>
  <si>
    <t>Gorostola</t>
  </si>
  <si>
    <t>Covelo</t>
  </si>
  <si>
    <t>Zafra</t>
  </si>
  <si>
    <t>Carrascosa</t>
  </si>
  <si>
    <t>Ases</t>
  </si>
  <si>
    <t>M Dolores Remedios</t>
  </si>
  <si>
    <t>Quesada</t>
  </si>
  <si>
    <t>Ruano</t>
  </si>
  <si>
    <t>Ana</t>
  </si>
  <si>
    <t>Lacruz</t>
  </si>
  <si>
    <t>Zamora</t>
  </si>
  <si>
    <t>Campillo</t>
  </si>
  <si>
    <t>Noelia</t>
  </si>
  <si>
    <t>Inmaculada</t>
  </si>
  <si>
    <t>Balaguer</t>
  </si>
  <si>
    <t>Barber</t>
  </si>
  <si>
    <t>Annelise</t>
  </si>
  <si>
    <t>Colocación cáteter vena central con tracto subcutáneo pediátrico</t>
  </si>
  <si>
    <t>Alabajos</t>
  </si>
  <si>
    <t>Sofía</t>
  </si>
  <si>
    <t>Giménez</t>
  </si>
  <si>
    <t>Antonio José</t>
  </si>
  <si>
    <t>Embolización en otros territorios venosos</t>
  </si>
  <si>
    <t>Davalillo</t>
  </si>
  <si>
    <t>Simó</t>
  </si>
  <si>
    <t>Alicia</t>
  </si>
  <si>
    <t>Embolización de aneurismas arteriales</t>
  </si>
  <si>
    <t>Ávila</t>
  </si>
  <si>
    <t>Luisa</t>
  </si>
  <si>
    <t>Otras arteriografías</t>
  </si>
  <si>
    <t>Dehond</t>
  </si>
  <si>
    <t>Hans Agustinus B</t>
  </si>
  <si>
    <t>Bernes</t>
  </si>
  <si>
    <t>Mª José</t>
  </si>
  <si>
    <t>Angiografía cerebral completa y selectiva</t>
  </si>
  <si>
    <t>Jodar</t>
  </si>
  <si>
    <t>Samper</t>
  </si>
  <si>
    <t>Conca</t>
  </si>
  <si>
    <t>Josep</t>
  </si>
  <si>
    <t>Díaz</t>
  </si>
  <si>
    <t>Monedero</t>
  </si>
  <si>
    <t>Encarnación</t>
  </si>
  <si>
    <t>Drenaje biliar percutáneo</t>
  </si>
  <si>
    <t>Redondo</t>
  </si>
  <si>
    <t>Pedro</t>
  </si>
  <si>
    <t>Tratamiento estenosis oclusiva troncos viscerales digestivos</t>
  </si>
  <si>
    <t>Sapiña</t>
  </si>
  <si>
    <t>Fuertes</t>
  </si>
  <si>
    <t>Tratamiento endovascular estenosis oclusivas en miembros superiores</t>
  </si>
  <si>
    <t>Ferrer</t>
  </si>
  <si>
    <t>Santiago</t>
  </si>
  <si>
    <t>Drenaje biliar percutáneo con implante de stent</t>
  </si>
  <si>
    <t>Corchado</t>
  </si>
  <si>
    <t>Omary</t>
  </si>
  <si>
    <t>Rayan</t>
  </si>
  <si>
    <t>Bernal</t>
  </si>
  <si>
    <t>Pacheco</t>
  </si>
  <si>
    <t>Cortés</t>
  </si>
  <si>
    <t>Vilar</t>
  </si>
  <si>
    <t>Carles</t>
  </si>
  <si>
    <t>Zhu</t>
  </si>
  <si>
    <t>David Weimin</t>
  </si>
  <si>
    <t>Beatriz Insa</t>
  </si>
  <si>
    <t>Marquez</t>
  </si>
  <si>
    <t>Heredia</t>
  </si>
  <si>
    <t>Tonet</t>
  </si>
  <si>
    <t>Gomez</t>
  </si>
  <si>
    <t>Zambrana</t>
  </si>
  <si>
    <t>Se trata como adulto</t>
  </si>
  <si>
    <t>Sastre</t>
  </si>
  <si>
    <t>Bay</t>
  </si>
  <si>
    <t>Juan Carlos</t>
  </si>
  <si>
    <t>Juan Fran</t>
  </si>
  <si>
    <t>Embolización de hemorragia digestiva baja</t>
  </si>
  <si>
    <t>Escrivá</t>
  </si>
  <si>
    <t>Faus</t>
  </si>
  <si>
    <t>José Ramón</t>
  </si>
  <si>
    <t>Tiene otra exploración el 9/2/21 en AlluraXper SVD10_XA_01 también Quimioembolización hepática pero no hay informe de dosis</t>
  </si>
  <si>
    <t>Peñalver</t>
  </si>
  <si>
    <t>Jana</t>
  </si>
  <si>
    <t>ips</t>
  </si>
  <si>
    <t>PDA expo (Gy·cm2)</t>
  </si>
  <si>
    <t>Inicial</t>
  </si>
  <si>
    <t>Kerma (mGy)</t>
  </si>
  <si>
    <t>Reducción (%)</t>
  </si>
  <si>
    <t>Hoja actual</t>
  </si>
  <si>
    <t>Hoja de datos</t>
  </si>
  <si>
    <t>Graficas</t>
  </si>
  <si>
    <t>Datos</t>
  </si>
  <si>
    <t>Kerma (Gy)</t>
  </si>
  <si>
    <t>&lt;20</t>
  </si>
  <si>
    <t>[20-50)</t>
  </si>
  <si>
    <t>[50-100)</t>
  </si>
  <si>
    <t>[100-250)</t>
  </si>
  <si>
    <t>[250-500)</t>
  </si>
  <si>
    <t>[500-1000)</t>
  </si>
  <si>
    <t>[1000-2000)</t>
  </si>
  <si>
    <t>[2000-3000)</t>
  </si>
  <si>
    <t>&gt;=3000</t>
  </si>
  <si>
    <t>Intervención</t>
  </si>
  <si>
    <t>Belenguer</t>
  </si>
  <si>
    <t>Morales</t>
  </si>
  <si>
    <t>PACS</t>
  </si>
  <si>
    <t>Outlook</t>
  </si>
  <si>
    <t>Edad</t>
  </si>
  <si>
    <t>Edad de las intervenciones</t>
  </si>
  <si>
    <t>Es mejor indicador el PDA normalizado al peso</t>
  </si>
  <si>
    <t>[1-2)</t>
  </si>
  <si>
    <t>[2-4)</t>
  </si>
  <si>
    <t>[4-6)</t>
  </si>
  <si>
    <t>[6-8)</t>
  </si>
  <si>
    <t>[8-10)</t>
  </si>
  <si>
    <t>[10-12)</t>
  </si>
  <si>
    <t>[12-16)</t>
  </si>
  <si>
    <t>[16-18)</t>
  </si>
  <si>
    <t>&gt;=18</t>
  </si>
  <si>
    <t>&lt;1</t>
  </si>
  <si>
    <t>Kerma &gt; 3 Gy</t>
  </si>
  <si>
    <t>Kerma  [1,2) Gy</t>
  </si>
  <si>
    <t>Kerma [2,3) Gy</t>
  </si>
  <si>
    <t>Cuentas: Todo kerma</t>
  </si>
  <si>
    <t xml:space="preserve">Mirar de hacer una gráfica de cajas y bigotes para reducción dosis - edad en histograma </t>
  </si>
  <si>
    <t>Peso (kg)</t>
  </si>
  <si>
    <t>Llombart</t>
  </si>
  <si>
    <t>Bellver</t>
  </si>
  <si>
    <t>Gimenez</t>
  </si>
  <si>
    <t>Salazar</t>
  </si>
  <si>
    <t>Carmona</t>
  </si>
  <si>
    <t>Tarrazona</t>
  </si>
  <si>
    <t>Chover</t>
  </si>
  <si>
    <t>Graf</t>
  </si>
  <si>
    <t>Mateu</t>
  </si>
  <si>
    <t>Yahaya</t>
  </si>
  <si>
    <t>Khairullamirin Bin</t>
  </si>
  <si>
    <t>Embolización de grandes vasos</t>
  </si>
  <si>
    <t>Fornás</t>
  </si>
  <si>
    <t>Eduardo José</t>
  </si>
  <si>
    <t>Laserna</t>
  </si>
  <si>
    <t>M Catalina</t>
  </si>
  <si>
    <t>Gastroyeyunostomía percutánea</t>
  </si>
  <si>
    <t>Escudero</t>
  </si>
  <si>
    <t>Zalve</t>
  </si>
  <si>
    <t>M Imperio</t>
  </si>
  <si>
    <t>Slomik</t>
  </si>
  <si>
    <t>Kristof</t>
  </si>
  <si>
    <t>Paredes</t>
  </si>
  <si>
    <t>Adelina</t>
  </si>
  <si>
    <t>Sales</t>
  </si>
  <si>
    <t>Doñate</t>
  </si>
  <si>
    <t>Ángel José</t>
  </si>
  <si>
    <t>Biopsia transyugular hepática</t>
  </si>
  <si>
    <t>Simo</t>
  </si>
  <si>
    <t>Barrajon</t>
  </si>
  <si>
    <t>Maria Virginia</t>
  </si>
  <si>
    <t>Peris</t>
  </si>
  <si>
    <t>Ponce</t>
  </si>
  <si>
    <t>Aranda</t>
  </si>
  <si>
    <t>Urban</t>
  </si>
  <si>
    <t>Martinez</t>
  </si>
  <si>
    <t>M Ángeles</t>
  </si>
  <si>
    <t>Flebo ms</t>
  </si>
  <si>
    <t>San Ramón</t>
  </si>
  <si>
    <t>Jose Raul</t>
  </si>
  <si>
    <t>Tratamiento de hernias discales por láser</t>
  </si>
  <si>
    <t>Carbonell</t>
  </si>
  <si>
    <t>Lázaro</t>
  </si>
  <si>
    <t>Alacreu</t>
  </si>
  <si>
    <t>Bellveser</t>
  </si>
  <si>
    <t>Icardo</t>
  </si>
  <si>
    <t>Jorge Arturo</t>
  </si>
  <si>
    <t>Lopez</t>
  </si>
  <si>
    <t>Teresa</t>
  </si>
  <si>
    <t>Garcia</t>
  </si>
  <si>
    <t>Primitivo</t>
  </si>
  <si>
    <t>San Bautista</t>
  </si>
  <si>
    <t>Juan Bautista</t>
  </si>
  <si>
    <t>Marco</t>
  </si>
  <si>
    <t>Jose Manuel</t>
  </si>
  <si>
    <t>Soria</t>
  </si>
  <si>
    <t>Nieto-Guerrero</t>
  </si>
  <si>
    <t>Inmaculada Concepcion</t>
  </si>
  <si>
    <t>Amber</t>
  </si>
  <si>
    <t>Josefina</t>
  </si>
  <si>
    <t>Espinos</t>
  </si>
  <si>
    <t>Canos</t>
  </si>
  <si>
    <t>Quitian</t>
  </si>
  <si>
    <t>Blanco</t>
  </si>
  <si>
    <t>Mª Ángeles</t>
  </si>
  <si>
    <t>Duro</t>
  </si>
  <si>
    <t>Baeza</t>
  </si>
  <si>
    <t>Victor Manuel</t>
  </si>
  <si>
    <t>Herraiz</t>
  </si>
  <si>
    <t>Lisarde</t>
  </si>
  <si>
    <t>Valles</t>
  </si>
  <si>
    <t>Nahia</t>
  </si>
  <si>
    <t>Plaza</t>
  </si>
  <si>
    <t>Lluesma</t>
  </si>
  <si>
    <t>Florencio</t>
  </si>
  <si>
    <t>Ablación tumoral</t>
  </si>
  <si>
    <t>Mateo</t>
  </si>
  <si>
    <t>Velazquez</t>
  </si>
  <si>
    <t>Jose</t>
  </si>
  <si>
    <t>Costa</t>
  </si>
  <si>
    <t>Blanch</t>
  </si>
  <si>
    <t>Francisco Antonio</t>
  </si>
  <si>
    <t>Colocación del catéter venoso central con reservorio subcutáneo</t>
  </si>
  <si>
    <t>Zacares</t>
  </si>
  <si>
    <t>Real</t>
  </si>
  <si>
    <t>Mª Amparo</t>
  </si>
  <si>
    <t>Infiltración auricular</t>
  </si>
  <si>
    <t>San Esteban</t>
  </si>
  <si>
    <t>Perez</t>
  </si>
  <si>
    <t>Vicente Rafael</t>
  </si>
  <si>
    <t>Romero</t>
  </si>
  <si>
    <t>Pinter</t>
  </si>
  <si>
    <t>Pla</t>
  </si>
  <si>
    <t>Victoria</t>
  </si>
  <si>
    <t>Miranda</t>
  </si>
  <si>
    <t>Andres Mauricio</t>
  </si>
  <si>
    <t>Fernandez</t>
  </si>
  <si>
    <t>Bautista</t>
  </si>
  <si>
    <t>Andres</t>
  </si>
  <si>
    <t>Ros</t>
  </si>
  <si>
    <t>Tratamiento endovascular de aneurisma de aorta abdominal</t>
  </si>
  <si>
    <t>Tratamiento endovascular de fístulas de hemodiálisis</t>
  </si>
  <si>
    <t>Tratamiento de lesiones vertebrales. Verteoplastia simple</t>
  </si>
  <si>
    <t>Parrizas</t>
  </si>
  <si>
    <t>Clemente</t>
  </si>
  <si>
    <t>Juárez</t>
  </si>
  <si>
    <t>Puerto</t>
  </si>
  <si>
    <t>Rafael Antonio</t>
  </si>
  <si>
    <t>Polit</t>
  </si>
  <si>
    <t>Tarazona</t>
  </si>
  <si>
    <t>Desamparados</t>
  </si>
  <si>
    <t>Colocación cateter central con tracto subcutáneo</t>
  </si>
  <si>
    <t>Colocación cateter central con tracto subcutaneo + tto endov esten oclu cava sup (no imagenes)</t>
  </si>
  <si>
    <t>Colangiografía percutánea</t>
  </si>
  <si>
    <t>Mateos</t>
  </si>
  <si>
    <t>Barrachina</t>
  </si>
  <si>
    <t>Sendra</t>
  </si>
  <si>
    <t>Fillol</t>
  </si>
  <si>
    <t>Gabaldón</t>
  </si>
  <si>
    <t>Tratamiendo endovascular en fístulas de hemodiálisis</t>
  </si>
  <si>
    <t>Ivars</t>
  </si>
  <si>
    <t>Villalonga</t>
  </si>
  <si>
    <t>José María</t>
  </si>
  <si>
    <t>Palau</t>
  </si>
  <si>
    <t>Subies</t>
  </si>
  <si>
    <t>Juan Antonio</t>
  </si>
  <si>
    <t>Dorado</t>
  </si>
  <si>
    <t>Cuevas</t>
  </si>
  <si>
    <t>Iznardo</t>
  </si>
  <si>
    <t>Olivert</t>
  </si>
  <si>
    <t>Cambero</t>
  </si>
  <si>
    <t>Veintimilla</t>
  </si>
  <si>
    <t>Albero</t>
  </si>
  <si>
    <t>Cristóbal</t>
  </si>
  <si>
    <t>Magdalena</t>
  </si>
  <si>
    <t>Abrego</t>
  </si>
  <si>
    <t>Brito</t>
  </si>
  <si>
    <t>Francisco Javier</t>
  </si>
  <si>
    <t>Figuerola</t>
  </si>
  <si>
    <t>Manuel Fernando</t>
  </si>
  <si>
    <t>Colocación del catéter venoso central con tracto subcutáneo</t>
  </si>
  <si>
    <t>Sempere</t>
  </si>
  <si>
    <t>Gloria</t>
  </si>
  <si>
    <t>Lorenzana</t>
  </si>
  <si>
    <t>Emilio Ernesto</t>
  </si>
  <si>
    <t>Control catéter venoso central</t>
  </si>
  <si>
    <t>M Desamparados</t>
  </si>
  <si>
    <t>Rubio</t>
  </si>
  <si>
    <t>Extracción filtro de cava</t>
  </si>
  <si>
    <t>Drago</t>
  </si>
  <si>
    <t>Benot</t>
  </si>
  <si>
    <t>Sanmartín</t>
  </si>
  <si>
    <t>Stoykov</t>
  </si>
  <si>
    <t>Viktor Stoynev</t>
  </si>
  <si>
    <t>Tratamiento estenosis oclusiva sector femoral pop</t>
  </si>
  <si>
    <t>Riera</t>
  </si>
  <si>
    <t>Tratamiento estenosis oclusiva otras arterias</t>
  </si>
  <si>
    <t>Cabello</t>
  </si>
  <si>
    <t>José Roberto</t>
  </si>
  <si>
    <t>Suárez</t>
  </si>
  <si>
    <t>Rosa, de la</t>
  </si>
  <si>
    <t>Raul</t>
  </si>
  <si>
    <t>Martín</t>
  </si>
  <si>
    <t>Arias</t>
  </si>
  <si>
    <t>Victoriana</t>
  </si>
  <si>
    <t>Marcos</t>
  </si>
  <si>
    <t>Jovita</t>
  </si>
  <si>
    <t>Bustos</t>
  </si>
  <si>
    <t>Tratamiento endovascular estenosis oclusiva en miembros inferiores</t>
  </si>
  <si>
    <t>Benitez</t>
  </si>
  <si>
    <t>Rebolledo</t>
  </si>
  <si>
    <t>Tudela</t>
  </si>
  <si>
    <t xml:space="preserve">Amber </t>
  </si>
  <si>
    <t>Control cateter de drenaje</t>
  </si>
  <si>
    <t>Drenaje biliar percneo con implante de stent</t>
  </si>
  <si>
    <t>Adulto</t>
  </si>
  <si>
    <t xml:space="preserve">Barbera </t>
  </si>
  <si>
    <t>Ibañez</t>
  </si>
  <si>
    <t>Valeriano</t>
  </si>
  <si>
    <t>Drenaje Biliar Percneo interno externo</t>
  </si>
  <si>
    <t>Bañuls</t>
  </si>
  <si>
    <t xml:space="preserve">Bosch </t>
  </si>
  <si>
    <t>Gail</t>
  </si>
  <si>
    <t>Ruben</t>
  </si>
  <si>
    <t>Embo en ot territ vens proc basic</t>
  </si>
  <si>
    <t>Moya</t>
  </si>
  <si>
    <t>Francisco Manuel</t>
  </si>
  <si>
    <t>Coloc cateter ven central con reservorio subcutaneo</t>
  </si>
  <si>
    <t>Sarralde</t>
  </si>
  <si>
    <t>TTO endov esten oclu en mms proc basic</t>
  </si>
  <si>
    <t>Flores</t>
  </si>
  <si>
    <t>Jose Luis</t>
  </si>
  <si>
    <t>TTO esten oclu sector iliaco porc basic</t>
  </si>
  <si>
    <t>Alemany</t>
  </si>
  <si>
    <t>TTO endov esten oclu en arts pulms proc basic</t>
  </si>
  <si>
    <t>Pediátrico</t>
  </si>
  <si>
    <t>Gonzales</t>
  </si>
  <si>
    <t>Oscar</t>
  </si>
  <si>
    <t>Colocación cateter vena central con reservorio subcutaneo</t>
  </si>
  <si>
    <t>Ascension</t>
  </si>
  <si>
    <t>Coloc cateter ven central con tracto subcutaneo</t>
  </si>
  <si>
    <t xml:space="preserve">Garcia </t>
  </si>
  <si>
    <t>Aurelio</t>
  </si>
  <si>
    <t>Arteriografia de MMII</t>
  </si>
  <si>
    <t xml:space="preserve">Eduardo </t>
  </si>
  <si>
    <t>Gozalvez</t>
  </si>
  <si>
    <t>Iluminada</t>
  </si>
  <si>
    <t>Embo bronquial proc basic</t>
  </si>
  <si>
    <t>Graupner</t>
  </si>
  <si>
    <t>Cligny</t>
  </si>
  <si>
    <t>Josiane annick</t>
  </si>
  <si>
    <t>Sin datos</t>
  </si>
  <si>
    <t>Josiane Annick</t>
  </si>
  <si>
    <t>Embo de Hemorraj dig alta proc basic</t>
  </si>
  <si>
    <t>Guirao</t>
  </si>
  <si>
    <t>Roncero</t>
  </si>
  <si>
    <t>Control cateter ven central</t>
  </si>
  <si>
    <t>Kharla</t>
  </si>
  <si>
    <t>Dmytro</t>
  </si>
  <si>
    <t>TTO esten oclu arteria renal proc basic</t>
  </si>
  <si>
    <t>Tarin</t>
  </si>
  <si>
    <t>Arteriografia pelvica</t>
  </si>
  <si>
    <t>Moyano</t>
  </si>
  <si>
    <t>Palenzuela</t>
  </si>
  <si>
    <t>Lucia</t>
  </si>
  <si>
    <t>Nebot</t>
  </si>
  <si>
    <t>Jose Vicente</t>
  </si>
  <si>
    <t>TTO esten oclu otras arts prco basic</t>
  </si>
  <si>
    <t xml:space="preserve">Nebot </t>
  </si>
  <si>
    <t>TTO endov esten oclu en injtos vases proc basic</t>
  </si>
  <si>
    <t>Kerma en aire acumulada (Gy)</t>
  </si>
  <si>
    <t>Ormad</t>
  </si>
  <si>
    <t>Pina</t>
  </si>
  <si>
    <t>Patricia</t>
  </si>
  <si>
    <t>Embo otras hemrrajs proc basic</t>
  </si>
  <si>
    <t>Paixa</t>
  </si>
  <si>
    <t>Trulla</t>
  </si>
  <si>
    <t>Toma de presiones manometria ven</t>
  </si>
  <si>
    <t>Falta mirarlo. No acceso</t>
  </si>
  <si>
    <t>Drenaje biliar percneo interno externo</t>
  </si>
  <si>
    <t>Priego</t>
  </si>
  <si>
    <t>Panadero</t>
  </si>
  <si>
    <t>Maria</t>
  </si>
  <si>
    <t>Santafe</t>
  </si>
  <si>
    <t>Galindo</t>
  </si>
  <si>
    <t>Ramiro</t>
  </si>
  <si>
    <t>Embo otras hermorrajs proc basic</t>
  </si>
  <si>
    <t>Suñer</t>
  </si>
  <si>
    <t>Hostalot</t>
  </si>
  <si>
    <t>Yeste</t>
  </si>
  <si>
    <t>M Blanca</t>
  </si>
  <si>
    <t>Olmos</t>
  </si>
  <si>
    <t>Cabanes</t>
  </si>
  <si>
    <t>Rafael Miguel</t>
  </si>
  <si>
    <t>Bernat</t>
  </si>
  <si>
    <t>Colocación catéter vena central con reservorio subcutáneo</t>
  </si>
  <si>
    <t>Planells</t>
  </si>
  <si>
    <t>Evaristo</t>
  </si>
  <si>
    <t>Torrijo</t>
  </si>
  <si>
    <t>Melendez</t>
  </si>
  <si>
    <t>Maria Jose</t>
  </si>
  <si>
    <t>Tto endov esten oclu en mmii proc basic</t>
  </si>
  <si>
    <t>Adria</t>
  </si>
  <si>
    <t>Peiro</t>
  </si>
  <si>
    <t>Tto esten oclu sector fem pop proc basic</t>
  </si>
  <si>
    <t>Montes</t>
  </si>
  <si>
    <t>Eloina</t>
  </si>
  <si>
    <t>Casado</t>
  </si>
  <si>
    <t>Ricard Vicent</t>
  </si>
  <si>
    <t>Arilla</t>
  </si>
  <si>
    <t>Agorriz</t>
  </si>
  <si>
    <t>Elias</t>
  </si>
  <si>
    <t>Flebo y manometria de shunt portocava percneo tips revisión</t>
  </si>
  <si>
    <t>Montero</t>
  </si>
  <si>
    <t>Villanueva</t>
  </si>
  <si>
    <t>No tiene</t>
  </si>
  <si>
    <t>Ojeda</t>
  </si>
  <si>
    <t>Colocación catéter vena central sin tracto subcutáneo</t>
  </si>
  <si>
    <t>Beltran</t>
  </si>
  <si>
    <t>M Teresa</t>
  </si>
  <si>
    <t>Drenaje pérneo de abscesos y colecciones</t>
  </si>
  <si>
    <t>Iris</t>
  </si>
  <si>
    <t>Romeo</t>
  </si>
  <si>
    <t>Emilia</t>
  </si>
  <si>
    <t>Control catéter drenaje.</t>
  </si>
  <si>
    <t>Arnal</t>
  </si>
  <si>
    <t>Fentanes</t>
  </si>
  <si>
    <t>Sena</t>
  </si>
  <si>
    <t>Penella</t>
  </si>
  <si>
    <t>Maria Vicenta</t>
  </si>
  <si>
    <t>Infiltración articular</t>
  </si>
  <si>
    <t>Colocación catéter vena central con tracto subcutáneo</t>
  </si>
  <si>
    <t>Escriche</t>
  </si>
  <si>
    <t>Rosalia</t>
  </si>
  <si>
    <t>Safont</t>
  </si>
  <si>
    <t>Guadas</t>
  </si>
  <si>
    <t>Sanz</t>
  </si>
  <si>
    <t xml:space="preserve">Pedro </t>
  </si>
  <si>
    <t>Montoro</t>
  </si>
  <si>
    <t>Latorre</t>
  </si>
  <si>
    <t>Maria Isabel</t>
  </si>
  <si>
    <t>Control catéter de drenaje</t>
  </si>
  <si>
    <t>Acedo</t>
  </si>
  <si>
    <t>Guerra</t>
  </si>
  <si>
    <t>Mercedes</t>
  </si>
  <si>
    <t>Flebo MI</t>
  </si>
  <si>
    <t>Flebo MS</t>
  </si>
  <si>
    <t>Iglesias</t>
  </si>
  <si>
    <t>Jose M</t>
  </si>
  <si>
    <t>Lanzas</t>
  </si>
  <si>
    <t>Alfonso Javier</t>
  </si>
  <si>
    <t>Zazo</t>
  </si>
  <si>
    <t>Arteriografia pulmonar</t>
  </si>
  <si>
    <t>Arteriografia tronc visc dig</t>
  </si>
  <si>
    <t>Galvez</t>
  </si>
  <si>
    <t>Guillen</t>
  </si>
  <si>
    <t>Augustin</t>
  </si>
  <si>
    <t>Brisach</t>
  </si>
  <si>
    <t>Joaquin VTE</t>
  </si>
  <si>
    <t>Montoliu</t>
  </si>
  <si>
    <t>Drenaje biliar pércneo con implante de stent</t>
  </si>
  <si>
    <t>Chirivella</t>
  </si>
  <si>
    <t>Asins</t>
  </si>
  <si>
    <t>Salvadora</t>
  </si>
  <si>
    <t>Paz Luisa</t>
  </si>
  <si>
    <t>Angel</t>
  </si>
  <si>
    <t>Gastrotomia percutánea</t>
  </si>
  <si>
    <t>Aracil</t>
  </si>
  <si>
    <t>Viana</t>
  </si>
  <si>
    <t>Jose Francisco</t>
  </si>
  <si>
    <t>Joaquin Vte</t>
  </si>
  <si>
    <t>Tto esten oclu arteria renal proc basic</t>
  </si>
  <si>
    <t>Manuel Damian</t>
  </si>
  <si>
    <t>Embo esplenica proc basic</t>
  </si>
  <si>
    <t>Lucan</t>
  </si>
  <si>
    <t>Marti</t>
  </si>
  <si>
    <t>Cortes</t>
  </si>
  <si>
    <t>Marques</t>
  </si>
  <si>
    <t>Jorge</t>
  </si>
  <si>
    <t>Colocación catéter en vena central con tracto subcutáneo</t>
  </si>
  <si>
    <t>Anton</t>
  </si>
  <si>
    <t>Elena</t>
  </si>
  <si>
    <t>Alcalde</t>
  </si>
  <si>
    <t>M Cristina</t>
  </si>
  <si>
    <t>Moron</t>
  </si>
  <si>
    <t xml:space="preserve">Benedicto </t>
  </si>
  <si>
    <t>Tena</t>
  </si>
  <si>
    <t>Cristobal</t>
  </si>
  <si>
    <t>Hernandez</t>
  </si>
  <si>
    <t>Diaz</t>
  </si>
  <si>
    <t>Beatriz</t>
  </si>
  <si>
    <t>Tto de lnes vertebrales. Vertebroblastia simple.</t>
  </si>
  <si>
    <t xml:space="preserve">Esteban </t>
  </si>
  <si>
    <t>Sarmiento</t>
  </si>
  <si>
    <t>Valenzuela</t>
  </si>
  <si>
    <t>Arteriografía pulmonar</t>
  </si>
  <si>
    <t>Koppers</t>
  </si>
  <si>
    <t>Cornelis Simon Mari</t>
  </si>
  <si>
    <t>Sierra</t>
  </si>
  <si>
    <t>Benavent</t>
  </si>
  <si>
    <t xml:space="preserve">Piñero </t>
  </si>
  <si>
    <t>Colocación de catéter en vena central con tracto subcutáneo</t>
  </si>
  <si>
    <t>Ramirez</t>
  </si>
  <si>
    <t>Alvarez</t>
  </si>
  <si>
    <t>Murgui</t>
  </si>
  <si>
    <t>Contreras</t>
  </si>
  <si>
    <t>Maria Elena</t>
  </si>
  <si>
    <t>Muria</t>
  </si>
  <si>
    <t>Biosca</t>
  </si>
  <si>
    <t>Dybizbanski</t>
  </si>
  <si>
    <t>Gabriele</t>
  </si>
  <si>
    <t>Tto endov esten oclu en mmss proc basic</t>
  </si>
  <si>
    <t>Pozo del Jerico</t>
  </si>
  <si>
    <t>Arteriografía de MMII</t>
  </si>
  <si>
    <t>Huesca</t>
  </si>
  <si>
    <t>Castello</t>
  </si>
  <si>
    <t>Dilatación via biliar</t>
  </si>
  <si>
    <t>Mico</t>
  </si>
  <si>
    <t>Benaches</t>
  </si>
  <si>
    <t>Tto de lnes vertebrales. Kifoplastia</t>
  </si>
  <si>
    <t>Drenaje biliar pércneo interno externo</t>
  </si>
  <si>
    <t>Roca</t>
  </si>
  <si>
    <t>Julve</t>
  </si>
  <si>
    <t>Francisco Juan</t>
  </si>
  <si>
    <t>Juan Vicente</t>
  </si>
  <si>
    <t>Maria Maximina</t>
  </si>
  <si>
    <t>Zabaleta</t>
  </si>
  <si>
    <t>Colocación de catéter en vena central con reservorio subcutáneo</t>
  </si>
  <si>
    <t>Rogers</t>
  </si>
  <si>
    <t>Robert Janes</t>
  </si>
  <si>
    <t>Maria Cristina</t>
  </si>
  <si>
    <t>Linfografía</t>
  </si>
  <si>
    <t>Chobanyan</t>
  </si>
  <si>
    <t>Hranush</t>
  </si>
  <si>
    <t>Robla</t>
  </si>
  <si>
    <t>Segovia</t>
  </si>
  <si>
    <t>Gallardo</t>
  </si>
  <si>
    <t>Audlto</t>
  </si>
  <si>
    <t>Control de catéter en vena central</t>
  </si>
  <si>
    <t>Control de catéter de drenaje</t>
  </si>
  <si>
    <t>Belda</t>
  </si>
  <si>
    <t>Jose Enrique</t>
  </si>
  <si>
    <t>Colocación de catéter en vena centra con tracto subcutáneo</t>
  </si>
  <si>
    <t>Monterde</t>
  </si>
  <si>
    <t>Maria del Mar</t>
  </si>
  <si>
    <t>No hay</t>
  </si>
  <si>
    <t>Chaparro</t>
  </si>
  <si>
    <t>Calleja</t>
  </si>
  <si>
    <t>Antonio Luis</t>
  </si>
  <si>
    <t>Selva</t>
  </si>
  <si>
    <t>Agullo</t>
  </si>
  <si>
    <t>Embolización esplenica: Porocedimiento básico</t>
  </si>
  <si>
    <t>Calvo Gomez,Jose</t>
  </si>
  <si>
    <t>Gomez Piqueras,Maria Maximina</t>
  </si>
  <si>
    <t>Rogers ,Robert Janes</t>
  </si>
  <si>
    <t>Ruano Monterde,Maria del Mar</t>
  </si>
  <si>
    <t>Zabaleta Vilar,Francisco Javier</t>
  </si>
  <si>
    <t>Chaparro Calleja,Antonio Luis</t>
  </si>
  <si>
    <t>Beltran Arribas,M Teresa</t>
  </si>
  <si>
    <t>Alcalde Argente,Maria Cristina</t>
  </si>
  <si>
    <t>Chobanyan ,Hranush</t>
  </si>
  <si>
    <t>Roca Julve,David</t>
  </si>
  <si>
    <t>Robla Segovia,Francisco</t>
  </si>
  <si>
    <t>Gallardo Ruiz,Augustin</t>
  </si>
  <si>
    <t>Lopez Moreno,Miguel</t>
  </si>
  <si>
    <t>Selva Agullo,Jaime</t>
  </si>
  <si>
    <t>Perez Casado,Ricard Vicent</t>
  </si>
  <si>
    <t>Belda Vidal,Jose Enrique</t>
  </si>
  <si>
    <t>Garrido Martinez,Juan Vicente</t>
  </si>
  <si>
    <t>Sanchez Ramirez,Jose Luis</t>
  </si>
  <si>
    <t>Alvarez Murgui,Salvador</t>
  </si>
  <si>
    <t>Dybizbanski ,Gabriele</t>
  </si>
  <si>
    <t>Muria Biosca,Jose</t>
  </si>
  <si>
    <t>Castro Contreras,Maria Elena</t>
  </si>
  <si>
    <t>Benedicto  Tena,Cristobal</t>
  </si>
  <si>
    <t>Hernandez Diaz,Beatriz</t>
  </si>
  <si>
    <t>Esteban  Gimenez,Francisco Javier</t>
  </si>
  <si>
    <t>Sapiña Fuertes,Vicente</t>
  </si>
  <si>
    <t>Sarmiento Valenzuela,David</t>
  </si>
  <si>
    <t>Soria Crespo,Manuel Damian</t>
  </si>
  <si>
    <t>Montoliu Brisach,Joaquin Vte</t>
  </si>
  <si>
    <t>Lucan ,Maria</t>
  </si>
  <si>
    <t>Arroyo Gonzalez,Manuel</t>
  </si>
  <si>
    <t>Pozo del Jerico ,Juan</t>
  </si>
  <si>
    <t>Esteban Gimenez,Francisco Javier</t>
  </si>
  <si>
    <t>Marti Moya,Bautista</t>
  </si>
  <si>
    <t>Cortes Marques,Jorge</t>
  </si>
  <si>
    <t>Huesca Castello,Pascual</t>
  </si>
  <si>
    <t>Mico Benaches,Maria Vicenta</t>
  </si>
  <si>
    <t>Iznardo Olivert,M Carmen</t>
  </si>
  <si>
    <t>Alcalde Argente,M Cristina</t>
  </si>
  <si>
    <t>Navarro Anton,Elena</t>
  </si>
  <si>
    <t>Moron Ruano,Joaquín</t>
  </si>
  <si>
    <t>Ros García,Francisco Juan</t>
  </si>
  <si>
    <t>Soria Gallego,Azucena</t>
  </si>
  <si>
    <t>Sierra Benavent,Josefa</t>
  </si>
  <si>
    <t>Koppers ,Cornelis Simon Mari</t>
  </si>
  <si>
    <t>Piñero  Domingo,Maria Carmen</t>
  </si>
  <si>
    <t>Mateos Gomez,Francisco</t>
  </si>
  <si>
    <t>Garrido Martínez,Juan Vicente</t>
  </si>
  <si>
    <t>Montoro Latorre,Maria Isabel</t>
  </si>
  <si>
    <t>Acedo Guerra,Mercedes</t>
  </si>
  <si>
    <t>Montero Villanueva,M Carmen</t>
  </si>
  <si>
    <t>Cuevas Ojeda,Francisca</t>
  </si>
  <si>
    <t>Iglesias Garcia,Jose M</t>
  </si>
  <si>
    <t>Garcia Lanzas,Alfonso Javier</t>
  </si>
  <si>
    <t>Navarro Fernandez,Paloma</t>
  </si>
  <si>
    <t>Zazo Cuevas,Francisca</t>
  </si>
  <si>
    <t>Martinez Calvo,Pedro</t>
  </si>
  <si>
    <t>Soriano Calero,Francisco</t>
  </si>
  <si>
    <t>Galvez Guillen,Augustin</t>
  </si>
  <si>
    <t>Vera Martinez,Iris</t>
  </si>
  <si>
    <t>Chirivella Asins,Salvadora</t>
  </si>
  <si>
    <t>Garcia Gimenez,Paz Luisa</t>
  </si>
  <si>
    <t>Romeo Esteban,Emilia</t>
  </si>
  <si>
    <t>Sena Penella,Maria Vicenta</t>
  </si>
  <si>
    <t>Arnal Fentanes,Francisco</t>
  </si>
  <si>
    <t>Alfonso Cuenca,Amparo</t>
  </si>
  <si>
    <t>Aracil Viana,Jose Francisco</t>
  </si>
  <si>
    <t>Safont Escriche,Rosalia</t>
  </si>
  <si>
    <t>Nebot  Giner,Angel</t>
  </si>
  <si>
    <t xml:space="preserve">Guadas Sanz,Pedro </t>
  </si>
  <si>
    <t>San Bautista Carbonell,Maria Jose</t>
  </si>
  <si>
    <t>Adria Peiro,Antonia</t>
  </si>
  <si>
    <t>Montes Martinez,Eloina</t>
  </si>
  <si>
    <t>Olmos Cabanes,Rafael Miguel</t>
  </si>
  <si>
    <t>Martinez Romero,Manuela</t>
  </si>
  <si>
    <t>Planells Andreu,Evaristo</t>
  </si>
  <si>
    <t>Bernat Sanchez,Isabel</t>
  </si>
  <si>
    <t>Gil Andres,Rafael Antonio</t>
  </si>
  <si>
    <t>Torrijo Melendez,Carmen</t>
  </si>
  <si>
    <t>Arilla Agorriz,Elias</t>
  </si>
  <si>
    <t>Nebot Blasco,Jose Vicente</t>
  </si>
  <si>
    <t>Flores Martinez,Jose Luis</t>
  </si>
  <si>
    <t xml:space="preserve">Garcia Mora,Eduardo </t>
  </si>
  <si>
    <t>Amber  Martínez,Josefina</t>
  </si>
  <si>
    <t>Yeste Gomez,M Blanca</t>
  </si>
  <si>
    <t>Fernandez Sarralde,Juan Antonio</t>
  </si>
  <si>
    <t>Santafe Galindo,Ramiro</t>
  </si>
  <si>
    <t>Nebot  Blanco,Jose Vicente</t>
  </si>
  <si>
    <t>Barbera  Ibañez,Valeriano</t>
  </si>
  <si>
    <t>Suñer Hostalot,Pilar</t>
  </si>
  <si>
    <t>Garcia  Martinez,Aurelio</t>
  </si>
  <si>
    <t>Moyano Palenzuela,Lucia</t>
  </si>
  <si>
    <t>Ormad Pina,Patricia</t>
  </si>
  <si>
    <t>Graupner Cligny,Josiane annick</t>
  </si>
  <si>
    <t>Lozano Martinez,Pilar</t>
  </si>
  <si>
    <t>Kharla ,Dmytro</t>
  </si>
  <si>
    <t>Paixa Trulla,Javier</t>
  </si>
  <si>
    <t>Garcia Gonzales,Oscar</t>
  </si>
  <si>
    <t>Bosch  Gail,Ruben</t>
  </si>
  <si>
    <t>Rebolledo Tudela,Juan</t>
  </si>
  <si>
    <t>Bañuls Marco,Rafael</t>
  </si>
  <si>
    <t>Mateu Tarin,Carmen</t>
  </si>
  <si>
    <t>Parra Benitez,Francisco Manuel</t>
  </si>
  <si>
    <t>Ruiz Barrachina,Amparo</t>
  </si>
  <si>
    <t>Garcia Alemany,Javier</t>
  </si>
  <si>
    <t>Parrizas Collado,Jose Manuel</t>
  </si>
  <si>
    <t>Soler Benitez,Francisco</t>
  </si>
  <si>
    <t>Gozalvez Tormo,Iluminada</t>
  </si>
  <si>
    <t>Torres Lopez,Magdalena</t>
  </si>
  <si>
    <t>Priego Panadero,Maria</t>
  </si>
  <si>
    <t>Cuenca Moya,Francisco Manuel</t>
  </si>
  <si>
    <t>Guirao Roncero,Juan</t>
  </si>
  <si>
    <t>Garcia Martinez,Ascension</t>
  </si>
  <si>
    <t>Hernández López,Vicente Rafael</t>
  </si>
  <si>
    <t>Lluesma Garcia,Florencio</t>
  </si>
  <si>
    <t>Fernandez Bautista,Andres</t>
  </si>
  <si>
    <t>Mateo Velazquez,Jose</t>
  </si>
  <si>
    <t>Zacares Real,Mª Amparo</t>
  </si>
  <si>
    <t>Lozano Ruiz,Miguel Ángel</t>
  </si>
  <si>
    <t>San Esteban Perez,Fernando</t>
  </si>
  <si>
    <t>Costa Blanch,Francisco Antonio</t>
  </si>
  <si>
    <t>Parrizas Collado,José Manuel</t>
  </si>
  <si>
    <t>Miranda Castro,Andres Mauricio</t>
  </si>
  <si>
    <t>Pinter Pla,Victoria</t>
  </si>
  <si>
    <t>Ruiz Villar,Antonio</t>
  </si>
  <si>
    <t>Martí Ros,Amparo</t>
  </si>
  <si>
    <t>Gonzalez Romero,Antonio</t>
  </si>
  <si>
    <t>Zamora Herraiz,Primitivo</t>
  </si>
  <si>
    <t>Iranzo Ibáñez,Francisco</t>
  </si>
  <si>
    <t>Carmona García,Paloma</t>
  </si>
  <si>
    <t>Ruiz Garrido,Encarnación</t>
  </si>
  <si>
    <t>Gimenez Salazar,José</t>
  </si>
  <si>
    <t>Zalve Plaza,M Imperio</t>
  </si>
  <si>
    <t>Tarrazona Chover,Joaquín</t>
  </si>
  <si>
    <t>Yahaya ,Khairullamirin Bin</t>
  </si>
  <si>
    <t>Llombart Bosch,Manuel</t>
  </si>
  <si>
    <t>Bellver Bellver,Francisco</t>
  </si>
  <si>
    <t>Belenguer Díaz,Francisco</t>
  </si>
  <si>
    <t>Escrivá Faus,José Ramón</t>
  </si>
  <si>
    <t>Garrido Garrido,Vicente</t>
  </si>
  <si>
    <t>Marquez Heredia,Tonet</t>
  </si>
  <si>
    <t>Cano Jiménez,José</t>
  </si>
  <si>
    <t>Ortega Sánchez,Juan Fran</t>
  </si>
  <si>
    <t>Sastre Bay,Juan Carlos</t>
  </si>
  <si>
    <t>Gomez Zambrana,Hugo</t>
  </si>
  <si>
    <t>García Peñalver,Jana</t>
  </si>
  <si>
    <t>Morales Gómez,Miguel</t>
  </si>
  <si>
    <t>Quesada Ruano,Ana</t>
  </si>
  <si>
    <t>Balaguer Roig,Rosa María</t>
  </si>
  <si>
    <t>Gorostola Covelo,Miguel Ángel</t>
  </si>
  <si>
    <t>Sánchez Ferrer,Santiago</t>
  </si>
  <si>
    <t>Corchado Martínez,Andreu</t>
  </si>
  <si>
    <t>Rodilla Sánchez,Carmen</t>
  </si>
  <si>
    <t>Ibáñez Ibáñez,Vicente</t>
  </si>
  <si>
    <t>Zafra Carrascosa,Josefa</t>
  </si>
  <si>
    <t>Ases Gil,M Dolores Remedios</t>
  </si>
  <si>
    <t>Pardo Bernes,Mª José</t>
  </si>
  <si>
    <t>Jodar Navarro,Luis</t>
  </si>
  <si>
    <t>Davalillo Simó,Alicia</t>
  </si>
  <si>
    <t>Zhu ,David Weimin</t>
  </si>
  <si>
    <t>Zamora Campillo,Noelia</t>
  </si>
  <si>
    <t>Lacruz Gómez,José</t>
  </si>
  <si>
    <t>Fernández Ávila,Luisa</t>
  </si>
  <si>
    <t>Garrigues Garrigues,Inmaculada</t>
  </si>
  <si>
    <t>Basterra Montserrat,Samuel</t>
  </si>
  <si>
    <t>Coll Hilario,Maria Carmen</t>
  </si>
  <si>
    <t>Bosch Bueno,Alfredo Manuel</t>
  </si>
  <si>
    <t>Bosch Giménez,Antonio José</t>
  </si>
  <si>
    <t>García Roger,José Miguel</t>
  </si>
  <si>
    <t>Alabajos Hernández,Sofía</t>
  </si>
  <si>
    <t>Domínguez Vilar,Carles</t>
  </si>
  <si>
    <t>Cantero Sanchez,Alfonso</t>
  </si>
  <si>
    <t>Martínez Sánchez,José Vicente</t>
  </si>
  <si>
    <t>Redondo Ibáñez,Pedro</t>
  </si>
  <si>
    <t>Dehond ,Hans Agustinus B</t>
  </si>
  <si>
    <t>Serrador Alba,Armando</t>
  </si>
  <si>
    <t>Sanchez Plumed,Antonia</t>
  </si>
  <si>
    <t>Sánchez Cortés,Jaime</t>
  </si>
  <si>
    <t>Díaz Monedero,Fernando</t>
  </si>
  <si>
    <t>Sahakyan Sahakyan,Grigor</t>
  </si>
  <si>
    <t>Bernal Pacheco,Luis</t>
  </si>
  <si>
    <t>Omary ,Rayan</t>
  </si>
  <si>
    <t>Samper Conca,Josep</t>
  </si>
  <si>
    <t>Fernández Montalva,Carlos</t>
  </si>
  <si>
    <t>Gutiérrez Duero,Antonio</t>
  </si>
  <si>
    <t>Frau Segarra,Carmen</t>
  </si>
  <si>
    <t>Rosa García,Cristian</t>
  </si>
  <si>
    <t xml:space="preserve">Morell Capellino,José </t>
  </si>
  <si>
    <t>Gavrilas ,Alin Constantin</t>
  </si>
  <si>
    <t>Calvo Barber,Annelise</t>
  </si>
  <si>
    <t>Sepúlveda Boix,Amparo</t>
  </si>
  <si>
    <t>Moscardo Ignacio,Fernando</t>
  </si>
  <si>
    <t>Vizcaya Ebuka,Marcelino</t>
  </si>
  <si>
    <t>Izquierdo Lluch,Malena</t>
  </si>
  <si>
    <t>Kassouad ,Yasmine</t>
  </si>
  <si>
    <t>Martínez Calderón,Julia Caridad</t>
  </si>
  <si>
    <t>Falah ,Reda</t>
  </si>
  <si>
    <t>Morcillo Mora,Miguel Ángel</t>
  </si>
  <si>
    <t>Charfaoui ,Sofiane</t>
  </si>
  <si>
    <t>Notario Ballesteros,Julián</t>
  </si>
  <si>
    <t>Goterris Triguero,Adrián</t>
  </si>
  <si>
    <t>Monar Van Vliet,Juana Andrea</t>
  </si>
  <si>
    <t>Beltrán Arribas,Mª Teresa</t>
  </si>
  <si>
    <t>Osuna Degracia,José</t>
  </si>
  <si>
    <t>Calaforra Brisa,José Luis</t>
  </si>
  <si>
    <t>Rowland Molina,Elizabeth</t>
  </si>
  <si>
    <t>Zaragoza Navarro,María</t>
  </si>
  <si>
    <t>Castillero Ángel,Jacinto</t>
  </si>
  <si>
    <t>Dueñas López,Francisco</t>
  </si>
  <si>
    <t>Lahuerta Lozano,Luis</t>
  </si>
  <si>
    <t>Aliaga Bea,Mª Pilar</t>
  </si>
  <si>
    <t>Torres Carrillo,Manuel</t>
  </si>
  <si>
    <t>Amiryan Peña,Sara</t>
  </si>
  <si>
    <t>Rico Blasco,Marc</t>
  </si>
  <si>
    <t>Berenguer Manzanera,Paula</t>
  </si>
  <si>
    <t>Mila Piro,Manuel</t>
  </si>
  <si>
    <t>Martínez Rodríguez,José</t>
  </si>
  <si>
    <t>Viña Gonzalez,María</t>
  </si>
  <si>
    <t>Guzman Province,Ayun</t>
  </si>
  <si>
    <t>Hernández Villar,Juana María</t>
  </si>
  <si>
    <t>Martínez Alberto,Carmen</t>
  </si>
  <si>
    <t>Abbas ,Zamma</t>
  </si>
  <si>
    <t>Calderón Herás,Zaira</t>
  </si>
  <si>
    <t>Abad Isla,Azucena</t>
  </si>
  <si>
    <t>Castro Pagán,Claudio</t>
  </si>
  <si>
    <t>Ndumu Nseng,Cristina</t>
  </si>
  <si>
    <t>Gil Toboso,Silvia</t>
  </si>
  <si>
    <t>Llopis Donaire,Francisco José</t>
  </si>
  <si>
    <t>Sanchis Navarro,Jaime</t>
  </si>
  <si>
    <t>Iranzo Anguis,David</t>
  </si>
  <si>
    <t>Alós Salcedo,Carmen</t>
  </si>
  <si>
    <t>Santamaria Biot,José</t>
  </si>
  <si>
    <t>Duval Montoya,Jaqueline</t>
  </si>
  <si>
    <t>Greus Gil,Enrique</t>
  </si>
  <si>
    <t>Molina Pavón,Alejandro</t>
  </si>
  <si>
    <t>Palomares Calero,Alex</t>
  </si>
  <si>
    <t>Hussain ,Rumi</t>
  </si>
  <si>
    <t>Krasnoruzhskikh Sola,Zoe</t>
  </si>
  <si>
    <t>Sebastiá Martínez,Alba</t>
  </si>
  <si>
    <t>Giner Parra,Alba</t>
  </si>
  <si>
    <t>Ferrus Gonzalez,Laia</t>
  </si>
  <si>
    <t>Constinuc ,David Constanti</t>
  </si>
  <si>
    <t>Gómez Zambrano,Hugo</t>
  </si>
  <si>
    <t>Cantos Mendoza,Rubén</t>
  </si>
  <si>
    <t>Peinado Castillejos,David</t>
  </si>
  <si>
    <t>Ciochina ,Maya Paulina</t>
  </si>
  <si>
    <t>Burriel Ballester,Herminio</t>
  </si>
  <si>
    <t>Gómez Poles,María</t>
  </si>
  <si>
    <t>Estruch Estruch,Ricardo</t>
  </si>
  <si>
    <t>García Calabuig,Eliduvina</t>
  </si>
  <si>
    <t>Pons Pous,Noa</t>
  </si>
  <si>
    <t>Mancebo Matos,Junior</t>
  </si>
  <si>
    <t>Esteve Nevado,Lucía</t>
  </si>
  <si>
    <t>Morralla Dols,Sonia</t>
  </si>
  <si>
    <t>Cobo Fernández,Iván</t>
  </si>
  <si>
    <t>Villena Abadia,Mario</t>
  </si>
  <si>
    <t>Cruz Bermell,Ángela</t>
  </si>
  <si>
    <t>Tortosa Hernández,Andreu</t>
  </si>
  <si>
    <t>Saiz Amorós,Francis</t>
  </si>
  <si>
    <t>Torregrosa Valero,M Carmen</t>
  </si>
  <si>
    <t xml:space="preserve"> ,</t>
  </si>
  <si>
    <t xml:space="preserve">Nieto </t>
  </si>
  <si>
    <t>Jimenez</t>
  </si>
  <si>
    <t>Juani</t>
  </si>
  <si>
    <t>Otro intervencionismo diagnóstico de abd</t>
  </si>
  <si>
    <t>Raga</t>
  </si>
  <si>
    <t>Cortelles</t>
  </si>
  <si>
    <t>Amaro</t>
  </si>
  <si>
    <t>Ramona</t>
  </si>
  <si>
    <t>Drenaje biliar pércneo externo</t>
  </si>
  <si>
    <t>March</t>
  </si>
  <si>
    <t>Eduardo</t>
  </si>
  <si>
    <t>Losada</t>
  </si>
  <si>
    <t>Gonzalo Tadeo</t>
  </si>
  <si>
    <t>Lup</t>
  </si>
  <si>
    <t>Margareta</t>
  </si>
  <si>
    <t>Fort</t>
  </si>
  <si>
    <t>Tto endov de la insuficiencia ven mediante embg</t>
  </si>
  <si>
    <t xml:space="preserve">Martinez </t>
  </si>
  <si>
    <t>De Oliveira</t>
  </si>
  <si>
    <t>Gajda</t>
  </si>
  <si>
    <t>Thalia</t>
  </si>
  <si>
    <t>Reyes</t>
  </si>
  <si>
    <t>Tuleda</t>
  </si>
  <si>
    <t>Briz</t>
  </si>
  <si>
    <t xml:space="preserve">Vaño </t>
  </si>
  <si>
    <t>Concepción</t>
  </si>
  <si>
    <t>Alfaro</t>
  </si>
  <si>
    <t>Embolización eplénica: Procedimiento básico</t>
  </si>
  <si>
    <t>Higueras</t>
  </si>
  <si>
    <t>Julio Antonio</t>
  </si>
  <si>
    <t>Tortajada</t>
  </si>
  <si>
    <t>Adrian</t>
  </si>
  <si>
    <t xml:space="preserve">Ruiz </t>
  </si>
  <si>
    <t>Arana</t>
  </si>
  <si>
    <t>Jarque</t>
  </si>
  <si>
    <t>Ramon</t>
  </si>
  <si>
    <t>Drenaje percneo de abscesos y colecciones</t>
  </si>
  <si>
    <t>Aguado</t>
  </si>
  <si>
    <t>Colocación de catéter en vena central</t>
  </si>
  <si>
    <t>Banacloche</t>
  </si>
  <si>
    <t>Sancho</t>
  </si>
  <si>
    <t>Leonardo</t>
  </si>
  <si>
    <t>Kojelyte</t>
  </si>
  <si>
    <t>Loreta</t>
  </si>
  <si>
    <t>Angio cerebral compleja y selectiva: procedimiento básico</t>
  </si>
  <si>
    <t>Tto endov esten oclu en mmii: procedimiento básico</t>
  </si>
  <si>
    <t>Cerezo</t>
  </si>
  <si>
    <t>Tto esten oclu sector ilíaco: procedimiento básico</t>
  </si>
  <si>
    <t xml:space="preserve">Navarro </t>
  </si>
  <si>
    <t>Tto endov aneu de aorta abd: procedimiento básico</t>
  </si>
  <si>
    <t>Menero</t>
  </si>
  <si>
    <t>Cerisuelo</t>
  </si>
  <si>
    <t>Adullto</t>
  </si>
  <si>
    <t>Zarzo</t>
  </si>
  <si>
    <t>Pitarch</t>
  </si>
  <si>
    <t>Boore</t>
  </si>
  <si>
    <t>Nicholas</t>
  </si>
  <si>
    <t>Arteriografía de mmii</t>
  </si>
  <si>
    <t xml:space="preserve">Barberan </t>
  </si>
  <si>
    <t>Rubert</t>
  </si>
  <si>
    <t>Vendrell</t>
  </si>
  <si>
    <t>Benedicto</t>
  </si>
  <si>
    <t>Rojas</t>
  </si>
  <si>
    <t>De Torres</t>
  </si>
  <si>
    <t>Luisa Emilia</t>
  </si>
  <si>
    <t>Embolización en aneurisma intracraneal gigante o complejo: procedimiento básico</t>
  </si>
  <si>
    <t>Ferrando</t>
  </si>
  <si>
    <t>Drenaje pércneo de abscesos y colecciones</t>
  </si>
  <si>
    <t>Oreja</t>
  </si>
  <si>
    <t>Dosil</t>
  </si>
  <si>
    <t>Saray</t>
  </si>
  <si>
    <t>Pareja</t>
  </si>
  <si>
    <t>Alfredo</t>
  </si>
  <si>
    <t>Guluta</t>
  </si>
  <si>
    <t>Ion</t>
  </si>
  <si>
    <t xml:space="preserve">Gil </t>
  </si>
  <si>
    <t>Vazquez</t>
  </si>
  <si>
    <t>Granado</t>
  </si>
  <si>
    <t>Dolores</t>
  </si>
  <si>
    <t>Arteriografía pélvica</t>
  </si>
  <si>
    <t>Morillo</t>
  </si>
  <si>
    <t>Amalia</t>
  </si>
  <si>
    <t>Dilalatación via biliar</t>
  </si>
  <si>
    <t xml:space="preserve">Belmonte </t>
  </si>
  <si>
    <t>Tto endov esten oclu en mmii. Procedimiento básico</t>
  </si>
  <si>
    <t>Gisbert</t>
  </si>
  <si>
    <t>Lazaro</t>
  </si>
  <si>
    <t>Aurora</t>
  </si>
  <si>
    <t>Otro intervencionismo de diagnóstico de abdomen</t>
  </si>
  <si>
    <t>Africa</t>
  </si>
  <si>
    <t>Bordonado</t>
  </si>
  <si>
    <t>Fluture</t>
  </si>
  <si>
    <t>Veronica Mariana</t>
  </si>
  <si>
    <t>Tto percneo de malfor vasces mediante esclerosis</t>
  </si>
  <si>
    <t>Insaurralde</t>
  </si>
  <si>
    <t>Lidia Rosa</t>
  </si>
  <si>
    <t>Olmo</t>
  </si>
  <si>
    <t>Anestesia de intervencionismo para adultos</t>
  </si>
  <si>
    <t>Cherino</t>
  </si>
  <si>
    <t>Talens</t>
  </si>
  <si>
    <t>Margarita</t>
  </si>
  <si>
    <t>Jose Ignacio</t>
  </si>
  <si>
    <t>Soldevilla</t>
  </si>
  <si>
    <t>Aulto</t>
  </si>
  <si>
    <t>Mushimi</t>
  </si>
  <si>
    <t>Kanyengwe</t>
  </si>
  <si>
    <t>Yvette</t>
  </si>
  <si>
    <t>Almudever</t>
  </si>
  <si>
    <t>Concepcion</t>
  </si>
  <si>
    <t>Portales</t>
  </si>
  <si>
    <t>Baldo</t>
  </si>
  <si>
    <t>Emilio</t>
  </si>
  <si>
    <t>Adan</t>
  </si>
  <si>
    <t>Berradre</t>
  </si>
  <si>
    <t>Maria Soraya</t>
  </si>
  <si>
    <t>Villodre</t>
  </si>
  <si>
    <t>Tendero</t>
  </si>
  <si>
    <t>Barcelo</t>
  </si>
  <si>
    <t>Maria Dolores</t>
  </si>
  <si>
    <t>Castaño</t>
  </si>
  <si>
    <t>Encina</t>
  </si>
  <si>
    <t>Furio</t>
  </si>
  <si>
    <t>M Antonia</t>
  </si>
  <si>
    <t>Mares</t>
  </si>
  <si>
    <t>Gros</t>
  </si>
  <si>
    <t>Tto intraart ictus isquémico: Procedimiento básico</t>
  </si>
  <si>
    <t>Magnanelli</t>
  </si>
  <si>
    <t>Fernando Domingo</t>
  </si>
  <si>
    <t>Baño</t>
  </si>
  <si>
    <t>Caba</t>
  </si>
  <si>
    <t>Mañez</t>
  </si>
  <si>
    <t>M Angeles Juli</t>
  </si>
  <si>
    <t>Juan Sebastian</t>
  </si>
  <si>
    <t>Sevilla</t>
  </si>
  <si>
    <t>Coronado</t>
  </si>
  <si>
    <t>Requena</t>
  </si>
  <si>
    <t>Centellas</t>
  </si>
  <si>
    <t>Guasp</t>
  </si>
  <si>
    <t>Vizcaino</t>
  </si>
  <si>
    <t>Ana Maria</t>
  </si>
  <si>
    <t>Rus</t>
  </si>
  <si>
    <t>Mompo</t>
  </si>
  <si>
    <t>Casares</t>
  </si>
  <si>
    <t>alfredo</t>
  </si>
  <si>
    <t>Picaso</t>
  </si>
  <si>
    <t>Ferris</t>
  </si>
  <si>
    <t>Villalba</t>
  </si>
  <si>
    <t>Esther</t>
  </si>
  <si>
    <t>Tto de hernias discales laser</t>
  </si>
  <si>
    <t>Guasch</t>
  </si>
  <si>
    <t>Navamuel</t>
  </si>
  <si>
    <t>Jesus Vitores</t>
  </si>
  <si>
    <t>Lacueva</t>
  </si>
  <si>
    <t>Frigols</t>
  </si>
  <si>
    <t>Vila</t>
  </si>
  <si>
    <t>Maria Esther</t>
  </si>
  <si>
    <t>Tto endov en fistulas de hemdial: Porcedimiento básico</t>
  </si>
  <si>
    <t>Rivas</t>
  </si>
  <si>
    <t>Fontalba</t>
  </si>
  <si>
    <t>Beneyto</t>
  </si>
  <si>
    <t>Guinot</t>
  </si>
  <si>
    <t>Alvaro</t>
  </si>
  <si>
    <t>Tto endov esten oclu en MMII Porc basic</t>
  </si>
  <si>
    <t>Guillem</t>
  </si>
  <si>
    <t>Alamo</t>
  </si>
  <si>
    <t>Jose Arturo</t>
  </si>
  <si>
    <t>Molla</t>
  </si>
  <si>
    <t>Rudy</t>
  </si>
  <si>
    <t>Yan</t>
  </si>
  <si>
    <t>Cañas</t>
  </si>
  <si>
    <t>Aguilar</t>
  </si>
  <si>
    <t>M Francisca</t>
  </si>
  <si>
    <t>Otro intervencionismo diagnóstico de torax</t>
  </si>
  <si>
    <t>Martin</t>
  </si>
  <si>
    <t>Exposito</t>
  </si>
  <si>
    <t>Arteriografia tronc visc diag</t>
  </si>
  <si>
    <t>Santos</t>
  </si>
  <si>
    <t>Isidoro</t>
  </si>
  <si>
    <t>Vaño</t>
  </si>
  <si>
    <t>Mena</t>
  </si>
  <si>
    <t>Gabriel</t>
  </si>
  <si>
    <t>Tto endov esten oclu cava sup proc basic</t>
  </si>
  <si>
    <t>Campillos</t>
  </si>
  <si>
    <t>Huerta</t>
  </si>
  <si>
    <t>Rosa M</t>
  </si>
  <si>
    <t>Tomas</t>
  </si>
  <si>
    <t>Embolización malformación vascular venosa mediante escelrosis</t>
  </si>
  <si>
    <t>Ledesma</t>
  </si>
  <si>
    <t>Tto pércneo fistulas</t>
  </si>
  <si>
    <t>La Roda</t>
  </si>
  <si>
    <t>Escribano</t>
  </si>
  <si>
    <t>Luja</t>
  </si>
  <si>
    <t>Daniela</t>
  </si>
  <si>
    <t>Trinidad</t>
  </si>
  <si>
    <t>Colocación de cáteter en vena central con tracto subcutáneo</t>
  </si>
  <si>
    <t>Leon</t>
  </si>
  <si>
    <t>Gheorghe</t>
  </si>
  <si>
    <t>Constantin</t>
  </si>
  <si>
    <t>Carbunaru</t>
  </si>
  <si>
    <t>Liviu</t>
  </si>
  <si>
    <t>Tur</t>
  </si>
  <si>
    <t>Laura</t>
  </si>
  <si>
    <t xml:space="preserve">Orti </t>
  </si>
  <si>
    <t>Muedra</t>
  </si>
  <si>
    <t>Tto endov otros aneus proc basic</t>
  </si>
  <si>
    <t>Medina i</t>
  </si>
  <si>
    <t>Rodrigo</t>
  </si>
  <si>
    <t>Xuezhen</t>
  </si>
  <si>
    <t>Li</t>
  </si>
  <si>
    <t>Embolizaciones otras hemorrajias: Procedimiento básico</t>
  </si>
  <si>
    <t>Pelecha</t>
  </si>
  <si>
    <t>Diana</t>
  </si>
  <si>
    <t>Torrijos</t>
  </si>
  <si>
    <t>Valencia</t>
  </si>
  <si>
    <t>Orti</t>
  </si>
  <si>
    <t>Ismagilova</t>
  </si>
  <si>
    <t>Cedeño</t>
  </si>
  <si>
    <t>Marcano</t>
  </si>
  <si>
    <t>Jose Miguel</t>
  </si>
  <si>
    <t>Neurología Vascular</t>
  </si>
  <si>
    <t>Llivicura</t>
  </si>
  <si>
    <t>Alexander Fernando</t>
  </si>
  <si>
    <t>Del Arco</t>
  </si>
  <si>
    <t>Herrero</t>
  </si>
  <si>
    <t>Bioque</t>
  </si>
  <si>
    <t>Jose Angel</t>
  </si>
  <si>
    <t>Roelas</t>
  </si>
  <si>
    <t>Granell</t>
  </si>
  <si>
    <t>Solian</t>
  </si>
  <si>
    <t>Indoitu</t>
  </si>
  <si>
    <t>Valentina</t>
  </si>
  <si>
    <t>Saturino</t>
  </si>
  <si>
    <t>Iluminado</t>
  </si>
  <si>
    <t>Rincon</t>
  </si>
  <si>
    <t>Embolización de aneurismas arteriales. Procedimiento básico</t>
  </si>
  <si>
    <t>Carduna</t>
  </si>
  <si>
    <t>Embolización de grandes vasos. Procedimiento básico</t>
  </si>
  <si>
    <t>Icaran</t>
  </si>
  <si>
    <t xml:space="preserve">Drenaje biliar </t>
  </si>
  <si>
    <t xml:space="preserve">Casado </t>
  </si>
  <si>
    <t>Tto endov esten oclu en mmii: Proc Basic</t>
  </si>
  <si>
    <t>Jose Javier</t>
  </si>
  <si>
    <t xml:space="preserve">Amat </t>
  </si>
  <si>
    <t>Aznar</t>
  </si>
  <si>
    <t>Almiñana</t>
  </si>
  <si>
    <t>Soghomonyan</t>
  </si>
  <si>
    <t>Arevik</t>
  </si>
  <si>
    <t>Embolización de hemorraj diag alta proc basic</t>
  </si>
  <si>
    <t>Laura Maria</t>
  </si>
  <si>
    <t>Sagrario</t>
  </si>
  <si>
    <t>Flebos otras zonas anatómicas</t>
  </si>
  <si>
    <t>Rodriguez</t>
  </si>
  <si>
    <t>Virginia Ela</t>
  </si>
  <si>
    <t>Tto endov etsen oclu cava I. Procedimiento básico</t>
  </si>
  <si>
    <t>Paez</t>
  </si>
  <si>
    <t>Rueda</t>
  </si>
  <si>
    <t>Yapu</t>
  </si>
  <si>
    <t>Nelly Juana</t>
  </si>
  <si>
    <t>Miralles</t>
  </si>
  <si>
    <t>Infiltrración articular</t>
  </si>
  <si>
    <t>Moraes</t>
  </si>
  <si>
    <t>Vanderila Aparecida</t>
  </si>
  <si>
    <t>Fuensanta</t>
  </si>
  <si>
    <t>Pollitt</t>
  </si>
  <si>
    <t>Graham Frank</t>
  </si>
  <si>
    <t>Tto estenosis intracerebral. Procedimiento básico</t>
  </si>
  <si>
    <t>Cardona</t>
  </si>
  <si>
    <t>Arteriografia de MMSS</t>
  </si>
  <si>
    <t>Tent</t>
  </si>
  <si>
    <t>Hadraqui</t>
  </si>
  <si>
    <t>El Kebira</t>
  </si>
  <si>
    <t>Camacho</t>
  </si>
  <si>
    <t>Tto de lnes vertebrales kifoplastia</t>
  </si>
  <si>
    <t>Jose Rafael</t>
  </si>
  <si>
    <t>Asunción</t>
  </si>
  <si>
    <t>Foix</t>
  </si>
  <si>
    <t>Enrique Ismael</t>
  </si>
  <si>
    <t>Uri</t>
  </si>
  <si>
    <t>Cebrian</t>
  </si>
  <si>
    <t>Tuduri Taviel</t>
  </si>
  <si>
    <t>De Andrade</t>
  </si>
  <si>
    <t>Ana M</t>
  </si>
  <si>
    <t>Tto de lnes vertebrales verteroplastia asistida por balon</t>
  </si>
  <si>
    <t>Cheza</t>
  </si>
  <si>
    <t>Bort</t>
  </si>
  <si>
    <t>Tto endov este oclu en mmii: proc basic</t>
  </si>
  <si>
    <t>Cervero</t>
  </si>
  <si>
    <t>Ana Isabel</t>
  </si>
  <si>
    <t>Monzonis</t>
  </si>
  <si>
    <t>Gema</t>
  </si>
  <si>
    <t>Aguardo</t>
  </si>
  <si>
    <t xml:space="preserve">Cervero </t>
  </si>
  <si>
    <t>Samit</t>
  </si>
  <si>
    <t>Castellet</t>
  </si>
  <si>
    <t>Tto de hernias discales discectomia percutánea</t>
  </si>
  <si>
    <t>Maya</t>
  </si>
  <si>
    <t>Francisco Gabriel</t>
  </si>
  <si>
    <t>Colocación cateter en vena central con tracto subcutáneo</t>
  </si>
  <si>
    <t>Jordan</t>
  </si>
  <si>
    <t>Tto endov esten oclu en mii: Procedimiento básico</t>
  </si>
  <si>
    <t>Grimaltos</t>
  </si>
  <si>
    <t>Marzal</t>
  </si>
  <si>
    <t>Felici</t>
  </si>
  <si>
    <t>Miguel Angel</t>
  </si>
  <si>
    <t>Otras arteriografias</t>
  </si>
  <si>
    <t>Segura</t>
  </si>
  <si>
    <t>Higon</t>
  </si>
  <si>
    <t>Fernando Victor</t>
  </si>
  <si>
    <t>Esperanza</t>
  </si>
  <si>
    <t>Tto de lnes vertebrales vertebroplastia simple</t>
  </si>
  <si>
    <t>Corrales</t>
  </si>
  <si>
    <t>Brunet</t>
  </si>
  <si>
    <t>Fernando Jaime</t>
  </si>
  <si>
    <t>08/12/196</t>
  </si>
  <si>
    <t>Ricazo</t>
  </si>
  <si>
    <t>Lezana</t>
  </si>
  <si>
    <t>Roldan</t>
  </si>
  <si>
    <t>Herrera</t>
  </si>
  <si>
    <t>Nuñez</t>
  </si>
  <si>
    <t>Vicente Luis</t>
  </si>
  <si>
    <t>Copado</t>
  </si>
  <si>
    <t>Ivan</t>
  </si>
  <si>
    <t>Merino</t>
  </si>
  <si>
    <t>Jiron</t>
  </si>
  <si>
    <t>Segundo Nicanor</t>
  </si>
  <si>
    <t xml:space="preserve">Polit </t>
  </si>
  <si>
    <t>Infiltración en otros territorios de partes blandas</t>
  </si>
  <si>
    <t>La Torre</t>
  </si>
  <si>
    <t>Escos</t>
  </si>
  <si>
    <t xml:space="preserve">Cano </t>
  </si>
  <si>
    <t>Tto endoc esten oclu en mmss: proc basic</t>
  </si>
  <si>
    <t>PAscual</t>
  </si>
  <si>
    <t>Drenaje biliarr pércneo con implante de stent</t>
  </si>
  <si>
    <t>Lloret</t>
  </si>
  <si>
    <t>Joan Joaquim</t>
  </si>
  <si>
    <t>Tto endov esten oclu en ot territ vens: Proc basic</t>
  </si>
  <si>
    <t>Arteriografia de mmii</t>
  </si>
  <si>
    <t>Gastrostomia percutánea</t>
  </si>
  <si>
    <t xml:space="preserve">Copado </t>
  </si>
  <si>
    <t>Saura</t>
  </si>
  <si>
    <t>Lujan</t>
  </si>
  <si>
    <t>Embolización de hemorraj diag baja: proc basic</t>
  </si>
  <si>
    <t>Manuel Santos</t>
  </si>
  <si>
    <t>Colocación de catéter en vena central sin tracto subcutáneo</t>
  </si>
  <si>
    <t>Medina</t>
  </si>
  <si>
    <t>Candel</t>
  </si>
  <si>
    <t>Herriaz</t>
  </si>
  <si>
    <t>Murillo</t>
  </si>
  <si>
    <t>Tto de hernias discales láser</t>
  </si>
  <si>
    <t>Palencia</t>
  </si>
  <si>
    <t>Fuente</t>
  </si>
  <si>
    <t>Jirun</t>
  </si>
  <si>
    <t>Segundo Nicaron</t>
  </si>
  <si>
    <t>Morote</t>
  </si>
  <si>
    <t>Marin</t>
  </si>
  <si>
    <t>Tamara</t>
  </si>
  <si>
    <t>Mendez</t>
  </si>
  <si>
    <t>Biopsia trasyugular hepática</t>
  </si>
  <si>
    <t>Carbajal</t>
  </si>
  <si>
    <t>Jorques</t>
  </si>
  <si>
    <t>Joaquin</t>
  </si>
  <si>
    <t>Embolización de hemorrajias dig baja: Procedimiento básico</t>
  </si>
  <si>
    <t xml:space="preserve">Saura </t>
  </si>
  <si>
    <t>Aleruz</t>
  </si>
  <si>
    <t>Adame</t>
  </si>
  <si>
    <t>Cerrada</t>
  </si>
  <si>
    <t>Carlos Alfonso</t>
  </si>
  <si>
    <t xml:space="preserve">Monte </t>
  </si>
  <si>
    <t>Uceda</t>
  </si>
  <si>
    <t>Arteriografía troncal visc dig</t>
  </si>
  <si>
    <t>Galdon</t>
  </si>
  <si>
    <t xml:space="preserve">Llop </t>
  </si>
  <si>
    <t>Enric</t>
  </si>
  <si>
    <t>Iborra</t>
  </si>
  <si>
    <t>Debon</t>
  </si>
  <si>
    <t>Hector Luis</t>
  </si>
  <si>
    <t xml:space="preserve">Constancio </t>
  </si>
  <si>
    <t>Remedios</t>
  </si>
  <si>
    <t>Embolización miomas uterinos: Procedimiento básico</t>
  </si>
  <si>
    <t>Penades</t>
  </si>
  <si>
    <t>Cabedo</t>
  </si>
  <si>
    <t>Pecino</t>
  </si>
  <si>
    <t>Bermudez</t>
  </si>
  <si>
    <t>Nogueira</t>
  </si>
  <si>
    <t>Lobato</t>
  </si>
  <si>
    <t>Maria Teresa</t>
  </si>
  <si>
    <t>Saez</t>
  </si>
  <si>
    <t>Plata</t>
  </si>
  <si>
    <t>Nelson</t>
  </si>
  <si>
    <t>Berga</t>
  </si>
  <si>
    <t>Sergio</t>
  </si>
  <si>
    <t>Roldán</t>
  </si>
  <si>
    <t>Andrés Mauricio</t>
  </si>
  <si>
    <t>27/09//1984</t>
  </si>
  <si>
    <t xml:space="preserve">Peñarrocha </t>
  </si>
  <si>
    <t>Brualla</t>
  </si>
  <si>
    <t>Olle</t>
  </si>
  <si>
    <t>Noheda</t>
  </si>
  <si>
    <t>De la Torre</t>
  </si>
  <si>
    <t>Octavio</t>
  </si>
  <si>
    <t>Picazo</t>
  </si>
  <si>
    <t>Nacher</t>
  </si>
  <si>
    <t>Juarez</t>
  </si>
  <si>
    <t xml:space="preserve">Escirva </t>
  </si>
  <si>
    <t>Jose Ramon</t>
  </si>
  <si>
    <t>Fraile</t>
  </si>
  <si>
    <t xml:space="preserve">Izquierdo </t>
  </si>
  <si>
    <t>Judar</t>
  </si>
  <si>
    <t>Chilet</t>
  </si>
  <si>
    <t xml:space="preserve">Carpena </t>
  </si>
  <si>
    <t>Azorin</t>
  </si>
  <si>
    <t>Canaletas</t>
  </si>
  <si>
    <t>Puigpey</t>
  </si>
  <si>
    <t>Rebbets</t>
  </si>
  <si>
    <t>Torajada</t>
  </si>
  <si>
    <t>Luis Francisco</t>
  </si>
  <si>
    <t xml:space="preserve">Chilet </t>
  </si>
  <si>
    <t>Palacios</t>
  </si>
  <si>
    <t>Moncho</t>
  </si>
  <si>
    <t>Caballer</t>
  </si>
  <si>
    <t>Palomo</t>
  </si>
  <si>
    <t>Albors</t>
  </si>
  <si>
    <t>Puchades</t>
  </si>
  <si>
    <t>Andrea</t>
  </si>
  <si>
    <t>Candido</t>
  </si>
  <si>
    <t xml:space="preserve">Escarabajal </t>
  </si>
  <si>
    <t>Mari Carmen</t>
  </si>
  <si>
    <t>Frontera</t>
  </si>
  <si>
    <t>Arteriografia tron visc dig</t>
  </si>
  <si>
    <t>Perucho</t>
  </si>
  <si>
    <t>Mirapeix</t>
  </si>
  <si>
    <t>Fides</t>
  </si>
  <si>
    <t>Pedro Vicente</t>
  </si>
  <si>
    <t>Toledo</t>
  </si>
  <si>
    <t>Embo de comnes portsmicas proc basic</t>
  </si>
  <si>
    <t>Crescencio</t>
  </si>
  <si>
    <t xml:space="preserve">Aguilar </t>
  </si>
  <si>
    <t>Vicente Enrique</t>
  </si>
  <si>
    <t>Montagut</t>
  </si>
  <si>
    <t>Orts</t>
  </si>
  <si>
    <t>Carlos Enrique</t>
  </si>
  <si>
    <t xml:space="preserve">Urban </t>
  </si>
  <si>
    <t>M Angeles</t>
  </si>
  <si>
    <t>Bruno</t>
  </si>
  <si>
    <t>Benet</t>
  </si>
  <si>
    <t>Tabikh</t>
  </si>
  <si>
    <t>Mohe Ddin</t>
  </si>
  <si>
    <t>Arenas</t>
  </si>
  <si>
    <t>Fauli</t>
  </si>
  <si>
    <t>Jose Fernando</t>
  </si>
  <si>
    <t>Moise</t>
  </si>
  <si>
    <t>Nicoleta Iuliana</t>
  </si>
  <si>
    <t>Alos</t>
  </si>
  <si>
    <t>Maria Desampara</t>
  </si>
  <si>
    <t>Bayuna</t>
  </si>
  <si>
    <t>Angio medulo espinal: Proc basic</t>
  </si>
  <si>
    <t>Lara</t>
  </si>
  <si>
    <t>Talhaoui</t>
  </si>
  <si>
    <t>Halima</t>
  </si>
  <si>
    <t>Ciscar</t>
  </si>
  <si>
    <t xml:space="preserve">Vilanova </t>
  </si>
  <si>
    <t>Federico</t>
  </si>
  <si>
    <t>Carro</t>
  </si>
  <si>
    <t>Jueguen</t>
  </si>
  <si>
    <t>Montañes</t>
  </si>
  <si>
    <t>Ferragud</t>
  </si>
  <si>
    <t>Sanchiz</t>
  </si>
  <si>
    <t>Vicenta Maria</t>
  </si>
  <si>
    <t>Gregoria</t>
  </si>
  <si>
    <t>Embolización en aneurisma intracraneal: procedimiento básico</t>
  </si>
  <si>
    <t>Parcalaboiu</t>
  </si>
  <si>
    <t>Carmen Cristina</t>
  </si>
  <si>
    <t xml:space="preserve">Chicano </t>
  </si>
  <si>
    <t>Angiografía cerebral completa y selectiva: Procedimeinto básico</t>
  </si>
  <si>
    <t>Sanchis-Estal</t>
  </si>
  <si>
    <t>Antonio Ramón</t>
  </si>
  <si>
    <t>Otriz</t>
  </si>
  <si>
    <t>Comenadador</t>
  </si>
  <si>
    <t>Lomas</t>
  </si>
  <si>
    <t>Felisa</t>
  </si>
  <si>
    <t xml:space="preserve">Verdejo </t>
  </si>
  <si>
    <t>Angiografía cerebral compleja y selectiva: Procedimiento básico</t>
  </si>
  <si>
    <t>Espert</t>
  </si>
  <si>
    <t>Rosario</t>
  </si>
  <si>
    <t>Osada</t>
  </si>
  <si>
    <t>Carillo</t>
  </si>
  <si>
    <t>M Amparo</t>
  </si>
  <si>
    <t>Embo malfor arterio vens: proc basic</t>
  </si>
  <si>
    <t>Adulro</t>
  </si>
  <si>
    <t>Embo malformación vasc ven mediante esclerosis</t>
  </si>
  <si>
    <t>Fuente de la</t>
  </si>
  <si>
    <t>Abelardo</t>
  </si>
  <si>
    <t>Boyer</t>
  </si>
  <si>
    <t>Tto pércneo de malfor vasces mediante esclerosis</t>
  </si>
  <si>
    <t>Hervas</t>
  </si>
  <si>
    <t>Cabeza</t>
  </si>
  <si>
    <t>Maria Jesus</t>
  </si>
  <si>
    <t>Tto endov de la insuficiencia ven mediante radiofrecuencia</t>
  </si>
  <si>
    <t>Gutierrez</t>
  </si>
  <si>
    <t>Rufino</t>
  </si>
  <si>
    <t>Emilio Miguel</t>
  </si>
  <si>
    <t>Hidalgo</t>
  </si>
  <si>
    <t>Juan Bienvenido</t>
  </si>
  <si>
    <t>Fornas</t>
  </si>
  <si>
    <t>Lanza</t>
  </si>
  <si>
    <t>Miñana</t>
  </si>
  <si>
    <t>Franco</t>
  </si>
  <si>
    <t>Pedro Juan</t>
  </si>
  <si>
    <t>Duran</t>
  </si>
  <si>
    <t>Clara</t>
  </si>
  <si>
    <t>Tto endov esten oclu en mmii: Proc basic</t>
  </si>
  <si>
    <t>Verdeguer</t>
  </si>
  <si>
    <t>Tto endov esten oclu shunt portcav tips: proc basic</t>
  </si>
  <si>
    <t>Zanon</t>
  </si>
  <si>
    <t>Montesinos</t>
  </si>
  <si>
    <t>Irene</t>
  </si>
  <si>
    <t>Embolización malformación arteriovenosa: Procedimiento básico</t>
  </si>
  <si>
    <t>Borras</t>
  </si>
  <si>
    <t>Lorente</t>
  </si>
  <si>
    <t>Juan Francisco</t>
  </si>
  <si>
    <t>Velez</t>
  </si>
  <si>
    <t>Llinares</t>
  </si>
  <si>
    <t>Fayos</t>
  </si>
  <si>
    <t>Colocación catéter en vena central sin tracto subcutáneo</t>
  </si>
  <si>
    <t>Buso</t>
  </si>
  <si>
    <t>Guillot</t>
  </si>
  <si>
    <t xml:space="preserve">Valero </t>
  </si>
  <si>
    <t>Loaiza</t>
  </si>
  <si>
    <t>Arboleda</t>
  </si>
  <si>
    <t>Yeraldyn</t>
  </si>
  <si>
    <t>Caro</t>
  </si>
  <si>
    <t>M Pilar</t>
  </si>
  <si>
    <t xml:space="preserve">Nagtegaal </t>
  </si>
  <si>
    <t>Gerrit Simon</t>
  </si>
  <si>
    <t>Amat</t>
  </si>
  <si>
    <t>Imposible</t>
  </si>
  <si>
    <t>Embolización de hemorrajias dig alta: Procedimiento básico</t>
  </si>
  <si>
    <t>Diez</t>
  </si>
  <si>
    <t>Serena</t>
  </si>
  <si>
    <t>Josefa Ana</t>
  </si>
  <si>
    <t>Tortula</t>
  </si>
  <si>
    <t>Baltanas</t>
  </si>
  <si>
    <t>Ayuela</t>
  </si>
  <si>
    <t>Cuadros</t>
  </si>
  <si>
    <t>Costell</t>
  </si>
  <si>
    <t>TTO esten oclu otras arts proc basic</t>
  </si>
  <si>
    <t>Duque</t>
  </si>
  <si>
    <t>Robledo</t>
  </si>
  <si>
    <t>Benjamin</t>
  </si>
  <si>
    <t>Blesa</t>
  </si>
  <si>
    <t>Tto endov esten oclu en mmii: poc basic</t>
  </si>
  <si>
    <t xml:space="preserve">Carrasco </t>
  </si>
  <si>
    <t>Chaumel</t>
  </si>
  <si>
    <t>De Juan</t>
  </si>
  <si>
    <t>Oriola</t>
  </si>
  <si>
    <t>Jesus</t>
  </si>
  <si>
    <t>Andreo</t>
  </si>
  <si>
    <t>Dominguez</t>
  </si>
  <si>
    <t>Arteriografía tronc visc dig</t>
  </si>
  <si>
    <t>Magro</t>
  </si>
  <si>
    <t>Bimbara</t>
  </si>
  <si>
    <t>José Candido</t>
  </si>
  <si>
    <t xml:space="preserve">Ponce </t>
  </si>
  <si>
    <t xml:space="preserve">Corcoles </t>
  </si>
  <si>
    <t>Valcarcel</t>
  </si>
  <si>
    <t>Gavara</t>
  </si>
  <si>
    <t xml:space="preserve">Saiz </t>
  </si>
  <si>
    <t xml:space="preserve">Cea </t>
  </si>
  <si>
    <t>Angel Ramundo</t>
  </si>
  <si>
    <t>Milla</t>
  </si>
  <si>
    <t>Vela</t>
  </si>
  <si>
    <t>Enrique Vicente</t>
  </si>
  <si>
    <t xml:space="preserve">Comendador </t>
  </si>
  <si>
    <t>Tto endov aneu sector iliaco: proc basic</t>
  </si>
  <si>
    <t>Miozzotty Gerardene</t>
  </si>
  <si>
    <t>El Fahoul</t>
  </si>
  <si>
    <t>Abdelouhed</t>
  </si>
  <si>
    <t>Chofre</t>
  </si>
  <si>
    <t>Arago</t>
  </si>
  <si>
    <t>Santabalbina</t>
  </si>
  <si>
    <t>Perales</t>
  </si>
  <si>
    <t>Barbara</t>
  </si>
  <si>
    <t>Leonides</t>
  </si>
  <si>
    <t xml:space="preserve">Illiana </t>
  </si>
  <si>
    <t>Carrion</t>
  </si>
  <si>
    <t>Suarez</t>
  </si>
  <si>
    <t>Valdivia</t>
  </si>
  <si>
    <t>Carmen Rosa</t>
  </si>
  <si>
    <t>Maldonado</t>
  </si>
  <si>
    <t>Angiografía cerebral completa y selectiva: Procedimiento básico</t>
  </si>
  <si>
    <t>Embolización de hemorraj dig alta: proc basic</t>
  </si>
  <si>
    <t xml:space="preserve">Rubio </t>
  </si>
  <si>
    <t>Osma</t>
  </si>
  <si>
    <t>Ferrero</t>
  </si>
  <si>
    <t>Conlangio percutánea</t>
  </si>
  <si>
    <t>Colomer</t>
  </si>
  <si>
    <t>Monzo</t>
  </si>
  <si>
    <t>Agustin</t>
  </si>
  <si>
    <t>Arteriografía tron: visc dig</t>
  </si>
  <si>
    <t>Claramunt</t>
  </si>
  <si>
    <t>Arantxa</t>
  </si>
  <si>
    <t>Peñafiel</t>
  </si>
  <si>
    <t>Miret</t>
  </si>
  <si>
    <t>Juan Jose</t>
  </si>
  <si>
    <t>Shunt portocava pércneo tips: procedimiento básico</t>
  </si>
  <si>
    <t xml:space="preserve">Bravo </t>
  </si>
  <si>
    <t>Esmeralda</t>
  </si>
  <si>
    <t>Calvillo</t>
  </si>
  <si>
    <t>Matamoros</t>
  </si>
  <si>
    <t>Eleuterio</t>
  </si>
  <si>
    <t>Bleda</t>
  </si>
  <si>
    <t>Madera</t>
  </si>
  <si>
    <t>BLasco</t>
  </si>
  <si>
    <t>Galiana</t>
  </si>
  <si>
    <t>Blanes</t>
  </si>
  <si>
    <t>Embolización renal: Procedimiento básico</t>
  </si>
  <si>
    <t>Pestouire</t>
  </si>
  <si>
    <t>Marina</t>
  </si>
  <si>
    <t>M Merced</t>
  </si>
  <si>
    <t>Quiros</t>
  </si>
  <si>
    <t>Miguel Enrique</t>
  </si>
  <si>
    <t>Arteriografía de mmss</t>
  </si>
  <si>
    <t>Correixa</t>
  </si>
  <si>
    <t>Xardo</t>
  </si>
  <si>
    <t>Embolización por hemorraj por trauma: Proc basic</t>
  </si>
  <si>
    <t>Canovas</t>
  </si>
  <si>
    <t>Baltasar</t>
  </si>
  <si>
    <t>De la Rosa</t>
  </si>
  <si>
    <t>Embolización de aneus artes: Procedimiento básico</t>
  </si>
  <si>
    <t>Tto de endov en fistulas de hemdial: proc basic</t>
  </si>
  <si>
    <t>Estero</t>
  </si>
  <si>
    <t>Codoñer</t>
  </si>
  <si>
    <t>Viente</t>
  </si>
  <si>
    <t>Ainhoa</t>
  </si>
  <si>
    <t>Beneto</t>
  </si>
  <si>
    <t>Amer</t>
  </si>
  <si>
    <t>ana</t>
  </si>
  <si>
    <t>Colangio percutánea</t>
  </si>
  <si>
    <t>Vilares</t>
  </si>
  <si>
    <t>Eduardo Jose</t>
  </si>
  <si>
    <t>Jose Abel</t>
  </si>
  <si>
    <t>Cavografía superior</t>
  </si>
  <si>
    <t>Geonete</t>
  </si>
  <si>
    <t>Stefania</t>
  </si>
  <si>
    <t>Lago</t>
  </si>
  <si>
    <t>Lorena</t>
  </si>
  <si>
    <t>Mestre</t>
  </si>
  <si>
    <t xml:space="preserve">Fernandez </t>
  </si>
  <si>
    <t>Jose Carlos</t>
  </si>
  <si>
    <t>Herranz</t>
  </si>
  <si>
    <t>Arevalo</t>
  </si>
  <si>
    <t>Estudio electrofisiológico y ablación</t>
  </si>
  <si>
    <t>Electrofisiología</t>
  </si>
  <si>
    <t>Jose Lorenzo</t>
  </si>
  <si>
    <t>Ernesto</t>
  </si>
  <si>
    <t>Implante de marcapasos y desfribiladores</t>
  </si>
  <si>
    <t>De la Camara</t>
  </si>
  <si>
    <t>Elihu</t>
  </si>
  <si>
    <t>Ceruti</t>
  </si>
  <si>
    <t>Alfonso Mauricio</t>
  </si>
  <si>
    <t>---</t>
  </si>
  <si>
    <t>Bimbarra</t>
  </si>
  <si>
    <t>Jose Candido</t>
  </si>
  <si>
    <t>Nieves</t>
  </si>
  <si>
    <t>Embolización de hemorrajias por trauma: procedimiento básico</t>
  </si>
  <si>
    <t>Ors</t>
  </si>
  <si>
    <t>Tto en fistulas de hemdial: proc basic</t>
  </si>
  <si>
    <t>Embolización malformaciones arteiovenosas: Procedimiento básico</t>
  </si>
  <si>
    <t>Revert</t>
  </si>
  <si>
    <t>Cabo</t>
  </si>
  <si>
    <t>Domigno Vicente</t>
  </si>
  <si>
    <t>Antolin</t>
  </si>
  <si>
    <t>Carreras</t>
  </si>
  <si>
    <t>Devis</t>
  </si>
  <si>
    <t>Cominches</t>
  </si>
  <si>
    <t>Jorda</t>
  </si>
  <si>
    <t>MArtinez</t>
  </si>
  <si>
    <t>Escrig</t>
  </si>
  <si>
    <t>Aparici</t>
  </si>
  <si>
    <t>Juan Benito</t>
  </si>
  <si>
    <t>Mormeneo</t>
  </si>
  <si>
    <t>Maria Elisa</t>
  </si>
  <si>
    <t>ruiz</t>
  </si>
  <si>
    <t>Engra</t>
  </si>
  <si>
    <t>Retamal</t>
  </si>
  <si>
    <t>Puentes</t>
  </si>
  <si>
    <t>alegre</t>
  </si>
  <si>
    <t>Victor</t>
  </si>
  <si>
    <t>Jair</t>
  </si>
  <si>
    <t xml:space="preserve">Simeon </t>
  </si>
  <si>
    <t>Acebedo</t>
  </si>
  <si>
    <t>Romacho</t>
  </si>
  <si>
    <t>Francsico</t>
  </si>
  <si>
    <t>Perreira</t>
  </si>
  <si>
    <t>Carrio</t>
  </si>
  <si>
    <t>Miriam</t>
  </si>
  <si>
    <t>Mira</t>
  </si>
  <si>
    <t>Domitila</t>
  </si>
  <si>
    <t>Araya</t>
  </si>
  <si>
    <t>Alarcon</t>
  </si>
  <si>
    <t>Eladia de la Cruz</t>
  </si>
  <si>
    <t>Aradias</t>
  </si>
  <si>
    <t>Antelo</t>
  </si>
  <si>
    <t>Mezquida</t>
  </si>
  <si>
    <t>Monfort</t>
  </si>
  <si>
    <t>Vicente Francisco</t>
  </si>
  <si>
    <t>Aguayo</t>
  </si>
  <si>
    <t>Josue</t>
  </si>
  <si>
    <t>Mañas</t>
  </si>
  <si>
    <t>Lllavata</t>
  </si>
  <si>
    <t>Gorriz</t>
  </si>
  <si>
    <t>Leyva</t>
  </si>
  <si>
    <t>Espin</t>
  </si>
  <si>
    <t>Maria Rosario</t>
  </si>
  <si>
    <t>rodrigo</t>
  </si>
  <si>
    <t>Butron</t>
  </si>
  <si>
    <t>Ismael</t>
  </si>
  <si>
    <t>Luengo</t>
  </si>
  <si>
    <t>Siurana</t>
  </si>
  <si>
    <t>alabau</t>
  </si>
  <si>
    <t>Bayona</t>
  </si>
  <si>
    <t>Cortijo</t>
  </si>
  <si>
    <t>Rozalen</t>
  </si>
  <si>
    <t>Implante/explante de holter subcutáneo</t>
  </si>
  <si>
    <t>Cerisier</t>
  </si>
  <si>
    <t>Dubernoy</t>
  </si>
  <si>
    <t>Lorna Beatrice</t>
  </si>
  <si>
    <t>Amador</t>
  </si>
  <si>
    <t>Corts</t>
  </si>
  <si>
    <t>M Dolores</t>
  </si>
  <si>
    <t>Revisión de herida quirúrgica</t>
  </si>
  <si>
    <t>Catalan</t>
  </si>
  <si>
    <t>Isidro</t>
  </si>
  <si>
    <t>Teodora</t>
  </si>
  <si>
    <t>Sabalete</t>
  </si>
  <si>
    <t>Recuero</t>
  </si>
  <si>
    <t>Pedro Angel</t>
  </si>
  <si>
    <t>Moret</t>
  </si>
  <si>
    <t>Dupla</t>
  </si>
  <si>
    <t>Lapuerta</t>
  </si>
  <si>
    <t>Vallejo</t>
  </si>
  <si>
    <t>Agapito</t>
  </si>
  <si>
    <t>Delgadillo</t>
  </si>
  <si>
    <t>Panozo</t>
  </si>
  <si>
    <t>Eufemia altagracia</t>
  </si>
  <si>
    <t>Sampere</t>
  </si>
  <si>
    <t>Albiach</t>
  </si>
  <si>
    <t>Candela</t>
  </si>
  <si>
    <t>Fabra</t>
  </si>
  <si>
    <t>Embolización malformación vascular venosa mediante esclerosis</t>
  </si>
  <si>
    <t>Molins</t>
  </si>
  <si>
    <t>Arteriografía tron vis dig</t>
  </si>
  <si>
    <t>Vicente Tomas</t>
  </si>
  <si>
    <t>Simon</t>
  </si>
  <si>
    <t>Miguel Antonio</t>
  </si>
  <si>
    <t>Carpena</t>
  </si>
  <si>
    <t>Domenech</t>
  </si>
  <si>
    <t>Lleo</t>
  </si>
  <si>
    <t>Guadalupe</t>
  </si>
  <si>
    <t>Moliner</t>
  </si>
  <si>
    <t>Infilltración articular</t>
  </si>
  <si>
    <t>Colon</t>
  </si>
  <si>
    <t>Valentin</t>
  </si>
  <si>
    <t>Maximino</t>
  </si>
  <si>
    <t>Carretero</t>
  </si>
  <si>
    <t>Sierchio</t>
  </si>
  <si>
    <t>Ronald</t>
  </si>
  <si>
    <t>Alcañiz</t>
  </si>
  <si>
    <t>Cateterización retrograda catéter J</t>
  </si>
  <si>
    <t>Gutierez</t>
  </si>
  <si>
    <t>Asensio</t>
  </si>
  <si>
    <t>Garzon</t>
  </si>
  <si>
    <t>Salas</t>
  </si>
  <si>
    <t>Visier</t>
  </si>
  <si>
    <t>Vizarraga</t>
  </si>
  <si>
    <t>Menchon</t>
  </si>
  <si>
    <t>Manuel Jose</t>
  </si>
  <si>
    <t>Venegas</t>
  </si>
  <si>
    <t>Rosa Bonifacia</t>
  </si>
  <si>
    <t>Ricos</t>
  </si>
  <si>
    <t>Gimeno</t>
  </si>
  <si>
    <t>San Andres</t>
  </si>
  <si>
    <t>Barrios</t>
  </si>
  <si>
    <t>Trujillo</t>
  </si>
  <si>
    <t>Rapado</t>
  </si>
  <si>
    <t>Toro</t>
  </si>
  <si>
    <t>Carlos Fernando</t>
  </si>
  <si>
    <t>Aprile</t>
  </si>
  <si>
    <t>Koupliakov</t>
  </si>
  <si>
    <t>Vladimir</t>
  </si>
  <si>
    <t>Ceron</t>
  </si>
  <si>
    <t>Valle</t>
  </si>
  <si>
    <t>M Natividad</t>
  </si>
  <si>
    <t>Porras</t>
  </si>
  <si>
    <t>Galian</t>
  </si>
  <si>
    <t>Granero</t>
  </si>
  <si>
    <t>Daniel</t>
  </si>
  <si>
    <t>Cateterismo cardiaco</t>
  </si>
  <si>
    <t>Bataller</t>
  </si>
  <si>
    <t>M Jesus</t>
  </si>
  <si>
    <t>Aslikyan</t>
  </si>
  <si>
    <t>Ararat</t>
  </si>
  <si>
    <t>almendros</t>
  </si>
  <si>
    <t>Jabeen</t>
  </si>
  <si>
    <t>Zohra</t>
  </si>
  <si>
    <t>Cabanilles</t>
  </si>
  <si>
    <t>Juana M</t>
  </si>
  <si>
    <t>Castellanos</t>
  </si>
  <si>
    <t>Varela</t>
  </si>
  <si>
    <t>Ferrairo</t>
  </si>
  <si>
    <t>Signes</t>
  </si>
  <si>
    <t>Jose Juan</t>
  </si>
  <si>
    <t>alfaro</t>
  </si>
  <si>
    <t>Nicolas Francisco</t>
  </si>
  <si>
    <t>Pardal</t>
  </si>
  <si>
    <t>Francsico Javier</t>
  </si>
  <si>
    <t>Alandes</t>
  </si>
  <si>
    <t>Dulse</t>
  </si>
  <si>
    <t>Bas</t>
  </si>
  <si>
    <t>Jose Antonio</t>
  </si>
  <si>
    <t>Garrigos</t>
  </si>
  <si>
    <t>Cordero</t>
  </si>
  <si>
    <t>Recambio de generador</t>
  </si>
  <si>
    <t>Vessesi</t>
  </si>
  <si>
    <t>Jose Maria</t>
  </si>
  <si>
    <t>Asensi</t>
  </si>
  <si>
    <t>Sandiego</t>
  </si>
  <si>
    <t>M Jose</t>
  </si>
  <si>
    <t>Bernabe</t>
  </si>
  <si>
    <t>Miro</t>
  </si>
  <si>
    <t>Rosero</t>
  </si>
  <si>
    <t>Murcia</t>
  </si>
  <si>
    <t>Luz Marina</t>
  </si>
  <si>
    <t>Davia</t>
  </si>
  <si>
    <t>Embolización de hemorraj dig baja: procedimiento básico</t>
  </si>
  <si>
    <t xml:space="preserve">Pastor </t>
  </si>
  <si>
    <t>Sansaloni</t>
  </si>
  <si>
    <t>Carla</t>
  </si>
  <si>
    <t>Hortensia Alicia</t>
  </si>
  <si>
    <t>Vidiella</t>
  </si>
  <si>
    <t>Nereida</t>
  </si>
  <si>
    <t>Elez-Villarroel</t>
  </si>
  <si>
    <t>Cubel</t>
  </si>
  <si>
    <t>Maria Laura</t>
  </si>
  <si>
    <t xml:space="preserve">Hens </t>
  </si>
  <si>
    <t>Aiteur</t>
  </si>
  <si>
    <t>Rodirguez</t>
  </si>
  <si>
    <t>Alain</t>
  </si>
  <si>
    <t>Rizolisis mediante radiofrecuencia</t>
  </si>
  <si>
    <t>Soto</t>
  </si>
  <si>
    <t>Arnau</t>
  </si>
  <si>
    <t>Maria Remedios</t>
  </si>
  <si>
    <t>Anastasio</t>
  </si>
  <si>
    <t>Villares</t>
  </si>
  <si>
    <t>Tto esten oclu otras arts: procedimiento básico</t>
  </si>
  <si>
    <t>Torrecilla</t>
  </si>
  <si>
    <t>Alcantara</t>
  </si>
  <si>
    <t>Dastis</t>
  </si>
  <si>
    <t>Francisco J</t>
  </si>
  <si>
    <t>Agusti</t>
  </si>
  <si>
    <t>Arturo</t>
  </si>
  <si>
    <t>Camarasa</t>
  </si>
  <si>
    <t>Diranzo</t>
  </si>
  <si>
    <t>Bravo</t>
  </si>
  <si>
    <t>Julian</t>
  </si>
  <si>
    <t>Traves</t>
  </si>
  <si>
    <t>Ribes</t>
  </si>
  <si>
    <t>Neculai</t>
  </si>
  <si>
    <t>Anasa</t>
  </si>
  <si>
    <t>Barai</t>
  </si>
  <si>
    <t>Cabrera</t>
  </si>
  <si>
    <t>Illueca</t>
  </si>
  <si>
    <t>Rodenas</t>
  </si>
  <si>
    <t>Joaquin Salvador</t>
  </si>
  <si>
    <t>De la Fuente</t>
  </si>
  <si>
    <t>Tiburcio</t>
  </si>
  <si>
    <t>Yusa</t>
  </si>
  <si>
    <t>Jackson</t>
  </si>
  <si>
    <t>Cristopher</t>
  </si>
  <si>
    <t>Miron</t>
  </si>
  <si>
    <t>Vicenta Rosario</t>
  </si>
  <si>
    <t>Viu</t>
  </si>
  <si>
    <t>Nohales</t>
  </si>
  <si>
    <t>Calderon</t>
  </si>
  <si>
    <t>Julio Augustin</t>
  </si>
  <si>
    <t>Villaplana</t>
  </si>
  <si>
    <t>Jose Alberto</t>
  </si>
  <si>
    <t>Ripull</t>
  </si>
  <si>
    <t>Jose Tomas</t>
  </si>
  <si>
    <t>Alon</t>
  </si>
  <si>
    <t>Latre</t>
  </si>
  <si>
    <t>Rioja</t>
  </si>
  <si>
    <t>Teruel</t>
  </si>
  <si>
    <t>Tejeda</t>
  </si>
  <si>
    <t>Legaz</t>
  </si>
  <si>
    <t>Joan Vicent</t>
  </si>
  <si>
    <t>Aparicio</t>
  </si>
  <si>
    <t>Almarza</t>
  </si>
  <si>
    <t>Juan Ramon</t>
  </si>
  <si>
    <t>Romaguera</t>
  </si>
  <si>
    <t>Turdera</t>
  </si>
  <si>
    <t>Cuquerella</t>
  </si>
  <si>
    <t>Cortez</t>
  </si>
  <si>
    <t>Barbero</t>
  </si>
  <si>
    <t>Coloma</t>
  </si>
  <si>
    <t>Sabadin</t>
  </si>
  <si>
    <t>Hugo Ricardo</t>
  </si>
  <si>
    <t>Cocenpcion</t>
  </si>
  <si>
    <t>De Ajenjo</t>
  </si>
  <si>
    <t xml:space="preserve">Concepción </t>
  </si>
  <si>
    <t>De Asensio</t>
  </si>
  <si>
    <t>Marz</t>
  </si>
  <si>
    <t>Felicitacion</t>
  </si>
  <si>
    <t>Cardenas</t>
  </si>
  <si>
    <t>Sandroma</t>
  </si>
  <si>
    <t>Paya</t>
  </si>
  <si>
    <t>Escriva</t>
  </si>
  <si>
    <t>Mor</t>
  </si>
  <si>
    <t>Galve</t>
  </si>
  <si>
    <t>Estudio electrofisiológico de diagnóstico</t>
  </si>
  <si>
    <t>Solaz</t>
  </si>
  <si>
    <t>Alepuz</t>
  </si>
  <si>
    <t>Mayo</t>
  </si>
  <si>
    <t>Anselmo</t>
  </si>
  <si>
    <t>Ripoll</t>
  </si>
  <si>
    <t>Palazon</t>
  </si>
  <si>
    <t>Extracción de dispositivo</t>
  </si>
  <si>
    <t>Vanessa</t>
  </si>
  <si>
    <t>Regalado</t>
  </si>
  <si>
    <t>Maria Lourdes</t>
  </si>
  <si>
    <t>Ibar</t>
  </si>
  <si>
    <t>Gaulia</t>
  </si>
  <si>
    <t>Amelia Maria</t>
  </si>
  <si>
    <t>Pomer</t>
  </si>
  <si>
    <t>Dus</t>
  </si>
  <si>
    <t>Dura</t>
  </si>
  <si>
    <t>Barbancho</t>
  </si>
  <si>
    <t>Mota</t>
  </si>
  <si>
    <t>Embuena</t>
  </si>
  <si>
    <t>Peula</t>
  </si>
  <si>
    <t>Embolización malformación vasc ven mediante esclerosis</t>
  </si>
  <si>
    <t>Tarrega</t>
  </si>
  <si>
    <t>Antonio Jose</t>
  </si>
  <si>
    <t>Sifontes</t>
  </si>
  <si>
    <t>David Antonio</t>
  </si>
  <si>
    <t>Selma</t>
  </si>
  <si>
    <t>Estarelles</t>
  </si>
  <si>
    <t>Dobon</t>
  </si>
  <si>
    <t>Purificación</t>
  </si>
  <si>
    <t>Ramal</t>
  </si>
  <si>
    <t>Guillermina</t>
  </si>
  <si>
    <t>Aranega</t>
  </si>
  <si>
    <t>Herminia</t>
  </si>
  <si>
    <t>Biop con ag bg</t>
  </si>
  <si>
    <t>Samet</t>
  </si>
  <si>
    <t>Ribelles</t>
  </si>
  <si>
    <t>Llobregat</t>
  </si>
  <si>
    <t>Leticia</t>
  </si>
  <si>
    <t>Embolización en otros territorios venosos: Procedimiento básico</t>
  </si>
  <si>
    <t>Sebastian</t>
  </si>
  <si>
    <t>Caudet</t>
  </si>
  <si>
    <t>Tto de lnes vertebrales: vertebroplastia simple</t>
  </si>
  <si>
    <t>Jose Felix</t>
  </si>
  <si>
    <t>Llatas</t>
  </si>
  <si>
    <t>Pop</t>
  </si>
  <si>
    <t>Luminita</t>
  </si>
  <si>
    <t>Leal</t>
  </si>
  <si>
    <t>Wendy Yandira</t>
  </si>
  <si>
    <t>Ciborro</t>
  </si>
  <si>
    <t>Gadalon</t>
  </si>
  <si>
    <t>Labrada</t>
  </si>
  <si>
    <t>Cipriano</t>
  </si>
  <si>
    <t>Jover</t>
  </si>
  <si>
    <t>Rey</t>
  </si>
  <si>
    <t>Natividad J</t>
  </si>
  <si>
    <t>M Luisa</t>
  </si>
  <si>
    <t>Tercero Garcia Muñoz</t>
  </si>
  <si>
    <t>Lin</t>
  </si>
  <si>
    <t>Jianhui</t>
  </si>
  <si>
    <t>Casañ</t>
  </si>
  <si>
    <t>Sauri</t>
  </si>
  <si>
    <t>Otalo</t>
  </si>
  <si>
    <t>Cortina</t>
  </si>
  <si>
    <t>Fabian</t>
  </si>
  <si>
    <t>Rosell</t>
  </si>
  <si>
    <t>Francisco Jose</t>
  </si>
  <si>
    <t>Oviedo</t>
  </si>
  <si>
    <t>De Freire</t>
  </si>
  <si>
    <t>Beatriz Elena</t>
  </si>
  <si>
    <t>Cebolla</t>
  </si>
  <si>
    <t>Alberola</t>
  </si>
  <si>
    <t>Carlos Jose</t>
  </si>
  <si>
    <t>Yorgui</t>
  </si>
  <si>
    <t>Millet</t>
  </si>
  <si>
    <t>Chamarro</t>
  </si>
  <si>
    <t>Jhony</t>
  </si>
  <si>
    <t>Gabaldon</t>
  </si>
  <si>
    <t>Sancasto</t>
  </si>
  <si>
    <t>Colecha</t>
  </si>
  <si>
    <t>Navalon</t>
  </si>
  <si>
    <t>Maria del Pilar</t>
  </si>
  <si>
    <t>Luque</t>
  </si>
  <si>
    <t>Rivert</t>
  </si>
  <si>
    <t>Manuel Antonio</t>
  </si>
  <si>
    <t>Sanso</t>
  </si>
  <si>
    <t>Juan Jesus</t>
  </si>
  <si>
    <t>Colom</t>
  </si>
  <si>
    <t>Campello</t>
  </si>
  <si>
    <t>Espinosa</t>
  </si>
  <si>
    <t>Duan</t>
  </si>
  <si>
    <t>Mangraner</t>
  </si>
  <si>
    <t>Osorio</t>
  </si>
  <si>
    <t>Daurte Dias</t>
  </si>
  <si>
    <t>Carlos Alberto</t>
  </si>
  <si>
    <t>augustin</t>
  </si>
  <si>
    <t>Kostapinov</t>
  </si>
  <si>
    <t>Georgiev</t>
  </si>
  <si>
    <t>Parashkev</t>
  </si>
  <si>
    <t>Zapata</t>
  </si>
  <si>
    <t>Ana Belen</t>
  </si>
  <si>
    <t>Luz</t>
  </si>
  <si>
    <t>Del Saz</t>
  </si>
  <si>
    <t>Carlos Javier</t>
  </si>
  <si>
    <t>Yon</t>
  </si>
  <si>
    <t>Monrabal</t>
  </si>
  <si>
    <t>Otalora</t>
  </si>
  <si>
    <t>Ruiperez</t>
  </si>
  <si>
    <t>Andujar</t>
  </si>
  <si>
    <t>Sampedro</t>
  </si>
  <si>
    <t>Gabaldun</t>
  </si>
  <si>
    <t>Espiago</t>
  </si>
  <si>
    <t>Gheorghiu</t>
  </si>
  <si>
    <t>Elguja</t>
  </si>
  <si>
    <t>Mar</t>
  </si>
  <si>
    <t>Orero</t>
  </si>
  <si>
    <t>M Mar</t>
  </si>
  <si>
    <t>Valiente</t>
  </si>
  <si>
    <t>Araez</t>
  </si>
  <si>
    <t>M del Carmen</t>
  </si>
  <si>
    <t>Barat</t>
  </si>
  <si>
    <t>Barrera</t>
  </si>
  <si>
    <t>Molero</t>
  </si>
  <si>
    <t>Ana Rosa</t>
  </si>
  <si>
    <t xml:space="preserve">Serrano </t>
  </si>
  <si>
    <t>Estudio electrofisiológica diagnóstico</t>
  </si>
  <si>
    <t>Arrue</t>
  </si>
  <si>
    <t>Julio augustin</t>
  </si>
  <si>
    <t>Sevillano</t>
  </si>
  <si>
    <t>Bouhard</t>
  </si>
  <si>
    <t>Arguello</t>
  </si>
  <si>
    <t>Fernando A</t>
  </si>
  <si>
    <t>Olmedo</t>
  </si>
  <si>
    <t>Ureña</t>
  </si>
  <si>
    <t>Sandra</t>
  </si>
  <si>
    <t>Mejia</t>
  </si>
  <si>
    <t>Donayre de Bartra</t>
  </si>
  <si>
    <t>Judith Alina</t>
  </si>
  <si>
    <t>Lechuga</t>
  </si>
  <si>
    <t>Biop percutáneo mediante eco</t>
  </si>
  <si>
    <t>Ariza</t>
  </si>
  <si>
    <t>Hinarejos</t>
  </si>
  <si>
    <t>Abril</t>
  </si>
  <si>
    <t>Pimienta</t>
  </si>
  <si>
    <t>Embolización de anuerismas arteriales: procedimiento básico</t>
  </si>
  <si>
    <t>Drenaje biliar pércneo biliar</t>
  </si>
  <si>
    <t>Llop</t>
  </si>
  <si>
    <t>Vicente Antonio</t>
  </si>
  <si>
    <t>Enrique Manuel</t>
  </si>
  <si>
    <t>Vilela</t>
  </si>
  <si>
    <t>Consuelo Mercedes</t>
  </si>
  <si>
    <t>Giron</t>
  </si>
  <si>
    <t>Gascon</t>
  </si>
  <si>
    <t>Fabeiro</t>
  </si>
  <si>
    <t>Bernardo</t>
  </si>
  <si>
    <t>Antoñero</t>
  </si>
  <si>
    <t>Fabuel</t>
  </si>
  <si>
    <t>Galbach</t>
  </si>
  <si>
    <t>Pallares</t>
  </si>
  <si>
    <t>Estelles</t>
  </si>
  <si>
    <t>Vicente Manuel</t>
  </si>
  <si>
    <t>Pradas</t>
  </si>
  <si>
    <t>Inductivo</t>
  </si>
  <si>
    <t>Abuyan</t>
  </si>
  <si>
    <t>Alvin</t>
  </si>
  <si>
    <t>Catala</t>
  </si>
  <si>
    <t>Perriz</t>
  </si>
  <si>
    <t>Petra</t>
  </si>
  <si>
    <t>Julio</t>
  </si>
  <si>
    <t>Del rey</t>
  </si>
  <si>
    <t>Fresneda</t>
  </si>
  <si>
    <t>Isisdro</t>
  </si>
  <si>
    <t>Frodas</t>
  </si>
  <si>
    <t>Cordon</t>
  </si>
  <si>
    <t>Eva</t>
  </si>
  <si>
    <t>Sabater</t>
  </si>
  <si>
    <t>Estevez</t>
  </si>
  <si>
    <t>Yelamo</t>
  </si>
  <si>
    <t>Bruccheri</t>
  </si>
  <si>
    <t>Leiva</t>
  </si>
  <si>
    <t>Molinero</t>
  </si>
  <si>
    <t>Rossetti</t>
  </si>
  <si>
    <t>Toledano</t>
  </si>
  <si>
    <t>Burgos</t>
  </si>
  <si>
    <t>Oro</t>
  </si>
  <si>
    <t>Botica</t>
  </si>
  <si>
    <t>Rosi</t>
  </si>
  <si>
    <t>Patrocinio</t>
  </si>
  <si>
    <t>Cañizares</t>
  </si>
  <si>
    <t>Espejo</t>
  </si>
  <si>
    <t>Eufemio</t>
  </si>
  <si>
    <t>Estudio electrofisiológico diagnóstico</t>
  </si>
  <si>
    <t>Tormos</t>
  </si>
  <si>
    <t>Maria Victoria</t>
  </si>
  <si>
    <t>Berna</t>
  </si>
  <si>
    <t>Lizan</t>
  </si>
  <si>
    <t>Peralta</t>
  </si>
  <si>
    <t>Aparisi</t>
  </si>
  <si>
    <t>Tto endov esten en oclu en mmii: proc basic</t>
  </si>
  <si>
    <t>Rizolisis mediante infiltración</t>
  </si>
  <si>
    <t>Fortun</t>
  </si>
  <si>
    <t>Jesus Pedro</t>
  </si>
  <si>
    <t>Ridolles</t>
  </si>
  <si>
    <t>Massi</t>
  </si>
  <si>
    <t>Flavio</t>
  </si>
  <si>
    <t>Tto endov aneu de aorta abd conram o fenes: proc basic</t>
  </si>
  <si>
    <t>Tto endov esten oclu en mmiii: proc basic</t>
  </si>
  <si>
    <t>Vanesa</t>
  </si>
  <si>
    <t>Embolización venosa pélvica: procedimiento básico</t>
  </si>
  <si>
    <t>Drenaje biliar pércneo</t>
  </si>
  <si>
    <t>Hilaria</t>
  </si>
  <si>
    <t>Araujo</t>
  </si>
  <si>
    <t>Nicolas Avelino</t>
  </si>
  <si>
    <t>Enriquez</t>
  </si>
  <si>
    <t>Salort</t>
  </si>
  <si>
    <t>Caseres</t>
  </si>
  <si>
    <t>Camarero</t>
  </si>
  <si>
    <t>Faustina</t>
  </si>
  <si>
    <t>Guido</t>
  </si>
  <si>
    <t xml:space="preserve">Llanos </t>
  </si>
  <si>
    <t>Jose Mauricio</t>
  </si>
  <si>
    <t>Acebron</t>
  </si>
  <si>
    <t>Albal</t>
  </si>
  <si>
    <t>Maria Luisa</t>
  </si>
  <si>
    <t>Pernias</t>
  </si>
  <si>
    <t>Cozar</t>
  </si>
  <si>
    <t>Pleguezuelos</t>
  </si>
  <si>
    <t>Abraham</t>
  </si>
  <si>
    <t>Mauri</t>
  </si>
  <si>
    <t>Oviedo de</t>
  </si>
  <si>
    <t>Freire</t>
  </si>
  <si>
    <t>Blanquez</t>
  </si>
  <si>
    <t>Parreño</t>
  </si>
  <si>
    <t>Corcoles</t>
  </si>
  <si>
    <t>Garringa</t>
  </si>
  <si>
    <t>Polz</t>
  </si>
  <si>
    <t>Motalban</t>
  </si>
  <si>
    <t>Funfria</t>
  </si>
  <si>
    <t>Raquel</t>
  </si>
  <si>
    <t>Trapero</t>
  </si>
  <si>
    <t xml:space="preserve">Lledo </t>
  </si>
  <si>
    <t>Antonio Sebastian</t>
  </si>
  <si>
    <t>Trotosa</t>
  </si>
  <si>
    <t>Vicenta Matilde</t>
  </si>
  <si>
    <t>Aristototeles Irineo</t>
  </si>
  <si>
    <t>Riquelme</t>
  </si>
  <si>
    <t>Valderas</t>
  </si>
  <si>
    <t>Ginesa</t>
  </si>
  <si>
    <t>Bayena</t>
  </si>
  <si>
    <t>Breso</t>
  </si>
  <si>
    <t>Adsuara</t>
  </si>
  <si>
    <t>Pablo</t>
  </si>
  <si>
    <t>Getulio</t>
  </si>
  <si>
    <t>Lleusma</t>
  </si>
  <si>
    <t>Vega</t>
  </si>
  <si>
    <t>Maria Josefa</t>
  </si>
  <si>
    <t>Meagher</t>
  </si>
  <si>
    <t>Janet Lynn</t>
  </si>
  <si>
    <t>Picon</t>
  </si>
  <si>
    <t>Jose Domingo</t>
  </si>
  <si>
    <t>Mensua</t>
  </si>
  <si>
    <t>Calzado</t>
  </si>
  <si>
    <t>Rivera</t>
  </si>
  <si>
    <t>Baquero</t>
  </si>
  <si>
    <t>Valdelomar</t>
  </si>
  <si>
    <t>Juan Gabriel</t>
  </si>
  <si>
    <t>Gerique</t>
  </si>
  <si>
    <t>Alcaraz</t>
  </si>
  <si>
    <t>Terriza</t>
  </si>
  <si>
    <t>Antonio Rafael</t>
  </si>
  <si>
    <t>Guillamon</t>
  </si>
  <si>
    <t xml:space="preserve">Marti </t>
  </si>
  <si>
    <t>Liberto</t>
  </si>
  <si>
    <t>Purificacion</t>
  </si>
  <si>
    <t>Mulet</t>
  </si>
  <si>
    <t>Balbestre</t>
  </si>
  <si>
    <t>Lafuente</t>
  </si>
  <si>
    <t>Jose Joaquin</t>
  </si>
  <si>
    <t>Centelles</t>
  </si>
  <si>
    <t>Tto endov esten oclu en mmii: proc basic</t>
  </si>
  <si>
    <t>Trull</t>
  </si>
  <si>
    <t>Alejandra</t>
  </si>
  <si>
    <t>Slimani</t>
  </si>
  <si>
    <t>Embolización variocele: Procedimiento básico</t>
  </si>
  <si>
    <t>Tto endov fistulas de hemdial: proc basic</t>
  </si>
  <si>
    <t>Chanza</t>
  </si>
  <si>
    <t>M Mercedes</t>
  </si>
  <si>
    <t>Bori</t>
  </si>
  <si>
    <t>Medrano</t>
  </si>
  <si>
    <t>Atienzar</t>
  </si>
  <si>
    <t>Breva</t>
  </si>
  <si>
    <t>Cuellar</t>
  </si>
  <si>
    <t>Percy</t>
  </si>
  <si>
    <t>Beyte</t>
  </si>
  <si>
    <t>M Barbara</t>
  </si>
  <si>
    <t>Caler</t>
  </si>
  <si>
    <t>Torro</t>
  </si>
  <si>
    <t>Gosalbez</t>
  </si>
  <si>
    <t>Invernon</t>
  </si>
  <si>
    <t>Gabarre</t>
  </si>
  <si>
    <t>Modrego</t>
  </si>
  <si>
    <t>Caldetey</t>
  </si>
  <si>
    <t>Miguel Fernando</t>
  </si>
  <si>
    <t>Rehman</t>
  </si>
  <si>
    <t>Abdul</t>
  </si>
  <si>
    <t xml:space="preserve">Chen </t>
  </si>
  <si>
    <t>Xu</t>
  </si>
  <si>
    <t>Hermida</t>
  </si>
  <si>
    <t>Arevalos</t>
  </si>
  <si>
    <t>Osmar Nicolas</t>
  </si>
  <si>
    <t>Encarnacion</t>
  </si>
  <si>
    <t>Cases</t>
  </si>
  <si>
    <t>Ordinez</t>
  </si>
  <si>
    <t>Fuentes</t>
  </si>
  <si>
    <t xml:space="preserve">Dios de </t>
  </si>
  <si>
    <t>Victoriano</t>
  </si>
  <si>
    <t>Toran</t>
  </si>
  <si>
    <t>Talaverano</t>
  </si>
  <si>
    <t>Silva</t>
  </si>
  <si>
    <t>Gamez</t>
  </si>
  <si>
    <t>Arsova</t>
  </si>
  <si>
    <t>Geogieva</t>
  </si>
  <si>
    <t>Erka</t>
  </si>
  <si>
    <t>Antonja</t>
  </si>
  <si>
    <t>Grancha</t>
  </si>
  <si>
    <t>Alabau</t>
  </si>
  <si>
    <t>Perpiña</t>
  </si>
  <si>
    <t>Montorio</t>
  </si>
  <si>
    <t>Cotillas</t>
  </si>
  <si>
    <t>J Enrique</t>
  </si>
  <si>
    <t>Bronchal</t>
  </si>
  <si>
    <t>Martina</t>
  </si>
  <si>
    <t>Sebastia</t>
  </si>
  <si>
    <t>Mocholi</t>
  </si>
  <si>
    <t>Renales</t>
  </si>
  <si>
    <t>Paricio</t>
  </si>
  <si>
    <t>Jose Nestor</t>
  </si>
  <si>
    <t>Buj</t>
  </si>
  <si>
    <t>Estrela</t>
  </si>
  <si>
    <t>Guzalbes</t>
  </si>
  <si>
    <t>Mondajer</t>
  </si>
  <si>
    <t>Murales</t>
  </si>
  <si>
    <t>Marco Antonio</t>
  </si>
  <si>
    <t xml:space="preserve">Ben </t>
  </si>
  <si>
    <t>Abdallah</t>
  </si>
  <si>
    <t>Safia</t>
  </si>
  <si>
    <t>Miklosi</t>
  </si>
  <si>
    <t>Betrik</t>
  </si>
  <si>
    <t>Violeta Kristzi</t>
  </si>
  <si>
    <t>Puche</t>
  </si>
  <si>
    <t>Cosin</t>
  </si>
  <si>
    <t>Planes</t>
  </si>
  <si>
    <t>Bolea</t>
  </si>
  <si>
    <t>Lluis</t>
  </si>
  <si>
    <t>Josa</t>
  </si>
  <si>
    <t>Bayo</t>
  </si>
  <si>
    <t>Tto esten oclu ms: Proc basic</t>
  </si>
  <si>
    <t>Mislata</t>
  </si>
  <si>
    <t>Escamilla</t>
  </si>
  <si>
    <t>Whitbread</t>
  </si>
  <si>
    <t>Vilanova</t>
  </si>
  <si>
    <t>Narvaez</t>
  </si>
  <si>
    <t>Monton</t>
  </si>
  <si>
    <t>Gurrea</t>
  </si>
  <si>
    <t xml:space="preserve">Pasi </t>
  </si>
  <si>
    <t>Duart</t>
  </si>
  <si>
    <t>Juliana</t>
  </si>
  <si>
    <t>Olcina</t>
  </si>
  <si>
    <t>Carchano</t>
  </si>
  <si>
    <t>Mariano</t>
  </si>
  <si>
    <t>Ceba</t>
  </si>
  <si>
    <t>Llisto</t>
  </si>
  <si>
    <t>Candelario</t>
  </si>
  <si>
    <t>Iris Isabel</t>
  </si>
  <si>
    <t>El Mateb</t>
  </si>
  <si>
    <t>Meligy</t>
  </si>
  <si>
    <t>Khaleb</t>
  </si>
  <si>
    <t>Ombuena</t>
  </si>
  <si>
    <t>Remigio</t>
  </si>
  <si>
    <t>Ana Vanesa</t>
  </si>
  <si>
    <t>Recaj</t>
  </si>
  <si>
    <t>Padilla</t>
  </si>
  <si>
    <t>Comes</t>
  </si>
  <si>
    <t>Rosa Maria</t>
  </si>
  <si>
    <t>Quintana</t>
  </si>
  <si>
    <t>Galiano</t>
  </si>
  <si>
    <t>Maria Eugenia</t>
  </si>
  <si>
    <t>Centeno</t>
  </si>
  <si>
    <t>Llorens</t>
  </si>
  <si>
    <t>Manuel Eduardo</t>
  </si>
  <si>
    <t>Hirsch</t>
  </si>
  <si>
    <t>Domingo Daniel</t>
  </si>
  <si>
    <t>Muñoz de Morales</t>
  </si>
  <si>
    <t>Gomez del Moral</t>
  </si>
  <si>
    <t>Juan V</t>
  </si>
  <si>
    <t>Alcover</t>
  </si>
  <si>
    <t>Llorente</t>
  </si>
  <si>
    <t>Ferrera</t>
  </si>
  <si>
    <t xml:space="preserve">Torrome </t>
  </si>
  <si>
    <t>Juan Angel</t>
  </si>
  <si>
    <t>Portoles</t>
  </si>
  <si>
    <t>Vanaclocha</t>
  </si>
  <si>
    <t>Llido</t>
  </si>
  <si>
    <t>Serran</t>
  </si>
  <si>
    <t>Cesar</t>
  </si>
  <si>
    <t>Macias</t>
  </si>
  <si>
    <t>Ivernon</t>
  </si>
  <si>
    <t xml:space="preserve">Hernandez de </t>
  </si>
  <si>
    <t>la Calle</t>
  </si>
  <si>
    <t>Barrero</t>
  </si>
  <si>
    <t>Avargues</t>
  </si>
  <si>
    <t>Mulio</t>
  </si>
  <si>
    <t xml:space="preserve">Marco </t>
  </si>
  <si>
    <t>Tellez</t>
  </si>
  <si>
    <t>Tristante</t>
  </si>
  <si>
    <t>Davila</t>
  </si>
  <si>
    <t>Loayza</t>
  </si>
  <si>
    <t>Mervin Jose</t>
  </si>
  <si>
    <t>Canchingre</t>
  </si>
  <si>
    <t>Alava</t>
  </si>
  <si>
    <t>Juan Fernando</t>
  </si>
  <si>
    <t>Pellicer</t>
  </si>
  <si>
    <t>Ayang</t>
  </si>
  <si>
    <t>Nguema</t>
  </si>
  <si>
    <t>Donet</t>
  </si>
  <si>
    <t>Matilde</t>
  </si>
  <si>
    <t>Navalom</t>
  </si>
  <si>
    <t>Yeray</t>
  </si>
  <si>
    <t>Evangelio</t>
  </si>
  <si>
    <t>Zamorano</t>
  </si>
  <si>
    <t>Eric</t>
  </si>
  <si>
    <t>Nogues</t>
  </si>
  <si>
    <t>Fidel</t>
  </si>
  <si>
    <t>Alaez</t>
  </si>
  <si>
    <t>Myluha</t>
  </si>
  <si>
    <t>Hanna</t>
  </si>
  <si>
    <t>Huesa</t>
  </si>
  <si>
    <t>Vicente Jesus</t>
  </si>
  <si>
    <t>Mortalla</t>
  </si>
  <si>
    <t>Yubero</t>
  </si>
  <si>
    <t>Herminia Vicenta</t>
  </si>
  <si>
    <t>Laureano</t>
  </si>
  <si>
    <t>Dushchenko</t>
  </si>
  <si>
    <t>Oleksandr</t>
  </si>
  <si>
    <t>Nolasco</t>
  </si>
  <si>
    <t>Angeles Vicenta</t>
  </si>
  <si>
    <t>De Paz</t>
  </si>
  <si>
    <t>Loro Emilio</t>
  </si>
  <si>
    <t>Joaquin Vicente</t>
  </si>
  <si>
    <t>Turnero</t>
  </si>
  <si>
    <t>Bernabea</t>
  </si>
  <si>
    <t>Lido</t>
  </si>
  <si>
    <t>Rodrigo del</t>
  </si>
  <si>
    <t>Araque</t>
  </si>
  <si>
    <t>Aleixandre</t>
  </si>
  <si>
    <t>Fito</t>
  </si>
  <si>
    <t>Bayarri</t>
  </si>
  <si>
    <t>Implante de marcapasos y desfibriladores</t>
  </si>
  <si>
    <t>Juan Emiliano</t>
  </si>
  <si>
    <t>Conesa</t>
  </si>
  <si>
    <t>Triviño</t>
  </si>
  <si>
    <t>Doña</t>
  </si>
  <si>
    <t>Caso</t>
  </si>
  <si>
    <t>Monllor</t>
  </si>
  <si>
    <t>Hita</t>
  </si>
  <si>
    <t>Eloy</t>
  </si>
  <si>
    <t>Guardiola</t>
  </si>
  <si>
    <t>Monforte</t>
  </si>
  <si>
    <t>Higinio</t>
  </si>
  <si>
    <t>Vicente Jose</t>
  </si>
  <si>
    <t>Marta Pilar</t>
  </si>
  <si>
    <t>Prats</t>
  </si>
  <si>
    <t>Ruiz Galan</t>
  </si>
  <si>
    <t>Huguet</t>
  </si>
  <si>
    <t>Juncosa</t>
  </si>
  <si>
    <t>Artimiza</t>
  </si>
  <si>
    <t>Stefanescu</t>
  </si>
  <si>
    <t>Casanova</t>
  </si>
  <si>
    <t>Civera</t>
  </si>
  <si>
    <t>Amalia Trinida</t>
  </si>
  <si>
    <t>Moris</t>
  </si>
  <si>
    <t>Ahullana</t>
  </si>
  <si>
    <t>Camps</t>
  </si>
  <si>
    <t>Colomar</t>
  </si>
  <si>
    <t>Zuriaga</t>
  </si>
  <si>
    <t>Sayas</t>
  </si>
  <si>
    <t>Abundio</t>
  </si>
  <si>
    <t>Ordoñez</t>
  </si>
  <si>
    <t>Muriel</t>
  </si>
  <si>
    <t>del Castillo</t>
  </si>
  <si>
    <t>Angio Cerebral completa y selectiva: procedimiento básico</t>
  </si>
  <si>
    <t xml:space="preserve">Tort </t>
  </si>
  <si>
    <t>Fons</t>
  </si>
  <si>
    <t>Mahiques</t>
  </si>
  <si>
    <t>Ramon Carlos</t>
  </si>
  <si>
    <t>Tuñi</t>
  </si>
  <si>
    <t>Vancells</t>
  </si>
  <si>
    <t>Torrejon</t>
  </si>
  <si>
    <t>Jesus Vicente</t>
  </si>
  <si>
    <t>Alonson</t>
  </si>
  <si>
    <t>Campoy</t>
  </si>
  <si>
    <t>Pagan</t>
  </si>
  <si>
    <t>Adelia</t>
  </si>
  <si>
    <t>Sandemetrio</t>
  </si>
  <si>
    <t>Duchenne</t>
  </si>
  <si>
    <t>Mohamed</t>
  </si>
  <si>
    <t>Daoud</t>
  </si>
  <si>
    <t>Bon</t>
  </si>
  <si>
    <t>Benedito</t>
  </si>
  <si>
    <t>Pedros</t>
  </si>
  <si>
    <t>Cateterización retrograda catéter doble J</t>
  </si>
  <si>
    <t>Cordobes</t>
  </si>
  <si>
    <t>Pedro Antonio</t>
  </si>
  <si>
    <t>Prades</t>
  </si>
  <si>
    <t>Viguer</t>
  </si>
  <si>
    <t>Cuñat</t>
  </si>
  <si>
    <t>Vicente Carlos</t>
  </si>
  <si>
    <t>Ambrosio</t>
  </si>
  <si>
    <t>Salavert</t>
  </si>
  <si>
    <t>Pino</t>
  </si>
  <si>
    <t>Genis</t>
  </si>
  <si>
    <t>Monzon</t>
  </si>
  <si>
    <t>Mesado</t>
  </si>
  <si>
    <t>Albiñana</t>
  </si>
  <si>
    <t>Siwat</t>
  </si>
  <si>
    <t>Phlangpraphan</t>
  </si>
  <si>
    <t>Estudio Electrofisiologico diagnostico</t>
  </si>
  <si>
    <t>Monica</t>
  </si>
  <si>
    <t>Fita</t>
  </si>
  <si>
    <t>Estudio Fistula arterioven hemdial</t>
  </si>
  <si>
    <t>Jesus Guillermo</t>
  </si>
  <si>
    <t>Mujica</t>
  </si>
  <si>
    <t>Almenar</t>
  </si>
  <si>
    <t>Enguidanos</t>
  </si>
  <si>
    <t>Fatim</t>
  </si>
  <si>
    <t>Mbow</t>
  </si>
  <si>
    <t>Tornero</t>
  </si>
  <si>
    <t>Maria del Carmen</t>
  </si>
  <si>
    <t>Impante/Explante del Holter Subcutaneo</t>
  </si>
  <si>
    <t>Serra</t>
  </si>
  <si>
    <t>Blas</t>
  </si>
  <si>
    <t>Terpea</t>
  </si>
  <si>
    <t>Emil</t>
  </si>
  <si>
    <t>Magraner</t>
  </si>
  <si>
    <t>Matoses</t>
  </si>
  <si>
    <t>Vilache</t>
  </si>
  <si>
    <t>Extraccion Filtro de cava</t>
  </si>
  <si>
    <t>Embo de Hemorraj dig baja proc basic</t>
  </si>
  <si>
    <t>Peñaranda</t>
  </si>
  <si>
    <t>Bohigues</t>
  </si>
  <si>
    <t>Inocencia</t>
  </si>
  <si>
    <t>Maza</t>
  </si>
  <si>
    <t>Virginija</t>
  </si>
  <si>
    <t>Sakalauskiene</t>
  </si>
  <si>
    <t>Riñon</t>
  </si>
  <si>
    <t>Cotes</t>
  </si>
  <si>
    <t>J Jose Maria</t>
  </si>
  <si>
    <t>Calisaya</t>
  </si>
  <si>
    <t>Intriago</t>
  </si>
  <si>
    <t>Alexia Niurka</t>
  </si>
  <si>
    <t>de Fez</t>
  </si>
  <si>
    <t>Maria Llanos</t>
  </si>
  <si>
    <t>Nievas</t>
  </si>
  <si>
    <t>Montagud</t>
  </si>
  <si>
    <t>Carbayo</t>
  </si>
  <si>
    <t>Angeles</t>
  </si>
  <si>
    <t>Holger</t>
  </si>
  <si>
    <t>Cordoba</t>
  </si>
  <si>
    <t>Josefa Maria Angele</t>
  </si>
  <si>
    <t>Cobos</t>
  </si>
  <si>
    <t>Brugada</t>
  </si>
  <si>
    <t>Magide</t>
  </si>
  <si>
    <t>Estudio Electrofisiologico y ablacion</t>
  </si>
  <si>
    <t>Rosalia Teresa</t>
  </si>
  <si>
    <t>Fenollosa</t>
  </si>
  <si>
    <t>Forner</t>
  </si>
  <si>
    <t>Casimiro</t>
  </si>
  <si>
    <t>Baron</t>
  </si>
  <si>
    <t>Khouyoudi</t>
  </si>
  <si>
    <t>Assaad</t>
  </si>
  <si>
    <t>Maria Pilar</t>
  </si>
  <si>
    <t>Dauden</t>
  </si>
  <si>
    <t>Sahuquillo</t>
  </si>
  <si>
    <t>Roberto</t>
  </si>
  <si>
    <t>Montiel</t>
  </si>
  <si>
    <t>Pico</t>
  </si>
  <si>
    <t>Lindner</t>
  </si>
  <si>
    <t>Elsbe</t>
  </si>
  <si>
    <t>Fresquet</t>
  </si>
  <si>
    <t>Rock</t>
  </si>
  <si>
    <t>Roland Peter</t>
  </si>
  <si>
    <t>Tto de lnes vertebrales: vertebroplastia asistida por balon</t>
  </si>
  <si>
    <t xml:space="preserve">Atienzar </t>
  </si>
  <si>
    <t>Chicote</t>
  </si>
  <si>
    <t>Gavidia</t>
  </si>
  <si>
    <t>Maria Mercedes</t>
  </si>
  <si>
    <t>Villarreal</t>
  </si>
  <si>
    <t>Montalvo</t>
  </si>
  <si>
    <t>Baiget</t>
  </si>
  <si>
    <t>Marigo</t>
  </si>
  <si>
    <t>Borja</t>
  </si>
  <si>
    <t>Linde</t>
  </si>
  <si>
    <t>Arastey</t>
  </si>
  <si>
    <t>Alis</t>
  </si>
  <si>
    <t>Caldito</t>
  </si>
  <si>
    <t>Maga</t>
  </si>
  <si>
    <t>Tto Percneo de malfor vasces mediante esclerosis ped</t>
  </si>
  <si>
    <t>Ratia</t>
  </si>
  <si>
    <t>Sanmartin</t>
  </si>
  <si>
    <t>Dolz</t>
  </si>
  <si>
    <t>Vicente Salvador</t>
  </si>
  <si>
    <t>Lladosa</t>
  </si>
  <si>
    <t>Cabezas</t>
  </si>
  <si>
    <t>Sonsoles</t>
  </si>
  <si>
    <t>Gay</t>
  </si>
  <si>
    <t>Jose Andres</t>
  </si>
  <si>
    <t>Mercader</t>
  </si>
  <si>
    <t>Cuesta</t>
  </si>
  <si>
    <t>Rafael Maximi</t>
  </si>
  <si>
    <t>Martos</t>
  </si>
  <si>
    <t>Monteagudo</t>
  </si>
  <si>
    <t>Compañy</t>
  </si>
  <si>
    <t>Fuste</t>
  </si>
  <si>
    <t>Antequera</t>
  </si>
  <si>
    <t>Peñarrubia</t>
  </si>
  <si>
    <t>del Valle</t>
  </si>
  <si>
    <t>Chafer</t>
  </si>
  <si>
    <t>Nadia</t>
  </si>
  <si>
    <t>Ablacion de tumores oseos</t>
  </si>
  <si>
    <t>Font</t>
  </si>
  <si>
    <t>Tto Endov Esten Oclu en venas hepat proc basic</t>
  </si>
  <si>
    <t>Santana</t>
  </si>
  <si>
    <t>Aradilla</t>
  </si>
  <si>
    <t>Rausell</t>
  </si>
  <si>
    <t>Barranco</t>
  </si>
  <si>
    <t>Carolina</t>
  </si>
  <si>
    <t>Roa</t>
  </si>
  <si>
    <t>Mercado</t>
  </si>
  <si>
    <t>Mitev</t>
  </si>
  <si>
    <t>Iliev</t>
  </si>
  <si>
    <t>Iliya</t>
  </si>
  <si>
    <t>Ruz</t>
  </si>
  <si>
    <t>Juan Luis</t>
  </si>
  <si>
    <t>de la Torre</t>
  </si>
  <si>
    <t>Abolafio</t>
  </si>
  <si>
    <t>Gimenez Galanes</t>
  </si>
  <si>
    <t>Guiterrez</t>
  </si>
  <si>
    <t>Tatay</t>
  </si>
  <si>
    <t>Grifol</t>
  </si>
  <si>
    <t>Dilatacion via biliar</t>
  </si>
  <si>
    <t>Marqueño</t>
  </si>
  <si>
    <t>Filomena</t>
  </si>
  <si>
    <t>Benlloch</t>
  </si>
  <si>
    <t>Punter</t>
  </si>
  <si>
    <t>Maria Desamparados</t>
  </si>
  <si>
    <t>Bañon</t>
  </si>
  <si>
    <t>Estevan</t>
  </si>
  <si>
    <t>Racionero</t>
  </si>
  <si>
    <t>Montaner</t>
  </si>
  <si>
    <t>Barranca</t>
  </si>
  <si>
    <t>Sabido</t>
  </si>
  <si>
    <t>Sirvent</t>
  </si>
  <si>
    <t>Sorolla</t>
  </si>
  <si>
    <t>Palmira</t>
  </si>
  <si>
    <t>Espinola</t>
  </si>
  <si>
    <t>Eugenia</t>
  </si>
  <si>
    <t>Tapiador</t>
  </si>
  <si>
    <t>Feliciano</t>
  </si>
  <si>
    <t>Royo</t>
  </si>
  <si>
    <t>Kringe</t>
  </si>
  <si>
    <t>!! Enviar a Oscar solo los de Vascular</t>
  </si>
  <si>
    <t>NO</t>
  </si>
  <si>
    <t>Francisco Salva</t>
  </si>
  <si>
    <t>Escobar</t>
  </si>
  <si>
    <t>Valls</t>
  </si>
  <si>
    <t>Novejarque</t>
  </si>
  <si>
    <t>Lizcano</t>
  </si>
  <si>
    <t>Sadovskij</t>
  </si>
  <si>
    <t>Alexej</t>
  </si>
  <si>
    <t>Villoslada</t>
  </si>
  <si>
    <t>Jose Luis Manu</t>
  </si>
  <si>
    <t>Vivancos</t>
  </si>
  <si>
    <t>Hermoso</t>
  </si>
  <si>
    <t>Embo miomas uterinos proc basic</t>
  </si>
  <si>
    <t>Batista</t>
  </si>
  <si>
    <t>Ramona Clotilde</t>
  </si>
  <si>
    <t>Barbera</t>
  </si>
  <si>
    <t>Alonso</t>
  </si>
  <si>
    <t>Cerrillo</t>
  </si>
  <si>
    <t>Carole Margaret</t>
  </si>
  <si>
    <t>Alvarado</t>
  </si>
  <si>
    <t>Hugo Alexis</t>
  </si>
  <si>
    <t>Boria</t>
  </si>
  <si>
    <t>Walter Pablo</t>
  </si>
  <si>
    <t>Brines</t>
  </si>
  <si>
    <t>Legaspi</t>
  </si>
  <si>
    <t>Abelleira</t>
  </si>
  <si>
    <t>Olegario Vicente</t>
  </si>
  <si>
    <t>Agea</t>
  </si>
  <si>
    <t>Salinas</t>
  </si>
  <si>
    <t>Mellado</t>
  </si>
  <si>
    <t>Argudo</t>
  </si>
  <si>
    <t>Aleman</t>
  </si>
  <si>
    <t>Jesus Maria</t>
  </si>
  <si>
    <t xml:space="preserve">Compañ </t>
  </si>
  <si>
    <t>Maria Amparo</t>
  </si>
  <si>
    <t>Casillas</t>
  </si>
  <si>
    <t>Chisvert</t>
  </si>
  <si>
    <t>Jeannete Pilar</t>
  </si>
  <si>
    <t>Pato</t>
  </si>
  <si>
    <t>Boulanger</t>
  </si>
  <si>
    <t>Evan Alan Emile</t>
  </si>
  <si>
    <t>Gowers</t>
  </si>
  <si>
    <t>Christine Patricia</t>
  </si>
  <si>
    <t>Khan</t>
  </si>
  <si>
    <t>Tasawar Ali</t>
  </si>
  <si>
    <t>Embo grandes vasos proc basic</t>
  </si>
  <si>
    <t>Riaz</t>
  </si>
  <si>
    <t>Miamap</t>
  </si>
  <si>
    <t>Artur</t>
  </si>
  <si>
    <t>Angelo</t>
  </si>
  <si>
    <t>Isipato</t>
  </si>
  <si>
    <t>Karapetyan</t>
  </si>
  <si>
    <t>Jose Pascual</t>
  </si>
  <si>
    <t>Embo en aneu intracra gte o complejo proc basic</t>
  </si>
  <si>
    <t>Angio modulo espinal proc basic</t>
  </si>
  <si>
    <t xml:space="preserve">Cruz </t>
  </si>
  <si>
    <t>Regina Angelica</t>
  </si>
  <si>
    <t>Barquero</t>
  </si>
  <si>
    <t>Ocaña</t>
  </si>
  <si>
    <t>Motes</t>
  </si>
  <si>
    <t>Alfonso Coran</t>
  </si>
  <si>
    <t>Vicente Javier</t>
  </si>
  <si>
    <t>Sangeronimo</t>
  </si>
  <si>
    <t>Pradillas</t>
  </si>
  <si>
    <t>Bayer</t>
  </si>
  <si>
    <t>Solanas</t>
  </si>
  <si>
    <t>Vicente Eduard</t>
  </si>
  <si>
    <t>Del Val</t>
  </si>
  <si>
    <t>Embo renal proc basic</t>
  </si>
  <si>
    <t>Oscar Luis</t>
  </si>
  <si>
    <t>Castilla</t>
  </si>
  <si>
    <t>Idañez</t>
  </si>
  <si>
    <t>Sarrion</t>
  </si>
  <si>
    <t>Goerlich</t>
  </si>
  <si>
    <t>Tio</t>
  </si>
  <si>
    <t>Viñas</t>
  </si>
  <si>
    <t>Solano</t>
  </si>
  <si>
    <t>Cuadrado</t>
  </si>
  <si>
    <t>Petrona Arasi</t>
  </si>
  <si>
    <t>Escriba</t>
  </si>
  <si>
    <t>Otro intervencionismo diagnostico de abd</t>
  </si>
  <si>
    <t>del Campo</t>
  </si>
  <si>
    <t>Estarlich</t>
  </si>
  <si>
    <t>Conrado Valentin</t>
  </si>
  <si>
    <t>Kahrel</t>
  </si>
  <si>
    <t>Pieter Johannus</t>
  </si>
  <si>
    <t>Desco</t>
  </si>
  <si>
    <t>Escrivano</t>
  </si>
  <si>
    <t>Morilla</t>
  </si>
  <si>
    <t>Castañeda</t>
  </si>
  <si>
    <t>Dasi</t>
  </si>
  <si>
    <t>Aloy</t>
  </si>
  <si>
    <t>Chumillas</t>
  </si>
  <si>
    <t>Pescador</t>
  </si>
  <si>
    <t>Estudillo</t>
  </si>
  <si>
    <t>Boluda</t>
  </si>
  <si>
    <t>Parrales</t>
  </si>
  <si>
    <t>Cecilia Judith</t>
  </si>
  <si>
    <t>Pallo</t>
  </si>
  <si>
    <t>Luis Rosalino</t>
  </si>
  <si>
    <t>Cambronero</t>
  </si>
  <si>
    <t>Berbel</t>
  </si>
  <si>
    <t>Egido</t>
  </si>
  <si>
    <t>Graner</t>
  </si>
  <si>
    <t>Carbona</t>
  </si>
  <si>
    <t>Vicente Angel</t>
  </si>
  <si>
    <t>Rio</t>
  </si>
  <si>
    <t>del Alba</t>
  </si>
  <si>
    <t>Valterra</t>
  </si>
  <si>
    <t>Atienza</t>
  </si>
  <si>
    <t>Musoles</t>
  </si>
  <si>
    <t>M Julia</t>
  </si>
  <si>
    <t>Carricondo</t>
  </si>
  <si>
    <t>Santonja</t>
  </si>
  <si>
    <t>Naharro</t>
  </si>
  <si>
    <t>Toader</t>
  </si>
  <si>
    <t>Goncalves</t>
  </si>
  <si>
    <t>do Estreito</t>
  </si>
  <si>
    <t>Antonio Dionicio</t>
  </si>
  <si>
    <t>Biel</t>
  </si>
  <si>
    <t>Jordi Joan</t>
  </si>
  <si>
    <t>Chahboub</t>
  </si>
  <si>
    <t>Abdelfattah</t>
  </si>
  <si>
    <t>Gramaje</t>
  </si>
  <si>
    <t>Juesas</t>
  </si>
  <si>
    <t>Casasempere</t>
  </si>
  <si>
    <t>Perez-Sanchis</t>
  </si>
  <si>
    <t>Estal</t>
  </si>
  <si>
    <t>Antonio Ramon</t>
  </si>
  <si>
    <t>Tto estenosis tronc supaort proc basic</t>
  </si>
  <si>
    <t>del Burgo</t>
  </si>
  <si>
    <t>Mirta</t>
  </si>
  <si>
    <t>de la Concepcion</t>
  </si>
  <si>
    <t>Solera</t>
  </si>
  <si>
    <t>Bustamante</t>
  </si>
  <si>
    <t>Alcoy</t>
  </si>
  <si>
    <t>Gordon</t>
  </si>
  <si>
    <t>Belen</t>
  </si>
  <si>
    <t>Jurado</t>
  </si>
  <si>
    <t>Begoña</t>
  </si>
  <si>
    <t>Senent</t>
  </si>
  <si>
    <t>Alegre</t>
  </si>
  <si>
    <t>Gradoli</t>
  </si>
  <si>
    <t>Pilar Josefa</t>
  </si>
  <si>
    <t>Miguel Vicente</t>
  </si>
  <si>
    <t>Dios</t>
  </si>
  <si>
    <t>de Diaz</t>
  </si>
  <si>
    <t>Ramon Vicente</t>
  </si>
  <si>
    <t>Docampo</t>
  </si>
  <si>
    <t>Such</t>
  </si>
  <si>
    <t>Tto de lnes vertebrales verteroplastia simple</t>
  </si>
  <si>
    <t>Bono</t>
  </si>
  <si>
    <t>Altalaguerri</t>
  </si>
  <si>
    <t>Arocas</t>
  </si>
  <si>
    <t>XA_01</t>
  </si>
  <si>
    <t>XA_04</t>
  </si>
  <si>
    <t>XA_02</t>
  </si>
  <si>
    <t>XA_05</t>
  </si>
  <si>
    <t>!! Cuando no esté cerrado el examen escribir el nombre de escaner en la celda Kerma</t>
  </si>
  <si>
    <t>Equiza</t>
  </si>
  <si>
    <t>Castell</t>
  </si>
  <si>
    <t>Molto</t>
  </si>
  <si>
    <t>Mesa</t>
  </si>
  <si>
    <t>Placido</t>
  </si>
  <si>
    <t>Orellano</t>
  </si>
  <si>
    <t>Gabarda</t>
  </si>
  <si>
    <t>Antonio F</t>
  </si>
  <si>
    <t>Sanjuan</t>
  </si>
  <si>
    <t>Eustaquio</t>
  </si>
  <si>
    <t>Olivas</t>
  </si>
  <si>
    <t>Lamas</t>
  </si>
  <si>
    <t>Llopes</t>
  </si>
  <si>
    <t>Sofia</t>
  </si>
  <si>
    <t>Stropus</t>
  </si>
  <si>
    <t>Bronius</t>
  </si>
  <si>
    <t>Faubell</t>
  </si>
  <si>
    <t>Yagüe</t>
  </si>
  <si>
    <t>Revuelto</t>
  </si>
  <si>
    <t>Munera</t>
  </si>
  <si>
    <t>Bardisa</t>
  </si>
  <si>
    <t>Fraces</t>
  </si>
  <si>
    <t>Angio selectiva tronc supaort proc basic</t>
  </si>
  <si>
    <t>Fornes</t>
  </si>
  <si>
    <t>Boronat</t>
  </si>
  <si>
    <t>Sanlorenzo</t>
  </si>
  <si>
    <t>Alaver</t>
  </si>
  <si>
    <t>Barrionuevo</t>
  </si>
  <si>
    <t>Sergio Gustavo</t>
  </si>
  <si>
    <t>Mosquera</t>
  </si>
  <si>
    <t>Fredy</t>
  </si>
  <si>
    <t>Gregorio Javier</t>
  </si>
  <si>
    <t>Antonio Gabriel</t>
  </si>
  <si>
    <t>Villarejo</t>
  </si>
  <si>
    <t>Felipa</t>
  </si>
  <si>
    <t>Gonzalo</t>
  </si>
  <si>
    <t>Cerveron</t>
  </si>
  <si>
    <t>Requeni</t>
  </si>
  <si>
    <t>Maria Luz</t>
  </si>
  <si>
    <t>Pereira</t>
  </si>
  <si>
    <t>da Costa Ginja</t>
  </si>
  <si>
    <t>Maria Alice</t>
  </si>
  <si>
    <t>Duato</t>
  </si>
  <si>
    <t>Arnedo</t>
  </si>
  <si>
    <t>Carrera</t>
  </si>
  <si>
    <t>Aroha Pamela</t>
  </si>
  <si>
    <t>El Aouny</t>
  </si>
  <si>
    <t>Sinisterra</t>
  </si>
  <si>
    <t>Antonio Vte</t>
  </si>
  <si>
    <t>de Rueda</t>
  </si>
  <si>
    <t>Comendador</t>
  </si>
  <si>
    <t>Silla</t>
  </si>
  <si>
    <t>Martorell</t>
  </si>
  <si>
    <t>Saurina</t>
  </si>
  <si>
    <t>Roberto Carlos</t>
  </si>
  <si>
    <t>Llimera</t>
  </si>
  <si>
    <t>Mucia</t>
  </si>
  <si>
    <t>Yordanov</t>
  </si>
  <si>
    <t>Georgi Yordanov</t>
  </si>
  <si>
    <t>Sevov</t>
  </si>
  <si>
    <t>Sevo Dimitrov</t>
  </si>
  <si>
    <t>Galera</t>
  </si>
  <si>
    <t>Santafosa</t>
  </si>
  <si>
    <t>Minguez</t>
  </si>
  <si>
    <t>Luis Eduardo</t>
  </si>
  <si>
    <t>Lazar</t>
  </si>
  <si>
    <t>Bascuñana</t>
  </si>
  <si>
    <t>Jorge Joaquin</t>
  </si>
  <si>
    <t>Villareal</t>
  </si>
  <si>
    <t>Lahoz</t>
  </si>
  <si>
    <t>San Pedro</t>
  </si>
  <si>
    <t>Moral</t>
  </si>
  <si>
    <t>Godoy</t>
  </si>
  <si>
    <t>Feliz</t>
  </si>
  <si>
    <t>Gento</t>
  </si>
  <si>
    <t>Londoño</t>
  </si>
  <si>
    <t>Quiroz</t>
  </si>
  <si>
    <t>Javier de Jesus</t>
  </si>
  <si>
    <t>Falaguera</t>
  </si>
  <si>
    <t>Salvador Vicente</t>
  </si>
  <si>
    <t>Gualde</t>
  </si>
  <si>
    <t>Sellens</t>
  </si>
  <si>
    <t>Vallterra</t>
  </si>
  <si>
    <t>Tto endov aneu de aorta abd:  proc basic</t>
  </si>
  <si>
    <t>Tort</t>
  </si>
  <si>
    <t>Chengzong</t>
  </si>
  <si>
    <t>del Olmo</t>
  </si>
  <si>
    <t>Casalta</t>
  </si>
  <si>
    <t>Escolano</t>
  </si>
  <si>
    <t>Gorris</t>
  </si>
  <si>
    <t>Mayor</t>
  </si>
  <si>
    <t>Dolores M</t>
  </si>
  <si>
    <t>Illana</t>
  </si>
  <si>
    <t>Pelayo</t>
  </si>
  <si>
    <t>Machancoses</t>
  </si>
  <si>
    <t>Guendoul</t>
  </si>
  <si>
    <t>Laid</t>
  </si>
  <si>
    <t>Francisco Ramon</t>
  </si>
  <si>
    <t>Paz</t>
  </si>
  <si>
    <t>Consuegra</t>
  </si>
  <si>
    <t>Antonio Francisco</t>
  </si>
  <si>
    <t>Estors</t>
  </si>
  <si>
    <t>Rizo</t>
  </si>
  <si>
    <t>Alfredo Elias</t>
  </si>
  <si>
    <t>de Cordero</t>
  </si>
  <si>
    <t>Gamon</t>
  </si>
  <si>
    <t>Vergara</t>
  </si>
  <si>
    <t>Nicolau</t>
  </si>
  <si>
    <t>Greses</t>
  </si>
  <si>
    <t>Piña</t>
  </si>
  <si>
    <t>Empar</t>
  </si>
  <si>
    <t>Kerma acumulado (Gy)</t>
  </si>
  <si>
    <t>Irurzun</t>
  </si>
  <si>
    <t>Encarnacion Maria</t>
  </si>
  <si>
    <t>Herbosa</t>
  </si>
  <si>
    <t>Montull</t>
  </si>
  <si>
    <t>Aguaron</t>
  </si>
  <si>
    <t>Carlos Hector</t>
  </si>
  <si>
    <t>Pelegrin Antoni</t>
  </si>
  <si>
    <t>Winbolt</t>
  </si>
  <si>
    <t>Leonard Sunley</t>
  </si>
  <si>
    <t>Cobo de Guzman</t>
  </si>
  <si>
    <t>Doval</t>
  </si>
  <si>
    <t>Cadalas</t>
  </si>
  <si>
    <t>Contelles</t>
  </si>
  <si>
    <t>Ruescas</t>
  </si>
  <si>
    <t>Willemsz</t>
  </si>
  <si>
    <t>Puchal</t>
  </si>
  <si>
    <t>Bermejo</t>
  </si>
  <si>
    <t>Gregori</t>
  </si>
  <si>
    <t>Verduga</t>
  </si>
  <si>
    <t>Mayra Cristina</t>
  </si>
  <si>
    <t>Orea</t>
  </si>
  <si>
    <t>Colocación cateter en vena central con reservorio subcutáneo</t>
  </si>
  <si>
    <t>Cascales</t>
  </si>
  <si>
    <t>Llacer</t>
  </si>
  <si>
    <t>Liebana</t>
  </si>
  <si>
    <t>Vencesla</t>
  </si>
  <si>
    <t>Chardi</t>
  </si>
  <si>
    <t>Francisco Cayetano</t>
  </si>
  <si>
    <t>Jorge Angel</t>
  </si>
  <si>
    <t>Yvonne</t>
  </si>
  <si>
    <t>Osca</t>
  </si>
  <si>
    <t>Guaita</t>
  </si>
  <si>
    <t>Piles</t>
  </si>
  <si>
    <t>Juan F</t>
  </si>
  <si>
    <t>Liñan</t>
  </si>
  <si>
    <t>Adolfo</t>
  </si>
  <si>
    <t>Biop trasyugular hepatica</t>
  </si>
  <si>
    <t>Aranzazu</t>
  </si>
  <si>
    <t>Galan</t>
  </si>
  <si>
    <t>Emerano</t>
  </si>
  <si>
    <t>Calomarde</t>
  </si>
  <si>
    <t>Guerola</t>
  </si>
  <si>
    <t>Caraballo</t>
  </si>
  <si>
    <t>Sanchez de Toca</t>
  </si>
  <si>
    <t>del Cerro</t>
  </si>
  <si>
    <t>Christopher</t>
  </si>
  <si>
    <t>Alcala</t>
  </si>
  <si>
    <t>Depraetere</t>
  </si>
  <si>
    <t>Johan</t>
  </si>
  <si>
    <t>Gandia</t>
  </si>
  <si>
    <t>Herminia Amparo</t>
  </si>
  <si>
    <t>Amoros</t>
  </si>
  <si>
    <t>Embo de hemorraj por trauma procedimiento basico</t>
  </si>
  <si>
    <t>Jacobo</t>
  </si>
  <si>
    <t>Eladio</t>
  </si>
  <si>
    <t>Rel</t>
  </si>
  <si>
    <t>Malnati</t>
  </si>
  <si>
    <t>Herve</t>
  </si>
  <si>
    <t>Gomez Cambronero</t>
  </si>
  <si>
    <t>Carranza</t>
  </si>
  <si>
    <t>Todorova</t>
  </si>
  <si>
    <t>Mariyka</t>
  </si>
  <si>
    <t>Juan Manuel</t>
  </si>
  <si>
    <t>Avivar</t>
  </si>
  <si>
    <t>Embo en tumores procedimiento basico</t>
  </si>
  <si>
    <t>Mohamad</t>
  </si>
  <si>
    <t>Ibrahim</t>
  </si>
  <si>
    <t>Mahgool</t>
  </si>
  <si>
    <t>Oscar Javier</t>
  </si>
  <si>
    <t>Poveda</t>
  </si>
  <si>
    <t>Lapeña</t>
  </si>
  <si>
    <t>Macario</t>
  </si>
  <si>
    <t>Polo</t>
  </si>
  <si>
    <t>Berrio</t>
  </si>
  <si>
    <t>Gines</t>
  </si>
  <si>
    <t>Ribero</t>
  </si>
  <si>
    <t>Rabasco</t>
  </si>
  <si>
    <t>Ñiguez</t>
  </si>
  <si>
    <t xml:space="preserve"> Juarez</t>
  </si>
  <si>
    <t>Boggione</t>
  </si>
  <si>
    <t>Fabian Enzo</t>
  </si>
  <si>
    <t>Kodal</t>
  </si>
  <si>
    <t>Lidiya</t>
  </si>
  <si>
    <t>Chiachio</t>
  </si>
  <si>
    <t>Barriga</t>
  </si>
  <si>
    <t>Pedrero</t>
  </si>
  <si>
    <t>Barrull</t>
  </si>
  <si>
    <t>del Moral</t>
  </si>
  <si>
    <t>Yaghmour</t>
  </si>
  <si>
    <t>de Obagi</t>
  </si>
  <si>
    <t>Feryal</t>
  </si>
  <si>
    <t>Torner</t>
  </si>
  <si>
    <t>Fluixa</t>
  </si>
  <si>
    <t>Mc Leod</t>
  </si>
  <si>
    <t>Graham Walter Sean</t>
  </si>
  <si>
    <t>Alcacer</t>
  </si>
  <si>
    <t>Zarco</t>
  </si>
  <si>
    <t>Mondejar</t>
  </si>
  <si>
    <t>XA_07</t>
  </si>
  <si>
    <t>Caja</t>
  </si>
  <si>
    <t>bd11im</t>
  </si>
  <si>
    <t>X</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</si>
</sst>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00"/>
    <numFmt numFmtId="165" formatCode="#.0000"/>
    <numFmt numFmtId="166" formatCode="#00.0000"/>
    <numFmt numFmtId="167" formatCode="0.0"/>
  </numFmts>
  <fonts count="18">
    <font>
      <sz val="11"/>
      <color theme="1"/>
      <name val="Calibri"/>
      <family val="2"/>
      <scheme val="minor"/>
    </font>
    <font>
      <b/>
      <i/>
      <sz val="14"/>
      <color theme="1"/>
      <name val="Calibri"/>
      <family val="2"/>
      <scheme val="minor"/>
    </font>
    <font>
      <b/>
      <sz val="11"/>
      <color theme="1"/>
      <name val="Calibri"/>
      <family val="2"/>
      <scheme val="minor"/>
    </font>
    <font>
      <sz val="11"/>
      <color theme="0"/>
      <name val="Calibri"/>
      <family val="2"/>
      <scheme val="minor"/>
    </font>
    <font>
      <sz val="12"/>
      <color theme="1"/>
      <name val="Times New Roman"/>
      <family val="1"/>
    </font>
    <font>
      <b/>
      <sz val="12"/>
      <color theme="1"/>
      <name val="Calibri"/>
      <family val="2"/>
    </font>
    <font>
      <sz val="11"/>
      <name val="Calibri"/>
      <family val="2"/>
      <scheme val="minor"/>
    </font>
    <font>
      <b/>
      <sz val="11"/>
      <name val="Calibri"/>
      <family val="2"/>
      <scheme val="minor"/>
    </font>
    <font>
      <sz val="11"/>
      <color rgb="FFFF0000"/>
      <name val="Calibri"/>
      <family val="2"/>
      <scheme val="minor"/>
    </font>
    <font>
      <sz val="11"/>
      <color theme="1"/>
      <name val="Calibri"/>
      <family val="2"/>
    </font>
    <font>
      <b/>
      <sz val="12"/>
      <color theme="0"/>
      <name val="Calibri"/>
      <family val="2"/>
      <scheme val="minor"/>
    </font>
    <font>
      <b/>
      <sz val="14"/>
      <color theme="1"/>
      <name val="Calibri"/>
      <family val="2"/>
      <scheme val="minor"/>
    </font>
    <font>
      <sz val="11"/>
      <color theme="1"/>
      <name val="Times New Roman"/>
      <family val="1"/>
    </font>
    <font>
      <sz val="11"/>
      <color theme="1"/>
      <name val="Calibri"/>
      <family val="2"/>
      <scheme val="minor"/>
    </font>
    <font>
      <sz val="11"/>
      <color theme="1"/>
      <name val="Calibri"/>
      <scheme val="minor"/>
    </font>
    <font>
      <b/>
      <sz val="11"/>
      <color rgb="FFFF0000"/>
      <name val="Calibri"/>
      <family val="2"/>
      <scheme val="minor"/>
    </font>
    <font>
      <b/>
      <sz val="24"/>
      <color rgb="FFFF0000"/>
      <name val="Calibri"/>
      <family val="2"/>
      <scheme val="minor"/>
    </font>
    <font>
      <b/>
      <sz val="11"/>
      <name val="Calibri"/>
      <scheme val="minor"/>
    </font>
  </fonts>
  <fills count="19">
    <fill>
      <patternFill patternType="none"/>
    </fill>
    <fill>
      <patternFill patternType="gray125"/>
    </fill>
    <fill>
      <patternFill patternType="solid">
        <fgColor theme="2"/>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FF0000"/>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4"/>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5"/>
        <bgColor indexed="64"/>
      </patternFill>
    </fill>
    <fill>
      <patternFill patternType="solid">
        <fgColor theme="0"/>
        <bgColor indexed="64"/>
      </patternFill>
    </fill>
    <fill>
      <patternFill patternType="solid">
        <fgColor theme="4" tint="0.79998168889431442"/>
        <bgColor theme="4" tint="0.79998168889431442"/>
      </patternFill>
    </fill>
  </fills>
  <borders count="6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theme="4" tint="0.39997558519241921"/>
      </bottom>
      <diagonal/>
    </border>
    <border>
      <left style="thin">
        <color indexed="64"/>
      </left>
      <right/>
      <top/>
      <bottom style="thin">
        <color theme="4" tint="0.39997558519241921"/>
      </bottom>
      <diagonal/>
    </border>
    <border>
      <left style="thin">
        <color indexed="64"/>
      </left>
      <right style="thin">
        <color indexed="64"/>
      </right>
      <top/>
      <bottom style="thin">
        <color theme="4" tint="0.39997558519241921"/>
      </bottom>
      <diagonal/>
    </border>
    <border>
      <left/>
      <right/>
      <top/>
      <bottom style="thin">
        <color indexed="64"/>
      </bottom>
      <diagonal/>
    </border>
    <border>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style="medium">
        <color indexed="64"/>
      </right>
      <top style="medium">
        <color indexed="64"/>
      </top>
      <bottom style="medium">
        <color indexed="64"/>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
      <left style="thin">
        <color theme="4" tint="0.39997558519241921"/>
      </left>
      <right/>
      <top/>
      <bottom/>
      <diagonal/>
    </border>
    <border>
      <left/>
      <right style="thin">
        <color theme="4" tint="0.39997558519241921"/>
      </right>
      <top/>
      <bottom/>
      <diagonal/>
    </border>
    <border>
      <left style="thin">
        <color theme="4" tint="0.39997558519241921"/>
      </left>
      <right/>
      <top/>
      <bottom style="medium">
        <color indexed="64"/>
      </bottom>
      <diagonal/>
    </border>
    <border>
      <left/>
      <right/>
      <top style="thin">
        <color theme="4" tint="0.39997558519241921"/>
      </top>
      <bottom style="medium">
        <color indexed="64"/>
      </bottom>
      <diagonal/>
    </border>
    <border>
      <left/>
      <right style="thin">
        <color theme="4" tint="0.39997558519241921"/>
      </right>
      <top style="thin">
        <color theme="4" tint="0.39997558519241921"/>
      </top>
      <bottom style="medium">
        <color indexed="64"/>
      </bottom>
      <diagonal/>
    </border>
    <border>
      <left style="thin">
        <color theme="4" tint="0.39997558519241921"/>
      </left>
      <right/>
      <top style="thin">
        <color theme="4" tint="0.39997558519241921"/>
      </top>
      <bottom style="medium">
        <color indexed="64"/>
      </bottom>
      <diagonal/>
    </border>
    <border>
      <left/>
      <right style="thin">
        <color theme="4" tint="0.39997558519241921"/>
      </right>
      <top/>
      <bottom style="medium">
        <color indexed="64"/>
      </bottom>
      <diagonal/>
    </border>
    <border>
      <left/>
      <right/>
      <top style="thin">
        <color theme="4" tint="0.39997558519241921"/>
      </top>
      <bottom style="double">
        <color indexed="64"/>
      </bottom>
      <diagonal/>
    </border>
    <border>
      <left style="thin">
        <color theme="4" tint="0.39997558519241921"/>
      </left>
      <right/>
      <top/>
      <bottom style="double">
        <color indexed="64"/>
      </bottom>
      <diagonal/>
    </border>
    <border>
      <left/>
      <right/>
      <top/>
      <bottom style="double">
        <color indexed="64"/>
      </bottom>
      <diagonal/>
    </border>
    <border>
      <left/>
      <right style="thin">
        <color theme="4" tint="0.39997558519241921"/>
      </right>
      <top style="thin">
        <color theme="4" tint="0.39997558519241921"/>
      </top>
      <bottom style="double">
        <color indexed="64"/>
      </bottom>
      <diagonal/>
    </border>
    <border>
      <left style="thin">
        <color theme="4" tint="0.39997558519241921"/>
      </left>
      <right/>
      <top style="thin">
        <color theme="4" tint="0.39997558519241921"/>
      </top>
      <bottom style="double">
        <color indexed="64"/>
      </bottom>
      <diagonal/>
    </border>
    <border>
      <left/>
      <right style="thin">
        <color theme="4" tint="0.39997558519241921"/>
      </right>
      <top/>
      <bottom style="double">
        <color indexed="6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4" tint="0.39997558519241921"/>
      </left>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style="thin">
        <color theme="4" tint="0.39997558519241921"/>
      </left>
      <right/>
      <top style="thin">
        <color theme="4" tint="0.39997558519241921"/>
      </top>
      <bottom style="thin">
        <color indexed="64"/>
      </bottom>
      <diagonal/>
    </border>
    <border>
      <left/>
      <right/>
      <top style="thin">
        <color theme="4" tint="0.39997558519241921"/>
      </top>
      <bottom style="thin">
        <color indexed="64"/>
      </bottom>
      <diagonal/>
    </border>
    <border>
      <left/>
      <right style="thin">
        <color theme="4" tint="0.39997558519241921"/>
      </right>
      <top style="thin">
        <color theme="4" tint="0.39997558519241921"/>
      </top>
      <bottom style="thin">
        <color indexed="64"/>
      </bottom>
      <diagonal/>
    </border>
    <border>
      <left style="thin">
        <color theme="4" tint="0.39997558519241921"/>
      </left>
      <right/>
      <top style="thin">
        <color indexed="64"/>
      </top>
      <bottom style="thin">
        <color indexed="64"/>
      </bottom>
      <diagonal/>
    </border>
    <border>
      <left/>
      <right style="thin">
        <color theme="4" tint="0.39997558519241921"/>
      </right>
      <top style="thin">
        <color indexed="64"/>
      </top>
      <bottom style="thin">
        <color indexed="64"/>
      </bottom>
      <diagonal/>
    </border>
    <border>
      <left style="thin">
        <color indexed="64"/>
      </left>
      <right/>
      <top style="thin">
        <color indexed="64"/>
      </top>
      <bottom style="thin">
        <color theme="4" tint="0.39997558519241921"/>
      </bottom>
      <diagonal/>
    </border>
    <border>
      <left/>
      <right/>
      <top style="thin">
        <color indexed="64"/>
      </top>
      <bottom style="thin">
        <color theme="4" tint="0.39997558519241921"/>
      </bottom>
      <diagonal/>
    </border>
  </borders>
  <cellStyleXfs count="1">
    <xf numFmtId="0" fontId="0" fillId="0" borderId="0"/>
  </cellStyleXfs>
  <cellXfs count="309">
    <xf numFmtId="0" fontId="0" fillId="0" borderId="0" xfId="0"/>
    <xf numFmtId="14" fontId="0" fillId="0" borderId="0" xfId="0" applyNumberFormat="1"/>
    <xf numFmtId="14" fontId="0" fillId="0" borderId="1" xfId="0" applyNumberFormat="1" applyBorder="1" applyAlignment="1">
      <alignment horizontal="center"/>
    </xf>
    <xf numFmtId="0" fontId="0" fillId="0" borderId="0" xfId="0" applyBorder="1"/>
    <xf numFmtId="0" fontId="0" fillId="0" borderId="0" xfId="0" pivotButton="1"/>
    <xf numFmtId="0" fontId="0" fillId="0" borderId="0" xfId="0" applyAlignment="1">
      <alignment horizontal="left"/>
    </xf>
    <xf numFmtId="0" fontId="0" fillId="0" borderId="0" xfId="0" applyNumberFormat="1"/>
    <xf numFmtId="14" fontId="0" fillId="0" borderId="0" xfId="0" applyNumberFormat="1" applyAlignment="1">
      <alignment horizontal="left" indent="1"/>
    </xf>
    <xf numFmtId="0" fontId="3" fillId="0" borderId="0" xfId="0" applyFont="1"/>
    <xf numFmtId="0" fontId="3" fillId="0" borderId="0" xfId="0" applyFont="1" applyAlignment="1">
      <alignment horizontal="left"/>
    </xf>
    <xf numFmtId="0" fontId="3" fillId="0" borderId="0" xfId="0" applyNumberFormat="1" applyFont="1"/>
    <xf numFmtId="0" fontId="0" fillId="3" borderId="10" xfId="0" applyFill="1" applyBorder="1" applyAlignment="1">
      <alignment horizontal="center" vertical="center"/>
    </xf>
    <xf numFmtId="0" fontId="0" fillId="3" borderId="13" xfId="0" applyFill="1" applyBorder="1" applyAlignment="1">
      <alignment horizontal="center" vertical="center"/>
    </xf>
    <xf numFmtId="16" fontId="0" fillId="0" borderId="0" xfId="0" applyNumberFormat="1"/>
    <xf numFmtId="0" fontId="0" fillId="6" borderId="1" xfId="0" applyFill="1" applyBorder="1" applyAlignment="1">
      <alignment vertical="center" wrapText="1"/>
    </xf>
    <xf numFmtId="0" fontId="0" fillId="0" borderId="1" xfId="0" applyBorder="1" applyAlignment="1">
      <alignment wrapText="1"/>
    </xf>
    <xf numFmtId="0" fontId="5" fillId="4" borderId="1" xfId="0" applyFont="1" applyFill="1" applyBorder="1"/>
    <xf numFmtId="0" fontId="5" fillId="4" borderId="11" xfId="0" applyFont="1" applyFill="1" applyBorder="1"/>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3"/>
    </xf>
    <xf numFmtId="14" fontId="0" fillId="0" borderId="0" xfId="0" applyNumberFormat="1" applyAlignment="1">
      <alignment horizontal="left" indent="3"/>
    </xf>
    <xf numFmtId="0" fontId="0" fillId="7" borderId="0" xfId="0" applyNumberFormat="1" applyFill="1"/>
    <xf numFmtId="0" fontId="0" fillId="7" borderId="0" xfId="0" applyFill="1" applyAlignment="1">
      <alignment horizontal="left" indent="2"/>
    </xf>
    <xf numFmtId="14" fontId="0" fillId="7" borderId="0" xfId="0" applyNumberFormat="1" applyFill="1" applyAlignment="1">
      <alignment horizontal="left" indent="3"/>
    </xf>
    <xf numFmtId="0" fontId="0" fillId="8" borderId="0" xfId="0" applyFill="1"/>
    <xf numFmtId="0" fontId="0" fillId="8" borderId="0" xfId="0" applyNumberFormat="1" applyFill="1"/>
    <xf numFmtId="14" fontId="0" fillId="8" borderId="0" xfId="0" applyNumberFormat="1" applyFill="1"/>
    <xf numFmtId="0" fontId="7" fillId="3" borderId="15" xfId="0" applyFont="1" applyFill="1" applyBorder="1" applyAlignment="1">
      <alignment horizontal="center" vertical="center" wrapText="1"/>
    </xf>
    <xf numFmtId="0" fontId="7" fillId="3" borderId="0" xfId="0" applyFont="1" applyFill="1" applyBorder="1" applyAlignment="1">
      <alignment horizontal="center" vertical="center" wrapText="1"/>
    </xf>
    <xf numFmtId="0" fontId="7" fillId="3" borderId="15" xfId="0" applyFont="1" applyFill="1" applyBorder="1" applyAlignment="1">
      <alignment horizontal="center" vertical="center"/>
    </xf>
    <xf numFmtId="0" fontId="7" fillId="3" borderId="14" xfId="0" applyFont="1" applyFill="1" applyBorder="1" applyAlignment="1">
      <alignment horizontal="center" vertical="center" wrapText="1"/>
    </xf>
    <xf numFmtId="0" fontId="0" fillId="0" borderId="0" xfId="0" applyFill="1"/>
    <xf numFmtId="0" fontId="0" fillId="9" borderId="0" xfId="0" applyFill="1" applyAlignment="1">
      <alignment horizontal="left"/>
    </xf>
    <xf numFmtId="14" fontId="0" fillId="9" borderId="0" xfId="0" applyNumberFormat="1" applyFill="1" applyAlignment="1">
      <alignment horizontal="left" indent="1"/>
    </xf>
    <xf numFmtId="0" fontId="0" fillId="9" borderId="0" xfId="0" applyFill="1" applyAlignment="1">
      <alignment horizontal="left" indent="2"/>
    </xf>
    <xf numFmtId="14" fontId="0" fillId="9" borderId="0" xfId="0" applyNumberFormat="1" applyFill="1" applyAlignment="1">
      <alignment horizontal="left" indent="3"/>
    </xf>
    <xf numFmtId="0" fontId="7" fillId="3" borderId="17" xfId="0" applyFont="1" applyFill="1" applyBorder="1" applyAlignment="1">
      <alignment horizontal="center" vertical="center" wrapText="1"/>
    </xf>
    <xf numFmtId="0" fontId="7" fillId="3" borderId="16" xfId="0" applyFont="1" applyFill="1" applyBorder="1" applyAlignment="1">
      <alignment horizontal="center" vertical="center" wrapText="1"/>
    </xf>
    <xf numFmtId="0" fontId="7" fillId="3" borderId="18" xfId="0" applyFont="1" applyFill="1" applyBorder="1" applyAlignment="1">
      <alignment horizontal="center" vertical="center" wrapText="1"/>
    </xf>
    <xf numFmtId="0" fontId="7" fillId="3" borderId="17" xfId="0" applyFont="1" applyFill="1" applyBorder="1" applyAlignment="1">
      <alignment horizontal="center" vertical="center"/>
    </xf>
    <xf numFmtId="0" fontId="0" fillId="11" borderId="0" xfId="0" applyFill="1"/>
    <xf numFmtId="0" fontId="0" fillId="12" borderId="0" xfId="0" applyFill="1"/>
    <xf numFmtId="0" fontId="0" fillId="3" borderId="0" xfId="0" applyFill="1"/>
    <xf numFmtId="0" fontId="0" fillId="0" borderId="0" xfId="0" applyAlignment="1">
      <alignment horizontal="center" vertical="center"/>
    </xf>
    <xf numFmtId="164" fontId="0" fillId="0" borderId="0" xfId="0" applyNumberFormat="1"/>
    <xf numFmtId="0" fontId="0" fillId="0" borderId="0" xfId="0" applyAlignment="1">
      <alignment horizontal="center" vertical="center"/>
    </xf>
    <xf numFmtId="0" fontId="0" fillId="6" borderId="0" xfId="0" applyFill="1" applyBorder="1" applyAlignment="1">
      <alignment vertical="center" wrapText="1"/>
    </xf>
    <xf numFmtId="0" fontId="0" fillId="0" borderId="10" xfId="0" applyBorder="1" applyAlignment="1">
      <alignment horizontal="center"/>
    </xf>
    <xf numFmtId="0" fontId="0" fillId="0" borderId="19" xfId="0" applyBorder="1" applyAlignment="1">
      <alignment horizontal="center"/>
    </xf>
    <xf numFmtId="0" fontId="0" fillId="0" borderId="13" xfId="0" applyBorder="1" applyAlignment="1">
      <alignment horizontal="center"/>
    </xf>
    <xf numFmtId="165" fontId="0" fillId="0" borderId="0" xfId="0" applyNumberFormat="1"/>
    <xf numFmtId="166" fontId="0" fillId="0" borderId="0" xfId="0" applyNumberFormat="1"/>
    <xf numFmtId="0" fontId="2" fillId="11" borderId="8" xfId="0" applyFont="1" applyFill="1" applyBorder="1" applyAlignment="1">
      <alignment vertical="center"/>
    </xf>
    <xf numFmtId="0" fontId="2" fillId="11" borderId="9" xfId="0" applyFont="1" applyFill="1" applyBorder="1" applyAlignment="1">
      <alignment vertical="center"/>
    </xf>
    <xf numFmtId="0" fontId="2" fillId="11" borderId="7" xfId="0" applyFont="1" applyFill="1" applyBorder="1" applyAlignment="1">
      <alignment vertical="center"/>
    </xf>
    <xf numFmtId="0" fontId="9" fillId="0" borderId="0" xfId="0" applyFont="1"/>
    <xf numFmtId="0" fontId="0" fillId="0" borderId="3" xfId="0" applyBorder="1" applyAlignment="1">
      <alignment horizontal="center"/>
    </xf>
    <xf numFmtId="0" fontId="0" fillId="0" borderId="4" xfId="0" applyBorder="1"/>
    <xf numFmtId="16" fontId="0" fillId="0" borderId="0" xfId="0" applyNumberFormat="1" applyBorder="1" applyAlignment="1">
      <alignment horizontal="center"/>
    </xf>
    <xf numFmtId="0" fontId="0" fillId="0" borderId="6" xfId="0" applyBorder="1"/>
    <xf numFmtId="16" fontId="0" fillId="0" borderId="8" xfId="0" applyNumberFormat="1" applyBorder="1" applyAlignment="1">
      <alignment horizontal="center"/>
    </xf>
    <xf numFmtId="0" fontId="0" fillId="0" borderId="9" xfId="0" applyBorder="1"/>
    <xf numFmtId="0" fontId="5" fillId="4" borderId="22" xfId="0" applyFont="1" applyFill="1" applyBorder="1" applyAlignment="1">
      <alignment horizontal="center" vertical="center"/>
    </xf>
    <xf numFmtId="0" fontId="5" fillId="4" borderId="24" xfId="0" applyFont="1" applyFill="1" applyBorder="1" applyAlignment="1">
      <alignment horizontal="center" vertical="center"/>
    </xf>
    <xf numFmtId="0" fontId="0" fillId="0" borderId="25" xfId="0" applyBorder="1" applyAlignment="1">
      <alignment horizontal="center"/>
    </xf>
    <xf numFmtId="0" fontId="0" fillId="0" borderId="26" xfId="0" applyBorder="1" applyAlignment="1">
      <alignment horizontal="center"/>
    </xf>
    <xf numFmtId="0" fontId="0" fillId="0" borderId="27" xfId="0" applyBorder="1" applyAlignment="1">
      <alignment horizontal="center"/>
    </xf>
    <xf numFmtId="0" fontId="0" fillId="0" borderId="28" xfId="0" applyBorder="1"/>
    <xf numFmtId="0" fontId="5" fillId="4" borderId="29" xfId="0" applyFont="1" applyFill="1" applyBorder="1" applyAlignment="1">
      <alignment horizontal="center" vertical="center"/>
    </xf>
    <xf numFmtId="0" fontId="0" fillId="0" borderId="30" xfId="0" applyBorder="1" applyAlignment="1">
      <alignment horizontal="center"/>
    </xf>
    <xf numFmtId="0" fontId="0" fillId="0" borderId="14" xfId="0" applyBorder="1" applyAlignment="1">
      <alignment horizontal="center"/>
    </xf>
    <xf numFmtId="0" fontId="0" fillId="0" borderId="31" xfId="0" applyBorder="1" applyAlignment="1">
      <alignment horizontal="center"/>
    </xf>
    <xf numFmtId="0" fontId="0" fillId="0" borderId="30" xfId="0" applyBorder="1"/>
    <xf numFmtId="0" fontId="0" fillId="0" borderId="14" xfId="0" applyBorder="1"/>
    <xf numFmtId="0" fontId="0" fillId="0" borderId="31" xfId="0" applyBorder="1"/>
    <xf numFmtId="16" fontId="0" fillId="0" borderId="0" xfId="0" applyNumberFormat="1" applyFill="1" applyBorder="1" applyAlignment="1">
      <alignment horizontal="center"/>
    </xf>
    <xf numFmtId="0" fontId="2" fillId="4" borderId="24" xfId="0" applyFont="1" applyFill="1" applyBorder="1" applyAlignment="1">
      <alignment horizontal="center" vertical="center"/>
    </xf>
    <xf numFmtId="0" fontId="2" fillId="4" borderId="29" xfId="0" applyFont="1" applyFill="1" applyBorder="1" applyAlignment="1">
      <alignment horizontal="center" vertical="center"/>
    </xf>
    <xf numFmtId="0" fontId="2" fillId="4" borderId="23" xfId="0" applyFont="1" applyFill="1" applyBorder="1" applyAlignment="1">
      <alignment horizontal="center" vertical="center"/>
    </xf>
    <xf numFmtId="0" fontId="2" fillId="0" borderId="0" xfId="0" applyFont="1" applyFill="1"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2" fillId="11" borderId="32" xfId="0" applyFont="1" applyFill="1" applyBorder="1" applyAlignment="1">
      <alignment horizontal="center" vertical="center"/>
    </xf>
    <xf numFmtId="0" fontId="2" fillId="0" borderId="0" xfId="0" applyFont="1" applyFill="1" applyBorder="1" applyAlignment="1"/>
    <xf numFmtId="167" fontId="0" fillId="0" borderId="0" xfId="0" applyNumberFormat="1" applyBorder="1"/>
    <xf numFmtId="0" fontId="11" fillId="0" borderId="0" xfId="0" applyFont="1"/>
    <xf numFmtId="0" fontId="5" fillId="4" borderId="24" xfId="0" applyFont="1" applyFill="1" applyBorder="1" applyAlignment="1">
      <alignment horizontal="center" vertical="center" wrapText="1"/>
    </xf>
    <xf numFmtId="0" fontId="2" fillId="0" borderId="0" xfId="0" applyFont="1"/>
    <xf numFmtId="0" fontId="0" fillId="18" borderId="33" xfId="0" applyFont="1" applyFill="1" applyBorder="1"/>
    <xf numFmtId="0" fontId="0" fillId="18" borderId="34" xfId="0" applyFont="1" applyFill="1" applyBorder="1"/>
    <xf numFmtId="14" fontId="0" fillId="18" borderId="34" xfId="0" applyNumberFormat="1" applyFont="1" applyFill="1" applyBorder="1"/>
    <xf numFmtId="0" fontId="6" fillId="7" borderId="34" xfId="0" applyFont="1" applyFill="1" applyBorder="1"/>
    <xf numFmtId="0" fontId="0" fillId="18" borderId="35" xfId="0" applyFont="1" applyFill="1" applyBorder="1"/>
    <xf numFmtId="0" fontId="0" fillId="0" borderId="33" xfId="0" applyFont="1" applyBorder="1"/>
    <xf numFmtId="0" fontId="0" fillId="0" borderId="34" xfId="0" applyFont="1" applyBorder="1"/>
    <xf numFmtId="14" fontId="0" fillId="0" borderId="34" xfId="0" applyNumberFormat="1" applyFont="1" applyBorder="1"/>
    <xf numFmtId="0" fontId="0" fillId="0" borderId="35" xfId="0" applyFont="1" applyBorder="1"/>
    <xf numFmtId="0" fontId="6" fillId="0" borderId="34" xfId="0" applyFont="1" applyBorder="1"/>
    <xf numFmtId="0" fontId="6" fillId="18" borderId="34" xfId="0" applyFont="1" applyFill="1" applyBorder="1"/>
    <xf numFmtId="0" fontId="0" fillId="7" borderId="33" xfId="0" applyFont="1" applyFill="1" applyBorder="1"/>
    <xf numFmtId="0" fontId="0" fillId="7" borderId="34" xfId="0" applyFont="1" applyFill="1" applyBorder="1"/>
    <xf numFmtId="14" fontId="0" fillId="7" borderId="34" xfId="0" applyNumberFormat="1" applyFont="1" applyFill="1" applyBorder="1"/>
    <xf numFmtId="0" fontId="0" fillId="7" borderId="35" xfId="0" applyFont="1" applyFill="1" applyBorder="1"/>
    <xf numFmtId="14" fontId="6" fillId="5" borderId="34" xfId="0" applyNumberFormat="1" applyFont="1" applyFill="1" applyBorder="1"/>
    <xf numFmtId="0" fontId="6" fillId="5" borderId="34" xfId="0" applyFont="1" applyFill="1" applyBorder="1"/>
    <xf numFmtId="0" fontId="0" fillId="8" borderId="34" xfId="0" applyFont="1" applyFill="1" applyBorder="1"/>
    <xf numFmtId="0" fontId="0" fillId="17" borderId="34" xfId="0" applyFont="1" applyFill="1" applyBorder="1"/>
    <xf numFmtId="0" fontId="6" fillId="16" borderId="34" xfId="0" applyFont="1" applyFill="1" applyBorder="1"/>
    <xf numFmtId="14" fontId="6" fillId="16" borderId="34" xfId="0" applyNumberFormat="1" applyFont="1" applyFill="1" applyBorder="1"/>
    <xf numFmtId="0" fontId="6" fillId="16" borderId="35" xfId="0" applyFont="1" applyFill="1" applyBorder="1"/>
    <xf numFmtId="0" fontId="8" fillId="11" borderId="34" xfId="0" applyFont="1" applyFill="1" applyBorder="1"/>
    <xf numFmtId="0" fontId="0" fillId="11" borderId="34" xfId="0" applyFont="1" applyFill="1" applyBorder="1"/>
    <xf numFmtId="0" fontId="0" fillId="18" borderId="34" xfId="0" applyNumberFormat="1" applyFont="1" applyFill="1" applyBorder="1"/>
    <xf numFmtId="0" fontId="8" fillId="18" borderId="34" xfId="0" applyFont="1" applyFill="1" applyBorder="1"/>
    <xf numFmtId="0" fontId="8" fillId="0" borderId="34" xfId="0" applyFont="1" applyBorder="1"/>
    <xf numFmtId="0" fontId="6" fillId="5" borderId="35" xfId="0" applyFont="1" applyFill="1" applyBorder="1"/>
    <xf numFmtId="0" fontId="3" fillId="10" borderId="34" xfId="0" applyFont="1" applyFill="1" applyBorder="1"/>
    <xf numFmtId="49" fontId="0" fillId="0" borderId="34" xfId="0" applyNumberFormat="1" applyFont="1" applyBorder="1"/>
    <xf numFmtId="0" fontId="0" fillId="0" borderId="34" xfId="0" applyNumberFormat="1" applyFont="1" applyBorder="1"/>
    <xf numFmtId="49" fontId="4" fillId="18" borderId="34" xfId="0" applyNumberFormat="1" applyFont="1" applyFill="1" applyBorder="1"/>
    <xf numFmtId="49" fontId="4" fillId="0" borderId="34" xfId="0" applyNumberFormat="1" applyFont="1" applyBorder="1"/>
    <xf numFmtId="14" fontId="0" fillId="8" borderId="34" xfId="0" applyNumberFormat="1" applyFont="1" applyFill="1" applyBorder="1"/>
    <xf numFmtId="0" fontId="0" fillId="8" borderId="35" xfId="0" applyFont="1" applyFill="1" applyBorder="1"/>
    <xf numFmtId="2" fontId="0" fillId="18" borderId="34" xfId="0" applyNumberFormat="1" applyFont="1" applyFill="1" applyBorder="1"/>
    <xf numFmtId="0" fontId="4" fillId="18" borderId="34" xfId="0" applyFont="1" applyFill="1" applyBorder="1"/>
    <xf numFmtId="0" fontId="4" fillId="0" borderId="34" xfId="0" applyFont="1" applyBorder="1"/>
    <xf numFmtId="1" fontId="0" fillId="0" borderId="34" xfId="0" applyNumberFormat="1" applyFont="1" applyBorder="1"/>
    <xf numFmtId="49" fontId="12" fillId="18" borderId="34" xfId="0" applyNumberFormat="1" applyFont="1" applyFill="1" applyBorder="1"/>
    <xf numFmtId="49" fontId="4" fillId="7" borderId="34" xfId="0" applyNumberFormat="1" applyFont="1" applyFill="1" applyBorder="1"/>
    <xf numFmtId="1" fontId="0" fillId="7" borderId="34" xfId="0" applyNumberFormat="1" applyFont="1" applyFill="1" applyBorder="1"/>
    <xf numFmtId="0" fontId="13" fillId="18" borderId="34" xfId="0" applyFont="1" applyFill="1" applyBorder="1"/>
    <xf numFmtId="14" fontId="13" fillId="18" borderId="34" xfId="0" applyNumberFormat="1" applyFont="1" applyFill="1" applyBorder="1"/>
    <xf numFmtId="0" fontId="13" fillId="18" borderId="35" xfId="0" applyFont="1" applyFill="1" applyBorder="1"/>
    <xf numFmtId="0" fontId="14" fillId="18" borderId="34" xfId="0" applyFont="1" applyFill="1" applyBorder="1"/>
    <xf numFmtId="14" fontId="14" fillId="18" borderId="34" xfId="0" applyNumberFormat="1" applyFont="1" applyFill="1" applyBorder="1"/>
    <xf numFmtId="0" fontId="14" fillId="18" borderId="35" xfId="0" applyFont="1" applyFill="1" applyBorder="1"/>
    <xf numFmtId="0" fontId="0" fillId="0" borderId="34" xfId="0" applyBorder="1"/>
    <xf numFmtId="0" fontId="14" fillId="7" borderId="35" xfId="0" applyFont="1" applyFill="1" applyBorder="1"/>
    <xf numFmtId="0" fontId="14" fillId="18" borderId="34" xfId="0" applyFont="1" applyFill="1" applyBorder="1" applyAlignment="1">
      <alignment horizontal="right"/>
    </xf>
    <xf numFmtId="14" fontId="14" fillId="18" borderId="34" xfId="0" applyNumberFormat="1" applyFont="1" applyFill="1" applyBorder="1" applyAlignment="1">
      <alignment horizontal="right"/>
    </xf>
    <xf numFmtId="0" fontId="0" fillId="18" borderId="34" xfId="0" applyFont="1" applyFill="1" applyBorder="1" applyAlignment="1">
      <alignment horizontal="right"/>
    </xf>
    <xf numFmtId="0" fontId="0" fillId="0" borderId="34" xfId="0" applyFont="1" applyBorder="1" applyAlignment="1">
      <alignment horizontal="right"/>
    </xf>
    <xf numFmtId="0" fontId="0" fillId="8" borderId="34" xfId="0" applyNumberFormat="1" applyFont="1" applyFill="1" applyBorder="1"/>
    <xf numFmtId="0" fontId="14" fillId="0" borderId="33" xfId="0" applyFont="1" applyBorder="1"/>
    <xf numFmtId="0" fontId="14" fillId="0" borderId="34" xfId="0" applyFont="1" applyBorder="1"/>
    <xf numFmtId="14" fontId="14" fillId="0" borderId="34" xfId="0" applyNumberFormat="1" applyFont="1" applyBorder="1"/>
    <xf numFmtId="0" fontId="14" fillId="18" borderId="33" xfId="0" applyFont="1" applyFill="1" applyBorder="1"/>
    <xf numFmtId="0" fontId="14" fillId="7" borderId="34" xfId="0" applyFont="1" applyFill="1" applyBorder="1"/>
    <xf numFmtId="14" fontId="0" fillId="0" borderId="12" xfId="0" quotePrefix="1" applyNumberFormat="1" applyBorder="1" applyAlignment="1">
      <alignment horizontal="center" vertical="center"/>
    </xf>
    <xf numFmtId="0" fontId="14" fillId="18" borderId="34" xfId="0" applyNumberFormat="1" applyFont="1" applyFill="1" applyBorder="1"/>
    <xf numFmtId="0" fontId="14" fillId="18" borderId="0" xfId="0" applyFont="1" applyFill="1" applyBorder="1"/>
    <xf numFmtId="0" fontId="14" fillId="0" borderId="36" xfId="0" applyFont="1" applyBorder="1"/>
    <xf numFmtId="0" fontId="14" fillId="0" borderId="35" xfId="0" applyFont="1" applyBorder="1"/>
    <xf numFmtId="0" fontId="0" fillId="0" borderId="0" xfId="0" applyFont="1" applyBorder="1"/>
    <xf numFmtId="0" fontId="0" fillId="0" borderId="36" xfId="0" applyFont="1" applyBorder="1"/>
    <xf numFmtId="14" fontId="0" fillId="0" borderId="0" xfId="0" applyNumberFormat="1" applyFont="1" applyBorder="1"/>
    <xf numFmtId="0" fontId="0" fillId="18" borderId="36" xfId="0" applyFont="1" applyFill="1" applyBorder="1"/>
    <xf numFmtId="0" fontId="6" fillId="7" borderId="0" xfId="0" applyFont="1" applyFill="1" applyBorder="1"/>
    <xf numFmtId="0" fontId="0" fillId="0" borderId="38" xfId="0" applyFont="1" applyBorder="1"/>
    <xf numFmtId="0" fontId="0" fillId="0" borderId="8" xfId="0" applyFont="1" applyBorder="1"/>
    <xf numFmtId="14" fontId="0" fillId="0" borderId="8" xfId="0" applyNumberFormat="1" applyFont="1" applyBorder="1"/>
    <xf numFmtId="0" fontId="6" fillId="7" borderId="39" xfId="0" applyFont="1" applyFill="1" applyBorder="1"/>
    <xf numFmtId="0" fontId="0" fillId="0" borderId="39" xfId="0" applyFont="1" applyBorder="1"/>
    <xf numFmtId="0" fontId="0" fillId="18" borderId="40" xfId="0" applyFont="1" applyFill="1" applyBorder="1"/>
    <xf numFmtId="0" fontId="14" fillId="0" borderId="41" xfId="0" applyFont="1" applyBorder="1"/>
    <xf numFmtId="0" fontId="0" fillId="0" borderId="41" xfId="0" applyFont="1" applyBorder="1"/>
    <xf numFmtId="0" fontId="6" fillId="7" borderId="8" xfId="0" applyFont="1" applyFill="1" applyBorder="1"/>
    <xf numFmtId="0" fontId="2" fillId="0" borderId="34" xfId="0" applyFont="1" applyBorder="1"/>
    <xf numFmtId="0" fontId="6" fillId="7" borderId="45" xfId="0" applyFont="1" applyFill="1" applyBorder="1"/>
    <xf numFmtId="0" fontId="0" fillId="0" borderId="45" xfId="0" applyFont="1" applyBorder="1"/>
    <xf numFmtId="0" fontId="16" fillId="0" borderId="0" xfId="0" applyFont="1"/>
    <xf numFmtId="0" fontId="0" fillId="0" borderId="40" xfId="0" applyFont="1" applyBorder="1"/>
    <xf numFmtId="14" fontId="0" fillId="0" borderId="39" xfId="0" applyNumberFormat="1" applyFont="1" applyBorder="1"/>
    <xf numFmtId="0" fontId="0" fillId="0" borderId="37" xfId="0" applyFont="1" applyBorder="1"/>
    <xf numFmtId="0" fontId="0" fillId="0" borderId="34" xfId="0" applyFont="1" applyBorder="1" applyAlignment="1">
      <alignment wrapText="1"/>
    </xf>
    <xf numFmtId="0" fontId="15" fillId="0" borderId="34" xfId="0" applyFont="1" applyBorder="1"/>
    <xf numFmtId="0" fontId="0" fillId="18" borderId="49" xfId="0" applyFont="1" applyFill="1" applyBorder="1"/>
    <xf numFmtId="0" fontId="0" fillId="18" borderId="50" xfId="0" applyFont="1" applyFill="1" applyBorder="1"/>
    <xf numFmtId="0" fontId="0" fillId="0" borderId="49" xfId="0" applyFont="1" applyBorder="1"/>
    <xf numFmtId="0" fontId="0" fillId="0" borderId="50" xfId="0" applyFont="1" applyBorder="1"/>
    <xf numFmtId="0" fontId="0" fillId="18" borderId="39" xfId="0" applyFont="1" applyFill="1" applyBorder="1"/>
    <xf numFmtId="0" fontId="0" fillId="7" borderId="49" xfId="0" applyFont="1" applyFill="1" applyBorder="1"/>
    <xf numFmtId="0" fontId="0" fillId="7" borderId="50" xfId="0" applyFont="1" applyFill="1" applyBorder="1"/>
    <xf numFmtId="0" fontId="6" fillId="5" borderId="49" xfId="0" applyFont="1" applyFill="1" applyBorder="1"/>
    <xf numFmtId="0" fontId="6" fillId="5" borderId="50" xfId="0" applyFont="1" applyFill="1" applyBorder="1"/>
    <xf numFmtId="0" fontId="0" fillId="7" borderId="40" xfId="0" applyFont="1" applyFill="1" applyBorder="1"/>
    <xf numFmtId="0" fontId="0" fillId="0" borderId="1" xfId="0" applyBorder="1"/>
    <xf numFmtId="0" fontId="0" fillId="18" borderId="52" xfId="0" applyFont="1" applyFill="1" applyBorder="1"/>
    <xf numFmtId="14" fontId="0" fillId="18" borderId="49" xfId="0" applyNumberFormat="1" applyFont="1" applyFill="1" applyBorder="1"/>
    <xf numFmtId="0" fontId="6" fillId="7" borderId="49" xfId="0" applyFont="1" applyFill="1" applyBorder="1"/>
    <xf numFmtId="0" fontId="0" fillId="0" borderId="52" xfId="0" applyFont="1" applyBorder="1"/>
    <xf numFmtId="14" fontId="0" fillId="0" borderId="49" xfId="0" applyNumberFormat="1" applyFont="1" applyBorder="1"/>
    <xf numFmtId="0" fontId="0" fillId="18" borderId="41" xfId="0" applyFont="1" applyFill="1" applyBorder="1"/>
    <xf numFmtId="14" fontId="0" fillId="18" borderId="39" xfId="0" applyNumberFormat="1" applyFont="1" applyFill="1" applyBorder="1"/>
    <xf numFmtId="0" fontId="0" fillId="0" borderId="43" xfId="0" applyFont="1" applyBorder="1"/>
    <xf numFmtId="14" fontId="0" fillId="0" borderId="43" xfId="0" applyNumberFormat="1" applyFont="1" applyBorder="1"/>
    <xf numFmtId="0" fontId="0" fillId="0" borderId="46" xfId="0" applyFont="1" applyBorder="1"/>
    <xf numFmtId="0" fontId="0" fillId="0" borderId="47" xfId="0" applyFont="1" applyBorder="1"/>
    <xf numFmtId="0" fontId="0" fillId="18" borderId="47" xfId="0" applyFont="1" applyFill="1" applyBorder="1"/>
    <xf numFmtId="0" fontId="0" fillId="18" borderId="43" xfId="0" applyFont="1" applyFill="1" applyBorder="1"/>
    <xf numFmtId="14" fontId="0" fillId="18" borderId="43" xfId="0" applyNumberFormat="1" applyFont="1" applyFill="1" applyBorder="1"/>
    <xf numFmtId="0" fontId="0" fillId="18" borderId="0" xfId="0" applyFont="1" applyFill="1" applyBorder="1"/>
    <xf numFmtId="0" fontId="0" fillId="18" borderId="37" xfId="0" applyFont="1" applyFill="1" applyBorder="1"/>
    <xf numFmtId="0" fontId="0" fillId="7" borderId="37" xfId="0" applyFont="1" applyFill="1" applyBorder="1"/>
    <xf numFmtId="0" fontId="0" fillId="18" borderId="42" xfId="0" applyFont="1" applyFill="1" applyBorder="1"/>
    <xf numFmtId="0" fontId="0" fillId="18" borderId="38" xfId="0" applyFont="1" applyFill="1" applyBorder="1"/>
    <xf numFmtId="0" fontId="0" fillId="18" borderId="51" xfId="0" applyFont="1" applyFill="1" applyBorder="1"/>
    <xf numFmtId="0" fontId="0" fillId="0" borderId="44" xfId="0" applyFont="1" applyBorder="1"/>
    <xf numFmtId="0" fontId="0" fillId="18" borderId="8" xfId="0" applyFont="1" applyFill="1" applyBorder="1"/>
    <xf numFmtId="0" fontId="0" fillId="7" borderId="39" xfId="0" applyFont="1" applyFill="1" applyBorder="1"/>
    <xf numFmtId="0" fontId="0" fillId="7" borderId="0" xfId="0" applyFont="1" applyFill="1" applyBorder="1"/>
    <xf numFmtId="0" fontId="13" fillId="18" borderId="0" xfId="0" applyFont="1" applyFill="1" applyBorder="1"/>
    <xf numFmtId="14" fontId="0" fillId="7" borderId="39" xfId="0" applyNumberFormat="1" applyFont="1" applyFill="1" applyBorder="1"/>
    <xf numFmtId="14" fontId="0" fillId="18" borderId="0" xfId="0" applyNumberFormat="1" applyFont="1" applyFill="1" applyBorder="1"/>
    <xf numFmtId="14" fontId="0" fillId="7" borderId="0" xfId="0" applyNumberFormat="1" applyFont="1" applyFill="1" applyBorder="1"/>
    <xf numFmtId="14" fontId="0" fillId="18" borderId="8" xfId="0" applyNumberFormat="1" applyFont="1" applyFill="1" applyBorder="1"/>
    <xf numFmtId="14" fontId="13" fillId="18" borderId="0" xfId="0" applyNumberFormat="1" applyFont="1" applyFill="1" applyBorder="1"/>
    <xf numFmtId="14" fontId="0" fillId="7" borderId="8" xfId="0" applyNumberFormat="1" applyFont="1" applyFill="1" applyBorder="1"/>
    <xf numFmtId="0" fontId="0" fillId="18" borderId="0" xfId="0" applyNumberFormat="1" applyFont="1" applyFill="1" applyBorder="1"/>
    <xf numFmtId="0" fontId="0" fillId="17" borderId="0" xfId="0" applyFont="1" applyFill="1" applyBorder="1"/>
    <xf numFmtId="0" fontId="0" fillId="0" borderId="39" xfId="0" applyFont="1" applyBorder="1" applyAlignment="1">
      <alignment horizontal="right"/>
    </xf>
    <xf numFmtId="0" fontId="0" fillId="5" borderId="39" xfId="0" applyFont="1" applyFill="1" applyBorder="1"/>
    <xf numFmtId="49" fontId="0" fillId="18" borderId="0" xfId="0" applyNumberFormat="1" applyFont="1" applyFill="1" applyBorder="1"/>
    <xf numFmtId="49" fontId="4" fillId="18" borderId="39" xfId="0" applyNumberFormat="1" applyFont="1" applyFill="1" applyBorder="1"/>
    <xf numFmtId="49" fontId="4" fillId="0" borderId="0" xfId="0" applyNumberFormat="1" applyFont="1" applyBorder="1"/>
    <xf numFmtId="49" fontId="4" fillId="18" borderId="8" xfId="0" applyNumberFormat="1" applyFont="1" applyFill="1" applyBorder="1"/>
    <xf numFmtId="49" fontId="4" fillId="0" borderId="39" xfId="0" applyNumberFormat="1" applyFont="1" applyBorder="1"/>
    <xf numFmtId="0" fontId="4" fillId="0" borderId="0" xfId="0" applyFont="1" applyBorder="1"/>
    <xf numFmtId="0" fontId="4" fillId="0" borderId="39" xfId="0" applyFont="1" applyBorder="1"/>
    <xf numFmtId="49" fontId="4" fillId="18" borderId="0" xfId="0" applyNumberFormat="1" applyFont="1" applyFill="1" applyBorder="1"/>
    <xf numFmtId="0" fontId="6" fillId="0" borderId="8" xfId="0" applyFont="1" applyBorder="1"/>
    <xf numFmtId="0" fontId="6" fillId="0" borderId="0" xfId="0" applyFont="1" applyBorder="1"/>
    <xf numFmtId="0" fontId="6" fillId="18" borderId="0" xfId="0" applyFont="1" applyFill="1" applyBorder="1"/>
    <xf numFmtId="0" fontId="6" fillId="0" borderId="45" xfId="0" applyFont="1" applyBorder="1"/>
    <xf numFmtId="0" fontId="6" fillId="18" borderId="8" xfId="0" applyFont="1" applyFill="1" applyBorder="1"/>
    <xf numFmtId="0" fontId="6" fillId="8" borderId="0" xfId="0" applyFont="1" applyFill="1" applyBorder="1"/>
    <xf numFmtId="0" fontId="6" fillId="5" borderId="0" xfId="0" applyFont="1" applyFill="1" applyBorder="1"/>
    <xf numFmtId="0" fontId="6" fillId="16" borderId="0" xfId="0" applyFont="1" applyFill="1" applyBorder="1"/>
    <xf numFmtId="0" fontId="6" fillId="18" borderId="45" xfId="0" applyFont="1" applyFill="1" applyBorder="1"/>
    <xf numFmtId="0" fontId="0" fillId="7" borderId="8" xfId="0" applyFont="1" applyFill="1" applyBorder="1"/>
    <xf numFmtId="0" fontId="0" fillId="8" borderId="0" xfId="0" applyFont="1" applyFill="1" applyBorder="1"/>
    <xf numFmtId="0" fontId="0" fillId="18" borderId="45" xfId="0" applyFont="1" applyFill="1" applyBorder="1"/>
    <xf numFmtId="0" fontId="0" fillId="18" borderId="48" xfId="0" applyFont="1" applyFill="1" applyBorder="1"/>
    <xf numFmtId="0" fontId="0" fillId="7" borderId="42" xfId="0" applyFont="1" applyFill="1" applyBorder="1"/>
    <xf numFmtId="0" fontId="17" fillId="3" borderId="0" xfId="0" applyFont="1" applyFill="1" applyBorder="1" applyAlignment="1">
      <alignment horizontal="center" vertical="center" wrapText="1"/>
    </xf>
    <xf numFmtId="0" fontId="14" fillId="0" borderId="53" xfId="0" applyFont="1" applyBorder="1"/>
    <xf numFmtId="0" fontId="0" fillId="0" borderId="54" xfId="0" applyFont="1" applyBorder="1"/>
    <xf numFmtId="14" fontId="0" fillId="0" borderId="54" xfId="0" applyNumberFormat="1" applyFont="1" applyBorder="1"/>
    <xf numFmtId="0" fontId="6" fillId="7" borderId="54" xfId="0" applyFont="1" applyFill="1" applyBorder="1"/>
    <xf numFmtId="0" fontId="0" fillId="0" borderId="55" xfId="0" applyFont="1" applyBorder="1"/>
    <xf numFmtId="0" fontId="0" fillId="0" borderId="19" xfId="0" applyBorder="1"/>
    <xf numFmtId="0" fontId="0" fillId="0" borderId="8" xfId="0" applyBorder="1"/>
    <xf numFmtId="0" fontId="14" fillId="0" borderId="34" xfId="0" applyNumberFormat="1" applyFont="1" applyBorder="1"/>
    <xf numFmtId="0" fontId="14" fillId="0" borderId="54" xfId="0" applyFont="1" applyBorder="1"/>
    <xf numFmtId="14" fontId="14" fillId="0" borderId="54" xfId="0" applyNumberFormat="1" applyFont="1" applyBorder="1"/>
    <xf numFmtId="0" fontId="14" fillId="0" borderId="55" xfId="0" applyFont="1" applyBorder="1"/>
    <xf numFmtId="0" fontId="14" fillId="0" borderId="54" xfId="0" applyNumberFormat="1" applyFont="1" applyBorder="1"/>
    <xf numFmtId="0" fontId="14" fillId="0" borderId="56" xfId="0" applyFont="1" applyBorder="1"/>
    <xf numFmtId="0" fontId="14" fillId="0" borderId="20" xfId="0" applyFont="1" applyBorder="1"/>
    <xf numFmtId="14" fontId="14" fillId="0" borderId="20" xfId="0" applyNumberFormat="1" applyFont="1" applyBorder="1"/>
    <xf numFmtId="0" fontId="14" fillId="0" borderId="57" xfId="0" applyFont="1" applyBorder="1"/>
    <xf numFmtId="0" fontId="14" fillId="0" borderId="20" xfId="0" applyNumberFormat="1" applyFont="1" applyBorder="1"/>
    <xf numFmtId="0" fontId="14" fillId="0" borderId="0" xfId="0" applyNumberFormat="1" applyFont="1" applyBorder="1"/>
    <xf numFmtId="0" fontId="14" fillId="0" borderId="19" xfId="0" applyNumberFormat="1" applyFont="1" applyBorder="1"/>
    <xf numFmtId="0" fontId="0" fillId="18" borderId="54" xfId="0" applyFont="1" applyFill="1" applyBorder="1"/>
    <xf numFmtId="14" fontId="0" fillId="18" borderId="54" xfId="0" applyNumberFormat="1" applyFont="1" applyFill="1" applyBorder="1"/>
    <xf numFmtId="0" fontId="0" fillId="0" borderId="20" xfId="0" applyFont="1" applyBorder="1"/>
    <xf numFmtId="14" fontId="0" fillId="0" borderId="20" xfId="0" applyNumberFormat="1" applyFont="1" applyBorder="1"/>
    <xf numFmtId="0" fontId="0" fillId="18" borderId="55" xfId="0" applyFont="1" applyFill="1" applyBorder="1"/>
    <xf numFmtId="0" fontId="0" fillId="0" borderId="57" xfId="0" applyFont="1" applyBorder="1"/>
    <xf numFmtId="0" fontId="6" fillId="7" borderId="19" xfId="0" applyFont="1" applyFill="1" applyBorder="1"/>
    <xf numFmtId="0" fontId="0" fillId="0" borderId="19" xfId="0" applyFont="1" applyBorder="1"/>
    <xf numFmtId="0" fontId="14" fillId="0" borderId="0" xfId="0" applyFont="1" applyBorder="1"/>
    <xf numFmtId="14" fontId="14" fillId="0" borderId="0" xfId="0" applyNumberFormat="1" applyFont="1" applyBorder="1"/>
    <xf numFmtId="0" fontId="14" fillId="0" borderId="37" xfId="0" applyFont="1" applyBorder="1"/>
    <xf numFmtId="14" fontId="14" fillId="0" borderId="19" xfId="0" applyNumberFormat="1" applyFont="1" applyBorder="1"/>
    <xf numFmtId="0" fontId="14" fillId="0" borderId="19" xfId="0" applyFont="1" applyBorder="1"/>
    <xf numFmtId="0" fontId="0" fillId="0" borderId="52" xfId="0" applyBorder="1"/>
    <xf numFmtId="0" fontId="7" fillId="3" borderId="58" xfId="0" applyFont="1" applyFill="1" applyBorder="1" applyAlignment="1">
      <alignment horizontal="center" vertical="center" wrapText="1"/>
    </xf>
    <xf numFmtId="0" fontId="7" fillId="3" borderId="59" xfId="0" applyFont="1" applyFill="1" applyBorder="1" applyAlignment="1">
      <alignment horizontal="center" vertical="center" wrapText="1"/>
    </xf>
    <xf numFmtId="16" fontId="0" fillId="0" borderId="19" xfId="0" applyNumberFormat="1" applyBorder="1"/>
    <xf numFmtId="0" fontId="0" fillId="0" borderId="0" xfId="0" applyFill="1" applyBorder="1"/>
    <xf numFmtId="0" fontId="2" fillId="5" borderId="11" xfId="0" applyFont="1" applyFill="1" applyBorder="1" applyAlignment="1">
      <alignment horizontal="center" vertical="center" wrapText="1"/>
    </xf>
    <xf numFmtId="0" fontId="2" fillId="5" borderId="12" xfId="0" applyFont="1" applyFill="1" applyBorder="1" applyAlignment="1">
      <alignment horizontal="center" vertical="center" wrapText="1"/>
    </xf>
    <xf numFmtId="0" fontId="0" fillId="0" borderId="0" xfId="0" applyAlignment="1">
      <alignment horizontal="center" vertical="center"/>
    </xf>
    <xf numFmtId="0" fontId="2" fillId="3" borderId="11" xfId="0" applyFont="1" applyFill="1" applyBorder="1" applyAlignment="1">
      <alignment horizontal="center" vertical="center" wrapText="1"/>
    </xf>
    <xf numFmtId="0" fontId="2" fillId="3" borderId="12" xfId="0" applyFont="1" applyFill="1" applyBorder="1" applyAlignment="1">
      <alignment horizontal="center" vertical="center" wrapText="1"/>
    </xf>
    <xf numFmtId="0" fontId="1" fillId="2" borderId="2" xfId="0" applyFont="1" applyFill="1" applyBorder="1" applyAlignment="1">
      <alignment horizontal="center" vertical="center"/>
    </xf>
    <xf numFmtId="0" fontId="1" fillId="2" borderId="3" xfId="0" applyFont="1" applyFill="1" applyBorder="1" applyAlignment="1">
      <alignment horizontal="center" vertical="center"/>
    </xf>
    <xf numFmtId="0" fontId="1" fillId="2" borderId="4" xfId="0" applyFont="1" applyFill="1" applyBorder="1" applyAlignment="1">
      <alignment horizontal="center" vertical="center"/>
    </xf>
    <xf numFmtId="0" fontId="1" fillId="2" borderId="5" xfId="0" applyFont="1" applyFill="1" applyBorder="1" applyAlignment="1">
      <alignment horizontal="center" vertical="center"/>
    </xf>
    <xf numFmtId="0" fontId="1" fillId="2" borderId="0" xfId="0" applyFont="1" applyFill="1" applyBorder="1" applyAlignment="1">
      <alignment horizontal="center" vertical="center"/>
    </xf>
    <xf numFmtId="0" fontId="1" fillId="2" borderId="6" xfId="0" applyFont="1" applyFill="1" applyBorder="1" applyAlignment="1">
      <alignment horizontal="center" vertical="center"/>
    </xf>
    <xf numFmtId="0" fontId="1" fillId="2" borderId="7" xfId="0" applyFont="1" applyFill="1" applyBorder="1" applyAlignment="1">
      <alignment horizontal="center" vertical="center"/>
    </xf>
    <xf numFmtId="0" fontId="1" fillId="2" borderId="8" xfId="0" applyFont="1" applyFill="1" applyBorder="1" applyAlignment="1">
      <alignment horizontal="center" vertical="center"/>
    </xf>
    <xf numFmtId="0" fontId="1" fillId="2" borderId="9" xfId="0" applyFont="1" applyFill="1" applyBorder="1" applyAlignment="1">
      <alignment horizontal="center" vertical="center"/>
    </xf>
    <xf numFmtId="0" fontId="10" fillId="13" borderId="21" xfId="0" applyFont="1" applyFill="1" applyBorder="1" applyAlignment="1">
      <alignment horizontal="center" vertical="center" wrapText="1"/>
    </xf>
    <xf numFmtId="0" fontId="10" fillId="13" borderId="22" xfId="0" applyFont="1" applyFill="1" applyBorder="1" applyAlignment="1">
      <alignment horizontal="center" vertical="center" wrapText="1"/>
    </xf>
    <xf numFmtId="0" fontId="10" fillId="13" borderId="23" xfId="0" applyFont="1" applyFill="1" applyBorder="1" applyAlignment="1">
      <alignment horizontal="center" vertical="center" wrapText="1"/>
    </xf>
    <xf numFmtId="0" fontId="2" fillId="14" borderId="11" xfId="0" applyFont="1" applyFill="1" applyBorder="1" applyAlignment="1">
      <alignment horizontal="center"/>
    </xf>
    <xf numFmtId="0" fontId="2" fillId="14" borderId="20" xfId="0" applyFont="1" applyFill="1" applyBorder="1" applyAlignment="1">
      <alignment horizontal="center"/>
    </xf>
    <xf numFmtId="0" fontId="2" fillId="14" borderId="12" xfId="0" applyFont="1" applyFill="1" applyBorder="1" applyAlignment="1">
      <alignment horizontal="center"/>
    </xf>
    <xf numFmtId="0" fontId="2" fillId="15" borderId="21" xfId="0" applyFont="1" applyFill="1" applyBorder="1" applyAlignment="1">
      <alignment horizontal="center" vertical="center" wrapText="1"/>
    </xf>
    <xf numFmtId="0" fontId="2" fillId="15" borderId="22" xfId="0" applyFont="1" applyFill="1" applyBorder="1" applyAlignment="1">
      <alignment horizontal="center" vertical="center" wrapText="1"/>
    </xf>
    <xf numFmtId="0" fontId="2" fillId="15" borderId="23" xfId="0" applyFont="1" applyFill="1" applyBorder="1" applyAlignment="1">
      <alignment horizontal="center" vertical="center" wrapText="1"/>
    </xf>
    <xf numFmtId="0" fontId="2" fillId="15" borderId="21" xfId="0" applyFont="1" applyFill="1" applyBorder="1" applyAlignment="1">
      <alignment horizontal="center"/>
    </xf>
    <xf numFmtId="0" fontId="2" fillId="15" borderId="22" xfId="0" applyFont="1" applyFill="1" applyBorder="1" applyAlignment="1">
      <alignment horizontal="center"/>
    </xf>
    <xf numFmtId="0" fontId="2" fillId="15" borderId="23" xfId="0" applyFont="1" applyFill="1" applyBorder="1" applyAlignment="1">
      <alignment horizontal="center"/>
    </xf>
  </cellXfs>
  <cellStyles count="1">
    <cellStyle name="Normal" xfId="0" builtinId="0"/>
  </cellStyles>
  <dxfs count="3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border outline="0">
        <top style="thin">
          <color indexed="64"/>
        </top>
      </border>
    </dxf>
    <dxf>
      <border outline="0">
        <bottom style="thin">
          <color theme="4" tint="0.39997558519241921"/>
        </bottom>
      </border>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Calibri"/>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style="thin">
          <color theme="4" tint="0.39997558519241921"/>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scheme val="minor"/>
      </font>
      <border diagonalUp="0" diagonalDown="0">
        <left style="thin">
          <color theme="4" tint="0.39997558519241921"/>
        </left>
        <right/>
        <top style="thin">
          <color theme="4" tint="0.39997558519241921"/>
        </top>
        <bottom/>
        <vertical/>
        <horizontal/>
      </border>
    </dxf>
    <dxf>
      <border outline="0">
        <top style="thin">
          <color indexed="64"/>
        </top>
        <bottom style="thin">
          <color theme="4" tint="0.39997558519241921"/>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auto="1"/>
        <name val="Calibri"/>
        <scheme val="minor"/>
      </font>
      <fill>
        <patternFill patternType="solid">
          <fgColor indexed="64"/>
          <bgColor theme="0" tint="-0.14999847407452621"/>
        </patternFill>
      </fill>
      <alignment horizontal="center" vertical="center" textRotation="0" wrapText="1" indent="0" justifyLastLine="0" shrinkToFit="0" readingOrder="0"/>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39997558519241921"/>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ill>
        <patternFill patternType="solid">
          <bgColor theme="5" tint="0.59999389629810485"/>
        </patternFill>
      </fill>
    </dxf>
    <dxf>
      <font>
        <color theme="0"/>
      </font>
    </dxf>
    <dxf>
      <font>
        <color theme="0"/>
      </font>
    </dxf>
  </dxfs>
  <tableStyles count="0" defaultTableStyle="TableStyleMedium2" defaultPivotStyle="PivotStyleLight16"/>
  <colors>
    <mruColors>
      <color rgb="FF1107D7"/>
      <color rgb="FFC2C2C2"/>
      <color rgb="FF4AC529"/>
      <color rgb="FFFFCC00"/>
      <color rgb="FF7CCD19"/>
      <color rgb="FF09E543"/>
      <color rgb="FFF56C55"/>
      <color rgb="FFFF712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pivotCacheDefinition" Target="pivotCache/pivotCacheDefinition5.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pivotCacheDefinition" Target="pivotCache/pivotCacheDefinition4.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pivotSource>
    <c:name>[vigilancia_kerma3Gy_macros.xlsm]PruebaTabla!Tabla dinámica6</c:name>
    <c:fmtId val="0"/>
  </c:pivotSource>
  <c:chart>
    <c:title>
      <c:tx>
        <c:rich>
          <a:bodyPr/>
          <a:lstStyle/>
          <a:p>
            <a:pPr>
              <a:defRPr/>
            </a:pPr>
            <a:r>
              <a:rPr lang="es-ES"/>
              <a:t>Total de dosis anuales</a:t>
            </a:r>
          </a:p>
        </c:rich>
      </c:tx>
      <c:layout>
        <c:manualLayout>
          <c:xMode val="edge"/>
          <c:yMode val="edge"/>
          <c:x val="0.22789685309954813"/>
          <c:y val="5.9164479440069993E-2"/>
        </c:manualLayout>
      </c:layout>
      <c:overlay val="0"/>
    </c:title>
    <c:autoTitleDeleted val="0"/>
    <c:pivotFmts>
      <c:pivotFmt>
        <c:idx val="0"/>
        <c:marker>
          <c:symbol val="none"/>
        </c:marker>
      </c:pivotFmt>
    </c:pivotFmts>
    <c:plotArea>
      <c:layout>
        <c:manualLayout>
          <c:layoutTarget val="inner"/>
          <c:xMode val="edge"/>
          <c:yMode val="edge"/>
          <c:x val="8.5184403495954755E-2"/>
          <c:y val="0.21230132691746864"/>
          <c:w val="0.88163454825878729"/>
          <c:h val="0.58014690871974339"/>
        </c:manualLayout>
      </c:layout>
      <c:barChart>
        <c:barDir val="col"/>
        <c:grouping val="clustered"/>
        <c:varyColors val="0"/>
        <c:ser>
          <c:idx val="0"/>
          <c:order val="0"/>
          <c:tx>
            <c:strRef>
              <c:f>PruebaTabla!$N$6</c:f>
              <c:strCache>
                <c:ptCount val="1"/>
                <c:pt idx="0">
                  <c:v>Total</c:v>
                </c:pt>
              </c:strCache>
            </c:strRef>
          </c:tx>
          <c:invertIfNegative val="0"/>
          <c:cat>
            <c:strRef>
              <c:f>PruebaTabla!$M$7:$M$11</c:f>
              <c:strCache>
                <c:ptCount val="4"/>
                <c:pt idx="0">
                  <c:v>2018</c:v>
                </c:pt>
                <c:pt idx="1">
                  <c:v>2019</c:v>
                </c:pt>
                <c:pt idx="2">
                  <c:v>2020</c:v>
                </c:pt>
                <c:pt idx="3">
                  <c:v>2021</c:v>
                </c:pt>
              </c:strCache>
            </c:strRef>
          </c:cat>
          <c:val>
            <c:numRef>
              <c:f>PruebaTabla!$N$7:$N$11</c:f>
              <c:numCache>
                <c:formatCode>General</c:formatCode>
                <c:ptCount val="4"/>
                <c:pt idx="0">
                  <c:v>7.3289999999999997</c:v>
                </c:pt>
                <c:pt idx="1">
                  <c:v>35.470999999999997</c:v>
                </c:pt>
                <c:pt idx="2">
                  <c:v>151.71900000000002</c:v>
                </c:pt>
                <c:pt idx="3">
                  <c:v>19.063499999999998</c:v>
                </c:pt>
              </c:numCache>
            </c:numRef>
          </c:val>
        </c:ser>
        <c:dLbls>
          <c:showLegendKey val="0"/>
          <c:showVal val="0"/>
          <c:showCatName val="0"/>
          <c:showSerName val="0"/>
          <c:showPercent val="0"/>
          <c:showBubbleSize val="0"/>
        </c:dLbls>
        <c:gapWidth val="150"/>
        <c:axId val="187988992"/>
        <c:axId val="188015360"/>
      </c:barChart>
      <c:catAx>
        <c:axId val="187988992"/>
        <c:scaling>
          <c:orientation val="minMax"/>
        </c:scaling>
        <c:delete val="0"/>
        <c:axPos val="b"/>
        <c:majorTickMark val="out"/>
        <c:minorTickMark val="none"/>
        <c:tickLblPos val="nextTo"/>
        <c:crossAx val="188015360"/>
        <c:crosses val="autoZero"/>
        <c:auto val="1"/>
        <c:lblAlgn val="ctr"/>
        <c:lblOffset val="100"/>
        <c:noMultiLvlLbl val="0"/>
      </c:catAx>
      <c:valAx>
        <c:axId val="188015360"/>
        <c:scaling>
          <c:orientation val="minMax"/>
        </c:scaling>
        <c:delete val="0"/>
        <c:axPos val="l"/>
        <c:majorGridlines/>
        <c:numFmt formatCode="General" sourceLinked="1"/>
        <c:majorTickMark val="out"/>
        <c:minorTickMark val="none"/>
        <c:tickLblPos val="nextTo"/>
        <c:crossAx val="187988992"/>
        <c:crosses val="autoZero"/>
        <c:crossBetween val="between"/>
      </c:valAx>
    </c:plotArea>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Graficas!$I$5:$I$14</c:f>
              <c:strCache>
                <c:ptCount val="9"/>
                <c:pt idx="0">
                  <c:v>[0 - 1)</c:v>
                </c:pt>
                <c:pt idx="1">
                  <c:v>[1 - 2)</c:v>
                </c:pt>
                <c:pt idx="2">
                  <c:v>[2 - 3)</c:v>
                </c:pt>
                <c:pt idx="3">
                  <c:v>[3 - 4)</c:v>
                </c:pt>
                <c:pt idx="4">
                  <c:v>[4 - 5)</c:v>
                </c:pt>
                <c:pt idx="5">
                  <c:v>[5 - 6)</c:v>
                </c:pt>
                <c:pt idx="6">
                  <c:v>[6 - 7)</c:v>
                </c:pt>
                <c:pt idx="7">
                  <c:v>[7 - 8)</c:v>
                </c:pt>
                <c:pt idx="8">
                  <c:v>[8 - 9)</c:v>
                </c:pt>
              </c:strCache>
            </c:strRef>
          </c:cat>
          <c:val>
            <c:numRef>
              <c:f>Graficas!$K$5:$K$13</c:f>
              <c:numCache>
                <c:formatCode>General</c:formatCode>
                <c:ptCount val="9"/>
                <c:pt idx="0">
                  <c:v>64</c:v>
                </c:pt>
                <c:pt idx="1">
                  <c:v>9</c:v>
                </c:pt>
                <c:pt idx="2">
                  <c:v>21</c:v>
                </c:pt>
                <c:pt idx="3">
                  <c:v>17</c:v>
                </c:pt>
                <c:pt idx="4">
                  <c:v>7</c:v>
                </c:pt>
                <c:pt idx="5">
                  <c:v>5</c:v>
                </c:pt>
                <c:pt idx="6">
                  <c:v>4</c:v>
                </c:pt>
                <c:pt idx="7">
                  <c:v>1</c:v>
                </c:pt>
                <c:pt idx="8">
                  <c:v>0</c:v>
                </c:pt>
              </c:numCache>
            </c:numRef>
          </c:val>
        </c:ser>
        <c:dLbls>
          <c:showLegendKey val="0"/>
          <c:showVal val="0"/>
          <c:showCatName val="0"/>
          <c:showSerName val="0"/>
          <c:showPercent val="0"/>
          <c:showBubbleSize val="0"/>
        </c:dLbls>
        <c:gapWidth val="150"/>
        <c:axId val="214124416"/>
        <c:axId val="214125952"/>
      </c:barChart>
      <c:catAx>
        <c:axId val="214124416"/>
        <c:scaling>
          <c:orientation val="minMax"/>
        </c:scaling>
        <c:delete val="0"/>
        <c:axPos val="b"/>
        <c:numFmt formatCode="General" sourceLinked="1"/>
        <c:majorTickMark val="out"/>
        <c:minorTickMark val="none"/>
        <c:tickLblPos val="nextTo"/>
        <c:crossAx val="214125952"/>
        <c:crosses val="autoZero"/>
        <c:auto val="1"/>
        <c:lblAlgn val="ctr"/>
        <c:lblOffset val="100"/>
        <c:noMultiLvlLbl val="0"/>
      </c:catAx>
      <c:valAx>
        <c:axId val="214125952"/>
        <c:scaling>
          <c:orientation val="minMax"/>
        </c:scaling>
        <c:delete val="0"/>
        <c:axPos val="l"/>
        <c:majorGridlines/>
        <c:numFmt formatCode="General" sourceLinked="1"/>
        <c:majorTickMark val="out"/>
        <c:minorTickMark val="none"/>
        <c:tickLblPos val="nextTo"/>
        <c:crossAx val="214124416"/>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s-ES" sz="1600"/>
              <a:t>Reducción del kerma en aire al disminuir a</a:t>
            </a:r>
            <a:r>
              <a:rPr lang="es-ES" sz="1600" baseline="0"/>
              <a:t> 15</a:t>
            </a:r>
            <a:r>
              <a:rPr lang="es-ES" sz="1600"/>
              <a:t> ips</a:t>
            </a:r>
          </a:p>
        </c:rich>
      </c:tx>
      <c:layout>
        <c:manualLayout>
          <c:xMode val="edge"/>
          <c:yMode val="edge"/>
          <c:x val="0.12292315613261333"/>
          <c:y val="2.3148020743092333E-2"/>
        </c:manualLayout>
      </c:layout>
      <c:overlay val="0"/>
    </c:title>
    <c:autoTitleDeleted val="0"/>
    <c:plotArea>
      <c:layout/>
      <c:scatterChart>
        <c:scatterStyle val="lineMarker"/>
        <c:varyColors val="0"/>
        <c:ser>
          <c:idx val="2"/>
          <c:order val="0"/>
          <c:tx>
            <c:v>15 ips</c:v>
          </c:tx>
          <c:spPr>
            <a:ln w="28575">
              <a:noFill/>
            </a:ln>
          </c:spPr>
          <c:marker>
            <c:symbol val="circle"/>
            <c:size val="6"/>
            <c:spPr>
              <a:solidFill>
                <a:schemeClr val="accent6"/>
              </a:solidFill>
              <a:ln>
                <a:solidFill>
                  <a:schemeClr val="accent6"/>
                </a:solidFill>
              </a:ln>
            </c:spPr>
          </c:marker>
          <c:xVal>
            <c:numRef>
              <c:f>CateterismoCardiacoPED!$T$9:$T$48</c:f>
              <c:numCache>
                <c:formatCode>General</c:formatCode>
                <c:ptCount val="40"/>
                <c:pt idx="0">
                  <c:v>189</c:v>
                </c:pt>
                <c:pt idx="1">
                  <c:v>46</c:v>
                </c:pt>
                <c:pt idx="2">
                  <c:v>50</c:v>
                </c:pt>
                <c:pt idx="3">
                  <c:v>3.5</c:v>
                </c:pt>
                <c:pt idx="4">
                  <c:v>48.81</c:v>
                </c:pt>
                <c:pt idx="5">
                  <c:v>73</c:v>
                </c:pt>
                <c:pt idx="6">
                  <c:v>55</c:v>
                </c:pt>
                <c:pt idx="7">
                  <c:v>485</c:v>
                </c:pt>
                <c:pt idx="8">
                  <c:v>381</c:v>
                </c:pt>
                <c:pt idx="9">
                  <c:v>20.490000000000002</c:v>
                </c:pt>
                <c:pt idx="10">
                  <c:v>41</c:v>
                </c:pt>
                <c:pt idx="11">
                  <c:v>28.67</c:v>
                </c:pt>
                <c:pt idx="12">
                  <c:v>20.57</c:v>
                </c:pt>
                <c:pt idx="13">
                  <c:v>721</c:v>
                </c:pt>
                <c:pt idx="14">
                  <c:v>360</c:v>
                </c:pt>
                <c:pt idx="15">
                  <c:v>528.8900000000001</c:v>
                </c:pt>
                <c:pt idx="16">
                  <c:v>107</c:v>
                </c:pt>
                <c:pt idx="17">
                  <c:v>242</c:v>
                </c:pt>
                <c:pt idx="18">
                  <c:v>746</c:v>
                </c:pt>
                <c:pt idx="19">
                  <c:v>200</c:v>
                </c:pt>
                <c:pt idx="20">
                  <c:v>3414</c:v>
                </c:pt>
                <c:pt idx="21">
                  <c:v>182</c:v>
                </c:pt>
                <c:pt idx="22">
                  <c:v>464</c:v>
                </c:pt>
                <c:pt idx="23">
                  <c:v>355</c:v>
                </c:pt>
                <c:pt idx="24">
                  <c:v>424</c:v>
                </c:pt>
                <c:pt idx="25">
                  <c:v>191</c:v>
                </c:pt>
                <c:pt idx="26">
                  <c:v>365</c:v>
                </c:pt>
                <c:pt idx="27">
                  <c:v>414</c:v>
                </c:pt>
                <c:pt idx="28">
                  <c:v>318</c:v>
                </c:pt>
                <c:pt idx="29">
                  <c:v>173</c:v>
                </c:pt>
                <c:pt idx="30">
                  <c:v>161</c:v>
                </c:pt>
                <c:pt idx="31">
                  <c:v>300</c:v>
                </c:pt>
                <c:pt idx="32">
                  <c:v>16</c:v>
                </c:pt>
                <c:pt idx="33">
                  <c:v>36</c:v>
                </c:pt>
                <c:pt idx="34">
                  <c:v>448</c:v>
                </c:pt>
                <c:pt idx="35">
                  <c:v>8.4</c:v>
                </c:pt>
                <c:pt idx="36">
                  <c:v>33</c:v>
                </c:pt>
                <c:pt idx="37">
                  <c:v>45.1</c:v>
                </c:pt>
                <c:pt idx="38">
                  <c:v>905</c:v>
                </c:pt>
                <c:pt idx="39">
                  <c:v>30.5</c:v>
                </c:pt>
              </c:numCache>
            </c:numRef>
          </c:xVal>
          <c:yVal>
            <c:numRef>
              <c:f>CateterismoCardiacoPED!$AE$9:$AE$48</c:f>
              <c:numCache>
                <c:formatCode>General</c:formatCode>
                <c:ptCount val="40"/>
                <c:pt idx="0">
                  <c:v>6.9999999999999947</c:v>
                </c:pt>
                <c:pt idx="1">
                  <c:v>8.943374197314661</c:v>
                </c:pt>
                <c:pt idx="2">
                  <c:v>3.5067712045616588</c:v>
                </c:pt>
                <c:pt idx="3">
                  <c:v>0.27210884353741399</c:v>
                </c:pt>
                <c:pt idx="4">
                  <c:v>7.4789543642002592</c:v>
                </c:pt>
                <c:pt idx="5">
                  <c:v>9.879518072289148</c:v>
                </c:pt>
                <c:pt idx="6">
                  <c:v>24.183006535947708</c:v>
                </c:pt>
                <c:pt idx="7">
                  <c:v>15.38461538461539</c:v>
                </c:pt>
                <c:pt idx="8">
                  <c:v>10.599999999999991</c:v>
                </c:pt>
                <c:pt idx="9">
                  <c:v>12.244897959183671</c:v>
                </c:pt>
                <c:pt idx="10">
                  <c:v>6.695132365499572</c:v>
                </c:pt>
                <c:pt idx="11">
                  <c:v>8.639352554375316</c:v>
                </c:pt>
                <c:pt idx="12">
                  <c:v>22.829888712241655</c:v>
                </c:pt>
                <c:pt idx="13">
                  <c:v>14.603773584905658</c:v>
                </c:pt>
                <c:pt idx="14">
                  <c:v>15.111111111111105</c:v>
                </c:pt>
                <c:pt idx="15">
                  <c:v>3.1386861313868648</c:v>
                </c:pt>
                <c:pt idx="16">
                  <c:v>12.5</c:v>
                </c:pt>
                <c:pt idx="17">
                  <c:v>29.800000000000004</c:v>
                </c:pt>
                <c:pt idx="18">
                  <c:v>31.768231768231779</c:v>
                </c:pt>
                <c:pt idx="19">
                  <c:v>26.591549295774652</c:v>
                </c:pt>
                <c:pt idx="20">
                  <c:v>26.628895184135981</c:v>
                </c:pt>
                <c:pt idx="21">
                  <c:v>29.562043795620447</c:v>
                </c:pt>
                <c:pt idx="22">
                  <c:v>11.71875</c:v>
                </c:pt>
                <c:pt idx="23">
                  <c:v>2.2160664819944671</c:v>
                </c:pt>
                <c:pt idx="24">
                  <c:v>28.936464088397777</c:v>
                </c:pt>
                <c:pt idx="25">
                  <c:v>10.593220338983039</c:v>
                </c:pt>
                <c:pt idx="26">
                  <c:v>14.990291262135919</c:v>
                </c:pt>
                <c:pt idx="27">
                  <c:v>7.4125874125874169</c:v>
                </c:pt>
                <c:pt idx="28">
                  <c:v>6.90196078431374</c:v>
                </c:pt>
                <c:pt idx="29">
                  <c:v>18.235294117647065</c:v>
                </c:pt>
                <c:pt idx="30">
                  <c:v>25</c:v>
                </c:pt>
                <c:pt idx="31">
                  <c:v>12.395833333333334</c:v>
                </c:pt>
                <c:pt idx="32">
                  <c:v>5.4651413770774866</c:v>
                </c:pt>
                <c:pt idx="33">
                  <c:v>9.2307692307692371</c:v>
                </c:pt>
                <c:pt idx="34">
                  <c:v>6.697388632872503</c:v>
                </c:pt>
                <c:pt idx="35">
                  <c:v>4.8210922787193917</c:v>
                </c:pt>
                <c:pt idx="36">
                  <c:v>6.3785394932935873</c:v>
                </c:pt>
                <c:pt idx="37">
                  <c:v>10.995670995671006</c:v>
                </c:pt>
                <c:pt idx="38">
                  <c:v>25.146198830409368</c:v>
                </c:pt>
                <c:pt idx="39">
                  <c:v>4.662545079855736</c:v>
                </c:pt>
              </c:numCache>
            </c:numRef>
          </c:yVal>
          <c:smooth val="0"/>
        </c:ser>
        <c:dLbls>
          <c:showLegendKey val="0"/>
          <c:showVal val="0"/>
          <c:showCatName val="0"/>
          <c:showSerName val="0"/>
          <c:showPercent val="0"/>
          <c:showBubbleSize val="0"/>
        </c:dLbls>
        <c:axId val="229332096"/>
        <c:axId val="229334400"/>
      </c:scatterChart>
      <c:valAx>
        <c:axId val="229332096"/>
        <c:scaling>
          <c:logBase val="10"/>
          <c:orientation val="minMax"/>
          <c:max val="4000"/>
        </c:scaling>
        <c:delete val="0"/>
        <c:axPos val="b"/>
        <c:title>
          <c:tx>
            <c:rich>
              <a:bodyPr/>
              <a:lstStyle/>
              <a:p>
                <a:pPr>
                  <a:defRPr sz="1200"/>
                </a:pPr>
                <a:r>
                  <a:rPr lang="es-ES" sz="1200"/>
                  <a:t>Kerma en aire original (mGy)</a:t>
                </a:r>
              </a:p>
            </c:rich>
          </c:tx>
          <c:overlay val="0"/>
        </c:title>
        <c:numFmt formatCode="General" sourceLinked="1"/>
        <c:majorTickMark val="out"/>
        <c:minorTickMark val="none"/>
        <c:tickLblPos val="nextTo"/>
        <c:txPr>
          <a:bodyPr/>
          <a:lstStyle/>
          <a:p>
            <a:pPr>
              <a:defRPr sz="1100"/>
            </a:pPr>
            <a:endParaRPr lang="es-ES"/>
          </a:p>
        </c:txPr>
        <c:crossAx val="229334400"/>
        <c:crosses val="autoZero"/>
        <c:crossBetween val="midCat"/>
      </c:valAx>
      <c:valAx>
        <c:axId val="229334400"/>
        <c:scaling>
          <c:orientation val="minMax"/>
        </c:scaling>
        <c:delete val="0"/>
        <c:axPos val="l"/>
        <c:majorGridlines>
          <c:spPr>
            <a:ln>
              <a:solidFill>
                <a:srgbClr val="C2C2C2"/>
              </a:solidFill>
            </a:ln>
          </c:spPr>
        </c:majorGridlines>
        <c:title>
          <c:tx>
            <c:rich>
              <a:bodyPr rot="-5400000" vert="horz"/>
              <a:lstStyle/>
              <a:p>
                <a:pPr>
                  <a:defRPr sz="1200"/>
                </a:pPr>
                <a:r>
                  <a:rPr lang="es-ES" sz="1200"/>
                  <a:t>Reducción del kerma en aire (%)</a:t>
                </a:r>
              </a:p>
            </c:rich>
          </c:tx>
          <c:overlay val="0"/>
        </c:title>
        <c:numFmt formatCode="General" sourceLinked="1"/>
        <c:majorTickMark val="out"/>
        <c:minorTickMark val="none"/>
        <c:tickLblPos val="nextTo"/>
        <c:txPr>
          <a:bodyPr/>
          <a:lstStyle/>
          <a:p>
            <a:pPr>
              <a:defRPr sz="1100"/>
            </a:pPr>
            <a:endParaRPr lang="es-ES"/>
          </a:p>
        </c:txPr>
        <c:crossAx val="229332096"/>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s-ES" sz="1600"/>
              <a:t>Distribución de intervenciones según el kerma</a:t>
            </a:r>
          </a:p>
        </c:rich>
      </c:tx>
      <c:overlay val="0"/>
    </c:title>
    <c:autoTitleDeleted val="0"/>
    <c:plotArea>
      <c:layout/>
      <c:barChart>
        <c:barDir val="col"/>
        <c:grouping val="clustered"/>
        <c:varyColors val="0"/>
        <c:ser>
          <c:idx val="3"/>
          <c:order val="0"/>
          <c:tx>
            <c:v>4 ips</c:v>
          </c:tx>
          <c:spPr>
            <a:solidFill>
              <a:srgbClr val="F56C55"/>
            </a:solidFill>
          </c:spPr>
          <c:invertIfNegative val="0"/>
          <c:cat>
            <c:strRef>
              <c:f>CateterismoCardiacoPED!$AM$9:$AM$17</c:f>
              <c:strCache>
                <c:ptCount val="9"/>
                <c:pt idx="0">
                  <c:v>&lt;20</c:v>
                </c:pt>
                <c:pt idx="1">
                  <c:v>[20-50)</c:v>
                </c:pt>
                <c:pt idx="2">
                  <c:v>[50-100)</c:v>
                </c:pt>
                <c:pt idx="3">
                  <c:v>[100-250)</c:v>
                </c:pt>
                <c:pt idx="4">
                  <c:v>[250-500)</c:v>
                </c:pt>
                <c:pt idx="5">
                  <c:v>[500-1000)</c:v>
                </c:pt>
                <c:pt idx="6">
                  <c:v>[1000-2000)</c:v>
                </c:pt>
                <c:pt idx="7">
                  <c:v>[2000-3000)</c:v>
                </c:pt>
                <c:pt idx="8">
                  <c:v>&gt;=3000</c:v>
                </c:pt>
              </c:strCache>
            </c:strRef>
          </c:cat>
          <c:val>
            <c:numRef>
              <c:f>CateterismoCardiacoPED!$AO$9:$AO$17</c:f>
              <c:numCache>
                <c:formatCode>General</c:formatCode>
                <c:ptCount val="9"/>
                <c:pt idx="0">
                  <c:v>5</c:v>
                </c:pt>
                <c:pt idx="1">
                  <c:v>10</c:v>
                </c:pt>
                <c:pt idx="2">
                  <c:v>5</c:v>
                </c:pt>
                <c:pt idx="3">
                  <c:v>8</c:v>
                </c:pt>
                <c:pt idx="4">
                  <c:v>10</c:v>
                </c:pt>
                <c:pt idx="5">
                  <c:v>1</c:v>
                </c:pt>
                <c:pt idx="6">
                  <c:v>1</c:v>
                </c:pt>
                <c:pt idx="7">
                  <c:v>0</c:v>
                </c:pt>
                <c:pt idx="8">
                  <c:v>0</c:v>
                </c:pt>
              </c:numCache>
            </c:numRef>
          </c:val>
        </c:ser>
        <c:ser>
          <c:idx val="2"/>
          <c:order val="1"/>
          <c:tx>
            <c:v>7,5 ips</c:v>
          </c:tx>
          <c:spPr>
            <a:solidFill>
              <a:schemeClr val="accent2">
                <a:lumMod val="75000"/>
              </a:schemeClr>
            </a:solidFill>
          </c:spPr>
          <c:invertIfNegative val="0"/>
          <c:cat>
            <c:strRef>
              <c:f>CateterismoCardiacoPED!$AM$9:$AM$17</c:f>
              <c:strCache>
                <c:ptCount val="9"/>
                <c:pt idx="0">
                  <c:v>&lt;20</c:v>
                </c:pt>
                <c:pt idx="1">
                  <c:v>[20-50)</c:v>
                </c:pt>
                <c:pt idx="2">
                  <c:v>[50-100)</c:v>
                </c:pt>
                <c:pt idx="3">
                  <c:v>[100-250)</c:v>
                </c:pt>
                <c:pt idx="4">
                  <c:v>[250-500)</c:v>
                </c:pt>
                <c:pt idx="5">
                  <c:v>[500-1000)</c:v>
                </c:pt>
                <c:pt idx="6">
                  <c:v>[1000-2000)</c:v>
                </c:pt>
                <c:pt idx="7">
                  <c:v>[2000-3000)</c:v>
                </c:pt>
                <c:pt idx="8">
                  <c:v>&gt;=3000</c:v>
                </c:pt>
              </c:strCache>
            </c:strRef>
          </c:cat>
          <c:val>
            <c:numRef>
              <c:f>CateterismoCardiacoPED!$AP$9:$AP$17</c:f>
              <c:numCache>
                <c:formatCode>General</c:formatCode>
                <c:ptCount val="9"/>
                <c:pt idx="0">
                  <c:v>5</c:v>
                </c:pt>
                <c:pt idx="1">
                  <c:v>10</c:v>
                </c:pt>
                <c:pt idx="2">
                  <c:v>2</c:v>
                </c:pt>
                <c:pt idx="3">
                  <c:v>9</c:v>
                </c:pt>
                <c:pt idx="4">
                  <c:v>11</c:v>
                </c:pt>
                <c:pt idx="5">
                  <c:v>2</c:v>
                </c:pt>
                <c:pt idx="6">
                  <c:v>0</c:v>
                </c:pt>
                <c:pt idx="7">
                  <c:v>1</c:v>
                </c:pt>
                <c:pt idx="8">
                  <c:v>0</c:v>
                </c:pt>
              </c:numCache>
            </c:numRef>
          </c:val>
        </c:ser>
        <c:ser>
          <c:idx val="1"/>
          <c:order val="2"/>
          <c:tx>
            <c:v>15 ips</c:v>
          </c:tx>
          <c:spPr>
            <a:solidFill>
              <a:srgbClr val="FFCC00"/>
            </a:solidFill>
          </c:spPr>
          <c:invertIfNegative val="0"/>
          <c:cat>
            <c:strRef>
              <c:f>CateterismoCardiacoPED!$AM$9:$AM$17</c:f>
              <c:strCache>
                <c:ptCount val="9"/>
                <c:pt idx="0">
                  <c:v>&lt;20</c:v>
                </c:pt>
                <c:pt idx="1">
                  <c:v>[20-50)</c:v>
                </c:pt>
                <c:pt idx="2">
                  <c:v>[50-100)</c:v>
                </c:pt>
                <c:pt idx="3">
                  <c:v>[100-250)</c:v>
                </c:pt>
                <c:pt idx="4">
                  <c:v>[250-500)</c:v>
                </c:pt>
                <c:pt idx="5">
                  <c:v>[500-1000)</c:v>
                </c:pt>
                <c:pt idx="6">
                  <c:v>[1000-2000)</c:v>
                </c:pt>
                <c:pt idx="7">
                  <c:v>[2000-3000)</c:v>
                </c:pt>
                <c:pt idx="8">
                  <c:v>&gt;=3000</c:v>
                </c:pt>
              </c:strCache>
            </c:strRef>
          </c:cat>
          <c:val>
            <c:numRef>
              <c:f>CateterismoCardiacoPED!$AQ$9:$AQ$17</c:f>
              <c:numCache>
                <c:formatCode>General</c:formatCode>
                <c:ptCount val="9"/>
                <c:pt idx="0">
                  <c:v>5</c:v>
                </c:pt>
                <c:pt idx="1">
                  <c:v>10</c:v>
                </c:pt>
                <c:pt idx="2">
                  <c:v>2</c:v>
                </c:pt>
                <c:pt idx="3">
                  <c:v>7</c:v>
                </c:pt>
                <c:pt idx="4">
                  <c:v>11</c:v>
                </c:pt>
                <c:pt idx="5">
                  <c:v>4</c:v>
                </c:pt>
                <c:pt idx="6">
                  <c:v>0</c:v>
                </c:pt>
                <c:pt idx="7">
                  <c:v>1</c:v>
                </c:pt>
                <c:pt idx="8">
                  <c:v>0</c:v>
                </c:pt>
              </c:numCache>
            </c:numRef>
          </c:val>
        </c:ser>
        <c:ser>
          <c:idx val="0"/>
          <c:order val="3"/>
          <c:tx>
            <c:v>Original (25/30 ips)</c:v>
          </c:tx>
          <c:spPr>
            <a:solidFill>
              <a:srgbClr val="4AC529"/>
            </a:solidFill>
          </c:spPr>
          <c:invertIfNegative val="0"/>
          <c:cat>
            <c:strRef>
              <c:f>CateterismoCardiacoPED!$AM$9:$AM$17</c:f>
              <c:strCache>
                <c:ptCount val="9"/>
                <c:pt idx="0">
                  <c:v>&lt;20</c:v>
                </c:pt>
                <c:pt idx="1">
                  <c:v>[20-50)</c:v>
                </c:pt>
                <c:pt idx="2">
                  <c:v>[50-100)</c:v>
                </c:pt>
                <c:pt idx="3">
                  <c:v>[100-250)</c:v>
                </c:pt>
                <c:pt idx="4">
                  <c:v>[250-500)</c:v>
                </c:pt>
                <c:pt idx="5">
                  <c:v>[500-1000)</c:v>
                </c:pt>
                <c:pt idx="6">
                  <c:v>[1000-2000)</c:v>
                </c:pt>
                <c:pt idx="7">
                  <c:v>[2000-3000)</c:v>
                </c:pt>
                <c:pt idx="8">
                  <c:v>&gt;=3000</c:v>
                </c:pt>
              </c:strCache>
            </c:strRef>
          </c:cat>
          <c:val>
            <c:numRef>
              <c:f>CateterismoCardiacoPED!$AN$9:$AN$17</c:f>
              <c:numCache>
                <c:formatCode>General</c:formatCode>
                <c:ptCount val="9"/>
                <c:pt idx="0">
                  <c:v>3</c:v>
                </c:pt>
                <c:pt idx="1">
                  <c:v>10</c:v>
                </c:pt>
                <c:pt idx="2">
                  <c:v>3</c:v>
                </c:pt>
                <c:pt idx="3">
                  <c:v>8</c:v>
                </c:pt>
                <c:pt idx="4">
                  <c:v>11</c:v>
                </c:pt>
                <c:pt idx="5">
                  <c:v>4</c:v>
                </c:pt>
                <c:pt idx="6">
                  <c:v>0</c:v>
                </c:pt>
                <c:pt idx="7">
                  <c:v>0</c:v>
                </c:pt>
                <c:pt idx="8">
                  <c:v>1</c:v>
                </c:pt>
              </c:numCache>
            </c:numRef>
          </c:val>
        </c:ser>
        <c:dLbls>
          <c:showLegendKey val="0"/>
          <c:showVal val="0"/>
          <c:showCatName val="0"/>
          <c:showSerName val="0"/>
          <c:showPercent val="0"/>
          <c:showBubbleSize val="0"/>
        </c:dLbls>
        <c:gapWidth val="150"/>
        <c:axId val="214636800"/>
        <c:axId val="214638976"/>
      </c:barChart>
      <c:catAx>
        <c:axId val="214636800"/>
        <c:scaling>
          <c:orientation val="minMax"/>
        </c:scaling>
        <c:delete val="0"/>
        <c:axPos val="b"/>
        <c:title>
          <c:tx>
            <c:rich>
              <a:bodyPr/>
              <a:lstStyle/>
              <a:p>
                <a:pPr>
                  <a:defRPr sz="1200"/>
                </a:pPr>
                <a:r>
                  <a:rPr lang="es-ES" sz="1200"/>
                  <a:t>Kerma en aire (mGy)</a:t>
                </a:r>
              </a:p>
            </c:rich>
          </c:tx>
          <c:overlay val="0"/>
        </c:title>
        <c:majorTickMark val="out"/>
        <c:minorTickMark val="none"/>
        <c:tickLblPos val="nextTo"/>
        <c:txPr>
          <a:bodyPr/>
          <a:lstStyle/>
          <a:p>
            <a:pPr>
              <a:defRPr sz="1100"/>
            </a:pPr>
            <a:endParaRPr lang="es-ES"/>
          </a:p>
        </c:txPr>
        <c:crossAx val="214638976"/>
        <c:crosses val="autoZero"/>
        <c:auto val="1"/>
        <c:lblAlgn val="ctr"/>
        <c:lblOffset val="100"/>
        <c:noMultiLvlLbl val="0"/>
      </c:catAx>
      <c:valAx>
        <c:axId val="214638976"/>
        <c:scaling>
          <c:orientation val="minMax"/>
        </c:scaling>
        <c:delete val="0"/>
        <c:axPos val="l"/>
        <c:majorGridlines>
          <c:spPr>
            <a:ln>
              <a:solidFill>
                <a:srgbClr val="C2C2C2"/>
              </a:solidFill>
            </a:ln>
          </c:spPr>
        </c:majorGridlines>
        <c:title>
          <c:tx>
            <c:rich>
              <a:bodyPr rot="-5400000" vert="horz"/>
              <a:lstStyle/>
              <a:p>
                <a:pPr>
                  <a:defRPr sz="1200"/>
                </a:pPr>
                <a:r>
                  <a:rPr lang="es-ES" sz="1200"/>
                  <a:t>Nº pacientes</a:t>
                </a:r>
              </a:p>
            </c:rich>
          </c:tx>
          <c:overlay val="0"/>
        </c:title>
        <c:numFmt formatCode="General" sourceLinked="1"/>
        <c:majorTickMark val="out"/>
        <c:minorTickMark val="none"/>
        <c:tickLblPos val="nextTo"/>
        <c:txPr>
          <a:bodyPr/>
          <a:lstStyle/>
          <a:p>
            <a:pPr>
              <a:defRPr sz="1100"/>
            </a:pPr>
            <a:endParaRPr lang="es-ES"/>
          </a:p>
        </c:txPr>
        <c:crossAx val="214636800"/>
        <c:crosses val="autoZero"/>
        <c:crossBetween val="between"/>
      </c:valAx>
    </c:plotArea>
    <c:legend>
      <c:legendPos val="r"/>
      <c:layout>
        <c:manualLayout>
          <c:xMode val="edge"/>
          <c:yMode val="edge"/>
          <c:x val="0.71878289112199167"/>
          <c:y val="0.19129065928570008"/>
          <c:w val="0.21712190218032781"/>
          <c:h val="0.28255719129700096"/>
        </c:manualLayout>
      </c:layout>
      <c:overlay val="1"/>
      <c:spPr>
        <a:solidFill>
          <a:schemeClr val="bg1"/>
        </a:solidFill>
        <a:ln>
          <a:solidFill>
            <a:srgbClr val="C2C2C2"/>
          </a:solidFill>
        </a:ln>
      </c:spPr>
      <c:txPr>
        <a:bodyPr/>
        <a:lstStyle/>
        <a:p>
          <a:pPr>
            <a:defRPr sz="1100"/>
          </a:pPr>
          <a:endParaRPr lang="es-ES"/>
        </a:p>
      </c:txPr>
    </c:legend>
    <c:plotVisOnly val="1"/>
    <c:dispBlanksAs val="gap"/>
    <c:showDLblsOverMax val="0"/>
  </c:chart>
  <c:spPr>
    <a:ln>
      <a:noFill/>
    </a:ln>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s-ES" sz="1600"/>
              <a:t>Reducción</a:t>
            </a:r>
            <a:r>
              <a:rPr lang="es-ES" sz="1600" baseline="0"/>
              <a:t> del kerma en aire al disminuir los ips</a:t>
            </a:r>
            <a:endParaRPr lang="es-ES" sz="1600"/>
          </a:p>
        </c:rich>
      </c:tx>
      <c:layout>
        <c:manualLayout>
          <c:xMode val="edge"/>
          <c:yMode val="edge"/>
          <c:x val="0.12292315613261333"/>
          <c:y val="2.3148020743092333E-2"/>
        </c:manualLayout>
      </c:layout>
      <c:overlay val="0"/>
    </c:title>
    <c:autoTitleDeleted val="0"/>
    <c:plotArea>
      <c:layout/>
      <c:scatterChart>
        <c:scatterStyle val="lineMarker"/>
        <c:varyColors val="0"/>
        <c:ser>
          <c:idx val="2"/>
          <c:order val="0"/>
          <c:tx>
            <c:v>15 ips</c:v>
          </c:tx>
          <c:spPr>
            <a:ln w="28575">
              <a:noFill/>
            </a:ln>
          </c:spPr>
          <c:marker>
            <c:symbol val="circle"/>
            <c:size val="6"/>
            <c:spPr>
              <a:solidFill>
                <a:srgbClr val="1107D7"/>
              </a:solidFill>
              <a:ln>
                <a:solidFill>
                  <a:srgbClr val="1107D7"/>
                </a:solidFill>
              </a:ln>
            </c:spPr>
          </c:marker>
          <c:xVal>
            <c:numRef>
              <c:f>CateterismoCardiacoPED!$X$9:$X$48</c:f>
              <c:numCache>
                <c:formatCode>0.0</c:formatCode>
                <c:ptCount val="40"/>
                <c:pt idx="0">
                  <c:v>8.0361111111111114</c:v>
                </c:pt>
                <c:pt idx="1">
                  <c:v>1.8777777777777778</c:v>
                </c:pt>
                <c:pt idx="2">
                  <c:v>1.1555555555555554</c:v>
                </c:pt>
                <c:pt idx="3">
                  <c:v>1.9444444444444445E-2</c:v>
                </c:pt>
                <c:pt idx="4">
                  <c:v>1.0194444444444444</c:v>
                </c:pt>
                <c:pt idx="5">
                  <c:v>3.7111111111111108</c:v>
                </c:pt>
                <c:pt idx="6">
                  <c:v>8.0861111111111121</c:v>
                </c:pt>
                <c:pt idx="7">
                  <c:v>11.46111111111111</c:v>
                </c:pt>
                <c:pt idx="8">
                  <c:v>15.766666666666667</c:v>
                </c:pt>
                <c:pt idx="9">
                  <c:v>0.97499999999999998</c:v>
                </c:pt>
                <c:pt idx="10">
                  <c:v>5.5361111111111114</c:v>
                </c:pt>
                <c:pt idx="11">
                  <c:v>0.18055555555555555</c:v>
                </c:pt>
                <c:pt idx="12">
                  <c:v>0</c:v>
                </c:pt>
                <c:pt idx="13">
                  <c:v>12.152777777777777</c:v>
                </c:pt>
                <c:pt idx="14">
                  <c:v>15.527777777777777</c:v>
                </c:pt>
                <c:pt idx="15">
                  <c:v>15.31388888888889</c:v>
                </c:pt>
                <c:pt idx="16">
                  <c:v>5.6111111111111116</c:v>
                </c:pt>
                <c:pt idx="17">
                  <c:v>13.783333333333333</c:v>
                </c:pt>
                <c:pt idx="18">
                  <c:v>13.469444444444443</c:v>
                </c:pt>
                <c:pt idx="19">
                  <c:v>4.9944444444444445</c:v>
                </c:pt>
                <c:pt idx="20">
                  <c:v>14.611111111111111</c:v>
                </c:pt>
                <c:pt idx="21">
                  <c:v>15.255555555555556</c:v>
                </c:pt>
                <c:pt idx="22">
                  <c:v>1.5777777777777779</c:v>
                </c:pt>
                <c:pt idx="23">
                  <c:v>1.8305555555555555</c:v>
                </c:pt>
                <c:pt idx="24">
                  <c:v>12.475</c:v>
                </c:pt>
                <c:pt idx="25">
                  <c:v>0.33333333333333331</c:v>
                </c:pt>
                <c:pt idx="26">
                  <c:v>13.233333333333333</c:v>
                </c:pt>
                <c:pt idx="27">
                  <c:v>14.377777777777776</c:v>
                </c:pt>
                <c:pt idx="28">
                  <c:v>12.605555555555556</c:v>
                </c:pt>
                <c:pt idx="29">
                  <c:v>8.3777777777777782</c:v>
                </c:pt>
                <c:pt idx="30">
                  <c:v>14.675000000000001</c:v>
                </c:pt>
                <c:pt idx="31">
                  <c:v>17.686111111111114</c:v>
                </c:pt>
                <c:pt idx="32">
                  <c:v>13.58611111111111</c:v>
                </c:pt>
                <c:pt idx="33">
                  <c:v>9.8888888888888893</c:v>
                </c:pt>
                <c:pt idx="34">
                  <c:v>16.733333333333334</c:v>
                </c:pt>
                <c:pt idx="35">
                  <c:v>4.5111111111111111</c:v>
                </c:pt>
                <c:pt idx="36">
                  <c:v>2.7333333333333334</c:v>
                </c:pt>
                <c:pt idx="37">
                  <c:v>4.8694444444444445</c:v>
                </c:pt>
                <c:pt idx="38">
                  <c:v>14.847222222222223</c:v>
                </c:pt>
                <c:pt idx="39">
                  <c:v>0.29444444444444445</c:v>
                </c:pt>
              </c:numCache>
            </c:numRef>
          </c:xVal>
          <c:yVal>
            <c:numRef>
              <c:f>CateterismoCardiacoPED!$AE$9:$AE$48</c:f>
              <c:numCache>
                <c:formatCode>General</c:formatCode>
                <c:ptCount val="40"/>
                <c:pt idx="0">
                  <c:v>6.9999999999999947</c:v>
                </c:pt>
                <c:pt idx="1">
                  <c:v>8.943374197314661</c:v>
                </c:pt>
                <c:pt idx="2">
                  <c:v>3.5067712045616588</c:v>
                </c:pt>
                <c:pt idx="3">
                  <c:v>0.27210884353741399</c:v>
                </c:pt>
                <c:pt idx="4">
                  <c:v>7.4789543642002592</c:v>
                </c:pt>
                <c:pt idx="5">
                  <c:v>9.879518072289148</c:v>
                </c:pt>
                <c:pt idx="6">
                  <c:v>24.183006535947708</c:v>
                </c:pt>
                <c:pt idx="7">
                  <c:v>15.38461538461539</c:v>
                </c:pt>
                <c:pt idx="8">
                  <c:v>10.599999999999991</c:v>
                </c:pt>
                <c:pt idx="9">
                  <c:v>12.244897959183671</c:v>
                </c:pt>
                <c:pt idx="10">
                  <c:v>6.695132365499572</c:v>
                </c:pt>
                <c:pt idx="11">
                  <c:v>8.639352554375316</c:v>
                </c:pt>
                <c:pt idx="12">
                  <c:v>22.829888712241655</c:v>
                </c:pt>
                <c:pt idx="13">
                  <c:v>14.603773584905658</c:v>
                </c:pt>
                <c:pt idx="14">
                  <c:v>15.111111111111105</c:v>
                </c:pt>
                <c:pt idx="15">
                  <c:v>3.1386861313868648</c:v>
                </c:pt>
                <c:pt idx="16">
                  <c:v>12.5</c:v>
                </c:pt>
                <c:pt idx="17">
                  <c:v>29.800000000000004</c:v>
                </c:pt>
                <c:pt idx="18">
                  <c:v>31.768231768231779</c:v>
                </c:pt>
                <c:pt idx="19">
                  <c:v>26.591549295774652</c:v>
                </c:pt>
                <c:pt idx="20">
                  <c:v>26.628895184135981</c:v>
                </c:pt>
                <c:pt idx="21">
                  <c:v>29.562043795620447</c:v>
                </c:pt>
                <c:pt idx="22">
                  <c:v>11.71875</c:v>
                </c:pt>
                <c:pt idx="23">
                  <c:v>2.2160664819944671</c:v>
                </c:pt>
                <c:pt idx="24">
                  <c:v>28.936464088397777</c:v>
                </c:pt>
                <c:pt idx="25">
                  <c:v>10.593220338983039</c:v>
                </c:pt>
                <c:pt idx="26">
                  <c:v>14.990291262135919</c:v>
                </c:pt>
                <c:pt idx="27">
                  <c:v>7.4125874125874169</c:v>
                </c:pt>
                <c:pt idx="28">
                  <c:v>6.90196078431374</c:v>
                </c:pt>
                <c:pt idx="29">
                  <c:v>18.235294117647065</c:v>
                </c:pt>
                <c:pt idx="30">
                  <c:v>25</c:v>
                </c:pt>
                <c:pt idx="31">
                  <c:v>12.395833333333334</c:v>
                </c:pt>
                <c:pt idx="32">
                  <c:v>5.4651413770774866</c:v>
                </c:pt>
                <c:pt idx="33">
                  <c:v>9.2307692307692371</c:v>
                </c:pt>
                <c:pt idx="34">
                  <c:v>6.697388632872503</c:v>
                </c:pt>
                <c:pt idx="35">
                  <c:v>4.8210922787193917</c:v>
                </c:pt>
                <c:pt idx="36">
                  <c:v>6.3785394932935873</c:v>
                </c:pt>
                <c:pt idx="37">
                  <c:v>10.995670995671006</c:v>
                </c:pt>
                <c:pt idx="38">
                  <c:v>25.146198830409368</c:v>
                </c:pt>
                <c:pt idx="39">
                  <c:v>4.662545079855736</c:v>
                </c:pt>
              </c:numCache>
            </c:numRef>
          </c:yVal>
          <c:smooth val="0"/>
        </c:ser>
        <c:dLbls>
          <c:showLegendKey val="0"/>
          <c:showVal val="0"/>
          <c:showCatName val="0"/>
          <c:showSerName val="0"/>
          <c:showPercent val="0"/>
          <c:showBubbleSize val="0"/>
        </c:dLbls>
        <c:axId val="214671744"/>
        <c:axId val="214674048"/>
      </c:scatterChart>
      <c:valAx>
        <c:axId val="214671744"/>
        <c:scaling>
          <c:orientation val="minMax"/>
        </c:scaling>
        <c:delete val="0"/>
        <c:axPos val="b"/>
        <c:title>
          <c:tx>
            <c:rich>
              <a:bodyPr/>
              <a:lstStyle/>
              <a:p>
                <a:pPr>
                  <a:defRPr sz="1200"/>
                </a:pPr>
                <a:r>
                  <a:rPr lang="es-ES" sz="1200"/>
                  <a:t>Edad paciente (años)</a:t>
                </a:r>
              </a:p>
            </c:rich>
          </c:tx>
          <c:overlay val="0"/>
        </c:title>
        <c:numFmt formatCode="0.0" sourceLinked="1"/>
        <c:majorTickMark val="out"/>
        <c:minorTickMark val="none"/>
        <c:tickLblPos val="nextTo"/>
        <c:txPr>
          <a:bodyPr/>
          <a:lstStyle/>
          <a:p>
            <a:pPr>
              <a:defRPr sz="1100"/>
            </a:pPr>
            <a:endParaRPr lang="es-ES"/>
          </a:p>
        </c:txPr>
        <c:crossAx val="214674048"/>
        <c:crosses val="autoZero"/>
        <c:crossBetween val="midCat"/>
      </c:valAx>
      <c:valAx>
        <c:axId val="214674048"/>
        <c:scaling>
          <c:orientation val="minMax"/>
        </c:scaling>
        <c:delete val="0"/>
        <c:axPos val="l"/>
        <c:majorGridlines>
          <c:spPr>
            <a:ln>
              <a:solidFill>
                <a:srgbClr val="C2C2C2"/>
              </a:solidFill>
            </a:ln>
          </c:spPr>
        </c:majorGridlines>
        <c:title>
          <c:tx>
            <c:rich>
              <a:bodyPr rot="-5400000" vert="horz"/>
              <a:lstStyle/>
              <a:p>
                <a:pPr>
                  <a:defRPr sz="1200"/>
                </a:pPr>
                <a:r>
                  <a:rPr lang="es-ES" sz="1200"/>
                  <a:t>Reducción del kerma en aire</a:t>
                </a:r>
                <a:r>
                  <a:rPr lang="es-ES" sz="1200" baseline="0"/>
                  <a:t> </a:t>
                </a:r>
                <a:r>
                  <a:rPr lang="es-ES" sz="1200"/>
                  <a:t>(%)</a:t>
                </a:r>
              </a:p>
            </c:rich>
          </c:tx>
          <c:overlay val="0"/>
        </c:title>
        <c:numFmt formatCode="General" sourceLinked="1"/>
        <c:majorTickMark val="out"/>
        <c:minorTickMark val="none"/>
        <c:tickLblPos val="nextTo"/>
        <c:txPr>
          <a:bodyPr/>
          <a:lstStyle/>
          <a:p>
            <a:pPr>
              <a:defRPr sz="1100"/>
            </a:pPr>
            <a:endParaRPr lang="es-ES"/>
          </a:p>
        </c:txPr>
        <c:crossAx val="214671744"/>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s-ES" sz="1600" baseline="0"/>
              <a:t>Kerma en aire por edad</a:t>
            </a:r>
            <a:endParaRPr lang="es-ES" sz="1600"/>
          </a:p>
        </c:rich>
      </c:tx>
      <c:layout>
        <c:manualLayout>
          <c:xMode val="edge"/>
          <c:yMode val="edge"/>
          <c:x val="0.36064290932705578"/>
          <c:y val="2.3148142262743938E-2"/>
        </c:manualLayout>
      </c:layout>
      <c:overlay val="0"/>
    </c:title>
    <c:autoTitleDeleted val="0"/>
    <c:plotArea>
      <c:layout/>
      <c:scatterChart>
        <c:scatterStyle val="lineMarker"/>
        <c:varyColors val="0"/>
        <c:ser>
          <c:idx val="2"/>
          <c:order val="0"/>
          <c:tx>
            <c:v>15 ips</c:v>
          </c:tx>
          <c:spPr>
            <a:ln w="28575">
              <a:noFill/>
            </a:ln>
          </c:spPr>
          <c:marker>
            <c:symbol val="circle"/>
            <c:size val="6"/>
            <c:spPr>
              <a:solidFill>
                <a:srgbClr val="1107D7"/>
              </a:solidFill>
              <a:ln>
                <a:solidFill>
                  <a:srgbClr val="1107D7"/>
                </a:solidFill>
              </a:ln>
            </c:spPr>
          </c:marker>
          <c:xVal>
            <c:numRef>
              <c:f>CateterismoCardiacoPED!$X$9:$X$48</c:f>
              <c:numCache>
                <c:formatCode>0.0</c:formatCode>
                <c:ptCount val="40"/>
                <c:pt idx="0">
                  <c:v>8.0361111111111114</c:v>
                </c:pt>
                <c:pt idx="1">
                  <c:v>1.8777777777777778</c:v>
                </c:pt>
                <c:pt idx="2">
                  <c:v>1.1555555555555554</c:v>
                </c:pt>
                <c:pt idx="3">
                  <c:v>1.9444444444444445E-2</c:v>
                </c:pt>
                <c:pt idx="4">
                  <c:v>1.0194444444444444</c:v>
                </c:pt>
                <c:pt idx="5">
                  <c:v>3.7111111111111108</c:v>
                </c:pt>
                <c:pt idx="6">
                  <c:v>8.0861111111111121</c:v>
                </c:pt>
                <c:pt idx="7">
                  <c:v>11.46111111111111</c:v>
                </c:pt>
                <c:pt idx="8">
                  <c:v>15.766666666666667</c:v>
                </c:pt>
                <c:pt idx="9">
                  <c:v>0.97499999999999998</c:v>
                </c:pt>
                <c:pt idx="10">
                  <c:v>5.5361111111111114</c:v>
                </c:pt>
                <c:pt idx="11">
                  <c:v>0.18055555555555555</c:v>
                </c:pt>
                <c:pt idx="12">
                  <c:v>0</c:v>
                </c:pt>
                <c:pt idx="13">
                  <c:v>12.152777777777777</c:v>
                </c:pt>
                <c:pt idx="14">
                  <c:v>15.527777777777777</c:v>
                </c:pt>
                <c:pt idx="15">
                  <c:v>15.31388888888889</c:v>
                </c:pt>
                <c:pt idx="16">
                  <c:v>5.6111111111111116</c:v>
                </c:pt>
                <c:pt idx="17">
                  <c:v>13.783333333333333</c:v>
                </c:pt>
                <c:pt idx="18">
                  <c:v>13.469444444444443</c:v>
                </c:pt>
                <c:pt idx="19">
                  <c:v>4.9944444444444445</c:v>
                </c:pt>
                <c:pt idx="20">
                  <c:v>14.611111111111111</c:v>
                </c:pt>
                <c:pt idx="21">
                  <c:v>15.255555555555556</c:v>
                </c:pt>
                <c:pt idx="22">
                  <c:v>1.5777777777777779</c:v>
                </c:pt>
                <c:pt idx="23">
                  <c:v>1.8305555555555555</c:v>
                </c:pt>
                <c:pt idx="24">
                  <c:v>12.475</c:v>
                </c:pt>
                <c:pt idx="25">
                  <c:v>0.33333333333333331</c:v>
                </c:pt>
                <c:pt idx="26">
                  <c:v>13.233333333333333</c:v>
                </c:pt>
                <c:pt idx="27">
                  <c:v>14.377777777777776</c:v>
                </c:pt>
                <c:pt idx="28">
                  <c:v>12.605555555555556</c:v>
                </c:pt>
                <c:pt idx="29">
                  <c:v>8.3777777777777782</c:v>
                </c:pt>
                <c:pt idx="30">
                  <c:v>14.675000000000001</c:v>
                </c:pt>
                <c:pt idx="31">
                  <c:v>17.686111111111114</c:v>
                </c:pt>
                <c:pt idx="32">
                  <c:v>13.58611111111111</c:v>
                </c:pt>
                <c:pt idx="33">
                  <c:v>9.8888888888888893</c:v>
                </c:pt>
                <c:pt idx="34">
                  <c:v>16.733333333333334</c:v>
                </c:pt>
                <c:pt idx="35">
                  <c:v>4.5111111111111111</c:v>
                </c:pt>
                <c:pt idx="36">
                  <c:v>2.7333333333333334</c:v>
                </c:pt>
                <c:pt idx="37">
                  <c:v>4.8694444444444445</c:v>
                </c:pt>
                <c:pt idx="38">
                  <c:v>14.847222222222223</c:v>
                </c:pt>
                <c:pt idx="39">
                  <c:v>0.29444444444444445</c:v>
                </c:pt>
              </c:numCache>
            </c:numRef>
          </c:xVal>
          <c:yVal>
            <c:numRef>
              <c:f>CateterismoCardiacoPED!$T$9:$T$48</c:f>
              <c:numCache>
                <c:formatCode>General</c:formatCode>
                <c:ptCount val="40"/>
                <c:pt idx="0">
                  <c:v>189</c:v>
                </c:pt>
                <c:pt idx="1">
                  <c:v>46</c:v>
                </c:pt>
                <c:pt idx="2">
                  <c:v>50</c:v>
                </c:pt>
                <c:pt idx="3">
                  <c:v>3.5</c:v>
                </c:pt>
                <c:pt idx="4">
                  <c:v>48.81</c:v>
                </c:pt>
                <c:pt idx="5">
                  <c:v>73</c:v>
                </c:pt>
                <c:pt idx="6">
                  <c:v>55</c:v>
                </c:pt>
                <c:pt idx="7">
                  <c:v>485</c:v>
                </c:pt>
                <c:pt idx="8">
                  <c:v>381</c:v>
                </c:pt>
                <c:pt idx="9">
                  <c:v>20.490000000000002</c:v>
                </c:pt>
                <c:pt idx="10">
                  <c:v>41</c:v>
                </c:pt>
                <c:pt idx="11">
                  <c:v>28.67</c:v>
                </c:pt>
                <c:pt idx="12">
                  <c:v>20.57</c:v>
                </c:pt>
                <c:pt idx="13">
                  <c:v>721</c:v>
                </c:pt>
                <c:pt idx="14">
                  <c:v>360</c:v>
                </c:pt>
                <c:pt idx="15">
                  <c:v>528.8900000000001</c:v>
                </c:pt>
                <c:pt idx="16">
                  <c:v>107</c:v>
                </c:pt>
                <c:pt idx="17">
                  <c:v>242</c:v>
                </c:pt>
                <c:pt idx="18">
                  <c:v>746</c:v>
                </c:pt>
                <c:pt idx="19">
                  <c:v>200</c:v>
                </c:pt>
                <c:pt idx="20">
                  <c:v>3414</c:v>
                </c:pt>
                <c:pt idx="21">
                  <c:v>182</c:v>
                </c:pt>
                <c:pt idx="22">
                  <c:v>464</c:v>
                </c:pt>
                <c:pt idx="23">
                  <c:v>355</c:v>
                </c:pt>
                <c:pt idx="24">
                  <c:v>424</c:v>
                </c:pt>
                <c:pt idx="25">
                  <c:v>191</c:v>
                </c:pt>
                <c:pt idx="26">
                  <c:v>365</c:v>
                </c:pt>
                <c:pt idx="27">
                  <c:v>414</c:v>
                </c:pt>
                <c:pt idx="28">
                  <c:v>318</c:v>
                </c:pt>
                <c:pt idx="29">
                  <c:v>173</c:v>
                </c:pt>
                <c:pt idx="30">
                  <c:v>161</c:v>
                </c:pt>
                <c:pt idx="31">
                  <c:v>300</c:v>
                </c:pt>
                <c:pt idx="32">
                  <c:v>16</c:v>
                </c:pt>
                <c:pt idx="33">
                  <c:v>36</c:v>
                </c:pt>
                <c:pt idx="34">
                  <c:v>448</c:v>
                </c:pt>
                <c:pt idx="35">
                  <c:v>8.4</c:v>
                </c:pt>
                <c:pt idx="36">
                  <c:v>33</c:v>
                </c:pt>
                <c:pt idx="37">
                  <c:v>45.1</c:v>
                </c:pt>
                <c:pt idx="38">
                  <c:v>905</c:v>
                </c:pt>
                <c:pt idx="39">
                  <c:v>30.5</c:v>
                </c:pt>
              </c:numCache>
            </c:numRef>
          </c:yVal>
          <c:smooth val="0"/>
        </c:ser>
        <c:dLbls>
          <c:showLegendKey val="0"/>
          <c:showVal val="0"/>
          <c:showCatName val="0"/>
          <c:showSerName val="0"/>
          <c:showPercent val="0"/>
          <c:showBubbleSize val="0"/>
        </c:dLbls>
        <c:axId val="214693760"/>
        <c:axId val="214778240"/>
      </c:scatterChart>
      <c:valAx>
        <c:axId val="214693760"/>
        <c:scaling>
          <c:orientation val="minMax"/>
        </c:scaling>
        <c:delete val="0"/>
        <c:axPos val="b"/>
        <c:title>
          <c:tx>
            <c:rich>
              <a:bodyPr/>
              <a:lstStyle/>
              <a:p>
                <a:pPr>
                  <a:defRPr sz="1200"/>
                </a:pPr>
                <a:r>
                  <a:rPr lang="es-ES" sz="1200"/>
                  <a:t>Edad paciente (años)</a:t>
                </a:r>
              </a:p>
            </c:rich>
          </c:tx>
          <c:overlay val="0"/>
        </c:title>
        <c:numFmt formatCode="0.0" sourceLinked="1"/>
        <c:majorTickMark val="out"/>
        <c:minorTickMark val="none"/>
        <c:tickLblPos val="nextTo"/>
        <c:txPr>
          <a:bodyPr/>
          <a:lstStyle/>
          <a:p>
            <a:pPr>
              <a:defRPr sz="1100"/>
            </a:pPr>
            <a:endParaRPr lang="es-ES"/>
          </a:p>
        </c:txPr>
        <c:crossAx val="214778240"/>
        <c:crosses val="autoZero"/>
        <c:crossBetween val="midCat"/>
      </c:valAx>
      <c:valAx>
        <c:axId val="214778240"/>
        <c:scaling>
          <c:logBase val="10"/>
          <c:orientation val="minMax"/>
          <c:max val="4000"/>
        </c:scaling>
        <c:delete val="0"/>
        <c:axPos val="l"/>
        <c:majorGridlines>
          <c:spPr>
            <a:ln>
              <a:solidFill>
                <a:srgbClr val="C2C2C2"/>
              </a:solidFill>
            </a:ln>
          </c:spPr>
        </c:majorGridlines>
        <c:title>
          <c:tx>
            <c:rich>
              <a:bodyPr rot="-5400000" vert="horz"/>
              <a:lstStyle/>
              <a:p>
                <a:pPr>
                  <a:defRPr sz="1200"/>
                </a:pPr>
                <a:r>
                  <a:rPr lang="es-ES" sz="1200"/>
                  <a:t>Kerma en aire</a:t>
                </a:r>
                <a:r>
                  <a:rPr lang="es-ES" sz="1200" baseline="0"/>
                  <a:t> </a:t>
                </a:r>
                <a:r>
                  <a:rPr lang="es-ES" sz="1200"/>
                  <a:t>(mGy)</a:t>
                </a:r>
              </a:p>
            </c:rich>
          </c:tx>
          <c:overlay val="0"/>
        </c:title>
        <c:numFmt formatCode="General" sourceLinked="1"/>
        <c:majorTickMark val="out"/>
        <c:minorTickMark val="none"/>
        <c:tickLblPos val="nextTo"/>
        <c:txPr>
          <a:bodyPr/>
          <a:lstStyle/>
          <a:p>
            <a:pPr>
              <a:defRPr sz="1100"/>
            </a:pPr>
            <a:endParaRPr lang="es-ES"/>
          </a:p>
        </c:txPr>
        <c:crossAx val="214693760"/>
        <c:crosses val="autoZero"/>
        <c:crossBetween val="midCat"/>
      </c:valAx>
    </c:plotArea>
    <c:plotVisOnly val="1"/>
    <c:dispBlanksAs val="gap"/>
    <c:showDLblsOverMax val="0"/>
  </c:chart>
  <c:spPr>
    <a:ln>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600"/>
            </a:pPr>
            <a:r>
              <a:rPr lang="es-ES" sz="1600"/>
              <a:t>Distribución de intervenciones según la edad</a:t>
            </a:r>
          </a:p>
        </c:rich>
      </c:tx>
      <c:overlay val="0"/>
    </c:title>
    <c:autoTitleDeleted val="0"/>
    <c:plotArea>
      <c:layout/>
      <c:barChart>
        <c:barDir val="col"/>
        <c:grouping val="clustered"/>
        <c:varyColors val="0"/>
        <c:ser>
          <c:idx val="3"/>
          <c:order val="0"/>
          <c:tx>
            <c:v>4 ips</c:v>
          </c:tx>
          <c:spPr>
            <a:solidFill>
              <a:srgbClr val="F56C55"/>
            </a:solidFill>
          </c:spPr>
          <c:invertIfNegative val="0"/>
          <c:cat>
            <c:strRef>
              <c:f>CateterismoCardiacoPED!$AM$37:$AM$46</c:f>
              <c:strCache>
                <c:ptCount val="10"/>
                <c:pt idx="0">
                  <c:v>&lt;1</c:v>
                </c:pt>
                <c:pt idx="1">
                  <c:v>[1-2)</c:v>
                </c:pt>
                <c:pt idx="2">
                  <c:v>[2-4)</c:v>
                </c:pt>
                <c:pt idx="3">
                  <c:v>[4-6)</c:v>
                </c:pt>
                <c:pt idx="4">
                  <c:v>[6-8)</c:v>
                </c:pt>
                <c:pt idx="5">
                  <c:v>[8-10)</c:v>
                </c:pt>
                <c:pt idx="6">
                  <c:v>[10-12)</c:v>
                </c:pt>
                <c:pt idx="7">
                  <c:v>[12-16)</c:v>
                </c:pt>
                <c:pt idx="8">
                  <c:v>[16-18)</c:v>
                </c:pt>
                <c:pt idx="9">
                  <c:v>&gt;=18</c:v>
                </c:pt>
              </c:strCache>
            </c:strRef>
          </c:cat>
          <c:val>
            <c:numRef>
              <c:f>CateterismoCardiacoPED!$AN$37:$AN$46</c:f>
              <c:numCache>
                <c:formatCode>General</c:formatCode>
                <c:ptCount val="10"/>
                <c:pt idx="0">
                  <c:v>6</c:v>
                </c:pt>
                <c:pt idx="1">
                  <c:v>5</c:v>
                </c:pt>
                <c:pt idx="2">
                  <c:v>2</c:v>
                </c:pt>
                <c:pt idx="3">
                  <c:v>5</c:v>
                </c:pt>
                <c:pt idx="4">
                  <c:v>0</c:v>
                </c:pt>
                <c:pt idx="5">
                  <c:v>4</c:v>
                </c:pt>
                <c:pt idx="6">
                  <c:v>1</c:v>
                </c:pt>
                <c:pt idx="7">
                  <c:v>15</c:v>
                </c:pt>
                <c:pt idx="8">
                  <c:v>2</c:v>
                </c:pt>
                <c:pt idx="9">
                  <c:v>0</c:v>
                </c:pt>
              </c:numCache>
            </c:numRef>
          </c:val>
        </c:ser>
        <c:dLbls>
          <c:showLegendKey val="0"/>
          <c:showVal val="0"/>
          <c:showCatName val="0"/>
          <c:showSerName val="0"/>
          <c:showPercent val="0"/>
          <c:showBubbleSize val="0"/>
        </c:dLbls>
        <c:gapWidth val="150"/>
        <c:axId val="214806528"/>
        <c:axId val="214808448"/>
      </c:barChart>
      <c:catAx>
        <c:axId val="214806528"/>
        <c:scaling>
          <c:orientation val="minMax"/>
        </c:scaling>
        <c:delete val="0"/>
        <c:axPos val="b"/>
        <c:title>
          <c:tx>
            <c:rich>
              <a:bodyPr/>
              <a:lstStyle/>
              <a:p>
                <a:pPr>
                  <a:defRPr sz="1200"/>
                </a:pPr>
                <a:r>
                  <a:rPr lang="es-ES" sz="1200"/>
                  <a:t>Edad (años)</a:t>
                </a:r>
              </a:p>
            </c:rich>
          </c:tx>
          <c:overlay val="0"/>
        </c:title>
        <c:majorTickMark val="out"/>
        <c:minorTickMark val="none"/>
        <c:tickLblPos val="nextTo"/>
        <c:txPr>
          <a:bodyPr/>
          <a:lstStyle/>
          <a:p>
            <a:pPr>
              <a:defRPr sz="1100"/>
            </a:pPr>
            <a:endParaRPr lang="es-ES"/>
          </a:p>
        </c:txPr>
        <c:crossAx val="214808448"/>
        <c:crosses val="autoZero"/>
        <c:auto val="1"/>
        <c:lblAlgn val="ctr"/>
        <c:lblOffset val="100"/>
        <c:noMultiLvlLbl val="0"/>
      </c:catAx>
      <c:valAx>
        <c:axId val="214808448"/>
        <c:scaling>
          <c:orientation val="minMax"/>
        </c:scaling>
        <c:delete val="0"/>
        <c:axPos val="l"/>
        <c:majorGridlines>
          <c:spPr>
            <a:ln>
              <a:solidFill>
                <a:srgbClr val="C2C2C2"/>
              </a:solidFill>
            </a:ln>
          </c:spPr>
        </c:majorGridlines>
        <c:title>
          <c:tx>
            <c:rich>
              <a:bodyPr rot="-5400000" vert="horz"/>
              <a:lstStyle/>
              <a:p>
                <a:pPr>
                  <a:defRPr sz="1200"/>
                </a:pPr>
                <a:r>
                  <a:rPr lang="es-ES" sz="1200"/>
                  <a:t>Nº pacientes</a:t>
                </a:r>
              </a:p>
            </c:rich>
          </c:tx>
          <c:overlay val="0"/>
        </c:title>
        <c:numFmt formatCode="General" sourceLinked="1"/>
        <c:majorTickMark val="out"/>
        <c:minorTickMark val="none"/>
        <c:tickLblPos val="nextTo"/>
        <c:txPr>
          <a:bodyPr/>
          <a:lstStyle/>
          <a:p>
            <a:pPr>
              <a:defRPr sz="1100"/>
            </a:pPr>
            <a:endParaRPr lang="es-ES"/>
          </a:p>
        </c:txPr>
        <c:crossAx val="214806528"/>
        <c:crosses val="autoZero"/>
        <c:crossBetween val="between"/>
      </c:valAx>
    </c:plotArea>
    <c:plotVisOnly val="1"/>
    <c:dispBlanksAs val="gap"/>
    <c:showDLblsOverMax val="0"/>
  </c:chart>
  <c:spPr>
    <a:ln>
      <a:noFill/>
    </a:ln>
  </c:spPr>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 Id="rId5" Type="http://schemas.openxmlformats.org/officeDocument/2006/relationships/chart" Target="../charts/chart7.xml"/><Relationship Id="rId4" Type="http://schemas.openxmlformats.org/officeDocument/2006/relationships/chart" Target="../charts/chart6.xml"/></Relationships>
</file>

<file path=xl/drawings/drawing1.xml><?xml version="1.0" encoding="utf-8"?>
<xdr:wsDr xmlns:xdr="http://schemas.openxmlformats.org/drawingml/2006/spreadsheetDrawing" xmlns:a="http://schemas.openxmlformats.org/drawingml/2006/main">
  <xdr:twoCellAnchor>
    <xdr:from>
      <xdr:col>15</xdr:col>
      <xdr:colOff>441325</xdr:colOff>
      <xdr:row>4</xdr:row>
      <xdr:rowOff>4762</xdr:rowOff>
    </xdr:from>
    <xdr:to>
      <xdr:col>22</xdr:col>
      <xdr:colOff>12700</xdr:colOff>
      <xdr:row>18</xdr:row>
      <xdr:rowOff>80962</xdr:rowOff>
    </xdr:to>
    <xdr:graphicFrame macro="">
      <xdr:nvGraphicFramePr>
        <xdr:cNvPr id="8" name="7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6</xdr:col>
      <xdr:colOff>95250</xdr:colOff>
      <xdr:row>16</xdr:row>
      <xdr:rowOff>4762</xdr:rowOff>
    </xdr:from>
    <xdr:to>
      <xdr:col>12</xdr:col>
      <xdr:colOff>95250</xdr:colOff>
      <xdr:row>30</xdr:row>
      <xdr:rowOff>80962</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28575</xdr:colOff>
      <xdr:row>3</xdr:row>
      <xdr:rowOff>95250</xdr:rowOff>
    </xdr:from>
    <xdr:to>
      <xdr:col>13</xdr:col>
      <xdr:colOff>504825</xdr:colOff>
      <xdr:row>6</xdr:row>
      <xdr:rowOff>47625</xdr:rowOff>
    </xdr:to>
    <xdr:sp macro="[0]!CrearHistograma" textlink="">
      <xdr:nvSpPr>
        <xdr:cNvPr id="2" name="1 Rectángulo redondeado"/>
        <xdr:cNvSpPr/>
      </xdr:nvSpPr>
      <xdr:spPr>
        <a:xfrm>
          <a:off x="9906000" y="666750"/>
          <a:ext cx="1238250" cy="5334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Actualizar</a:t>
          </a:r>
          <a:r>
            <a:rPr lang="es-ES" sz="1200" b="1" baseline="0"/>
            <a:t> histograma</a:t>
          </a:r>
          <a:endParaRPr lang="es-ES" sz="12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41</xdr:col>
      <xdr:colOff>56030</xdr:colOff>
      <xdr:row>1</xdr:row>
      <xdr:rowOff>136871</xdr:rowOff>
    </xdr:from>
    <xdr:to>
      <xdr:col>42</xdr:col>
      <xdr:colOff>493059</xdr:colOff>
      <xdr:row>4</xdr:row>
      <xdr:rowOff>149677</xdr:rowOff>
    </xdr:to>
    <xdr:sp macro="[0]!CrearHistogramaCateterismo" textlink="">
      <xdr:nvSpPr>
        <xdr:cNvPr id="2" name="1 Rectángulo redondeado"/>
        <xdr:cNvSpPr/>
      </xdr:nvSpPr>
      <xdr:spPr>
        <a:xfrm>
          <a:off x="34713423" y="327371"/>
          <a:ext cx="1199029" cy="584306"/>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ES" sz="1200" b="1"/>
            <a:t>Actualizar histograma</a:t>
          </a:r>
        </a:p>
      </xdr:txBody>
    </xdr:sp>
    <xdr:clientData/>
  </xdr:twoCellAnchor>
  <xdr:twoCellAnchor>
    <xdr:from>
      <xdr:col>44</xdr:col>
      <xdr:colOff>676728</xdr:colOff>
      <xdr:row>23</xdr:row>
      <xdr:rowOff>148998</xdr:rowOff>
    </xdr:from>
    <xdr:to>
      <xdr:col>51</xdr:col>
      <xdr:colOff>578303</xdr:colOff>
      <xdr:row>42</xdr:row>
      <xdr:rowOff>163286</xdr:rowOff>
    </xdr:to>
    <xdr:graphicFrame macro="">
      <xdr:nvGraphicFramePr>
        <xdr:cNvPr id="3" name="2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45</xdr:col>
      <xdr:colOff>35377</xdr:colOff>
      <xdr:row>4</xdr:row>
      <xdr:rowOff>144794</xdr:rowOff>
    </xdr:from>
    <xdr:to>
      <xdr:col>53</xdr:col>
      <xdr:colOff>91888</xdr:colOff>
      <xdr:row>21</xdr:row>
      <xdr:rowOff>51547</xdr:rowOff>
    </xdr:to>
    <xdr:graphicFrame macro="">
      <xdr:nvGraphicFramePr>
        <xdr:cNvPr id="5" name="4 Gráfico"/>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52</xdr:col>
      <xdr:colOff>400050</xdr:colOff>
      <xdr:row>24</xdr:row>
      <xdr:rowOff>65314</xdr:rowOff>
    </xdr:from>
    <xdr:to>
      <xdr:col>59</xdr:col>
      <xdr:colOff>301625</xdr:colOff>
      <xdr:row>43</xdr:row>
      <xdr:rowOff>79602</xdr:rowOff>
    </xdr:to>
    <xdr:graphicFrame macro="">
      <xdr:nvGraphicFramePr>
        <xdr:cNvPr id="6" name="5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41</xdr:col>
      <xdr:colOff>13607</xdr:colOff>
      <xdr:row>29</xdr:row>
      <xdr:rowOff>13607</xdr:rowOff>
    </xdr:from>
    <xdr:to>
      <xdr:col>42</xdr:col>
      <xdr:colOff>530678</xdr:colOff>
      <xdr:row>32</xdr:row>
      <xdr:rowOff>149678</xdr:rowOff>
    </xdr:to>
    <xdr:sp macro="[0]!CrearHistoEdad.CrearHistoEdad" textlink="">
      <xdr:nvSpPr>
        <xdr:cNvPr id="4" name="3 Rectángulo redondeado"/>
        <xdr:cNvSpPr/>
      </xdr:nvSpPr>
      <xdr:spPr>
        <a:xfrm>
          <a:off x="36453536" y="5837464"/>
          <a:ext cx="1279071" cy="70757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ES" sz="1200" b="1"/>
            <a:t>Actualizar histograma</a:t>
          </a:r>
        </a:p>
      </xdr:txBody>
    </xdr:sp>
    <xdr:clientData/>
  </xdr:twoCellAnchor>
  <xdr:twoCellAnchor>
    <xdr:from>
      <xdr:col>53</xdr:col>
      <xdr:colOff>449035</xdr:colOff>
      <xdr:row>2</xdr:row>
      <xdr:rowOff>1</xdr:rowOff>
    </xdr:from>
    <xdr:to>
      <xdr:col>60</xdr:col>
      <xdr:colOff>350610</xdr:colOff>
      <xdr:row>21</xdr:row>
      <xdr:rowOff>14289</xdr:rowOff>
    </xdr:to>
    <xdr:graphicFrame macro="">
      <xdr:nvGraphicFramePr>
        <xdr:cNvPr id="7" name="6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44</xdr:col>
      <xdr:colOff>585107</xdr:colOff>
      <xdr:row>45</xdr:row>
      <xdr:rowOff>95251</xdr:rowOff>
    </xdr:from>
    <xdr:to>
      <xdr:col>52</xdr:col>
      <xdr:colOff>641618</xdr:colOff>
      <xdr:row>63</xdr:row>
      <xdr:rowOff>165290</xdr:rowOff>
    </xdr:to>
    <xdr:graphicFrame macro="">
      <xdr:nvGraphicFramePr>
        <xdr:cNvPr id="8" name="7 Gráfico"/>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vigilancia_kerma3Gy_macros.xlsm" TargetMode="External"/><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2" Type="http://schemas.microsoft.com/office/2006/relationships/xlExternalLinkPath/xlPathMissing" Target="vigilancia_kerma3Gy_macros.xlsm" TargetMode="External"/><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2" Type="http://schemas.microsoft.com/office/2006/relationships/xlExternalLinkPath/xlPathMissing" Target="vigilancia_kerma3Gy_macros.xlsm" TargetMode="External"/><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2" Type="http://schemas.microsoft.com/office/2006/relationships/xlExternalLinkPath/xlPathMissing" Target="vigilancia_kerma3Gy_macros.xlsm" TargetMode="External"/><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2" Type="http://schemas.microsoft.com/office/2006/relationships/xlExternalLinkPath/xlPathMissing" Target="vigilancia_kerma3Gy_macros.xlsm" TargetMode="External"/><Relationship Id="rId1" Type="http://schemas.openxmlformats.org/officeDocument/2006/relationships/pivotCacheRecords" Target="pivotCacheRecords5.xml"/></Relationships>
</file>

<file path=xl/pivotCache/pivotCacheDefinition1.xml><?xml version="1.0" encoding="utf-8"?>
<pivotCacheDefinition xmlns="http://schemas.openxmlformats.org/spreadsheetml/2006/main" xmlns:r="http://schemas.openxmlformats.org/officeDocument/2006/relationships" r:id="rId1" refreshedBy="JOSE MANUEL CALATAYUD JORDAN" refreshedDate="44264.429313657405" createdVersion="4" refreshedVersion="4" minRefreshableVersion="3" recordCount="79">
  <cacheSource type="worksheet">
    <worksheetSource ref="G8:W2437" sheet="Datos" r:id="rId2"/>
  </cacheSource>
  <cacheFields count="7">
    <cacheField name="SIP" numFmtId="0">
      <sharedItems containsSemiMixedTypes="0" containsString="0" containsNumber="1" containsInteger="1" minValue="93062" maxValue="13027262" count="60">
        <n v="2932156"/>
        <n v="6733815"/>
        <n v="2418238"/>
        <n v="1858960"/>
        <n v="4343935"/>
        <n v="2932082"/>
        <n v="7253924"/>
        <n v="2316361"/>
        <n v="1867828"/>
        <n v="196981"/>
        <n v="3824620"/>
        <n v="6203670"/>
        <n v="116680"/>
        <n v="4726973"/>
        <n v="7900199"/>
        <n v="6700426"/>
        <n v="2343053"/>
        <n v="2878193"/>
        <n v="1819791"/>
        <n v="4976109"/>
        <n v="264626"/>
        <n v="5350920"/>
        <n v="3720067"/>
        <n v="2874613"/>
        <n v="13027262"/>
        <n v="11132642"/>
        <n v="2334536"/>
        <n v="1987869"/>
        <n v="3130505"/>
        <n v="3194477"/>
        <n v="1862484"/>
        <n v="2398262"/>
        <n v="1698821"/>
        <n v="3481236"/>
        <n v="1276398"/>
        <n v="3273662"/>
        <n v="146669"/>
        <n v="2608848"/>
        <n v="755575"/>
        <n v="248481"/>
        <n v="2908045"/>
        <n v="3189874"/>
        <n v="4664774"/>
        <n v="3116475"/>
        <n v="4484462"/>
        <n v="4023574"/>
        <n v="2910430"/>
        <n v="93062"/>
        <n v="3190819"/>
        <n v="4724594"/>
        <n v="2484685"/>
        <n v="12557556"/>
        <n v="1900685"/>
        <n v="3395822"/>
        <n v="4245699"/>
        <n v="3386511"/>
        <n v="2516454"/>
        <n v="2401168"/>
        <n v="2281733"/>
        <n v="4715136"/>
      </sharedItems>
    </cacheField>
    <cacheField name="Fecha de la dosis" numFmtId="14">
      <sharedItems containsSemiMixedTypes="0" containsNonDate="0" containsDate="1" containsString="0" minDate="2018-01-15T00:00:00" maxDate="2021-03-06T00:00:00"/>
    </cacheField>
    <cacheField name="Dosis (Gy)" numFmtId="0">
      <sharedItems containsSemiMixedTypes="0" containsString="0" containsNumber="1" minValue="4.8000000000000001E-2" maxValue="8.9350000000000005"/>
    </cacheField>
    <cacheField name="Fecha de nacimiento" numFmtId="0">
      <sharedItems containsNonDate="0" containsDate="1" containsString="0" containsBlank="1" minDate="2006-02-03T00:00:00" maxDate="2020-11-05T00:00:00"/>
    </cacheField>
    <cacheField name="Nº referencia" numFmtId="0">
      <sharedItems containsString="0" containsBlank="1" containsNumber="1" containsInteger="1" minValue="9040010009905280" maxValue="9040010010385090"/>
    </cacheField>
    <cacheField name="Examen" numFmtId="0">
      <sharedItems containsBlank="1"/>
    </cacheField>
    <cacheField name="Nombre completo" numFmtId="0">
      <sharedItems count="61">
        <s v="Francisca Giner Ortega"/>
        <s v="Mihaela Florentina Paraschiv "/>
        <s v="Manuela Hueso  Borrego"/>
        <s v="Ramón Duro  Moreno"/>
        <s v="Elvira Vicent Roig"/>
        <s v="Antonio Cervera Ruiz"/>
        <s v="Marilin Camargo Monasterio"/>
        <s v="Josefa Blasco  Calatayud"/>
        <s v="Rafael  Castro Soler"/>
        <s v="Noel Jiménez  Gómez"/>
        <s v="Miguel Ángel Lozano Ramos"/>
        <s v="Aaron Javier Pazmiño Manchón"/>
        <s v="Rafael  Donat Canet"/>
        <s v="José Antonio Cuenca Puchalt"/>
        <s v="Meritxell Pérez Jiménez"/>
        <s v="Henderson Edin Jiménez  Ramos"/>
        <s v="Miguel Ángel Quintero Acosta"/>
        <s v="Isabel Chust Piquer"/>
        <s v="Miguel Ortell Renau"/>
        <s v="Marlon Omar Veliz Cadena"/>
        <s v="Jacinto Astilleros Jiménez"/>
        <s v="Hamid Hlioui "/>
        <s v="Juan Navarro Baixauli"/>
        <s v="Rafael García  Martí"/>
        <s v="Hoolain Fatima Waqas "/>
        <s v="Javier Delgado Jiménez"/>
        <s v="Francisco Palanca Pascual"/>
        <s v="Vicente Cebriá  Gamón"/>
        <s v="Donato Patio Nieto"/>
        <s v="Ángel Piorno Pérez"/>
        <s v="Felipe Punzano Egea"/>
        <s v="José Calvo Gómez"/>
        <s v="Ramón Llanes Tolos"/>
        <s v="Carmen Martínez Soriano"/>
        <s v="Valentín Martínez Ibáñez"/>
        <s v="Plamen Mitkov Rusev"/>
        <s v="M Carmen Pardo Serrano"/>
        <s v="José Manuel Verdejo Matrínez"/>
        <s v="Catalina Calero Serrano"/>
        <s v="Pedro Enrique Timoner Domingo"/>
        <s v="Salvador Gallego Hernández"/>
        <s v="Herlinda Murciano Rodilla"/>
        <s v="Adela Arroyo Porta"/>
        <s v="David Nadal Torralbo"/>
        <s v="José Manuel Botella Crespo"/>
        <s v="José Álvarez Ruiz"/>
        <s v="Paloma Andreu Soñer"/>
        <s v="José Vicente Ballester Noguera"/>
        <s v="Ángel Salvador Vidal Morant"/>
        <s v="Pascual Pastor Sánchez"/>
        <s v="Javier Gonzalo Climent"/>
        <s v="José Villar Marín"/>
        <s v="Caridad María Arocha Mejías"/>
        <s v="Joaquín Soler Juan"/>
        <s v="Milagros Jiménez  Navarro"/>
        <s v="Diego Torregrosa Valero"/>
        <s v="Florentina Orallo Álvarez"/>
        <s v="Vicente Torres Oliver"/>
        <s v="Basilio Campos Rogel"/>
        <s v="José Sánchez Castillo"/>
        <s v="Amadeo Peiró Feliu"/>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JOSE MANUEL CALATAYUD JORDAN" refreshedDate="44264.43862951389" createdVersion="4" refreshedVersion="4" minRefreshableVersion="3" recordCount="79">
  <cacheSource type="worksheet">
    <worksheetSource ref="D8:Y2437" sheet="Datos" r:id="rId2"/>
  </cacheSource>
  <cacheFields count="12">
    <cacheField name="Apellido 1" numFmtId="0">
      <sharedItems/>
    </cacheField>
    <cacheField name="Apellido 2" numFmtId="0">
      <sharedItems containsBlank="1"/>
    </cacheField>
    <cacheField name="Nombre" numFmtId="0">
      <sharedItems/>
    </cacheField>
    <cacheField name="SIP" numFmtId="0">
      <sharedItems containsSemiMixedTypes="0" containsString="0" containsNumber="1" containsInteger="1" minValue="93062" maxValue="13027262"/>
    </cacheField>
    <cacheField name="Fecha de la dosis" numFmtId="14">
      <sharedItems containsSemiMixedTypes="0" containsNonDate="0" containsDate="1" containsString="0" minDate="2018-01-15T00:00:00" maxDate="2021-03-06T00:00:00"/>
    </cacheField>
    <cacheField name="Dosis (Gy)" numFmtId="0">
      <sharedItems containsSemiMixedTypes="0" containsString="0" containsNumber="1" minValue="4.8000000000000001E-2" maxValue="8.9350000000000005"/>
    </cacheField>
    <cacheField name="Fecha de nacimiento" numFmtId="0">
      <sharedItems containsNonDate="0" containsDate="1" containsString="0" containsBlank="1" minDate="2006-02-03T00:00:00" maxDate="2020-11-05T00:00:00"/>
    </cacheField>
    <cacheField name="Nº referencia" numFmtId="0">
      <sharedItems containsString="0" containsBlank="1" containsNumber="1" containsInteger="1" minValue="9040010009905280" maxValue="9040010010385090"/>
    </cacheField>
    <cacheField name="Examen" numFmtId="0">
      <sharedItems containsBlank="1"/>
    </cacheField>
    <cacheField name="Nombre completo" numFmtId="0">
      <sharedItems/>
    </cacheField>
    <cacheField name="Mes" numFmtId="0">
      <sharedItems containsSemiMixedTypes="0" containsString="0" containsNumber="1" containsInteger="1" minValue="1" maxValue="12" count="11">
        <n v="2"/>
        <n v="1"/>
        <n v="12"/>
        <n v="9"/>
        <n v="3"/>
        <n v="7"/>
        <n v="10"/>
        <n v="5"/>
        <n v="6"/>
        <n v="8"/>
        <n v="11"/>
      </sharedItems>
    </cacheField>
    <cacheField name="Año" numFmtId="0">
      <sharedItems containsSemiMixedTypes="0" containsString="0" containsNumber="1" containsInteger="1" minValue="2018" maxValue="2021" count="4">
        <n v="2021"/>
        <n v="2019"/>
        <n v="2018"/>
        <n v="2020"/>
      </sharedItems>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JOSE MANUEL CALATAYUD JORDAN" refreshedDate="44309.616205208331" createdVersion="4" refreshedVersion="4" minRefreshableVersion="3" recordCount="185">
  <cacheSource type="worksheet">
    <worksheetSource ref="C8:H2437" sheet="Datos" r:id="rId2"/>
  </cacheSource>
  <cacheFields count="24">
    <cacheField name="Tipo de paciente" numFmtId="0">
      <sharedItems containsBlank="1"/>
    </cacheField>
    <cacheField name="Apellido 1" numFmtId="0">
      <sharedItems containsBlank="1"/>
    </cacheField>
    <cacheField name="Apellido 2" numFmtId="0">
      <sharedItems containsBlank="1"/>
    </cacheField>
    <cacheField name="Nombre" numFmtId="0">
      <sharedItems containsBlank="1"/>
    </cacheField>
    <cacheField name="SIP" numFmtId="0">
      <sharedItems containsString="0" containsBlank="1" containsNumber="1" containsInteger="1" minValue="42108" maxValue="53509920" count="125">
        <m/>
        <n v="3329365"/>
        <n v="4484462"/>
        <n v="4023574"/>
        <n v="3152027"/>
        <n v="12557556"/>
        <n v="3189874"/>
        <n v="12872007"/>
        <n v="264626"/>
        <n v="2910430"/>
        <n v="2316361"/>
        <n v="3745640"/>
        <n v="7120820"/>
        <n v="3116475"/>
        <n v="2608848"/>
        <n v="2398262"/>
        <n v="7253924"/>
        <n v="2401168"/>
        <n v="2983985"/>
        <n v="2861579"/>
        <n v="1867828"/>
        <n v="2949196"/>
        <n v="1987869"/>
        <n v="2932082"/>
        <n v="2878193"/>
        <n v="2925628"/>
        <n v="3256868"/>
        <n v="3065170"/>
        <n v="2409224"/>
        <n v="4726973"/>
        <n v="1847325"/>
        <n v="11132642"/>
        <n v="116680"/>
        <n v="1858960"/>
        <n v="2290059"/>
        <n v="12301367"/>
        <n v="244541"/>
        <n v="2530715"/>
        <n v="221667"/>
        <n v="4271173"/>
        <n v="3264182"/>
        <n v="3479017"/>
        <n v="248481"/>
        <n v="3208027"/>
        <n v="2874613"/>
        <n v="11396648"/>
        <n v="2309838"/>
        <n v="42108"/>
        <n v="805641"/>
        <n v="2932156"/>
        <n v="4724594"/>
        <n v="3328651"/>
        <n v="5350920"/>
        <n v="2418238"/>
        <n v="7014360"/>
        <n v="196981"/>
        <n v="3395822"/>
        <n v="6700426"/>
        <n v="3604125"/>
        <n v="6842969"/>
        <n v="2803018"/>
        <n v="6771491"/>
        <n v="1698821"/>
        <n v="7164364"/>
        <n v="11575960"/>
        <n v="12851181"/>
        <n v="3824620"/>
        <n v="3042189"/>
        <n v="1276398"/>
        <n v="3481236"/>
        <n v="6704909"/>
        <n v="5152251"/>
        <n v="6230481"/>
        <n v="2272024"/>
        <n v="3122982"/>
        <n v="2908045"/>
        <n v="4664774"/>
        <n v="3760411"/>
        <n v="3847337"/>
        <n v="3720067"/>
        <n v="3370441"/>
        <n v="6617691"/>
        <n v="3342662"/>
        <n v="3386511"/>
        <n v="1819791"/>
        <n v="12246972"/>
        <n v="2334536"/>
        <n v="6733815"/>
        <n v="3273662"/>
        <n v="3190819"/>
        <n v="3130505"/>
        <n v="6203670"/>
        <n v="13020054"/>
        <n v="4715136"/>
        <n v="2987571"/>
        <n v="3028955"/>
        <n v="7900199"/>
        <n v="3194477"/>
        <n v="7577641"/>
        <n v="3701013"/>
        <n v="1862484"/>
        <n v="2343053"/>
        <n v="339746"/>
        <n v="3296336"/>
        <n v="12223156"/>
        <n v="2281733"/>
        <n v="3498767"/>
        <n v="1213680"/>
        <n v="1900685"/>
        <n v="1755575"/>
        <n v="323546"/>
        <n v="4245699"/>
        <n v="2516454"/>
        <n v="2357868"/>
        <n v="1006232"/>
        <n v="4976109"/>
        <n v="2881585"/>
        <n v="2616513"/>
        <n v="146669"/>
        <n v="4343935"/>
        <n v="93062"/>
        <n v="2484685"/>
        <n v="13027262"/>
        <n v="755575" u="1"/>
        <n v="53509920" u="1"/>
      </sharedItems>
    </cacheField>
    <cacheField name="Fecha de la dosis" numFmtId="0">
      <sharedItems containsNonDate="0" containsDate="1" containsString="0" containsBlank="1" minDate="2018-01-15T00:00:00" maxDate="2021-04-21T00:00:00" count="114">
        <m/>
        <d v="2021-04-20T00:00:00"/>
        <d v="2020-07-28T00:00:00"/>
        <d v="2020-08-16T00:00:00"/>
        <d v="2020-08-17T00:00:00"/>
        <d v="2021-03-10T00:00:00"/>
        <d v="2020-09-24T00:00:00"/>
        <d v="2020-09-23T00:00:00"/>
        <d v="2020-07-08T00:00:00"/>
        <d v="2021-04-19T00:00:00"/>
        <d v="2021-03-02T00:00:00"/>
        <d v="2020-06-03T00:00:00"/>
        <d v="2020-08-11T00:00:00"/>
        <d v="2020-02-12T00:00:00"/>
        <d v="2021-02-18T00:00:00"/>
        <d v="2021-01-29T00:00:00"/>
        <d v="2020-12-11T00:00:00"/>
        <d v="2020-10-30T00:00:00"/>
        <d v="2020-09-10T00:00:00"/>
        <d v="2021-03-08T00:00:00"/>
        <d v="2020-08-13T00:00:00"/>
        <d v="2020-06-25T00:00:00"/>
        <d v="2020-05-30T00:00:00"/>
        <d v="2021-02-19T00:00:00"/>
        <d v="2020-10-17T00:00:00"/>
        <d v="2020-01-18T00:00:00"/>
        <d v="2021-02-12T00:00:00"/>
        <d v="2019-07-23T00:00:00"/>
        <d v="2021-01-07T00:00:00"/>
        <d v="2019-12-03T00:00:00"/>
        <d v="2019-09-23T00:00:00"/>
        <d v="2018-02-26T00:00:00"/>
        <d v="2019-12-26T00:00:00"/>
        <d v="2021-02-26T00:00:00"/>
        <d v="2021-02-15T00:00:00"/>
        <d v="2021-03-26T00:00:00"/>
        <d v="2019-05-26T00:00:00"/>
        <d v="2020-05-28T00:00:00"/>
        <d v="2021-04-13T00:00:00"/>
        <d v="2021-03-16T00:00:00"/>
        <d v="2021-03-01T00:00:00"/>
        <d v="2021-02-04T00:00:00"/>
        <d v="2020-04-23T00:00:00"/>
        <d v="2021-03-29T00:00:00"/>
        <d v="2020-10-15T00:00:00"/>
        <d v="2021-04-15T00:00:00"/>
        <d v="2020-10-20T00:00:00"/>
        <d v="2021-04-08T00:00:00"/>
        <d v="2021-03-30T00:00:00"/>
        <d v="2020-11-05T00:00:00"/>
        <d v="2020-06-10T00:00:00"/>
        <d v="2020-07-31T00:00:00"/>
        <d v="2020-10-21T00:00:00"/>
        <d v="2021-03-05T00:00:00"/>
        <d v="2021-03-12T00:00:00"/>
        <d v="2020-11-04T00:00:00"/>
        <d v="2021-03-17T00:00:00"/>
        <d v="2021-02-03T00:00:00"/>
        <d v="2020-10-07T00:00:00"/>
        <d v="2018-06-11T00:00:00"/>
        <d v="2020-02-18T00:00:00"/>
        <d v="2019-02-05T00:00:00"/>
        <d v="2021-03-03T00:00:00"/>
        <d v="2021-02-09T00:00:00"/>
        <d v="2021-03-25T00:00:00"/>
        <d v="2021-02-25T00:00:00"/>
        <d v="2021-02-13T00:00:00"/>
        <d v="2020-10-06T00:00:00"/>
        <d v="2021-01-08T00:00:00"/>
        <d v="2021-04-06T00:00:00"/>
        <d v="2020-06-22T00:00:00"/>
        <d v="2020-02-04T00:00:00"/>
        <d v="2020-09-18T00:00:00"/>
        <d v="2021-03-23T00:00:00"/>
        <d v="2021-03-31T00:00:00"/>
        <d v="2021-02-14T00:00:00"/>
        <d v="2021-02-17T00:00:00"/>
        <d v="2021-03-22T00:00:00"/>
        <d v="2020-05-04T00:00:00"/>
        <d v="2020-06-11T00:00:00"/>
        <d v="2020-05-21T00:00:00"/>
        <d v="2021-03-15T00:00:00"/>
        <d v="2021-03-09T00:00:00"/>
        <d v="2020-06-04T00:00:00"/>
        <d v="2021-04-16T00:00:00"/>
        <d v="2020-06-30T00:00:00"/>
        <d v="2020-07-16T00:00:00"/>
        <d v="2021-03-04T00:00:00"/>
        <d v="2021-03-14T00:00:00"/>
        <d v="2020-10-16T00:00:00"/>
        <d v="2021-02-22T00:00:00"/>
        <d v="2019-12-16T00:00:00"/>
        <d v="2020-08-27T00:00:00"/>
        <d v="2019-10-23T00:00:00"/>
        <d v="2021-02-16T00:00:00"/>
        <d v="2020-11-23T00:00:00"/>
        <d v="2020-12-14T00:00:00"/>
        <d v="2019-10-18T00:00:00"/>
        <d v="2021-03-11T00:00:00"/>
        <d v="2021-03-24T00:00:00"/>
        <d v="2020-11-17T00:00:00"/>
        <d v="2020-06-26T00:00:00"/>
        <d v="2020-09-15T00:00:00"/>
        <d v="2018-01-15T00:00:00"/>
        <d v="2020-10-23T00:00:00"/>
        <d v="2020-10-22T00:00:00"/>
        <d v="2020-05-29T00:00:00"/>
        <d v="2021-04-14T00:00:00"/>
        <d v="2020-11-03T00:00:00"/>
        <d v="2021-02-01T00:00:00"/>
        <d v="2020-10-01T00:00:00"/>
        <d v="2020-01-14T00:00:00"/>
        <d v="2020-01-23T00:00:00"/>
        <d v="2021-01-01T00:00:00" u="1"/>
      </sharedItems>
    </cacheField>
    <cacheField name="Dosis (Gy)" numFmtId="0">
      <sharedItems containsString="0" containsBlank="1" containsNumber="1" minValue="1.2E-2" maxValue="8.9350000000000005"/>
    </cacheField>
    <cacheField name="Zona corporal" numFmtId="0">
      <sharedItems containsBlank="1" containsMixedTypes="1" containsNumber="1" minValue="0" maxValue="1"/>
    </cacheField>
    <cacheField name="Columna1" numFmtId="0">
      <sharedItems containsString="0" containsBlank="1" containsNumber="1" minValue="1.6E-2" maxValue="2"/>
    </cacheField>
    <cacheField name="Columna2" numFmtId="0">
      <sharedItems containsString="0" containsBlank="1" containsNumber="1" minValue="8.9999999999999993E-3" maxValue="3"/>
    </cacheField>
    <cacheField name="Columna3" numFmtId="0">
      <sharedItems containsString="0" containsBlank="1" containsNumber="1" minValue="0.01" maxValue="4"/>
    </cacheField>
    <cacheField name="Columna4" numFmtId="0">
      <sharedItems containsString="0" containsBlank="1" containsNumber="1" minValue="0" maxValue="5"/>
    </cacheField>
    <cacheField name="Columna5" numFmtId="0">
      <sharedItems containsString="0" containsBlank="1" containsNumber="1" minValue="0" maxValue="6"/>
    </cacheField>
    <cacheField name="Columna6" numFmtId="0">
      <sharedItems containsString="0" containsBlank="1" containsNumber="1" minValue="1.6E-2" maxValue="7"/>
    </cacheField>
    <cacheField name="Columna7" numFmtId="0">
      <sharedItems containsString="0" containsBlank="1" containsNumber="1" minValue="8.9999999999999993E-3" maxValue="8"/>
    </cacheField>
    <cacheField name="Columna8" numFmtId="0">
      <sharedItems containsString="0" containsBlank="1" containsNumber="1" minValue="0.01" maxValue="9"/>
    </cacheField>
    <cacheField name="Columna9" numFmtId="0">
      <sharedItems containsString="0" containsBlank="1" containsNumber="1" minValue="0" maxValue="10"/>
    </cacheField>
    <cacheField name="Fecha de nacimiento" numFmtId="0">
      <sharedItems containsNonDate="0" containsDate="1" containsString="0" containsBlank="1" minDate="1932-06-24T00:00:00" maxDate="2020-11-05T00:00:00" count="124">
        <m/>
        <d v="1940-02-04T00:00:00"/>
        <d v="1950-07-18T00:00:00"/>
        <d v="1967-11-06T00:00:00"/>
        <d v="1935-11-19T00:00:00"/>
        <d v="1956-06-17T00:00:00"/>
        <d v="1945-11-10T00:00:00"/>
        <d v="2009-04-27T00:00:00"/>
        <d v="1956-10-17T00:00:00"/>
        <d v="1958-10-22T00:00:00"/>
        <d v="1959-01-04T00:00:00"/>
        <d v="1956-10-11T00:00:00"/>
        <d v="2005-11-17T00:00:00"/>
        <d v="1949-07-16T00:00:00"/>
        <d v="1948-02-04T00:00:00"/>
        <d v="1943-10-30T00:00:00"/>
        <d v="1976-06-28T00:00:00"/>
        <d v="1944-04-26T00:00:00"/>
        <d v="1933-08-28T00:00:00"/>
        <d v="1946-06-16T00:00:00"/>
        <d v="1942-02-16T00:00:00"/>
        <d v="1971-11-12T00:00:00"/>
        <d v="1945-06-03T00:00:00"/>
        <d v="1958-01-11T00:00:00"/>
        <d v="1959-12-14T00:00:00"/>
        <d v="1963-12-17T00:00:00"/>
        <d v="1933-04-17T00:00:00"/>
        <d v="1957-08-08T00:00:00"/>
        <d v="1957-02-21T00:00:00"/>
        <d v="1956-11-24T00:00:00"/>
        <d v="1963-03-15T00:00:00"/>
        <d v="1977-04-25T00:00:00"/>
        <d v="1969-07-05T00:00:00"/>
        <d v="1958-08-16T00:00:00"/>
        <d v="1948-12-02T00:00:00"/>
        <d v="1965-06-12T00:00:00"/>
        <d v="1965-12-18T00:00:00"/>
        <d v="1949-07-01T00:00:00"/>
        <d v="1963-03-08T00:00:00"/>
        <d v="1958-04-25T00:00:00"/>
        <d v="1944-10-24T00:00:00"/>
        <d v="1939-01-15T00:00:00"/>
        <d v="1958-03-25T00:00:00"/>
        <d v="1946-03-05T00:00:00"/>
        <d v="1958-07-12T00:00:00"/>
        <d v="2015-09-14T00:00:00"/>
        <d v="1959-11-08T00:00:00"/>
        <d v="1953-05-08T00:00:00"/>
        <d v="1941-04-16T00:00:00"/>
        <d v="1958-12-29T00:00:00"/>
        <d v="1961-07-13T00:00:00"/>
        <d v="1940-03-05T00:00:00"/>
        <d v="1972-10-24T00:00:00"/>
        <d v="1959-01-07T00:00:00"/>
        <d v="2007-08-24T00:00:00"/>
        <d v="1989-12-24T00:00:00"/>
        <d v="1980-11-29T00:00:00"/>
        <d v="2007-02-01T00:00:00"/>
        <d v="1946-06-26T00:00:00"/>
        <d v="1958-12-05T00:00:00"/>
        <d v="1938-08-22T00:00:00"/>
        <d v="1972-05-23T00:00:00"/>
        <d v="1965-08-17T00:00:00"/>
        <d v="2007-12-27T00:00:00"/>
        <d v="2016-04-20T00:00:00"/>
        <d v="2020-01-02T00:00:00"/>
        <d v="1969-02-05T00:00:00"/>
        <d v="1962-03-06T00:00:00"/>
        <d v="1946-11-03T00:00:00"/>
        <d v="1940-08-27T00:00:00"/>
        <d v="2007-02-17T00:00:00"/>
        <d v="1964-02-02T00:00:00"/>
        <d v="1978-08-21T00:00:00"/>
        <d v="1954-01-22T00:00:00"/>
        <d v="1934-01-06T00:00:00"/>
        <d v="1956-06-15T00:00:00"/>
        <d v="1970-07-14T00:00:00"/>
        <d v="1963-04-25T00:00:00"/>
        <d v="1965-05-08T00:00:00"/>
        <d v="1950-06-23T00:00:00"/>
        <d v="1944-03-18T00:00:00"/>
        <d v="2006-11-18T00:00:00"/>
        <d v="1963-08-24T00:00:00"/>
        <d v="1936-12-31T00:00:00"/>
        <d v="1960-09-26T00:00:00"/>
        <d v="1968-09-25T00:00:00"/>
        <d v="1963-11-08T00:00:00"/>
        <d v="1986-03-27T00:00:00"/>
        <d v="1951-10-20T00:00:00"/>
        <d v="1947-09-20T00:00:00"/>
        <d v="1935-10-28T00:00:00"/>
        <d v="2006-02-03T00:00:00"/>
        <d v="2020-10-22T00:00:00"/>
        <d v="1971-10-04T00:00:00"/>
        <d v="1964-01-08T00:00:00"/>
        <d v="1962-01-17T00:00:00"/>
        <d v="2009-09-14T00:00:00"/>
        <d v="1950-06-14T00:00:00"/>
        <d v="2008-11-23T00:00:00"/>
        <d v="1932-06-24T00:00:00"/>
        <d v="1960-02-05T00:00:00"/>
        <d v="1960-04-21T00:00:00"/>
        <d v="1979-05-08T00:00:00"/>
        <d v="1952-04-24T00:00:00"/>
        <d v="1996-06-18T00:00:00"/>
        <d v="1951-08-22T00:00:00"/>
        <d v="1947-03-18T00:00:00"/>
        <d v="1936-07-13T00:00:00"/>
        <d v="1951-12-11T00:00:00"/>
        <d v="1955-05-09T00:00:00"/>
        <d v="1938-08-02T00:00:00"/>
        <d v="1955-09-22T00:00:00"/>
        <d v="1959-09-04T00:00:00"/>
        <d v="1971-05-10T00:00:00"/>
        <d v="1958-02-13T00:00:00"/>
        <d v="1978-05-25T00:00:00"/>
        <d v="1963-01-20T00:00:00"/>
        <d v="1961-01-14T00:00:00"/>
        <d v="1965-08-11T00:00:00"/>
        <d v="1943-04-02T00:00:00"/>
        <d v="1958-09-30T00:00:00"/>
        <d v="1947-07-21T00:00:00"/>
        <d v="2020-11-04T00:00:00"/>
        <d v="1978-10-04T00:00:00" u="1"/>
      </sharedItems>
    </cacheField>
    <cacheField name="Apuntado" numFmtId="0">
      <sharedItems containsBlank="1" containsMixedTypes="1" containsNumber="1" containsInteger="1" minValue="9040010010385090" maxValue="9040010010385090"/>
    </cacheField>
    <cacheField name="Examen" numFmtId="0">
      <sharedItems containsBlank="1"/>
    </cacheField>
    <cacheField name="Nombre completo" numFmtId="0">
      <sharedItems containsBlank="1" count="227">
        <m/>
        <s v="Alberto Saiz,Pilar"/>
        <s v="Álvarez Ruiz,José"/>
        <s v="Andreu Soñer,Paloma"/>
        <s v="Argente Gomis,Juan"/>
        <s v="Arocha Mejías,Caridad María"/>
        <s v="Arroyo Porta,Adela"/>
        <s v="Arteaga Piedrahita,Dylan Adriy"/>
        <s v="Astilleros Jiménez,Jacinto"/>
        <s v="Ballester Noguera,José Vicente"/>
        <s v="Blasco  Calatayud,Josefa"/>
        <s v="Blasco  López,Francisco"/>
        <s v="Boles Fernández,Alanna"/>
        <s v="Botella Crespo,José Manuel"/>
        <s v="Calero Serrano,Catalina"/>
        <s v="Calvo Gómez,José"/>
        <s v="Camargo Monasterio,Marilin"/>
        <s v="Campos Rogel,Basilio"/>
        <s v="Cano Esteban,Juana"/>
        <s v="Casas Pérez,Gregorio"/>
        <s v="Castro Soler,Rafael "/>
        <s v="Catalán Pérez,Mónica"/>
        <s v="Cebriá  Gamón,Vicente"/>
        <s v="Cervera Ruiz,Antonio"/>
        <s v="Chust Piquer,Isabel"/>
        <s v="Cisne del Isaac,Jesús"/>
        <s v="Cocera Martínez,Rogelio"/>
        <s v="Collado Rodríguez,José Vicente"/>
        <s v="Conde Conde,Miguel Francisco"/>
        <s v="Cuenca Puchalt,José Antonio"/>
        <s v="Del Pueblo Nieto,Josefa"/>
        <s v="Delgado Jiménez,Javier"/>
        <s v="Donat Canet,Rafael "/>
        <s v="Duro  Moreno,Ramón"/>
        <s v="Felix Fontestad,Jesús"/>
        <s v="Fengying ,Zheng"/>
        <s v="Fernández Bermúdez,Bienvenido"/>
        <s v="Fernández Serrano,Juan Pedro"/>
        <s v="Fernando Llorca,Consuelo"/>
        <s v="Frías Benito,Juan"/>
        <s v="Fuster Tarrazo,Rosa María"/>
        <s v="Galarza Perelló,María Dolores"/>
        <s v="Gallego Hernández,Salvador"/>
        <s v="Gamiz Fos,M Carmen"/>
        <s v="García  Martí,Rafael"/>
        <s v="García Oller,Hugo"/>
        <s v="García-Uceda Ruiz-Orejón,José"/>
        <s v="Garrigues Langa,Juan"/>
        <s v="Gerona Torregrosa,Guillermo"/>
        <s v="Giner Ortega,Francisca"/>
        <s v="Gonzalez Climent,Javier"/>
        <s v="Herrada Perona,Honorio"/>
        <s v="Hlioui ,Hamid"/>
        <s v="Hueso  Borrego,Manuela"/>
        <s v="Hurtado Pamies,Ainara"/>
        <s v="Jiménez  Gómez,Noel"/>
        <s v="Jiménez  Navarro,Milagros"/>
        <s v="Jiménez  Ramos,Henderson Edin"/>
        <s v="Juan Verdú,Luis"/>
        <s v="Khoshbekyan ,Poghos"/>
        <s v="Lacomba Albalate,José"/>
        <s v="Lamallem ,Jamil"/>
        <s v="Llanes Tolosa,Ramón"/>
        <s v="López Pardo,Lidia"/>
        <s v="López Sánchez,Emma"/>
        <s v="López Yuste,Thiago"/>
        <s v="Lozano Ramos,Miguel Ángel"/>
        <s v="Mariño San Martín,Maximino Andrés"/>
        <s v="Martínez Ibáñez,Valentín"/>
        <s v="Martínez Soriano,Carmen"/>
        <s v="Mata Garrido,Marta"/>
        <s v="Matute Tobias,Luis Javier"/>
        <s v="Mitkov Rusev,Plamen"/>
        <s v="Muñoz Fernández,Francisco"/>
        <s v="Muñoz Hernández,Manuela"/>
        <s v="Murciano Rodilla,Herlinda"/>
        <s v="Nadal Torralbo,David"/>
        <s v="Natividad Gallego,Andrés"/>
        <s v="Navalón Defez,Javier"/>
        <s v="Navarro Baixauli,Juan"/>
        <s v="Navarro Palanca,Vicenta"/>
        <s v="Núñez Ortiz,Rosa"/>
        <s v="Oliva Moresi,Lorenzo"/>
        <s v="Orallo Álvarez,Florentina"/>
        <s v="Ortell Renau,Miguel"/>
        <s v="Ortiz Robles,Javier"/>
        <s v="Palanca Pascual,Francisco"/>
        <s v="Paraschiv ,Mihaela Florentina"/>
        <s v="Pardo Serrano,M Carmen"/>
        <s v="Pastor Sánchez,Pascual"/>
        <s v="Patiño Nieto,Donato"/>
        <s v="Pazmiño Manchón,Aaron Javier"/>
        <s v="Pedrón Caballero,Ángela"/>
        <s v="Peiró Feliu,Amadeo"/>
        <s v="Peiró Navarrete,Cándido"/>
        <s v="Peñarrocha Piqueras,Marcos Antonio"/>
        <s v="Pérez Jiménez,Meritxell"/>
        <s v="Piorno Pérez,Ángel"/>
        <s v="Prieto Bonora,Víctor"/>
        <s v="Puchalt Rambla,Juan José"/>
        <s v="Punzano Egea,Felipe"/>
        <s v="Quintero Acosta,Miguel Ángel"/>
        <s v="Reina Pérez,Carlos"/>
        <s v="Rochina Herradón,Antonio"/>
        <s v="Rodríguez Hernández,Edgar"/>
        <s v="Sánchez Castillo,José"/>
        <s v="Sarrión Benito,Regina"/>
        <s v="Sendín Guerrero,José"/>
        <s v="Soler Juan,Joaquín"/>
        <s v="Timoner Domingo,Pedro Enrique"/>
        <s v="Tormo Albert,Rafael"/>
        <s v="Torregrosa Valero,Diego"/>
        <s v="Torres Oliver,Vicente"/>
        <s v="Urbán García,Alejandro"/>
        <s v="Valverde Quevedo,Manuel"/>
        <s v="Veliz Cadena,Marlon Omar"/>
        <s v="Vera Domínguez,Manuel"/>
        <s v="Vercher Montañana,Ramón"/>
        <s v="Verdejo Matrínez,José Manuel"/>
        <s v="Vicent Roig,Elvira"/>
        <s v="Vidal Morant,Ángel Salvador"/>
        <s v="Villar Marín,José"/>
        <s v="Waqas ,Hoolain Fatima"/>
        <s v="Piquer Chust,Isabel" u="1"/>
        <s v="Borrego Hueso ,Manuela" u="1"/>
        <s v="Ortega Giner,Francisca" u="1"/>
        <s v="Garrido Mata,Marta" u="1"/>
        <s v="Guerrero Sendín,José" u="1"/>
        <s v="Álvarez Orallo,Florentina" u="1"/>
        <s v="Feliu Peiró,Amadeo" u="1"/>
        <s v="Calatayud Blasco ,Josefa" u="1"/>
        <s v="Acosta Quintero,Miguel Ángel" u="1"/>
        <s v="Montañana Vercher,Ramón" u="1"/>
        <s v="Soñer Andreu,Paloma" u="1"/>
        <s v="Ruiz Cervera,Antonio" u="1"/>
        <s v=" Waqas,Hoolain Fatima" u="1"/>
        <s v="Renau Ortell,Miguel" u="1"/>
        <s v="Pascual Palanca,Francisco" u="1"/>
        <s v="Matrínez Verdejo,José Manuel" u="1"/>
        <s v="Pérez Piorno,Ángel" u="1"/>
        <s v="Perona Herrada,Honorio" u="1"/>
        <s v="Moreno Duro ,Ramón" u="1"/>
        <s v="Defez Navalón,Javier" u="1"/>
        <s v="Soler Castro,Rafael " u="1"/>
        <s v="Crespo Botella,José Manuel" u="1"/>
        <s v="Puchalt Cuenca,José Antonio" u="1"/>
        <s v="Cadena Veliz,Marlon Omar" u="1"/>
        <s v="Torralbo Nadal,David" u="1"/>
        <s v=" ," u="1"/>
        <s v="Gómez Calvo,José" u="1"/>
        <s v="Serrano Calero,Catalina" u="1"/>
        <s v="Herradón Rochina,Antonio" u="1"/>
        <s v="Juan Soler,Joaquín" u="1"/>
        <s v="Gomis Argente,Juan" u="1"/>
        <s v=" Khoshbekyan,Poghos" u="1"/>
        <s v="Egea Punzano,Felipe" u="1"/>
        <s v="Rogel Campos,Basilio" u="1"/>
        <s v="Castillo Sánchez,José" u="1"/>
        <s v="Rambla Puchalt,Juan José" u="1"/>
        <s v="Serrano Fernández,Juan Pedro" u="1"/>
        <s v="Tarrazo Fuster,Rosa María" u="1"/>
        <s v="Jiménez Astilleros,Jacinto" u="1"/>
        <s v="Rusev Mitkov,Plamen" u="1"/>
        <s v="Rodríguez Collado,José Vicente" u="1"/>
        <s v="Ibáñez Martínez,Valentín" u="1"/>
        <s v="Torregrosa Gerona,Guillermo" u="1"/>
        <s v="Langa Garrigues,Juan" u="1"/>
        <s v="Quevedo Valverde,Manuel" u="1"/>
        <s v="Ramos Lozano,Miguel Ángel" u="1"/>
        <s v="Albert Tormo,Rafael" u="1"/>
        <s v="Martínez Cocera,Rogelio" u="1"/>
        <s v="Hernández Gallego,Salvador" u="1"/>
        <s v="Serrano Pardo,M Carmen" u="1"/>
        <s v="Palanca Navarro,Vicenta" u="1"/>
        <s v="Noguera Ballester,José Vicente" u="1"/>
        <s v="Piqueras Peñarrocha,Marcos Antonio" u="1"/>
        <s v="Valero Torregrosa,Diego" u="1"/>
        <s v="Navarro Jiménez ,Milagros" u="1"/>
        <s v="Tobias Matute,Luis Javier" u="1"/>
        <s v="Robles Ortiz,Javier" u="1"/>
        <s v="Pérez Casas,Gregorio" u="1"/>
        <s v="Esteban Cano,Juana" u="1"/>
        <s v="Fontestad Felix,Jesús" u="1"/>
        <s v="San Martín Mariño,Maximino Andrés" u="1"/>
        <s v="Fernández Boles,Alanna" u="1"/>
        <s v="Monasterio Camargo,Marilin" u="1"/>
        <s v=" Fengying,Zheng" u="1"/>
        <s v="Llanes Tolos,Ramón" u="1"/>
        <s v="Roig Vicent,Elvira" u="1"/>
        <s v="García Urbán,Alejandro" u="1"/>
        <s v="Soriano Martínez,Carmen" u="1"/>
        <s v="Domingo Timoner,Pedro Enrique" u="1"/>
        <s v=" Hlioui,Hamid" u="1"/>
        <s v="Caballero Pedrón,Ángela" u="1"/>
        <s v="Morant Vidal,Ángel Salvador" u="1"/>
        <s v="Martí García ,Rafael" u="1"/>
        <s v="Ruiz Álvarez,José" u="1"/>
        <s v="Perelló Galarza,María Dolores" u="1"/>
        <s v="Pérez Reina,Carlos" u="1"/>
        <s v="Sánchez Pastor,Pascual" u="1"/>
        <s v="Nieto Patio,Donato" u="1"/>
        <s v="Bonora Prieto,Víctor" u="1"/>
        <s v="Baixauli Navarro,Juan" u="1"/>
        <s v="Oliver Torres,Vicente" u="1"/>
        <s v="Manchón Pazmiño,Aaron Javier" u="1"/>
        <s v="Saiz Alberto,Pilar" u="1"/>
        <s v="Canet Donat,Rafael " u="1"/>
        <s v="Gallego Natividad,Andrés" u="1"/>
        <s v="Fos Gamiz,M Carmen" u="1"/>
        <s v="Tolos Llanes,Ramón" u="1"/>
        <s v="Mejías Arocha,Caridad María" u="1"/>
        <s v="Pérez Catalán,Mónica" u="1"/>
        <s v=" Paraschiv,Mihaela Florentina" u="1"/>
        <s v="Jiménez Delgado,Javier" u="1"/>
        <s v="Marín Villar,José" u="1"/>
        <s v="Patio Nieto,Donato" u="1"/>
        <s v="Gómez Jiménez ,Noel" u="1"/>
        <s v="Gamón Cebriá ,Vicente" u="1"/>
        <s v="Fernández Muñoz,Francisco" u="1"/>
        <s v="Moresi Oliva,Lorenzo" u="1"/>
        <s v="Jiménez Pérez,Meritxell" u="1"/>
        <s v="Rodilla Murciano,Herlinda" u="1"/>
        <s v="Ramos Jiménez ,Henderson Edin" u="1"/>
        <s v="Porta Arroyo,Adela" u="1"/>
        <s v="Climent Gonzalez,Javier" u="1"/>
        <s v="del Isaac Cisne,Jesús" u="1"/>
        <s v="Ruiz-Orejón García-Uceda,José" u="1"/>
      </sharedItems>
    </cacheField>
    <cacheField name="Mes" numFmtId="0">
      <sharedItems containsString="0" containsBlank="1" containsNumber="1" containsInteger="1" minValue="1" maxValue="12"/>
    </cacheField>
    <cacheField name="Año" numFmtId="0">
      <sharedItems containsString="0" containsBlank="1" containsNumber="1" containsInteger="1" minValue="1900" maxValue="2021"/>
    </cacheField>
    <cacheField name="Equipo" numFmtId="0">
      <sharedItems containsBlank="1"/>
    </cacheField>
  </cacheFields>
  <extLst>
    <ext xmlns:x14="http://schemas.microsoft.com/office/spreadsheetml/2009/9/main" uri="{725AE2AE-9491-48be-B2B4-4EB974FC3084}">
      <x14:pivotCacheDefinition pivotCacheId="2"/>
    </ext>
  </extLst>
</pivotCacheDefinition>
</file>

<file path=xl/pivotCache/pivotCacheDefinition4.xml><?xml version="1.0" encoding="utf-8"?>
<pivotCacheDefinition xmlns="http://schemas.openxmlformats.org/spreadsheetml/2006/main" xmlns:r="http://schemas.openxmlformats.org/officeDocument/2006/relationships" r:id="rId1" refreshedBy="JOSE MANUEL CALATAYUD JORDAN" refreshedDate="44446.448581365737" createdVersion="4" refreshedVersion="4" minRefreshableVersion="3" recordCount="572">
  <cacheSource type="worksheet">
    <worksheetSource ref="C8:Z2437" sheet="Datos" r:id="rId2"/>
  </cacheSource>
  <cacheFields count="24">
    <cacheField name="Tipo de paciente" numFmtId="0">
      <sharedItems containsBlank="1"/>
    </cacheField>
    <cacheField name="Apellido 1" numFmtId="0">
      <sharedItems containsBlank="1"/>
    </cacheField>
    <cacheField name="Apellido 2" numFmtId="0">
      <sharedItems containsBlank="1"/>
    </cacheField>
    <cacheField name="Nombre" numFmtId="0">
      <sharedItems containsBlank="1"/>
    </cacheField>
    <cacheField name="SIP" numFmtId="0">
      <sharedItems containsString="0" containsBlank="1" containsNumber="1" containsInteger="1" minValue="42108" maxValue="13147895"/>
    </cacheField>
    <cacheField name="Fecha de la dosis" numFmtId="0">
      <sharedItems containsNonDate="0" containsDate="1" containsString="0" containsBlank="1" minDate="2018-01-15T00:00:00" maxDate="2021-09-03T00:00:00"/>
    </cacheField>
    <cacheField name="Kerma en aire acumulada (Gy)" numFmtId="0">
      <sharedItems containsBlank="1" containsMixedTypes="1" containsNumber="1" minValue="6.9999999999999994E-5" maxValue="48.71"/>
    </cacheField>
    <cacheField name="Zona corporal" numFmtId="0">
      <sharedItems containsBlank="1" containsMixedTypes="1" containsNumber="1" minValue="0" maxValue="1.6E-2"/>
    </cacheField>
    <cacheField name="Columna1" numFmtId="0">
      <sharedItems containsString="0" containsBlank="1" containsNumber="1" minValue="1.6E-2" maxValue="1.7110000000000001"/>
    </cacheField>
    <cacheField name="Columna2" numFmtId="0">
      <sharedItems containsString="0" containsBlank="1" containsNumber="1" minValue="8.9999999999999993E-3" maxValue="2.3912"/>
    </cacheField>
    <cacheField name="Columna3" numFmtId="0">
      <sharedItems containsString="0" containsBlank="1" containsNumber="1" minValue="0.01" maxValue="2.1227999999999998"/>
    </cacheField>
    <cacheField name="Columna4" numFmtId="0">
      <sharedItems containsString="0" containsBlank="1" containsNumber="1" minValue="0" maxValue="0.151"/>
    </cacheField>
    <cacheField name="Columna5" numFmtId="0">
      <sharedItems containsString="0" containsBlank="1" containsNumber="1" minValue="0" maxValue="1.6E-2"/>
    </cacheField>
    <cacheField name="Columna6" numFmtId="0">
      <sharedItems containsString="0" containsBlank="1" containsNumber="1" minValue="1.6E-2" maxValue="1.698"/>
    </cacheField>
    <cacheField name="Columna7" numFmtId="0">
      <sharedItems containsString="0" containsBlank="1" containsNumber="1" minValue="8.9999999999999993E-3" maxValue="1.7"/>
    </cacheField>
    <cacheField name="Columna8" numFmtId="0">
      <sharedItems containsString="0" containsBlank="1" containsNumber="1" minValue="0.01" maxValue="2.5129999999999999"/>
    </cacheField>
    <cacheField name="Columna9" numFmtId="0">
      <sharedItems containsString="0" containsBlank="1" containsNumber="1" minValue="0" maxValue="0.151"/>
    </cacheField>
    <cacheField name="Fecha de nacimiento" numFmtId="0">
      <sharedItems containsNonDate="0" containsDate="1" containsString="0" containsBlank="1" minDate="1930-02-19T00:00:00" maxDate="2021-11-24T00:00:00" count="437">
        <d v="1943-10-30T00:00:00"/>
        <d v="1966-06-19T00:00:00"/>
        <d v="1934-09-18T00:00:00"/>
        <d v="1982-04-01T00:00:00"/>
        <d v="1994-12-31T00:00:00"/>
        <d v="1996-06-19T00:00:00"/>
        <d v="1951-09-27T00:00:00"/>
        <d v="1968-10-15T00:00:00"/>
        <d v="1968-10-26T00:00:00"/>
        <d v="1982-02-12T00:00:00"/>
        <d v="1974-04-18T00:00:00"/>
        <d v="1961-01-02T00:00:00"/>
        <d v="1952-04-01T00:00:00"/>
        <d v="1952-06-26T00:00:00"/>
        <d v="1961-03-06T00:00:00"/>
        <d v="1945-10-27T00:00:00"/>
        <d v="1957-01-27T00:00:00"/>
        <d v="1964-02-02T00:00:00"/>
        <d v="1951-09-19T00:00:00"/>
        <d v="1963-08-20T00:00:00"/>
        <d v="1957-12-08T00:00:00"/>
        <d v="1945-03-10T00:00:00"/>
        <d v="1953-03-27T00:00:00"/>
        <d v="1947-08-20T00:00:00"/>
        <d v="1989-01-10T00:00:00"/>
        <d v="1945-03-28T00:00:00"/>
        <d v="1960-01-22T00:00:00"/>
        <d v="2005-07-26T00:00:00"/>
        <d v="1962-11-02T00:00:00"/>
        <d v="1953-10-27T00:00:00"/>
        <d v="1961-03-19T00:00:00"/>
        <d v="1960-05-18T00:00:00"/>
        <d v="1974-09-24T00:00:00"/>
        <d v="1946-02-04T00:00:00"/>
        <d v="1956-08-29T00:00:00"/>
        <d v="1952-05-21T00:00:00"/>
        <d v="1953-07-03T00:00:00"/>
        <d v="1969-08-23T00:00:00"/>
        <d v="1968-06-23T00:00:00"/>
        <d v="1964-12-29T00:00:00"/>
        <d v="1957-06-24T00:00:00"/>
        <d v="2021-11-23T00:00:00"/>
        <d v="1959-03-04T00:00:00"/>
        <d v="1951-02-28T00:00:00"/>
        <d v="1947-08-01T00:00:00"/>
        <d v="1978-07-01T00:00:00"/>
        <d v="1956-07-26T00:00:00"/>
        <d v="1932-05-09T00:00:00"/>
        <d v="1944-04-27T00:00:00"/>
        <d v="1951-07-28T00:00:00"/>
        <d v="1951-04-22T00:00:00"/>
        <d v="1980-08-10T00:00:00"/>
        <d v="1958-11-05T00:00:00"/>
        <d v="1948-02-16T00:00:00"/>
        <d v="1953-10-03T00:00:00"/>
        <d v="1958-10-15T00:00:00"/>
        <d v="1959-11-24T00:00:00"/>
        <d v="1949-07-24T00:00:00"/>
        <d v="1992-11-20T00:00:00"/>
        <d v="1952-10-08T00:00:00"/>
        <d v="1938-06-21T00:00:00"/>
        <d v="1957-11-20T00:00:00"/>
        <d v="1956-10-29T00:00:00"/>
        <d v="1962-03-15T00:00:00"/>
        <d v="1932-04-14T00:00:00"/>
        <d v="1957-06-11T00:00:00"/>
        <d v="1968-07-17T00:00:00"/>
        <d v="1946-04-23T00:00:00"/>
        <d v="1965-11-02T00:00:00"/>
        <d v="1958-04-26T00:00:00"/>
        <d v="1952-01-13T00:00:00"/>
        <d v="1943-06-24T00:00:00"/>
        <d v="1944-09-30T00:00:00"/>
        <d v="1955-01-09T00:00:00"/>
        <d v="2021-09-08T00:00:00"/>
        <d v="1956-02-20T00:00:00"/>
        <d v="1962-12-21T00:00:00"/>
        <d v="2021-07-21T00:00:00"/>
        <d v="1959-02-07T00:00:00"/>
        <d v="1945-05-21T00:00:00"/>
        <d v="1945-08-19T00:00:00"/>
        <d v="2021-06-03T00:00:00"/>
        <d v="1959-07-22T00:00:00"/>
        <d v="1945-03-29T00:00:00"/>
        <d v="1943-08-10T00:00:00"/>
        <d v="1947-09-27T00:00:00"/>
        <d v="1958-06-03T00:00:00"/>
        <d v="1958-12-29T00:00:00"/>
        <d v="1955-04-10T00:00:00"/>
        <d v="1934-04-08T00:00:00"/>
        <d v="2002-12-30T00:00:00"/>
        <d v="1982-04-20T00:00:00"/>
        <d v="1947-05-27T00:00:00"/>
        <d v="1968-11-06T00:00:00"/>
        <d v="1988-09-20T00:00:00"/>
        <d v="1963-04-25T00:00:00"/>
        <d v="1985-02-09T00:00:00"/>
        <d v="1994-02-26T00:00:00"/>
        <d v="1939-05-27T00:00:00"/>
        <d v="1950-09-11T00:00:00"/>
        <d v="1938-02-18T00:00:00"/>
        <d v="1950-04-04T00:00:00"/>
        <m/>
        <d v="1941-05-07T00:00:00"/>
        <d v="2003-11-06T00:00:00"/>
        <d v="1996-05-04T00:00:00"/>
        <d v="1950-09-25T00:00:00"/>
        <d v="1950-09-15T00:00:00"/>
        <d v="1951-06-28T00:00:00"/>
        <d v="1958-12-02T00:00:00"/>
        <d v="1936-09-18T00:00:00"/>
        <d v="1961-07-24T00:00:00"/>
        <d v="1961-04-13T00:00:00"/>
        <d v="1939-05-15T00:00:00"/>
        <d v="1933-04-04T00:00:00"/>
        <d v="1957-01-11T00:00:00"/>
        <d v="1939-01-21T00:00:00"/>
        <d v="1942-05-28T00:00:00"/>
        <d v="1951-04-05T00:00:00"/>
        <d v="1941-07-31T00:00:00"/>
        <d v="1970-11-23T00:00:00"/>
        <d v="1944-01-20T00:00:00"/>
        <d v="1967-10-08T00:00:00"/>
        <d v="1944-04-07T00:00:00"/>
        <d v="1947-11-07T00:00:00"/>
        <d v="1948-01-01T00:00:00"/>
        <d v="1959-08-08T00:00:00"/>
        <d v="1940-04-18T00:00:00"/>
        <d v="1946-09-01T00:00:00"/>
        <d v="1940-11-14T00:00:00"/>
        <d v="1971-02-14T00:00:00"/>
        <d v="1958-07-09T00:00:00"/>
        <d v="1974-11-12T00:00:00"/>
        <d v="1952-03-21T00:00:00"/>
        <d v="1945-03-11T00:00:00"/>
        <d v="1965-09-15T00:00:00"/>
        <d v="1967-12-03T00:00:00"/>
        <d v="1946-12-31T00:00:00"/>
        <d v="1943-09-04T00:00:00"/>
        <d v="1964-08-11T00:00:00"/>
        <d v="1940-02-16T00:00:00"/>
        <d v="1957-11-26T00:00:00"/>
        <d v="1959-08-04T00:00:00"/>
        <d v="1959-12-03T00:00:00"/>
        <d v="1967-11-12T00:00:00"/>
        <d v="1959-10-06T00:00:00"/>
        <d v="1956-08-28T00:00:00"/>
        <d v="1951-02-17T00:00:00"/>
        <d v="1962-10-07T00:00:00"/>
        <d v="1962-12-04T00:00:00"/>
        <d v="1950-04-26T00:00:00"/>
        <d v="1943-05-07T00:00:00"/>
        <d v="1960-07-24T00:00:00"/>
        <d v="1936-03-19T00:00:00"/>
        <d v="1976-10-15T00:00:00"/>
        <d v="1961-08-19T00:00:00"/>
        <d v="1968-05-30T00:00:00"/>
        <d v="1954-06-13T00:00:00"/>
        <d v="1966-05-04T00:00:00"/>
        <d v="1984-09-27T00:00:00"/>
        <d v="1966-08-14T00:00:00"/>
        <d v="1945-01-26T00:00:00"/>
        <d v="1938-10-02T00:00:00"/>
        <d v="1945-09-13T00:00:00"/>
        <d v="1957-05-01T00:00:00"/>
        <d v="1937-08-12T00:00:00"/>
        <d v="1972-09-04T00:00:00"/>
        <d v="1963-02-15T00:00:00"/>
        <d v="1957-06-25T00:00:00"/>
        <d v="2007-02-16T00:00:00"/>
        <d v="1954-10-07T00:00:00"/>
        <d v="1978-05-25T00:00:00"/>
        <d v="1977-04-25T00:00:00"/>
        <d v="1943-07-18T00:00:00"/>
        <d v="1969-02-05T00:00:00"/>
        <d v="1962-01-05T00:00:00"/>
        <d v="1991-07-03T00:00:00"/>
        <d v="1986-09-20T00:00:00"/>
        <d v="1946-02-28T00:00:00"/>
        <d v="1945-01-17T00:00:00"/>
        <d v="1950-02-27T00:00:00"/>
        <d v="1959-04-06T00:00:00"/>
        <d v="1983-11-01T00:00:00"/>
        <d v="1984-08-09T00:00:00"/>
        <d v="1959-11-07T00:00:00"/>
        <d v="1948-01-29T00:00:00"/>
        <d v="1964-08-06T00:00:00"/>
        <d v="1992-12-02T00:00:00"/>
        <d v="1974-01-22T00:00:00"/>
        <d v="1956-01-21T00:00:00"/>
        <d v="1962-01-24T00:00:00"/>
        <d v="1942-02-06T00:00:00"/>
        <d v="2002-01-28T00:00:00"/>
        <d v="1952-02-04T00:00:00"/>
        <d v="1940-10-10T00:00:00"/>
        <d v="1937-04-27T00:00:00"/>
        <d v="1981-02-19T00:00:00"/>
        <d v="1948-11-27T00:00:00"/>
        <d v="1971-05-26T00:00:00"/>
        <d v="1983-03-17T00:00:00"/>
        <d v="1959-08-14T00:00:00"/>
        <d v="1983-06-12T00:00:00"/>
        <d v="1970-03-08T00:00:00"/>
        <d v="1985-09-07T00:00:00"/>
        <d v="1931-12-22T00:00:00"/>
        <d v="1969-04-16T00:00:00"/>
        <d v="1949-05-19T00:00:00"/>
        <d v="2017-11-02T00:00:00"/>
        <d v="1964-11-15T00:00:00"/>
        <d v="1970-08-07T00:00:00"/>
        <d v="1965-01-08T00:00:00"/>
        <d v="2007-01-04T00:00:00"/>
        <d v="2021-02-22T00:00:00"/>
        <d v="1953-09-30T00:00:00"/>
        <d v="1942-05-24T00:00:00"/>
        <d v="1956-11-08T00:00:00"/>
        <d v="1946-08-07T00:00:00"/>
        <d v="1959-03-08T00:00:00"/>
        <d v="2004-12-06T00:00:00"/>
        <d v="1944-08-23T00:00:00"/>
        <d v="1952-04-02T00:00:00"/>
        <d v="1959-07-19T00:00:00"/>
        <d v="1941-09-05T00:00:00"/>
        <d v="1966-05-27T00:00:00"/>
        <d v="1948-10-03T00:00:00"/>
        <d v="2006-10-15T00:00:00"/>
        <d v="1976-02-14T00:00:00"/>
        <d v="1930-02-19T00:00:00"/>
        <d v="1936-10-01T00:00:00"/>
        <d v="1963-09-28T00:00:00"/>
        <d v="1951-12-11T00:00:00"/>
        <d v="1934-12-24T00:00:00"/>
        <d v="1956-02-03T00:00:00"/>
        <d v="1960-12-07T00:00:00"/>
        <d v="1942-03-10T00:00:00"/>
        <d v="1960-08-28T00:00:00"/>
        <d v="2020-12-14T00:00:00"/>
        <d v="2003-04-13T00:00:00"/>
        <d v="1944-10-08T00:00:00"/>
        <d v="1974-03-02T00:00:00"/>
        <d v="1943-11-15T00:00:00"/>
        <d v="1950-01-22T00:00:00"/>
        <d v="1974-05-02T00:00:00"/>
        <d v="1952-01-14T00:00:00"/>
        <d v="2016-08-12T00:00:00"/>
        <d v="1956-06-24T00:00:00"/>
        <d v="1965-02-21T00:00:00"/>
        <d v="2018-09-17T00:00:00"/>
        <d v="2016-12-16T00:00:00"/>
        <d v="1952-02-28T00:00:00"/>
        <d v="1941-12-11T00:00:00"/>
        <d v="1943-07-16T00:00:00"/>
        <d v="1979-09-29T00:00:00"/>
        <d v="1977-12-23T00:00:00"/>
        <d v="2011-08-28T00:00:00"/>
        <d v="2021-03-12T00:00:00"/>
        <d v="1933-01-14T00:00:00"/>
        <d v="1949-12-14T00:00:00"/>
        <d v="1966-04-11T00:00:00"/>
        <d v="2016-12-12T00:00:00"/>
        <d v="2020-01-02T00:00:00"/>
        <d v="2014-06-10T00:00:00"/>
        <d v="1951-03-05T00:00:00"/>
        <d v="2019-08-05T00:00:00"/>
        <d v="1958-10-08T00:00:00"/>
        <d v="1992-01-10T00:00:00"/>
        <d v="1935-03-03T00:00:00"/>
        <d v="2008-01-02T00:00:00"/>
        <d v="1971-01-01T00:00:00"/>
        <d v="1935-06-05T00:00:00"/>
        <d v="1948-03-06T00:00:00"/>
        <d v="2003-12-15T00:00:00"/>
        <d v="1935-02-24T00:00:00"/>
        <d v="1963-10-31T00:00:00"/>
        <d v="1938-10-12T00:00:00"/>
        <d v="2013-05-31T00:00:00"/>
        <d v="1938-07-01T00:00:00"/>
        <d v="2012-05-05T00:00:00"/>
        <d v="2008-04-03T00:00:00"/>
        <d v="2018-04-10T00:00:00"/>
        <d v="1949-05-05T00:00:00"/>
        <d v="2010-11-12T00:00:00"/>
        <d v="1941-12-21T00:00:00"/>
        <d v="1956-10-11T00:00:00"/>
        <d v="2021-03-13T00:00:00"/>
        <d v="1969-10-15T00:00:00"/>
        <d v="1939-10-26T00:00:00"/>
        <d v="2015-11-29T00:00:00"/>
        <d v="2003-09-23T00:00:00"/>
        <d v="1964-01-21T00:00:00"/>
        <d v="1972-10-24T00:00:00"/>
        <d v="1959-04-04T00:00:00"/>
        <d v="2020-05-27T00:00:00"/>
        <d v="2010-01-24T00:00:00"/>
        <d v="2005-10-27T00:00:00"/>
        <d v="1972-07-18T00:00:00"/>
        <d v="1966-06-27T00:00:00"/>
        <d v="1942-03-13T00:00:00"/>
        <d v="1979-07-27T00:00:00"/>
        <d v="2021-04-30T00:00:00"/>
        <d v="1930-09-10T00:00:00"/>
        <d v="1942-07-04T00:00:00"/>
        <d v="2017-09-08T00:00:00"/>
        <d v="1942-01-29T00:00:00"/>
        <d v="2020-03-15T00:00:00"/>
        <d v="2013-06-02T00:00:00"/>
        <d v="2019-06-27T00:00:00"/>
        <d v="2020-05-22T00:00:00"/>
        <d v="2020-04-28T00:00:00"/>
        <d v="2008-04-13T00:00:00"/>
        <d v="1959-12-14T00:00:00"/>
        <d v="2011-02-21T00:00:00"/>
        <d v="2012-02-17T00:00:00"/>
        <d v="2020-11-10T00:00:00"/>
        <d v="1945-11-16T00:00:00"/>
        <d v="2016-09-20T00:00:00"/>
        <d v="1953-08-20T00:00:00"/>
        <d v="1956-03-08T00:00:00"/>
        <d v="1972-05-23T00:00:00"/>
        <d v="1940-02-04T00:00:00"/>
        <d v="1971-11-12T00:00:00"/>
        <d v="1964-01-08T00:00:00"/>
        <d v="2009-04-27T00:00:00"/>
        <d v="1954-01-22T00:00:00"/>
        <d v="1965-12-18T00:00:00"/>
        <d v="1936-07-13T00:00:00"/>
        <d v="1958-02-13T00:00:00"/>
        <d v="2006-11-18T00:00:00"/>
        <d v="1957-02-21T00:00:00"/>
        <d v="2021-04-13T00:00:00"/>
        <d v="1963-03-08T00:00:00"/>
        <d v="2006-12-08T00:00:00"/>
        <d v="1938-08-22T00:00:00"/>
        <d v="2007-12-27T00:00:00"/>
        <d v="1958-04-25T00:00:00"/>
        <d v="1948-12-02T00:00:00"/>
        <d v="1947-03-18T00:00:00"/>
        <d v="1958-12-05T00:00:00"/>
        <d v="1963-12-17T00:00:00"/>
        <d v="2015-09-14T00:00:00"/>
        <d v="1946-06-26T00:00:00"/>
        <d v="2007-08-24T00:00:00"/>
        <d v="1996-06-18T00:00:00"/>
        <d v="1963-01-20T00:00:00"/>
        <d v="2016-04-20T00:00:00"/>
        <d v="1962-03-06T00:00:00"/>
        <d v="2020-07-02T00:00:00"/>
        <d v="1941-04-16T00:00:00"/>
        <d v="1934-01-06T00:00:00"/>
        <d v="1944-10-24T00:00:00"/>
        <d v="1963-03-15T00:00:00"/>
        <d v="2006-09-28T00:00:00"/>
        <d v="1962-01-17T00:00:00"/>
        <d v="2007-02-17T00:00:00"/>
        <d v="2020-10-22T00:00:00"/>
        <d v="1944-03-18T00:00:00"/>
        <d v="1940-03-05T00:00:00"/>
        <d v="1959-11-08T00:00:00"/>
        <d v="2008-11-23T00:00:00"/>
        <d v="1935-11-19T00:00:00"/>
        <d v="1965-05-08T00:00:00"/>
        <d v="1963-08-24T00:00:00"/>
        <d v="1952-04-24T00:00:00"/>
        <d v="1968-09-25T00:00:00"/>
        <d v="1932-06-24T00:00:00"/>
        <d v="1938-08-02T00:00:00"/>
        <d v="2005-11-17T00:00:00"/>
        <d v="1958-07-12T00:00:00"/>
        <d v="1950-06-23T00:00:00"/>
        <d v="2020-11-04T00:00:00"/>
        <d v="1956-10-17T00:00:00"/>
        <d v="2020-06-16T00:00:00"/>
        <d v="1946-06-16T00:00:00"/>
        <d v="1960-04-21T00:00:00"/>
        <d v="2012-11-23T00:00:00"/>
        <d v="1989-12-24T00:00:00"/>
        <d v="1960-09-26T00:00:00"/>
        <d v="1976-06-28T00:00:00"/>
        <d v="1956-11-24T00:00:00"/>
        <d v="1969-07-05T00:00:00"/>
        <d v="1959-01-04T00:00:00"/>
        <d v="2007-02-01T00:00:00"/>
        <d v="2009-09-14T00:00:00"/>
        <d v="2006-02-03T00:00:00"/>
        <d v="1942-02-16T00:00:00"/>
        <d v="2008-09-09T00:00:00"/>
        <d v="1959-01-07T00:00:00"/>
        <d v="2021-01-29T00:00:00"/>
        <d v="1958-08-16T00:00:00"/>
        <d v="1986-03-27T00:00:00"/>
        <d v="2019-05-15T00:00:00"/>
        <d v="1943-04-02T00:00:00"/>
        <d v="1980-11-29T00:00:00"/>
        <d v="1958-01-11T00:00:00"/>
        <d v="1971-10-04T00:00:00"/>
        <d v="1951-08-22T00:00:00"/>
        <d v="1939-01-15T00:00:00"/>
        <d v="1979-05-08T00:00:00"/>
        <d v="1953-05-08T00:00:00"/>
        <d v="1961-01-14T00:00:00"/>
        <d v="1959-09-04T00:00:00"/>
        <d v="1946-03-05T00:00:00"/>
        <d v="1949-07-01T00:00:00"/>
        <d v="1944-04-26T00:00:00"/>
        <d v="1936-12-31T00:00:00"/>
        <d v="1965-06-12T00:00:00"/>
        <d v="1961-07-13T00:00:00"/>
        <d v="1947-07-21T00:00:00"/>
        <d v="1956-06-17T00:00:00"/>
        <d v="1965-08-17T00:00:00"/>
        <d v="1955-09-22T00:00:00"/>
        <d v="1947-09-20T00:00:00"/>
        <d v="1967-11-06T00:00:00"/>
        <d v="1958-09-30T00:00:00"/>
        <d v="1949-07-16T00:00:00"/>
        <d v="1958-10-22T00:00:00"/>
        <d v="1958-03-25T00:00:00"/>
        <d v="1950-07-18T00:00:00"/>
        <d v="1970-07-14T00:00:00"/>
        <d v="1945-11-10T00:00:00"/>
        <d v="1956-06-15T00:00:00"/>
        <d v="1955-05-09T00:00:00"/>
        <d v="1948-02-04T00:00:00"/>
        <d v="1951-10-20T00:00:00"/>
        <d v="1940-08-27T00:00:00"/>
        <d v="1978-08-21T00:00:00"/>
        <d v="1946-11-03T00:00:00"/>
        <d v="1965-08-11T00:00:00"/>
        <d v="1971-05-10T00:00:00"/>
        <d v="1957-08-08T00:00:00"/>
        <d v="1960-02-05T00:00:00"/>
        <d v="1933-08-28T00:00:00"/>
        <d v="1963-11-08T00:00:00"/>
        <d v="1935-10-28T00:00:00"/>
        <d v="1950-06-14T00:00:00"/>
        <d v="1945-06-03T00:00:00"/>
        <d v="1933-04-17T00:00:00"/>
      </sharedItems>
    </cacheField>
    <cacheField name="Apuntado" numFmtId="0">
      <sharedItems containsBlank="1" containsMixedTypes="1" containsNumber="1" containsInteger="1" minValue="9040010010385090" maxValue="9040010010385090"/>
    </cacheField>
    <cacheField name="Examen" numFmtId="0">
      <sharedItems containsBlank="1"/>
    </cacheField>
    <cacheField name="Nombre completo" numFmtId="0">
      <sharedItems containsBlank="1" count="384">
        <s v="Calvo Gomez,Jose"/>
        <s v="Gomez Piqueras,Maria Maximina"/>
        <s v="Rogers ,Robert Janes"/>
        <s v="Ruano Monterde,Maria del Mar"/>
        <s v="Zabaleta Vilar,Francisco Javier"/>
        <s v="Chaparro Calleja,Antonio Luis"/>
        <s v="Beltran Arribas,M Teresa"/>
        <s v="Alcalde Argente,Maria Cristina"/>
        <s v="Chobanyan ,Hranush"/>
        <s v="Roca Julve,David"/>
        <s v="Robla Segovia,Francisco"/>
        <s v="Gallardo Ruiz,Augustin"/>
        <s v="Lopez Moreno,Miguel"/>
        <s v="Selva Agullo,Jaime"/>
        <s v="Perez Casado,Ricard Vicent"/>
        <s v="Belda Vidal,Jose Enrique"/>
        <s v="Garrido Martinez,Juan Vicente"/>
        <s v="Sanchez Ramirez,Jose Luis"/>
        <s v="Alvarez Murgui,Salvador"/>
        <s v="Dybizbanski ,Gabriele"/>
        <s v="Muria Biosca,Jose"/>
        <s v="Castro Contreras,Maria Elena"/>
        <s v="Benedicto  Tena,Cristobal"/>
        <s v="Hernandez Diaz,Beatriz"/>
        <s v="Esteban  Gimenez,Francisco Javier"/>
        <s v="Sapiña Fuertes,Vicente"/>
        <s v="Sarmiento Valenzuela,David"/>
        <s v="Soria Crespo,Manuel Damian"/>
        <s v="Montoliu Brisach,Joaquin Vte"/>
        <s v="Lucan ,Maria"/>
        <s v="Arroyo Gonzalez,Manuel"/>
        <s v="Pozo del Jerico ,Juan"/>
        <s v="Esteban Gimenez,Francisco Javier"/>
        <s v="Marti Moya,Bautista"/>
        <s v="Cortes Marques,Jorge"/>
        <s v="Huesca Castello,Pascual"/>
        <s v="Mico Benaches,Maria Vicenta"/>
        <s v="Iznardo Olivert,M Carmen"/>
        <s v="Alcalde Argente,M Cristina"/>
        <s v="Navarro Anton,Elena"/>
        <s v="Moron Ruano,Joaquín"/>
        <s v="Ros García,Francisco Juan"/>
        <s v="Soria Gallego,Azucena"/>
        <s v="Sierra Benavent,Josefa"/>
        <s v="Koppers ,Cornelis Simon Mari"/>
        <s v="Piñero  Domingo,Maria Carmen"/>
        <s v="Mateos Gomez,Francisco"/>
        <s v="Garrido Martínez,Juan Vicente"/>
        <s v="Montoro Latorre,Maria Isabel"/>
        <s v="Acedo Guerra,Mercedes"/>
        <s v="Montero Villanueva,M Carmen"/>
        <s v="Cuevas Ojeda,Francisca"/>
        <s v="Iglesias Garcia,Jose M"/>
        <s v="Garcia Lanzas,Alfonso Javier"/>
        <s v="Navarro Fernandez,Paloma"/>
        <s v="Zazo Cuevas,Francisca"/>
        <s v="Martinez Calvo,Pedro"/>
        <s v="Soriano Calero,Francisco"/>
        <s v="Galvez Guillen,Augustin"/>
        <s v="Vera Martinez,Iris"/>
        <s v="Chirivella Asins,Salvadora"/>
        <s v="Garcia Gimenez,Paz Luisa"/>
        <s v="Romeo Esteban,Emilia"/>
        <s v="Sena Penella,Maria Vicenta"/>
        <s v="Arnal Fentanes,Francisco"/>
        <s v="Alfonso Cuenca,Amparo"/>
        <s v="Aracil Viana,Jose Francisco"/>
        <s v="Safont Escriche,Rosalia"/>
        <s v="Nebot  Giner,Angel"/>
        <s v="Guadas Sanz,Pedro "/>
        <s v="San Bautista Carbonell,Maria Jose"/>
        <s v="Adria Peiro,Antonia"/>
        <s v="Montes Martinez,Eloina"/>
        <s v="Olmos Cabanes,Rafael Miguel"/>
        <s v="Martinez Romero,Manuela"/>
        <s v="Planells Andreu,Evaristo"/>
        <s v="Bernat Sanchez,Isabel"/>
        <s v="Gil Andres,Rafael Antonio"/>
        <s v="Torrijo Melendez,Carmen"/>
        <s v="Arilla Agorriz,Elias"/>
        <s v="Nebot Blasco,Jose Vicente"/>
        <s v="Flores Martinez,Jose Luis"/>
        <s v="Garcia Mora,Eduardo "/>
        <s v="Amber  Martínez,Josefina"/>
        <s v="Yeste Gomez,M Blanca"/>
        <s v="Fernandez Sarralde,Juan Antonio"/>
        <s v="Santafe Galindo,Ramiro"/>
        <s v="Nebot  Blanco,Jose Vicente"/>
        <s v="Barbera  Ibañez,Valeriano"/>
        <s v="Giner Ortega,Francisca"/>
        <s v="Suñer Hostalot,Pilar"/>
        <s v="Garcia  Martinez,Aurelio"/>
        <s v="Moyano Palenzuela,Lucia"/>
        <s v="Ormad Pina,Patricia"/>
        <s v="Graupner Cligny,Josiane annick"/>
        <s v="Lozano Martinez,Pilar"/>
        <s v="Kharla ,Dmytro"/>
        <s v="Paixa Trulla,Javier"/>
        <s v="Garcia Gonzales,Oscar"/>
        <s v="Bosch  Gail,Ruben"/>
        <s v="Rebolledo Tudela,Juan"/>
        <s v="Bañuls Marco,Rafael"/>
        <s v="Mateu Tarin,Carmen"/>
        <s v="Parra Benitez,Francisco Manuel"/>
        <s v="Ruiz Barrachina,Amparo"/>
        <s v="Garcia Alemany,Javier"/>
        <s v="Parrizas Collado,Jose Manuel"/>
        <s v="Soler Benitez,Francisco"/>
        <s v="Gozalvez Tormo,Iluminada"/>
        <s v="Torres Lopez,Magdalena"/>
        <s v="Priego Panadero,Maria"/>
        <s v="Cuenca Moya,Francisco Manuel"/>
        <s v="Guirao Roncero,Juan"/>
        <s v="Garcia Martinez,Ascension"/>
        <m/>
        <s v="Hernández López,Vicente Rafael"/>
        <s v="Lluesma Garcia,Florencio"/>
        <s v="Fernandez Bautista,Andres"/>
        <s v="Mateo Velazquez,Jose"/>
        <s v="Zacares Real,Mª Amparo"/>
        <s v="Lozano Ruiz,Miguel Ángel"/>
        <s v="San Esteban Perez,Fernando"/>
        <s v="Costa Blanch,Francisco Antonio"/>
        <s v="Parrizas Collado,José Manuel"/>
        <s v="Miranda Castro,Andres Mauricio"/>
        <s v="Pinter Pla,Victoria"/>
        <s v="Ruiz Villar,Antonio"/>
        <s v="Martí Ros,Amparo"/>
        <s v="Gonzalez Romero,Antonio"/>
        <s v="Veliz Cadena,Marlon Omar"/>
        <s v="Zamora Herraiz,Primitivo"/>
        <s v="Iranzo Ibáñez,Francisco"/>
        <s v="Carmona García,Paloma"/>
        <s v="Ruiz Garrido,Encarnación"/>
        <s v="Gimenez Salazar,José"/>
        <s v="Zalve Plaza,M Imperio"/>
        <s v="Tarrazona Chover,Joaquín"/>
        <s v="Yahaya ,Khairullamirin Bin"/>
        <s v="Llombart Bosch,Manuel"/>
        <s v="Bellver Bellver,Francisco"/>
        <s v="Belenguer Díaz,Francisco"/>
        <s v="Escrivá Faus,José Ramón"/>
        <s v="Garrido Garrido,Vicente"/>
        <s v="Marquez Heredia,Tonet"/>
        <s v="Cano Jiménez,José"/>
        <s v="Ortega Sánchez,Juan Fran"/>
        <s v="Sastre Bay,Juan Carlos"/>
        <s v="Gomez Zambrana,Hugo"/>
        <s v="García Peñalver,Jana"/>
        <s v="Morales Gómez,Miguel"/>
        <s v="Quesada Ruano,Ana"/>
        <s v="Balaguer Roig,Rosa María"/>
        <s v="Gorostola Covelo,Miguel Ángel"/>
        <s v="Sánchez Ferrer,Santiago"/>
        <s v="Corchado Martínez,Andreu"/>
        <s v="Rodilla Sánchez,Carmen"/>
        <s v="Ibáñez Ibáñez,Vicente"/>
        <s v="Zafra Carrascosa,Josefa"/>
        <s v="Ases Gil,M Dolores Remedios"/>
        <s v="Pardo Bernes,Mª José"/>
        <s v="Jodar Navarro,Luis"/>
        <s v="Davalillo Simó,Alicia"/>
        <s v="Zhu ,David Weimin"/>
        <s v="Zamora Campillo,Noelia"/>
        <s v="Lacruz Gómez,José"/>
        <s v="Fernández Ávila,Luisa"/>
        <s v="Garrigues Garrigues,Inmaculada"/>
        <s v="Basterra Montserrat,Samuel"/>
        <s v="Coll Hilario,Maria Carmen"/>
        <s v="Bosch Bueno,Alfredo Manuel"/>
        <s v="Bosch Giménez,Antonio José"/>
        <s v="García Roger,José Miguel"/>
        <s v="Alabajos Hernández,Sofía"/>
        <s v="Domínguez Vilar,Carles"/>
        <s v="Cantero Sanchez,Alfonso"/>
        <s v="Martínez Sánchez,José Vicente"/>
        <s v="Redondo Ibáñez,Pedro"/>
        <s v="Dehond ,Hans Agustinus B"/>
        <s v="Serrador Alba,Armando"/>
        <s v="Sanchez Plumed,Antonia"/>
        <s v="Sánchez Cortés,Jaime"/>
        <s v="Díaz Monedero,Fernando"/>
        <s v="Sahakyan Sahakyan,Grigor"/>
        <s v="Bernal Pacheco,Luis"/>
        <s v="Omary ,Rayan"/>
        <s v="Samper Conca,Josep"/>
        <s v="Fernández Montalva,Carlos"/>
        <s v="Gutiérrez Duero,Antonio"/>
        <s v="Frau Segarra,Carmen"/>
        <s v="Rosa García,Cristian"/>
        <s v="Morell Capellino,José "/>
        <s v="Gavrilas ,Alin Constantin"/>
        <s v="Calvo Barber,Annelise"/>
        <s v="Sepúlveda Boix,Amparo"/>
        <s v="Moscardo Ignacio,Fernando"/>
        <s v="Vizcaya Ebuka,Marcelino"/>
        <s v="Izquierdo Lluch,Malena"/>
        <s v="López Yuste,Thiago"/>
        <s v="Kassouad ,Yasmine"/>
        <s v="Martínez Calderón,Julia Caridad"/>
        <s v="Falah ,Reda"/>
        <s v="Morcillo Mora,Miguel Ángel"/>
        <s v="Charfaoui ,Sofiane"/>
        <s v="Notario Ballesteros,Julián"/>
        <s v="Goterris Triguero,Adrián"/>
        <s v="Monar Van Vliet,Juana Andrea"/>
        <s v="Beltrán Arribas,Mª Teresa"/>
        <s v="Osuna Degracia,José"/>
        <s v="Calaforra Brisa,José Luis"/>
        <s v="Rowland Molina,Elizabeth"/>
        <s v="Zaragoza Navarro,María"/>
        <s v="Castillero Ángel,Jacinto"/>
        <s v="Dueñas López,Francisco"/>
        <s v="Lahuerta Lozano,Luis"/>
        <s v="Aliaga Bea,Mª Pilar"/>
        <s v="Torres Carrillo,Manuel"/>
        <s v="Amiryan Peña,Sara"/>
        <s v="Rico Blasco,Marc"/>
        <s v="Berenguer Manzanera,Paula"/>
        <s v="Mila Piro,Manuel"/>
        <s v="Martínez Rodríguez,José"/>
        <s v="Viña Gonzalez,María"/>
        <s v="Blasco  López,Francisco"/>
        <s v="Guzman Province,Ayun"/>
        <s v="Hernández Villar,Juana María"/>
        <s v="Martínez Alberto,Carmen"/>
        <s v="Abbas ,Zamma"/>
        <s v="Calderón Herás,Zaira"/>
        <s v="Abad Isla,Azucena"/>
        <s v="Hlioui ,Hamid"/>
        <s v="Castro Pagán,Claudio"/>
        <s v="Ndumu Nseng,Cristina"/>
        <s v="Gil Toboso,Silvia"/>
        <s v="Llopis Donaire,Francisco José"/>
        <s v="Sanchis Navarro,Jaime"/>
        <s v="Iranzo Anguis,David"/>
        <s v="Alós Salcedo,Carmen"/>
        <s v="Santamaria Biot,José"/>
        <s v="Duval Montoya,Jaqueline"/>
        <s v="Greus Gil,Enrique"/>
        <s v="Molina Pavón,Alejandro"/>
        <s v="Palomares Calero,Alex"/>
        <s v="Hussain ,Rumi"/>
        <s v="Krasnoruzhskikh Sola,Zoe"/>
        <s v="Sebastiá Martínez,Alba"/>
        <s v="Giner Parra,Alba"/>
        <s v="Ferrus Gonzalez,Laia"/>
        <s v="Constinuc ,David Constanti"/>
        <s v="Gómez Zambrano,Hugo"/>
        <s v="Chust Piquer,Isabel"/>
        <s v="Cantos Mendoza,Rubén"/>
        <s v="Peinado Castillejos,David"/>
        <s v="Ciochina ,Maya Paulina"/>
        <s v="Burriel Ballester,Herminio"/>
        <s v="Gómez Poles,María"/>
        <s v="Estruch Estruch,Ricardo"/>
        <s v="García Calabuig,Eliduvina"/>
        <s v="Lamallem ,Jamil"/>
        <s v="Alberto Saiz,Pilar"/>
        <s v="Catalán Pérez,Mónica"/>
        <s v="Peiró Navarrete,Cándido"/>
        <s v="Arteaga Piedrahita,Dylan Adriy"/>
        <s v="Muñoz Fernández,Francisco"/>
        <s v="Fernández Bermúdez,Bienvenido"/>
        <s v="Sendín Guerrero,José"/>
        <s v="Valverde Quevedo,Manuel"/>
        <s v="Núñez Ortiz,Rosa"/>
        <s v="Conde Conde,Miguel Francisco"/>
        <s v="Pons Pous,Noa"/>
        <s v="Fernando Llorca,Consuelo"/>
        <s v="Mancebo Matos,Junior"/>
        <s v="Lacomba Albalate,José"/>
        <s v="López Pardo,Lidia"/>
        <s v="Frías Benito,Juan"/>
        <s v="Felix Fontestad,Jesús"/>
        <s v="Sarrión Benito,Regina"/>
        <s v="Khoshbekyan ,Poghos"/>
        <s v="Cisne del Isaac,Jesús"/>
        <s v="García Oller,Hugo"/>
        <s v="Juan Verdú,Luis"/>
        <s v="Hurtado Pamies,Ainara"/>
        <s v="Rodríguez Hernández,Edgar"/>
        <s v="Vera Domínguez,Manuel"/>
        <s v="López Sánchez,Emma"/>
        <s v="Mariño San Martín,Maximino Andrés"/>
        <s v="Esteve Nevado,Lucía"/>
        <s v="Gerona Torregrosa,Guillermo"/>
        <s v="Muñoz Hernández,Manuela"/>
        <s v="Fuster Tarrazo,Rosa María"/>
        <s v="Del Pueblo Nieto,Josefa"/>
        <s v="Morralla Dols,Sonia"/>
        <s v="Peñarrocha Piqueras,Marcos Antonio"/>
        <s v="Mata Garrido,Marta"/>
        <s v="Pedrón Caballero,Ángela"/>
        <s v="Navarro Palanca,Vicenta"/>
        <s v="Herrada Perona,Honorio"/>
        <s v="García-Uceda Ruiz-Orejón,José"/>
        <s v="Prieto Bonora,Víctor"/>
        <s v="Argente Gomis,Juan"/>
        <s v="Navalón Defez,Javier"/>
        <s v="Oliva Moresi,Lorenzo"/>
        <s v="Rochina Herradón,Antonio"/>
        <s v="Ortiz Robles,Javier"/>
        <s v="Natividad Gallego,Andrés"/>
        <s v="Puchalt Rambla,Juan José"/>
        <s v="Matute Tobias,Luis Javier"/>
        <s v="Tormo Albert,Rafael"/>
        <s v="Boles Fernández,Alanna"/>
        <s v="García  Martí,Rafael"/>
        <s v="Navarro Baixauli,Juan"/>
        <s v="Waqas ,Hoolain Fatima"/>
        <s v="Astilleros Jiménez,Jacinto"/>
        <s v="Cobo Fernández,Iván"/>
        <s v="Casas Pérez,Gregorio"/>
        <s v="Delgado Jiménez,Javier"/>
        <s v="Quintero Acosta,Miguel Ángel"/>
        <s v="Villena Abadia,Mario"/>
        <s v="Jiménez  Gómez,Noel"/>
        <s v="Ortell Renau,Miguel"/>
        <s v="Camargo Monasterio,Marilin"/>
        <s v="Cuenca Puchalt,José Antonio"/>
        <s v="Donat Canet,Rafael "/>
        <s v="Blasco  Calatayud,Josefa"/>
        <s v="Jiménez  Ramos,Henderson Edin"/>
        <s v="Lozano Ramos,Miguel Ángel"/>
        <s v="Pérez Jiménez,Meritxell"/>
        <s v="Pazmiño Manchón,Aaron Javier"/>
        <s v="Castro Soler,Rafael "/>
        <s v="Cruz Bermell,Ángela"/>
        <s v="Hueso  Borrego,Manuela"/>
        <s v="Tortosa Hernández,Andreu"/>
        <s v="Duro  Moreno,Ramón"/>
        <s v="Paraschiv ,Mihaela Florentina"/>
        <s v="Saiz Amorós,Francis"/>
        <s v="Vicent Roig,Elvira"/>
        <s v="Jiménez  Navarro,Milagros"/>
        <s v="Cervera Ruiz,Antonio"/>
        <s v="Peiró Feliu,Amadeo"/>
        <s v="Sánchez Castillo,José"/>
        <s v="Galarza Perelló,María Dolores"/>
        <s v="Reina Pérez,Carlos"/>
        <s v="Garrigues Langa,Juan"/>
        <s v="Vercher Montañana,Ramón"/>
        <s v="Torres Oliver,Vicente"/>
        <s v="Gamiz Fos,M Carmen"/>
        <s v="Fernández Serrano,Juan Pedro"/>
        <s v="Campos Rogel,Basilio"/>
        <s v="Orallo Álvarez,Florentina"/>
        <s v="Soler Juan,Joaquín"/>
        <s v="Fengying ,Zheng"/>
        <s v="Gonzalez Climent,Javier"/>
        <s v="Villar Marín,José"/>
        <s v="Arocha Mejías,Caridad María"/>
        <s v="Llanes Tolosa,Ramón"/>
        <s v="Torregrosa Valero,Diego"/>
        <s v="Pastor Sánchez,Pascual"/>
        <s v="Andreu Soñer,Paloma"/>
        <s v="Vidal Morant,Ángel Salvador"/>
        <s v="Botella Crespo,José Manuel"/>
        <s v="Ballester Noguera,José Vicente"/>
        <s v="Gallego Hernández,Salvador"/>
        <s v="Álvarez Ruiz,José"/>
        <s v="Nadal Torralbo,David"/>
        <s v="Arroyo Porta,Adela"/>
        <s v="Murciano Rodilla,Herlinda"/>
        <s v="Timoner Domingo,Pedro Enrique"/>
        <s v="Calero Serrano,Catalina"/>
        <s v="Pardo Serrano,M Carmen"/>
        <s v="Martínez Soriano,Carmen"/>
        <s v="Mitkov Rusev,Plamen"/>
        <s v="Martínez Ibáñez,Valentín"/>
        <s v="Calvo Gómez,José"/>
        <s v="Verdejo Matrínez,José Manuel"/>
        <s v="Urbán García,Alejandro"/>
        <s v="Collado Rodríguez,José Vicente"/>
        <s v="Punzano Egea,Felipe"/>
        <s v="Cano Esteban,Juana"/>
        <s v="Palanca Pascual,Francisco"/>
        <s v="Patiño Nieto,Donato"/>
        <s v="Piorno Pérez,Ángel"/>
        <s v="Cebriá  Gamón,Vicente"/>
        <s v="Cocera Martínez,Rogelio"/>
        <s v="Torregrosa Valero,M Carmen"/>
        <s v=" ,"/>
      </sharedItems>
    </cacheField>
    <cacheField name="Mes" numFmtId="0">
      <sharedItems containsString="0" containsBlank="1" containsNumber="1" containsInteger="1" minValue="1" maxValue="12"/>
    </cacheField>
    <cacheField name="Año" numFmtId="0">
      <sharedItems containsString="0" containsBlank="1" containsNumber="1" containsInteger="1" minValue="2018" maxValue="2021"/>
    </cacheField>
    <cacheField name="Equipo" numFmtId="0">
      <sharedItems containsBlank="1"/>
    </cacheField>
  </cacheFields>
  <extLst>
    <ext xmlns:x14="http://schemas.microsoft.com/office/spreadsheetml/2009/9/main" uri="{725AE2AE-9491-48be-B2B4-4EB974FC3084}">
      <x14:pivotCacheDefinition pivotCacheId="3"/>
    </ext>
  </extLst>
</pivotCacheDefinition>
</file>

<file path=xl/pivotCache/pivotCacheDefinition5.xml><?xml version="1.0" encoding="utf-8"?>
<pivotCacheDefinition xmlns="http://schemas.openxmlformats.org/spreadsheetml/2006/main" xmlns:r="http://schemas.openxmlformats.org/officeDocument/2006/relationships" r:id="rId1" refreshOnLoad="1" refreshedBy="JULIEN ALCAIDE" refreshedDate="44810.563629745368" createdVersion="4" refreshedVersion="4" minRefreshableVersion="3" recordCount="2429">
  <cacheSource type="worksheet">
    <worksheetSource ref="D8:V2437" sheet="Datos" r:id="rId2"/>
  </cacheSource>
  <cacheFields count="19">
    <cacheField name="Apellido 1" numFmtId="0">
      <sharedItems containsBlank="1"/>
    </cacheField>
    <cacheField name="Apellido 2" numFmtId="0">
      <sharedItems containsBlank="1"/>
    </cacheField>
    <cacheField name="Nombre" numFmtId="0">
      <sharedItems containsBlank="1"/>
    </cacheField>
    <cacheField name="SIP" numFmtId="0">
      <sharedItems containsString="0" containsBlank="1" containsNumber="1" containsInteger="1" minValue="15513" maxValue="37916294" count="1950">
        <n v="4245699"/>
        <n v="2932082"/>
        <n v="2932156"/>
        <n v="4724594"/>
        <n v="3256868"/>
        <n v="1987869"/>
        <n v="3194477"/>
        <n v="3130505"/>
        <n v="2334536"/>
        <n v="2484685"/>
        <n v="2983985"/>
        <n v="1698821"/>
        <n v="1862484"/>
        <n v="2910430"/>
        <n v="1858960"/>
        <n v="1276398"/>
        <n v="3481236"/>
        <n v="2357868"/>
        <n v="3065170"/>
        <n v="146669"/>
        <n v="2398262"/>
        <n v="264626"/>
        <n v="6230481"/>
        <n v="248481"/>
        <n v="3273662"/>
        <n v="2608848"/>
        <n v="1755575"/>
        <n v="2908045"/>
        <n v="3189874"/>
        <n v="4664774"/>
        <n v="3116475"/>
        <n v="4484462"/>
        <n v="93062"/>
        <n v="4023574"/>
        <n v="3190819"/>
        <n v="2316361"/>
        <n v="1900685"/>
        <n v="12557556"/>
        <n v="3395822"/>
        <n v="12301367"/>
        <n v="3386511"/>
        <n v="2401168"/>
        <n v="2530715"/>
        <n v="3208027"/>
        <n v="2516454"/>
        <n v="2616513"/>
        <n v="42108"/>
        <n v="339746"/>
        <n v="3479017"/>
        <n v="2281733"/>
        <n v="4715136"/>
        <n v="7120820"/>
        <n v="4343935"/>
        <n v="12615325"/>
        <n v="6733815"/>
        <n v="12097962"/>
        <n v="13064638"/>
        <n v="2418238"/>
        <n v="7507480"/>
        <n v="1867828"/>
        <n v="196981"/>
        <n v="3824620"/>
        <n v="2878193"/>
        <n v="6203670"/>
        <n v="7900199"/>
        <n v="6700426"/>
        <n v="116680"/>
        <n v="4726973"/>
        <n v="7253924"/>
        <n v="1819791"/>
        <n v="12710458"/>
        <n v="10434097"/>
        <n v="2343053"/>
        <n v="4976109"/>
        <n v="11132642"/>
        <n v="12925178"/>
        <n v="2861579"/>
        <n v="5350920"/>
        <n v="13027262"/>
        <n v="3720067"/>
        <n v="2874613"/>
        <n v="323546"/>
        <n v="3701013"/>
        <n v="5152251"/>
        <n v="3296336"/>
        <n v="12246972"/>
        <n v="3342662"/>
        <n v="3847337"/>
        <n v="3760411"/>
        <n v="3152027"/>
        <n v="7577641"/>
        <n v="3328651"/>
        <n v="2309838"/>
        <n v="3370441"/>
        <n v="3028955"/>
        <n v="13020054"/>
        <n v="6704909"/>
        <n v="6557380"/>
        <n v="3264182"/>
        <n v="1847325"/>
        <n v="3122982"/>
        <n v="805641"/>
        <n v="3042189"/>
        <n v="12930459"/>
        <n v="2881585"/>
        <n v="11575960"/>
        <n v="12223156"/>
        <n v="3604125"/>
        <n v="7014360"/>
        <n v="6842969"/>
        <n v="11396648"/>
        <n v="2925628"/>
        <n v="3498767"/>
        <n v="2290059"/>
        <n v="4271173"/>
        <n v="12851181"/>
        <n v="7164364"/>
        <n v="2803018"/>
        <n v="221667"/>
        <n v="13106653"/>
        <n v="6617691"/>
        <n v="2409224"/>
        <n v="1006232"/>
        <n v="1213680"/>
        <n v="244541"/>
        <n v="2272024"/>
        <n v="2987571"/>
        <n v="2949196"/>
        <n v="3745640"/>
        <n v="12872007"/>
        <n v="6771491"/>
        <n v="3329365"/>
        <n v="1244519"/>
        <n v="3510329"/>
        <n v="245828"/>
        <n v="11757112"/>
        <n v="3523973"/>
        <n v="9650615"/>
        <n v="13030412"/>
        <n v="8482529"/>
        <n v="6670344"/>
        <n v="7263099"/>
        <n v="8062522"/>
        <n v="1290954"/>
        <n v="12648248"/>
        <n v="10593147"/>
        <n v="1857041"/>
        <n v="12899269"/>
        <n v="12053479"/>
        <n v="3687383"/>
        <n v="110067"/>
        <n v="13117302"/>
        <n v="2527533"/>
        <n v="6279763"/>
        <n v="2453990"/>
        <n v="2993897"/>
        <n v="6078001"/>
        <n v="7985797"/>
        <n v="13109284"/>
        <n v="3070452"/>
        <n v="5490018"/>
        <n v="4774482"/>
        <n v="3329353"/>
        <n v="1854528"/>
        <n v="11466787"/>
        <n v="2809006"/>
        <n v="13091286"/>
        <n v="2269932"/>
        <n v="8315081"/>
        <n v="2860214"/>
        <n v="7262150"/>
        <n v="12233971"/>
        <n v="9843947"/>
        <n v="2711030"/>
        <n v="4348465"/>
        <n v="2960626"/>
        <n v="10591565"/>
        <n v="2215136"/>
        <n v="5393586"/>
        <n v="2157186"/>
        <n v="2810676"/>
        <n v="2309540"/>
        <n v="120012"/>
        <n v="3469956"/>
        <n v="4703316"/>
        <n v="7168260"/>
        <n v="10168600"/>
        <n v="2868174"/>
        <n v="10917790"/>
        <n v="3178515"/>
        <n v="2902203"/>
        <n v="12448683"/>
        <n v="11810950"/>
        <n v="2914618"/>
        <n v="3402217"/>
        <n v="1906942"/>
        <n v="3206214"/>
        <n v="13006114"/>
        <n v="3078017"/>
        <n v="321938"/>
        <n v="13090672"/>
        <n v="4783967"/>
        <n v="11132037"/>
        <n v="11810986"/>
        <n v="3122083"/>
        <n v="12455947"/>
        <n v="1859653"/>
        <n v="11705090"/>
        <n v="12675675"/>
        <n v="2182282"/>
        <n v="12913420"/>
        <n v="2844774"/>
        <n v="5224082"/>
        <n v="2807868"/>
        <n v="2308120"/>
        <n v="2275619"/>
        <n v="89641"/>
        <n v="2406075"/>
        <n v="4667464"/>
        <n v="13045433"/>
        <n v="9450045"/>
        <n v="1094226"/>
        <n v="2395826"/>
        <n v="4724530"/>
        <n v="2032954"/>
        <n v="2965323"/>
        <n v="2911947"/>
        <n v="164032"/>
        <n v="2818175"/>
        <n v="2231754"/>
        <n v="3781436"/>
        <n v="2863463"/>
        <n v="3805063"/>
        <n v="5493247"/>
        <n v="5670105"/>
        <n v="3804137"/>
        <n v="2691987"/>
        <n v="2858016"/>
        <n v="4435994"/>
        <n v="997195"/>
        <n v="3567377"/>
        <n v="13074011"/>
        <n v="1781720"/>
        <n v="12098521"/>
        <n v="3179058"/>
        <n v="1896448"/>
        <n v="242936"/>
        <n v="2203390"/>
        <n v="11450645"/>
        <n v="2036987"/>
        <n v="2036158"/>
        <n v="2409387"/>
        <n v="210073"/>
        <n v="2634637"/>
        <n v="3264857"/>
        <n v="2867240"/>
        <n v="3065592"/>
        <n v="2271653"/>
        <n v="13147895"/>
        <n v="4335475"/>
        <n v="3552115"/>
        <n v="2847917"/>
        <n v="2950417"/>
        <n v="2381654"/>
        <n v="8133802"/>
        <n v="2955837"/>
        <n v="1746391"/>
        <n v="3363411"/>
        <n v="2531319"/>
        <n v="2653819"/>
        <n v="4334183"/>
        <n v="2426762"/>
        <n v="13116229"/>
        <n v="3266794"/>
        <n v="3778362"/>
        <n v="1807351"/>
        <n v="4287856"/>
        <n v="2629910"/>
        <n v="6705671"/>
        <n v="2383416"/>
        <n v="1777454"/>
        <n v="2870387"/>
        <n v="2932035"/>
        <n v="2363476"/>
        <n v="3079957"/>
        <n v="1747027"/>
        <n v="4729042"/>
        <n v="2187892"/>
        <n v="3099120"/>
        <n v="2941137"/>
        <n v="7098294"/>
        <n v="5087098"/>
        <n v="4719539"/>
        <n v="1987904"/>
        <n v="3032297"/>
        <n v="2237430"/>
        <n v="1169290"/>
        <n v="2298109"/>
        <n v="4228641"/>
        <n v="3760816"/>
        <n v="3375940"/>
        <n v="3600230"/>
        <n v="3790078"/>
        <n v="3563590"/>
        <n v="4358774"/>
        <n v="3615004"/>
        <n v="1764197"/>
        <n v="2873539"/>
        <n v="2424312"/>
        <n v="4474563"/>
        <n v="2922695"/>
        <n v="7133238"/>
        <n v="2335001"/>
        <n v="3385524"/>
        <n v="3175410"/>
        <n v="2968897"/>
        <n v="1979326"/>
        <n v="3730388"/>
        <n v="2413881"/>
        <n v="4968541"/>
        <n v="4255760"/>
        <n v="576611"/>
        <n v="2407392"/>
        <n v="2856992"/>
        <n v="3089388"/>
        <n v="2405995"/>
        <n v="11176480"/>
        <n v="159095"/>
        <n v="2352065"/>
        <n v="3893551"/>
        <n v="2862167"/>
        <n v="3366557"/>
        <n v="3170382"/>
        <n v="2824281"/>
        <n v="3734787"/>
        <n v="3249595"/>
        <n v="2291005"/>
        <n v="3148976"/>
        <n v="2538641"/>
        <n v="3169061"/>
        <n v="3748869"/>
        <n v="3737822"/>
        <n v="3187398"/>
        <n v="2832055"/>
        <n v="10497045"/>
        <n v="5401487"/>
        <n v="6445261"/>
        <n v="2242455"/>
        <n v="1867949"/>
        <n v="12237207"/>
        <n v="107024"/>
        <n v="3310331"/>
        <n v="1104155"/>
        <n v="11896938"/>
        <n v="2669276"/>
        <n v="2652081"/>
        <n v="4325434"/>
        <n v="5153607"/>
        <n v="5147897"/>
        <n v="3018034"/>
        <n v="4541070"/>
        <n v="2918980"/>
        <n v="3370639"/>
        <n v="3187920"/>
        <n v="3274770"/>
        <n v="2985376"/>
        <n v="2915230"/>
        <n v="1202114"/>
        <n v="5104679"/>
        <n v="4850717"/>
        <n v="3737671"/>
        <n v="3208928"/>
        <n v="1862886"/>
        <n v="2182963"/>
        <n v="2091946"/>
        <n v="3382854"/>
        <n v="4491529"/>
        <n v="4454331"/>
        <n v="3531880"/>
        <n v="3548944"/>
        <n v="4701606"/>
        <n v="3367738"/>
        <n v="3024535"/>
        <n v="2028244"/>
        <n v="2880427"/>
        <n v="2194961"/>
        <n v="2094221"/>
        <n v="3010031"/>
        <n v="1730275"/>
        <n v="2811489"/>
        <n v="3192620"/>
        <n v="4791096"/>
        <n v="1187767"/>
        <n v="3343147"/>
        <n v="2259742"/>
        <n v="3338047"/>
        <n v="2033811"/>
        <n v="2808675"/>
        <n v="3162681"/>
        <n v="2417856"/>
        <n v="2925662"/>
        <n v="2302261"/>
        <n v="2874306"/>
        <n v="1798521"/>
        <n v="2413346"/>
        <n v="3114171"/>
        <n v="2451058"/>
        <n v="2990767"/>
        <n v="2035478"/>
        <n v="2849235"/>
        <n v="338341"/>
        <n v="2573683"/>
        <n v="1857814"/>
        <n v="2309933"/>
        <n v="1188313"/>
        <n v="4038122"/>
        <n v="11788738"/>
        <n v="6003621"/>
        <n v="2570635"/>
        <n v="2192918"/>
        <n v="4245750"/>
        <n v="1697319"/>
        <n v="954164"/>
        <n v="3103811"/>
        <n v="4245850"/>
        <n v="3006816"/>
        <n v="1515117"/>
        <n v="2908549"/>
        <n v="3616768"/>
        <n v="3331838"/>
        <n v="2904538"/>
        <n v="6055489"/>
        <n v="5692931"/>
        <n v="2187826"/>
        <n v="3420953"/>
        <n v="2210770"/>
        <n v="950614"/>
        <n v="1904836"/>
        <n v="2905267"/>
        <n v="2905419"/>
        <n v="1208801"/>
        <n v="3960626"/>
        <n v="7086612"/>
        <n v="3198332"/>
        <n v="5866274"/>
        <n v="7704146"/>
        <n v="2366010"/>
        <n v="4686746"/>
        <n v="1962388"/>
        <n v="3273877"/>
        <n v="12494909"/>
        <n v="3277645"/>
        <n v="6236338"/>
        <n v="1959160"/>
        <n v="1825041"/>
        <n v="13272657"/>
        <n v="2428077"/>
        <n v="13280212"/>
        <n v="3265320"/>
        <n v="1816644"/>
        <n v="3083847"/>
        <n v="2852078"/>
        <n v="2356730"/>
        <n v="2249869"/>
        <n v="2268610"/>
        <n v="12860498"/>
        <n v="2287162"/>
        <n v="3402878"/>
        <n v="2399517"/>
        <n v="12902693"/>
        <n v="11834456"/>
        <n v="1870825"/>
        <n v="3124549"/>
        <n v="3729226"/>
        <n v="4121070"/>
        <n v="3653590"/>
        <n v="3363634"/>
        <n v="2814312"/>
        <n v="2191422"/>
        <n v="3095020"/>
        <n v="1027473"/>
        <n v="5645516"/>
        <n v="2838098"/>
        <n v="3299024"/>
        <n v="3728661"/>
        <n v="3577809"/>
        <n v="6583706"/>
        <n v="3009428"/>
        <n v="3779414"/>
        <n v="4338951"/>
        <n v="2984402"/>
        <n v="2849264"/>
        <n v="3285365"/>
        <n v="3122264"/>
        <n v="2862501"/>
        <n v="2247191"/>
        <n v="2150851"/>
        <n v="3275740"/>
        <n v="2987256"/>
        <n v="2945935"/>
        <n v="893549"/>
        <n v="2254554"/>
        <n v="3277891"/>
        <n v="2671673"/>
        <n v="102773"/>
        <n v="2222684"/>
        <n v="10826765"/>
        <n v="5001909"/>
        <n v="13299385"/>
        <n v="2813374"/>
        <n v="1254187"/>
        <n v="3176259"/>
        <n v="13283510"/>
        <n v="3004993"/>
        <n v="2826286"/>
        <n v="3138695"/>
        <n v="5046858"/>
        <n v="1808031"/>
        <n v="13275874"/>
        <n v="11805844"/>
        <n v="1867919"/>
        <n v="2658174"/>
        <n v="2926702"/>
        <n v="324526"/>
        <n v="18078"/>
        <n v="2464824"/>
        <n v="1240294"/>
        <n v="3114910"/>
        <n v="3124286"/>
        <n v="6180891"/>
        <n v="1177602"/>
        <n v="2862515"/>
        <n v="3172284"/>
        <n v="9336965"/>
        <n v="1859733"/>
        <n v="2659406"/>
        <n v="917674"/>
        <n v="8398977"/>
        <n v="2146154"/>
        <n v="898955"/>
        <n v="6042884"/>
        <n v="5797765"/>
        <n v="4342509"/>
        <n v="7511547"/>
        <n v="1867269"/>
        <n v="6105841"/>
        <n v="13311103"/>
        <n v="4698933"/>
        <n v="7118892"/>
        <n v="2832343"/>
        <n v="343915"/>
        <n v="2010166"/>
        <n v="4369772"/>
        <n v="3528035"/>
        <n v="2324782"/>
        <n v="2407343"/>
        <n v="3202171"/>
        <n v="2838001"/>
        <n v="3088375"/>
        <n v="13273157"/>
        <n v="4746423"/>
        <n v="3083567"/>
        <n v="2372586"/>
        <n v="34748"/>
        <n v="3836056"/>
        <n v="7818063"/>
        <n v="5581588"/>
        <n v="2903026"/>
        <n v="4517148"/>
        <n v="4662161"/>
        <n v="2071000"/>
        <n v="2462578"/>
        <n v="7818663"/>
        <n v="3303220"/>
        <n v="2408615"/>
        <n v="5373226"/>
        <n v="976630"/>
        <n v="3802895"/>
        <n v="1856473"/>
        <n v="879716"/>
        <n v="4116668"/>
        <n v="13072300"/>
        <n v="2531372"/>
        <n v="3290813"/>
        <n v="1858932"/>
        <n v="3789090"/>
        <n v="2455525"/>
        <n v="3397746"/>
        <n v="7543806"/>
        <n v="11464251"/>
        <n v="2923307"/>
        <n v="6335161"/>
        <n v="2414114"/>
        <n v="3269247"/>
        <n v="2195067"/>
        <n v="1896540"/>
        <n v="4271574"/>
        <n v="3075523"/>
        <n v="4858273"/>
        <n v="3202519"/>
        <n v="5003893"/>
        <n v="290541"/>
        <n v="28490235"/>
        <n v="393847"/>
        <n v="2972909"/>
        <n v="4591248"/>
        <n v="261290"/>
        <n v="2417020"/>
        <n v="2417866"/>
        <n v="3342643"/>
        <n v="2359721"/>
        <n v="5472914"/>
        <n v="658967"/>
        <n v="3249063"/>
        <n v="3283744"/>
        <n v="1827081"/>
        <n v="3278300"/>
        <n v="1834653"/>
        <n v="2686128"/>
        <n v="3707082"/>
        <n v="1206353"/>
        <n v="2321633"/>
        <n v="6711570"/>
        <n v="2852635"/>
        <n v="3120515"/>
        <n v="12843633"/>
        <n v="3726292"/>
        <n v="3249334"/>
        <n v="1943567"/>
        <n v="3195067"/>
        <n v="1955815"/>
        <n v="3350930"/>
        <n v="3488185"/>
        <n v="1962323"/>
        <n v="1120305"/>
        <n v="3500090"/>
        <n v="4249209"/>
        <n v="3167829"/>
        <n v="4336598"/>
        <n v="2922192"/>
        <n v="2636334"/>
        <n v="3103319"/>
        <n v="5855054"/>
        <n v="336415"/>
        <n v="3530558"/>
        <n v="108052"/>
        <n v="6042079"/>
        <n v="3576139"/>
        <n v="2034916"/>
        <n v="2927701"/>
        <n v="2897472"/>
        <n v="6912587"/>
        <n v="3371452"/>
        <n v="1242009"/>
        <n v="1849414"/>
        <n v="3802484"/>
        <n v="13372839"/>
        <n v="3192400"/>
        <n v="8153148"/>
        <n v="3848081"/>
        <n v="37916294"/>
        <n v="3202950"/>
        <n v="5575090"/>
        <n v="2903325"/>
        <n v="8453488"/>
        <n v="3292246"/>
        <n v="2036804"/>
        <n v="2816484"/>
        <n v="3071940"/>
        <n v="2816998"/>
        <n v="4637007"/>
        <n v="1972988"/>
        <n v="15513"/>
        <n v="1857812"/>
        <n v="2910929"/>
        <n v="2864776"/>
        <n v="6694250"/>
        <n v="2971514"/>
        <n v="3196946"/>
        <n v="1895471"/>
        <n v="1746954"/>
        <n v="2484613"/>
        <n v="3737444"/>
        <n v="207277"/>
        <n v="11781720"/>
        <n v="3178351"/>
        <n v="2916872"/>
        <n v="3308940"/>
        <n v="89582"/>
        <n v="6036864"/>
        <n v="1089863"/>
        <n v="4707808"/>
        <n v="4274416"/>
        <n v="2929079"/>
        <n v="4908915"/>
        <n v="3742410"/>
        <n v="2418679"/>
        <n v="13094297"/>
        <n v="2868686"/>
        <n v="2222044"/>
        <n v="2665756"/>
        <n v="2436928"/>
        <n v="2876248"/>
        <n v="4729022"/>
        <n v="11541319"/>
        <n v="3177475"/>
        <n v="327516"/>
        <n v="12675710"/>
        <n v="2929072"/>
        <n v="353699"/>
        <n v="2913226"/>
        <n v="5355097"/>
        <n v="3142688"/>
        <n v="3808409"/>
        <n v="2283238"/>
        <n v="2962215"/>
        <n v="3352054"/>
        <n v="3592432"/>
        <n v="2451419"/>
        <n v="3279629"/>
        <n v="2855298"/>
        <n v="2671170"/>
        <n v="1866782"/>
        <n v="3421275"/>
        <n v="2313416"/>
        <n v="2274151"/>
        <n v="1023701"/>
        <n v="5260412"/>
        <n v="5772397"/>
        <n v="280595"/>
        <n v="2486405"/>
        <n v="3347239"/>
        <n v="3404440"/>
        <n v="2913258"/>
        <n v="3586766"/>
        <n v="3729371"/>
        <n v="3175500"/>
        <n v="214841"/>
        <n v="2151289"/>
        <n v="2334642"/>
        <n v="2950401"/>
        <n v="3336681"/>
        <n v="3330826"/>
        <n v="2862234"/>
        <n v="2415119"/>
        <n v="2849517"/>
        <n v="3315590"/>
        <n v="6289292"/>
        <n v="3376217"/>
        <n v="2481406"/>
        <n v="1701466"/>
        <n v="2091683"/>
        <n v="2446275"/>
        <n v="4726654"/>
        <n v="2251743"/>
        <n v="89701"/>
        <n v="3100424"/>
        <n v="2659517"/>
        <n v="3402617"/>
        <n v="5466333"/>
        <n v="1253765"/>
        <n v="164039"/>
        <n v="3370866"/>
        <n v="3253823"/>
        <n v="1426237"/>
        <n v="3330257"/>
        <n v="2864903"/>
        <n v="1863952"/>
        <n v="4483372"/>
        <n v="3198291"/>
        <n v="4812426"/>
        <n v="2806102"/>
        <n v="2617034"/>
        <n v="2961469"/>
        <n v="3554561"/>
        <n v="3369603"/>
        <n v="3702102"/>
        <n v="3188557"/>
        <n v="2345540"/>
        <n v="3307148"/>
        <n v="5427111"/>
        <n v="7346940"/>
        <n v="1912468"/>
        <n v="4733146"/>
        <n v="3335665"/>
        <n v="2153654"/>
        <n v="381347"/>
        <n v="2664111"/>
        <n v="6090910"/>
        <n v="3279314"/>
        <n v="2180527"/>
        <n v="2931232"/>
        <n v="10947430"/>
        <n v="3188847"/>
        <n v="2180214"/>
        <n v="2884982"/>
        <n v="3650220"/>
        <n v="4971128"/>
        <n v="6197122"/>
        <n v="255439"/>
        <n v="2825604"/>
        <n v="336145"/>
        <n v="3270202"/>
        <n v="2367233"/>
        <n v="3644737"/>
        <n v="3368092"/>
        <n v="3297255"/>
        <n v="4564365"/>
        <n v="2873895"/>
        <n v="2332845"/>
        <n v="3105160"/>
        <n v="2983950"/>
        <n v="3363546"/>
        <n v="2336284"/>
        <n v="2087502"/>
        <n v="4563908"/>
        <n v="3806186"/>
        <n v="3113180"/>
        <n v="3252439"/>
        <n v="2821878"/>
        <n v="2284441"/>
        <n v="4250017"/>
        <n v="2323595"/>
        <n v="4800950"/>
        <n v="2288618"/>
        <n v="3578548"/>
        <n v="2149040"/>
        <n v="1353262"/>
        <n v="5288923"/>
        <n v="1860522"/>
        <n v="2033370"/>
        <n v="2251149"/>
        <n v="1781471"/>
        <n v="1819173"/>
        <n v="304503"/>
        <n v="2245048"/>
        <n v="2631139"/>
        <n v="13055785"/>
        <n v="3376112"/>
        <n v="5377144"/>
        <n v="4687368"/>
        <n v="7232970"/>
        <n v="2091916"/>
        <n v="5380678"/>
        <n v="3018906"/>
        <n v="3598373"/>
        <n v="3093029"/>
        <n v="3203803"/>
        <n v="1972973"/>
        <n v="5738817"/>
        <n v="1731798"/>
        <n v="2347222"/>
        <n v="3199808"/>
        <n v="2310674"/>
        <n v="2033975"/>
        <n v="1856760"/>
        <n v="2911715"/>
        <n v="3193398"/>
        <n v="2636229"/>
        <n v="2335537"/>
        <n v="3823755"/>
        <n v="6671279"/>
        <n v="2338260"/>
        <n v="1851710"/>
        <n v="2185899"/>
        <n v="10890838"/>
        <n v="5076841"/>
        <n v="4652506"/>
        <n v="4599006"/>
        <n v="3188116"/>
        <n v="453606"/>
        <n v="2876839"/>
        <n v="2330187"/>
        <n v="2185376"/>
        <n v="2818366"/>
        <n v="2287631"/>
        <n v="2855768"/>
        <n v="2857745"/>
        <n v="3380723"/>
        <n v="2076555"/>
        <n v="178922"/>
        <n v="4686618"/>
        <n v="2323672"/>
        <n v="2812927"/>
        <n v="6908854"/>
        <n v="3192324"/>
        <n v="2291022"/>
        <n v="2315854"/>
        <n v="12794345"/>
        <n v="3308707"/>
        <n v="7821044"/>
        <n v="1857545"/>
        <n v="6283074"/>
        <n v="2398410"/>
        <n v="255907"/>
        <n v="2355801"/>
        <n v="2847352"/>
        <n v="2932182"/>
        <n v="2488143"/>
        <n v="2233884"/>
        <n v="2418929"/>
        <n v="2186988"/>
        <n v="3384770"/>
        <n v="2423925"/>
        <n v="7412153"/>
        <n v="1858215"/>
        <n v="3363111"/>
        <n v="2452661"/>
        <n v="3386266"/>
        <n v="5052155"/>
        <n v="3124704"/>
        <n v="1135133"/>
        <n v="4709532"/>
        <n v="1199265"/>
        <n v="5551933"/>
        <n v="12455085"/>
        <n v="4689580"/>
        <n v="1180987"/>
        <n v="2484142"/>
        <n v="3368167"/>
        <n v="2301796"/>
        <n v="2855318"/>
        <n v="2282465"/>
        <n v="283654"/>
        <n v="2526874"/>
        <n v="174739"/>
        <n v="5184143"/>
        <n v="3371866"/>
        <n v="5060114"/>
        <n v="3168509"/>
        <n v="3363660"/>
        <n v="4667559"/>
        <n v="7149576"/>
        <n v="3191239"/>
        <n v="464250"/>
        <n v="2285767"/>
        <n v="137486"/>
        <n v="1866692"/>
        <n v="145095"/>
        <n v="4843995"/>
        <n v="3195034"/>
        <n v="9648508"/>
        <n v="2926503"/>
        <n v="2244249"/>
        <n v="2371196"/>
        <n v="73534"/>
        <n v="2263937"/>
        <n v="3831253"/>
        <n v="4276516"/>
        <n v="3172787"/>
        <n v="391857"/>
        <n v="1979506"/>
        <n v="1866759"/>
        <n v="2923516"/>
        <n v="2288525"/>
        <n v="297110"/>
        <n v="2813443"/>
        <n v="147735"/>
        <n v="1566142"/>
        <n v="2180976"/>
        <n v="4559411"/>
        <n v="3505860"/>
        <n v="5898330"/>
        <n v="3203181"/>
        <n v="5311661"/>
        <n v="3027744"/>
        <n v="333315"/>
        <n v="5297266"/>
        <n v="3549265"/>
        <n v="3184447"/>
        <n v="4296328"/>
        <n v="2841836"/>
        <n v="94321"/>
        <n v="2484069"/>
        <n v="5651833"/>
        <n v="13456116"/>
        <n v="5635477"/>
        <n v="3064176"/>
        <n v="2429187"/>
        <n v="2323101"/>
        <n v="334019"/>
        <n v="2607441"/>
        <n v="2241432"/>
        <n v="22644616"/>
        <n v="2238633"/>
        <n v="2373854"/>
        <n v="1871193"/>
        <n v="214802"/>
        <n v="227424"/>
        <n v="2934308"/>
        <n v="12562365"/>
        <n v="3729647"/>
        <n v="3199750"/>
        <n v="2809245"/>
        <n v="2309029"/>
        <n v="4583961"/>
        <n v="4687375"/>
        <n v="2446501"/>
        <n v="1626399"/>
        <n v="5163862"/>
        <n v="5484444"/>
        <n v="10466712"/>
        <n v="3203529"/>
        <n v="2304537"/>
        <n v="3573472"/>
        <n v="8013882"/>
        <n v="4897476"/>
        <n v="8431028"/>
        <n v="3294944"/>
        <n v="2246575"/>
        <n v="2452161"/>
        <n v="3345665"/>
        <n v="3730882"/>
        <n v="3117008"/>
        <n v="1869160"/>
        <n v="2308483"/>
        <n v="1857869"/>
        <n v="2294733"/>
        <n v="2164517"/>
        <n v="4586548"/>
        <n v="222970"/>
        <n v="3144695"/>
        <n v="2420624"/>
        <n v="2439944"/>
        <n v="2417976"/>
        <n v="2401036"/>
        <n v="5411819"/>
        <n v="12389022"/>
        <n v="1863169"/>
        <n v="4232880"/>
        <n v="3142380"/>
        <n v="7272811"/>
        <n v="2934067"/>
        <n v="3189587"/>
        <n v="13357159"/>
        <n v="3618906"/>
        <n v="197786"/>
        <n v="1872147"/>
        <n v="1864903"/>
        <n v="2858619"/>
        <n v="2037286"/>
        <n v="12825976"/>
        <n v="89812"/>
        <n v="2303676"/>
        <n v="2342639"/>
        <n v="3171796"/>
        <n v="1187897"/>
        <n v="3188199"/>
        <n v="2292002"/>
        <n v="48579"/>
        <n v="3338900"/>
        <n v="3177871"/>
        <n v="2950102"/>
        <n v="3128984"/>
        <n v="3201633"/>
        <n v="3369299"/>
        <n v="13061288"/>
        <n v="1865853"/>
        <n v="7999410"/>
        <n v="3468373"/>
        <n v="4730716"/>
        <n v="2456744"/>
        <n v="3341894"/>
        <n v="2712284"/>
        <n v="3196354"/>
        <n v="2264751"/>
        <n v="3629338"/>
        <n v="3363177"/>
        <n v="2226867"/>
        <n v="2428285"/>
        <n v="2344421"/>
        <n v="3559035"/>
        <n v="3194018"/>
        <n v="2615026"/>
        <n v="3151473"/>
        <n v="3380466"/>
        <n v="2316417"/>
        <n v="2341376"/>
        <n v="10948634"/>
        <n v="2308228"/>
        <n v="2451242"/>
        <n v="2812507"/>
        <n v="3342931"/>
        <n v="3733434"/>
        <n v="2328003"/>
        <n v="2082970"/>
        <n v="2250505"/>
        <n v="2289359"/>
        <n v="2407157"/>
        <n v="4741591"/>
        <n v="1866776"/>
        <n v="3208501"/>
        <n v="6163590"/>
        <n v="120967"/>
        <n v="13473199"/>
        <n v="2187229"/>
        <n v="450015"/>
        <n v="2219729"/>
        <n v="3173625"/>
        <n v="2963902"/>
        <n v="2971625"/>
        <n v="158920"/>
        <n v="50748"/>
        <n v="10091337"/>
        <n v="2407977"/>
        <n v="2406339"/>
        <n v="2984880"/>
        <n v="3292299"/>
        <n v="2215474"/>
        <n v="2605676"/>
        <n v="13472224"/>
        <n v="3168629"/>
        <n v="239932"/>
        <n v="12223366"/>
        <n v="6711897"/>
        <n v="2419379"/>
        <n v="2484940"/>
        <n v="8259161"/>
        <n v="2363451"/>
        <n v="2299815"/>
        <n v="13332680"/>
        <n v="2954054"/>
        <n v="3522181"/>
        <n v="2700558"/>
        <n v="2425790"/>
        <n v="2398550"/>
        <n v="13102642"/>
        <n v="3775935"/>
        <n v="3371247"/>
        <n v="18624110"/>
        <n v="4485469"/>
        <n v="2586058"/>
        <n v="1115050"/>
        <n v="1173367"/>
        <n v="3188256"/>
        <n v="2247738"/>
        <n v="11741652"/>
        <n v="2859429"/>
        <n v="2188402"/>
        <n v="2273875"/>
        <n v="1156542"/>
        <n v="245834"/>
        <n v="2290124"/>
        <n v="3189307"/>
        <n v="2484458"/>
        <n v="184178"/>
        <n v="4643347"/>
        <n v="2589591"/>
        <n v="2206920"/>
        <n v="3506580"/>
        <n v="2246209"/>
        <n v="3599663"/>
        <n v="2228973"/>
        <n v="3027914"/>
        <n v="4577288"/>
        <n v="2838383"/>
        <n v="2988103"/>
        <n v="2891268"/>
        <n v="2986311"/>
        <n v="2863065"/>
        <n v="1184097"/>
        <n v="2294726"/>
        <n v="18576"/>
        <n v="2360552"/>
        <n v="2280103"/>
        <n v="3830633"/>
        <n v="2228481"/>
        <n v="3742578"/>
        <n v="3167366"/>
        <n v="3200288"/>
        <n v="929450"/>
        <n v="2810857"/>
        <n v="2290800"/>
        <n v="3462403"/>
        <n v="2244595"/>
        <n v="2255229"/>
        <n v="2400981"/>
        <n v="2273468"/>
        <n v="2302298"/>
        <n v="4572504"/>
        <n v="4663169"/>
        <n v="3717556"/>
        <n v="13278541"/>
        <n v="3799519"/>
        <n v="2413155"/>
        <n v="2339336"/>
        <n v="3198556"/>
        <n v="4810444"/>
        <n v="2893766"/>
        <n v="185316"/>
        <n v="2554325"/>
        <n v="244889"/>
        <n v="2422295"/>
        <n v="7999207"/>
        <n v="2431316"/>
        <n v="2406632"/>
        <n v="3533030"/>
        <n v="2243890"/>
        <n v="1858614"/>
        <n v="2267364"/>
        <n v="3071753"/>
        <n v="3812664"/>
        <n v="2437203"/>
        <n v="13487318"/>
        <n v="2268658"/>
        <n v="5518513"/>
        <n v="2985988"/>
        <n v="287689"/>
        <n v="3776832"/>
        <n v="5273254"/>
        <n v="6227476"/>
        <n v="3978504"/>
        <n v="5153342"/>
        <n v="2397148"/>
        <n v="368492"/>
        <n v="3245186"/>
        <n v="3377309"/>
        <n v="2712642"/>
        <n v="3472746"/>
        <n v="1804143"/>
        <n v="2592160"/>
        <n v="2247719"/>
        <n v="2585572"/>
        <n v="2226741"/>
        <n v="4688954"/>
        <n v="7246348"/>
        <n v="13106849"/>
        <n v="2875831"/>
        <n v="175634"/>
        <n v="3064411"/>
        <n v="2464026"/>
        <n v="2907160"/>
        <n v="3040106"/>
        <n v="364225"/>
        <n v="1857202"/>
        <n v="3597904"/>
        <n v="2996422"/>
        <n v="2930400"/>
        <n v="35092736"/>
        <n v="2242896"/>
        <n v="147707"/>
        <n v="3300900"/>
        <n v="3267241"/>
        <n v="2582374"/>
        <n v="2413336"/>
        <n v="2913437"/>
        <n v="4546408"/>
        <n v="5494444"/>
        <n v="2299634"/>
        <n v="2262841"/>
        <n v="2290378"/>
        <n v="3754139"/>
        <n v="2988072"/>
        <n v="1857561"/>
        <n v="4869711"/>
        <n v="2269082"/>
        <n v="214738"/>
        <n v="3623437"/>
        <n v="2881069"/>
        <n v="6935978"/>
        <n v="7578117"/>
        <n v="6076704"/>
        <n v="3198508"/>
        <n v="3191765"/>
        <n v="2236766"/>
        <n v="1858314"/>
        <n v="2868715"/>
        <n v="3793427"/>
        <n v="2982120"/>
        <n v="4993346"/>
        <n v="3168212"/>
        <n v="2868875"/>
        <n v="2902534"/>
        <n v="2409850"/>
        <n v="4735959"/>
        <n v="7912925"/>
        <n v="2458489"/>
        <n v="2317731"/>
        <n v="5334454"/>
        <n v="2938646"/>
        <n v="1866555"/>
        <n v="4217785"/>
        <n v="538628"/>
        <n v="4979656"/>
        <n v="3334482"/>
        <n v="3400343"/>
        <n v="3376059"/>
        <n v="4524148"/>
        <n v="2222048"/>
        <n v="2273881"/>
        <n v="2419819"/>
        <n v="2279801"/>
        <n v="10267174"/>
        <n v="230408"/>
        <n v="6203428"/>
        <n v="1210473"/>
        <n v="3336962"/>
        <n v="1798421"/>
        <n v="1816190"/>
        <n v="6733402"/>
        <n v="2458734"/>
        <n v="7157243"/>
        <n v="3183145"/>
        <n v="2280231"/>
        <n v="2379738"/>
        <n v="2920105"/>
        <n v="1863010"/>
        <n v="2353865"/>
        <n v="1867504"/>
        <n v="4515796"/>
        <n v="3514951"/>
        <n v="3819792"/>
        <n v="184007"/>
        <n v="4826722"/>
        <n v="7846890"/>
        <n v="2840467"/>
        <n v="4567750"/>
        <n v="2323586"/>
        <n v="2180999"/>
        <n v="4516446"/>
        <n v="1866810"/>
        <n v="2934546"/>
        <n v="2400056"/>
        <n v="4869859"/>
        <n v="2822437"/>
        <n v="2612548"/>
        <n v="12812178"/>
        <n v="12128788"/>
        <n v="5080194"/>
        <n v="3822216"/>
        <n v="2840229"/>
        <n v="2459055"/>
        <n v="2362274"/>
        <n v="3340381"/>
        <n v="3577766"/>
        <n v="1912775"/>
        <n v="4888193"/>
        <n v="4983366"/>
        <n v="245149"/>
        <n v="2458851"/>
        <n v="153842"/>
        <n v="2398234"/>
        <n v="1353263"/>
        <n v="3291161"/>
        <n v="466149"/>
        <n v="4530086"/>
        <n v="6025340"/>
        <n v="1168114"/>
        <n v="3402707"/>
        <n v="3833099"/>
        <n v="3188463"/>
        <n v="2802968"/>
        <n v="254663"/>
        <n v="12793438"/>
        <n v="4310867"/>
        <n v="2328135"/>
        <n v="3370633"/>
        <n v="3351083"/>
        <n v="2825576"/>
        <n v="2930907"/>
        <n v="3107024"/>
        <n v="4746773"/>
        <n v="117258"/>
        <n v="2398120"/>
        <n v="1747159"/>
        <n v="2880583"/>
        <n v="5111574"/>
        <n v="2913812"/>
        <n v="3798889"/>
        <n v="2579422"/>
        <n v="13461144"/>
        <n v="3581709"/>
        <n v="3802411"/>
        <n v="3268060"/>
        <n v="6616709"/>
        <n v="2316976"/>
        <n v="2400618"/>
        <n v="3181775"/>
        <n v="2560267"/>
        <n v="2254723"/>
        <n v="2954634"/>
        <n v="8512775"/>
        <n v="1869729"/>
        <n v="2314977"/>
        <n v="4304106"/>
        <n v="1961558"/>
        <n v="3293004"/>
        <n v="1312476"/>
        <n v="2543798"/>
        <n v="3187561"/>
        <n v="3775306"/>
        <n v="101622"/>
        <n v="5474069"/>
        <n v="2864321"/>
        <n v="3776552"/>
        <n v="2033753"/>
        <n v="227001"/>
        <n v="2677681"/>
        <n v="7290279"/>
        <n v="4753698"/>
        <n v="3329758"/>
        <n v="4512555"/>
        <n v="3664781"/>
        <n v="2805474"/>
        <n v="2317504"/>
        <n v="2261999"/>
        <n v="2186977"/>
        <n v="4874468"/>
        <n v="5756727"/>
        <n v="3239315"/>
        <n v="136098"/>
        <n v="3330622"/>
        <n v="3117130"/>
        <n v="2326427"/>
        <n v="4247879"/>
        <n v="2323663"/>
        <n v="2940183"/>
        <n v="3020240"/>
        <n v="4563506"/>
        <n v="11845607"/>
        <n v="3309520"/>
        <n v="2163340"/>
        <n v="2271347"/>
        <n v="2805169"/>
        <n v="2241715"/>
        <n v="5152139"/>
        <n v="3198541"/>
        <n v="3139357"/>
        <n v="2242980"/>
        <n v="3768770"/>
        <n v="3753240"/>
        <n v="10958585"/>
        <n v="4698581"/>
        <n v="2706900"/>
        <n v="3102309"/>
        <n v="3308866"/>
        <n v="2148653"/>
        <n v="2320999"/>
        <n v="138293"/>
        <n v="3179158"/>
        <n v="4743560"/>
        <n v="5182082"/>
        <n v="378881"/>
        <n v="2253322"/>
        <n v="4952549"/>
        <n v="2417884"/>
        <n v="2329294"/>
        <n v="2616014"/>
        <n v="10483935"/>
        <n v="3186727"/>
        <n v="6097800"/>
        <n v="4701682"/>
        <n v="2845641"/>
        <n v="3005144"/>
        <n v="2991127"/>
        <n v="1839576"/>
        <n v="2825883"/>
        <n v="3173748"/>
        <n v="3345054"/>
        <n v="2233576"/>
        <n v="2272729"/>
        <n v="4667530"/>
        <n v="2981379"/>
        <n v="2247726"/>
        <n v="2182440"/>
        <n v="2866438"/>
        <n v="3183603"/>
        <n v="1766403"/>
        <n v="2362290"/>
        <n v="8097100"/>
        <n v="2243827"/>
        <n v="3082970"/>
        <n v="2919770"/>
        <n v="1210376"/>
        <n v="4256255"/>
        <n v="2890726"/>
        <n v="10443170"/>
        <n v="307201"/>
        <n v="232985"/>
        <n v="3378151"/>
        <n v="1540846"/>
        <n v="12249788"/>
        <n v="8084923"/>
        <n v="2264017"/>
        <n v="2234428"/>
        <n v="3290282"/>
        <n v="2967804"/>
        <n v="2303472"/>
        <n v="2245535"/>
        <n v="2302678"/>
        <n v="1060204"/>
        <n v="2255651"/>
        <n v="2820193"/>
        <n v="3273830"/>
        <n v="2347995"/>
        <n v="3311282"/>
        <n v="4513378"/>
        <n v="4810166"/>
        <n v="2147684"/>
        <n v="3122444"/>
        <n v="3795298"/>
        <n v="922642"/>
        <n v="4312871"/>
        <n v="5344690"/>
        <n v="3335021"/>
        <n v="11285575"/>
        <n v="2405070"/>
        <n v="3343103"/>
        <n v="2851104"/>
        <n v="5828106"/>
        <n v="4424317"/>
        <n v="1854049"/>
        <n v="4708970"/>
        <n v="2427107"/>
        <n v="2367848"/>
        <n v="1963164"/>
        <n v="3276671"/>
        <n v="13448107"/>
        <n v="3021132"/>
        <n v="1861443"/>
        <n v="3374617"/>
        <n v="2092360"/>
        <n v="2242704"/>
        <n v="1203786"/>
        <n v="12445044"/>
        <n v="2315736"/>
        <n v="2464181"/>
        <n v="3314204"/>
        <n v="2878661"/>
        <n v="3455545"/>
        <n v="4711449"/>
        <n v="2833455"/>
        <n v="1976944"/>
        <n v="2339349"/>
        <n v="3296384"/>
        <n v="7603870"/>
        <n v="2907018"/>
        <n v="3771922"/>
        <n v="12148768"/>
        <n v="1858178"/>
        <n v="1748273"/>
        <n v="6580783"/>
        <n v="2222675"/>
        <n v="3376224"/>
        <n v="3798950"/>
        <n v="384426"/>
        <n v="195079"/>
        <n v="4698372"/>
        <n v="6094248"/>
        <n v="394671"/>
        <n v="1552593"/>
        <n v="1864093"/>
        <n v="2246700"/>
        <n v="2885907"/>
        <n v="12086214"/>
        <n v="2610857"/>
        <n v="1191701"/>
        <n v="3282429"/>
        <n v="212041"/>
        <n v="2910854"/>
        <n v="7154693"/>
        <n v="4648809"/>
        <n v="3353547"/>
        <n v="2591530"/>
        <n v="2822469"/>
        <n v="2165508"/>
        <n v="4832382"/>
        <n v="1869696"/>
        <n v="199677"/>
        <n v="2711538"/>
        <n v="1256226"/>
        <n v="3350728"/>
        <n v="4687890"/>
        <n v="955974"/>
        <n v="1275519"/>
        <n v="3958584"/>
        <n v="2418597"/>
        <n v="5498430"/>
        <n v="3776416"/>
        <n v="2828037"/>
        <n v="4241289"/>
        <n v="3616089"/>
        <n v="3104997"/>
        <n v="3128526"/>
        <n v="5762057"/>
        <n v="3439213"/>
        <n v="3021529"/>
        <n v="3189879"/>
        <n v="3177541"/>
        <n v="5133660"/>
        <n v="2280395"/>
        <n v="2884396"/>
        <n v="2595335"/>
        <n v="2448220"/>
        <n v="2936152"/>
        <n v="3364745"/>
        <n v="11515321"/>
        <n v="3329698"/>
        <n v="2353292"/>
        <n v="2864538"/>
        <n v="2273469"/>
        <n v="2264410"/>
        <n v="20377731"/>
        <n v="2819933"/>
        <n v="2279406"/>
        <n v="2269214"/>
        <n v="4840175"/>
        <n v="4703292"/>
        <n v="3380340"/>
        <n v="3305652"/>
        <n v="114223"/>
        <n v="1857136"/>
        <n v="2979491"/>
        <n v="2636661"/>
        <n v="3291207"/>
        <n v="3009460"/>
        <n v="4667635"/>
        <n v="3548642"/>
        <n v="12892702"/>
        <n v="2413701"/>
        <n v="3093305"/>
        <n v="2409111"/>
        <n v="4477449"/>
        <n v="2826611"/>
        <n v="11878110"/>
        <n v="3676151"/>
        <n v="1204490"/>
        <n v="2376341"/>
        <n v="3306257"/>
        <n v="3261418"/>
        <n v="5162387"/>
        <n v="3605138"/>
        <n v="12510681"/>
        <n v="2807647"/>
        <n v="3540490"/>
        <n v="5532108"/>
        <n v="3970521"/>
        <n v="2417753"/>
        <n v="3190274"/>
        <n v="2464475"/>
        <n v="1205244"/>
        <n v="164237"/>
        <n v="1166054"/>
        <n v="3223849"/>
        <n v="4270344"/>
        <n v="645204"/>
        <n v="2872936"/>
        <n v="3680137"/>
        <n v="2271062"/>
        <n v="13536845"/>
        <n v="13536665"/>
        <n v="7680954"/>
        <n v="249961"/>
        <n v="4763947"/>
        <n v="9716529"/>
        <n v="4221864"/>
        <n v="13538348"/>
        <n v="2459629"/>
        <n v="7481408"/>
        <n v="3187866"/>
        <n v="3724710"/>
        <n v="2070752"/>
        <n v="2913996"/>
        <n v="2889757"/>
        <n v="3127372"/>
        <n v="1862156"/>
        <n v="5525826"/>
        <n v="3736050"/>
        <n v="4951563"/>
        <n v="4987381"/>
        <n v="6101861"/>
        <n v="3203752"/>
        <n v="2817498"/>
        <n v="5496668"/>
        <n v="3330520"/>
        <n v="2819158"/>
        <n v="2299209"/>
        <n v="2914920"/>
        <n v="4884599"/>
        <n v="5404259"/>
        <n v="1254698"/>
        <n v="3365434"/>
        <n v="2570110"/>
        <n v="2255113"/>
        <n v="4356687"/>
        <n v="3420804"/>
        <n v="2360515"/>
        <n v="2249221"/>
        <n v="12927732"/>
        <n v="3683023"/>
        <n v="2808270"/>
        <n v="2230143"/>
        <n v="1974758"/>
        <n v="3464909"/>
        <n v="2312292"/>
        <n v="2347086"/>
        <n v="3192159"/>
        <n v="2037044"/>
        <n v="3498173"/>
        <n v="4745055"/>
        <n v="2322310"/>
        <n v="3708150"/>
        <n v="61573"/>
        <n v="2370380"/>
        <n v="5766778"/>
        <n v="2267674"/>
        <n v="2816657"/>
        <n v="3484735"/>
        <n v="3182668"/>
        <n v="2922934"/>
        <n v="3179653"/>
        <n v="3371669"/>
        <n v="450467"/>
        <n v="2040103"/>
        <n v="66728"/>
        <n v="2345481"/>
        <n v="2883771"/>
        <n v="5114118"/>
        <n v="4371434"/>
        <n v="13339566"/>
        <n v="3596437"/>
        <n v="2466184"/>
        <n v="4701502"/>
        <n v="2816814"/>
        <n v="326612"/>
        <n v="2811683"/>
        <n v="2248436"/>
        <n v="3732079"/>
        <n v="2953995"/>
        <n v="2391051"/>
        <n v="3086802"/>
        <n v="6259389"/>
        <n v="7123522"/>
        <n v="3145251"/>
        <n v="6535087"/>
        <n v="1193794"/>
        <n v="3121136"/>
        <n v="2648415"/>
        <n v="2867166"/>
        <n v="7643605"/>
        <n v="1962465"/>
        <n v="2307657"/>
        <n v="2450622"/>
        <n v="1900054"/>
        <n v="2803723"/>
        <n v="2392091"/>
        <n v="2582723"/>
        <n v="3783482"/>
        <n v="2943813"/>
        <n v="1022017"/>
        <n v="2418108"/>
        <n v="3380460"/>
        <n v="324158"/>
        <n v="3309509"/>
        <n v="3179270"/>
        <n v="7437275"/>
        <n v="3438469"/>
        <n v="2342072"/>
        <n v="2919317"/>
        <n v="2410905"/>
        <n v="2407212"/>
        <n v="2191107"/>
        <n v="3614606"/>
        <n v="1858515"/>
        <n v="3032836"/>
        <n v="2830455"/>
        <n v="2270814"/>
        <n v="2414051"/>
        <n v="6013305"/>
        <n v="3722962"/>
        <n v="419516"/>
        <n v="2452556"/>
        <n v="398271"/>
        <n v="333314"/>
        <n v="3264834"/>
        <n v="1855707"/>
        <n v="2316872"/>
        <n v="3780510"/>
        <n v="2960684"/>
        <n v="6062524"/>
        <n v="2480851"/>
        <n v="5164275"/>
        <n v="3376802"/>
        <n v="1182216"/>
        <n v="2358339"/>
        <n v="2313297"/>
        <n v="4762200"/>
        <n v="2867533"/>
        <n v="7618120"/>
        <n v="3087055"/>
        <n v="3598140"/>
        <n v="2425539"/>
        <n v="1859461"/>
        <n v="630236"/>
        <n v="2397401"/>
        <n v="722684"/>
        <n v="3360406"/>
        <n v="3712568"/>
        <n v="3010345"/>
        <n v="6810936"/>
        <n v="12056192"/>
        <n v="2807796"/>
        <n v="2574253"/>
        <n v="2919885"/>
        <n v="191125"/>
        <n v="3172365"/>
        <n v="2818506"/>
        <n v="5258228"/>
        <n v="2400073"/>
        <n v="7592476"/>
        <n v="5671991"/>
        <n v="3312813"/>
        <n v="3180543"/>
        <n v="1187462"/>
        <n v="3269090"/>
        <n v="5227994"/>
        <n v="4695491"/>
        <n v="5413174"/>
        <n v="4264620"/>
        <n v="1681877"/>
        <n v="3410802"/>
        <n v="12867515"/>
        <n v="4250662"/>
        <n v="7222874"/>
        <n v="9549989"/>
        <n v="2264732"/>
        <n v="3339646"/>
        <n v="6160151"/>
        <n v="3573173"/>
        <n v="2664492"/>
        <n v="1856811"/>
        <n v="2180112"/>
        <n v="2878525"/>
        <n v="3331892"/>
        <n v="3762468"/>
        <n v="2286956"/>
        <n v="3337327"/>
        <n v="1824809"/>
        <n v="1871230"/>
        <n v="2256855"/>
        <n v="3732036"/>
        <n v="5337858"/>
        <n v="3182608"/>
        <n v="3202601"/>
        <n v="297575"/>
        <n v="3742908"/>
        <n v="2688951"/>
        <n v="2932608"/>
        <n v="4119877"/>
        <n v="1207927"/>
        <n v="2594237"/>
        <n v="2020095"/>
        <n v="4234621"/>
        <n v="1202586"/>
        <n v="3753083"/>
        <n v="13150094"/>
        <n v="4698759"/>
        <n v="2225963"/>
        <n v="1969709"/>
        <n v="5021007"/>
        <n v="8030615"/>
        <n v="2814474"/>
        <n v="50995"/>
        <n v="1871002"/>
        <n v="2523157"/>
        <n v="3159597"/>
        <n v="2852493"/>
        <n v="2570760"/>
        <n v="769722"/>
        <n v="4269734"/>
        <n v="1810734"/>
        <n v="1858417"/>
        <n v="2805929"/>
        <n v="950490"/>
        <n v="2664891"/>
        <n v="5065270"/>
        <n v="3767295"/>
        <n v="3122794"/>
        <n v="5390546"/>
        <n v="7461662"/>
        <n v="4974143"/>
        <n v="2944290"/>
        <n v="3272872"/>
        <n v="3519128"/>
        <n v="4254575"/>
        <n v="3811460"/>
        <n v="2212602"/>
        <n v="2903349"/>
        <n v="2345280"/>
        <n v="3074759"/>
        <n v="2190592"/>
        <n v="1984648"/>
        <n v="2152403"/>
        <n v="3593893"/>
        <n v="2270226"/>
        <n v="3797714"/>
        <n v="5118971"/>
        <n v="2875718"/>
        <n v="367564"/>
        <n v="3269240"/>
        <n v="4695405"/>
        <n v="3523627"/>
        <n v="3700936"/>
        <n v="2426255"/>
        <n v="2863254"/>
        <n v="3557378"/>
        <n v="2289277"/>
        <n v="2310518"/>
        <n v="186781"/>
        <n v="2851790"/>
        <n v="3570397"/>
        <n v="1860244"/>
        <n v="2034592"/>
        <n v="3315538"/>
        <n v="9217126"/>
        <n v="2210166"/>
        <n v="3640428"/>
        <n v="2927396"/>
        <n v="2327873"/>
        <n v="1939480"/>
        <n v="2189459"/>
        <n v="2454161"/>
        <n v="2407845"/>
        <n v="2815943"/>
        <n v="2266689"/>
        <n v="3169407"/>
        <n v="160383"/>
        <n v="2461357"/>
        <n v="2837459"/>
        <n v="10796900"/>
        <n v="6302714"/>
        <n v="3369396"/>
        <n v="2425149"/>
        <n v="3299604"/>
        <n v="1899186"/>
        <n v="2277458"/>
        <n v="4650815"/>
        <n v="2809455"/>
        <n v="7697330"/>
        <n v="3198793"/>
        <n v="12839811"/>
        <n v="2604066"/>
        <n v="3366933"/>
        <n v="3595373"/>
        <n v="196789"/>
        <n v="11452962"/>
        <n v="5317047"/>
        <n v="2870228"/>
        <m/>
        <n v="755575" u="1"/>
      </sharedItems>
    </cacheField>
    <cacheField name="Fecha de la dosis" numFmtId="14">
      <sharedItems containsNonDate="0" containsDate="1" containsString="0" containsBlank="1" minDate="2018-01-15T00:00:00" maxDate="2022-08-01T00:00:00" count="508">
        <d v="2018-01-15T00:00:00"/>
        <d v="2018-02-26T00:00:00"/>
        <d v="2018-06-11T00:00:00"/>
        <d v="2019-02-05T00:00:00"/>
        <d v="2019-05-26T00:00:00"/>
        <d v="2019-07-23T00:00:00"/>
        <d v="2019-09-23T00:00:00"/>
        <d v="2019-10-18T00:00:00"/>
        <d v="2019-10-23T00:00:00"/>
        <d v="2019-12-03T00:00:00"/>
        <d v="2019-12-16T00:00:00"/>
        <d v="2019-12-26T00:00:00"/>
        <d v="2020-01-14T00:00:00"/>
        <d v="2020-01-18T00:00:00"/>
        <d v="2020-01-23T00:00:00"/>
        <d v="2020-02-04T00:00:00"/>
        <d v="2020-02-12T00:00:00"/>
        <d v="2020-02-18T00:00:00"/>
        <d v="2020-04-23T00:00:00"/>
        <d v="2020-05-04T00:00:00"/>
        <d v="2020-05-21T00:00:00"/>
        <d v="2020-05-28T00:00:00"/>
        <d v="2020-05-29T00:00:00"/>
        <d v="2020-05-30T00:00:00"/>
        <d v="2020-06-03T00:00:00"/>
        <d v="2020-06-04T00:00:00"/>
        <d v="2020-06-10T00:00:00"/>
        <d v="2020-06-11T00:00:00"/>
        <d v="2020-06-22T00:00:00"/>
        <d v="2020-06-25T00:00:00"/>
        <d v="2020-06-26T00:00:00"/>
        <d v="2020-06-30T00:00:00"/>
        <d v="2020-07-08T00:00:00"/>
        <d v="2020-07-16T00:00:00"/>
        <d v="2020-07-28T00:00:00"/>
        <d v="2020-07-31T00:00:00"/>
        <d v="2020-08-11T00:00:00"/>
        <d v="2020-08-13T00:00:00"/>
        <d v="2020-08-16T00:00:00"/>
        <d v="2020-08-17T00:00:00"/>
        <d v="2020-08-27T00:00:00"/>
        <d v="2020-09-10T00:00:00"/>
        <d v="2020-09-15T00:00:00"/>
        <d v="2020-09-18T00:00:00"/>
        <d v="2020-09-23T00:00:00"/>
        <d v="2020-09-24T00:00:00"/>
        <d v="2020-10-01T00:00:00"/>
        <d v="2020-10-06T00:00:00"/>
        <d v="2020-10-07T00:00:00"/>
        <d v="2020-10-15T00:00:00"/>
        <d v="2020-10-16T00:00:00"/>
        <d v="2020-10-17T00:00:00"/>
        <d v="2020-10-20T00:00:00"/>
        <d v="2020-10-21T00:00:00"/>
        <d v="2020-10-22T00:00:00"/>
        <d v="2020-10-23T00:00:00"/>
        <d v="2020-10-30T00:00:00"/>
        <d v="2020-11-03T00:00:00"/>
        <d v="2020-11-04T00:00:00"/>
        <d v="2020-11-05T00:00:00"/>
        <d v="2020-11-17T00:00:00"/>
        <d v="2020-11-23T00:00:00"/>
        <d v="2020-12-11T00:00:00"/>
        <d v="2020-12-14T00:00:00"/>
        <d v="2020-12-21T00:00:00"/>
        <d v="2021-01-07T00:00:00"/>
        <d v="2021-01-08T00:00:00"/>
        <d v="2021-01-29T00:00:00"/>
        <d v="2021-02-01T00:00:00"/>
        <d v="2021-02-03T00:00:00"/>
        <d v="2021-02-04T00:00:00"/>
        <d v="2021-02-08T00:00:00"/>
        <d v="2021-02-09T00:00:00"/>
        <d v="2021-02-11T00:00:00"/>
        <d v="2021-02-12T00:00:00"/>
        <d v="2021-02-13T00:00:00"/>
        <d v="2021-02-14T00:00:00"/>
        <d v="2021-02-15T00:00:00"/>
        <d v="2021-02-16T00:00:00"/>
        <d v="2021-02-17T00:00:00"/>
        <d v="2021-02-18T00:00:00"/>
        <d v="2021-02-19T00:00:00"/>
        <d v="2021-02-22T00:00:00"/>
        <d v="2021-02-23T00:00:00"/>
        <d v="2021-02-25T00:00:00"/>
        <d v="2021-02-26T00:00:00"/>
        <d v="2021-03-01T00:00:00"/>
        <d v="2021-03-02T00:00:00"/>
        <d v="2021-03-03T00:00:00"/>
        <d v="2021-03-04T00:00:00"/>
        <d v="2021-03-05T00:00:00"/>
        <d v="2021-03-08T00:00:00"/>
        <d v="2021-03-09T00:00:00"/>
        <d v="2021-03-10T00:00:00"/>
        <d v="2021-03-11T00:00:00"/>
        <d v="2021-03-12T00:00:00"/>
        <d v="2021-03-14T00:00:00"/>
        <d v="2021-03-15T00:00:00"/>
        <d v="2021-03-16T00:00:00"/>
        <d v="2021-03-17T00:00:00"/>
        <d v="2021-03-22T00:00:00"/>
        <d v="2021-03-23T00:00:00"/>
        <d v="2021-03-24T00:00:00"/>
        <d v="2021-03-25T00:00:00"/>
        <d v="2021-03-26T00:00:00"/>
        <d v="2021-03-29T00:00:00"/>
        <d v="2021-03-30T00:00:00"/>
        <d v="2021-03-31T00:00:00"/>
        <d v="2021-04-06T00:00:00"/>
        <d v="2021-04-08T00:00:00"/>
        <d v="2021-04-13T00:00:00"/>
        <d v="2021-04-14T00:00:00"/>
        <d v="2021-04-15T00:00:00"/>
        <d v="2021-04-16T00:00:00"/>
        <d v="2021-04-19T00:00:00"/>
        <d v="2021-04-20T00:00:00"/>
        <d v="2021-04-21T00:00:00"/>
        <d v="2021-04-26T00:00:00"/>
        <d v="2021-04-27T00:00:00"/>
        <d v="2021-04-28T00:00:00"/>
        <d v="2021-04-29T00:00:00"/>
        <d v="2021-04-30T00:00:00"/>
        <d v="2021-05-03T00:00:00"/>
        <d v="2021-05-04T00:00:00"/>
        <d v="2021-05-05T00:00:00"/>
        <d v="2021-05-06T00:00:00"/>
        <d v="2021-05-07T00:00:00"/>
        <d v="2021-05-10T00:00:00"/>
        <d v="2021-05-11T00:00:00"/>
        <d v="2021-05-12T00:00:00"/>
        <d v="2021-05-13T00:00:00"/>
        <d v="2021-05-14T00:00:00"/>
        <d v="2021-05-17T00:00:00"/>
        <d v="2021-05-18T00:00:00"/>
        <d v="2021-05-19T00:00:00"/>
        <d v="2021-05-20T00:00:00"/>
        <d v="2021-05-21T00:00:00"/>
        <d v="2021-05-22T00:00:00"/>
        <d v="2021-05-23T00:00:00"/>
        <d v="2021-05-24T00:00:00"/>
        <d v="2021-05-25T00:00:00"/>
        <d v="2021-05-26T00:00:00"/>
        <d v="2021-05-27T00:00:00"/>
        <d v="2021-05-28T00:00:00"/>
        <d v="2021-05-31T00:00:00"/>
        <d v="2021-06-01T00:00:00"/>
        <d v="2021-06-02T00:00:00"/>
        <d v="2021-06-03T00:00:00"/>
        <d v="2021-06-04T00:00:00"/>
        <d v="2021-06-07T00:00:00"/>
        <d v="2021-06-08T00:00:00"/>
        <d v="2021-06-09T00:00:00"/>
        <d v="2021-06-10T00:00:00"/>
        <d v="2021-06-11T00:00:00"/>
        <d v="2021-06-12T00:00:00"/>
        <d v="2021-06-13T00:00:00"/>
        <d v="2021-06-14T00:00:00"/>
        <d v="2021-06-15T00:00:00"/>
        <d v="2021-06-16T00:00:00"/>
        <d v="2021-06-17T00:00:00"/>
        <d v="2021-06-18T00:00:00"/>
        <d v="2021-06-20T00:00:00"/>
        <d v="2021-06-21T00:00:00"/>
        <d v="2021-06-22T00:00:00"/>
        <d v="2021-06-23T00:00:00"/>
        <d v="2021-06-28T00:00:00"/>
        <d v="2021-06-29T00:00:00"/>
        <d v="2021-06-30T00:00:00"/>
        <d v="2021-07-01T00:00:00"/>
        <d v="2021-07-02T00:00:00"/>
        <d v="2021-07-04T00:00:00"/>
        <d v="2021-07-05T00:00:00"/>
        <d v="2021-07-06T00:00:00"/>
        <d v="2021-07-07T00:00:00"/>
        <d v="2021-07-08T00:00:00"/>
        <d v="2021-07-09T00:00:00"/>
        <d v="2021-07-11T00:00:00"/>
        <d v="2021-07-12T00:00:00"/>
        <d v="2021-07-13T00:00:00"/>
        <d v="2021-07-14T00:00:00"/>
        <d v="2021-07-15T00:00:00"/>
        <d v="2021-07-16T00:00:00"/>
        <d v="2021-07-17T00:00:00"/>
        <d v="2021-07-19T00:00:00"/>
        <d v="2021-07-20T00:00:00"/>
        <d v="2021-07-21T00:00:00"/>
        <d v="2021-07-22T00:00:00"/>
        <d v="2021-07-23T00:00:00"/>
        <d v="2021-07-24T00:00:00"/>
        <d v="2021-07-26T00:00:00"/>
        <d v="2021-07-27T00:00:00"/>
        <d v="2021-07-28T00:00:00"/>
        <d v="2021-07-29T00:00:00"/>
        <d v="2021-07-30T00:00:00"/>
        <d v="2021-08-02T00:00:00"/>
        <d v="2021-08-03T00:00:00"/>
        <d v="2021-08-04T00:00:00"/>
        <d v="2021-08-05T00:00:00"/>
        <d v="2021-08-06T00:00:00"/>
        <d v="2021-08-09T00:00:00"/>
        <d v="2021-08-10T00:00:00"/>
        <d v="2021-08-11T00:00:00"/>
        <d v="2021-08-12T00:00:00"/>
        <d v="2021-08-13T00:00:00"/>
        <d v="2021-08-14T00:00:00"/>
        <d v="2021-08-15T00:00:00"/>
        <d v="2021-08-16T00:00:00"/>
        <d v="2021-08-17T00:00:00"/>
        <d v="2021-08-18T00:00:00"/>
        <d v="2021-08-19T00:00:00"/>
        <d v="2021-08-20T00:00:00"/>
        <d v="2021-08-23T00:00:00"/>
        <d v="2021-08-24T00:00:00"/>
        <d v="2021-08-25T00:00:00"/>
        <d v="2021-08-26T00:00:00"/>
        <d v="2021-08-27T00:00:00"/>
        <d v="2021-08-28T00:00:00"/>
        <d v="2021-08-29T00:00:00"/>
        <d v="2021-08-30T00:00:00"/>
        <d v="2021-08-31T00:00:00"/>
        <d v="2021-09-01T00:00:00"/>
        <d v="2021-09-02T00:00:00"/>
        <d v="2021-09-03T00:00:00"/>
        <d v="2021-09-04T00:00:00"/>
        <d v="2021-09-06T00:00:00"/>
        <d v="2021-09-07T00:00:00"/>
        <d v="2021-09-08T00:00:00"/>
        <d v="2021-09-09T00:00:00"/>
        <d v="2021-09-10T00:00:00"/>
        <d v="2021-09-11T00:00:00"/>
        <d v="2021-09-12T00:00:00"/>
        <d v="2021-09-13T00:00:00"/>
        <d v="2021-09-14T00:00:00"/>
        <d v="2021-09-15T00:00:00"/>
        <d v="2021-09-16T00:00:00"/>
        <d v="2021-09-17T00:00:00"/>
        <d v="2021-09-20T00:00:00"/>
        <d v="2021-09-21T00:00:00"/>
        <d v="2021-09-22T00:00:00"/>
        <d v="2021-09-23T00:00:00"/>
        <d v="2021-09-24T00:00:00"/>
        <d v="2021-09-26T00:00:00"/>
        <d v="2021-09-27T00:00:00"/>
        <d v="2021-09-28T00:00:00"/>
        <d v="2021-09-29T00:00:00"/>
        <d v="2021-09-30T00:00:00"/>
        <d v="2021-10-01T00:00:00"/>
        <d v="2021-10-02T00:00:00"/>
        <d v="2021-10-03T00:00:00"/>
        <d v="2021-10-04T00:00:00"/>
        <d v="2021-10-05T00:00:00"/>
        <d v="2021-10-06T00:00:00"/>
        <d v="2021-10-07T00:00:00"/>
        <d v="2021-10-08T00:00:00"/>
        <d v="2021-10-11T00:00:00"/>
        <d v="2021-10-13T00:00:00"/>
        <d v="2021-10-14T00:00:00"/>
        <d v="2021-10-15T00:00:00"/>
        <d v="2021-10-18T00:00:00"/>
        <d v="2021-10-19T00:00:00"/>
        <d v="2021-10-20T00:00:00"/>
        <d v="2021-10-21T00:00:00"/>
        <d v="2021-10-22T00:00:00"/>
        <d v="2021-10-24T00:00:00"/>
        <d v="2021-10-25T00:00:00"/>
        <d v="2021-10-26T00:00:00"/>
        <d v="2021-10-27T00:00:00"/>
        <d v="2021-10-28T00:00:00"/>
        <d v="2021-10-29T00:00:00"/>
        <d v="2021-10-30T00:00:00"/>
        <d v="2021-11-02T00:00:00"/>
        <d v="2021-11-03T00:00:00"/>
        <d v="2021-11-04T00:00:00"/>
        <d v="2021-11-05T00:00:00"/>
        <d v="2021-11-08T00:00:00"/>
        <d v="2021-11-09T00:00:00"/>
        <d v="2021-11-10T00:00:00"/>
        <d v="2021-11-11T00:00:00"/>
        <d v="2021-11-12T00:00:00"/>
        <d v="2021-11-15T00:00:00"/>
        <d v="2021-11-16T00:00:00"/>
        <d v="2021-11-17T00:00:00"/>
        <d v="2021-11-18T00:00:00"/>
        <d v="2021-11-19T00:00:00"/>
        <d v="2021-11-20T00:00:00"/>
        <d v="2021-11-21T00:00:00"/>
        <d v="2021-11-22T00:00:00"/>
        <d v="2021-11-23T00:00:00"/>
        <d v="2021-11-24T00:00:00"/>
        <d v="2021-11-25T00:00:00"/>
        <d v="2021-11-26T00:00:00"/>
        <d v="2021-11-29T00:00:00"/>
        <d v="2021-11-30T00:00:00"/>
        <d v="2021-12-01T00:00:00"/>
        <d v="2021-12-02T00:00:00"/>
        <d v="2021-12-03T00:00:00"/>
        <d v="2021-12-06T00:00:00"/>
        <d v="2021-12-07T00:00:00"/>
        <d v="2021-12-09T00:00:00"/>
        <d v="2021-12-10T00:00:00"/>
        <d v="2021-12-11T00:00:00"/>
        <d v="2021-12-12T00:00:00"/>
        <d v="2021-12-13T00:00:00"/>
        <d v="2021-12-14T00:00:00"/>
        <d v="2021-12-15T00:00:00"/>
        <d v="2021-12-16T00:00:00"/>
        <d v="2021-12-17T00:00:00"/>
        <d v="2021-12-20T00:00:00"/>
        <d v="2021-12-22T00:00:00"/>
        <d v="2021-12-23T00:00:00"/>
        <d v="2021-12-25T00:00:00"/>
        <d v="2021-12-27T00:00:00"/>
        <d v="2021-12-28T00:00:00"/>
        <d v="2021-12-29T00:00:00"/>
        <d v="2021-12-30T00:00:00"/>
        <d v="2022-01-01T00:00:00"/>
        <d v="2022-01-03T00:00:00"/>
        <d v="2022-01-04T00:00:00"/>
        <d v="2022-01-05T00:00:00"/>
        <d v="2022-01-07T00:00:00"/>
        <d v="2022-01-10T00:00:00"/>
        <d v="2022-01-11T00:00:00"/>
        <d v="2022-01-12T00:00:00"/>
        <d v="2022-01-13T00:00:00"/>
        <d v="2022-01-14T00:00:00"/>
        <d v="2022-01-15T00:00:00"/>
        <d v="2022-01-17T00:00:00"/>
        <d v="2022-01-18T00:00:00"/>
        <d v="2022-01-19T00:00:00"/>
        <d v="2022-01-20T00:00:00"/>
        <d v="2022-01-21T00:00:00"/>
        <d v="2022-01-22T00:00:00"/>
        <d v="2022-01-23T00:00:00"/>
        <d v="2022-01-24T00:00:00"/>
        <d v="2022-01-25T00:00:00"/>
        <d v="2022-01-26T00:00:00"/>
        <d v="2022-01-27T00:00:00"/>
        <d v="2022-01-28T00:00:00"/>
        <d v="2022-01-31T00:00:00"/>
        <d v="2022-02-01T00:00:00"/>
        <d v="2022-02-02T00:00:00"/>
        <d v="2022-02-03T00:00:00"/>
        <d v="2022-02-04T00:00:00"/>
        <d v="2022-02-07T00:00:00"/>
        <d v="2022-02-08T00:00:00"/>
        <d v="2022-02-09T00:00:00"/>
        <d v="2022-02-10T00:00:00"/>
        <d v="2022-02-11T00:00:00"/>
        <d v="2022-02-14T00:00:00"/>
        <d v="2022-02-15T00:00:00"/>
        <d v="2022-02-16T00:00:00"/>
        <d v="2022-02-17T00:00:00"/>
        <d v="2022-02-18T00:00:00"/>
        <d v="2022-02-19T00:00:00"/>
        <d v="2022-02-21T00:00:00"/>
        <d v="2022-02-22T00:00:00"/>
        <d v="2022-02-23T00:00:00"/>
        <d v="2022-02-24T00:00:00"/>
        <d v="2022-02-25T00:00:00"/>
        <d v="2022-02-26T00:00:00"/>
        <d v="2022-02-28T00:00:00"/>
        <d v="2022-03-01T00:00:00"/>
        <d v="2022-03-02T00:00:00"/>
        <d v="2022-03-03T00:00:00"/>
        <d v="2022-03-04T00:00:00"/>
        <d v="2022-03-06T00:00:00"/>
        <d v="2022-03-07T00:00:00"/>
        <d v="2022-03-08T00:00:00"/>
        <d v="2022-03-09T00:00:00"/>
        <d v="2022-03-10T00:00:00"/>
        <d v="2022-03-11T00:00:00"/>
        <d v="2022-03-12T00:00:00"/>
        <d v="2022-03-14T00:00:00"/>
        <d v="2022-03-15T00:00:00"/>
        <d v="2022-03-16T00:00:00"/>
        <d v="2022-03-17T00:00:00"/>
        <d v="2022-03-21T00:00:00"/>
        <d v="2022-03-22T00:00:00"/>
        <d v="2022-03-23T00:00:00"/>
        <d v="2022-03-24T00:00:00"/>
        <d v="2022-03-25T00:00:00"/>
        <d v="2022-03-26T00:00:00"/>
        <d v="2022-03-27T00:00:00"/>
        <d v="2022-03-28T00:00:00"/>
        <d v="2022-03-29T00:00:00"/>
        <d v="2022-03-30T00:00:00"/>
        <d v="2022-03-31T00:00:00"/>
        <d v="2022-04-01T00:00:00"/>
        <d v="2022-04-02T00:00:00"/>
        <d v="2022-04-03T00:00:00"/>
        <d v="2022-04-04T00:00:00"/>
        <d v="2022-04-05T00:00:00"/>
        <d v="2022-04-06T00:00:00"/>
        <d v="2022-04-07T00:00:00"/>
        <d v="2022-04-08T00:00:00"/>
        <d v="2022-04-09T00:00:00"/>
        <d v="2022-04-10T00:00:00"/>
        <d v="2022-04-11T00:00:00"/>
        <d v="2022-04-12T00:00:00"/>
        <d v="2022-04-13T00:00:00"/>
        <d v="2022-04-14T00:00:00"/>
        <d v="2022-04-15T00:00:00"/>
        <d v="2022-04-16T00:00:00"/>
        <d v="2022-04-17T00:00:00"/>
        <d v="2022-04-18T00:00:00"/>
        <d v="2022-04-19T00:00:00"/>
        <d v="2022-04-20T00:00:00"/>
        <d v="2022-04-21T00:00:00"/>
        <d v="2022-04-22T00:00:00"/>
        <d v="2022-04-25T00:00:00"/>
        <d v="2022-04-26T00:00:00"/>
        <d v="2022-04-27T00:00:00"/>
        <d v="2022-04-28T00:00:00"/>
        <d v="2022-04-29T00:00:00"/>
        <d v="2022-04-30T00:00:00"/>
        <d v="2022-05-01T00:00:00"/>
        <d v="2022-05-02T00:00:00"/>
        <d v="2022-05-03T00:00:00"/>
        <d v="2022-05-04T00:00:00"/>
        <d v="2022-05-05T00:00:00"/>
        <d v="2022-05-06T00:00:00"/>
        <d v="2022-05-07T00:00:00"/>
        <d v="2022-05-08T00:00:00"/>
        <d v="2022-05-09T00:00:00"/>
        <d v="2022-05-10T00:00:00"/>
        <d v="2022-05-11T00:00:00"/>
        <d v="2022-05-12T00:00:00"/>
        <d v="2022-05-13T00:00:00"/>
        <d v="2022-05-14T00:00:00"/>
        <d v="2022-05-15T00:00:00"/>
        <d v="2022-05-16T00:00:00"/>
        <d v="2022-05-17T00:00:00"/>
        <d v="2022-05-18T00:00:00"/>
        <d v="2022-05-19T00:00:00"/>
        <d v="2022-05-20T00:00:00"/>
        <d v="2022-05-21T00:00:00"/>
        <d v="2022-05-22T00:00:00"/>
        <d v="2022-05-23T00:00:00"/>
        <d v="2022-05-24T00:00:00"/>
        <d v="2022-05-25T00:00:00"/>
        <d v="2022-05-26T00:00:00"/>
        <d v="2022-05-27T00:00:00"/>
        <d v="2022-05-29T00:00:00"/>
        <d v="2022-05-30T00:00:00"/>
        <d v="2022-05-31T00:00:00"/>
        <d v="2022-06-01T00:00:00"/>
        <d v="2022-06-02T00:00:00"/>
        <d v="2022-06-03T00:00:00"/>
        <d v="2022-06-04T00:00:00"/>
        <d v="2022-06-05T00:00:00"/>
        <d v="2022-06-06T00:00:00"/>
        <d v="2022-06-07T00:00:00"/>
        <d v="2022-06-08T00:00:00"/>
        <d v="2022-06-09T00:00:00"/>
        <d v="2022-06-10T00:00:00"/>
        <d v="2022-06-11T00:00:00"/>
        <d v="2022-06-12T00:00:00"/>
        <d v="2022-06-13T00:00:00"/>
        <d v="2022-06-14T00:00:00"/>
        <d v="2022-06-15T00:00:00"/>
        <d v="2022-06-16T00:00:00"/>
        <d v="2022-06-17T00:00:00"/>
        <d v="2022-06-18T00:00:00"/>
        <d v="2022-06-19T00:00:00"/>
        <d v="2022-06-20T00:00:00"/>
        <d v="2022-06-21T00:00:00"/>
        <d v="2022-06-22T00:00:00"/>
        <d v="2022-06-23T00:00:00"/>
        <d v="2022-06-24T00:00:00"/>
        <d v="2022-06-25T00:00:00"/>
        <d v="2022-06-26T00:00:00"/>
        <d v="2022-06-27T00:00:00"/>
        <d v="2022-06-28T00:00:00"/>
        <d v="2022-06-29T00:00:00"/>
        <d v="2022-06-30T00:00:00"/>
        <d v="2022-07-01T00:00:00"/>
        <d v="2022-07-02T00:00:00"/>
        <d v="2022-07-03T00:00:00"/>
        <d v="2022-07-04T00:00:00"/>
        <d v="2022-07-05T00:00:00"/>
        <d v="2022-07-06T00:00:00"/>
        <d v="2022-07-07T00:00:00"/>
        <d v="2022-07-08T00:00:00"/>
        <d v="2022-07-09T00:00:00"/>
        <d v="2022-07-10T00:00:00"/>
        <d v="2022-07-11T00:00:00"/>
        <d v="2022-07-12T00:00:00"/>
        <d v="2022-07-13T00:00:00"/>
        <d v="2022-07-14T00:00:00"/>
        <d v="2022-07-15T00:00:00"/>
        <d v="2022-07-16T00:00:00"/>
        <d v="2022-07-17T00:00:00"/>
        <d v="2022-07-18T00:00:00"/>
        <d v="2022-07-19T00:00:00"/>
        <d v="2022-07-20T00:00:00"/>
        <d v="2022-07-21T00:00:00"/>
        <d v="2022-07-22T00:00:00"/>
        <d v="2022-07-23T00:00:00"/>
        <d v="2022-07-24T00:00:00"/>
        <d v="2022-07-25T00:00:00"/>
        <d v="2022-07-26T00:00:00"/>
        <d v="2022-07-27T00:00:00"/>
        <d v="2022-07-28T00:00:00"/>
        <d v="2022-07-29T00:00:00"/>
        <d v="2022-07-30T00:00:00"/>
        <d v="2022-07-31T00:00:00"/>
        <m/>
        <d v="2021-01-01T00:00:00" u="1"/>
      </sharedItems>
    </cacheField>
    <cacheField name="Kerma en aire acumulada (Gy)" numFmtId="0">
      <sharedItems containsDate="1" containsBlank="1" containsMixedTypes="1" minDate="1899-12-30T07:15:59" maxDate="1900-01-04T16:38:04"/>
    </cacheField>
    <cacheField name="Zona corporal" numFmtId="0">
      <sharedItems containsBlank="1" containsMixedTypes="1" containsNumber="1" minValue="0" maxValue="1.6E-2"/>
    </cacheField>
    <cacheField name="Columna1" numFmtId="0">
      <sharedItems containsString="0" containsBlank="1" containsNumber="1" minValue="1.6E-2" maxValue="1.7110000000000001"/>
    </cacheField>
    <cacheField name="Columna2" numFmtId="0">
      <sharedItems containsString="0" containsBlank="1" containsNumber="1" minValue="8.9999999999999993E-3" maxValue="2.3912"/>
    </cacheField>
    <cacheField name="Columna3" numFmtId="0">
      <sharedItems containsString="0" containsBlank="1" containsNumber="1" minValue="0.01" maxValue="2.1227999999999998"/>
    </cacheField>
    <cacheField name="Columna4" numFmtId="0">
      <sharedItems containsString="0" containsBlank="1" containsNumber="1" minValue="0" maxValue="0.151"/>
    </cacheField>
    <cacheField name="Columna5" numFmtId="0">
      <sharedItems containsString="0" containsBlank="1" containsNumber="1" minValue="0" maxValue="1.6E-2"/>
    </cacheField>
    <cacheField name="Columna6" numFmtId="0">
      <sharedItems containsString="0" containsBlank="1" containsNumber="1" minValue="1.6E-2" maxValue="1.698"/>
    </cacheField>
    <cacheField name="Columna7" numFmtId="0">
      <sharedItems containsString="0" containsBlank="1" containsNumber="1" minValue="8.9999999999999993E-3" maxValue="1.7"/>
    </cacheField>
    <cacheField name="Columna8" numFmtId="0">
      <sharedItems containsString="0" containsBlank="1" containsNumber="1" minValue="0.01" maxValue="2.5129999999999999"/>
    </cacheField>
    <cacheField name="Columna9" numFmtId="0">
      <sharedItems containsString="0" containsBlank="1" containsNumber="1" minValue="0" maxValue="0.151"/>
    </cacheField>
    <cacheField name="Fecha de nacimiento" numFmtId="0">
      <sharedItems containsDate="1" containsBlank="1" containsMixedTypes="1" minDate="1925-07-11T00:00:00" maxDate="2029-07-05T00:00:00"/>
    </cacheField>
    <cacheField name="Apuntado" numFmtId="0">
      <sharedItems containsBlank="1" containsMixedTypes="1" containsNumber="1" containsInteger="1" minValue="9040010010385090" maxValue="9040010010385090"/>
    </cacheField>
    <cacheField name="Examen" numFmtId="0">
      <sharedItems containsBlank="1" count="314">
        <m/>
        <s v="Quimioembolización hepática. Procedimiento básico"/>
        <s v="Cateterismo cardíaco"/>
        <s v="Tratamiento endovascular aneurisma de aorta abdominal. Procedimiento basico"/>
        <s v="Arteriografía renal"/>
        <s v="Embolización de hemorragia digestiva alta. Procedimiento básico"/>
        <s v="3061080107241010"/>
        <s v="Ablación tumoral, radiofrecuencia"/>
        <s v="Embolización de aneurismas venosos"/>
        <s v="Otras embolizaciones. Procedimiento básico"/>
        <s v="(TIPS) Shunt protocava percutáneo. Procedimiento básico"/>
        <s v="Aortografía abdominal"/>
        <s v="Arteriografía troncos viscerales digestivos"/>
        <s v="Embolización grandes vasos. Procedimiento básico"/>
        <s v="Embolización esplénica. Procedimiento básico"/>
        <s v="Embolización en malformaciones vasculares cerebrales. Procedimiento báscio"/>
        <s v="Angiografía cerebral completa y selectiva. Procedimiento básico"/>
        <s v="Control catéter drenaje"/>
        <s v="Infusión terapéutica quimioterapia. Procedimiento básico"/>
        <s v="Embolización de hemorragias digestivas. Procedimiento básico"/>
        <s v="Embolización otras hemorragias. Procedimiento básico"/>
        <s v="Embolización tumoral. Procedimiento básico"/>
        <s v="Arteriografía miembros inferiores"/>
        <s v="Embolización bronquial. Procedimiento básico"/>
        <s v="3061080110001370"/>
        <s v="3061080105041010"/>
        <s v="Embolización renal. Procedimiento básico"/>
        <s v="Embolización anuerisma venoso. Procedimiento básico"/>
        <s v="3061080109001030"/>
        <s v="Shunt portocava percutáneo TIPS. Procedimiento básico"/>
        <s v="Tratamiento endovascular estenosis oclusiva miembros superiores. Procedimiento basico"/>
        <s v="3061080110001100"/>
        <s v="3061080106071010"/>
        <s v="3061080111001050"/>
        <s v="3061080102091010"/>
        <s v="Embolización en tumores. Procedimiento básico"/>
        <s v="Tratamiento endovascular estenosis oclusiva cava superior: Procedimiento básico"/>
        <s v="Cateterismo cardiaco pediatrico"/>
        <s v="Colocación de cáteter central con tracto subcutáneo"/>
        <s v="Tratamiento estenosis oclusiva otras arterias"/>
        <s v="Cateterismo cardíaco pediátrico"/>
        <s v="Embo otras hemorrajs proc basic"/>
        <s v="Embo hepatica proc basic"/>
        <s v="Estudio de fístula arteriovenosa hemodialisis"/>
        <s v="Embolización de hemorragia digestiva baja: Procedimiento básico"/>
        <s v="Embolización de hemorragia digestiva baja. Procedimiento básico"/>
        <s v="Dilatación biliar hepática"/>
        <s v="Colocación cateter central con tracto subcutaneo + tto endov esten oclu cava sup (no imagenes)"/>
        <s v="Otro intervencionismo de diagnóstico de tórax"/>
        <s v="Embolización de miomas uterinos: Procedimiento básico"/>
        <s v="Filtro de cava"/>
        <s v="Tratamiento estenosis oclusiva cava superior: Procedimiento básico"/>
        <s v="Drenaje biliar percutáneo interno externo"/>
        <s v="Otro intervencionismo diagnostico de abdomen pediátrico"/>
        <s v="Gastrostomía percutánea"/>
        <s v="Tratamiento intraarterial ictus isquémico"/>
        <s v="Esclerosis de cavidades"/>
        <s v="Embolización hepática: Procedimiento básico"/>
        <s v="Toma de presiones: Manometría venosa"/>
        <s v="Dilatación vía biliar"/>
        <s v="Embolización pulmonar: Procedimiento básico"/>
        <s v="Biopsia percutánea mediante ecografía"/>
        <s v="Angiografía cerebral completa y selectiva pediátrica"/>
        <s v="Colocación cáteter vena central sin tracto subcutáneo pediátrico"/>
        <s v="Arteriografía por vía venosa pediátrica"/>
        <s v="Arteriografía pélvica pediátrica"/>
        <s v="Otro intervencionismo diagnóstico de abdomen"/>
        <s v="Tratamiento endovascular estenosis oclusivas en miembros inferiores"/>
        <s v="Otras arteriografías pediátricas"/>
        <s v="Dilatación vía biliar pediátrica"/>
        <s v="Arteriografía cerebral completa y selectiva pediátrica"/>
        <s v="Tratamiento de lesiones vertebrales: Verteroplastia simple"/>
        <s v="Arteriografía de miembros inferiores"/>
        <s v="Tratamiento endovascular estenosis oclusiva cava inferior"/>
        <s v="Drenaje percutáneo de abscesos y colecciones"/>
        <s v="Drenaje biliar percutáneo con drenaje de stent"/>
        <s v="Drenaje percutáneo de abscesos y colecciones pediátrico"/>
        <s v="Tratamiento de lesiones vertebrales: Verteroplastia asistida por stent"/>
        <s v="Colocación cáteter vena central con tracto subcutáneo pediátrico"/>
        <s v="Drenaje biliar percutáneo"/>
        <s v="Tratamiento estenosis oclusiva troncos viscerales digestivos"/>
        <s v="Embolización en otros territorios venosos"/>
        <s v="Otras arteriografías"/>
        <s v="Embolización de aneurismas arteriales"/>
        <s v="Tratamiento endovascular estenosis oclusivas en miembros superiores"/>
        <s v="Drenaje biliar percutáneo con implante de stent"/>
        <s v="Angiografía cerebral completa y selectiva"/>
        <s v="Embolización de hemorragia digestiva baja"/>
        <s v="Tratamiento de hernias discales por láser"/>
        <s v="Flebo ms"/>
        <s v="Embolización de grandes vasos"/>
        <s v="Biopsia transyugular hepática"/>
        <s v="Gastroyeyunostomía percutánea"/>
        <s v="Infiltración auricular"/>
        <s v="Tratamiento de lesiones vertebrales. Verteoplastia simple"/>
        <s v="Tratamiento endovascular de fístulas de hemodiálisis"/>
        <s v="Tratamiento endovascular de aneurisma de aorta abdominal"/>
        <s v="Colocación del catéter venoso central con reservorio subcutáneo"/>
        <s v="Ablación tumoral"/>
        <s v="Colocación cateter central con tracto subcutáneo"/>
        <s v="Extracción filtro de cava"/>
        <s v="Tratamiendo endovascular en fístulas de hemodiálisis"/>
        <s v="Colangiografía percutánea"/>
        <s v="Tratamiento estenosis oclusiva sector femoral pop"/>
        <s v="Colocación del catéter venoso central con tracto subcutáneo"/>
        <s v="Control catéter venoso central"/>
        <s v="Tratamiento endovascular estenosis oclusiva en miembros inferiores"/>
        <s v="Control cateter de drenaje"/>
        <s v="Embo otras hermorrajs proc basic"/>
        <s v="Control cateter ven central"/>
        <s v="Embo bronquial proc basic"/>
        <s v="Coloc cateter ven central con tracto subcutaneo"/>
        <s v="Coloc cateter ven central con reservorio subcutaneo"/>
        <s v="Embo de Hemorraj dig alta proc basic"/>
        <s v="Drenaje biliar percneo interno externo"/>
        <s v="TTO endov esten oclu en arts pulms proc basic"/>
        <s v="Arteriografia pelvica"/>
        <s v="Embo en ot territ vens proc basic"/>
        <s v="Toma de presiones manometria ven"/>
        <s v="TTO esten oclu arteria renal proc basic"/>
        <s v="Colocación cateter vena central con reservorio subcutaneo"/>
        <s v="Embo otras hemrrajs proc basic"/>
        <s v="Drenaje biliar percneo con implante de stent"/>
        <s v="TTO endov esten oclu en injtos vases proc basic"/>
        <s v="TTO endov esten oclu en mms proc basic"/>
        <s v="TTO esten oclu otras arts prco basic"/>
        <s v="Arteriografia de MMII"/>
        <s v="TTO esten oclu sector iliaco porc basic"/>
        <s v="Flebo y manometria de shunt portocava percneo tips revisión"/>
        <s v="Colocación catéter vena central con reservorio subcutáneo"/>
        <s v="Tto endov esten oclu en mmii proc basic"/>
        <s v="Tto esten oclu sector fem pop proc basic"/>
        <s v="Gastrotomia percutánea"/>
        <s v="Colocación catéter vena central con tracto subcutáneo"/>
        <s v="Infiltración articular"/>
        <s v="Control catéter drenaje."/>
        <s v="Arteriografia tronc visc dig"/>
        <s v="Control catéter de drenaje"/>
        <s v="Drenaje biliar pércneo con implante de stent"/>
        <s v="Arteriografia pulmonar"/>
        <s v="Drenaje pérneo de abscesos y colecciones"/>
        <s v="Colocación catéter vena central sin tracto subcutáneo"/>
        <s v="Flebo MI"/>
        <s v="Drenaje biliar pércneo interno externo"/>
        <s v="Colocación de catéter en vena central con tracto subcutáneo"/>
        <s v="Colocación catéter en vena central con tracto subcutáneo"/>
        <s v="Tto de lnes vertebrales. Kifoplastia"/>
        <s v="Dilatación via biliar"/>
        <s v="Arteriografía de MMII"/>
        <s v="Tto endov esten oclu en mmss proc basic"/>
        <s v="Embo esplenica proc basic"/>
        <s v="Arteriografía pulmonar"/>
        <s v="Tto de lnes vertebrales. Vertebroblastia simple."/>
        <s v="Embolización esplenica: Porocedimiento básico"/>
        <s v="Control de catéter de drenaje"/>
        <s v="Colocación de catéter en vena centra con tracto subcutáneo"/>
        <s v="Control de catéter en vena central"/>
        <s v="Colocación de catéter en vena central con reservorio subcutáneo"/>
        <s v="Linfografía"/>
        <s v="Drenaje biliar pércneo externo"/>
        <s v="Embolización eplénica: Procedimiento básico"/>
        <s v="Otro intervencionismo diagnóstico de abd"/>
        <s v="Tto endov de la insuficiencia ven mediante embg"/>
        <s v="Tto endov esten oclu en mmii: procedimiento básico"/>
        <s v="Angio cerebral compleja y selectiva: procedimiento básico"/>
        <s v="Colocación de catéter en vena central"/>
        <s v="Tto endov aneu de aorta abd: procedimiento básico"/>
        <s v="Drenaje percneo de abscesos y colecciones"/>
        <s v="Embolización en aneurisma intracraneal gigante o complejo: procedimiento básico"/>
        <s v="Tto esten oclu sector ilíaco: procedimiento básico"/>
        <s v="Otro intervencionismo de diagnóstico de abdomen"/>
        <s v="Drenaje pércneo de abscesos y colecciones"/>
        <s v="Tto endov esten oclu en mmii. Procedimiento básico"/>
        <s v="Dilalatación via biliar"/>
        <s v="Arteriografía pélvica"/>
        <s v="Tto endov esten oclu cava sup proc basic"/>
        <s v="Arteriografia tronc visc diag"/>
        <s v="Tto intraart ictus isquémico: Procedimiento básico"/>
        <s v="Otro intervencionismo diagnóstico de torax"/>
        <s v="Tto endov esten oclu en MMII Porc basic"/>
        <s v="Tto endov en fistulas de hemdial: Porcedimiento básico"/>
        <s v="Embolización malformación vascular venosa mediante escelrosis"/>
        <s v="Anestesia de intervencionismo para adultos"/>
        <s v="Tto de hernias discales laser"/>
        <s v="Tto percneo de malfor vasces mediante esclerosis"/>
        <s v="Tto endov otros aneus proc basic"/>
        <s v="Colocación de cáteter en vena central con tracto subcutáneo"/>
        <s v="Embolizaciones otras hemorrajias: Procedimiento básico"/>
        <s v="Tto pércneo fistulas"/>
        <s v="Embolización de aneurismas arteriales. Procedimiento básico"/>
        <s v="Tto endov etsen oclu cava I. Procedimiento básico"/>
        <s v="Flebos otras zonas anatómicas"/>
        <s v="Embolización de hemorraj diag alta proc basic"/>
        <s v="Tto endov esten oclu en mmii: Proc Basic"/>
        <s v="Drenaje biliar "/>
        <s v="Embolización de grandes vasos. Procedimiento básico"/>
        <s v="Arteriografia de MMSS"/>
        <s v="Tto estenosis intracerebral. Procedimiento básico"/>
        <s v="Infiltrración articular"/>
        <s v="Tto de lnes vertebrales kifoplastia"/>
        <s v="Otras arteriografias"/>
        <s v="Gastrostomia percutánea"/>
        <s v="Colocación cateter en vena central con tracto subcutáneo"/>
        <s v="Tto endov esten oclu en mii: Procedimiento básico"/>
        <s v="Drenaje biliarr pércneo con implante de stent"/>
        <s v="Tto endov esten oclu en ot territ vens: Proc basic"/>
        <s v="Tto de hernias discales discectomia percutánea"/>
        <s v="Tto endoc esten oclu en mmss: proc basic"/>
        <s v="Infiltración en otros territorios de partes blandas"/>
        <s v="Tto endov este oclu en mmii: proc basic"/>
        <s v="Tto de lnes vertebrales verteroplastia asistida por balon"/>
        <s v="Tto de lnes vertebrales vertebroplastia simple"/>
        <s v="Biopsia trasyugular hepática"/>
        <s v="Colocación de catéter en vena central sin tracto subcutáneo"/>
        <s v="Embolización de hemorraj diag baja: proc basic"/>
        <s v="Tto de hernias discales láser"/>
        <s v="Embolización de hemorrajias dig baja: Procedimiento básico"/>
        <s v="Embolización miomas uterinos: Procedimiento básico"/>
        <s v="Arteriografía troncal visc dig"/>
        <s v="Embo de comnes portsmicas proc basic"/>
        <s v="Arteriografia tron visc dig"/>
        <s v="Angio medulo espinal: Proc basic"/>
        <s v="Arteriografía tronc visc dig"/>
        <s v="Embolización malformación arteriovenosa: Procedimiento básico"/>
        <s v="Colocación catéter en vena central sin tracto subcutáneo"/>
        <s v="TTO esten oclu otras arts proc basic"/>
        <s v="Tto endov esten oclu en mmii: poc basic"/>
        <s v="Embolización de hemorrajias dig alta: Procedimiento básico"/>
        <s v="Tto endov esten oclu shunt portcav tips: proc basic"/>
        <s v="Embo malfor arterio vens: proc basic"/>
        <s v="Embo malformación vasc ven mediante esclerosis"/>
        <s v="Angiografía cerebral compleja y selectiva: Procedimiento básico"/>
        <s v="Angiografía cerebral completa y selectiva: Procedimeinto básico"/>
        <s v="Embolización en aneurisma intracraneal: procedimiento básico"/>
        <s v="Tto pércneo de malfor vasces mediante esclerosis"/>
        <s v="Tto endov de la insuficiencia ven mediante radiofrecuencia"/>
        <s v="Arteriografía tron: visc dig"/>
        <s v="Angiografía cerebral completa y selectiva: Procedimiento básico"/>
        <s v="Embolización de hemorraj dig alta: proc basic"/>
        <s v="Conlangio percutánea"/>
        <s v="Tto endov aneu sector iliaco: proc basic"/>
        <s v="Estudio electrofisiológico y ablación"/>
        <s v="Embolización renal: Procedimiento básico"/>
        <s v="Implante de marcapasos y desfribiladores"/>
        <s v="Cavografía superior"/>
        <s v="Colangio percutánea"/>
        <s v="Tto de endov en fistulas de hemdial: proc basic"/>
        <s v="Embolización de aneus artes: Procedimiento básico"/>
        <s v="Shunt portocava pércneo tips: procedimiento básico"/>
        <s v="Embolización por hemorraj por trauma: Proc basic"/>
        <s v="Arteriografía de mmss"/>
        <s v="Embolización malformaciones arteiovenosas: Procedimiento básico"/>
        <s v="Revisión de herida quirúrgica"/>
        <s v="Implante/explante de holter subcutáneo"/>
        <s v="Tto en fistulas de hemdial: proc basic"/>
        <s v="Embolización de hemorrajias por trauma: procedimiento básico"/>
        <s v="Recambio de generador"/>
        <s v="Arteriografía tron vis dig"/>
        <s v="Cateterización retrograda catéter J"/>
        <s v="Cateterismo cardiaco"/>
        <s v="Embolización malformación vascular venosa mediante esclerosis"/>
        <s v="Infilltración articular"/>
        <s v="Tto esten oclu otras arts: procedimiento básico"/>
        <s v="Extracción de dispositivo"/>
        <s v="Rizolisis mediante radiofrecuencia"/>
        <s v="Estudio electrofisiológico de diagnóstico"/>
        <s v="Embolización de hemorraj dig baja: procedimiento básico"/>
        <s v="Tto de lnes vertebrales: vertebroplastia simple"/>
        <s v="Embolización malformación vasc ven mediante esclerosis"/>
        <s v="Estudio electrofisiológica diagnóstico"/>
        <s v="Embolización en otros territorios venosos: Procedimiento básico"/>
        <s v="Biop con ag bg"/>
        <s v="Estudio electrofisiológico diagnóstico"/>
        <s v="Drenaje biliar pércneo biliar"/>
        <s v="Embolización de anuerismas arteriales: procedimiento básico"/>
        <s v="Biop percutáneo mediante eco"/>
        <s v="Drenaje biliar pércneo"/>
        <s v="Tto endov esten en oclu en mmii: proc basic"/>
        <s v="Rizolisis mediante infiltración"/>
        <s v="Tto endov esten oclu en mmiii: proc basic"/>
        <s v="Embolización venosa pélvica: procedimiento básico"/>
        <s v="Tto endov aneu de aorta abd conram o fenes: proc basic"/>
        <s v="Embolización variocele: Procedimiento básico"/>
        <s v="Tto endov fistulas de hemdial: proc basic"/>
        <s v="Implante de marcapasos y desfibriladores"/>
        <s v="Tto esten oclu ms: Proc basic"/>
        <s v="Angio Cerebral completa y selectiva: procedimiento básico"/>
        <s v="Estudio Electrofisiologico diagnostico"/>
        <s v="Cateterización retrograda catéter doble J"/>
        <s v="Impante/Explante del Holter Subcutaneo"/>
        <s v="Estudio Fistula arterioven hemdial"/>
        <s v="Embo de Hemorraj dig baja proc basic"/>
        <s v="Extraccion Filtro de cava"/>
        <s v="Estudio Electrofisiologico y ablacion"/>
        <s v="Tto de lnes vertebrales: vertebroplastia asistida por balon"/>
        <s v="Tto Percneo de malfor vasces mediante esclerosis ped"/>
        <s v="Tto Endov Esten Oclu en venas hepat proc basic"/>
        <s v="Ablacion de tumores oseos"/>
        <s v="Dilatacion via biliar"/>
        <s v="Embo miomas uterinos proc basic"/>
        <s v="Embo grandes vasos proc basic"/>
        <s v="Angio modulo espinal proc basic"/>
        <s v="Embo en aneu intracra gte o complejo proc basic"/>
        <s v="Embo renal proc basic"/>
        <s v="Otro intervencionismo diagnostico de abd"/>
        <s v="Tto estenosis tronc supaort proc basic"/>
        <s v="Tto de lnes vertebrales verteroplastia simple"/>
        <s v="Angio selectiva tronc supaort proc basic"/>
        <s v="Tto endov aneu de aorta abd:  proc basic"/>
        <s v="Colocación cateter en vena central con reservorio subcutáneo"/>
        <s v="Biop trasyugular hepatica"/>
        <s v="Embo de hemorraj por trauma procedimiento basico"/>
        <s v="Embo en tumores procedimiento basico"/>
        <s v="Embolización bromquial. Procedimiento básico" u="1"/>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79">
  <r>
    <x v="0"/>
    <d v="2021-02-03T00:00:00"/>
    <n v="0.8"/>
    <m/>
    <m/>
    <m/>
    <x v="0"/>
  </r>
  <r>
    <x v="1"/>
    <d v="2021-02-04T00:00:00"/>
    <n v="0.9"/>
    <m/>
    <m/>
    <m/>
    <x v="1"/>
  </r>
  <r>
    <x v="2"/>
    <d v="2021-02-09T00:00:00"/>
    <n v="1.1000000000000001"/>
    <m/>
    <m/>
    <m/>
    <x v="2"/>
  </r>
  <r>
    <x v="3"/>
    <d v="2021-02-04T00:00:00"/>
    <n v="1.07"/>
    <m/>
    <m/>
    <m/>
    <x v="3"/>
  </r>
  <r>
    <x v="4"/>
    <d v="2021-01-01T00:00:00"/>
    <n v="2.8580000000000001"/>
    <m/>
    <n v="9040010010385090"/>
    <m/>
    <x v="4"/>
  </r>
  <r>
    <x v="5"/>
    <d v="2021-01-07T00:00:00"/>
    <n v="1.0249999999999999"/>
    <m/>
    <m/>
    <s v="Embolización en tumores. Procedimiento básico"/>
    <x v="5"/>
  </r>
  <r>
    <x v="5"/>
    <d v="2019-12-03T00:00:00"/>
    <n v="5.8280000000000003"/>
    <m/>
    <m/>
    <s v="Quimioembolización hepática. Procedimiento básico"/>
    <x v="5"/>
  </r>
  <r>
    <x v="5"/>
    <d v="2019-09-23T00:00:00"/>
    <n v="2.7250000000000001"/>
    <m/>
    <m/>
    <s v="Quimioembolización hepática. Procedimiento básico"/>
    <x v="5"/>
  </r>
  <r>
    <x v="5"/>
    <d v="2018-02-26T00:00:00"/>
    <n v="4.17"/>
    <m/>
    <m/>
    <s v="Quimioembolización hepática. Procedimiento básico"/>
    <x v="5"/>
  </r>
  <r>
    <x v="6"/>
    <d v="2021-02-19T00:00:00"/>
    <n v="0.48649999999999999"/>
    <m/>
    <m/>
    <m/>
    <x v="6"/>
  </r>
  <r>
    <x v="7"/>
    <d v="2021-02-18T00:00:00"/>
    <n v="0.16"/>
    <m/>
    <m/>
    <m/>
    <x v="7"/>
  </r>
  <r>
    <x v="8"/>
    <d v="2021-02-12T00:00:00"/>
    <n v="0.28699999999999998"/>
    <m/>
    <m/>
    <m/>
    <x v="8"/>
  </r>
  <r>
    <x v="9"/>
    <d v="2021-02-25T00:00:00"/>
    <n v="0.31"/>
    <m/>
    <m/>
    <m/>
    <x v="9"/>
  </r>
  <r>
    <x v="10"/>
    <d v="2021-02-14T00:00:00"/>
    <n v="0.33100000000000002"/>
    <m/>
    <m/>
    <m/>
    <x v="10"/>
  </r>
  <r>
    <x v="11"/>
    <d v="2021-02-16T00:00:00"/>
    <n v="0.182"/>
    <d v="2006-02-03T00:00:00"/>
    <m/>
    <m/>
    <x v="11"/>
  </r>
  <r>
    <x v="12"/>
    <d v="2021-02-18T00:00:00"/>
    <n v="0.19"/>
    <m/>
    <m/>
    <m/>
    <x v="12"/>
  </r>
  <r>
    <x v="13"/>
    <d v="2021-02-19T00:00:00"/>
    <n v="0.2"/>
    <m/>
    <m/>
    <m/>
    <x v="13"/>
  </r>
  <r>
    <x v="14"/>
    <d v="2021-02-17T00:00:00"/>
    <n v="0.10299999999999999"/>
    <d v="2009-09-14T00:00:00"/>
    <m/>
    <m/>
    <x v="14"/>
  </r>
  <r>
    <x v="15"/>
    <d v="2021-02-18T00:00:00"/>
    <n v="4.8000000000000001E-2"/>
    <d v="2007-02-01T00:00:00"/>
    <m/>
    <m/>
    <x v="15"/>
  </r>
  <r>
    <x v="16"/>
    <d v="2021-02-25T00:00:00"/>
    <n v="0.78500000000000003"/>
    <m/>
    <m/>
    <m/>
    <x v="16"/>
  </r>
  <r>
    <x v="17"/>
    <d v="2021-02-26T00:00:00"/>
    <n v="0.41699999999999998"/>
    <m/>
    <m/>
    <m/>
    <x v="17"/>
  </r>
  <r>
    <x v="18"/>
    <d v="2021-02-22T00:00:00"/>
    <n v="4.1500000000000004"/>
    <m/>
    <m/>
    <m/>
    <x v="18"/>
  </r>
  <r>
    <x v="19"/>
    <d v="2021-02-26T00:00:00"/>
    <n v="0.35199999999999998"/>
    <m/>
    <m/>
    <m/>
    <x v="19"/>
  </r>
  <r>
    <x v="20"/>
    <d v="2021-03-02T00:00:00"/>
    <n v="0.63600000000000001"/>
    <m/>
    <m/>
    <m/>
    <x v="20"/>
  </r>
  <r>
    <x v="21"/>
    <d v="2021-03-03T00:00:00"/>
    <n v="0.61899999999999999"/>
    <m/>
    <m/>
    <m/>
    <x v="21"/>
  </r>
  <r>
    <x v="22"/>
    <d v="2021-03-04T00:00:00"/>
    <n v="0.83899999999999997"/>
    <m/>
    <m/>
    <m/>
    <x v="22"/>
  </r>
  <r>
    <x v="23"/>
    <d v="2021-03-05T00:00:00"/>
    <n v="0.61899999999999999"/>
    <m/>
    <m/>
    <m/>
    <x v="23"/>
  </r>
  <r>
    <x v="24"/>
    <d v="2021-03-04T00:00:00"/>
    <n v="0.191"/>
    <d v="2020-11-04T00:00:00"/>
    <m/>
    <m/>
    <x v="24"/>
  </r>
  <r>
    <x v="25"/>
    <d v="2021-03-01T00:00:00"/>
    <n v="0.40500000000000003"/>
    <m/>
    <m/>
    <m/>
    <x v="25"/>
  </r>
  <r>
    <x v="26"/>
    <d v="2019-12-16T00:00:00"/>
    <n v="6.1820000000000004"/>
    <m/>
    <n v="9040010009905280"/>
    <s v="Embolización de hemorragia digestiva alta. Procedimiento básico"/>
    <x v="26"/>
  </r>
  <r>
    <x v="27"/>
    <d v="2019-07-23T00:00:00"/>
    <n v="8.9350000000000005"/>
    <m/>
    <m/>
    <s v="Tratamiento endovascular aneurisma de aorta abdominal. Procedimiento basico"/>
    <x v="27"/>
  </r>
  <r>
    <x v="28"/>
    <d v="2019-10-23T00:00:00"/>
    <n v="3.8679999999999999"/>
    <m/>
    <m/>
    <s v="Tratamiento endovascular aneurisma de aorta abdominal. Procedimiento basico"/>
    <x v="28"/>
  </r>
  <r>
    <x v="29"/>
    <d v="2019-10-18T00:00:00"/>
    <n v="5.4779999999999998"/>
    <m/>
    <m/>
    <s v="Arteriografía renal"/>
    <x v="29"/>
  </r>
  <r>
    <x v="30"/>
    <d v="2020-02-12T00:00:00"/>
    <n v="3.944"/>
    <m/>
    <m/>
    <s v="Ablación tumoral, radiofrecuencia"/>
    <x v="30"/>
  </r>
  <r>
    <x v="31"/>
    <d v="2020-05-30T00:00:00"/>
    <n v="2.9849999999999999"/>
    <m/>
    <m/>
    <s v="Embolización de hemorragia digestiva alta. Procedimiento básico"/>
    <x v="31"/>
  </r>
  <r>
    <x v="32"/>
    <d v="2020-06-22T00:00:00"/>
    <n v="3.0939999999999999"/>
    <m/>
    <m/>
    <s v="Quimioembolización hepática. Procedimiento básico"/>
    <x v="32"/>
  </r>
  <r>
    <x v="32"/>
    <d v="2020-02-04T00:00:00"/>
    <n v="5.2409999999999997"/>
    <m/>
    <m/>
    <s v="Quimioembolización hepática. Procedimiento básico"/>
    <x v="32"/>
  </r>
  <r>
    <x v="32"/>
    <d v="2020-09-18T00:00:00"/>
    <n v="3.0019999999999998"/>
    <m/>
    <m/>
    <s v="Quimioembolización hepática. Procedimiento básico"/>
    <x v="32"/>
  </r>
  <r>
    <x v="33"/>
    <d v="2020-06-11T00:00:00"/>
    <n v="2.823"/>
    <m/>
    <m/>
    <s v="Quimioembolización hepática. Procedimiento básico"/>
    <x v="33"/>
  </r>
  <r>
    <x v="33"/>
    <d v="2020-05-21T00:00:00"/>
    <n v="2.1709999999999998"/>
    <m/>
    <m/>
    <s v="Otras embolizaciones. Procedimiento básico"/>
    <x v="33"/>
  </r>
  <r>
    <x v="34"/>
    <d v="2020-06-03T00:00:00"/>
    <n v="3.7519999999999998"/>
    <m/>
    <m/>
    <s v="Aortografía abdominal"/>
    <x v="34"/>
  </r>
  <r>
    <x v="34"/>
    <d v="2020-05-04T00:00:00"/>
    <n v="2.5619999999999998"/>
    <m/>
    <m/>
    <s v="Embolización de aneurismas venosos"/>
    <x v="34"/>
  </r>
  <r>
    <x v="26"/>
    <d v="2020-06-04T00:00:00"/>
    <n v="3.05"/>
    <m/>
    <m/>
    <s v="Arteriografía troncos viscerales digestivos"/>
    <x v="35"/>
  </r>
  <r>
    <x v="35"/>
    <d v="2020-06-22T00:00:00"/>
    <n v="2.9980000000000002"/>
    <m/>
    <m/>
    <s v="Embolización grandes vasos. Procedimiento básico"/>
    <x v="36"/>
  </r>
  <r>
    <x v="36"/>
    <d v="2020-05-29T00:00:00"/>
    <n v="3.36"/>
    <m/>
    <m/>
    <s v="(TIPS) Shunt protocava percutáneo. Procedimiento básico"/>
    <x v="37"/>
  </r>
  <r>
    <x v="37"/>
    <d v="2020-06-25T00:00:00"/>
    <n v="6.2839999999999998"/>
    <m/>
    <m/>
    <s v="Otras embolizaciones. Procedimiento básico"/>
    <x v="38"/>
  </r>
  <r>
    <x v="38"/>
    <d v="2020-06-26T00:00:00"/>
    <n v="4.2350000000000003"/>
    <m/>
    <m/>
    <s v="Embolización esplénica. Procedimiento básico"/>
    <x v="39"/>
  </r>
  <r>
    <x v="39"/>
    <d v="2020-06-10T00:00:00"/>
    <n v="2.839"/>
    <m/>
    <m/>
    <s v="Arteriografía troncos viscerales digestivos"/>
    <x v="40"/>
  </r>
  <r>
    <x v="40"/>
    <d v="2020-06-30T00:00:00"/>
    <n v="3.476"/>
    <m/>
    <m/>
    <s v="Embolización en malformaciones vasculares cerebrales. Procedimiento báscio"/>
    <x v="41"/>
  </r>
  <r>
    <x v="41"/>
    <d v="2020-07-08T00:00:00"/>
    <n v="3.7"/>
    <m/>
    <m/>
    <s v="Angiografía cerebral completa y selectiva. Procedimiento básico"/>
    <x v="42"/>
  </r>
  <r>
    <x v="42"/>
    <d v="2020-07-16T00:00:00"/>
    <n v="7.4690000000000003"/>
    <m/>
    <m/>
    <s v="Arteriografía troncos viscerales digestivos"/>
    <x v="43"/>
  </r>
  <r>
    <x v="43"/>
    <d v="2020-07-28T00:00:00"/>
    <n v="6.1840000000000002"/>
    <m/>
    <m/>
    <s v="Arteriografía troncos viscerales digestivos"/>
    <x v="44"/>
  </r>
  <r>
    <x v="44"/>
    <d v="2020-07-28T00:00:00"/>
    <n v="3.5249999999999999"/>
    <m/>
    <m/>
    <s v="Control catéter drenaje"/>
    <x v="45"/>
  </r>
  <r>
    <x v="43"/>
    <d v="2020-08-13T00:00:00"/>
    <n v="2.165"/>
    <m/>
    <m/>
    <s v="Infusión terapéutica quimioterapia. Procedimiento básico"/>
    <x v="44"/>
  </r>
  <r>
    <x v="39"/>
    <d v="2020-07-31T00:00:00"/>
    <n v="5.7679999999999998"/>
    <m/>
    <m/>
    <s v="Infusión terapéutica quimioterapia. Procedimiento básico"/>
    <x v="40"/>
  </r>
  <r>
    <x v="45"/>
    <d v="2020-08-16T00:00:00"/>
    <n v="3.077"/>
    <m/>
    <m/>
    <s v="Arteriografía troncos viscerales digestivos"/>
    <x v="46"/>
  </r>
  <r>
    <x v="45"/>
    <d v="2020-08-17T00:00:00"/>
    <n v="3.536"/>
    <m/>
    <m/>
    <s v="Embolización otras hemorragias. Procedimiento básico"/>
    <x v="46"/>
  </r>
  <r>
    <x v="46"/>
    <d v="2020-08-11T00:00:00"/>
    <n v="2.67"/>
    <m/>
    <m/>
    <s v="Quimioembolización hepática. Procedimiento básico"/>
    <x v="47"/>
  </r>
  <r>
    <x v="47"/>
    <d v="2020-08-16T00:00:00"/>
    <n v="2.762"/>
    <m/>
    <m/>
    <s v="Embolización de hemorragias digestivas. Procedimiento básico"/>
    <x v="48"/>
  </r>
  <r>
    <x v="48"/>
    <d v="2020-08-27T00:00:00"/>
    <n v="2.456"/>
    <m/>
    <m/>
    <s v="Quimioembolización hepática. Procedimiento básico"/>
    <x v="49"/>
  </r>
  <r>
    <x v="49"/>
    <d v="2020-10-07T00:00:00"/>
    <n v="6.1459999999999999"/>
    <m/>
    <m/>
    <s v="Quimioembolización hepática. Procedimiento básico"/>
    <x v="50"/>
  </r>
  <r>
    <x v="49"/>
    <d v="2020-02-18T00:00:00"/>
    <n v="1.141"/>
    <m/>
    <m/>
    <m/>
    <x v="50"/>
  </r>
  <r>
    <x v="49"/>
    <d v="2019-02-05T00:00:00"/>
    <n v="2.4550000000000001"/>
    <m/>
    <m/>
    <m/>
    <x v="50"/>
  </r>
  <r>
    <x v="50"/>
    <d v="2020-10-01T00:00:00"/>
    <n v="5.5"/>
    <m/>
    <m/>
    <s v="Quimioembolización hepática. Procedimiento básico"/>
    <x v="51"/>
  </r>
  <r>
    <x v="50"/>
    <d v="2020-01-14T00:00:00"/>
    <n v="0.28699999999999998"/>
    <m/>
    <m/>
    <m/>
    <x v="51"/>
  </r>
  <r>
    <x v="50"/>
    <d v="2020-01-23T00:00:00"/>
    <n v="1.145"/>
    <m/>
    <m/>
    <m/>
    <x v="51"/>
  </r>
  <r>
    <x v="51"/>
    <d v="2020-09-24T00:00:00"/>
    <n v="3.718"/>
    <m/>
    <m/>
    <s v="Arteriografía miembros inferiores"/>
    <x v="52"/>
  </r>
  <r>
    <x v="51"/>
    <d v="2020-09-23T00:00:00"/>
    <n v="1.3759999999999999"/>
    <m/>
    <m/>
    <m/>
    <x v="52"/>
  </r>
  <r>
    <x v="52"/>
    <d v="2020-09-18T00:00:00"/>
    <n v="3.5640000000000001"/>
    <m/>
    <m/>
    <s v="Embolización tumoral. Procedimiento básico"/>
    <x v="53"/>
  </r>
  <r>
    <x v="53"/>
    <d v="2020-10-06T00:00:00"/>
    <n v="2.7730000000000001"/>
    <m/>
    <m/>
    <s v="Embolización bromquial. Procedimiento básico"/>
    <x v="54"/>
  </r>
  <r>
    <x v="54"/>
    <d v="2020-09-15T00:00:00"/>
    <n v="2.7559999999999998"/>
    <m/>
    <m/>
    <s v="Infusión terapéutica quimioterapia. Procedimiento básico"/>
    <x v="55"/>
  </r>
  <r>
    <x v="54"/>
    <d v="2018-01-15T00:00:00"/>
    <n v="3.1589999999999998"/>
    <m/>
    <m/>
    <m/>
    <x v="55"/>
  </r>
  <r>
    <x v="55"/>
    <d v="2020-10-16T00:00:00"/>
    <n v="4.2060000000000004"/>
    <m/>
    <m/>
    <s v="Embolización renal. Procedimiento básico"/>
    <x v="56"/>
  </r>
  <r>
    <x v="52"/>
    <d v="2020-10-15T00:00:00"/>
    <n v="2.8919999999999999"/>
    <m/>
    <m/>
    <s v="Infusión terapéutica quimioterapia. Procedimiento básico"/>
    <x v="53"/>
  </r>
  <r>
    <x v="56"/>
    <d v="2020-10-23T00:00:00"/>
    <n v="3.5110000000000001"/>
    <m/>
    <m/>
    <s v="Shunt portocava percutáneo TIPS. Procedimiento básico"/>
    <x v="57"/>
  </r>
  <r>
    <x v="56"/>
    <d v="2020-10-22T00:00:00"/>
    <n v="2.0510000000000002"/>
    <m/>
    <m/>
    <s v="Shunt portocava percutáneo TIPS. Procedimiento básico"/>
    <x v="57"/>
  </r>
  <r>
    <x v="57"/>
    <d v="2020-10-17T00:00:00"/>
    <n v="4.1280000000000001"/>
    <m/>
    <m/>
    <s v="Embolización anuerisma venoso. Procedimiento básico"/>
    <x v="58"/>
  </r>
  <r>
    <x v="58"/>
    <d v="2020-11-17T00:00:00"/>
    <n v="4.532"/>
    <m/>
    <m/>
    <s v="Quimioembolización hepática. Procedimiento básico"/>
    <x v="59"/>
  </r>
  <r>
    <x v="59"/>
    <d v="2020-11-23T00:00:00"/>
    <n v="2.8650000000000002"/>
    <m/>
    <m/>
    <s v="Embolización en tumores. Procedimiento básico"/>
    <x v="60"/>
  </r>
</pivotCacheRecords>
</file>

<file path=xl/pivotCache/pivotCacheRecords2.xml><?xml version="1.0" encoding="utf-8"?>
<pivotCacheRecords xmlns="http://schemas.openxmlformats.org/spreadsheetml/2006/main" xmlns:r="http://schemas.openxmlformats.org/officeDocument/2006/relationships" count="79">
  <r>
    <s v="Giner"/>
    <s v="Ortega"/>
    <s v="Francisca"/>
    <n v="2932156"/>
    <d v="2021-02-03T00:00:00"/>
    <n v="0.8"/>
    <m/>
    <m/>
    <m/>
    <s v="Francisca Giner Ortega"/>
    <x v="0"/>
    <x v="0"/>
  </r>
  <r>
    <s v="Paraschiv"/>
    <m/>
    <s v="Mihaela Florentina"/>
    <n v="6733815"/>
    <d v="2021-02-04T00:00:00"/>
    <n v="0.9"/>
    <m/>
    <m/>
    <m/>
    <s v="Mihaela Florentina Paraschiv "/>
    <x v="0"/>
    <x v="0"/>
  </r>
  <r>
    <s v="Hueso "/>
    <s v="Borrego"/>
    <s v="Manuela"/>
    <n v="2418238"/>
    <d v="2021-02-09T00:00:00"/>
    <n v="1.1000000000000001"/>
    <m/>
    <m/>
    <m/>
    <s v="Manuela Hueso  Borrego"/>
    <x v="0"/>
    <x v="0"/>
  </r>
  <r>
    <s v="Duro "/>
    <s v="Moreno"/>
    <s v="Ramón"/>
    <n v="1858960"/>
    <d v="2021-02-04T00:00:00"/>
    <n v="1.07"/>
    <m/>
    <m/>
    <m/>
    <s v="Ramón Duro  Moreno"/>
    <x v="0"/>
    <x v="0"/>
  </r>
  <r>
    <s v="Vicent"/>
    <s v="Roig"/>
    <s v="Elvira"/>
    <n v="4343935"/>
    <d v="2021-01-01T00:00:00"/>
    <n v="2.8580000000000001"/>
    <m/>
    <n v="9040010010385090"/>
    <m/>
    <s v="Elvira Vicent Roig"/>
    <x v="1"/>
    <x v="0"/>
  </r>
  <r>
    <s v="Cervera"/>
    <s v="Ruiz"/>
    <s v="Antonio"/>
    <n v="2932082"/>
    <d v="2021-01-07T00:00:00"/>
    <n v="1.0249999999999999"/>
    <m/>
    <m/>
    <s v="Embolización en tumores. Procedimiento básico"/>
    <s v="Antonio Cervera Ruiz"/>
    <x v="1"/>
    <x v="0"/>
  </r>
  <r>
    <s v="Cervera"/>
    <s v="Ruiz"/>
    <s v="Antonio"/>
    <n v="2932082"/>
    <d v="2019-12-03T00:00:00"/>
    <n v="5.8280000000000003"/>
    <m/>
    <m/>
    <s v="Quimioembolización hepática. Procedimiento básico"/>
    <s v="Antonio Cervera Ruiz"/>
    <x v="2"/>
    <x v="1"/>
  </r>
  <r>
    <s v="Cervera"/>
    <s v="Ruiz"/>
    <s v="Antonio"/>
    <n v="2932082"/>
    <d v="2019-09-23T00:00:00"/>
    <n v="2.7250000000000001"/>
    <m/>
    <m/>
    <s v="Quimioembolización hepática. Procedimiento básico"/>
    <s v="Antonio Cervera Ruiz"/>
    <x v="3"/>
    <x v="1"/>
  </r>
  <r>
    <s v="Cervera"/>
    <s v="Ruiz"/>
    <s v="Antonio"/>
    <n v="2932082"/>
    <d v="2018-02-26T00:00:00"/>
    <n v="4.17"/>
    <m/>
    <m/>
    <s v="Quimioembolización hepática. Procedimiento básico"/>
    <s v="Antonio Cervera Ruiz"/>
    <x v="0"/>
    <x v="2"/>
  </r>
  <r>
    <s v="Camargo"/>
    <s v="Monasterio"/>
    <s v="Marilin"/>
    <n v="7253924"/>
    <d v="2021-02-19T00:00:00"/>
    <n v="0.48649999999999999"/>
    <m/>
    <m/>
    <m/>
    <s v="Marilin Camargo Monasterio"/>
    <x v="0"/>
    <x v="0"/>
  </r>
  <r>
    <s v="Blasco "/>
    <s v="Calatayud"/>
    <s v="Josefa"/>
    <n v="2316361"/>
    <d v="2021-02-18T00:00:00"/>
    <n v="0.16"/>
    <m/>
    <m/>
    <m/>
    <s v="Josefa Blasco  Calatayud"/>
    <x v="0"/>
    <x v="0"/>
  </r>
  <r>
    <s v="Castro"/>
    <s v="Soler"/>
    <s v="Rafael "/>
    <n v="1867828"/>
    <d v="2021-02-12T00:00:00"/>
    <n v="0.28699999999999998"/>
    <m/>
    <m/>
    <m/>
    <s v="Rafael  Castro Soler"/>
    <x v="0"/>
    <x v="0"/>
  </r>
  <r>
    <s v="Jiménez "/>
    <s v="Gómez"/>
    <s v="Noel"/>
    <n v="196981"/>
    <d v="2021-02-25T00:00:00"/>
    <n v="0.31"/>
    <m/>
    <m/>
    <m/>
    <s v="Noel Jiménez  Gómez"/>
    <x v="0"/>
    <x v="0"/>
  </r>
  <r>
    <s v="Lozano"/>
    <s v="Ramos"/>
    <s v="Miguel Ángel"/>
    <n v="3824620"/>
    <d v="2021-02-14T00:00:00"/>
    <n v="0.33100000000000002"/>
    <m/>
    <m/>
    <m/>
    <s v="Miguel Ángel Lozano Ramos"/>
    <x v="0"/>
    <x v="0"/>
  </r>
  <r>
    <s v="Pazmiño"/>
    <s v="Manchón"/>
    <s v="Aaron Javier"/>
    <n v="6203670"/>
    <d v="2021-02-16T00:00:00"/>
    <n v="0.182"/>
    <d v="2006-02-03T00:00:00"/>
    <m/>
    <m/>
    <s v="Aaron Javier Pazmiño Manchón"/>
    <x v="0"/>
    <x v="0"/>
  </r>
  <r>
    <s v="Donat"/>
    <s v="Canet"/>
    <s v="Rafael "/>
    <n v="116680"/>
    <d v="2021-02-18T00:00:00"/>
    <n v="0.19"/>
    <m/>
    <m/>
    <m/>
    <s v="Rafael  Donat Canet"/>
    <x v="0"/>
    <x v="0"/>
  </r>
  <r>
    <s v="Cuenca"/>
    <s v="Puchalt"/>
    <s v="José Antonio"/>
    <n v="4726973"/>
    <d v="2021-02-19T00:00:00"/>
    <n v="0.2"/>
    <m/>
    <m/>
    <m/>
    <s v="José Antonio Cuenca Puchalt"/>
    <x v="0"/>
    <x v="0"/>
  </r>
  <r>
    <s v="Pérez"/>
    <s v="Jiménez"/>
    <s v="Meritxell"/>
    <n v="7900199"/>
    <d v="2021-02-17T00:00:00"/>
    <n v="0.10299999999999999"/>
    <d v="2009-09-14T00:00:00"/>
    <m/>
    <m/>
    <s v="Meritxell Pérez Jiménez"/>
    <x v="0"/>
    <x v="0"/>
  </r>
  <r>
    <s v="Jiménez "/>
    <s v="Ramos"/>
    <s v="Henderson Edin"/>
    <n v="6700426"/>
    <d v="2021-02-18T00:00:00"/>
    <n v="4.8000000000000001E-2"/>
    <d v="2007-02-01T00:00:00"/>
    <m/>
    <m/>
    <s v="Henderson Edin Jiménez  Ramos"/>
    <x v="0"/>
    <x v="0"/>
  </r>
  <r>
    <s v="Quintero"/>
    <s v="Acosta"/>
    <s v="Miguel Ángel"/>
    <n v="2343053"/>
    <d v="2021-02-25T00:00:00"/>
    <n v="0.78500000000000003"/>
    <m/>
    <m/>
    <m/>
    <s v="Miguel Ángel Quintero Acosta"/>
    <x v="0"/>
    <x v="0"/>
  </r>
  <r>
    <s v="Chust"/>
    <s v="Piquer"/>
    <s v="Isabel"/>
    <n v="2878193"/>
    <d v="2021-02-26T00:00:00"/>
    <n v="0.41699999999999998"/>
    <m/>
    <m/>
    <m/>
    <s v="Isabel Chust Piquer"/>
    <x v="0"/>
    <x v="0"/>
  </r>
  <r>
    <s v="Ortell"/>
    <s v="Renau"/>
    <s v="Miguel"/>
    <n v="1819791"/>
    <d v="2021-02-22T00:00:00"/>
    <n v="4.1500000000000004"/>
    <m/>
    <m/>
    <m/>
    <s v="Miguel Ortell Renau"/>
    <x v="0"/>
    <x v="0"/>
  </r>
  <r>
    <s v="Veliz"/>
    <s v="Cadena"/>
    <s v="Marlon Omar"/>
    <n v="4976109"/>
    <d v="2021-02-26T00:00:00"/>
    <n v="0.35199999999999998"/>
    <m/>
    <m/>
    <m/>
    <s v="Marlon Omar Veliz Cadena"/>
    <x v="0"/>
    <x v="0"/>
  </r>
  <r>
    <s v="Astilleros"/>
    <s v="Jiménez"/>
    <s v="Jacinto"/>
    <n v="264626"/>
    <d v="2021-03-02T00:00:00"/>
    <n v="0.63600000000000001"/>
    <m/>
    <m/>
    <m/>
    <s v="Jacinto Astilleros Jiménez"/>
    <x v="4"/>
    <x v="0"/>
  </r>
  <r>
    <s v="Hlioui"/>
    <m/>
    <s v="Hamid"/>
    <n v="5350920"/>
    <d v="2021-03-03T00:00:00"/>
    <n v="0.61899999999999999"/>
    <m/>
    <m/>
    <m/>
    <s v="Hamid Hlioui "/>
    <x v="4"/>
    <x v="0"/>
  </r>
  <r>
    <s v="Navarro"/>
    <s v="Baixauli"/>
    <s v="Juan"/>
    <n v="3720067"/>
    <d v="2021-03-04T00:00:00"/>
    <n v="0.83899999999999997"/>
    <m/>
    <m/>
    <m/>
    <s v="Juan Navarro Baixauli"/>
    <x v="4"/>
    <x v="0"/>
  </r>
  <r>
    <s v="García "/>
    <s v="Martí"/>
    <s v="Rafael"/>
    <n v="2874613"/>
    <d v="2021-03-05T00:00:00"/>
    <n v="0.61899999999999999"/>
    <m/>
    <m/>
    <m/>
    <s v="Rafael García  Martí"/>
    <x v="4"/>
    <x v="0"/>
  </r>
  <r>
    <s v="Waqas"/>
    <m/>
    <s v="Hoolain Fatima"/>
    <n v="13027262"/>
    <d v="2021-03-04T00:00:00"/>
    <n v="0.191"/>
    <d v="2020-11-04T00:00:00"/>
    <m/>
    <m/>
    <s v="Hoolain Fatima Waqas "/>
    <x v="4"/>
    <x v="0"/>
  </r>
  <r>
    <s v="Delgado"/>
    <s v="Jiménez"/>
    <s v="Javier"/>
    <n v="11132642"/>
    <d v="2021-03-01T00:00:00"/>
    <n v="0.40500000000000003"/>
    <m/>
    <m/>
    <m/>
    <s v="Javier Delgado Jiménez"/>
    <x v="4"/>
    <x v="0"/>
  </r>
  <r>
    <s v="Palanca"/>
    <s v="Pascual"/>
    <s v="Francisco"/>
    <n v="2334536"/>
    <d v="2019-12-16T00:00:00"/>
    <n v="6.1820000000000004"/>
    <m/>
    <n v="9040010009905280"/>
    <s v="Embolización de hemorragia digestiva alta. Procedimiento básico"/>
    <s v="Francisco Palanca Pascual"/>
    <x v="2"/>
    <x v="1"/>
  </r>
  <r>
    <s v="Cebriá "/>
    <s v="Gamón"/>
    <s v="Vicente"/>
    <n v="1987869"/>
    <d v="2019-07-23T00:00:00"/>
    <n v="8.9350000000000005"/>
    <m/>
    <m/>
    <s v="Tratamiento endovascular aneurisma de aorta abdominal. Procedimiento basico"/>
    <s v="Vicente Cebriá  Gamón"/>
    <x v="5"/>
    <x v="1"/>
  </r>
  <r>
    <s v="Patio"/>
    <s v="Nieto"/>
    <s v="Donato"/>
    <n v="3130505"/>
    <d v="2019-10-23T00:00:00"/>
    <n v="3.8679999999999999"/>
    <m/>
    <m/>
    <s v="Tratamiento endovascular aneurisma de aorta abdominal. Procedimiento basico"/>
    <s v="Donato Patio Nieto"/>
    <x v="6"/>
    <x v="1"/>
  </r>
  <r>
    <s v="Piorno"/>
    <s v="Pérez"/>
    <s v="Ángel"/>
    <n v="3194477"/>
    <d v="2019-10-18T00:00:00"/>
    <n v="5.4779999999999998"/>
    <m/>
    <m/>
    <s v="Arteriografía renal"/>
    <s v="Ángel Piorno Pérez"/>
    <x v="6"/>
    <x v="1"/>
  </r>
  <r>
    <s v="Punzano"/>
    <s v="Egea"/>
    <s v="Felipe"/>
    <n v="1862484"/>
    <d v="2020-02-12T00:00:00"/>
    <n v="3.944"/>
    <m/>
    <m/>
    <s v="Ablación tumoral, radiofrecuencia"/>
    <s v="Felipe Punzano Egea"/>
    <x v="0"/>
    <x v="3"/>
  </r>
  <r>
    <s v="Calvo"/>
    <s v="Gómez"/>
    <s v="José"/>
    <n v="2398262"/>
    <d v="2020-05-30T00:00:00"/>
    <n v="2.9849999999999999"/>
    <m/>
    <m/>
    <s v="Embolización de hemorragia digestiva alta. Procedimiento básico"/>
    <s v="José Calvo Gómez"/>
    <x v="7"/>
    <x v="3"/>
  </r>
  <r>
    <s v="Llanes"/>
    <s v="Tolos"/>
    <s v="Ramón"/>
    <n v="1698821"/>
    <d v="2020-06-22T00:00:00"/>
    <n v="3.0939999999999999"/>
    <m/>
    <m/>
    <s v="Quimioembolización hepática. Procedimiento básico"/>
    <s v="Ramón Llanes Tolos"/>
    <x v="8"/>
    <x v="3"/>
  </r>
  <r>
    <s v="Llanes"/>
    <s v="Tolos"/>
    <s v="Ramón"/>
    <n v="1698821"/>
    <d v="2020-02-04T00:00:00"/>
    <n v="5.2409999999999997"/>
    <m/>
    <m/>
    <s v="Quimioembolización hepática. Procedimiento básico"/>
    <s v="Ramón Llanes Tolos"/>
    <x v="0"/>
    <x v="3"/>
  </r>
  <r>
    <s v="Llanes"/>
    <s v="Tolos"/>
    <s v="Ramón"/>
    <n v="1698821"/>
    <d v="2020-09-18T00:00:00"/>
    <n v="3.0019999999999998"/>
    <m/>
    <m/>
    <s v="Quimioembolización hepática. Procedimiento básico"/>
    <s v="Ramón Llanes Tolos"/>
    <x v="3"/>
    <x v="3"/>
  </r>
  <r>
    <s v="Martínez"/>
    <s v="Soriano"/>
    <s v="Carmen"/>
    <n v="3481236"/>
    <d v="2020-06-11T00:00:00"/>
    <n v="2.823"/>
    <m/>
    <m/>
    <s v="Quimioembolización hepática. Procedimiento básico"/>
    <s v="Carmen Martínez Soriano"/>
    <x v="8"/>
    <x v="3"/>
  </r>
  <r>
    <s v="Martínez"/>
    <s v="Soriano"/>
    <s v="Carmen"/>
    <n v="3481236"/>
    <d v="2020-05-21T00:00:00"/>
    <n v="2.1709999999999998"/>
    <m/>
    <m/>
    <s v="Otras embolizaciones. Procedimiento básico"/>
    <s v="Carmen Martínez Soriano"/>
    <x v="7"/>
    <x v="3"/>
  </r>
  <r>
    <s v="Martínez"/>
    <s v="Ibáñez"/>
    <s v="Valentín"/>
    <n v="1276398"/>
    <d v="2020-06-03T00:00:00"/>
    <n v="3.7519999999999998"/>
    <m/>
    <m/>
    <s v="Aortografía abdominal"/>
    <s v="Valentín Martínez Ibáñez"/>
    <x v="8"/>
    <x v="3"/>
  </r>
  <r>
    <s v="Martínez"/>
    <s v="Ibáñez"/>
    <s v="Valentín"/>
    <n v="1276398"/>
    <d v="2020-05-04T00:00:00"/>
    <n v="2.5619999999999998"/>
    <m/>
    <m/>
    <s v="Embolización de aneurismas venosos"/>
    <s v="Valentín Martínez Ibáñez"/>
    <x v="7"/>
    <x v="3"/>
  </r>
  <r>
    <s v="Mitkov"/>
    <s v="Rusev"/>
    <s v="Plamen"/>
    <n v="2334536"/>
    <d v="2020-06-04T00:00:00"/>
    <n v="3.05"/>
    <m/>
    <m/>
    <s v="Arteriografía troncos viscerales digestivos"/>
    <s v="Plamen Mitkov Rusev"/>
    <x v="8"/>
    <x v="3"/>
  </r>
  <r>
    <s v="Pardo"/>
    <s v="Serrano"/>
    <s v="M Carmen"/>
    <n v="3273662"/>
    <d v="2020-06-22T00:00:00"/>
    <n v="2.9980000000000002"/>
    <m/>
    <m/>
    <s v="Embolización grandes vasos. Procedimiento básico"/>
    <s v="M Carmen Pardo Serrano"/>
    <x v="8"/>
    <x v="3"/>
  </r>
  <r>
    <s v="Verdejo"/>
    <s v="Matrínez"/>
    <s v="José Manuel"/>
    <n v="146669"/>
    <d v="2020-05-29T00:00:00"/>
    <n v="3.36"/>
    <m/>
    <m/>
    <s v="(TIPS) Shunt protocava percutáneo. Procedimiento básico"/>
    <s v="José Manuel Verdejo Matrínez"/>
    <x v="7"/>
    <x v="3"/>
  </r>
  <r>
    <s v="Calero"/>
    <s v="Serrano"/>
    <s v="Catalina"/>
    <n v="2608848"/>
    <d v="2020-06-25T00:00:00"/>
    <n v="6.2839999999999998"/>
    <m/>
    <m/>
    <s v="Otras embolizaciones. Procedimiento básico"/>
    <s v="Catalina Calero Serrano"/>
    <x v="8"/>
    <x v="3"/>
  </r>
  <r>
    <s v="Timoner"/>
    <s v="Domingo"/>
    <s v="Pedro Enrique"/>
    <n v="755575"/>
    <d v="2020-06-26T00:00:00"/>
    <n v="4.2350000000000003"/>
    <m/>
    <m/>
    <s v="Embolización esplénica. Procedimiento básico"/>
    <s v="Pedro Enrique Timoner Domingo"/>
    <x v="8"/>
    <x v="3"/>
  </r>
  <r>
    <s v="Gallego"/>
    <s v="Hernández"/>
    <s v="Salvador"/>
    <n v="248481"/>
    <d v="2020-06-10T00:00:00"/>
    <n v="2.839"/>
    <m/>
    <m/>
    <s v="Arteriografía troncos viscerales digestivos"/>
    <s v="Salvador Gallego Hernández"/>
    <x v="8"/>
    <x v="3"/>
  </r>
  <r>
    <s v="Murciano"/>
    <s v="Rodilla"/>
    <s v="Herlinda"/>
    <n v="2908045"/>
    <d v="2020-06-30T00:00:00"/>
    <n v="3.476"/>
    <m/>
    <m/>
    <s v="Embolización en malformaciones vasculares cerebrales. Procedimiento báscio"/>
    <s v="Herlinda Murciano Rodilla"/>
    <x v="8"/>
    <x v="3"/>
  </r>
  <r>
    <s v="Arroyo"/>
    <s v="Porta"/>
    <s v="Adela"/>
    <n v="3189874"/>
    <d v="2020-07-08T00:00:00"/>
    <n v="3.7"/>
    <m/>
    <m/>
    <s v="Angiografía cerebral completa y selectiva. Procedimiento básico"/>
    <s v="Adela Arroyo Porta"/>
    <x v="5"/>
    <x v="3"/>
  </r>
  <r>
    <s v="Nadal"/>
    <s v="Torralbo"/>
    <s v="David"/>
    <n v="4664774"/>
    <d v="2020-07-16T00:00:00"/>
    <n v="7.4690000000000003"/>
    <m/>
    <m/>
    <s v="Arteriografía troncos viscerales digestivos"/>
    <s v="David Nadal Torralbo"/>
    <x v="5"/>
    <x v="3"/>
  </r>
  <r>
    <s v="Botella"/>
    <s v="Crespo"/>
    <s v="José Manuel"/>
    <n v="3116475"/>
    <d v="2020-07-28T00:00:00"/>
    <n v="6.1840000000000002"/>
    <m/>
    <m/>
    <s v="Arteriografía troncos viscerales digestivos"/>
    <s v="José Manuel Botella Crespo"/>
    <x v="5"/>
    <x v="3"/>
  </r>
  <r>
    <s v="Álvarez"/>
    <s v="Ruiz"/>
    <s v="José"/>
    <n v="4484462"/>
    <d v="2020-07-28T00:00:00"/>
    <n v="3.5249999999999999"/>
    <m/>
    <m/>
    <s v="Control catéter drenaje"/>
    <s v="José Álvarez Ruiz"/>
    <x v="5"/>
    <x v="3"/>
  </r>
  <r>
    <s v="Botella"/>
    <s v="Crespo"/>
    <s v="José Manuel"/>
    <n v="3116475"/>
    <d v="2020-08-13T00:00:00"/>
    <n v="2.165"/>
    <m/>
    <m/>
    <s v="Infusión terapéutica quimioterapia. Procedimiento básico"/>
    <s v="José Manuel Botella Crespo"/>
    <x v="9"/>
    <x v="3"/>
  </r>
  <r>
    <s v="Gallego"/>
    <s v="Hernández"/>
    <s v="Salvador"/>
    <n v="248481"/>
    <d v="2020-07-31T00:00:00"/>
    <n v="5.7679999999999998"/>
    <m/>
    <m/>
    <s v="Infusión terapéutica quimioterapia. Procedimiento básico"/>
    <s v="Salvador Gallego Hernández"/>
    <x v="5"/>
    <x v="3"/>
  </r>
  <r>
    <s v="Andreu"/>
    <s v="Soñer"/>
    <s v="Paloma"/>
    <n v="4023574"/>
    <d v="2020-08-16T00:00:00"/>
    <n v="3.077"/>
    <m/>
    <m/>
    <s v="Arteriografía troncos viscerales digestivos"/>
    <s v="Paloma Andreu Soñer"/>
    <x v="9"/>
    <x v="3"/>
  </r>
  <r>
    <s v="Andreu"/>
    <s v="Soñer"/>
    <s v="Paloma"/>
    <n v="4023574"/>
    <d v="2020-08-17T00:00:00"/>
    <n v="3.536"/>
    <m/>
    <m/>
    <s v="Embolización otras hemorragias. Procedimiento básico"/>
    <s v="Paloma Andreu Soñer"/>
    <x v="9"/>
    <x v="3"/>
  </r>
  <r>
    <s v="Ballester"/>
    <s v="Noguera"/>
    <s v="José Vicente"/>
    <n v="2910430"/>
    <d v="2020-08-11T00:00:00"/>
    <n v="2.67"/>
    <m/>
    <m/>
    <s v="Quimioembolización hepática. Procedimiento básico"/>
    <s v="José Vicente Ballester Noguera"/>
    <x v="9"/>
    <x v="3"/>
  </r>
  <r>
    <s v="Vidal"/>
    <s v="Morant"/>
    <s v="Ángel Salvador"/>
    <n v="93062"/>
    <d v="2020-08-16T00:00:00"/>
    <n v="2.762"/>
    <m/>
    <m/>
    <s v="Embolización de hemorragias digestivas. Procedimiento básico"/>
    <s v="Ángel Salvador Vidal Morant"/>
    <x v="9"/>
    <x v="3"/>
  </r>
  <r>
    <s v="Pastor"/>
    <s v="Sánchez"/>
    <s v="Pascual"/>
    <n v="3190819"/>
    <d v="2020-08-27T00:00:00"/>
    <n v="2.456"/>
    <m/>
    <m/>
    <s v="Quimioembolización hepática. Procedimiento básico"/>
    <s v="Pascual Pastor Sánchez"/>
    <x v="9"/>
    <x v="3"/>
  </r>
  <r>
    <s v="Gonzalo"/>
    <s v="Climent"/>
    <s v="Javier"/>
    <n v="4724594"/>
    <d v="2020-10-07T00:00:00"/>
    <n v="6.1459999999999999"/>
    <m/>
    <m/>
    <s v="Quimioembolización hepática. Procedimiento básico"/>
    <s v="Javier Gonzalo Climent"/>
    <x v="6"/>
    <x v="3"/>
  </r>
  <r>
    <s v="Gonzalo"/>
    <s v="Climent"/>
    <s v="Javier"/>
    <n v="4724594"/>
    <d v="2020-02-18T00:00:00"/>
    <n v="1.141"/>
    <m/>
    <m/>
    <m/>
    <s v="Javier Gonzalo Climent"/>
    <x v="0"/>
    <x v="3"/>
  </r>
  <r>
    <s v="Gonzalo"/>
    <s v="Climent"/>
    <s v="Javier"/>
    <n v="4724594"/>
    <d v="2019-02-05T00:00:00"/>
    <n v="2.4550000000000001"/>
    <m/>
    <m/>
    <m/>
    <s v="Javier Gonzalo Climent"/>
    <x v="0"/>
    <x v="1"/>
  </r>
  <r>
    <s v="Villar"/>
    <s v="Marín"/>
    <s v="José"/>
    <n v="2484685"/>
    <d v="2020-10-01T00:00:00"/>
    <n v="5.5"/>
    <m/>
    <m/>
    <s v="Quimioembolización hepática. Procedimiento básico"/>
    <s v="José Villar Marín"/>
    <x v="6"/>
    <x v="3"/>
  </r>
  <r>
    <s v="Villar"/>
    <s v="Marín"/>
    <s v="José"/>
    <n v="2484685"/>
    <d v="2020-01-14T00:00:00"/>
    <n v="0.28699999999999998"/>
    <m/>
    <m/>
    <m/>
    <s v="José Villar Marín"/>
    <x v="1"/>
    <x v="3"/>
  </r>
  <r>
    <s v="Villar"/>
    <s v="Marín"/>
    <s v="José"/>
    <n v="2484685"/>
    <d v="2020-01-23T00:00:00"/>
    <n v="1.145"/>
    <m/>
    <m/>
    <m/>
    <s v="José Villar Marín"/>
    <x v="1"/>
    <x v="3"/>
  </r>
  <r>
    <s v="Arocha"/>
    <s v="Mejías"/>
    <s v="Caridad María"/>
    <n v="12557556"/>
    <d v="2020-09-24T00:00:00"/>
    <n v="3.718"/>
    <m/>
    <m/>
    <s v="Arteriografía miembros inferiores"/>
    <s v="Caridad María Arocha Mejías"/>
    <x v="3"/>
    <x v="3"/>
  </r>
  <r>
    <s v="Arocha"/>
    <s v="Mejías"/>
    <s v="Caridad María"/>
    <n v="12557556"/>
    <d v="2020-09-23T00:00:00"/>
    <n v="1.3759999999999999"/>
    <m/>
    <m/>
    <m/>
    <s v="Caridad María Arocha Mejías"/>
    <x v="3"/>
    <x v="3"/>
  </r>
  <r>
    <s v="Soler"/>
    <s v="Juan"/>
    <s v="Joaquín"/>
    <n v="1900685"/>
    <d v="2020-09-18T00:00:00"/>
    <n v="3.5640000000000001"/>
    <m/>
    <m/>
    <s v="Embolización tumoral. Procedimiento básico"/>
    <s v="Joaquín Soler Juan"/>
    <x v="3"/>
    <x v="3"/>
  </r>
  <r>
    <s v="Jiménez "/>
    <s v="Navarro"/>
    <s v="Milagros"/>
    <n v="3395822"/>
    <d v="2020-10-06T00:00:00"/>
    <n v="2.7730000000000001"/>
    <m/>
    <m/>
    <s v="Embolización bromquial. Procedimiento básico"/>
    <s v="Milagros Jiménez  Navarro"/>
    <x v="6"/>
    <x v="3"/>
  </r>
  <r>
    <s v="Torregrosa"/>
    <s v="Valero"/>
    <s v="Diego"/>
    <n v="4245699"/>
    <d v="2020-09-15T00:00:00"/>
    <n v="2.7559999999999998"/>
    <m/>
    <m/>
    <s v="Infusión terapéutica quimioterapia. Procedimiento básico"/>
    <s v="Diego Torregrosa Valero"/>
    <x v="3"/>
    <x v="3"/>
  </r>
  <r>
    <s v="Torregrosa"/>
    <s v="Valero"/>
    <s v="Diego"/>
    <n v="4245699"/>
    <d v="2018-01-15T00:00:00"/>
    <n v="3.1589999999999998"/>
    <m/>
    <m/>
    <m/>
    <s v="Diego Torregrosa Valero"/>
    <x v="1"/>
    <x v="2"/>
  </r>
  <r>
    <s v="Orallo"/>
    <s v="Álvarez"/>
    <s v="Florentina"/>
    <n v="3386511"/>
    <d v="2020-10-16T00:00:00"/>
    <n v="4.2060000000000004"/>
    <m/>
    <m/>
    <s v="Embolización renal. Procedimiento básico"/>
    <s v="Florentina Orallo Álvarez"/>
    <x v="6"/>
    <x v="3"/>
  </r>
  <r>
    <s v="Soler"/>
    <s v="Juan"/>
    <s v="Joaquín"/>
    <n v="1900685"/>
    <d v="2020-10-15T00:00:00"/>
    <n v="2.8919999999999999"/>
    <m/>
    <m/>
    <s v="Infusión terapéutica quimioterapia. Procedimiento básico"/>
    <s v="Joaquín Soler Juan"/>
    <x v="6"/>
    <x v="3"/>
  </r>
  <r>
    <s v="Torres"/>
    <s v="Oliver"/>
    <s v="Vicente"/>
    <n v="2516454"/>
    <d v="2020-10-23T00:00:00"/>
    <n v="3.5110000000000001"/>
    <m/>
    <m/>
    <s v="Shunt portocava percutáneo TIPS. Procedimiento básico"/>
    <s v="Vicente Torres Oliver"/>
    <x v="6"/>
    <x v="3"/>
  </r>
  <r>
    <s v="Torres"/>
    <s v="Oliver"/>
    <s v="Vicente"/>
    <n v="2516454"/>
    <d v="2020-10-22T00:00:00"/>
    <n v="2.0510000000000002"/>
    <m/>
    <m/>
    <s v="Shunt portocava percutáneo TIPS. Procedimiento básico"/>
    <s v="Vicente Torres Oliver"/>
    <x v="6"/>
    <x v="3"/>
  </r>
  <r>
    <s v="Campos"/>
    <s v="Rogel"/>
    <s v="Basilio"/>
    <n v="2401168"/>
    <d v="2020-10-17T00:00:00"/>
    <n v="4.1280000000000001"/>
    <m/>
    <m/>
    <s v="Embolización anuerisma venoso. Procedimiento básico"/>
    <s v="Basilio Campos Rogel"/>
    <x v="6"/>
    <x v="3"/>
  </r>
  <r>
    <s v="Sánchez"/>
    <s v="Castillo"/>
    <s v="José"/>
    <n v="2281733"/>
    <d v="2020-11-17T00:00:00"/>
    <n v="4.532"/>
    <m/>
    <m/>
    <s v="Quimioembolización hepática. Procedimiento básico"/>
    <s v="José Sánchez Castillo"/>
    <x v="10"/>
    <x v="3"/>
  </r>
  <r>
    <s v="Peiró"/>
    <s v="Feliu"/>
    <s v="Amadeo"/>
    <n v="4715136"/>
    <d v="2020-11-23T00:00:00"/>
    <n v="2.8650000000000002"/>
    <m/>
    <m/>
    <s v="Embolización en tumores. Procedimiento básico"/>
    <s v="Amadeo Peiró Feliu"/>
    <x v="10"/>
    <x v="3"/>
  </r>
</pivotCacheRecords>
</file>

<file path=xl/pivotCache/pivotCacheRecords3.xml><?xml version="1.0" encoding="utf-8"?>
<pivotCacheRecords xmlns="http://schemas.openxmlformats.org/spreadsheetml/2006/main" xmlns:r="http://schemas.openxmlformats.org/officeDocument/2006/relationships" count="185">
  <r>
    <m/>
    <m/>
    <m/>
    <m/>
    <x v="0"/>
    <x v="0"/>
    <m/>
    <n v="1"/>
    <n v="2"/>
    <n v="3"/>
    <n v="4"/>
    <n v="5"/>
    <n v="6"/>
    <n v="7"/>
    <n v="8"/>
    <n v="9"/>
    <n v="10"/>
    <x v="0"/>
    <m/>
    <m/>
    <x v="0"/>
    <m/>
    <m/>
    <m/>
  </r>
  <r>
    <s v="Adulto"/>
    <s v="Alberto"/>
    <s v="Saiz"/>
    <s v="Pilar"/>
    <x v="1"/>
    <x v="1"/>
    <n v="0.39600000000000002"/>
    <n v="0"/>
    <n v="0.123"/>
    <n v="0.39400000000000002"/>
    <n v="0.32400000000000001"/>
    <n v="0"/>
    <n v="0"/>
    <n v="0.123"/>
    <n v="0.39400000000000002"/>
    <n v="0.32400000000000001"/>
    <n v="0"/>
    <x v="1"/>
    <m/>
    <s v="Cateterismo cardíaco"/>
    <x v="1"/>
    <n v="4"/>
    <n v="2021"/>
    <s v="Hemodinámica"/>
  </r>
  <r>
    <s v="Adulto"/>
    <s v="Álvarez"/>
    <s v="Ruiz"/>
    <s v="José"/>
    <x v="2"/>
    <x v="2"/>
    <n v="3.5249999999999999"/>
    <m/>
    <m/>
    <m/>
    <m/>
    <m/>
    <m/>
    <m/>
    <m/>
    <m/>
    <m/>
    <x v="2"/>
    <s v="Si"/>
    <s v="Control catéter drenaje"/>
    <x v="2"/>
    <n v="7"/>
    <n v="2020"/>
    <s v="Vascular"/>
  </r>
  <r>
    <s v="Adulto"/>
    <s v="Andreu"/>
    <s v="Soñer"/>
    <s v="Paloma"/>
    <x v="3"/>
    <x v="3"/>
    <n v="3.077"/>
    <m/>
    <m/>
    <m/>
    <m/>
    <m/>
    <m/>
    <m/>
    <m/>
    <m/>
    <m/>
    <x v="3"/>
    <s v="Si"/>
    <s v="Arteriografía troncos viscerales digestivos"/>
    <x v="3"/>
    <n v="8"/>
    <n v="2020"/>
    <s v="Vascular"/>
  </r>
  <r>
    <s v="Adulto"/>
    <s v="Andreu"/>
    <s v="Soñer"/>
    <s v="Paloma"/>
    <x v="3"/>
    <x v="4"/>
    <n v="3.536"/>
    <m/>
    <m/>
    <m/>
    <m/>
    <m/>
    <m/>
    <m/>
    <m/>
    <m/>
    <m/>
    <x v="3"/>
    <s v="Si"/>
    <s v="Embolización otras hemorragias. Procedimiento básico"/>
    <x v="3"/>
    <n v="8"/>
    <n v="2020"/>
    <s v="Vascular"/>
  </r>
  <r>
    <s v="Adulto"/>
    <s v="Argente"/>
    <s v="Gomis"/>
    <s v="Juan"/>
    <x v="4"/>
    <x v="5"/>
    <n v="0.94399999999999995"/>
    <n v="0"/>
    <n v="4.7E-2"/>
    <n v="0.21299999999999999"/>
    <n v="0.21299999999999999"/>
    <n v="0"/>
    <n v="0"/>
    <n v="7.6999999999999999E-2"/>
    <n v="0.56699999999999995"/>
    <n v="0.21299999999999999"/>
    <n v="0"/>
    <x v="4"/>
    <m/>
    <s v="Cateterismo cardíaco"/>
    <x v="4"/>
    <n v="3"/>
    <n v="2021"/>
    <s v="Hemodinámica"/>
  </r>
  <r>
    <s v="Adulto"/>
    <s v="Arocha"/>
    <s v="Mejías"/>
    <s v="Caridad María"/>
    <x v="5"/>
    <x v="6"/>
    <n v="3.718"/>
    <m/>
    <m/>
    <m/>
    <m/>
    <m/>
    <m/>
    <m/>
    <m/>
    <m/>
    <m/>
    <x v="5"/>
    <s v="Si"/>
    <s v="Arteriografía miembros inferiores"/>
    <x v="5"/>
    <n v="9"/>
    <n v="2020"/>
    <s v="Vascular"/>
  </r>
  <r>
    <s v="Adulto"/>
    <s v="Arocha"/>
    <s v="Mejías"/>
    <s v="Caridad María"/>
    <x v="5"/>
    <x v="7"/>
    <n v="1.3759999999999999"/>
    <m/>
    <m/>
    <m/>
    <m/>
    <m/>
    <m/>
    <m/>
    <m/>
    <m/>
    <m/>
    <x v="5"/>
    <s v="Si"/>
    <m/>
    <x v="5"/>
    <n v="9"/>
    <n v="2020"/>
    <s v="Vascular"/>
  </r>
  <r>
    <s v="Adulto"/>
    <s v="Arroyo"/>
    <s v="Porta"/>
    <s v="Adela"/>
    <x v="6"/>
    <x v="8"/>
    <n v="3.7"/>
    <m/>
    <m/>
    <m/>
    <m/>
    <m/>
    <m/>
    <m/>
    <m/>
    <m/>
    <m/>
    <x v="6"/>
    <s v="Si"/>
    <s v="Angiografía cerebral completa y selectiva. Procedimiento básico"/>
    <x v="6"/>
    <n v="7"/>
    <n v="2020"/>
    <s v="Vascular"/>
  </r>
  <r>
    <s v="Pediátrico"/>
    <s v="Arteaga"/>
    <s v="Piedrahita"/>
    <s v="Dylan Adriy"/>
    <x v="7"/>
    <x v="9"/>
    <n v="0.72099999999999997"/>
    <m/>
    <m/>
    <m/>
    <m/>
    <m/>
    <m/>
    <m/>
    <m/>
    <m/>
    <m/>
    <x v="7"/>
    <m/>
    <s v="Cateterismo cardiaco pediatrico"/>
    <x v="7"/>
    <n v="4"/>
    <n v="2021"/>
    <s v="Vascular"/>
  </r>
  <r>
    <s v="Adulto"/>
    <s v="Astilleros"/>
    <s v="Jiménez"/>
    <s v="Jacinto"/>
    <x v="8"/>
    <x v="10"/>
    <n v="0.63600000000000001"/>
    <m/>
    <m/>
    <m/>
    <m/>
    <m/>
    <m/>
    <m/>
    <m/>
    <m/>
    <m/>
    <x v="8"/>
    <m/>
    <s v="Quimioembolización hepática. Procedimiento básico"/>
    <x v="8"/>
    <n v="3"/>
    <n v="2021"/>
    <s v="Vascular"/>
  </r>
  <r>
    <s v="Adulto"/>
    <s v="Astilleros"/>
    <s v="Jiménez"/>
    <s v="Jacinto"/>
    <x v="8"/>
    <x v="11"/>
    <n v="0.872"/>
    <m/>
    <m/>
    <m/>
    <m/>
    <m/>
    <m/>
    <m/>
    <m/>
    <m/>
    <m/>
    <x v="8"/>
    <m/>
    <s v="Quimioembolización hepática. Procedimiento básico"/>
    <x v="8"/>
    <n v="6"/>
    <n v="2020"/>
    <s v="Vascular"/>
  </r>
  <r>
    <s v="Adulto"/>
    <s v="Ballester"/>
    <s v="Noguera"/>
    <s v="José Vicente"/>
    <x v="9"/>
    <x v="12"/>
    <n v="2.67"/>
    <m/>
    <m/>
    <m/>
    <m/>
    <m/>
    <m/>
    <m/>
    <m/>
    <m/>
    <m/>
    <x v="9"/>
    <s v="Si"/>
    <s v="Quimioembolización hepática. Procedimiento básico"/>
    <x v="9"/>
    <n v="8"/>
    <n v="2020"/>
    <s v="Vascular"/>
  </r>
  <r>
    <s v="Adulto"/>
    <s v="Ballester"/>
    <s v="Noguera"/>
    <s v="José Vicente"/>
    <x v="9"/>
    <x v="13"/>
    <n v="5.6"/>
    <m/>
    <m/>
    <m/>
    <m/>
    <m/>
    <m/>
    <m/>
    <m/>
    <m/>
    <m/>
    <x v="9"/>
    <s v="Si"/>
    <s v="Quimioembolización hepática. Procedimiento básico"/>
    <x v="9"/>
    <n v="2"/>
    <n v="2020"/>
    <s v="Vascular"/>
  </r>
  <r>
    <s v="Adulto"/>
    <s v="Blasco "/>
    <s v="Calatayud"/>
    <s v="Josefa"/>
    <x v="10"/>
    <x v="14"/>
    <n v="0.16"/>
    <s v="abdomen"/>
    <m/>
    <m/>
    <m/>
    <m/>
    <m/>
    <m/>
    <m/>
    <m/>
    <m/>
    <x v="10"/>
    <m/>
    <s v="colocación cateter central con tracto subcutaneo + tto ebdiv esten oclu cava sup (no miagenes)"/>
    <x v="10"/>
    <n v="2"/>
    <n v="2021"/>
    <s v="Vascular"/>
  </r>
  <r>
    <s v="Adulto"/>
    <s v="Blasco "/>
    <s v="Calatayud"/>
    <s v="Josefa"/>
    <x v="10"/>
    <x v="15"/>
    <n v="1.2E-2"/>
    <s v="abdomen"/>
    <m/>
    <m/>
    <m/>
    <m/>
    <m/>
    <m/>
    <m/>
    <m/>
    <m/>
    <x v="10"/>
    <m/>
    <s v="Colocación de cáteter central con tracto subcutáneo"/>
    <x v="10"/>
    <n v="1"/>
    <n v="2021"/>
    <s v="Vascular"/>
  </r>
  <r>
    <s v="Adulto"/>
    <s v="Blasco "/>
    <s v="Calatayud"/>
    <s v="Josefa"/>
    <x v="10"/>
    <x v="16"/>
    <n v="0.37"/>
    <s v="torax"/>
    <m/>
    <m/>
    <m/>
    <m/>
    <m/>
    <m/>
    <m/>
    <m/>
    <m/>
    <x v="10"/>
    <m/>
    <s v="Tratamiento endovascular estenosis oclusiva cava superior: Procedimiento básico"/>
    <x v="10"/>
    <n v="12"/>
    <n v="2020"/>
    <s v="Vascular"/>
  </r>
  <r>
    <s v="Adulto"/>
    <s v="Blasco "/>
    <s v="Calatayud"/>
    <s v="Josefa"/>
    <x v="10"/>
    <x v="17"/>
    <n v="0.111"/>
    <s v="torax"/>
    <n v="0.11"/>
    <n v="0.11"/>
    <n v="0.11"/>
    <n v="0"/>
    <n v="0"/>
    <n v="0.11"/>
    <n v="0.11"/>
    <n v="0.11"/>
    <n v="0"/>
    <x v="10"/>
    <m/>
    <s v="Tratamiento endovascular estenosis oclusiva miembros superiores. Procedimiento basico"/>
    <x v="10"/>
    <n v="10"/>
    <n v="2020"/>
    <s v="Vascular"/>
  </r>
  <r>
    <s v="Adulto"/>
    <s v="Blasco "/>
    <s v="Calatayud"/>
    <s v="Josefa"/>
    <x v="10"/>
    <x v="18"/>
    <n v="0.11"/>
    <s v="torax"/>
    <m/>
    <m/>
    <m/>
    <m/>
    <m/>
    <m/>
    <m/>
    <m/>
    <m/>
    <x v="10"/>
    <m/>
    <m/>
    <x v="10"/>
    <n v="9"/>
    <n v="2020"/>
    <s v="Vascular"/>
  </r>
  <r>
    <s v="Adulto"/>
    <s v="Blasco "/>
    <s v="López"/>
    <s v="Francisco"/>
    <x v="11"/>
    <x v="9"/>
    <n v="1.472"/>
    <m/>
    <m/>
    <m/>
    <m/>
    <m/>
    <m/>
    <m/>
    <m/>
    <m/>
    <m/>
    <x v="11"/>
    <m/>
    <s v="Embolización hepática: Procedimiento básico"/>
    <x v="11"/>
    <n v="4"/>
    <n v="2021"/>
    <s v="Vascular"/>
  </r>
  <r>
    <s v="Pediátrico"/>
    <s v="Boles"/>
    <s v="Fernández"/>
    <s v="Alanna"/>
    <x v="12"/>
    <x v="19"/>
    <n v="0.36"/>
    <m/>
    <m/>
    <m/>
    <m/>
    <m/>
    <m/>
    <m/>
    <m/>
    <m/>
    <m/>
    <x v="12"/>
    <m/>
    <s v="Cateterismo cardiaco pediatrico"/>
    <x v="12"/>
    <n v="3"/>
    <n v="2021"/>
    <s v="Vascular"/>
  </r>
  <r>
    <s v="Adulto"/>
    <s v="Botella"/>
    <s v="Crespo"/>
    <s v="José Manuel"/>
    <x v="13"/>
    <x v="2"/>
    <n v="6.1840000000000002"/>
    <m/>
    <m/>
    <m/>
    <m/>
    <m/>
    <m/>
    <m/>
    <m/>
    <m/>
    <m/>
    <x v="13"/>
    <s v="Si"/>
    <s v="Arteriografía troncos viscerales digestivos"/>
    <x v="13"/>
    <n v="7"/>
    <n v="2020"/>
    <s v="Vascular"/>
  </r>
  <r>
    <s v="Adulto"/>
    <s v="Botella"/>
    <s v="Crespo"/>
    <s v="José Manuel"/>
    <x v="13"/>
    <x v="20"/>
    <n v="2.165"/>
    <m/>
    <m/>
    <m/>
    <m/>
    <m/>
    <m/>
    <m/>
    <m/>
    <m/>
    <m/>
    <x v="13"/>
    <s v="Si"/>
    <s v="Infusión terapéutica quimioterapia. Procedimiento básico"/>
    <x v="13"/>
    <n v="8"/>
    <n v="2020"/>
    <s v="Vascular"/>
  </r>
  <r>
    <s v="Adulto"/>
    <s v="Calero"/>
    <s v="Serrano"/>
    <s v="Catalina"/>
    <x v="14"/>
    <x v="21"/>
    <n v="6.2839999999999998"/>
    <m/>
    <m/>
    <m/>
    <m/>
    <m/>
    <m/>
    <m/>
    <m/>
    <m/>
    <m/>
    <x v="14"/>
    <s v="Si"/>
    <s v="Otras embolizaciones. Procedimiento básico"/>
    <x v="14"/>
    <n v="6"/>
    <n v="2020"/>
    <s v="Vascular"/>
  </r>
  <r>
    <s v="Adulto"/>
    <s v="Calvo"/>
    <s v="Gómez"/>
    <s v="José"/>
    <x v="15"/>
    <x v="22"/>
    <n v="2.9849999999999999"/>
    <m/>
    <m/>
    <m/>
    <m/>
    <m/>
    <m/>
    <m/>
    <m/>
    <m/>
    <m/>
    <x v="15"/>
    <s v="Si"/>
    <s v="Embolización de hemorragia digestiva alta. Procedimiento básico"/>
    <x v="15"/>
    <n v="5"/>
    <n v="2020"/>
    <s v="Vascular"/>
  </r>
  <r>
    <s v="Adulto"/>
    <s v="Camargo"/>
    <s v="Monasterio"/>
    <s v="Marilin"/>
    <x v="16"/>
    <x v="23"/>
    <n v="0.48649999999999999"/>
    <s v="abdomen"/>
    <m/>
    <m/>
    <m/>
    <m/>
    <m/>
    <m/>
    <m/>
    <m/>
    <m/>
    <x v="16"/>
    <m/>
    <s v="Embolización de miomas uterinos: Procedimiento básico"/>
    <x v="16"/>
    <n v="2"/>
    <n v="2021"/>
    <s v="Vascular"/>
  </r>
  <r>
    <s v="Adulto"/>
    <s v="Campos"/>
    <s v="Rogel"/>
    <s v="Basilio"/>
    <x v="17"/>
    <x v="24"/>
    <n v="4.1280000000000001"/>
    <m/>
    <m/>
    <m/>
    <m/>
    <m/>
    <m/>
    <m/>
    <m/>
    <m/>
    <m/>
    <x v="17"/>
    <s v="Si"/>
    <s v="Embolización anuerisma venoso. Procedimiento básico"/>
    <x v="17"/>
    <n v="10"/>
    <n v="2020"/>
    <s v="Vascular"/>
  </r>
  <r>
    <s v="Adulto"/>
    <s v="Cano"/>
    <s v="Esteban"/>
    <s v="Juana"/>
    <x v="18"/>
    <x v="25"/>
    <n v="0.54600000000000004"/>
    <n v="0"/>
    <n v="7.0999999999999994E-2"/>
    <n v="0.377"/>
    <n v="0.35399999999999998"/>
    <n v="0"/>
    <n v="0"/>
    <n v="0.1"/>
    <n v="0.38"/>
    <n v="0.36"/>
    <n v="0"/>
    <x v="18"/>
    <m/>
    <s v="Cateterismo cardíaco"/>
    <x v="18"/>
    <n v="1"/>
    <n v="2020"/>
    <s v="Hemodinámica"/>
  </r>
  <r>
    <s v="Adulto"/>
    <s v="Casas"/>
    <s v="Pérez"/>
    <s v="Gregorio"/>
    <x v="19"/>
    <x v="10"/>
    <n v="0.02"/>
    <n v="0"/>
    <n v="0.02"/>
    <n v="0.02"/>
    <n v="0.02"/>
    <n v="0"/>
    <n v="0"/>
    <n v="0.02"/>
    <n v="0.02"/>
    <n v="0.02"/>
    <n v="0"/>
    <x v="19"/>
    <m/>
    <s v="Cateterismo cardíaco"/>
    <x v="19"/>
    <n v="3"/>
    <n v="2021"/>
    <s v="Hemodinámica"/>
  </r>
  <r>
    <s v="Adulto"/>
    <s v="Castro"/>
    <s v="Soler"/>
    <s v="Rafael "/>
    <x v="20"/>
    <x v="26"/>
    <n v="0.28699999999999998"/>
    <s v="abdomen"/>
    <m/>
    <m/>
    <m/>
    <m/>
    <m/>
    <m/>
    <m/>
    <m/>
    <m/>
    <x v="20"/>
    <m/>
    <s v="Estudio de fístula arteriovenosa hemodialisis"/>
    <x v="20"/>
    <n v="2"/>
    <n v="2021"/>
    <s v="Vascular"/>
  </r>
  <r>
    <s v="Adulto"/>
    <s v="Catalán"/>
    <s v="Pérez"/>
    <s v="Mónica"/>
    <x v="21"/>
    <x v="9"/>
    <n v="0.9"/>
    <n v="0"/>
    <n v="0.28599999999999998"/>
    <n v="0.28699999999999998"/>
    <n v="0.08"/>
    <n v="0"/>
    <n v="0"/>
    <n v="0.38400000000000001"/>
    <n v="0.38400000000000001"/>
    <n v="0.13400000000000001"/>
    <n v="0"/>
    <x v="21"/>
    <m/>
    <s v="Cateterismo cardíaco"/>
    <x v="21"/>
    <n v="4"/>
    <n v="2021"/>
    <s v="Hemodinámica"/>
  </r>
  <r>
    <s v="Adulto"/>
    <s v="Cebriá "/>
    <s v="Gamón"/>
    <s v="Vicente"/>
    <x v="22"/>
    <x v="27"/>
    <n v="8.9350000000000005"/>
    <m/>
    <m/>
    <m/>
    <m/>
    <m/>
    <m/>
    <m/>
    <m/>
    <m/>
    <m/>
    <x v="22"/>
    <s v="Si"/>
    <s v="Tratamiento endovascular aneurisma de aorta abdominal. Procedimiento basico"/>
    <x v="22"/>
    <n v="7"/>
    <n v="2019"/>
    <s v="Vascular"/>
  </r>
  <r>
    <s v="Adulto"/>
    <s v="Cervera"/>
    <s v="Ruiz"/>
    <s v="Antonio"/>
    <x v="23"/>
    <x v="28"/>
    <n v="1.0249999999999999"/>
    <s v="abodmen"/>
    <m/>
    <m/>
    <m/>
    <m/>
    <m/>
    <m/>
    <m/>
    <m/>
    <m/>
    <x v="23"/>
    <s v="Si"/>
    <s v="Embolización en tumores. Procedimiento básico"/>
    <x v="23"/>
    <n v="1"/>
    <n v="2021"/>
    <s v="Vascular"/>
  </r>
  <r>
    <s v="Adulto"/>
    <s v="Cervera"/>
    <s v="Ruiz"/>
    <s v="Antonio"/>
    <x v="23"/>
    <x v="29"/>
    <n v="5.8280000000000003"/>
    <s v="abdomen"/>
    <m/>
    <m/>
    <m/>
    <m/>
    <m/>
    <m/>
    <m/>
    <m/>
    <m/>
    <x v="23"/>
    <s v="Si"/>
    <s v="Quimioembolización hepática. Procedimiento básico"/>
    <x v="23"/>
    <n v="12"/>
    <n v="2019"/>
    <s v="Vascular"/>
  </r>
  <r>
    <s v="Adulto"/>
    <s v="Cervera"/>
    <s v="Ruiz"/>
    <s v="Antonio"/>
    <x v="23"/>
    <x v="30"/>
    <n v="2.7250000000000001"/>
    <s v="abdomen"/>
    <m/>
    <m/>
    <m/>
    <m/>
    <m/>
    <m/>
    <m/>
    <m/>
    <m/>
    <x v="23"/>
    <s v="Si"/>
    <s v="Quimioembolización hepática. Procedimiento básico"/>
    <x v="23"/>
    <n v="9"/>
    <n v="2019"/>
    <s v="Vascular"/>
  </r>
  <r>
    <s v="Adulto"/>
    <s v="Cervera"/>
    <s v="Ruiz"/>
    <s v="Antonio"/>
    <x v="23"/>
    <x v="31"/>
    <n v="4.17"/>
    <s v="abdomen"/>
    <m/>
    <m/>
    <m/>
    <m/>
    <m/>
    <m/>
    <m/>
    <m/>
    <m/>
    <x v="23"/>
    <s v="Si"/>
    <s v="Quimioembolización hepática. Procedimiento básico"/>
    <x v="23"/>
    <n v="2"/>
    <n v="2018"/>
    <s v="Vascular"/>
  </r>
  <r>
    <s v="Adulto"/>
    <s v="Cervera"/>
    <s v="Ruiz"/>
    <s v="Antonio"/>
    <x v="23"/>
    <x v="32"/>
    <n v="0.83899999999999997"/>
    <s v="abdomen"/>
    <m/>
    <m/>
    <m/>
    <m/>
    <m/>
    <m/>
    <m/>
    <m/>
    <m/>
    <x v="23"/>
    <s v="Si"/>
    <s v="3061080107241010"/>
    <x v="23"/>
    <n v="12"/>
    <n v="2019"/>
    <s v="Vascular"/>
  </r>
  <r>
    <s v="Adulto"/>
    <s v="Chust"/>
    <s v="Piquer"/>
    <s v="Isabel"/>
    <x v="24"/>
    <x v="33"/>
    <n v="0.41699999999999998"/>
    <m/>
    <m/>
    <m/>
    <m/>
    <m/>
    <m/>
    <m/>
    <m/>
    <m/>
    <m/>
    <x v="24"/>
    <m/>
    <s v="Quimioembolización hepática. Procedimiento básico"/>
    <x v="24"/>
    <n v="2"/>
    <n v="2021"/>
    <s v="Vascular"/>
  </r>
  <r>
    <s v="Adulto"/>
    <s v="Chust"/>
    <s v="Piquer"/>
    <s v="Isabel"/>
    <x v="24"/>
    <x v="34"/>
    <n v="1.081"/>
    <m/>
    <m/>
    <m/>
    <m/>
    <m/>
    <m/>
    <m/>
    <m/>
    <m/>
    <m/>
    <x v="24"/>
    <m/>
    <s v="Quimioembolización hepática. Procedimiento básico"/>
    <x v="24"/>
    <n v="2"/>
    <n v="2021"/>
    <s v="Vascular"/>
  </r>
  <r>
    <s v="Adulto"/>
    <s v="Cisne"/>
    <s v="del Isaac"/>
    <s v="Jesús"/>
    <x v="25"/>
    <x v="35"/>
    <n v="3.8069999999999999"/>
    <n v="0"/>
    <n v="1.7110000000000001"/>
    <n v="1.712"/>
    <n v="0.68200000000000005"/>
    <n v="0"/>
    <n v="0"/>
    <n v="1.698"/>
    <n v="1.7"/>
    <n v="0.68200000000000005"/>
    <n v="0"/>
    <x v="25"/>
    <s v="Si"/>
    <s v="Cateterismo cardíaco"/>
    <x v="25"/>
    <n v="3"/>
    <n v="2021"/>
    <s v="Hemodinámica"/>
  </r>
  <r>
    <s v="Adulto"/>
    <s v="Cocera"/>
    <s v="Martínez"/>
    <s v="Rogelio"/>
    <x v="26"/>
    <x v="36"/>
    <n v="0.63700000000000001"/>
    <n v="0"/>
    <n v="2.5999999999999999E-2"/>
    <n v="0.51300000000000001"/>
    <n v="0.51300000000000001"/>
    <n v="0"/>
    <n v="0"/>
    <n v="5.2999999999999999E-2"/>
    <n v="0.11899999999999999"/>
    <n v="9.2999999999999999E-2"/>
    <n v="0"/>
    <x v="26"/>
    <m/>
    <s v="Cateterismo cardíaco"/>
    <x v="26"/>
    <n v="5"/>
    <n v="2019"/>
    <s v="Hemodinámica"/>
  </r>
  <r>
    <s v="Adulto"/>
    <s v="Collado"/>
    <s v="Rodríguez"/>
    <s v="José Vicente"/>
    <x v="27"/>
    <x v="37"/>
    <n v="0.123"/>
    <m/>
    <m/>
    <m/>
    <m/>
    <m/>
    <m/>
    <m/>
    <m/>
    <m/>
    <m/>
    <x v="27"/>
    <m/>
    <m/>
    <x v="27"/>
    <n v="5"/>
    <n v="2020"/>
    <s v="Vascular"/>
  </r>
  <r>
    <s v="Adulto"/>
    <s v="Conde"/>
    <s v="Conde"/>
    <s v="Miguel Francisco"/>
    <x v="28"/>
    <x v="38"/>
    <n v="0.63500000000000001"/>
    <m/>
    <m/>
    <m/>
    <m/>
    <m/>
    <m/>
    <m/>
    <m/>
    <m/>
    <m/>
    <x v="28"/>
    <m/>
    <s v="Shunt portocava percutáneo TIPS. Procedimiento básico"/>
    <x v="28"/>
    <n v="4"/>
    <n v="2021"/>
    <s v="Vascular"/>
  </r>
  <r>
    <s v="Adulto"/>
    <s v="Cuenca"/>
    <s v="Puchalt"/>
    <s v="José Antonio"/>
    <x v="29"/>
    <x v="23"/>
    <n v="0.2"/>
    <s v="torax"/>
    <m/>
    <m/>
    <m/>
    <m/>
    <m/>
    <m/>
    <m/>
    <m/>
    <m/>
    <x v="29"/>
    <m/>
    <s v="Otro intervencionismo de diagnóstico de tórax"/>
    <x v="29"/>
    <n v="2"/>
    <n v="2021"/>
    <s v="Vascular"/>
  </r>
  <r>
    <s v="Adulto"/>
    <s v="Del Pueblo"/>
    <s v="Nieto"/>
    <s v="Josefa"/>
    <x v="30"/>
    <x v="39"/>
    <n v="0.3"/>
    <m/>
    <m/>
    <m/>
    <m/>
    <m/>
    <m/>
    <m/>
    <m/>
    <m/>
    <m/>
    <x v="30"/>
    <m/>
    <s v="Embolización esplénica. Procedimiento básico"/>
    <x v="30"/>
    <n v="3"/>
    <n v="2021"/>
    <s v="Vascular"/>
  </r>
  <r>
    <s v="Adulto"/>
    <s v="Delgado"/>
    <s v="Jiménez"/>
    <s v="Javier"/>
    <x v="31"/>
    <x v="40"/>
    <n v="0.40500000000000003"/>
    <m/>
    <m/>
    <m/>
    <m/>
    <m/>
    <m/>
    <m/>
    <m/>
    <m/>
    <m/>
    <x v="31"/>
    <m/>
    <s v="Quimioembolización hepática. Procedimiento básico"/>
    <x v="31"/>
    <n v="3"/>
    <n v="2021"/>
    <s v="Vascular"/>
  </r>
  <r>
    <s v="Adulto"/>
    <s v="Donat"/>
    <s v="Canet"/>
    <s v="Rafael "/>
    <x v="32"/>
    <x v="14"/>
    <n v="0.19"/>
    <s v="abdomen"/>
    <m/>
    <m/>
    <m/>
    <m/>
    <m/>
    <m/>
    <m/>
    <m/>
    <m/>
    <x v="32"/>
    <m/>
    <s v="Embolización renal. Procedimiento básico"/>
    <x v="32"/>
    <n v="2"/>
    <n v="2021"/>
    <s v="Vascular"/>
  </r>
  <r>
    <s v="Adulto"/>
    <s v="Duro "/>
    <s v="Moreno"/>
    <s v="Ramón"/>
    <x v="33"/>
    <x v="41"/>
    <n v="1.07"/>
    <s v="abdomen"/>
    <m/>
    <m/>
    <m/>
    <m/>
    <m/>
    <m/>
    <m/>
    <m/>
    <m/>
    <x v="33"/>
    <s v="Si"/>
    <s v="Quimioembolización hepática. Procedimiento básico"/>
    <x v="33"/>
    <n v="2"/>
    <n v="2021"/>
    <s v="Vascular"/>
  </r>
  <r>
    <s v="Adulto"/>
    <s v="Duro "/>
    <s v="Moreno"/>
    <s v="Ramón"/>
    <x v="33"/>
    <x v="42"/>
    <n v="3.262"/>
    <s v="abdomen"/>
    <m/>
    <m/>
    <m/>
    <m/>
    <m/>
    <m/>
    <m/>
    <m/>
    <m/>
    <x v="33"/>
    <s v="Si"/>
    <s v="Quimioembolización hepática. Procedimiento básico"/>
    <x v="33"/>
    <n v="4"/>
    <n v="2020"/>
    <s v="Vascular"/>
  </r>
  <r>
    <s v="Adulto"/>
    <s v="Felix"/>
    <s v="Fontestad"/>
    <s v="Jesús"/>
    <x v="34"/>
    <x v="43"/>
    <n v="2.44"/>
    <n v="0"/>
    <n v="0.21"/>
    <n v="2.3912"/>
    <n v="2.1227999999999998"/>
    <n v="0"/>
    <n v="0"/>
    <n v="0.43919999999999998"/>
    <n v="1.0491999999999999"/>
    <n v="0.7075999999999999"/>
    <n v="0"/>
    <x v="34"/>
    <m/>
    <s v="Cateterismo cardíaco"/>
    <x v="34"/>
    <n v="3"/>
    <n v="2021"/>
    <s v="Hemodinámica"/>
  </r>
  <r>
    <s v="Adulto"/>
    <s v="Fengying"/>
    <m/>
    <s v="Zheng"/>
    <x v="35"/>
    <x v="44"/>
    <n v="0.623"/>
    <m/>
    <m/>
    <m/>
    <m/>
    <m/>
    <m/>
    <m/>
    <m/>
    <m/>
    <m/>
    <x v="35"/>
    <m/>
    <s v="3061080105041010"/>
    <x v="35"/>
    <n v="10"/>
    <n v="2020"/>
    <s v="Vascular"/>
  </r>
  <r>
    <s v="Adulto"/>
    <s v="Fernández"/>
    <s v="Bermúdez"/>
    <s v="Bienvenido"/>
    <x v="36"/>
    <x v="45"/>
    <n v="1.024"/>
    <m/>
    <m/>
    <m/>
    <m/>
    <m/>
    <m/>
    <m/>
    <m/>
    <m/>
    <m/>
    <x v="36"/>
    <m/>
    <s v="Arteriografía troncos viscerales digestivos"/>
    <x v="36"/>
    <n v="4"/>
    <n v="2021"/>
    <s v="Vascular"/>
  </r>
  <r>
    <s v="Adulto"/>
    <s v="Fernández"/>
    <s v="Serrano"/>
    <s v="Juan Pedro"/>
    <x v="37"/>
    <x v="46"/>
    <n v="0.41299999999999998"/>
    <n v="1.6E-2"/>
    <n v="2.5000000000000001E-2"/>
    <n v="1.6E-2"/>
    <n v="1.7999999999999999E-2"/>
    <n v="2.3E-2"/>
    <n v="1.6E-2"/>
    <n v="2.5000000000000001E-2"/>
    <n v="1.6E-2"/>
    <n v="1.7999999999999999E-2"/>
    <n v="2.3E-2"/>
    <x v="37"/>
    <m/>
    <s v="3061080109001030"/>
    <x v="37"/>
    <n v="10"/>
    <n v="2020"/>
    <s v="Vascular"/>
  </r>
  <r>
    <s v="Adulto"/>
    <s v="Fernando"/>
    <s v="Llorca"/>
    <s v="Consuelo"/>
    <x v="38"/>
    <x v="47"/>
    <n v="0.81499999999999995"/>
    <m/>
    <m/>
    <m/>
    <m/>
    <m/>
    <m/>
    <m/>
    <m/>
    <m/>
    <m/>
    <x v="38"/>
    <m/>
    <s v="Embolización en tumores. Procedimiento básico"/>
    <x v="38"/>
    <n v="4"/>
    <n v="2021"/>
    <s v="Vascular"/>
  </r>
  <r>
    <s v="Adulto"/>
    <s v="Frías"/>
    <s v="Benito"/>
    <s v="Juan"/>
    <x v="39"/>
    <x v="48"/>
    <n v="0.99099999999999999"/>
    <m/>
    <m/>
    <m/>
    <m/>
    <m/>
    <m/>
    <m/>
    <m/>
    <m/>
    <m/>
    <x v="39"/>
    <m/>
    <s v="Toma de presiones: Manometría venosa"/>
    <x v="39"/>
    <n v="3"/>
    <n v="2021"/>
    <s v="Vascular"/>
  </r>
  <r>
    <s v="Adulto"/>
    <s v="Fuster"/>
    <s v="Tarrazo"/>
    <s v="Rosa María"/>
    <x v="40"/>
    <x v="39"/>
    <n v="0.4"/>
    <m/>
    <m/>
    <m/>
    <m/>
    <m/>
    <m/>
    <m/>
    <m/>
    <m/>
    <m/>
    <x v="40"/>
    <m/>
    <s v="Embolización renal. Procedimiento básico"/>
    <x v="40"/>
    <n v="3"/>
    <n v="2021"/>
    <s v="Vascular"/>
  </r>
  <r>
    <s v="Adulto"/>
    <s v="Galarza"/>
    <s v="Perelló"/>
    <s v="María Dolores"/>
    <x v="41"/>
    <x v="49"/>
    <n v="0.93799999999999994"/>
    <s v="abdomen"/>
    <m/>
    <m/>
    <m/>
    <m/>
    <m/>
    <m/>
    <m/>
    <m/>
    <m/>
    <x v="41"/>
    <m/>
    <s v="3061080102091010"/>
    <x v="41"/>
    <n v="11"/>
    <n v="2020"/>
    <s v="Vascular"/>
  </r>
  <r>
    <s v="Adulto"/>
    <s v="Gallego"/>
    <s v="Hernández"/>
    <s v="Salvador"/>
    <x v="42"/>
    <x v="50"/>
    <n v="2.839"/>
    <m/>
    <m/>
    <m/>
    <m/>
    <m/>
    <m/>
    <m/>
    <m/>
    <m/>
    <m/>
    <x v="42"/>
    <s v="Si"/>
    <s v="Arteriografía troncos viscerales digestivos"/>
    <x v="42"/>
    <n v="6"/>
    <n v="2020"/>
    <s v="Vascular"/>
  </r>
  <r>
    <s v="Adulto"/>
    <s v="Gallego"/>
    <s v="Hernández"/>
    <s v="Salvador"/>
    <x v="42"/>
    <x v="51"/>
    <n v="5.7679999999999998"/>
    <m/>
    <m/>
    <m/>
    <m/>
    <m/>
    <m/>
    <m/>
    <m/>
    <m/>
    <m/>
    <x v="42"/>
    <s v="Si"/>
    <s v="Infusión terapéutica quimioterapia. Procedimiento básico"/>
    <x v="42"/>
    <n v="7"/>
    <n v="2020"/>
    <s v="Vascular"/>
  </r>
  <r>
    <s v="Adulto"/>
    <s v="Gamiz"/>
    <s v="Fos"/>
    <s v="M Carmen"/>
    <x v="43"/>
    <x v="52"/>
    <n v="1.9159999999999999"/>
    <m/>
    <m/>
    <m/>
    <m/>
    <m/>
    <m/>
    <m/>
    <m/>
    <m/>
    <m/>
    <x v="43"/>
    <m/>
    <s v="3061080104011050"/>
    <x v="43"/>
    <n v="10"/>
    <n v="2020"/>
    <s v="Vascular"/>
  </r>
  <r>
    <s v="Adulto"/>
    <s v="García "/>
    <s v="Martí"/>
    <s v="Rafael"/>
    <x v="44"/>
    <x v="53"/>
    <n v="0.61899999999999999"/>
    <m/>
    <m/>
    <m/>
    <m/>
    <m/>
    <m/>
    <m/>
    <m/>
    <m/>
    <m/>
    <x v="44"/>
    <m/>
    <s v="Otras embolizaciones. Procedimiento básico"/>
    <x v="44"/>
    <n v="3"/>
    <n v="2021"/>
    <s v="Vascular"/>
  </r>
  <r>
    <s v="Adulto"/>
    <s v="García "/>
    <s v="Martí"/>
    <s v="Rafael"/>
    <x v="44"/>
    <x v="53"/>
    <n v="0.46800000000000003"/>
    <m/>
    <m/>
    <m/>
    <m/>
    <m/>
    <m/>
    <m/>
    <m/>
    <m/>
    <m/>
    <x v="44"/>
    <m/>
    <s v="Arteriografía troncos viscerales digestivos"/>
    <x v="44"/>
    <n v="3"/>
    <n v="2021"/>
    <s v="Vascular"/>
  </r>
  <r>
    <s v="Pediátrico"/>
    <s v="García"/>
    <s v="Oller"/>
    <s v="Hugo"/>
    <x v="45"/>
    <x v="35"/>
    <n v="0.107"/>
    <m/>
    <m/>
    <m/>
    <m/>
    <m/>
    <m/>
    <m/>
    <m/>
    <m/>
    <m/>
    <x v="45"/>
    <m/>
    <s v="Cateterismo cardiaco pediatrico"/>
    <x v="45"/>
    <n v="3"/>
    <n v="2021"/>
    <s v="Vascular"/>
  </r>
  <r>
    <s v="Adulto"/>
    <s v="García-Uceda"/>
    <s v="Ruiz-Orejón"/>
    <s v="José"/>
    <x v="46"/>
    <x v="54"/>
    <n v="0.98"/>
    <m/>
    <m/>
    <m/>
    <m/>
    <m/>
    <m/>
    <m/>
    <m/>
    <m/>
    <m/>
    <x v="46"/>
    <m/>
    <s v="Shunt portocava percutáneo TIPS. Procedimiento básico"/>
    <x v="46"/>
    <n v="3"/>
    <n v="2021"/>
    <s v="Vascular"/>
  </r>
  <r>
    <s v="Adulto"/>
    <s v="Garrigues"/>
    <s v="Langa"/>
    <s v="Juan"/>
    <x v="47"/>
    <x v="55"/>
    <n v="1.6870000000000001"/>
    <m/>
    <m/>
    <m/>
    <m/>
    <m/>
    <m/>
    <m/>
    <m/>
    <m/>
    <m/>
    <x v="47"/>
    <m/>
    <s v="3061080104011050"/>
    <x v="47"/>
    <n v="11"/>
    <n v="2020"/>
    <s v="Vascular"/>
  </r>
  <r>
    <s v="Adulto"/>
    <s v="Gerona"/>
    <s v="Torregrosa"/>
    <s v="Guillermo"/>
    <x v="48"/>
    <x v="56"/>
    <n v="1.073"/>
    <n v="0"/>
    <n v="0.14099999999999999"/>
    <n v="0.45100000000000001"/>
    <n v="0.45100000000000001"/>
    <n v="0"/>
    <n v="0"/>
    <n v="8.4000000000000005E-2"/>
    <n v="0.377"/>
    <n v="0.377"/>
    <n v="0"/>
    <x v="48"/>
    <m/>
    <s v="Cateterismo cardíaco"/>
    <x v="48"/>
    <n v="3"/>
    <n v="2021"/>
    <s v="Hemodinámica"/>
  </r>
  <r>
    <s v="Adulto"/>
    <s v="Giner"/>
    <s v="Ortega"/>
    <s v="Francisca"/>
    <x v="49"/>
    <x v="57"/>
    <n v="0.8"/>
    <s v="abdomen"/>
    <m/>
    <m/>
    <m/>
    <m/>
    <m/>
    <m/>
    <m/>
    <m/>
    <m/>
    <x v="49"/>
    <s v="Si"/>
    <s v="Quimioembolización hepática. Procedimiento básico"/>
    <x v="49"/>
    <n v="2"/>
    <n v="2021"/>
    <s v="Vascular"/>
  </r>
  <r>
    <s v="Adulto"/>
    <s v="Giner"/>
    <s v="Ortega"/>
    <s v="Francisca"/>
    <x v="49"/>
    <x v="58"/>
    <n v="0.97599999999999998"/>
    <s v="abdomen"/>
    <m/>
    <m/>
    <m/>
    <m/>
    <m/>
    <m/>
    <m/>
    <m/>
    <m/>
    <x v="49"/>
    <s v="Si"/>
    <s v="3061080110001370"/>
    <x v="49"/>
    <n v="10"/>
    <n v="2020"/>
    <s v="Vascular"/>
  </r>
  <r>
    <s v="Adulto"/>
    <s v="Giner"/>
    <s v="Ortega"/>
    <s v="Francisca"/>
    <x v="49"/>
    <x v="59"/>
    <n v="2.9"/>
    <s v="abdomen"/>
    <m/>
    <m/>
    <m/>
    <m/>
    <m/>
    <m/>
    <m/>
    <m/>
    <m/>
    <x v="49"/>
    <s v="Si"/>
    <s v="3061080107241010"/>
    <x v="49"/>
    <n v="6"/>
    <n v="2018"/>
    <s v="Vascular"/>
  </r>
  <r>
    <s v="Adulto"/>
    <s v="Gonzalez"/>
    <s v="Climent"/>
    <s v="Javier"/>
    <x v="50"/>
    <x v="58"/>
    <n v="6.1459999999999999"/>
    <m/>
    <m/>
    <m/>
    <m/>
    <m/>
    <m/>
    <m/>
    <m/>
    <m/>
    <m/>
    <x v="50"/>
    <s v="Si"/>
    <s v="Quimioembolización hepática. Procedimiento básico"/>
    <x v="50"/>
    <n v="10"/>
    <n v="2020"/>
    <s v="Vascular"/>
  </r>
  <r>
    <s v="Adulto"/>
    <s v="Gonzalez"/>
    <s v="Climent"/>
    <s v="Javier"/>
    <x v="50"/>
    <x v="60"/>
    <n v="1.141"/>
    <m/>
    <m/>
    <m/>
    <m/>
    <m/>
    <m/>
    <m/>
    <m/>
    <m/>
    <m/>
    <x v="50"/>
    <s v="Si"/>
    <m/>
    <x v="50"/>
    <n v="2"/>
    <n v="2020"/>
    <s v="Vascular"/>
  </r>
  <r>
    <s v="Adulto"/>
    <s v="Gonzalez"/>
    <s v="Climent"/>
    <s v="Javier"/>
    <x v="50"/>
    <x v="61"/>
    <n v="2.4550000000000001"/>
    <m/>
    <m/>
    <m/>
    <m/>
    <m/>
    <m/>
    <m/>
    <m/>
    <m/>
    <m/>
    <x v="50"/>
    <s v="Si"/>
    <m/>
    <x v="50"/>
    <n v="2"/>
    <n v="2019"/>
    <s v="Vascular"/>
  </r>
  <r>
    <s v="Adulto"/>
    <s v="Herrada"/>
    <s v="Perona"/>
    <s v="Honorio"/>
    <x v="51"/>
    <x v="54"/>
    <n v="2.1440000000000001"/>
    <n v="0"/>
    <n v="0.39700000000000002"/>
    <n v="0.39700000000000002"/>
    <n v="0.17399999999999999"/>
    <n v="0"/>
    <n v="0"/>
    <n v="8.4000000000000005E-2"/>
    <n v="0.20899999999999999"/>
    <n v="1.194"/>
    <n v="0"/>
    <x v="51"/>
    <m/>
    <s v="Cateterismo cardíaco"/>
    <x v="51"/>
    <n v="3"/>
    <n v="2021"/>
    <s v="Hemodinámica"/>
  </r>
  <r>
    <s v="Adulto"/>
    <s v="Hlioui"/>
    <m/>
    <s v="Hamid"/>
    <x v="52"/>
    <x v="62"/>
    <n v="0.61899999999999999"/>
    <m/>
    <m/>
    <m/>
    <m/>
    <m/>
    <m/>
    <m/>
    <m/>
    <m/>
    <m/>
    <x v="52"/>
    <m/>
    <s v="Tratamiento estenosis oclusiva cava superior: Procedimiento básico"/>
    <x v="52"/>
    <n v="3"/>
    <n v="2021"/>
    <s v="Vascular"/>
  </r>
  <r>
    <s v="Adulto"/>
    <s v="Hlioui"/>
    <m/>
    <s v="Hamid"/>
    <x v="52"/>
    <x v="48"/>
    <n v="0.317"/>
    <m/>
    <m/>
    <m/>
    <m/>
    <m/>
    <m/>
    <m/>
    <m/>
    <m/>
    <m/>
    <x v="52"/>
    <m/>
    <s v="Tratamiento estenosis oclusiva cava superior: Procedimiento básico"/>
    <x v="52"/>
    <n v="3"/>
    <n v="2021"/>
    <s v="Vascular"/>
  </r>
  <r>
    <s v="Adulto"/>
    <s v="Hueso "/>
    <s v="Borrego"/>
    <s v="Manuela"/>
    <x v="53"/>
    <x v="63"/>
    <n v="1.1000000000000001"/>
    <s v="abodmen"/>
    <m/>
    <m/>
    <m/>
    <m/>
    <m/>
    <m/>
    <m/>
    <m/>
    <m/>
    <x v="53"/>
    <m/>
    <s v="Embo hepatica proc basic"/>
    <x v="53"/>
    <n v="2"/>
    <n v="2021"/>
    <s v="Vascular"/>
  </r>
  <r>
    <s v="Pediátrico"/>
    <s v="Hurtado"/>
    <s v="Pamies"/>
    <s v="Ainara"/>
    <x v="54"/>
    <x v="64"/>
    <n v="0.24199999999999999"/>
    <m/>
    <m/>
    <m/>
    <m/>
    <m/>
    <m/>
    <m/>
    <m/>
    <m/>
    <m/>
    <x v="54"/>
    <m/>
    <s v="Cateterismo cardiaco pediatrico"/>
    <x v="54"/>
    <n v="3"/>
    <n v="2021"/>
    <s v="Vascular"/>
  </r>
  <r>
    <s v="Adulto"/>
    <s v="Jiménez "/>
    <s v="Gómez"/>
    <s v="Noel"/>
    <x v="55"/>
    <x v="65"/>
    <n v="6.2E-2"/>
    <s v="abdomen"/>
    <m/>
    <m/>
    <m/>
    <m/>
    <m/>
    <m/>
    <m/>
    <m/>
    <m/>
    <x v="55"/>
    <m/>
    <s v="Filtro de cava"/>
    <x v="55"/>
    <n v="2"/>
    <n v="2021"/>
    <s v="Vascular"/>
  </r>
  <r>
    <s v="Adulto"/>
    <s v="Jiménez "/>
    <s v="Gómez"/>
    <s v="Noel"/>
    <x v="55"/>
    <x v="66"/>
    <n v="0.31"/>
    <s v="abdomen"/>
    <m/>
    <m/>
    <m/>
    <m/>
    <m/>
    <m/>
    <m/>
    <m/>
    <m/>
    <x v="55"/>
    <m/>
    <s v="Embolización de hemorragia digestiva baja: Procedimiento básico"/>
    <x v="55"/>
    <n v="2"/>
    <n v="2021"/>
    <s v="Vascular"/>
  </r>
  <r>
    <s v="Adulto"/>
    <s v="Jiménez "/>
    <s v="Navarro"/>
    <s v="Milagros"/>
    <x v="56"/>
    <x v="67"/>
    <n v="2.7730000000000001"/>
    <m/>
    <m/>
    <m/>
    <m/>
    <m/>
    <m/>
    <m/>
    <m/>
    <m/>
    <m/>
    <x v="56"/>
    <m/>
    <s v="Embolización bronquial. Procedimiento básico"/>
    <x v="56"/>
    <n v="10"/>
    <n v="2020"/>
    <s v="Vascular"/>
  </r>
  <r>
    <s v="Adulto"/>
    <s v="Jiménez "/>
    <s v="Navarro"/>
    <s v="Milagros"/>
    <x v="56"/>
    <x v="68"/>
    <n v="7.8E-2"/>
    <m/>
    <m/>
    <m/>
    <m/>
    <m/>
    <m/>
    <m/>
    <m/>
    <m/>
    <m/>
    <x v="56"/>
    <m/>
    <s v="Embolización bronquial. Procedimiento básico"/>
    <x v="56"/>
    <n v="1"/>
    <n v="2021"/>
    <s v="Vascular"/>
  </r>
  <r>
    <s v="Pediátrico"/>
    <s v="Jiménez "/>
    <s v="Ramos"/>
    <s v="Henderson Edin"/>
    <x v="57"/>
    <x v="14"/>
    <n v="4.8000000000000001E-2"/>
    <m/>
    <m/>
    <m/>
    <m/>
    <m/>
    <m/>
    <m/>
    <m/>
    <m/>
    <m/>
    <x v="57"/>
    <m/>
    <m/>
    <x v="57"/>
    <n v="2"/>
    <n v="2021"/>
    <s v="Vascular"/>
  </r>
  <r>
    <s v="Adulto"/>
    <s v="Juan"/>
    <s v="Verdú"/>
    <s v="Luis"/>
    <x v="58"/>
    <x v="64"/>
    <n v="1.5409999999999999"/>
    <m/>
    <m/>
    <m/>
    <m/>
    <m/>
    <m/>
    <m/>
    <m/>
    <m/>
    <m/>
    <x v="58"/>
    <m/>
    <s v="Otras embolizaciones. Procedimiento básico"/>
    <x v="58"/>
    <n v="3"/>
    <n v="2021"/>
    <s v="Vascular"/>
  </r>
  <r>
    <s v="Adulto"/>
    <s v="Khoshbekyan"/>
    <m/>
    <s v="Poghos"/>
    <x v="59"/>
    <x v="35"/>
    <n v="4.3"/>
    <n v="0"/>
    <n v="1.4"/>
    <n v="1.38"/>
    <n v="1.155"/>
    <n v="0"/>
    <n v="0"/>
    <n v="0.35799999999999998"/>
    <n v="0.9"/>
    <n v="2.5129999999999999"/>
    <n v="0"/>
    <x v="59"/>
    <m/>
    <s v="Cateterismo cardíaco"/>
    <x v="59"/>
    <n v="3"/>
    <n v="2021"/>
    <s v="Hemodinámica"/>
  </r>
  <r>
    <s v="Adulto"/>
    <s v="Lacomba"/>
    <s v="Albalate"/>
    <s v="José"/>
    <x v="60"/>
    <x v="69"/>
    <n v="1.05"/>
    <m/>
    <m/>
    <m/>
    <m/>
    <m/>
    <m/>
    <m/>
    <m/>
    <m/>
    <m/>
    <x v="60"/>
    <m/>
    <s v="Quimioembolización hepática. Procedimiento básico"/>
    <x v="60"/>
    <n v="4"/>
    <n v="2021"/>
    <s v="Vascular"/>
  </r>
  <r>
    <s v="Adulto"/>
    <s v="Lamallem"/>
    <m/>
    <s v="Jamil"/>
    <x v="61"/>
    <x v="1"/>
    <n v="0.53"/>
    <m/>
    <m/>
    <m/>
    <m/>
    <m/>
    <m/>
    <m/>
    <m/>
    <m/>
    <m/>
    <x v="61"/>
    <m/>
    <s v="Embolización pulmonar: Procedimiento básico"/>
    <x v="61"/>
    <n v="4"/>
    <n v="2021"/>
    <s v="Vascular"/>
  </r>
  <r>
    <s v="Adulto"/>
    <s v="Llanes"/>
    <s v="Tolosa"/>
    <s v="Ramón"/>
    <x v="62"/>
    <x v="70"/>
    <n v="3.0939999999999999"/>
    <m/>
    <m/>
    <m/>
    <m/>
    <m/>
    <m/>
    <m/>
    <m/>
    <m/>
    <m/>
    <x v="62"/>
    <s v="Si"/>
    <s v="Quimioembolización hepática. Procedimiento básico"/>
    <x v="62"/>
    <n v="6"/>
    <n v="2020"/>
    <s v="Vascular"/>
  </r>
  <r>
    <s v="Adulto"/>
    <s v="Llanes"/>
    <s v="Tolosa"/>
    <s v="Ramón"/>
    <x v="62"/>
    <x v="71"/>
    <n v="5.2409999999999997"/>
    <m/>
    <m/>
    <m/>
    <m/>
    <m/>
    <m/>
    <m/>
    <m/>
    <m/>
    <m/>
    <x v="62"/>
    <s v="Si"/>
    <s v="Quimioembolización hepática. Procedimiento básico"/>
    <x v="62"/>
    <n v="2"/>
    <n v="2020"/>
    <s v="Vascular"/>
  </r>
  <r>
    <s v="Adulto"/>
    <s v="Llanes"/>
    <s v="Tolosa"/>
    <s v="Ramón"/>
    <x v="62"/>
    <x v="72"/>
    <n v="3.0019999999999998"/>
    <m/>
    <m/>
    <m/>
    <m/>
    <m/>
    <m/>
    <m/>
    <m/>
    <m/>
    <m/>
    <x v="62"/>
    <s v="Si"/>
    <s v="Quimioembolización hepática. Procedimiento básico"/>
    <x v="62"/>
    <n v="9"/>
    <n v="2020"/>
    <s v="Vascular"/>
  </r>
  <r>
    <s v="Pediátrico"/>
    <s v="López"/>
    <s v="Pardo"/>
    <s v="Lidia"/>
    <x v="63"/>
    <x v="69"/>
    <n v="0.746"/>
    <m/>
    <m/>
    <m/>
    <m/>
    <m/>
    <m/>
    <m/>
    <m/>
    <m/>
    <m/>
    <x v="63"/>
    <m/>
    <s v="Cateterismo cardiaco pediatrico"/>
    <x v="63"/>
    <n v="4"/>
    <n v="2021"/>
    <s v="Vascular"/>
  </r>
  <r>
    <s v="Pediátrico"/>
    <s v="López"/>
    <s v="Sánchez"/>
    <s v="Emma"/>
    <x v="64"/>
    <x v="73"/>
    <n v="0.2"/>
    <m/>
    <m/>
    <m/>
    <m/>
    <m/>
    <m/>
    <m/>
    <m/>
    <m/>
    <m/>
    <x v="64"/>
    <m/>
    <s v="Cateterismo cardiaco pediatrico"/>
    <x v="64"/>
    <n v="3"/>
    <n v="2021"/>
    <s v="Vascular"/>
  </r>
  <r>
    <s v="Pediátrico"/>
    <s v="López"/>
    <s v="Yuste"/>
    <s v="Thiago"/>
    <x v="65"/>
    <x v="74"/>
    <n v="0.155"/>
    <m/>
    <m/>
    <m/>
    <m/>
    <m/>
    <m/>
    <m/>
    <m/>
    <m/>
    <m/>
    <x v="65"/>
    <m/>
    <s v="Dilatación vía biliar"/>
    <x v="65"/>
    <n v="3"/>
    <n v="2021"/>
    <s v="Vascular"/>
  </r>
  <r>
    <s v="Adulto"/>
    <s v="Lozano"/>
    <s v="Ramos"/>
    <s v="Miguel Ángel"/>
    <x v="66"/>
    <x v="75"/>
    <n v="0.217"/>
    <s v="abdomen"/>
    <m/>
    <m/>
    <m/>
    <m/>
    <m/>
    <m/>
    <m/>
    <m/>
    <m/>
    <x v="66"/>
    <m/>
    <s v="Embolización de hemorragia digestiva baja. Procedimiento básico"/>
    <x v="66"/>
    <n v="2"/>
    <n v="2021"/>
    <s v="Vascular"/>
  </r>
  <r>
    <s v="Adulto"/>
    <s v="Lozano"/>
    <s v="Ramos"/>
    <s v="Miguel Ángel"/>
    <x v="66"/>
    <x v="76"/>
    <n v="0.11"/>
    <s v="abdomen"/>
    <m/>
    <m/>
    <m/>
    <m/>
    <m/>
    <m/>
    <m/>
    <m/>
    <m/>
    <x v="66"/>
    <m/>
    <s v="Arteriografía troncos viscerales digestivos"/>
    <x v="66"/>
    <n v="2"/>
    <n v="2021"/>
    <s v="Vascular"/>
  </r>
  <r>
    <s v="Adulto"/>
    <s v="Mariño"/>
    <s v="San Martín"/>
    <s v="Maximino Andrés"/>
    <x v="67"/>
    <x v="77"/>
    <n v="0.41399999999999998"/>
    <n v="0"/>
    <n v="3.2000000000000001E-2"/>
    <n v="0.182"/>
    <n v="0.17"/>
    <n v="0"/>
    <n v="0"/>
    <n v="7.1999999999999995E-2"/>
    <n v="0.183"/>
    <n v="0.183"/>
    <n v="0"/>
    <x v="67"/>
    <m/>
    <s v="Cateterismo cardíaco"/>
    <x v="67"/>
    <n v="3"/>
    <n v="2021"/>
    <s v="Hemodinámica"/>
  </r>
  <r>
    <s v="Adulto"/>
    <s v="Martínez"/>
    <s v="Ibáñez"/>
    <s v="Valentín"/>
    <x v="68"/>
    <x v="11"/>
    <n v="3.7519999999999998"/>
    <m/>
    <m/>
    <m/>
    <m/>
    <m/>
    <m/>
    <m/>
    <m/>
    <m/>
    <m/>
    <x v="68"/>
    <s v="Si"/>
    <s v="Aortografía abdominal"/>
    <x v="68"/>
    <n v="6"/>
    <n v="2020"/>
    <s v="Vascular"/>
  </r>
  <r>
    <s v="Adulto"/>
    <s v="Martínez"/>
    <s v="Ibáñez"/>
    <s v="Valentín"/>
    <x v="68"/>
    <x v="78"/>
    <n v="2.5619999999999998"/>
    <m/>
    <m/>
    <m/>
    <m/>
    <m/>
    <m/>
    <m/>
    <m/>
    <m/>
    <m/>
    <x v="68"/>
    <s v="Si"/>
    <s v="Embolización de aneurismas venosos"/>
    <x v="68"/>
    <n v="5"/>
    <n v="2020"/>
    <s v="Vascular"/>
  </r>
  <r>
    <s v="Adulto"/>
    <s v="Martínez"/>
    <s v="Soriano"/>
    <s v="Carmen"/>
    <x v="69"/>
    <x v="79"/>
    <n v="2.823"/>
    <m/>
    <m/>
    <m/>
    <m/>
    <m/>
    <m/>
    <m/>
    <m/>
    <m/>
    <m/>
    <x v="69"/>
    <s v="Si"/>
    <s v="Quimioembolización hepática. Procedimiento básico"/>
    <x v="69"/>
    <n v="6"/>
    <n v="2020"/>
    <s v="Vascular"/>
  </r>
  <r>
    <s v="Adulto"/>
    <s v="Martínez"/>
    <s v="Soriano"/>
    <s v="Carmen"/>
    <x v="69"/>
    <x v="80"/>
    <n v="2.1709999999999998"/>
    <m/>
    <m/>
    <m/>
    <m/>
    <m/>
    <m/>
    <m/>
    <m/>
    <m/>
    <m/>
    <x v="69"/>
    <s v="Si"/>
    <s v="Otras embolizaciones. Procedimiento básico"/>
    <x v="69"/>
    <n v="5"/>
    <n v="2020"/>
    <s v="Vascular"/>
  </r>
  <r>
    <s v="Pediátrico"/>
    <s v="Mata"/>
    <s v="Garrido"/>
    <s v="Marta"/>
    <x v="70"/>
    <x v="81"/>
    <n v="2.9000000000000001E-2"/>
    <m/>
    <m/>
    <m/>
    <m/>
    <m/>
    <m/>
    <m/>
    <m/>
    <m/>
    <m/>
    <x v="70"/>
    <m/>
    <s v="Cateterismo cardiaco pediatrico"/>
    <x v="70"/>
    <n v="3"/>
    <n v="2021"/>
    <s v="Vascular"/>
  </r>
  <r>
    <s v="Adulto"/>
    <s v="Matute"/>
    <s v="Tobias"/>
    <s v="Luis Javier"/>
    <x v="71"/>
    <x v="82"/>
    <n v="0.06"/>
    <n v="0"/>
    <n v="0.06"/>
    <n v="0.06"/>
    <n v="0.06"/>
    <n v="0"/>
    <n v="0"/>
    <n v="0.06"/>
    <n v="0.06"/>
    <n v="0.06"/>
    <n v="0"/>
    <x v="71"/>
    <m/>
    <s v="Cateterismo cardíaco"/>
    <x v="71"/>
    <n v="3"/>
    <n v="2021"/>
    <s v="Hemodinámica"/>
  </r>
  <r>
    <s v="Adulto"/>
    <s v="Mitkov"/>
    <s v="Rusev"/>
    <s v="Plamen"/>
    <x v="72"/>
    <x v="83"/>
    <n v="3.05"/>
    <m/>
    <m/>
    <m/>
    <m/>
    <m/>
    <m/>
    <m/>
    <m/>
    <m/>
    <m/>
    <x v="72"/>
    <s v="Si"/>
    <s v="Arteriografía troncos viscerales digestivos"/>
    <x v="72"/>
    <n v="6"/>
    <n v="2020"/>
    <s v="Vascular"/>
  </r>
  <r>
    <s v="Adulto"/>
    <s v="Muñoz"/>
    <s v="Fernández"/>
    <s v="Francisco"/>
    <x v="73"/>
    <x v="84"/>
    <n v="0.60099999999999998"/>
    <n v="0"/>
    <n v="5.7000000000000002E-2"/>
    <n v="0.36199999999999999"/>
    <n v="0.35599999999999998"/>
    <n v="0"/>
    <n v="0"/>
    <n v="9.0999999999999998E-2"/>
    <n v="0.41599999999999998"/>
    <n v="4.1399999999999999E-2"/>
    <n v="0"/>
    <x v="73"/>
    <m/>
    <s v="Cateterismo cardíaco"/>
    <x v="73"/>
    <n v="4"/>
    <n v="2021"/>
    <s v="Hemodinámica"/>
  </r>
  <r>
    <s v="Adulto"/>
    <s v="Muñoz"/>
    <s v="Hernández"/>
    <s v="Manuela"/>
    <x v="74"/>
    <x v="56"/>
    <n v="0.255"/>
    <m/>
    <m/>
    <m/>
    <m/>
    <m/>
    <m/>
    <m/>
    <m/>
    <m/>
    <m/>
    <x v="74"/>
    <m/>
    <s v="Gastrostomía percutánea"/>
    <x v="74"/>
    <n v="3"/>
    <n v="2021"/>
    <s v="Vascular"/>
  </r>
  <r>
    <s v="Adulto"/>
    <s v="Murciano"/>
    <s v="Rodilla"/>
    <s v="Herlinda"/>
    <x v="75"/>
    <x v="85"/>
    <n v="3.476"/>
    <m/>
    <m/>
    <m/>
    <m/>
    <m/>
    <m/>
    <m/>
    <m/>
    <m/>
    <m/>
    <x v="75"/>
    <s v="Si"/>
    <s v="Embolización en malformaciones vasculares cerebrales. Procedimiento báscio"/>
    <x v="75"/>
    <n v="6"/>
    <n v="2020"/>
    <s v="Vascular"/>
  </r>
  <r>
    <s v="Adulto"/>
    <s v="Nadal"/>
    <s v="Torralbo"/>
    <s v="David"/>
    <x v="76"/>
    <x v="86"/>
    <n v="7.4690000000000003"/>
    <m/>
    <m/>
    <m/>
    <m/>
    <m/>
    <m/>
    <m/>
    <m/>
    <m/>
    <m/>
    <x v="76"/>
    <s v="Si"/>
    <s v="Arteriografía troncos viscerales digestivos"/>
    <x v="76"/>
    <n v="7"/>
    <n v="2020"/>
    <s v="Vascular"/>
  </r>
  <r>
    <s v="Adulto"/>
    <s v="Natividad"/>
    <s v="Gallego"/>
    <s v="Andrés"/>
    <x v="77"/>
    <x v="5"/>
    <n v="0.23499999999999999"/>
    <n v="0"/>
    <n v="6.5000000000000002E-2"/>
    <n v="0.105"/>
    <n v="0.105"/>
    <n v="0"/>
    <n v="0"/>
    <n v="2.5999999999999999E-2"/>
    <n v="0.105"/>
    <n v="0.105"/>
    <n v="0"/>
    <x v="77"/>
    <m/>
    <s v="Cateterismo cardíaco"/>
    <x v="77"/>
    <n v="3"/>
    <n v="2021"/>
    <s v="Hemodinámica"/>
  </r>
  <r>
    <s v="Adulto"/>
    <s v="Navalón"/>
    <s v="Defez"/>
    <s v="Javier"/>
    <x v="78"/>
    <x v="5"/>
    <n v="0.67100000000000004"/>
    <n v="0"/>
    <n v="0.34200000000000003"/>
    <n v="0.19700000000000001"/>
    <n v="5.8000000000000003E-2"/>
    <n v="0"/>
    <n v="0"/>
    <n v="0.34200000000000003"/>
    <n v="0.19700000000000001"/>
    <n v="0.125"/>
    <n v="0"/>
    <x v="78"/>
    <m/>
    <s v="Cateterismo cardíaco"/>
    <x v="78"/>
    <n v="3"/>
    <n v="2021"/>
    <s v="Hemodinámica"/>
  </r>
  <r>
    <s v="Adulto"/>
    <s v="Navarro"/>
    <s v="Baixauli"/>
    <s v="Juan"/>
    <x v="79"/>
    <x v="87"/>
    <n v="0.83899999999999997"/>
    <m/>
    <m/>
    <m/>
    <m/>
    <m/>
    <m/>
    <m/>
    <m/>
    <m/>
    <m/>
    <x v="79"/>
    <m/>
    <s v="Embolización de hemorragia digestiva alta. Procedimiento básico"/>
    <x v="79"/>
    <n v="3"/>
    <n v="2021"/>
    <s v="Vascular"/>
  </r>
  <r>
    <s v="Adulto"/>
    <s v="Navarro"/>
    <s v="Palanca"/>
    <s v="Vicenta"/>
    <x v="80"/>
    <x v="88"/>
    <n v="0.43"/>
    <m/>
    <m/>
    <m/>
    <m/>
    <m/>
    <m/>
    <m/>
    <m/>
    <m/>
    <m/>
    <x v="80"/>
    <m/>
    <s v="Embolización de hemorragia digestiva alta. Procedimiento básico"/>
    <x v="80"/>
    <n v="3"/>
    <n v="2021"/>
    <s v="Vascular"/>
  </r>
  <r>
    <s v="Pediátrico"/>
    <s v="Núñez"/>
    <s v="Ortiz"/>
    <s v="Rosa"/>
    <x v="81"/>
    <x v="38"/>
    <n v="3.4140000000000001"/>
    <m/>
    <m/>
    <m/>
    <m/>
    <m/>
    <m/>
    <m/>
    <m/>
    <m/>
    <m/>
    <x v="81"/>
    <m/>
    <s v="Cateterismo cardiaco pediatrico"/>
    <x v="81"/>
    <n v="4"/>
    <n v="2021"/>
    <s v="Vascular"/>
  </r>
  <r>
    <s v="Adulto"/>
    <s v="Oliva"/>
    <s v="Moresi"/>
    <s v="Lorenzo"/>
    <x v="82"/>
    <x v="5"/>
    <n v="0.46500000000000002"/>
    <n v="0"/>
    <n v="7.0999999999999994E-2"/>
    <n v="0.35599999999999998"/>
    <n v="0.307"/>
    <n v="0"/>
    <n v="0"/>
    <n v="7.0999999999999994E-2"/>
    <n v="0.35699999999999998"/>
    <n v="0.307"/>
    <n v="0"/>
    <x v="82"/>
    <m/>
    <s v="Cateterismo cardíaco"/>
    <x v="82"/>
    <n v="3"/>
    <n v="2021"/>
    <s v="Hemodinámica"/>
  </r>
  <r>
    <s v="Adulto"/>
    <s v="Orallo"/>
    <s v="Álvarez"/>
    <s v="Florentina"/>
    <x v="83"/>
    <x v="89"/>
    <n v="4.2060000000000004"/>
    <m/>
    <m/>
    <m/>
    <m/>
    <m/>
    <m/>
    <m/>
    <m/>
    <m/>
    <m/>
    <x v="83"/>
    <s v="Si"/>
    <s v="Embolización renal. Procedimiento básico"/>
    <x v="83"/>
    <n v="10"/>
    <n v="2020"/>
    <s v="Vascular"/>
  </r>
  <r>
    <s v="Adulto"/>
    <s v="Ortell"/>
    <s v="Renau"/>
    <s v="Miguel"/>
    <x v="84"/>
    <x v="90"/>
    <n v="4.1500000000000004"/>
    <m/>
    <m/>
    <m/>
    <m/>
    <m/>
    <m/>
    <m/>
    <m/>
    <m/>
    <m/>
    <x v="84"/>
    <s v="Si"/>
    <m/>
    <x v="84"/>
    <n v="2"/>
    <n v="2021"/>
    <s v="Vascular"/>
  </r>
  <r>
    <s v="Adulto"/>
    <s v="Ortiz"/>
    <s v="Robles"/>
    <s v="Javier"/>
    <x v="85"/>
    <x v="5"/>
    <n v="0.23599999999999999"/>
    <n v="0"/>
    <n v="2.1000000000000001E-2"/>
    <n v="0.11700000000000001"/>
    <n v="0.1"/>
    <n v="0"/>
    <n v="0"/>
    <n v="0.3"/>
    <n v="0.11700000000000001"/>
    <n v="0.1"/>
    <n v="0"/>
    <x v="85"/>
    <m/>
    <s v="Cateterismo cardíaco"/>
    <x v="85"/>
    <n v="3"/>
    <n v="2021"/>
    <s v="Hemodinámica"/>
  </r>
  <r>
    <s v="Adulto"/>
    <s v="Palanca"/>
    <s v="Pascual"/>
    <s v="Francisco"/>
    <x v="86"/>
    <x v="91"/>
    <n v="6.1820000000000004"/>
    <m/>
    <m/>
    <m/>
    <m/>
    <m/>
    <m/>
    <m/>
    <m/>
    <m/>
    <m/>
    <x v="86"/>
    <s v="Si"/>
    <s v="Embolización de hemorragia digestiva alta. Procedimiento básico"/>
    <x v="86"/>
    <n v="12"/>
    <n v="2019"/>
    <s v="Vascular"/>
  </r>
  <r>
    <s v="Adulto"/>
    <s v="Paraschiv"/>
    <m/>
    <s v="Mihaela Florentina"/>
    <x v="87"/>
    <x v="41"/>
    <n v="0.9"/>
    <s v="abdomen"/>
    <m/>
    <m/>
    <m/>
    <m/>
    <m/>
    <m/>
    <m/>
    <m/>
    <m/>
    <x v="87"/>
    <m/>
    <s v="Embo otras hemorrajs proc basic"/>
    <x v="87"/>
    <n v="2"/>
    <n v="2021"/>
    <s v="Vascular"/>
  </r>
  <r>
    <s v="Adulto"/>
    <s v="Pardo"/>
    <s v="Serrano"/>
    <s v="M Carmen"/>
    <x v="88"/>
    <x v="70"/>
    <n v="2.9980000000000002"/>
    <m/>
    <m/>
    <m/>
    <m/>
    <m/>
    <m/>
    <m/>
    <m/>
    <m/>
    <m/>
    <x v="88"/>
    <s v="Si"/>
    <s v="Embolización grandes vasos. Procedimiento básico"/>
    <x v="88"/>
    <n v="6"/>
    <n v="2020"/>
    <s v="Vascular"/>
  </r>
  <r>
    <s v="Adulto"/>
    <s v="Pastor"/>
    <s v="Sánchez"/>
    <s v="Pascual"/>
    <x v="89"/>
    <x v="92"/>
    <n v="2.456"/>
    <m/>
    <m/>
    <m/>
    <m/>
    <m/>
    <m/>
    <m/>
    <m/>
    <m/>
    <m/>
    <x v="89"/>
    <m/>
    <s v="Quimioembolización hepática. Procedimiento básico"/>
    <x v="89"/>
    <n v="8"/>
    <n v="2020"/>
    <s v="Vascular"/>
  </r>
  <r>
    <s v="Adulto"/>
    <s v="Patiño"/>
    <s v="Nieto"/>
    <s v="Donato"/>
    <x v="90"/>
    <x v="93"/>
    <n v="3.8679999999999999"/>
    <m/>
    <m/>
    <m/>
    <m/>
    <m/>
    <m/>
    <m/>
    <m/>
    <m/>
    <m/>
    <x v="90"/>
    <s v="Si"/>
    <s v="Tratamiento endovascular aneurisma de aorta abdominal. Procedimiento basico"/>
    <x v="90"/>
    <n v="10"/>
    <n v="2019"/>
    <s v="Vascular"/>
  </r>
  <r>
    <s v="Pediátrico"/>
    <s v="Pazmiño"/>
    <s v="Manchón"/>
    <s v="Aaron Javier"/>
    <x v="91"/>
    <x v="94"/>
    <n v="0.182"/>
    <m/>
    <n v="3.1E-2"/>
    <n v="3.1E-2"/>
    <n v="0.121"/>
    <n v="0.151"/>
    <n v="0"/>
    <n v="3.1E-2"/>
    <n v="3.1E-2"/>
    <n v="0.121"/>
    <n v="0.151"/>
    <x v="91"/>
    <m/>
    <s v="Cateterismo cardiaco pediatrico"/>
    <x v="91"/>
    <n v="2"/>
    <n v="2021"/>
    <s v="Vascular"/>
  </r>
  <r>
    <s v="Pediátrico"/>
    <s v="Pedrón"/>
    <s v="Caballero"/>
    <s v="Ángela"/>
    <x v="92"/>
    <x v="81"/>
    <n v="1.2999999999999999E-2"/>
    <m/>
    <m/>
    <m/>
    <m/>
    <m/>
    <m/>
    <m/>
    <m/>
    <m/>
    <m/>
    <x v="92"/>
    <m/>
    <s v="Otro intervencionismo diagnostico de abdomen pediátrico"/>
    <x v="92"/>
    <n v="3"/>
    <n v="2021"/>
    <s v="Vascular"/>
  </r>
  <r>
    <s v="Adulto"/>
    <s v="Peiró"/>
    <s v="Feliu"/>
    <s v="Amadeo"/>
    <x v="93"/>
    <x v="95"/>
    <n v="2.8650000000000002"/>
    <m/>
    <m/>
    <m/>
    <m/>
    <m/>
    <m/>
    <m/>
    <m/>
    <m/>
    <m/>
    <x v="93"/>
    <s v="Si"/>
    <s v="Embolización en tumores. Procedimiento básico"/>
    <x v="93"/>
    <n v="11"/>
    <n v="2020"/>
    <s v="Vascular"/>
  </r>
  <r>
    <s v="Adulto"/>
    <s v="Peiró"/>
    <s v="Feliu"/>
    <s v="Amadeo"/>
    <x v="93"/>
    <x v="96"/>
    <n v="0.27900000000000003"/>
    <m/>
    <m/>
    <m/>
    <m/>
    <m/>
    <m/>
    <m/>
    <m/>
    <m/>
    <m/>
    <x v="93"/>
    <s v="Si"/>
    <s v="Infusión terapéutica quimioterapia. Procedimiento básico"/>
    <x v="93"/>
    <n v="12"/>
    <n v="2020"/>
    <s v="Vascular"/>
  </r>
  <r>
    <s v="Adulto"/>
    <s v="Peiró"/>
    <s v="Navarrete"/>
    <s v="Cándido"/>
    <x v="94"/>
    <x v="9"/>
    <n v="0.877"/>
    <m/>
    <m/>
    <m/>
    <m/>
    <m/>
    <m/>
    <m/>
    <m/>
    <m/>
    <m/>
    <x v="94"/>
    <m/>
    <m/>
    <x v="94"/>
    <n v="4"/>
    <n v="2021"/>
    <s v="Vascular"/>
  </r>
  <r>
    <s v="Adulto"/>
    <s v="Peñarrocha"/>
    <s v="Piqueras"/>
    <s v="Marcos Antonio"/>
    <x v="95"/>
    <x v="81"/>
    <n v="0.627"/>
    <m/>
    <m/>
    <m/>
    <m/>
    <m/>
    <m/>
    <m/>
    <m/>
    <m/>
    <m/>
    <x v="95"/>
    <m/>
    <s v="Otras embolizaciones. Procedimiento básico"/>
    <x v="95"/>
    <n v="3"/>
    <n v="2021"/>
    <s v="Vascular"/>
  </r>
  <r>
    <s v="Pediátrico"/>
    <s v="Pérez"/>
    <s v="Jiménez"/>
    <s v="Meritxell"/>
    <x v="96"/>
    <x v="76"/>
    <n v="0.10299999999999999"/>
    <m/>
    <m/>
    <m/>
    <m/>
    <m/>
    <m/>
    <m/>
    <m/>
    <m/>
    <m/>
    <x v="96"/>
    <m/>
    <s v="Dilatación biliar hepática"/>
    <x v="96"/>
    <n v="2"/>
    <n v="2021"/>
    <s v="Vascular"/>
  </r>
  <r>
    <s v="Adulto"/>
    <s v="Piorno"/>
    <s v="Pérez"/>
    <s v="Ángel"/>
    <x v="97"/>
    <x v="97"/>
    <n v="5.4779999999999998"/>
    <m/>
    <m/>
    <m/>
    <m/>
    <m/>
    <m/>
    <m/>
    <m/>
    <m/>
    <m/>
    <x v="97"/>
    <s v="Si"/>
    <s v="Arteriografía renal"/>
    <x v="97"/>
    <n v="10"/>
    <n v="2019"/>
    <s v="Vascular"/>
  </r>
  <r>
    <s v="Pediátrico"/>
    <s v="Prieto"/>
    <s v="Bonora"/>
    <s v="Víctor"/>
    <x v="98"/>
    <x v="98"/>
    <n v="0.42399999999999999"/>
    <m/>
    <m/>
    <m/>
    <m/>
    <m/>
    <m/>
    <m/>
    <m/>
    <m/>
    <m/>
    <x v="98"/>
    <m/>
    <s v="Cateterismo cardiaco pediatrico"/>
    <x v="98"/>
    <n v="3"/>
    <n v="2021"/>
    <s v="Vascular"/>
  </r>
  <r>
    <s v="Adulto"/>
    <s v="Puchalt"/>
    <s v="Rambla"/>
    <s v="Juan José"/>
    <x v="99"/>
    <x v="82"/>
    <n v="0.97499999999999998"/>
    <n v="0"/>
    <n v="0.217"/>
    <n v="0.35799999999999998"/>
    <n v="0.29299999999999998"/>
    <n v="0"/>
    <n v="0"/>
    <n v="0.217"/>
    <n v="0.97499999999999998"/>
    <n v="0.91"/>
    <n v="0"/>
    <x v="99"/>
    <m/>
    <s v="Cateterismo cardíaco"/>
    <x v="99"/>
    <n v="3"/>
    <n v="2021"/>
    <s v="Hemodinámica"/>
  </r>
  <r>
    <s v="Adulto"/>
    <s v="Punzano"/>
    <s v="Egea"/>
    <s v="Felipe"/>
    <x v="100"/>
    <x v="13"/>
    <n v="3.944"/>
    <m/>
    <m/>
    <m/>
    <m/>
    <m/>
    <m/>
    <m/>
    <m/>
    <m/>
    <m/>
    <x v="100"/>
    <s v="Si"/>
    <s v="Ablación tumoral, radiofrecuencia"/>
    <x v="100"/>
    <n v="2"/>
    <n v="2020"/>
    <s v="Vascular"/>
  </r>
  <r>
    <s v="Adulto"/>
    <s v="Quintero"/>
    <s v="Acosta"/>
    <s v="Miguel Ángel"/>
    <x v="101"/>
    <x v="65"/>
    <n v="0.78500000000000003"/>
    <m/>
    <m/>
    <m/>
    <m/>
    <m/>
    <m/>
    <m/>
    <m/>
    <m/>
    <m/>
    <x v="101"/>
    <m/>
    <m/>
    <x v="101"/>
    <n v="2"/>
    <n v="2021"/>
    <s v="Vascular"/>
  </r>
  <r>
    <s v="Adulto"/>
    <s v="Reina"/>
    <s v="Pérez"/>
    <s v="Carlos"/>
    <x v="102"/>
    <x v="49"/>
    <n v="0.33200000000000002"/>
    <n v="0.01"/>
    <n v="1.6E-2"/>
    <n v="8.9999999999999993E-3"/>
    <n v="0.01"/>
    <n v="1.4999999999999999E-2"/>
    <n v="0.01"/>
    <n v="1.6E-2"/>
    <n v="8.9999999999999993E-3"/>
    <n v="0.01"/>
    <n v="1.4999999999999999E-2"/>
    <x v="102"/>
    <m/>
    <s v="3061080111001050"/>
    <x v="102"/>
    <n v="11"/>
    <n v="2020"/>
    <s v="Vascular"/>
  </r>
  <r>
    <s v="Adulto"/>
    <s v="Rochina"/>
    <s v="Herradón"/>
    <s v="Antonio"/>
    <x v="103"/>
    <x v="5"/>
    <n v="0.28699999999999998"/>
    <n v="0"/>
    <n v="6.2E-2"/>
    <n v="0.13200000000000001"/>
    <n v="8.5999999999999993E-2"/>
    <n v="0"/>
    <n v="0"/>
    <n v="8.5999999999999993E-2"/>
    <n v="9.8000000000000004E-2"/>
    <n v="0.154"/>
    <n v="0"/>
    <x v="103"/>
    <m/>
    <s v="Cateterismo cardíaco"/>
    <x v="103"/>
    <n v="3"/>
    <n v="2021"/>
    <s v="Hemodinámica"/>
  </r>
  <r>
    <s v="Adulto"/>
    <s v="Rodríguez"/>
    <s v="Hernández"/>
    <s v="Edgar"/>
    <x v="104"/>
    <x v="99"/>
    <n v="0.36499999999999999"/>
    <m/>
    <m/>
    <m/>
    <m/>
    <m/>
    <m/>
    <m/>
    <m/>
    <m/>
    <m/>
    <x v="104"/>
    <m/>
    <s v="Esclerosis de cavidades"/>
    <x v="104"/>
    <n v="3"/>
    <n v="2021"/>
    <s v="Vascular"/>
  </r>
  <r>
    <s v="Adulto"/>
    <s v="Sánchez"/>
    <s v="Castillo"/>
    <s v="José"/>
    <x v="105"/>
    <x v="100"/>
    <n v="4.532"/>
    <m/>
    <m/>
    <m/>
    <m/>
    <m/>
    <m/>
    <m/>
    <m/>
    <m/>
    <m/>
    <x v="105"/>
    <s v="Si"/>
    <s v="Quimioembolización hepática. Procedimiento básico"/>
    <x v="105"/>
    <n v="11"/>
    <n v="2020"/>
    <s v="Vascular"/>
  </r>
  <r>
    <s v="Adulto"/>
    <s v="Sarrión"/>
    <s v="Benito"/>
    <s v="Regina"/>
    <x v="106"/>
    <x v="43"/>
    <n v="0.78600000000000003"/>
    <m/>
    <m/>
    <m/>
    <m/>
    <m/>
    <m/>
    <m/>
    <m/>
    <m/>
    <m/>
    <x v="106"/>
    <m/>
    <s v="Embolización hepática: Procedimiento básico"/>
    <x v="106"/>
    <n v="3"/>
    <n v="2021"/>
    <s v="Vascular"/>
  </r>
  <r>
    <s v="Adulto"/>
    <s v="Sendín"/>
    <s v="Guerrero"/>
    <s v="José"/>
    <x v="107"/>
    <x v="45"/>
    <n v="0.72599999999999998"/>
    <n v="0"/>
    <n v="0.26"/>
    <n v="0.57599999999999996"/>
    <n v="0.48099999999999998"/>
    <n v="0"/>
    <n v="0"/>
    <n v="0.26"/>
    <n v="0.70399999999999996"/>
    <n v="0.61"/>
    <n v="0"/>
    <x v="107"/>
    <m/>
    <s v="Cateterismo cardíaco"/>
    <x v="107"/>
    <n v="4"/>
    <n v="2021"/>
    <s v="Hemodinámica"/>
  </r>
  <r>
    <s v="Adulto"/>
    <s v="Soler"/>
    <s v="Juan"/>
    <s v="Joaquín"/>
    <x v="108"/>
    <x v="72"/>
    <n v="3.5640000000000001"/>
    <m/>
    <m/>
    <m/>
    <m/>
    <m/>
    <m/>
    <m/>
    <m/>
    <m/>
    <m/>
    <x v="108"/>
    <s v="Si"/>
    <s v="Embolización tumoral. Procedimiento básico"/>
    <x v="108"/>
    <n v="9"/>
    <n v="2020"/>
    <s v="Vascular"/>
  </r>
  <r>
    <s v="Adulto"/>
    <s v="Soler"/>
    <s v="Juan"/>
    <s v="Joaquín"/>
    <x v="108"/>
    <x v="44"/>
    <n v="2.8919999999999999"/>
    <m/>
    <m/>
    <m/>
    <m/>
    <m/>
    <m/>
    <m/>
    <m/>
    <m/>
    <m/>
    <x v="108"/>
    <s v="Si"/>
    <s v="Infusión terapéutica quimioterapia. Procedimiento básico"/>
    <x v="108"/>
    <n v="10"/>
    <n v="2020"/>
    <s v="Vascular"/>
  </r>
  <r>
    <s v="Adulto"/>
    <s v="Timoner"/>
    <s v="Domingo"/>
    <s v="Pedro Enrique"/>
    <x v="109"/>
    <x v="101"/>
    <n v="4.2350000000000003"/>
    <m/>
    <m/>
    <m/>
    <m/>
    <m/>
    <m/>
    <m/>
    <m/>
    <m/>
    <m/>
    <x v="109"/>
    <s v="Si"/>
    <s v="Embolización esplénica. Procedimiento básico"/>
    <x v="109"/>
    <n v="6"/>
    <n v="2020"/>
    <s v="Vascular"/>
  </r>
  <r>
    <s v="Adulto"/>
    <s v="Tormo"/>
    <s v="Albert"/>
    <s v="Rafael"/>
    <x v="110"/>
    <x v="19"/>
    <n v="0.8"/>
    <m/>
    <m/>
    <m/>
    <m/>
    <m/>
    <m/>
    <m/>
    <m/>
    <m/>
    <m/>
    <x v="110"/>
    <m/>
    <s v="Embolización tumoral. Procedimiento básico"/>
    <x v="110"/>
    <n v="3"/>
    <n v="2021"/>
    <s v="Vascular"/>
  </r>
  <r>
    <s v="Adulto"/>
    <s v="Torregrosa"/>
    <s v="Valero"/>
    <s v="Diego"/>
    <x v="111"/>
    <x v="102"/>
    <n v="2.7559999999999998"/>
    <m/>
    <m/>
    <m/>
    <m/>
    <m/>
    <m/>
    <m/>
    <m/>
    <m/>
    <m/>
    <x v="111"/>
    <s v="Si"/>
    <s v="Infusión terapéutica quimioterapia. Procedimiento básico"/>
    <x v="111"/>
    <n v="9"/>
    <n v="2020"/>
    <s v="Vascular"/>
  </r>
  <r>
    <s v="Adulto"/>
    <s v="Torregrosa"/>
    <s v="Valero"/>
    <s v="Diego"/>
    <x v="111"/>
    <x v="103"/>
    <n v="3.1589999999999998"/>
    <m/>
    <m/>
    <m/>
    <m/>
    <m/>
    <m/>
    <m/>
    <m/>
    <m/>
    <m/>
    <x v="111"/>
    <s v="Si"/>
    <m/>
    <x v="111"/>
    <n v="1"/>
    <n v="2018"/>
    <s v="Vascular"/>
  </r>
  <r>
    <s v="Adulto"/>
    <s v="Torres"/>
    <s v="Oliver"/>
    <s v="Vicente"/>
    <x v="112"/>
    <x v="104"/>
    <n v="3.5110000000000001"/>
    <m/>
    <m/>
    <m/>
    <m/>
    <m/>
    <m/>
    <m/>
    <m/>
    <m/>
    <m/>
    <x v="112"/>
    <s v="Si"/>
    <s v="Shunt portocava percutáneo TIPS. Procedimiento básico"/>
    <x v="112"/>
    <n v="10"/>
    <n v="2020"/>
    <s v="Vascular"/>
  </r>
  <r>
    <s v="Adulto"/>
    <s v="Torres"/>
    <s v="Oliver"/>
    <s v="Vicente"/>
    <x v="112"/>
    <x v="105"/>
    <n v="2.0510000000000002"/>
    <m/>
    <m/>
    <m/>
    <m/>
    <m/>
    <m/>
    <m/>
    <m/>
    <m/>
    <m/>
    <x v="112"/>
    <s v="Si"/>
    <s v="Shunt portocava percutáneo TIPS. Procedimiento básico"/>
    <x v="112"/>
    <n v="10"/>
    <n v="2020"/>
    <s v="Vascular"/>
  </r>
  <r>
    <s v="Adulto"/>
    <s v="Urbán"/>
    <s v="García"/>
    <s v="Alejandro"/>
    <x v="113"/>
    <x v="106"/>
    <n v="6.3E-2"/>
    <m/>
    <m/>
    <m/>
    <m/>
    <m/>
    <m/>
    <m/>
    <m/>
    <m/>
    <m/>
    <x v="113"/>
    <m/>
    <m/>
    <x v="113"/>
    <n v="5"/>
    <n v="2020"/>
    <s v="Vascular"/>
  </r>
  <r>
    <s v="Adulto"/>
    <s v="Urbán"/>
    <s v="García"/>
    <s v="Alejandro"/>
    <x v="113"/>
    <x v="37"/>
    <n v="0.254"/>
    <m/>
    <m/>
    <m/>
    <m/>
    <m/>
    <m/>
    <m/>
    <m/>
    <m/>
    <m/>
    <x v="113"/>
    <m/>
    <m/>
    <x v="113"/>
    <n v="5"/>
    <n v="2020"/>
    <s v="Vascular"/>
  </r>
  <r>
    <s v="Adulto"/>
    <s v="Valverde"/>
    <s v="Quevedo"/>
    <s v="Manuel"/>
    <x v="114"/>
    <x v="107"/>
    <n v="0.34300000000000003"/>
    <n v="0"/>
    <n v="0.115"/>
    <n v="0.17399999999999999"/>
    <n v="0.17100000000000001"/>
    <n v="0"/>
    <n v="0"/>
    <n v="7.6999999999999999E-2"/>
    <n v="0.14499999999999999"/>
    <n v="0.14099999999999999"/>
    <n v="0"/>
    <x v="114"/>
    <m/>
    <s v="Cateterismo cardíaco"/>
    <x v="114"/>
    <n v="4"/>
    <n v="2021"/>
    <s v="Hemodinámica"/>
  </r>
  <r>
    <s v="Adulto"/>
    <s v="Veliz"/>
    <s v="Cadena"/>
    <s v="Marlon Omar"/>
    <x v="115"/>
    <x v="33"/>
    <n v="0.35199999999999998"/>
    <m/>
    <m/>
    <m/>
    <m/>
    <m/>
    <m/>
    <m/>
    <m/>
    <m/>
    <m/>
    <x v="115"/>
    <m/>
    <m/>
    <x v="115"/>
    <n v="2"/>
    <n v="2021"/>
    <s v="Vascular"/>
  </r>
  <r>
    <s v="Adulto"/>
    <s v="Veliz"/>
    <s v="Cadena"/>
    <s v="Marlon Omar"/>
    <x v="115"/>
    <x v="5"/>
    <n v="0.42399999999999999"/>
    <m/>
    <m/>
    <m/>
    <m/>
    <m/>
    <m/>
    <m/>
    <m/>
    <m/>
    <m/>
    <x v="115"/>
    <m/>
    <s v="Drenaje biliar percutáneo interno externo"/>
    <x v="115"/>
    <n v="3"/>
    <n v="2021"/>
    <s v="Vascular"/>
  </r>
  <r>
    <s v="Adulto"/>
    <s v="Vera"/>
    <s v="Domínguez"/>
    <s v="Manuel"/>
    <x v="116"/>
    <x v="73"/>
    <n v="0.43"/>
    <m/>
    <m/>
    <m/>
    <m/>
    <m/>
    <m/>
    <m/>
    <m/>
    <m/>
    <m/>
    <x v="116"/>
    <m/>
    <s v="Tratamiento intraarterial ictus isquémico"/>
    <x v="116"/>
    <n v="3"/>
    <n v="2021"/>
    <s v="Vascular"/>
  </r>
  <r>
    <s v="Adulto"/>
    <s v="Vercher"/>
    <s v="Montañana"/>
    <s v="Ramón"/>
    <x v="117"/>
    <x v="55"/>
    <n v="0.115"/>
    <m/>
    <m/>
    <m/>
    <m/>
    <m/>
    <m/>
    <m/>
    <m/>
    <m/>
    <m/>
    <x v="117"/>
    <m/>
    <s v="3061080106071010"/>
    <x v="117"/>
    <n v="11"/>
    <n v="2020"/>
    <s v="Vascular"/>
  </r>
  <r>
    <s v="Adulto"/>
    <s v="Vercher"/>
    <s v="Montañana"/>
    <s v="Ramón"/>
    <x v="117"/>
    <x v="108"/>
    <n v="0.03"/>
    <m/>
    <m/>
    <m/>
    <m/>
    <m/>
    <m/>
    <m/>
    <m/>
    <m/>
    <m/>
    <x v="117"/>
    <m/>
    <s v="3061080110001100"/>
    <x v="117"/>
    <n v="11"/>
    <n v="2020"/>
    <s v="Vascular"/>
  </r>
  <r>
    <s v="Adulto"/>
    <s v="Verdejo"/>
    <s v="Matrínez"/>
    <s v="José Manuel"/>
    <x v="118"/>
    <x v="106"/>
    <n v="3.36"/>
    <m/>
    <m/>
    <m/>
    <m/>
    <m/>
    <m/>
    <m/>
    <m/>
    <m/>
    <m/>
    <x v="118"/>
    <s v="Si"/>
    <s v="(TIPS) Shunt protocava percutáneo. Procedimiento básico"/>
    <x v="118"/>
    <n v="5"/>
    <n v="2020"/>
    <s v="Vascular"/>
  </r>
  <r>
    <s v="Adulto"/>
    <s v="Vicent"/>
    <s v="Roig"/>
    <s v="Elvira"/>
    <x v="119"/>
    <x v="109"/>
    <n v="2.8580000000000001"/>
    <s v="abdomen"/>
    <m/>
    <m/>
    <m/>
    <m/>
    <m/>
    <m/>
    <m/>
    <m/>
    <m/>
    <x v="119"/>
    <n v="9040010010385090"/>
    <s v="tto esten oclu otras arts proc bas"/>
    <x v="119"/>
    <n v="2"/>
    <n v="2021"/>
    <s v="Vascular"/>
  </r>
  <r>
    <s v="Adulto"/>
    <s v="Vidal"/>
    <s v="Morant"/>
    <s v="Ángel Salvador"/>
    <x v="120"/>
    <x v="3"/>
    <n v="2.762"/>
    <m/>
    <m/>
    <m/>
    <m/>
    <m/>
    <m/>
    <m/>
    <m/>
    <m/>
    <m/>
    <x v="120"/>
    <m/>
    <s v="Embolización de hemorragias digestivas. Procedimiento básico"/>
    <x v="120"/>
    <n v="8"/>
    <n v="2020"/>
    <s v="Vascular"/>
  </r>
  <r>
    <s v="Adulto"/>
    <s v="Villar"/>
    <s v="Marín"/>
    <s v="José"/>
    <x v="121"/>
    <x v="110"/>
    <n v="5.5"/>
    <m/>
    <m/>
    <m/>
    <m/>
    <m/>
    <m/>
    <m/>
    <m/>
    <m/>
    <m/>
    <x v="121"/>
    <s v="Si"/>
    <s v="Quimioembolización hepática. Procedimiento básico"/>
    <x v="121"/>
    <n v="10"/>
    <n v="2020"/>
    <s v="Vascular"/>
  </r>
  <r>
    <s v="Adulto"/>
    <s v="Villar"/>
    <s v="Marín"/>
    <s v="José"/>
    <x v="121"/>
    <x v="111"/>
    <n v="0.28699999999999998"/>
    <m/>
    <m/>
    <m/>
    <m/>
    <m/>
    <m/>
    <m/>
    <m/>
    <m/>
    <m/>
    <x v="121"/>
    <s v="Si"/>
    <s v="Quimioembolización hepática. Procedimiento básico"/>
    <x v="121"/>
    <n v="1"/>
    <n v="2020"/>
    <s v="Vascular"/>
  </r>
  <r>
    <s v="Adulto"/>
    <s v="Villar"/>
    <s v="Marín"/>
    <s v="José"/>
    <x v="121"/>
    <x v="112"/>
    <n v="1.145"/>
    <m/>
    <m/>
    <m/>
    <m/>
    <m/>
    <m/>
    <m/>
    <m/>
    <m/>
    <m/>
    <x v="121"/>
    <s v="Si"/>
    <s v="Quimioembolización hepática. Procedimiento básico"/>
    <x v="121"/>
    <n v="1"/>
    <n v="2020"/>
    <s v="Vascular"/>
  </r>
  <r>
    <s v="Pediátrico"/>
    <s v="Waqas"/>
    <m/>
    <s v="Hoolain Fatima"/>
    <x v="122"/>
    <x v="87"/>
    <n v="0.191"/>
    <m/>
    <m/>
    <m/>
    <m/>
    <m/>
    <m/>
    <m/>
    <m/>
    <m/>
    <m/>
    <x v="122"/>
    <m/>
    <m/>
    <x v="122"/>
    <n v="3"/>
    <n v="2021"/>
    <s v="Vascular"/>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n v="1"/>
    <n v="1900"/>
    <m/>
  </r>
  <r>
    <s v=""/>
    <m/>
    <m/>
    <m/>
    <x v="0"/>
    <x v="0"/>
    <m/>
    <m/>
    <m/>
    <m/>
    <m/>
    <m/>
    <m/>
    <m/>
    <m/>
    <m/>
    <m/>
    <x v="0"/>
    <m/>
    <m/>
    <x v="0"/>
    <m/>
    <m/>
    <m/>
  </r>
  <r>
    <s v=""/>
    <m/>
    <m/>
    <m/>
    <x v="0"/>
    <x v="0"/>
    <m/>
    <m/>
    <m/>
    <m/>
    <m/>
    <m/>
    <m/>
    <m/>
    <m/>
    <m/>
    <m/>
    <x v="0"/>
    <m/>
    <m/>
    <x v="0"/>
    <m/>
    <m/>
    <m/>
  </r>
  <r>
    <s v=""/>
    <m/>
    <m/>
    <m/>
    <x v="0"/>
    <x v="0"/>
    <m/>
    <m/>
    <m/>
    <m/>
    <m/>
    <m/>
    <m/>
    <m/>
    <m/>
    <m/>
    <m/>
    <x v="0"/>
    <m/>
    <m/>
    <x v="0"/>
    <m/>
    <m/>
    <m/>
  </r>
  <r>
    <s v=""/>
    <m/>
    <m/>
    <m/>
    <x v="0"/>
    <x v="0"/>
    <m/>
    <m/>
    <m/>
    <m/>
    <m/>
    <m/>
    <m/>
    <m/>
    <m/>
    <m/>
    <m/>
    <x v="0"/>
    <m/>
    <m/>
    <x v="0"/>
    <m/>
    <m/>
    <m/>
  </r>
  <r>
    <s v=""/>
    <m/>
    <m/>
    <m/>
    <x v="0"/>
    <x v="0"/>
    <m/>
    <m/>
    <m/>
    <m/>
    <m/>
    <m/>
    <m/>
    <m/>
    <m/>
    <m/>
    <m/>
    <x v="0"/>
    <m/>
    <m/>
    <x v="0"/>
    <m/>
    <m/>
    <m/>
  </r>
  <r>
    <m/>
    <m/>
    <m/>
    <m/>
    <x v="0"/>
    <x v="0"/>
    <m/>
    <m/>
    <m/>
    <m/>
    <m/>
    <m/>
    <m/>
    <m/>
    <m/>
    <m/>
    <m/>
    <x v="0"/>
    <m/>
    <m/>
    <x v="0"/>
    <m/>
    <m/>
    <m/>
  </r>
  <r>
    <m/>
    <m/>
    <m/>
    <m/>
    <x v="0"/>
    <x v="0"/>
    <m/>
    <m/>
    <m/>
    <m/>
    <m/>
    <m/>
    <m/>
    <m/>
    <m/>
    <m/>
    <m/>
    <x v="0"/>
    <m/>
    <m/>
    <x v="0"/>
    <m/>
    <m/>
    <m/>
  </r>
  <r>
    <m/>
    <m/>
    <m/>
    <m/>
    <x v="0"/>
    <x v="0"/>
    <m/>
    <m/>
    <m/>
    <m/>
    <m/>
    <m/>
    <m/>
    <m/>
    <m/>
    <m/>
    <m/>
    <x v="0"/>
    <m/>
    <m/>
    <x v="0"/>
    <m/>
    <m/>
    <m/>
  </r>
  <r>
    <m/>
    <m/>
    <m/>
    <m/>
    <x v="0"/>
    <x v="0"/>
    <m/>
    <m/>
    <m/>
    <m/>
    <m/>
    <m/>
    <m/>
    <m/>
    <m/>
    <m/>
    <m/>
    <x v="0"/>
    <m/>
    <m/>
    <x v="0"/>
    <m/>
    <m/>
    <m/>
  </r>
  <r>
    <m/>
    <m/>
    <m/>
    <m/>
    <x v="0"/>
    <x v="0"/>
    <m/>
    <m/>
    <m/>
    <m/>
    <m/>
    <m/>
    <m/>
    <m/>
    <m/>
    <m/>
    <m/>
    <x v="0"/>
    <m/>
    <m/>
    <x v="0"/>
    <m/>
    <m/>
    <m/>
  </r>
  <r>
    <m/>
    <m/>
    <m/>
    <m/>
    <x v="0"/>
    <x v="0"/>
    <m/>
    <m/>
    <m/>
    <m/>
    <m/>
    <m/>
    <m/>
    <m/>
    <m/>
    <m/>
    <m/>
    <x v="0"/>
    <m/>
    <m/>
    <x v="0"/>
    <m/>
    <m/>
    <m/>
  </r>
  <r>
    <m/>
    <m/>
    <m/>
    <m/>
    <x v="0"/>
    <x v="0"/>
    <m/>
    <m/>
    <m/>
    <m/>
    <m/>
    <m/>
    <m/>
    <m/>
    <m/>
    <m/>
    <m/>
    <x v="0"/>
    <m/>
    <m/>
    <x v="0"/>
    <m/>
    <m/>
    <m/>
  </r>
  <r>
    <m/>
    <m/>
    <m/>
    <m/>
    <x v="0"/>
    <x v="0"/>
    <m/>
    <m/>
    <m/>
    <m/>
    <m/>
    <m/>
    <m/>
    <m/>
    <m/>
    <m/>
    <m/>
    <x v="0"/>
    <m/>
    <m/>
    <x v="0"/>
    <m/>
    <m/>
    <m/>
  </r>
  <r>
    <m/>
    <m/>
    <m/>
    <m/>
    <x v="0"/>
    <x v="0"/>
    <m/>
    <m/>
    <m/>
    <m/>
    <m/>
    <m/>
    <m/>
    <m/>
    <m/>
    <m/>
    <m/>
    <x v="0"/>
    <m/>
    <m/>
    <x v="0"/>
    <m/>
    <m/>
    <m/>
  </r>
</pivotCacheRecords>
</file>

<file path=xl/pivotCache/pivotCacheRecords4.xml><?xml version="1.0" encoding="utf-8"?>
<pivotCacheRecords xmlns="http://schemas.openxmlformats.org/spreadsheetml/2006/main" xmlns:r="http://schemas.openxmlformats.org/officeDocument/2006/relationships" count="572">
  <r>
    <s v="Adulto"/>
    <s v="Calvo"/>
    <s v="Gomez"/>
    <s v="Jose"/>
    <n v="2398262"/>
    <d v="2021-09-02T00:00:00"/>
    <n v="1.4036299999999999"/>
    <m/>
    <m/>
    <m/>
    <m/>
    <m/>
    <m/>
    <m/>
    <m/>
    <m/>
    <m/>
    <x v="0"/>
    <m/>
    <s v="Quimioembolización hepática. Procedimiento básico"/>
    <x v="0"/>
    <n v="9"/>
    <n v="2021"/>
    <s v="Vascular"/>
  </r>
  <r>
    <s v="Adulto"/>
    <s v="Gomez"/>
    <s v="Piqueras"/>
    <s v="Maria Maximina"/>
    <n v="6055489"/>
    <d v="2021-09-02T00:00:00"/>
    <n v="0.32629999999999998"/>
    <m/>
    <m/>
    <m/>
    <m/>
    <m/>
    <m/>
    <m/>
    <m/>
    <m/>
    <m/>
    <x v="1"/>
    <m/>
    <s v="Embolización otras hemorragias. Procedimiento básico"/>
    <x v="1"/>
    <n v="9"/>
    <n v="2021"/>
    <s v="Vascular"/>
  </r>
  <r>
    <s v="Adulto"/>
    <s v="Rogers"/>
    <m/>
    <s v="Robert Janes"/>
    <n v="950614"/>
    <d v="2021-09-02T00:00:00"/>
    <n v="0.20930000000000001"/>
    <m/>
    <m/>
    <m/>
    <m/>
    <m/>
    <m/>
    <m/>
    <m/>
    <m/>
    <m/>
    <x v="2"/>
    <m/>
    <s v="Embolización hepática: Procedimiento básico"/>
    <x v="2"/>
    <n v="9"/>
    <n v="2021"/>
    <s v="Vascular"/>
  </r>
  <r>
    <s v="Adulto"/>
    <s v="Ruano"/>
    <s v="Monterde"/>
    <s v="Maria del Mar"/>
    <n v="2210770"/>
    <d v="2021-09-02T00:00:00"/>
    <n v="9.9349999999999994E-2"/>
    <m/>
    <m/>
    <m/>
    <m/>
    <m/>
    <m/>
    <m/>
    <m/>
    <m/>
    <m/>
    <x v="3"/>
    <m/>
    <s v="Arteriografía de MMII"/>
    <x v="3"/>
    <n v="9"/>
    <n v="2021"/>
    <s v="Vascular"/>
  </r>
  <r>
    <s v="Adulto"/>
    <s v="Zabaleta"/>
    <s v="Vilar"/>
    <s v="Francisco Javier"/>
    <n v="3420953"/>
    <d v="2021-09-02T00:00:00"/>
    <n v="6.7000000000000002E-4"/>
    <m/>
    <m/>
    <m/>
    <m/>
    <m/>
    <m/>
    <m/>
    <m/>
    <m/>
    <m/>
    <x v="4"/>
    <m/>
    <s v="Colocación de catéter en vena central con reservorio subcutáneo"/>
    <x v="4"/>
    <n v="9"/>
    <n v="2021"/>
    <s v="Vascular"/>
  </r>
  <r>
    <s v="Adulto"/>
    <s v="Gomez"/>
    <s v="Piqueras"/>
    <s v="Maria Maximina"/>
    <n v="6055489"/>
    <d v="2021-09-01T00:00:00"/>
    <s v="No hay"/>
    <m/>
    <m/>
    <m/>
    <m/>
    <m/>
    <m/>
    <m/>
    <m/>
    <m/>
    <m/>
    <x v="5"/>
    <m/>
    <s v="Embolización renal. Procedimiento básico"/>
    <x v="1"/>
    <n v="9"/>
    <n v="2021"/>
    <s v="Vascular"/>
  </r>
  <r>
    <s v="Adulto"/>
    <s v="Chaparro"/>
    <s v="Calleja"/>
    <s v="Antonio Luis"/>
    <n v="2187826"/>
    <d v="2021-09-01T00:00:00"/>
    <n v="1.1596299999999999"/>
    <m/>
    <m/>
    <m/>
    <m/>
    <m/>
    <m/>
    <m/>
    <m/>
    <m/>
    <m/>
    <x v="6"/>
    <m/>
    <s v="Embolización hepática: Procedimiento básico"/>
    <x v="5"/>
    <n v="9"/>
    <n v="2021"/>
    <s v="Vascular"/>
  </r>
  <r>
    <s v="Adulto"/>
    <s v="Beltran"/>
    <s v="Arribas"/>
    <s v="M Teresa"/>
    <n v="2309540"/>
    <d v="2021-09-01T00:00:00"/>
    <n v="0.59674000000000005"/>
    <m/>
    <m/>
    <m/>
    <m/>
    <m/>
    <m/>
    <m/>
    <m/>
    <m/>
    <m/>
    <x v="7"/>
    <m/>
    <s v="Otro intervencionismo diagnóstico de abdomen"/>
    <x v="6"/>
    <n v="9"/>
    <n v="2021"/>
    <s v="Vascular"/>
  </r>
  <r>
    <s v="Adulto"/>
    <s v="Alcalde"/>
    <s v="Argente"/>
    <s v="Maria Cristina"/>
    <n v="338341"/>
    <d v="2021-09-01T00:00:00"/>
    <n v="0.29970000000000002"/>
    <m/>
    <m/>
    <m/>
    <m/>
    <m/>
    <m/>
    <m/>
    <m/>
    <m/>
    <m/>
    <x v="8"/>
    <m/>
    <s v="Linfografía"/>
    <x v="7"/>
    <n v="9"/>
    <n v="2021"/>
    <s v="Vascular"/>
  </r>
  <r>
    <s v="Adulto"/>
    <s v="Chobanyan"/>
    <m/>
    <s v="Hranush"/>
    <n v="5692931"/>
    <d v="2021-09-01T00:00:00"/>
    <n v="1.009E-2"/>
    <m/>
    <m/>
    <m/>
    <m/>
    <m/>
    <m/>
    <m/>
    <m/>
    <m/>
    <m/>
    <x v="9"/>
    <m/>
    <s v="Colocación de catéter en vena central con reservorio subcutáneo"/>
    <x v="8"/>
    <n v="9"/>
    <n v="2021"/>
    <s v="Vascular"/>
  </r>
  <r>
    <s v="Adulto"/>
    <s v="Roca"/>
    <s v="Julve"/>
    <s v="David"/>
    <n v="1798521"/>
    <d v="2021-08-31T00:00:00"/>
    <n v="0.99819999999999998"/>
    <m/>
    <m/>
    <m/>
    <m/>
    <m/>
    <m/>
    <m/>
    <m/>
    <m/>
    <m/>
    <x v="10"/>
    <m/>
    <s v="Dilatación vía biliar"/>
    <x v="9"/>
    <n v="8"/>
    <n v="2021"/>
    <s v="Vascular"/>
  </r>
  <r>
    <s v="Adulto"/>
    <s v="Robla"/>
    <s v="Segovia"/>
    <s v="Francisco"/>
    <n v="3616768"/>
    <d v="2021-08-31T00:00:00"/>
    <n v="0.27812999999999999"/>
    <m/>
    <m/>
    <m/>
    <m/>
    <m/>
    <m/>
    <m/>
    <m/>
    <m/>
    <m/>
    <x v="11"/>
    <m/>
    <s v="Embolización otras hemorragias. Procedimiento básico"/>
    <x v="10"/>
    <n v="8"/>
    <n v="2021"/>
    <s v="Vascular"/>
  </r>
  <r>
    <s v="Adulto"/>
    <s v="Gallardo"/>
    <s v="Ruiz"/>
    <s v="Augustin"/>
    <n v="2904538"/>
    <d v="2021-08-31T00:00:00"/>
    <n v="1.0670000000000001E-2"/>
    <m/>
    <m/>
    <m/>
    <m/>
    <m/>
    <m/>
    <m/>
    <m/>
    <m/>
    <m/>
    <x v="12"/>
    <m/>
    <s v="Flebo ms"/>
    <x v="11"/>
    <n v="8"/>
    <n v="2021"/>
    <s v="Vascular"/>
  </r>
  <r>
    <s v="Audlto"/>
    <s v="Lopez"/>
    <s v="Moreno"/>
    <s v="Miguel"/>
    <n v="3331838"/>
    <d v="2021-08-31T00:00:00"/>
    <n v="1.2E-4"/>
    <m/>
    <m/>
    <m/>
    <m/>
    <m/>
    <m/>
    <m/>
    <m/>
    <m/>
    <m/>
    <x v="13"/>
    <m/>
    <s v="Control de catéter en vena central"/>
    <x v="12"/>
    <n v="8"/>
    <n v="2021"/>
    <s v="Vascular"/>
  </r>
  <r>
    <s v="Adulto"/>
    <s v="Selva"/>
    <s v="Agullo"/>
    <s v="Jaime"/>
    <n v="1515117"/>
    <d v="2021-08-30T00:00:00"/>
    <n v="0.62890999999999997"/>
    <m/>
    <m/>
    <m/>
    <m/>
    <m/>
    <m/>
    <m/>
    <m/>
    <m/>
    <m/>
    <x v="14"/>
    <m/>
    <s v="Embolización esplenica: Porocedimiento básico"/>
    <x v="13"/>
    <n v="8"/>
    <n v="2021"/>
    <s v="Vascular"/>
  </r>
  <r>
    <s v="Adulto"/>
    <s v="Perez"/>
    <s v="Casado"/>
    <s v="Ricard Vicent"/>
    <n v="3208928"/>
    <d v="2021-08-30T00:00:00"/>
    <n v="0.62312000000000001"/>
    <m/>
    <m/>
    <m/>
    <m/>
    <m/>
    <m/>
    <m/>
    <m/>
    <m/>
    <m/>
    <x v="15"/>
    <m/>
    <s v="Embolización hepática: Procedimiento básico"/>
    <x v="14"/>
    <m/>
    <m/>
    <s v="Vascular"/>
  </r>
  <r>
    <s v="Adulto"/>
    <s v="Belda"/>
    <s v="Vidal"/>
    <s v="Jose Enrique"/>
    <n v="2908549"/>
    <d v="2021-08-30T00:00:00"/>
    <n v="9.4699999999999993E-3"/>
    <m/>
    <m/>
    <m/>
    <m/>
    <m/>
    <m/>
    <m/>
    <m/>
    <m/>
    <m/>
    <x v="16"/>
    <m/>
    <s v="Colocación de catéter en vena centra con tracto subcutáneo"/>
    <x v="15"/>
    <n v="8"/>
    <n v="2021"/>
    <s v="Vascular"/>
  </r>
  <r>
    <s v="Adulto"/>
    <s v="Garrido"/>
    <s v="Martinez"/>
    <s v="Juan Vicente"/>
    <n v="2925662"/>
    <d v="2021-08-30T00:00:00"/>
    <n v="8.9999999999999998E-4"/>
    <m/>
    <m/>
    <m/>
    <m/>
    <m/>
    <m/>
    <m/>
    <m/>
    <m/>
    <m/>
    <x v="17"/>
    <m/>
    <s v="Control de catéter de drenaje"/>
    <x v="16"/>
    <n v="8"/>
    <n v="2021"/>
    <s v="Vascular"/>
  </r>
  <r>
    <s v="Adulto"/>
    <s v="Sanchez"/>
    <s v="Ramirez"/>
    <s v="Jose Luis"/>
    <n v="3006816"/>
    <d v="2021-08-29T00:00:00"/>
    <n v="0.65146999999999999"/>
    <m/>
    <m/>
    <m/>
    <m/>
    <m/>
    <m/>
    <m/>
    <m/>
    <m/>
    <m/>
    <x v="18"/>
    <m/>
    <s v="Embo de Hemorraj dig alta proc basic"/>
    <x v="17"/>
    <n v="8"/>
    <n v="2021"/>
    <s v="Vascular"/>
  </r>
  <r>
    <s v="Adulto"/>
    <s v="Alvarez"/>
    <s v="Murgui"/>
    <s v="Salvador"/>
    <n v="4245850"/>
    <d v="2021-08-28T00:00:00"/>
    <n v="2.1499999999999998E-2"/>
    <m/>
    <m/>
    <m/>
    <m/>
    <m/>
    <m/>
    <m/>
    <m/>
    <m/>
    <m/>
    <x v="19"/>
    <m/>
    <s v="Otras arteriografías"/>
    <x v="18"/>
    <n v="8"/>
    <n v="2021"/>
    <s v="Vascular"/>
  </r>
  <r>
    <s v="Adulto"/>
    <s v="Dybizbanski"/>
    <m/>
    <s v="Gabriele"/>
    <n v="954164"/>
    <d v="2021-08-27T00:00:00"/>
    <n v="0.42324000000000001"/>
    <m/>
    <m/>
    <m/>
    <m/>
    <m/>
    <m/>
    <m/>
    <m/>
    <m/>
    <m/>
    <x v="20"/>
    <m/>
    <s v="Embo esplenica proc basic"/>
    <x v="19"/>
    <n v="8"/>
    <n v="2021"/>
    <s v="Vascular"/>
  </r>
  <r>
    <s v="Adulto"/>
    <s v="Muria"/>
    <s v="Biosca"/>
    <s v="Jose"/>
    <n v="1697319"/>
    <d v="2021-08-27T00:00:00"/>
    <n v="0.20630000000000001"/>
    <m/>
    <m/>
    <m/>
    <m/>
    <m/>
    <m/>
    <m/>
    <m/>
    <m/>
    <m/>
    <x v="21"/>
    <m/>
    <s v="Arteriografía renal"/>
    <x v="20"/>
    <n v="8"/>
    <n v="2021"/>
    <s v="Vascular"/>
  </r>
  <r>
    <s v="Adulto"/>
    <s v="Castro"/>
    <s v="Contreras"/>
    <s v="Maria Elena"/>
    <n v="3103811"/>
    <d v="2021-08-27T00:00:00"/>
    <n v="2.0400000000000001E-2"/>
    <m/>
    <m/>
    <m/>
    <m/>
    <m/>
    <m/>
    <m/>
    <m/>
    <m/>
    <m/>
    <x v="22"/>
    <m/>
    <s v="Estudio de fístula arteriovenosa hemodialisis"/>
    <x v="21"/>
    <n v="8"/>
    <n v="2021"/>
    <s v="Vascular"/>
  </r>
  <r>
    <s v="Adulto"/>
    <s v="Benedicto "/>
    <s v="Tena"/>
    <s v="Cristobal"/>
    <n v="2192918"/>
    <d v="2021-08-26T00:00:00"/>
    <n v="0.10213"/>
    <m/>
    <m/>
    <m/>
    <m/>
    <m/>
    <m/>
    <m/>
    <m/>
    <m/>
    <m/>
    <x v="23"/>
    <m/>
    <s v="Filtro de cava"/>
    <x v="22"/>
    <n v="8"/>
    <n v="2021"/>
    <s v="Vascular"/>
  </r>
  <r>
    <s v="Adulto"/>
    <s v="Alvarez"/>
    <s v="Murgui"/>
    <s v="Salvador"/>
    <n v="4245750"/>
    <d v="2021-08-26T00:00:00"/>
    <n v="4.9399999999999999E-2"/>
    <m/>
    <m/>
    <m/>
    <m/>
    <m/>
    <m/>
    <m/>
    <m/>
    <m/>
    <m/>
    <x v="19"/>
    <m/>
    <s v="Otras arteriografías"/>
    <x v="18"/>
    <n v="8"/>
    <n v="2021"/>
    <s v="Vascular"/>
  </r>
  <r>
    <s v="Adulto"/>
    <s v="Hernandez"/>
    <s v="Diaz"/>
    <s v="Beatriz"/>
    <n v="2570635"/>
    <d v="2021-08-26T00:00:00"/>
    <n v="3.9390000000000001E-2"/>
    <m/>
    <m/>
    <m/>
    <m/>
    <m/>
    <m/>
    <m/>
    <m/>
    <m/>
    <m/>
    <x v="24"/>
    <m/>
    <s v="Tto de lnes vertebrales. Vertebroblastia simple."/>
    <x v="23"/>
    <n v="8"/>
    <n v="2021"/>
    <s v="Vascular"/>
  </r>
  <r>
    <s v="Adulto"/>
    <s v="Esteban "/>
    <s v="Gimenez"/>
    <s v="Francisco Javier"/>
    <n v="2808675"/>
    <d v="2021-08-25T00:00:00"/>
    <n v="0.33156999999999998"/>
    <m/>
    <m/>
    <m/>
    <m/>
    <m/>
    <m/>
    <m/>
    <m/>
    <m/>
    <m/>
    <x v="25"/>
    <m/>
    <s v="Colocación catéter vena central con tracto subcutáneo"/>
    <x v="24"/>
    <n v="8"/>
    <n v="2021"/>
    <s v="Vascular"/>
  </r>
  <r>
    <s v="Adulto"/>
    <s v="Sapiña"/>
    <s v="Fuertes"/>
    <s v="Vicente"/>
    <n v="164032"/>
    <d v="2021-08-25T00:00:00"/>
    <n v="6.1809999999999997E-2"/>
    <m/>
    <m/>
    <m/>
    <m/>
    <m/>
    <m/>
    <m/>
    <m/>
    <m/>
    <m/>
    <x v="26"/>
    <m/>
    <s v="Flebo ms"/>
    <x v="25"/>
    <n v="8"/>
    <n v="2021"/>
    <s v="Vascular"/>
  </r>
  <r>
    <s v="Pediátrico"/>
    <s v="Sarmiento"/>
    <s v="Valenzuela"/>
    <s v="David"/>
    <n v="6003621"/>
    <d v="2021-08-24T00:00:00"/>
    <n v="0.19888"/>
    <m/>
    <m/>
    <m/>
    <m/>
    <m/>
    <m/>
    <m/>
    <m/>
    <m/>
    <m/>
    <x v="27"/>
    <m/>
    <s v="Arteriografía pulmonar"/>
    <x v="26"/>
    <n v="8"/>
    <n v="2021"/>
    <s v="Vascular"/>
  </r>
  <r>
    <s v="Adulto"/>
    <s v="Soria"/>
    <s v="Crespo"/>
    <s v="Manuel Damian"/>
    <n v="4038122"/>
    <d v="2021-08-23T00:00:00"/>
    <n v="1.0435399999999999"/>
    <m/>
    <m/>
    <m/>
    <m/>
    <m/>
    <m/>
    <m/>
    <m/>
    <m/>
    <m/>
    <x v="28"/>
    <m/>
    <s v="Embo esplenica proc basic"/>
    <x v="27"/>
    <n v="8"/>
    <n v="2021"/>
    <s v="Vascular"/>
  </r>
  <r>
    <s v="Adulto"/>
    <s v="Montoliu"/>
    <s v="Brisach"/>
    <s v="Joaquin Vte"/>
    <n v="1730275"/>
    <d v="2021-08-23T00:00:00"/>
    <n v="0.46850999999999998"/>
    <m/>
    <m/>
    <m/>
    <m/>
    <m/>
    <m/>
    <m/>
    <m/>
    <m/>
    <m/>
    <x v="29"/>
    <m/>
    <s v="Tto esten oclu arteria renal proc basic"/>
    <x v="28"/>
    <n v="8"/>
    <n v="2021"/>
    <s v="Vascular"/>
  </r>
  <r>
    <s v="Adulto"/>
    <s v="Lucan"/>
    <m/>
    <s v="Maria"/>
    <n v="11788738"/>
    <d v="2021-08-23T00:00:00"/>
    <n v="0.23141"/>
    <m/>
    <m/>
    <m/>
    <m/>
    <m/>
    <m/>
    <m/>
    <m/>
    <m/>
    <m/>
    <x v="30"/>
    <m/>
    <s v="Quimioembolización hepática. Procedimiento básico"/>
    <x v="29"/>
    <n v="8"/>
    <n v="2021"/>
    <s v="Vascular"/>
  </r>
  <r>
    <s v="Adulto"/>
    <s v="Arroyo"/>
    <s v="Gonzalez"/>
    <s v="Manuel"/>
    <n v="1188313"/>
    <d v="2021-08-20T00:00:00"/>
    <n v="0.42329"/>
    <m/>
    <m/>
    <m/>
    <m/>
    <m/>
    <m/>
    <m/>
    <m/>
    <m/>
    <m/>
    <x v="31"/>
    <m/>
    <s v="Quimioembolización hepática. Procedimiento básico"/>
    <x v="30"/>
    <n v="8"/>
    <n v="2021"/>
    <s v="Vascular"/>
  </r>
  <r>
    <s v="Adulto"/>
    <s v="Pozo del Jerico"/>
    <m/>
    <s v="Juan"/>
    <n v="2573683"/>
    <d v="2021-08-20T00:00:00"/>
    <n v="0.26515"/>
    <m/>
    <m/>
    <m/>
    <m/>
    <m/>
    <m/>
    <m/>
    <m/>
    <m/>
    <m/>
    <x v="32"/>
    <m/>
    <s v="Arteriografía de MMII"/>
    <x v="31"/>
    <n v="8"/>
    <n v="2021"/>
    <s v="Vascular"/>
  </r>
  <r>
    <s v="Adulto"/>
    <s v="Esteban"/>
    <s v="Gimenez"/>
    <s v="Francisco Javier"/>
    <n v="2808675"/>
    <d v="2021-08-20T00:00:00"/>
    <n v="2.5420000000000002E-2"/>
    <m/>
    <m/>
    <m/>
    <m/>
    <m/>
    <m/>
    <m/>
    <m/>
    <m/>
    <m/>
    <x v="25"/>
    <m/>
    <s v="Tto endov esten oclu en mmss proc basic"/>
    <x v="32"/>
    <n v="8"/>
    <n v="2021"/>
    <s v="Vascular"/>
  </r>
  <r>
    <s v="Adulto"/>
    <s v="Marti"/>
    <s v="Moya"/>
    <s v="Bautista"/>
    <n v="1857814"/>
    <d v="2021-08-20T00:00:00"/>
    <n v="1.073E-2"/>
    <m/>
    <m/>
    <m/>
    <m/>
    <m/>
    <m/>
    <m/>
    <m/>
    <m/>
    <m/>
    <x v="33"/>
    <m/>
    <s v="Control catéter drenaje"/>
    <x v="33"/>
    <n v="8"/>
    <n v="2021"/>
    <s v="Vascular"/>
  </r>
  <r>
    <s v="Adulto"/>
    <s v="Cortes"/>
    <s v="Marques"/>
    <s v="Jorge"/>
    <n v="2309933"/>
    <d v="2021-08-20T00:00:00"/>
    <n v="3.29E-3"/>
    <m/>
    <m/>
    <m/>
    <m/>
    <m/>
    <m/>
    <m/>
    <m/>
    <m/>
    <m/>
    <x v="34"/>
    <m/>
    <s v="Colocación catéter en vena central con tracto subcutáneo"/>
    <x v="34"/>
    <n v="8"/>
    <n v="2021"/>
    <s v="Vascular"/>
  </r>
  <r>
    <s v="Adulto"/>
    <s v="Huesca"/>
    <s v="Castello"/>
    <s v="Pascual"/>
    <n v="2849235"/>
    <d v="2021-08-19T00:00:00"/>
    <n v="8.1610000000000002E-2"/>
    <m/>
    <m/>
    <m/>
    <m/>
    <m/>
    <m/>
    <m/>
    <m/>
    <m/>
    <m/>
    <x v="35"/>
    <m/>
    <s v="Dilatación via biliar"/>
    <x v="35"/>
    <n v="8"/>
    <n v="2021"/>
    <s v="Vascular"/>
  </r>
  <r>
    <s v="Adulto"/>
    <s v="Mico"/>
    <s v="Benaches"/>
    <s v="Maria Vicenta"/>
    <n v="2035478"/>
    <d v="2021-08-19T00:00:00"/>
    <n v="6.2100000000000002E-2"/>
    <m/>
    <m/>
    <m/>
    <m/>
    <m/>
    <m/>
    <m/>
    <m/>
    <m/>
    <m/>
    <x v="36"/>
    <m/>
    <s v="Tto de lnes vertebrales. Kifoplastia"/>
    <x v="36"/>
    <n v="8"/>
    <n v="2021"/>
    <s v="Vascular"/>
  </r>
  <r>
    <s v="Adulto"/>
    <s v="Iznardo"/>
    <s v="Olivert"/>
    <s v="M Carmen"/>
    <n v="159095"/>
    <d v="2021-08-19T00:00:00"/>
    <n v="8.9200000000000008E-3"/>
    <m/>
    <m/>
    <m/>
    <m/>
    <m/>
    <m/>
    <m/>
    <m/>
    <m/>
    <m/>
    <x v="37"/>
    <m/>
    <s v="Drenaje biliar pércneo con implante de stent"/>
    <x v="37"/>
    <n v="8"/>
    <n v="2021"/>
    <s v="Vascular"/>
  </r>
  <r>
    <s v="Adulto"/>
    <s v="Alcalde"/>
    <s v="Argente"/>
    <s v="M Cristina"/>
    <n v="338341"/>
    <d v="2021-08-19T00:00:00"/>
    <n v="1.56E-3"/>
    <m/>
    <m/>
    <m/>
    <m/>
    <m/>
    <m/>
    <m/>
    <m/>
    <m/>
    <m/>
    <x v="8"/>
    <m/>
    <s v="Control catéter drenaje"/>
    <x v="38"/>
    <n v="8"/>
    <n v="2021"/>
    <s v="Vascular"/>
  </r>
  <r>
    <s v="Adulto"/>
    <s v="Navarro"/>
    <s v="Anton"/>
    <s v="Elena"/>
    <n v="2990767"/>
    <d v="2021-08-19T00:00:00"/>
    <n v="1.0300000000000001E-3"/>
    <m/>
    <m/>
    <m/>
    <m/>
    <m/>
    <m/>
    <m/>
    <m/>
    <m/>
    <m/>
    <x v="38"/>
    <m/>
    <s v="Colocación catéter en vena central con tracto subcutáneo"/>
    <x v="39"/>
    <n v="8"/>
    <n v="2021"/>
    <s v="Vascular"/>
  </r>
  <r>
    <s v="Adulto"/>
    <s v="Moron"/>
    <s v="Ruano"/>
    <s v="Joaquín"/>
    <n v="2451058"/>
    <d v="2021-08-18T00:00:00"/>
    <n v="6.4799999999999996E-2"/>
    <m/>
    <m/>
    <m/>
    <m/>
    <m/>
    <m/>
    <m/>
    <m/>
    <m/>
    <m/>
    <x v="39"/>
    <m/>
    <s v="Colocación catéter en vena central con tracto subcutáneo"/>
    <x v="40"/>
    <n v="8"/>
    <n v="2021"/>
    <s v="Vascular"/>
  </r>
  <r>
    <s v="Adulto"/>
    <s v="Roca"/>
    <s v="Julve"/>
    <s v="David"/>
    <n v="1798521"/>
    <d v="2021-08-17T00:00:00"/>
    <n v="0.54935"/>
    <m/>
    <m/>
    <m/>
    <m/>
    <m/>
    <m/>
    <m/>
    <m/>
    <m/>
    <m/>
    <x v="10"/>
    <m/>
    <s v="Dilatación vía biliar"/>
    <x v="9"/>
    <n v="8"/>
    <n v="2021"/>
    <s v="Vascular"/>
  </r>
  <r>
    <s v="Adulto"/>
    <s v="Ros"/>
    <s v="García"/>
    <s v="Francisco Juan"/>
    <n v="2874306"/>
    <d v="2021-08-17T00:00:00"/>
    <n v="0.11219"/>
    <m/>
    <m/>
    <m/>
    <m/>
    <m/>
    <m/>
    <m/>
    <m/>
    <m/>
    <m/>
    <x v="40"/>
    <m/>
    <s v="Tto endov esten oclu en mmii proc basic"/>
    <x v="41"/>
    <n v="8"/>
    <n v="2021"/>
    <s v="Vascular"/>
  </r>
  <r>
    <s v="Adulto"/>
    <s v="Soria"/>
    <s v="Gallego"/>
    <s v="Azucena"/>
    <n v="3778362"/>
    <d v="2021-08-17T00:00:00"/>
    <n v="6.7100000000000007E-2"/>
    <m/>
    <m/>
    <m/>
    <m/>
    <m/>
    <m/>
    <m/>
    <m/>
    <m/>
    <m/>
    <x v="41"/>
    <m/>
    <s v="Drenaje biliar pércneo interno externo"/>
    <x v="42"/>
    <n v="8"/>
    <n v="2021"/>
    <s v="Vascular"/>
  </r>
  <r>
    <s v="Adulto"/>
    <s v="Sierra"/>
    <s v="Benavent"/>
    <s v="Josefa"/>
    <n v="2302261"/>
    <d v="2021-08-17T00:00:00"/>
    <n v="5.7499999999999999E-3"/>
    <m/>
    <m/>
    <m/>
    <m/>
    <m/>
    <m/>
    <m/>
    <m/>
    <m/>
    <m/>
    <x v="42"/>
    <m/>
    <s v="Control catéter de drenaje"/>
    <x v="43"/>
    <n v="8"/>
    <n v="2021"/>
    <s v="Vascular"/>
  </r>
  <r>
    <s v="Adulto"/>
    <s v="Koppers"/>
    <m/>
    <s v="Cornelis Simon Mari"/>
    <n v="3114171"/>
    <d v="2021-08-17T00:00:00"/>
    <n v="1.65E-3"/>
    <m/>
    <m/>
    <m/>
    <m/>
    <m/>
    <m/>
    <m/>
    <m/>
    <m/>
    <m/>
    <x v="43"/>
    <m/>
    <s v="Colocación catéter vena central con tracto subcutáneo"/>
    <x v="44"/>
    <n v="8"/>
    <n v="2021"/>
    <s v="Vascular"/>
  </r>
  <r>
    <s v="Adulto"/>
    <s v="Piñero "/>
    <s v="Domingo"/>
    <s v="Maria Carmen"/>
    <n v="2413346"/>
    <d v="2021-08-17T00:00:00"/>
    <n v="1E-3"/>
    <m/>
    <m/>
    <m/>
    <m/>
    <m/>
    <m/>
    <m/>
    <m/>
    <m/>
    <m/>
    <x v="44"/>
    <m/>
    <s v="Colocación de catéter en vena central con tracto subcutáneo"/>
    <x v="45"/>
    <n v="8"/>
    <n v="2021"/>
    <s v="Vascular"/>
  </r>
  <r>
    <s v="Adulto"/>
    <s v="Mateos"/>
    <s v="Gomez"/>
    <s v="Francisco"/>
    <n v="3790078"/>
    <d v="2021-08-16T00:00:00"/>
    <n v="0.41289999999999999"/>
    <m/>
    <m/>
    <m/>
    <m/>
    <m/>
    <m/>
    <m/>
    <m/>
    <m/>
    <m/>
    <x v="45"/>
    <m/>
    <s v="Otro intervencionismo diagnóstico de abdomen"/>
    <x v="46"/>
    <n v="8"/>
    <n v="2021"/>
    <s v="Vascular"/>
  </r>
  <r>
    <s v="Adulto"/>
    <s v="Garrido"/>
    <s v="Martínez"/>
    <s v="Juan Vicente"/>
    <n v="2925662"/>
    <d v="2021-08-16T00:00:00"/>
    <n v="4.7400000000000003E-3"/>
    <m/>
    <m/>
    <m/>
    <m/>
    <m/>
    <m/>
    <m/>
    <m/>
    <m/>
    <m/>
    <x v="17"/>
    <m/>
    <s v="Control catéter drenaje"/>
    <x v="47"/>
    <n v="8"/>
    <n v="2021"/>
    <s v="Vascular"/>
  </r>
  <r>
    <s v="Adulto"/>
    <s v="Montoro"/>
    <s v="Latorre"/>
    <s v="Maria Isabel"/>
    <n v="2417856"/>
    <d v="2021-08-15T00:00:00"/>
    <n v="0.36073"/>
    <m/>
    <m/>
    <m/>
    <m/>
    <m/>
    <m/>
    <m/>
    <m/>
    <m/>
    <m/>
    <x v="46"/>
    <m/>
    <s v="Arteriografia de MMII"/>
    <x v="48"/>
    <n v="8"/>
    <n v="2021"/>
    <s v="Vascular"/>
  </r>
  <r>
    <s v="Adulto"/>
    <s v="Montoro"/>
    <s v="Latorre"/>
    <s v="Maria Isabel"/>
    <n v="2417856"/>
    <d v="2021-08-14T00:00:00"/>
    <n v="0.27767999999999998"/>
    <m/>
    <m/>
    <m/>
    <m/>
    <m/>
    <m/>
    <m/>
    <m/>
    <m/>
    <m/>
    <x v="46"/>
    <m/>
    <s v="Arteriografia de MMII"/>
    <x v="48"/>
    <n v="8"/>
    <n v="2021"/>
    <s v="Vascular"/>
  </r>
  <r>
    <s v="Adulto"/>
    <s v="Esteban"/>
    <s v="Gimenez"/>
    <s v="Francisco Javier"/>
    <n v="2808675"/>
    <d v="2021-08-13T00:00:00"/>
    <n v="4.5710000000000001E-2"/>
    <m/>
    <m/>
    <m/>
    <m/>
    <m/>
    <m/>
    <m/>
    <m/>
    <m/>
    <m/>
    <x v="25"/>
    <m/>
    <s v="Flebo MS"/>
    <x v="32"/>
    <n v="8"/>
    <n v="2021"/>
    <s v="Vascular"/>
  </r>
  <r>
    <s v="Adulto"/>
    <s v="Iznardo"/>
    <s v="Olivert"/>
    <s v="M Carmen"/>
    <n v="159095"/>
    <d v="2021-08-13T00:00:00"/>
    <n v="2.2100000000000002E-2"/>
    <m/>
    <m/>
    <m/>
    <m/>
    <m/>
    <m/>
    <m/>
    <m/>
    <m/>
    <m/>
    <x v="37"/>
    <m/>
    <s v="Control catéter de drenaje"/>
    <x v="37"/>
    <n v="8"/>
    <n v="2021"/>
    <s v="Vascular"/>
  </r>
  <r>
    <s v="Adulto"/>
    <s v="Acedo"/>
    <s v="Guerra"/>
    <s v="Mercedes"/>
    <n v="3162681"/>
    <d v="2021-08-13T00:00:00"/>
    <n v="7.6999999999999996E-4"/>
    <m/>
    <m/>
    <m/>
    <m/>
    <m/>
    <m/>
    <m/>
    <m/>
    <m/>
    <m/>
    <x v="47"/>
    <m/>
    <s v="Flebo MI"/>
    <x v="49"/>
    <n v="8"/>
    <n v="2021"/>
    <s v="Vascular"/>
  </r>
  <r>
    <s v="Adulto"/>
    <s v="Montero"/>
    <s v="Villanueva"/>
    <s v="M Carmen"/>
    <n v="3343147"/>
    <d v="2021-08-12T00:00:00"/>
    <s v="No tiene"/>
    <m/>
    <m/>
    <m/>
    <m/>
    <m/>
    <m/>
    <m/>
    <m/>
    <m/>
    <m/>
    <x v="48"/>
    <m/>
    <s v="Colocación cateter vena central con reservorio subcutaneo"/>
    <x v="50"/>
    <n v="8"/>
    <n v="2021"/>
    <s v="Vascular"/>
  </r>
  <r>
    <s v="Adulto"/>
    <s v="Cuevas"/>
    <s v="Ojeda"/>
    <s v="Francisca"/>
    <n v="2033811"/>
    <d v="2021-08-12T00:00:00"/>
    <s v="No tiene"/>
    <m/>
    <m/>
    <m/>
    <m/>
    <m/>
    <m/>
    <m/>
    <m/>
    <m/>
    <m/>
    <x v="49"/>
    <m/>
    <s v="Colocación catéter vena central sin tracto subcutáneo"/>
    <x v="51"/>
    <n v="8"/>
    <n v="2021"/>
    <s v="Vascular"/>
  </r>
  <r>
    <s v="Adulto"/>
    <s v="Iglesias"/>
    <s v="Garcia"/>
    <s v="Jose M"/>
    <n v="2259742"/>
    <d v="2021-08-12T00:00:00"/>
    <n v="1.132E-2"/>
    <m/>
    <m/>
    <m/>
    <m/>
    <m/>
    <m/>
    <m/>
    <m/>
    <m/>
    <m/>
    <x v="50"/>
    <m/>
    <s v="Estudio de fístula arteriovenosa hemodialisis"/>
    <x v="52"/>
    <n v="8"/>
    <n v="2021"/>
    <s v="Vascular"/>
  </r>
  <r>
    <s v="Adulto"/>
    <s v="Garcia"/>
    <s v="Lanzas"/>
    <s v="Alfonso Javier"/>
    <n v="3338047"/>
    <d v="2021-08-12T00:00:00"/>
    <n v="2.1299999999999999E-3"/>
    <m/>
    <m/>
    <m/>
    <m/>
    <m/>
    <m/>
    <m/>
    <m/>
    <m/>
    <m/>
    <x v="51"/>
    <m/>
    <s v="Infiltración articular"/>
    <x v="53"/>
    <n v="8"/>
    <n v="2021"/>
    <s v="Vascular"/>
  </r>
  <r>
    <s v="Adulto"/>
    <s v="Navarro"/>
    <s v="Fernandez"/>
    <s v="Paloma"/>
    <n v="4791096"/>
    <d v="2021-08-11T00:00:00"/>
    <s v="No tiene"/>
    <m/>
    <m/>
    <m/>
    <m/>
    <m/>
    <m/>
    <m/>
    <m/>
    <m/>
    <m/>
    <x v="52"/>
    <m/>
    <s v="Shunt portocava percutáneo TIPS. Procedimiento básico"/>
    <x v="54"/>
    <n v="8"/>
    <n v="2021"/>
    <s v="Vascular"/>
  </r>
  <r>
    <s v="Adulto"/>
    <s v="Zazo"/>
    <s v="Cuevas"/>
    <s v="Francisca"/>
    <n v="3192620"/>
    <d v="2021-08-11T00:00:00"/>
    <n v="0.34741"/>
    <m/>
    <m/>
    <m/>
    <m/>
    <m/>
    <m/>
    <m/>
    <m/>
    <m/>
    <m/>
    <x v="53"/>
    <m/>
    <s v="Arteriografia pulmonar"/>
    <x v="55"/>
    <n v="8"/>
    <n v="2021"/>
    <s v="Vascular"/>
  </r>
  <r>
    <s v="Adulto"/>
    <s v="Martinez"/>
    <s v="Calvo"/>
    <s v="Pedro"/>
    <n v="1187767"/>
    <d v="2021-08-11T00:00:00"/>
    <n v="3.3999999999999998E-3"/>
    <m/>
    <m/>
    <m/>
    <m/>
    <m/>
    <m/>
    <m/>
    <m/>
    <m/>
    <m/>
    <x v="54"/>
    <m/>
    <s v="Colocación catéter vena central con reservorio subcutáneo"/>
    <x v="56"/>
    <n v="8"/>
    <n v="2021"/>
    <s v="Vascular"/>
  </r>
  <r>
    <s v="Adulto"/>
    <s v="Beltran"/>
    <s v="Arribas"/>
    <s v="M Teresa"/>
    <n v="2309540"/>
    <d v="2021-08-11T00:00:00"/>
    <n v="5.5000000000000003E-4"/>
    <m/>
    <m/>
    <m/>
    <m/>
    <m/>
    <m/>
    <m/>
    <m/>
    <m/>
    <m/>
    <x v="55"/>
    <m/>
    <s v="Drenaje pérneo de abscesos y colecciones"/>
    <x v="6"/>
    <n v="8"/>
    <n v="2021"/>
    <s v="Vascular"/>
  </r>
  <r>
    <s v="Adulto"/>
    <s v="Montoliu"/>
    <s v="Brisach"/>
    <s v="Joaquin VTE"/>
    <n v="1730275"/>
    <d v="2021-08-10T00:00:00"/>
    <n v="1.1974"/>
    <m/>
    <m/>
    <m/>
    <m/>
    <m/>
    <m/>
    <m/>
    <m/>
    <m/>
    <m/>
    <x v="29"/>
    <m/>
    <s v="Control catéter de drenaje"/>
    <x v="28"/>
    <n v="8"/>
    <n v="2021"/>
    <s v="Vascular"/>
  </r>
  <r>
    <s v="Adulto"/>
    <s v="Soriano"/>
    <s v="Calero"/>
    <s v="Francisco"/>
    <n v="3010031"/>
    <d v="2021-08-10T00:00:00"/>
    <n v="0.28836000000000001"/>
    <m/>
    <m/>
    <m/>
    <m/>
    <m/>
    <m/>
    <m/>
    <m/>
    <m/>
    <m/>
    <x v="56"/>
    <m/>
    <s v="Arteriografia tronc visc dig"/>
    <x v="57"/>
    <n v="8"/>
    <n v="2021"/>
    <s v="Vascular"/>
  </r>
  <r>
    <s v="Adulto"/>
    <s v="Galvez"/>
    <s v="Guillen"/>
    <s v="Augustin"/>
    <n v="2811489"/>
    <d v="2021-08-10T00:00:00"/>
    <n v="8.7290000000000006E-2"/>
    <m/>
    <m/>
    <m/>
    <m/>
    <m/>
    <m/>
    <m/>
    <m/>
    <m/>
    <m/>
    <x v="57"/>
    <m/>
    <s v="Arteriografia tronc visc dig"/>
    <x v="58"/>
    <n v="8"/>
    <n v="2021"/>
    <s v="Vascular"/>
  </r>
  <r>
    <s v="Adulto"/>
    <s v="Vera"/>
    <s v="Martinez"/>
    <s v="Iris"/>
    <n v="2094221"/>
    <d v="2021-08-10T00:00:00"/>
    <n v="1.4409999999999999E-2"/>
    <m/>
    <m/>
    <m/>
    <m/>
    <m/>
    <m/>
    <m/>
    <m/>
    <m/>
    <m/>
    <x v="58"/>
    <m/>
    <s v="Colocación catéter vena central con reservorio subcutáneo"/>
    <x v="59"/>
    <n v="8"/>
    <n v="2021"/>
    <s v="Vascular"/>
  </r>
  <r>
    <s v="Adulto"/>
    <s v="Iznardo"/>
    <s v="Olivert"/>
    <s v="M Carmen"/>
    <n v="159095"/>
    <d v="2021-08-10T00:00:00"/>
    <n v="5.5399999999999998E-3"/>
    <m/>
    <m/>
    <m/>
    <m/>
    <m/>
    <m/>
    <m/>
    <m/>
    <m/>
    <m/>
    <x v="37"/>
    <m/>
    <s v="Drenaje biliar pércneo con implante de stent"/>
    <x v="37"/>
    <n v="8"/>
    <n v="2021"/>
    <s v="Vascular"/>
  </r>
  <r>
    <s v="Adulto"/>
    <s v="Chirivella"/>
    <s v="Asins"/>
    <s v="Salvadora"/>
    <n v="2028244"/>
    <d v="2021-08-09T00:00:00"/>
    <n v="0.70599999999999996"/>
    <m/>
    <m/>
    <m/>
    <m/>
    <m/>
    <m/>
    <m/>
    <m/>
    <m/>
    <m/>
    <x v="59"/>
    <m/>
    <s v="Quimioembolización hepática. Procedimiento básico"/>
    <x v="60"/>
    <n v="8"/>
    <n v="2021"/>
    <s v="Vascular"/>
  </r>
  <r>
    <s v="Adulto"/>
    <s v="Garcia"/>
    <s v="Gimenez"/>
    <s v="Paz Luisa"/>
    <n v="3024535"/>
    <d v="2021-08-09T00:00:00"/>
    <n v="0.22303999999999999"/>
    <m/>
    <m/>
    <m/>
    <m/>
    <m/>
    <m/>
    <m/>
    <m/>
    <m/>
    <m/>
    <x v="60"/>
    <m/>
    <s v="Quimioembolización hepática. Procedimiento básico"/>
    <x v="61"/>
    <n v="8"/>
    <n v="2021"/>
    <s v="Vascular"/>
  </r>
  <r>
    <s v="Adulto"/>
    <s v="Romeo"/>
    <s v="Esteban"/>
    <s v="Emilia"/>
    <n v="3367738"/>
    <d v="2021-08-09T00:00:00"/>
    <n v="5.1999999999999998E-3"/>
    <m/>
    <m/>
    <m/>
    <m/>
    <m/>
    <m/>
    <m/>
    <m/>
    <m/>
    <m/>
    <x v="61"/>
    <m/>
    <s v="Control catéter drenaje."/>
    <x v="62"/>
    <n v="8"/>
    <n v="2021"/>
    <s v="Vascular"/>
  </r>
  <r>
    <s v="Adulto"/>
    <s v="Sena"/>
    <s v="Penella"/>
    <s v="Maria Vicenta"/>
    <n v="4701606"/>
    <d v="2021-08-09T00:00:00"/>
    <n v="2.4499999999999999E-3"/>
    <m/>
    <m/>
    <m/>
    <m/>
    <m/>
    <m/>
    <m/>
    <m/>
    <m/>
    <m/>
    <x v="62"/>
    <m/>
    <s v="Infiltración articular"/>
    <x v="63"/>
    <n v="8"/>
    <n v="2021"/>
    <s v="Vascular"/>
  </r>
  <r>
    <s v="Adulto"/>
    <s v="Arnal"/>
    <s v="Fentanes"/>
    <s v="Francisco"/>
    <n v="2880427"/>
    <d v="2021-08-09T00:00:00"/>
    <n v="4.8000000000000001E-4"/>
    <m/>
    <m/>
    <m/>
    <m/>
    <m/>
    <m/>
    <m/>
    <m/>
    <m/>
    <m/>
    <x v="63"/>
    <m/>
    <s v="Colocación catéter vena central con reservorio subcutáneo"/>
    <x v="64"/>
    <n v="8"/>
    <n v="2021"/>
    <s v="Vascular"/>
  </r>
  <r>
    <s v="Adulto"/>
    <s v="Alfonso"/>
    <s v="Cuenca"/>
    <s v="Amparo"/>
    <n v="2194961"/>
    <d v="2021-08-09T00:00:00"/>
    <n v="6.9999999999999994E-5"/>
    <m/>
    <m/>
    <m/>
    <m/>
    <m/>
    <m/>
    <m/>
    <m/>
    <m/>
    <m/>
    <x v="64"/>
    <m/>
    <s v="Colocación catéter vena central con tracto subcutáneo"/>
    <x v="65"/>
    <n v="8"/>
    <n v="2021"/>
    <s v="Vascular"/>
  </r>
  <r>
    <s v="Adulto"/>
    <s v="Aracil"/>
    <s v="Viana"/>
    <s v="Jose Francisco"/>
    <n v="3548944"/>
    <d v="2021-08-06T00:00:00"/>
    <n v="0.68527000000000005"/>
    <m/>
    <m/>
    <m/>
    <m/>
    <m/>
    <m/>
    <m/>
    <m/>
    <m/>
    <m/>
    <x v="65"/>
    <m/>
    <s v="Embolización hepática: Procedimiento básico"/>
    <x v="66"/>
    <n v="8"/>
    <n v="2021"/>
    <s v="Vascular"/>
  </r>
  <r>
    <s v="Adulto"/>
    <s v="Safont"/>
    <s v="Escriche"/>
    <s v="Rosalia"/>
    <n v="4491529"/>
    <d v="2021-08-06T00:00:00"/>
    <n v="0.22191"/>
    <m/>
    <m/>
    <m/>
    <m/>
    <m/>
    <m/>
    <m/>
    <m/>
    <m/>
    <m/>
    <x v="66"/>
    <m/>
    <s v="Embolización bronquial. Procedimiento básico"/>
    <x v="67"/>
    <n v="8"/>
    <n v="2021"/>
    <s v="Vascular"/>
  </r>
  <r>
    <s v="Adulto"/>
    <s v="Nebot "/>
    <s v="Giner"/>
    <s v="Angel"/>
    <n v="4454331"/>
    <d v="2021-08-06T00:00:00"/>
    <n v="7.22E-2"/>
    <m/>
    <m/>
    <m/>
    <m/>
    <m/>
    <m/>
    <m/>
    <m/>
    <m/>
    <m/>
    <x v="67"/>
    <m/>
    <s v="Gastrotomia percutánea"/>
    <x v="68"/>
    <n v="8"/>
    <n v="2021"/>
    <s v="Vascular"/>
  </r>
  <r>
    <s v="Adulto"/>
    <s v="Guadas"/>
    <s v="Sanz"/>
    <s v="Pedro "/>
    <n v="3531880"/>
    <d v="2021-08-06T00:00:00"/>
    <n v="6.43E-3"/>
    <m/>
    <m/>
    <m/>
    <m/>
    <m/>
    <m/>
    <m/>
    <m/>
    <m/>
    <m/>
    <x v="68"/>
    <m/>
    <s v="Colocación catéter vena central con tracto subcutáneo"/>
    <x v="69"/>
    <n v="8"/>
    <n v="2021"/>
    <s v="Vascular"/>
  </r>
  <r>
    <s v="Adulto"/>
    <s v="Iznardo"/>
    <s v="Olivert"/>
    <s v="M Carmen"/>
    <n v="159095"/>
    <d v="2021-08-05T00:00:00"/>
    <n v="4.1880000000000001E-2"/>
    <m/>
    <m/>
    <m/>
    <m/>
    <m/>
    <m/>
    <m/>
    <m/>
    <m/>
    <m/>
    <x v="37"/>
    <m/>
    <s v="Control catéter drenaje"/>
    <x v="37"/>
    <n v="8"/>
    <n v="2021"/>
    <s v="Vascular"/>
  </r>
  <r>
    <s v="Adulto"/>
    <s v="San Bautista"/>
    <s v="Carbonell"/>
    <s v="Maria Jose"/>
    <n v="2091946"/>
    <d v="2021-08-05T00:00:00"/>
    <n v="4.0120000000000003E-2"/>
    <m/>
    <m/>
    <m/>
    <m/>
    <m/>
    <m/>
    <m/>
    <m/>
    <m/>
    <m/>
    <x v="69"/>
    <m/>
    <s v="Tto endov esten oclu en mmii proc basic"/>
    <x v="70"/>
    <n v="8"/>
    <n v="2021"/>
    <s v="Vascular"/>
  </r>
  <r>
    <s v="Adulto"/>
    <s v="Adria"/>
    <s v="Peiro"/>
    <s v="Antonia"/>
    <n v="3382854"/>
    <d v="2021-08-05T00:00:00"/>
    <n v="2.656E-2"/>
    <m/>
    <m/>
    <m/>
    <m/>
    <m/>
    <m/>
    <m/>
    <m/>
    <m/>
    <m/>
    <x v="70"/>
    <m/>
    <s v="Tto esten oclu sector fem pop proc basic"/>
    <x v="71"/>
    <n v="8"/>
    <n v="2021"/>
    <s v="Vascular"/>
  </r>
  <r>
    <s v="Adulto"/>
    <s v="Perez"/>
    <s v="Casado"/>
    <s v="Ricard Vicent"/>
    <n v="3208928"/>
    <d v="2021-08-04T00:00:00"/>
    <n v="0.71126"/>
    <m/>
    <m/>
    <m/>
    <m/>
    <m/>
    <m/>
    <m/>
    <m/>
    <m/>
    <m/>
    <x v="15"/>
    <m/>
    <s v="Quimioembolización hepática. Procedimiento básico"/>
    <x v="14"/>
    <n v="8"/>
    <n v="2021"/>
    <s v="Vascular"/>
  </r>
  <r>
    <s v="Adulto"/>
    <s v="Montes"/>
    <s v="Martinez"/>
    <s v="Eloina"/>
    <n v="2182963"/>
    <d v="2021-08-04T00:00:00"/>
    <n v="1.72E-2"/>
    <m/>
    <m/>
    <m/>
    <m/>
    <m/>
    <m/>
    <m/>
    <m/>
    <m/>
    <m/>
    <x v="71"/>
    <m/>
    <s v="Estudio de fístula arteriovenosa hemodialisis"/>
    <x v="72"/>
    <n v="8"/>
    <n v="2021"/>
    <s v="Vascular"/>
  </r>
  <r>
    <s v="Adulto"/>
    <s v="Olmos"/>
    <s v="Cabanes"/>
    <s v="Rafael Miguel"/>
    <n v="1862886"/>
    <d v="2021-08-04T00:00:00"/>
    <n v="1.9300000000000001E-3"/>
    <m/>
    <m/>
    <m/>
    <m/>
    <m/>
    <m/>
    <m/>
    <m/>
    <m/>
    <m/>
    <x v="72"/>
    <m/>
    <s v="Gastroyeyunostomía percutánea"/>
    <x v="73"/>
    <n v="8"/>
    <n v="2021"/>
    <s v="Vascular"/>
  </r>
  <r>
    <s v="Adulto"/>
    <s v="Martinez"/>
    <s v="Romero"/>
    <s v="Manuela"/>
    <n v="4850717"/>
    <d v="2021-08-03T00:00:00"/>
    <n v="0.19328999999999999"/>
    <m/>
    <m/>
    <m/>
    <m/>
    <m/>
    <m/>
    <m/>
    <m/>
    <m/>
    <m/>
    <x v="73"/>
    <m/>
    <s v="Drenaje biliar percutáneo interno externo"/>
    <x v="74"/>
    <n v="8"/>
    <n v="2021"/>
    <s v="Vascular"/>
  </r>
  <r>
    <s v="Adulto"/>
    <s v="Planells"/>
    <s v="Andreu"/>
    <s v="Evaristo"/>
    <n v="5104679"/>
    <d v="2021-08-03T00:00:00"/>
    <n v="1.108E-2"/>
    <m/>
    <m/>
    <m/>
    <m/>
    <m/>
    <m/>
    <m/>
    <m/>
    <m/>
    <m/>
    <x v="74"/>
    <m/>
    <s v="Colocación catéter vena central con reservorio subcutáneo"/>
    <x v="75"/>
    <n v="8"/>
    <n v="2021"/>
    <s v="Vascular"/>
  </r>
  <r>
    <s v="Adulto"/>
    <s v="Bernat"/>
    <s v="Sanchez"/>
    <s v="Isabel"/>
    <n v="3737671"/>
    <d v="2021-08-03T00:00:00"/>
    <n v="6.0999999999999997E-4"/>
    <m/>
    <m/>
    <m/>
    <m/>
    <m/>
    <m/>
    <m/>
    <m/>
    <m/>
    <m/>
    <x v="75"/>
    <m/>
    <s v="Colocación catéter vena central con reservorio subcutáneo"/>
    <x v="76"/>
    <n v="8"/>
    <n v="2021"/>
    <s v="Vascular"/>
  </r>
  <r>
    <s v="Adulto"/>
    <s v="Gil"/>
    <s v="Andres"/>
    <s v="Rafael Antonio"/>
    <n v="3563590"/>
    <d v="2021-08-02T00:00:00"/>
    <n v="3.1844100000000002"/>
    <m/>
    <m/>
    <m/>
    <m/>
    <m/>
    <m/>
    <m/>
    <m/>
    <m/>
    <m/>
    <x v="76"/>
    <m/>
    <s v="Otras embolizaciones. Procedimiento básico"/>
    <x v="77"/>
    <n v="8"/>
    <n v="2021"/>
    <s v="Vascular"/>
  </r>
  <r>
    <s v="Adulto"/>
    <s v="Torrijo"/>
    <s v="Melendez"/>
    <s v="Carmen"/>
    <n v="1202114"/>
    <d v="2021-08-02T00:00:00"/>
    <n v="0.30624000000000001"/>
    <m/>
    <m/>
    <m/>
    <m/>
    <m/>
    <m/>
    <m/>
    <m/>
    <m/>
    <m/>
    <x v="77"/>
    <m/>
    <s v="Embo de Hemorraj dig alta proc basic"/>
    <x v="78"/>
    <n v="8"/>
    <n v="2021"/>
    <s v="Vascular"/>
  </r>
  <r>
    <s v="Adulto"/>
    <s v="Arilla"/>
    <s v="Agorriz"/>
    <s v="Elias"/>
    <n v="2915230"/>
    <d v="2021-07-30T00:00:00"/>
    <n v="0.76710999999999996"/>
    <m/>
    <m/>
    <m/>
    <m/>
    <m/>
    <m/>
    <m/>
    <m/>
    <m/>
    <m/>
    <x v="54"/>
    <m/>
    <s v="Flebo y manometria de shunt portocava percneo tips revisión"/>
    <x v="79"/>
    <n v="7"/>
    <n v="2021"/>
    <s v="Vascular"/>
  </r>
  <r>
    <s v="Adulto"/>
    <s v="Iznardo"/>
    <s v="Olivert"/>
    <s v="M Carmen"/>
    <n v="159095"/>
    <d v="2021-07-30T00:00:00"/>
    <n v="5.3940000000000002E-2"/>
    <m/>
    <m/>
    <m/>
    <m/>
    <m/>
    <m/>
    <m/>
    <m/>
    <m/>
    <m/>
    <x v="37"/>
    <m/>
    <s v="Drenaje biliar percneo con implante de stent"/>
    <x v="37"/>
    <n v="7"/>
    <n v="2021"/>
    <s v="Vascular"/>
  </r>
  <r>
    <s v="Adulto"/>
    <s v="Nebot"/>
    <s v="Blasco"/>
    <s v="Jose Vicente"/>
    <n v="3018034"/>
    <d v="2021-07-29T00:00:00"/>
    <n v="0.16941000000000001"/>
    <m/>
    <m/>
    <m/>
    <m/>
    <m/>
    <m/>
    <m/>
    <m/>
    <m/>
    <m/>
    <x v="78"/>
    <m/>
    <s v="TTO esten oclu otras arts prco basic"/>
    <x v="80"/>
    <n v="7"/>
    <n v="2021"/>
    <s v="Vascular"/>
  </r>
  <r>
    <s v="Adulto"/>
    <s v="Flores"/>
    <s v="Martinez"/>
    <s v="Jose Luis"/>
    <n v="2985376"/>
    <d v="2021-07-29T00:00:00"/>
    <n v="0.15226999999999999"/>
    <m/>
    <m/>
    <m/>
    <m/>
    <m/>
    <m/>
    <m/>
    <m/>
    <m/>
    <m/>
    <x v="79"/>
    <m/>
    <s v="TTO esten oclu sector iliaco porc basic"/>
    <x v="81"/>
    <n v="7"/>
    <n v="2021"/>
    <s v="Vascular"/>
  </r>
  <r>
    <s v="Adulto"/>
    <s v="Garcia"/>
    <s v="Mora"/>
    <s v="Eduardo "/>
    <n v="3274770"/>
    <d v="2021-07-29T00:00:00"/>
    <n v="6.3549999999999995E-2"/>
    <m/>
    <m/>
    <m/>
    <m/>
    <m/>
    <m/>
    <m/>
    <m/>
    <m/>
    <m/>
    <x v="80"/>
    <m/>
    <s v="Arteriografia de MMII"/>
    <x v="82"/>
    <n v="7"/>
    <n v="2021"/>
    <s v="Vascular"/>
  </r>
  <r>
    <s v="Adulto"/>
    <s v="Amber "/>
    <s v="Martínez"/>
    <s v="Josefina"/>
    <n v="1777454"/>
    <d v="2021-07-29T00:00:00"/>
    <n v="1.0319999999999999E-2"/>
    <m/>
    <m/>
    <m/>
    <m/>
    <m/>
    <m/>
    <m/>
    <m/>
    <m/>
    <m/>
    <x v="81"/>
    <m/>
    <s v="Control cateter de drenaje"/>
    <x v="83"/>
    <n v="7"/>
    <n v="2021"/>
    <s v="Vascular"/>
  </r>
  <r>
    <s v="Adulto"/>
    <s v="Yeste"/>
    <s v="Gomez"/>
    <s v="M Blanca"/>
    <n v="2918980"/>
    <d v="2021-07-28T00:00:00"/>
    <n v="0.28088000000000002"/>
    <m/>
    <m/>
    <m/>
    <m/>
    <m/>
    <m/>
    <m/>
    <m/>
    <m/>
    <m/>
    <x v="82"/>
    <m/>
    <s v="Quimioembolización hepática. Procedimiento básico"/>
    <x v="84"/>
    <n v="7"/>
    <n v="2021"/>
    <s v="Vascular"/>
  </r>
  <r>
    <s v="Adulto"/>
    <s v="Fernandez"/>
    <s v="Sarralde"/>
    <s v="Juan Antonio"/>
    <n v="3187920"/>
    <d v="2021-07-28T00:00:00"/>
    <n v="4.854E-2"/>
    <m/>
    <m/>
    <m/>
    <m/>
    <m/>
    <m/>
    <m/>
    <m/>
    <m/>
    <m/>
    <x v="83"/>
    <m/>
    <s v="TTO endov esten oclu en mms proc basic"/>
    <x v="85"/>
    <n v="7"/>
    <n v="2021"/>
    <s v="Vascular"/>
  </r>
  <r>
    <s v="Adulto"/>
    <s v="Santafe"/>
    <s v="Galindo"/>
    <s v="Ramiro"/>
    <n v="3370639"/>
    <d v="2021-07-28T00:00:00"/>
    <n v="1.7260000000000001E-2"/>
    <m/>
    <m/>
    <m/>
    <m/>
    <m/>
    <m/>
    <m/>
    <m/>
    <m/>
    <m/>
    <x v="84"/>
    <m/>
    <s v="Coloc cateter ven central con tracto subcutaneo"/>
    <x v="86"/>
    <n v="7"/>
    <n v="2021"/>
    <s v="Vascular"/>
  </r>
  <r>
    <s v="Adulto"/>
    <s v="Nebot "/>
    <s v="Blanco"/>
    <s v="Jose Vicente"/>
    <n v="3018034"/>
    <d v="2021-07-27T00:00:00"/>
    <n v="9.3659999999999993E-2"/>
    <m/>
    <m/>
    <m/>
    <m/>
    <m/>
    <m/>
    <m/>
    <m/>
    <m/>
    <m/>
    <x v="78"/>
    <m/>
    <s v="TTO endov esten oclu en injtos vases proc basic"/>
    <x v="87"/>
    <n v="7"/>
    <n v="2021"/>
    <s v="Vascular"/>
  </r>
  <r>
    <s v="Adulto"/>
    <s v="Barbera "/>
    <s v="Ibañez"/>
    <s v="Valeriano"/>
    <n v="4541070"/>
    <d v="2021-07-27T00:00:00"/>
    <n v="5.4190000000000002E-2"/>
    <m/>
    <m/>
    <m/>
    <m/>
    <m/>
    <m/>
    <m/>
    <m/>
    <m/>
    <m/>
    <x v="85"/>
    <m/>
    <s v="Drenaje Biliar Percneo interno externo"/>
    <x v="88"/>
    <n v="7"/>
    <n v="2021"/>
    <s v="Vascular"/>
  </r>
  <r>
    <s v="Adulto"/>
    <s v="Amber "/>
    <s v="Martínez"/>
    <s v="Josefina"/>
    <n v="1777454"/>
    <d v="2021-07-27T00:00:00"/>
    <n v="1.421E-2"/>
    <m/>
    <m/>
    <m/>
    <m/>
    <m/>
    <m/>
    <m/>
    <m/>
    <m/>
    <m/>
    <x v="86"/>
    <m/>
    <s v="Drenaje biliar percneo con implante de stent"/>
    <x v="83"/>
    <n v="7"/>
    <n v="2021"/>
    <s v="Vascular"/>
  </r>
  <r>
    <s v="Adulto"/>
    <s v="Giner"/>
    <s v="Ortega"/>
    <s v="Francisca"/>
    <n v="2932156"/>
    <d v="2021-07-26T00:00:00"/>
    <n v="0.20699999999999999"/>
    <m/>
    <m/>
    <m/>
    <m/>
    <m/>
    <m/>
    <m/>
    <m/>
    <m/>
    <m/>
    <x v="87"/>
    <m/>
    <s v="Quimioembolización hepática. Procedimiento básico"/>
    <x v="89"/>
    <m/>
    <m/>
    <s v="Vascular"/>
  </r>
  <r>
    <s v="Adulto"/>
    <s v="Suñer"/>
    <s v="Hostalot"/>
    <s v="Pilar"/>
    <n v="4325434"/>
    <d v="2021-07-26T00:00:00"/>
    <n v="2.1270000000000001E-2"/>
    <m/>
    <m/>
    <m/>
    <m/>
    <m/>
    <m/>
    <m/>
    <m/>
    <m/>
    <m/>
    <x v="88"/>
    <m/>
    <s v="Drenaje biliar percneo con implante de stent"/>
    <x v="90"/>
    <n v="7"/>
    <n v="2021"/>
    <s v="Vascular"/>
  </r>
  <r>
    <s v="Adulto"/>
    <s v="Garcia "/>
    <s v="Martinez"/>
    <s v="Aurelio"/>
    <n v="5147897"/>
    <d v="2021-07-26T00:00:00"/>
    <n v="2.96E-3"/>
    <m/>
    <m/>
    <m/>
    <m/>
    <m/>
    <m/>
    <m/>
    <m/>
    <m/>
    <m/>
    <x v="89"/>
    <m/>
    <s v="Control cateter de drenaje"/>
    <x v="91"/>
    <n v="7"/>
    <n v="2021"/>
    <s v="Vascular"/>
  </r>
  <r>
    <s v="Adulto"/>
    <s v="Moyano"/>
    <s v="Palenzuela"/>
    <s v="Lucia"/>
    <n v="5153607"/>
    <d v="2021-07-26T00:00:00"/>
    <n v="8.0999999999999996E-4"/>
    <m/>
    <m/>
    <m/>
    <m/>
    <m/>
    <m/>
    <m/>
    <m/>
    <m/>
    <m/>
    <x v="90"/>
    <m/>
    <s v="Coloc cateter ven central con tracto subcutaneo"/>
    <x v="92"/>
    <n v="7"/>
    <n v="2021"/>
    <s v="Vascular"/>
  </r>
  <r>
    <s v="Adulto"/>
    <s v="Ormad"/>
    <s v="Pina"/>
    <s v="Patricia"/>
    <n v="2652081"/>
    <d v="2021-07-24T00:00:00"/>
    <n v="0.51763000000000003"/>
    <m/>
    <m/>
    <m/>
    <m/>
    <m/>
    <m/>
    <m/>
    <m/>
    <m/>
    <m/>
    <x v="91"/>
    <m/>
    <s v="Embo otras hemrrajs proc basic"/>
    <x v="93"/>
    <n v="7"/>
    <n v="2021"/>
    <s v="Vascular"/>
  </r>
  <r>
    <s v="Adulto"/>
    <s v="Graupner"/>
    <s v="Cligny"/>
    <s v="Josiane annick"/>
    <n v="12237207"/>
    <d v="2021-07-23T00:00:00"/>
    <s v="Sin datos"/>
    <m/>
    <m/>
    <m/>
    <m/>
    <m/>
    <m/>
    <m/>
    <m/>
    <m/>
    <m/>
    <x v="92"/>
    <m/>
    <s v="Filtro de cava"/>
    <x v="94"/>
    <m/>
    <n v="2021"/>
    <s v="Vascular"/>
  </r>
  <r>
    <s v="Adulto"/>
    <s v="Lozano"/>
    <s v="Martinez"/>
    <s v="Pilar"/>
    <n v="1104155"/>
    <d v="2021-07-23T00:00:00"/>
    <n v="0.36323"/>
    <m/>
    <m/>
    <m/>
    <m/>
    <m/>
    <m/>
    <m/>
    <m/>
    <m/>
    <m/>
    <x v="93"/>
    <m/>
    <s v="Embo hepatica proc basic"/>
    <x v="95"/>
    <n v="7"/>
    <n v="2021"/>
    <s v="Vascular"/>
  </r>
  <r>
    <s v="Adulto"/>
    <s v="Kharla"/>
    <m/>
    <s v="Dmytro"/>
    <n v="11896938"/>
    <d v="2021-07-23T00:00:00"/>
    <n v="4.2759999999999999E-2"/>
    <m/>
    <m/>
    <m/>
    <m/>
    <m/>
    <m/>
    <m/>
    <m/>
    <m/>
    <m/>
    <x v="94"/>
    <m/>
    <s v="TTO esten oclu arteria renal proc basic"/>
    <x v="96"/>
    <n v="7"/>
    <n v="2021"/>
    <s v="Vascular"/>
  </r>
  <r>
    <s v="Adulto"/>
    <s v="Paixa"/>
    <s v="Trulla"/>
    <s v="Javier"/>
    <n v="3310331"/>
    <d v="2021-07-23T00:00:00"/>
    <n v="4.1689999999999998E-2"/>
    <m/>
    <m/>
    <m/>
    <m/>
    <m/>
    <m/>
    <m/>
    <m/>
    <m/>
    <m/>
    <x v="95"/>
    <m/>
    <s v="Toma de presiones manometria ven"/>
    <x v="97"/>
    <n v="7"/>
    <n v="2021"/>
    <s v="Vascular"/>
  </r>
  <r>
    <s v="Adulto"/>
    <s v="Garcia"/>
    <s v="Gonzales"/>
    <s v="Oscar"/>
    <n v="2669276"/>
    <d v="2021-07-23T00:00:00"/>
    <n v="1.8600000000000001E-3"/>
    <m/>
    <m/>
    <m/>
    <m/>
    <m/>
    <m/>
    <m/>
    <m/>
    <m/>
    <m/>
    <x v="96"/>
    <m/>
    <s v="Colocación cateter vena central con reservorio subcutaneo"/>
    <x v="98"/>
    <n v="7"/>
    <n v="2021"/>
    <s v="Vascular"/>
  </r>
  <r>
    <s v="Adulto"/>
    <s v="Bosch "/>
    <s v="Gail"/>
    <s v="Ruben"/>
    <n v="107024"/>
    <d v="2021-07-22T00:00:00"/>
    <n v="0.45"/>
    <m/>
    <m/>
    <m/>
    <m/>
    <m/>
    <m/>
    <m/>
    <m/>
    <m/>
    <m/>
    <x v="97"/>
    <m/>
    <s v="Embo en ot territ vens proc basic"/>
    <x v="99"/>
    <n v="7"/>
    <n v="2021"/>
    <s v="Vascular"/>
  </r>
  <r>
    <s v="Adulto"/>
    <s v="Graupner"/>
    <s v="Cligny"/>
    <s v="Josiane Annick"/>
    <n v="12237207"/>
    <d v="2021-07-22T00:00:00"/>
    <n v="0.26139000000000001"/>
    <m/>
    <m/>
    <m/>
    <m/>
    <m/>
    <m/>
    <m/>
    <m/>
    <m/>
    <m/>
    <x v="98"/>
    <m/>
    <s v="Embo de Hemorraj dig alta proc basic"/>
    <x v="94"/>
    <m/>
    <n v="2021"/>
    <s v="Vascular"/>
  </r>
  <r>
    <s v="Adulto"/>
    <s v="Rebolledo"/>
    <s v="Tudela"/>
    <s v="Juan"/>
    <n v="6445261"/>
    <d v="2021-07-21T00:00:00"/>
    <n v="4.17"/>
    <m/>
    <m/>
    <m/>
    <m/>
    <m/>
    <m/>
    <m/>
    <m/>
    <m/>
    <m/>
    <x v="99"/>
    <m/>
    <s v="Cateterismo cardíaco"/>
    <x v="100"/>
    <n v="7"/>
    <n v="2021"/>
    <m/>
  </r>
  <r>
    <s v="Adulto"/>
    <s v="Bañuls"/>
    <s v="Marco"/>
    <s v="Rafael"/>
    <n v="1867949"/>
    <d v="2021-07-21T00:00:00"/>
    <n v="0.61248000000000002"/>
    <m/>
    <m/>
    <m/>
    <m/>
    <m/>
    <m/>
    <m/>
    <m/>
    <m/>
    <m/>
    <x v="100"/>
    <m/>
    <s v="Filtro de cava"/>
    <x v="101"/>
    <n v="7"/>
    <n v="2021"/>
    <s v="Vascular"/>
  </r>
  <r>
    <s v="Adulto"/>
    <s v="Mateu"/>
    <s v="Tarin"/>
    <s v="Carmen"/>
    <n v="2242455"/>
    <d v="2021-07-21T00:00:00"/>
    <n v="0.39269999999999999"/>
    <m/>
    <m/>
    <m/>
    <m/>
    <m/>
    <m/>
    <m/>
    <m/>
    <m/>
    <m/>
    <x v="101"/>
    <m/>
    <s v="Arteriografia pelvica"/>
    <x v="102"/>
    <n v="7"/>
    <n v="2021"/>
    <s v="Vascular"/>
  </r>
  <r>
    <s v=""/>
    <s v="Parra"/>
    <s v="Benitez"/>
    <s v="Francisco Manuel"/>
    <n v="10497045"/>
    <d v="2021-07-20T00:00:00"/>
    <s v="Falta mirarlo. No acceso"/>
    <m/>
    <m/>
    <m/>
    <m/>
    <m/>
    <m/>
    <m/>
    <m/>
    <m/>
    <m/>
    <x v="102"/>
    <m/>
    <m/>
    <x v="103"/>
    <n v="7"/>
    <n v="2021"/>
    <s v="Vascular"/>
  </r>
  <r>
    <s v="Adulto"/>
    <s v="Ruiz"/>
    <s v="Barrachina"/>
    <s v="Amparo"/>
    <n v="4228641"/>
    <d v="2021-07-20T00:00:00"/>
    <n v="1.6207"/>
    <m/>
    <m/>
    <m/>
    <m/>
    <m/>
    <m/>
    <m/>
    <m/>
    <m/>
    <m/>
    <x v="103"/>
    <m/>
    <s v="Embo de Hemorraj dig alta proc basic"/>
    <x v="104"/>
    <n v="7"/>
    <n v="2021"/>
    <s v="Vascular"/>
  </r>
  <r>
    <s v="Pediátrico"/>
    <s v="Garcia"/>
    <s v="Alemany"/>
    <s v="Javier"/>
    <n v="5401487"/>
    <d v="2021-07-20T00:00:00"/>
    <n v="0.42227999999999999"/>
    <m/>
    <m/>
    <m/>
    <m/>
    <m/>
    <m/>
    <m/>
    <m/>
    <m/>
    <m/>
    <x v="104"/>
    <m/>
    <s v="TTO endov esten oclu en arts pulms proc basic"/>
    <x v="105"/>
    <n v="7"/>
    <n v="2021"/>
    <s v="Vascular"/>
  </r>
  <r>
    <s v="Adulto"/>
    <s v="Parrizas"/>
    <s v="Collado"/>
    <s v="Jose Manuel"/>
    <n v="2941137"/>
    <d v="2021-07-20T00:00:00"/>
    <n v="3.31E-3"/>
    <m/>
    <m/>
    <m/>
    <m/>
    <m/>
    <m/>
    <m/>
    <m/>
    <m/>
    <m/>
    <x v="105"/>
    <m/>
    <s v="Control cateter de drenaje"/>
    <x v="106"/>
    <n v="7"/>
    <n v="2021"/>
    <s v="Vascular"/>
  </r>
  <r>
    <s v="Adulto"/>
    <s v="Parrizas"/>
    <s v="Collado"/>
    <s v="Jose Manuel"/>
    <n v="2941137"/>
    <d v="2021-07-20T00:00:00"/>
    <n v="2.31E-3"/>
    <m/>
    <m/>
    <m/>
    <m/>
    <m/>
    <m/>
    <m/>
    <m/>
    <m/>
    <m/>
    <x v="105"/>
    <m/>
    <s v="Drenaje biliar percneo interno externo"/>
    <x v="106"/>
    <n v="7"/>
    <n v="2021"/>
    <s v="Vascular"/>
  </r>
  <r>
    <s v="Adulto"/>
    <s v="Soler"/>
    <s v="Benitez"/>
    <s v="Francisco"/>
    <n v="2538641"/>
    <d v="2021-07-19T00:00:00"/>
    <n v="0.76800000000000002"/>
    <m/>
    <m/>
    <m/>
    <m/>
    <m/>
    <m/>
    <m/>
    <m/>
    <m/>
    <m/>
    <x v="106"/>
    <m/>
    <s v="Embolización otras hemorragias. Procedimiento básico"/>
    <x v="107"/>
    <n v="7"/>
    <n v="2021"/>
    <s v="Vascular"/>
  </r>
  <r>
    <s v="Adulto"/>
    <s v="Soler"/>
    <s v="Benitez"/>
    <s v="Francisco"/>
    <n v="2538641"/>
    <d v="2021-07-19T00:00:00"/>
    <n v="0.76793"/>
    <m/>
    <m/>
    <m/>
    <m/>
    <m/>
    <m/>
    <m/>
    <m/>
    <m/>
    <m/>
    <x v="107"/>
    <m/>
    <s v="Embo otras hermorrajs proc basic"/>
    <x v="107"/>
    <n v="7"/>
    <n v="2021"/>
    <s v="Vascular"/>
  </r>
  <r>
    <s v="Adulto"/>
    <s v="Gozalvez"/>
    <s v="Tormo"/>
    <s v="Iluminada"/>
    <n v="3737822"/>
    <d v="2021-07-19T00:00:00"/>
    <n v="0.48443000000000003"/>
    <m/>
    <m/>
    <m/>
    <m/>
    <m/>
    <m/>
    <m/>
    <m/>
    <m/>
    <m/>
    <x v="108"/>
    <m/>
    <s v="Embo bronquial proc basic"/>
    <x v="108"/>
    <n v="7"/>
    <n v="2021"/>
    <s v="Vascular"/>
  </r>
  <r>
    <s v="Adulto"/>
    <s v="Torres"/>
    <s v="Lopez"/>
    <s v="Magdalena"/>
    <n v="2922695"/>
    <d v="2021-07-19T00:00:00"/>
    <n v="2.5700000000000001E-2"/>
    <m/>
    <m/>
    <m/>
    <m/>
    <m/>
    <m/>
    <m/>
    <m/>
    <m/>
    <m/>
    <x v="109"/>
    <m/>
    <s v="Control cateter de drenaje"/>
    <x v="109"/>
    <n v="7"/>
    <n v="2021"/>
    <s v="Vascular"/>
  </r>
  <r>
    <s v="Adulto"/>
    <s v="Priego"/>
    <s v="Panadero"/>
    <s v="Maria"/>
    <n v="3169061"/>
    <d v="2021-07-19T00:00:00"/>
    <n v="1.9529999999999999E-2"/>
    <m/>
    <m/>
    <m/>
    <m/>
    <m/>
    <m/>
    <m/>
    <m/>
    <m/>
    <m/>
    <x v="110"/>
    <m/>
    <s v="Control cateter ven central"/>
    <x v="110"/>
    <n v="7"/>
    <n v="2021"/>
    <s v="Vascular"/>
  </r>
  <r>
    <s v="Adulto"/>
    <s v="Cuenca"/>
    <s v="Moya"/>
    <s v="Francisco Manuel"/>
    <n v="2832055"/>
    <d v="2021-07-19T00:00:00"/>
    <n v="4.6699999999999997E-3"/>
    <m/>
    <m/>
    <m/>
    <m/>
    <m/>
    <m/>
    <m/>
    <m/>
    <m/>
    <m/>
    <x v="111"/>
    <m/>
    <s v="Coloc cateter ven central con reservorio subcutaneo"/>
    <x v="111"/>
    <n v="7"/>
    <n v="2021"/>
    <s v="Vascular"/>
  </r>
  <r>
    <s v="Adulto"/>
    <s v="Guirao"/>
    <s v="Roncero"/>
    <s v="Juan"/>
    <n v="3748869"/>
    <d v="2021-07-19T00:00:00"/>
    <n v="4.2900000000000004E-3"/>
    <m/>
    <m/>
    <m/>
    <m/>
    <m/>
    <m/>
    <m/>
    <m/>
    <m/>
    <m/>
    <x v="112"/>
    <m/>
    <s v="Control cateter ven central"/>
    <x v="112"/>
    <n v="7"/>
    <n v="2021"/>
    <s v="Vascular"/>
  </r>
  <r>
    <s v="Adulto"/>
    <s v="Garcia"/>
    <s v="Martinez"/>
    <s v="Ascension"/>
    <n v="3187398"/>
    <d v="2021-07-19T00:00:00"/>
    <n v="1.66E-3"/>
    <m/>
    <m/>
    <m/>
    <m/>
    <m/>
    <m/>
    <m/>
    <m/>
    <m/>
    <m/>
    <x v="113"/>
    <m/>
    <s v="Coloc cateter ven central con tracto subcutaneo"/>
    <x v="113"/>
    <n v="7"/>
    <n v="2021"/>
    <s v="Vascular"/>
  </r>
  <r>
    <s v="Adulto"/>
    <s v="Juan"/>
    <s v="Segarra"/>
    <s v="Carmen"/>
    <n v="3148976"/>
    <d v="2021-07-17T00:00:00"/>
    <n v="0.03"/>
    <m/>
    <m/>
    <m/>
    <m/>
    <m/>
    <m/>
    <m/>
    <m/>
    <m/>
    <m/>
    <x v="114"/>
    <m/>
    <s v="Filtro de cava"/>
    <x v="114"/>
    <m/>
    <m/>
    <m/>
  </r>
  <r>
    <s v="Adulto"/>
    <s v="Bustos"/>
    <s v="Morcillo"/>
    <s v="Miguel"/>
    <n v="2291005"/>
    <d v="2021-07-16T00:00:00"/>
    <n v="6.6699999999999995E-2"/>
    <m/>
    <m/>
    <m/>
    <m/>
    <m/>
    <m/>
    <m/>
    <m/>
    <m/>
    <m/>
    <x v="115"/>
    <m/>
    <s v="Tratamiento endovascular estenosis oclusiva en miembros inferiores"/>
    <x v="114"/>
    <m/>
    <m/>
    <m/>
  </r>
  <r>
    <s v="Adulto"/>
    <s v="Sanchis"/>
    <s v="Vidal"/>
    <s v="José Luis"/>
    <n v="3170382"/>
    <d v="2021-07-16T00:00:00"/>
    <n v="2.121E-2"/>
    <m/>
    <m/>
    <m/>
    <m/>
    <m/>
    <m/>
    <m/>
    <m/>
    <m/>
    <m/>
    <x v="116"/>
    <m/>
    <s v="Control catéter drenaje"/>
    <x v="114"/>
    <m/>
    <m/>
    <m/>
  </r>
  <r>
    <s v="Adulto"/>
    <s v="Marcos"/>
    <s v="Pérez"/>
    <s v="Jovita"/>
    <n v="3249595"/>
    <d v="2021-07-16T00:00:00"/>
    <n v="1.7000000000000001E-2"/>
    <m/>
    <m/>
    <m/>
    <m/>
    <m/>
    <m/>
    <m/>
    <m/>
    <m/>
    <m/>
    <x v="117"/>
    <m/>
    <s v="Colocación del catéter venoso central con reservorio subcutáneo"/>
    <x v="114"/>
    <m/>
    <m/>
    <m/>
  </r>
  <r>
    <s v="Adulto"/>
    <s v="Martín"/>
    <s v="Arias"/>
    <s v="Victoriana"/>
    <n v="3734787"/>
    <d v="2021-07-16T00:00:00"/>
    <n v="3.5000000000000001E-3"/>
    <m/>
    <m/>
    <m/>
    <m/>
    <m/>
    <m/>
    <m/>
    <m/>
    <m/>
    <m/>
    <x v="118"/>
    <m/>
    <s v="Colocación del catéter venoso central con reservorio subcutáneo"/>
    <x v="114"/>
    <m/>
    <m/>
    <m/>
  </r>
  <r>
    <s v="Adulto"/>
    <s v="Pérez"/>
    <s v="Ballester"/>
    <s v="M Desamparados"/>
    <n v="2824281"/>
    <d v="2021-07-16T00:00:00"/>
    <n v="5.0000000000000001E-4"/>
    <m/>
    <m/>
    <m/>
    <m/>
    <m/>
    <m/>
    <m/>
    <m/>
    <m/>
    <m/>
    <x v="119"/>
    <m/>
    <s v="Colocación del catéter venoso central con tracto subcutáneo"/>
    <x v="114"/>
    <m/>
    <m/>
    <m/>
  </r>
  <r>
    <s v="Adulto"/>
    <s v="Soria"/>
    <s v="Gallego"/>
    <s v="Azucena"/>
    <n v="3778362"/>
    <d v="2021-07-15T00:00:00"/>
    <n v="6.8000000000000005E-2"/>
    <m/>
    <m/>
    <m/>
    <m/>
    <m/>
    <m/>
    <m/>
    <m/>
    <m/>
    <m/>
    <x v="120"/>
    <m/>
    <s v="Drenaje biliar percutáneo con implante de stent"/>
    <x v="114"/>
    <m/>
    <m/>
    <m/>
  </r>
  <r>
    <s v="Adulto"/>
    <s v="Tarazona"/>
    <s v="Martí"/>
    <s v="Desamparados"/>
    <n v="3366557"/>
    <d v="2021-07-15T00:00:00"/>
    <n v="9.6999999999999994E-4"/>
    <m/>
    <m/>
    <m/>
    <m/>
    <m/>
    <m/>
    <m/>
    <m/>
    <m/>
    <m/>
    <x v="121"/>
    <m/>
    <s v="Colocación cateter central con tracto subcutáneo"/>
    <x v="114"/>
    <m/>
    <m/>
    <m/>
  </r>
  <r>
    <s v="Adulto"/>
    <s v="Veintimilla"/>
    <s v="Bea"/>
    <s v="Miguel Ángel"/>
    <n v="2352065"/>
    <d v="2021-07-14T00:00:00"/>
    <n v="1.163"/>
    <m/>
    <m/>
    <m/>
    <m/>
    <m/>
    <m/>
    <m/>
    <m/>
    <m/>
    <m/>
    <x v="122"/>
    <m/>
    <s v="Embolización esplénica. Procedimiento básico"/>
    <x v="114"/>
    <m/>
    <m/>
    <m/>
  </r>
  <r>
    <s v="Adulto"/>
    <s v="Martínez"/>
    <s v="Albero"/>
    <s v="Cristóbal"/>
    <n v="3893551"/>
    <d v="2021-07-14T00:00:00"/>
    <n v="0.4345"/>
    <m/>
    <m/>
    <m/>
    <m/>
    <m/>
    <m/>
    <m/>
    <m/>
    <m/>
    <m/>
    <x v="123"/>
    <m/>
    <s v="Embolización esplénica. Procedimiento básico"/>
    <x v="114"/>
    <m/>
    <m/>
    <m/>
  </r>
  <r>
    <s v="Adulto"/>
    <s v="García"/>
    <s v="Lorenzana"/>
    <s v="Emilio Ernesto"/>
    <n v="2862167"/>
    <d v="2021-07-14T00:00:00"/>
    <n v="1.9400000000000001E-3"/>
    <m/>
    <m/>
    <m/>
    <m/>
    <m/>
    <m/>
    <m/>
    <m/>
    <m/>
    <m/>
    <x v="124"/>
    <m/>
    <s v="Control catéter venoso central"/>
    <x v="114"/>
    <m/>
    <m/>
    <m/>
  </r>
  <r>
    <s v="Adulto"/>
    <s v="Sánchez"/>
    <s v="Pascual"/>
    <s v="Vicente"/>
    <n v="3089388"/>
    <d v="2021-07-13T00:00:00"/>
    <n v="0.50900000000000001"/>
    <m/>
    <m/>
    <m/>
    <m/>
    <m/>
    <m/>
    <m/>
    <m/>
    <m/>
    <m/>
    <x v="125"/>
    <m/>
    <s v="Tratamiento endovascular aneurisma de aorta abdominal. Procedimiento basico"/>
    <x v="114"/>
    <m/>
    <m/>
    <m/>
  </r>
  <r>
    <s v="Adulto"/>
    <s v="Muñoz"/>
    <s v="Cambero"/>
    <s v="Manuel"/>
    <n v="11176480"/>
    <d v="2021-07-13T00:00:00"/>
    <n v="0.187"/>
    <m/>
    <m/>
    <m/>
    <m/>
    <m/>
    <m/>
    <m/>
    <m/>
    <m/>
    <m/>
    <x v="126"/>
    <m/>
    <s v="Toma de presiones: Manometría venosa"/>
    <x v="114"/>
    <m/>
    <m/>
    <m/>
  </r>
  <r>
    <s v="Adulto"/>
    <s v="Iznardo"/>
    <s v="Olivert"/>
    <s v="M Carmen"/>
    <n v="159095"/>
    <d v="2021-07-13T00:00:00"/>
    <n v="7.1999999999999995E-2"/>
    <m/>
    <m/>
    <m/>
    <m/>
    <m/>
    <m/>
    <m/>
    <m/>
    <m/>
    <m/>
    <x v="37"/>
    <m/>
    <s v="Drenaje biliar percutáneo con implante de stent"/>
    <x v="114"/>
    <m/>
    <m/>
    <m/>
  </r>
  <r>
    <s v="Adulto"/>
    <s v="Polit"/>
    <s v="Collado"/>
    <s v="Francisco"/>
    <n v="2405995"/>
    <d v="2021-07-13T00:00:00"/>
    <n v="3.7999999999999999E-2"/>
    <m/>
    <m/>
    <m/>
    <m/>
    <m/>
    <m/>
    <m/>
    <m/>
    <m/>
    <m/>
    <x v="127"/>
    <m/>
    <s v="Infiltración auricular"/>
    <x v="114"/>
    <m/>
    <m/>
    <m/>
  </r>
  <r>
    <s v="Adulto"/>
    <s v="Sempere"/>
    <s v="Torres"/>
    <s v="Gloria"/>
    <n v="2856992"/>
    <d v="2021-07-13T00:00:00"/>
    <n v="3.0899999999999999E-3"/>
    <m/>
    <m/>
    <m/>
    <m/>
    <m/>
    <m/>
    <m/>
    <m/>
    <m/>
    <m/>
    <x v="128"/>
    <m/>
    <s v="Colocación del catéter venoso central con tracto subcutáneo"/>
    <x v="114"/>
    <m/>
    <m/>
    <m/>
  </r>
  <r>
    <s v="Adulto"/>
    <s v="Clemente"/>
    <s v="Díaz"/>
    <s v="José"/>
    <n v="3175410"/>
    <d v="2021-07-12T00:00:00"/>
    <n v="1.8580000000000001"/>
    <m/>
    <m/>
    <m/>
    <m/>
    <m/>
    <m/>
    <m/>
    <m/>
    <m/>
    <m/>
    <x v="129"/>
    <m/>
    <s v="Quimioembolización hepática. Procedimiento básico"/>
    <x v="114"/>
    <m/>
    <m/>
    <m/>
  </r>
  <r>
    <s v="Adulto"/>
    <s v="Suárez"/>
    <s v="Rosa, de la"/>
    <s v="Raul"/>
    <n v="576611"/>
    <d v="2021-07-12T00:00:00"/>
    <n v="0.154"/>
    <m/>
    <m/>
    <m/>
    <m/>
    <m/>
    <m/>
    <m/>
    <m/>
    <m/>
    <m/>
    <x v="130"/>
    <m/>
    <s v="Extracción filtro de cava"/>
    <x v="114"/>
    <m/>
    <m/>
    <m/>
  </r>
  <r>
    <s v="Adulto"/>
    <s v="Soriano"/>
    <s v="López"/>
    <s v="Manuel Fernando"/>
    <n v="2407392"/>
    <d v="2021-07-12T00:00:00"/>
    <n v="1.073E-2"/>
    <m/>
    <m/>
    <m/>
    <m/>
    <m/>
    <m/>
    <m/>
    <m/>
    <m/>
    <m/>
    <x v="131"/>
    <m/>
    <s v="Colocación del catéter venoso central con tracto subcutáneo"/>
    <x v="114"/>
    <m/>
    <m/>
    <m/>
  </r>
  <r>
    <s v="Adulto"/>
    <s v="Sempere"/>
    <s v="Torres"/>
    <s v="Gloria"/>
    <n v="2856992"/>
    <d v="2021-07-12T00:00:00"/>
    <n v="4.9500000000000004E-3"/>
    <m/>
    <m/>
    <m/>
    <m/>
    <m/>
    <m/>
    <m/>
    <m/>
    <m/>
    <m/>
    <x v="128"/>
    <m/>
    <s v="Colocación del catéter venoso central con tracto subcutáneo"/>
    <x v="114"/>
    <m/>
    <m/>
    <m/>
  </r>
  <r>
    <s v="Adulto"/>
    <s v="López"/>
    <s v="Cabello"/>
    <s v="José Roberto"/>
    <n v="4255760"/>
    <d v="2021-07-11T00:00:00"/>
    <n v="0.82599999999999996"/>
    <m/>
    <m/>
    <m/>
    <m/>
    <m/>
    <m/>
    <m/>
    <m/>
    <m/>
    <m/>
    <x v="132"/>
    <m/>
    <s v="Embolización de hemorragia digestiva baja"/>
    <x v="114"/>
    <m/>
    <m/>
    <m/>
  </r>
  <r>
    <s v="Adulto"/>
    <s v="Juárez"/>
    <s v="Martínez"/>
    <s v="José"/>
    <n v="3730388"/>
    <d v="2021-07-09T00:00:00"/>
    <n v="1.3109999999999999"/>
    <m/>
    <m/>
    <m/>
    <m/>
    <m/>
    <m/>
    <m/>
    <m/>
    <m/>
    <m/>
    <x v="133"/>
    <m/>
    <s v="Embolización pulmonar: Procedimiento básico"/>
    <x v="114"/>
    <m/>
    <m/>
    <m/>
  </r>
  <r>
    <s v="Adulto"/>
    <s v="Giner"/>
    <s v="Ortega"/>
    <s v="Francisca"/>
    <n v="2932156"/>
    <d v="2021-07-09T00:00:00"/>
    <n v="0.56499999999999995"/>
    <s v="abdomen"/>
    <m/>
    <m/>
    <m/>
    <m/>
    <m/>
    <m/>
    <m/>
    <m/>
    <m/>
    <x v="87"/>
    <s v="Si"/>
    <s v="Quimioembolización hepática. Procedimiento básico"/>
    <x v="89"/>
    <m/>
    <m/>
    <s v="Vascular"/>
  </r>
  <r>
    <s v="Adulto"/>
    <s v="Figuerola"/>
    <s v="Ferrer"/>
    <s v="Mª José"/>
    <n v="2413881"/>
    <d v="2021-07-09T00:00:00"/>
    <n v="0.1578"/>
    <m/>
    <m/>
    <m/>
    <m/>
    <m/>
    <m/>
    <m/>
    <m/>
    <m/>
    <m/>
    <x v="134"/>
    <m/>
    <s v="Embolización en otros territorios venosos"/>
    <x v="114"/>
    <m/>
    <m/>
    <m/>
  </r>
  <r>
    <s v="Adulto"/>
    <s v="Riera"/>
    <s v="Gonzalez"/>
    <s v="Vicente"/>
    <n v="2968897"/>
    <d v="2021-07-09T00:00:00"/>
    <n v="0.02"/>
    <m/>
    <m/>
    <m/>
    <m/>
    <m/>
    <m/>
    <m/>
    <m/>
    <m/>
    <m/>
    <x v="135"/>
    <m/>
    <s v="Colocación del catéter venoso central con reservorio subcutáneo"/>
    <x v="114"/>
    <m/>
    <m/>
    <m/>
  </r>
  <r>
    <s v="Adulto"/>
    <s v="Molina"/>
    <s v="Gil"/>
    <s v="Francisco Javier"/>
    <n v="1979326"/>
    <d v="2021-07-09T00:00:00"/>
    <n v="5.2599999999999999E-3"/>
    <m/>
    <m/>
    <m/>
    <m/>
    <m/>
    <m/>
    <m/>
    <m/>
    <m/>
    <m/>
    <x v="136"/>
    <m/>
    <s v="Control catéter drenaje"/>
    <x v="114"/>
    <m/>
    <m/>
    <m/>
  </r>
  <r>
    <s v="Adulto"/>
    <s v="Abrego"/>
    <s v="Brito"/>
    <s v="Ana"/>
    <n v="4968541"/>
    <d v="2021-07-09T00:00:00"/>
    <n v="1.57E-3"/>
    <m/>
    <m/>
    <m/>
    <m/>
    <m/>
    <m/>
    <m/>
    <m/>
    <m/>
    <m/>
    <x v="137"/>
    <m/>
    <s v="Control catéter drenaje"/>
    <x v="114"/>
    <m/>
    <m/>
    <m/>
  </r>
  <r>
    <s v="Adulto"/>
    <s v="Clemente"/>
    <s v="Díaz"/>
    <s v="José"/>
    <n v="3175410"/>
    <d v="2021-07-08T00:00:00"/>
    <n v="0.95399999999999996"/>
    <m/>
    <m/>
    <m/>
    <m/>
    <m/>
    <m/>
    <m/>
    <m/>
    <m/>
    <m/>
    <x v="129"/>
    <m/>
    <s v="Quimioembolización hepática. Procedimiento básico"/>
    <x v="114"/>
    <m/>
    <m/>
    <m/>
  </r>
  <r>
    <s v="Adulto"/>
    <s v="Abad"/>
    <s v="Mateos"/>
    <s v="Lázaro"/>
    <n v="4358774"/>
    <d v="2021-07-08T00:00:00"/>
    <n v="0.63500000000000001"/>
    <m/>
    <m/>
    <m/>
    <m/>
    <m/>
    <m/>
    <m/>
    <m/>
    <m/>
    <m/>
    <x v="138"/>
    <m/>
    <s v="Embolización bronquial. Procedimiento básico"/>
    <x v="114"/>
    <m/>
    <m/>
    <m/>
  </r>
  <r>
    <s v="Adulto"/>
    <s v="Soria"/>
    <s v="Gallego"/>
    <s v="Azucena"/>
    <n v="3778362"/>
    <d v="2021-07-08T00:00:00"/>
    <n v="4.5999999999999999E-2"/>
    <m/>
    <m/>
    <m/>
    <m/>
    <m/>
    <m/>
    <m/>
    <m/>
    <m/>
    <m/>
    <x v="120"/>
    <m/>
    <s v="Control catéter drenaje"/>
    <x v="114"/>
    <m/>
    <m/>
    <m/>
  </r>
  <r>
    <s v="Adulto"/>
    <s v="Martínez"/>
    <s v="Jiménez"/>
    <s v="Esteban"/>
    <n v="2335001"/>
    <d v="2021-07-07T00:00:00"/>
    <n v="9.1590000000000005E-2"/>
    <m/>
    <m/>
    <m/>
    <m/>
    <m/>
    <m/>
    <m/>
    <m/>
    <m/>
    <m/>
    <x v="139"/>
    <m/>
    <s v="Toma de presiones: Manometría venosa"/>
    <x v="114"/>
    <m/>
    <m/>
    <m/>
  </r>
  <r>
    <s v="Adulto"/>
    <s v="Stoykov"/>
    <m/>
    <s v="Viktor Stoynev"/>
    <n v="7133238"/>
    <d v="2021-07-07T00:00:00"/>
    <n v="7.4999999999999997E-2"/>
    <m/>
    <m/>
    <m/>
    <m/>
    <m/>
    <m/>
    <m/>
    <m/>
    <m/>
    <m/>
    <x v="140"/>
    <m/>
    <s v="Tratamiento estenosis oclusiva sector femoral pop"/>
    <x v="114"/>
    <m/>
    <m/>
    <m/>
  </r>
  <r>
    <s v="Adulto"/>
    <s v="Torres"/>
    <s v="López"/>
    <s v="Magdalena"/>
    <n v="2922695"/>
    <d v="2021-07-07T00:00:00"/>
    <n v="5.9199999999999999E-3"/>
    <m/>
    <m/>
    <m/>
    <m/>
    <m/>
    <m/>
    <m/>
    <m/>
    <m/>
    <m/>
    <x v="109"/>
    <m/>
    <s v="Control catéter drenaje"/>
    <x v="114"/>
    <m/>
    <m/>
    <m/>
  </r>
  <r>
    <s v="Adulto"/>
    <s v="Dorado"/>
    <s v="Cuevas"/>
    <s v="Manuel"/>
    <n v="3385524"/>
    <d v="2021-07-07T00:00:00"/>
    <n v="5.2100000000000002E-3"/>
    <m/>
    <m/>
    <m/>
    <m/>
    <m/>
    <m/>
    <m/>
    <m/>
    <m/>
    <m/>
    <x v="141"/>
    <m/>
    <s v="Control catéter drenaje"/>
    <x v="114"/>
    <m/>
    <m/>
    <m/>
  </r>
  <r>
    <s v="Adulto"/>
    <s v="Sanmartín"/>
    <s v="Ruiz"/>
    <s v="Vicente"/>
    <n v="3615004"/>
    <d v="2021-07-06T00:00:00"/>
    <n v="0.44900000000000001"/>
    <m/>
    <m/>
    <m/>
    <m/>
    <m/>
    <m/>
    <m/>
    <m/>
    <m/>
    <m/>
    <x v="142"/>
    <m/>
    <s v="Toma de presiones: Manometría venosa"/>
    <x v="114"/>
    <m/>
    <m/>
    <m/>
  </r>
  <r>
    <s v="Adulto"/>
    <s v="Drago"/>
    <s v="Benot"/>
    <s v="David"/>
    <n v="4474563"/>
    <d v="2021-07-06T00:00:00"/>
    <n v="0.36975000000000002"/>
    <m/>
    <m/>
    <m/>
    <m/>
    <m/>
    <m/>
    <m/>
    <m/>
    <m/>
    <m/>
    <x v="143"/>
    <m/>
    <s v="Arteriografía renal"/>
    <x v="114"/>
    <m/>
    <m/>
    <m/>
  </r>
  <r>
    <s v="Adulto"/>
    <s v="Amber"/>
    <s v="Martinez"/>
    <s v="Josefina"/>
    <n v="1777454"/>
    <d v="2021-07-06T00:00:00"/>
    <n v="4.9000000000000002E-2"/>
    <m/>
    <m/>
    <m/>
    <m/>
    <m/>
    <m/>
    <m/>
    <m/>
    <m/>
    <m/>
    <x v="86"/>
    <m/>
    <s v="Colangiografía percutánea"/>
    <x v="114"/>
    <m/>
    <m/>
    <m/>
  </r>
  <r>
    <s v="Adulto"/>
    <s v="Gabaldón"/>
    <s v="Álvarez"/>
    <s v="Rosa María"/>
    <n v="2424312"/>
    <d v="2021-07-06T00:00:00"/>
    <n v="1.2840000000000001E-2"/>
    <m/>
    <m/>
    <m/>
    <m/>
    <m/>
    <m/>
    <m/>
    <m/>
    <m/>
    <m/>
    <x v="144"/>
    <m/>
    <s v="Tratamiendo endovascular en fístulas de hemodiálisis"/>
    <x v="114"/>
    <m/>
    <m/>
    <m/>
  </r>
  <r>
    <s v="Adulto"/>
    <s v="Palau"/>
    <s v="Subies"/>
    <s v="Juan Antonio"/>
    <n v="1764197"/>
    <d v="2021-07-06T00:00:00"/>
    <n v="6.4099999999999999E-3"/>
    <m/>
    <m/>
    <m/>
    <m/>
    <m/>
    <m/>
    <m/>
    <m/>
    <m/>
    <m/>
    <x v="145"/>
    <m/>
    <s v="Colocación del catéter venoso central con reservorio subcutáneo"/>
    <x v="114"/>
    <m/>
    <m/>
    <m/>
  </r>
  <r>
    <s v="Adulto"/>
    <s v="Ivars"/>
    <s v="Villalonga"/>
    <s v="José María"/>
    <n v="2873539"/>
    <d v="2021-07-06T00:00:00"/>
    <n v="2.5200000000000001E-3"/>
    <m/>
    <m/>
    <m/>
    <m/>
    <m/>
    <m/>
    <m/>
    <m/>
    <m/>
    <m/>
    <x v="146"/>
    <m/>
    <s v="Colocación del catéter venoso central con reservorio subcutáneo"/>
    <x v="114"/>
    <m/>
    <m/>
    <m/>
  </r>
  <r>
    <s v="Adulto"/>
    <s v="Gil"/>
    <s v="Andrés"/>
    <s v="Rafael Antonio"/>
    <n v="3563590"/>
    <d v="2021-07-05T00:00:00"/>
    <n v="0.81399999999999995"/>
    <m/>
    <m/>
    <m/>
    <m/>
    <m/>
    <m/>
    <m/>
    <m/>
    <m/>
    <m/>
    <x v="76"/>
    <m/>
    <s v="Quimioembolización hepática. Procedimiento básico"/>
    <x v="114"/>
    <m/>
    <m/>
    <m/>
  </r>
  <r>
    <s v="Adulto"/>
    <s v="Rubio"/>
    <s v="Coll"/>
    <s v="José Antonio"/>
    <n v="3600230"/>
    <d v="2021-07-05T00:00:00"/>
    <n v="0.55230000000000001"/>
    <m/>
    <m/>
    <m/>
    <m/>
    <m/>
    <m/>
    <m/>
    <m/>
    <m/>
    <m/>
    <x v="147"/>
    <m/>
    <s v="Extracción filtro de cava"/>
    <x v="114"/>
    <m/>
    <m/>
    <m/>
  </r>
  <r>
    <s v="Adulto"/>
    <s v="Abad"/>
    <s v="Mateos"/>
    <s v="Lázaro"/>
    <n v="4358774"/>
    <d v="2021-07-05T00:00:00"/>
    <n v="7.8E-2"/>
    <m/>
    <m/>
    <m/>
    <m/>
    <m/>
    <m/>
    <m/>
    <m/>
    <m/>
    <m/>
    <x v="138"/>
    <m/>
    <s v="Embolización bronquial. Procedimiento básico"/>
    <x v="114"/>
    <m/>
    <m/>
    <m/>
  </r>
  <r>
    <s v="Adulto"/>
    <s v="Valverde"/>
    <s v="Puerto"/>
    <s v="José"/>
    <n v="3760816"/>
    <d v="2021-07-05T00:00:00"/>
    <n v="5.8840000000000003E-2"/>
    <m/>
    <m/>
    <m/>
    <m/>
    <m/>
    <m/>
    <m/>
    <m/>
    <m/>
    <m/>
    <x v="148"/>
    <m/>
    <s v="Drenaje percutáneo de abscesos y colecciones"/>
    <x v="114"/>
    <m/>
    <m/>
    <m/>
  </r>
  <r>
    <s v="Adulto"/>
    <s v="Sendra"/>
    <s v="Fillol"/>
    <s v="Pilar"/>
    <n v="3375940"/>
    <d v="2021-07-05T00:00:00"/>
    <n v="2.4299999999999999E-3"/>
    <m/>
    <m/>
    <m/>
    <m/>
    <m/>
    <m/>
    <m/>
    <m/>
    <m/>
    <m/>
    <x v="149"/>
    <m/>
    <s v="Colocación cateter central con tracto subcutáneo"/>
    <x v="114"/>
    <m/>
    <m/>
    <m/>
  </r>
  <r>
    <s v="Adulto"/>
    <s v="Mateos"/>
    <s v="Gómez"/>
    <s v="Francisco"/>
    <n v="3790078"/>
    <d v="2021-07-05T00:00:00"/>
    <n v="4.0000000000000002E-4"/>
    <m/>
    <m/>
    <m/>
    <m/>
    <m/>
    <m/>
    <m/>
    <m/>
    <m/>
    <m/>
    <x v="45"/>
    <m/>
    <s v="Colocación del catéter venoso central con reservorio subcutáneo"/>
    <x v="114"/>
    <m/>
    <m/>
    <m/>
  </r>
  <r>
    <s v="Adulto"/>
    <s v="Ruiz"/>
    <s v="Barrachina"/>
    <s v="Amparo"/>
    <n v="4228641"/>
    <d v="2021-07-04T00:00:00"/>
    <n v="0.59650000000000003"/>
    <m/>
    <m/>
    <m/>
    <m/>
    <m/>
    <m/>
    <m/>
    <m/>
    <m/>
    <m/>
    <x v="103"/>
    <m/>
    <s v="Embolización otras hemorragias. Procedimiento básico"/>
    <x v="114"/>
    <m/>
    <m/>
    <m/>
  </r>
  <r>
    <s v="Adulto"/>
    <s v="Hernández"/>
    <s v="López"/>
    <s v="Vicente Rafael"/>
    <n v="2298109"/>
    <d v="2021-07-02T00:00:00"/>
    <n v="3.4460000000000002"/>
    <m/>
    <m/>
    <m/>
    <m/>
    <m/>
    <m/>
    <m/>
    <m/>
    <m/>
    <m/>
    <x v="150"/>
    <m/>
    <s v="Cateterismo cardíaco"/>
    <x v="115"/>
    <n v="7"/>
    <n v="2021"/>
    <m/>
  </r>
  <r>
    <s v="Adulto"/>
    <s v="Lluesma"/>
    <s v="Garcia"/>
    <s v="Florencio"/>
    <n v="2237430"/>
    <d v="2021-07-01T00:00:00"/>
    <n v="0.82099999999999995"/>
    <m/>
    <m/>
    <m/>
    <m/>
    <m/>
    <m/>
    <m/>
    <m/>
    <m/>
    <m/>
    <x v="151"/>
    <m/>
    <s v="Ablación tumoral"/>
    <x v="116"/>
    <n v="7"/>
    <n v="2021"/>
    <m/>
  </r>
  <r>
    <s v="Adulto"/>
    <s v="Fernandez"/>
    <s v="Bautista"/>
    <s v="Andres"/>
    <n v="1169290"/>
    <d v="2021-07-01T00:00:00"/>
    <n v="0.81899999999999995"/>
    <m/>
    <m/>
    <m/>
    <m/>
    <m/>
    <m/>
    <m/>
    <m/>
    <m/>
    <m/>
    <x v="152"/>
    <m/>
    <s v="Embolización hepática: Procedimiento básico"/>
    <x v="117"/>
    <n v="7"/>
    <n v="2021"/>
    <m/>
  </r>
  <r>
    <s v="Adulto"/>
    <s v="Mateo"/>
    <s v="Velazquez"/>
    <s v="Jose"/>
    <n v="3032297"/>
    <d v="2021-07-01T00:00:00"/>
    <n v="0.26100000000000001"/>
    <m/>
    <m/>
    <m/>
    <m/>
    <m/>
    <m/>
    <m/>
    <m/>
    <m/>
    <m/>
    <x v="153"/>
    <m/>
    <s v="Ablación tumoral"/>
    <x v="118"/>
    <n v="7"/>
    <n v="2021"/>
    <m/>
  </r>
  <r>
    <s v="Adulto"/>
    <s v="Zacares"/>
    <s v="Real"/>
    <s v="Mª Amparo"/>
    <n v="3079957"/>
    <d v="2021-06-30T00:00:00"/>
    <n v="23.46"/>
    <m/>
    <m/>
    <m/>
    <m/>
    <m/>
    <m/>
    <m/>
    <m/>
    <m/>
    <m/>
    <x v="154"/>
    <m/>
    <s v="Infiltración auricular"/>
    <x v="119"/>
    <n v="6"/>
    <n v="2021"/>
    <m/>
  </r>
  <r>
    <s v="Adulto"/>
    <s v="Lozano"/>
    <s v="Ruiz"/>
    <s v="Miguel Ángel"/>
    <n v="4719539"/>
    <d v="2021-06-30T00:00:00"/>
    <n v="0.35299999999999998"/>
    <m/>
    <m/>
    <m/>
    <m/>
    <m/>
    <m/>
    <m/>
    <m/>
    <m/>
    <m/>
    <x v="155"/>
    <m/>
    <s v="Tratamiento endovascular de aneurisma de aorta abdominal"/>
    <x v="120"/>
    <n v="6"/>
    <n v="2021"/>
    <m/>
  </r>
  <r>
    <s v="Adulto"/>
    <s v="San Esteban"/>
    <s v="Perez"/>
    <s v="Fernando"/>
    <n v="5087098"/>
    <d v="2021-06-30T00:00:00"/>
    <n v="9.2999999999999999E-2"/>
    <m/>
    <m/>
    <m/>
    <m/>
    <m/>
    <m/>
    <m/>
    <m/>
    <m/>
    <m/>
    <x v="156"/>
    <m/>
    <s v="Toma de presiones: Manometría venosa"/>
    <x v="121"/>
    <n v="6"/>
    <n v="2021"/>
    <m/>
  </r>
  <r>
    <s v="Adulto"/>
    <s v="Amber"/>
    <s v="Martinez"/>
    <s v="Josefina"/>
    <n v="1777454"/>
    <d v="2021-06-30T00:00:00"/>
    <n v="9.0399999999999994E-2"/>
    <m/>
    <m/>
    <m/>
    <m/>
    <m/>
    <m/>
    <m/>
    <m/>
    <m/>
    <m/>
    <x v="86"/>
    <m/>
    <s v="Control catéter drenaje"/>
    <x v="114"/>
    <m/>
    <m/>
    <m/>
  </r>
  <r>
    <s v="Adulto"/>
    <s v="Costa"/>
    <s v="Blanch"/>
    <s v="Francisco Antonio"/>
    <n v="1987904"/>
    <d v="2021-06-30T00:00:00"/>
    <n v="3.16E-3"/>
    <m/>
    <m/>
    <m/>
    <m/>
    <m/>
    <m/>
    <m/>
    <m/>
    <m/>
    <m/>
    <x v="157"/>
    <m/>
    <s v="Colocación del catéter venoso central con reservorio subcutáneo"/>
    <x v="122"/>
    <n v="6"/>
    <n v="2021"/>
    <m/>
  </r>
  <r>
    <s v="Adulto"/>
    <s v="Parrizas"/>
    <s v="Collado"/>
    <s v="José Manuel"/>
    <n v="2941137"/>
    <d v="2021-06-29T00:00:00"/>
    <n v="0.4723"/>
    <m/>
    <m/>
    <m/>
    <m/>
    <m/>
    <m/>
    <m/>
    <m/>
    <m/>
    <m/>
    <x v="158"/>
    <m/>
    <s v="Dilatación vía biliar"/>
    <x v="123"/>
    <n v="6"/>
    <n v="2021"/>
    <m/>
  </r>
  <r>
    <s v="Adulto"/>
    <s v="Miranda"/>
    <s v="Castro"/>
    <s v="Andres Mauricio"/>
    <n v="7098294"/>
    <d v="2021-06-29T00:00:00"/>
    <n v="6.3399999999999998E-2"/>
    <m/>
    <m/>
    <m/>
    <m/>
    <m/>
    <m/>
    <m/>
    <m/>
    <m/>
    <m/>
    <x v="159"/>
    <m/>
    <s v="Tratamiento endovascular de fístulas de hemodiálisis"/>
    <x v="124"/>
    <n v="6"/>
    <n v="2021"/>
    <m/>
  </r>
  <r>
    <s v="Adulto"/>
    <s v="Pinter"/>
    <s v="Pla"/>
    <s v="Victoria"/>
    <n v="3099120"/>
    <d v="2021-06-29T00:00:00"/>
    <n v="8.6800000000000002E-3"/>
    <m/>
    <m/>
    <m/>
    <m/>
    <m/>
    <m/>
    <m/>
    <m/>
    <m/>
    <m/>
    <x v="160"/>
    <m/>
    <s v="Control catéter drenaje"/>
    <x v="125"/>
    <n v="6"/>
    <n v="2021"/>
    <m/>
  </r>
  <r>
    <s v="Adulto"/>
    <s v="Zacares"/>
    <s v="Real"/>
    <s v="Mª Amparo"/>
    <n v="3079957"/>
    <d v="2021-06-28T00:00:00"/>
    <n v="48.71"/>
    <m/>
    <m/>
    <m/>
    <m/>
    <m/>
    <m/>
    <m/>
    <m/>
    <m/>
    <m/>
    <x v="154"/>
    <m/>
    <s v="Infiltración auricular"/>
    <x v="119"/>
    <n v="6"/>
    <n v="2021"/>
    <m/>
  </r>
  <r>
    <s v="Adulto"/>
    <s v="Ruiz"/>
    <s v="Villar"/>
    <s v="Antonio"/>
    <n v="1747027"/>
    <d v="2021-06-28T00:00:00"/>
    <n v="0.66522999999999999"/>
    <m/>
    <m/>
    <m/>
    <m/>
    <m/>
    <m/>
    <m/>
    <m/>
    <m/>
    <m/>
    <x v="161"/>
    <m/>
    <s v="Arteriografía renal"/>
    <x v="126"/>
    <n v="6"/>
    <n v="2021"/>
    <m/>
  </r>
  <r>
    <s v="Adulto"/>
    <s v="Fernández"/>
    <s v="Montalva"/>
    <s v="Carlos"/>
    <n v="321938"/>
    <d v="2021-06-28T00:00:00"/>
    <n v="0.29959999999999998"/>
    <m/>
    <m/>
    <m/>
    <m/>
    <m/>
    <m/>
    <m/>
    <m/>
    <m/>
    <m/>
    <x v="162"/>
    <m/>
    <s v="Embolización hepática: Procedimiento básico"/>
    <x v="114"/>
    <m/>
    <m/>
    <m/>
  </r>
  <r>
    <s v="Adulto"/>
    <s v="Martí"/>
    <s v="Ros"/>
    <s v="Amparo"/>
    <n v="4729042"/>
    <d v="2021-06-28T00:00:00"/>
    <n v="0.13600000000000001"/>
    <m/>
    <m/>
    <m/>
    <m/>
    <m/>
    <m/>
    <m/>
    <m/>
    <m/>
    <m/>
    <x v="163"/>
    <m/>
    <s v="Tratamiento de lesiones vertebrales. Verteoplastia simple"/>
    <x v="127"/>
    <n v="6"/>
    <n v="2021"/>
    <m/>
  </r>
  <r>
    <s v="Adulto"/>
    <s v="Gonzalez"/>
    <s v="Romero"/>
    <s v="Antonio"/>
    <n v="2187892"/>
    <d v="2021-06-28T00:00:00"/>
    <n v="3.5000000000000003E-2"/>
    <m/>
    <m/>
    <m/>
    <m/>
    <m/>
    <m/>
    <m/>
    <m/>
    <m/>
    <m/>
    <x v="164"/>
    <m/>
    <s v="Arteriografía de miembros inferiores"/>
    <x v="128"/>
    <n v="6"/>
    <n v="2021"/>
    <m/>
  </r>
  <r>
    <s v="Adulto"/>
    <s v="Quitian"/>
    <s v="Blanco"/>
    <s v="Luisa"/>
    <n v="2870387"/>
    <d v="2021-06-23T00:00:00"/>
    <n v="0.93200000000000005"/>
    <m/>
    <m/>
    <m/>
    <m/>
    <m/>
    <m/>
    <m/>
    <m/>
    <m/>
    <m/>
    <x v="165"/>
    <m/>
    <s v="Tratamiento intraarterial ictus isquémico"/>
    <x v="114"/>
    <m/>
    <m/>
    <m/>
  </r>
  <r>
    <s v="Adulto"/>
    <s v="Ibáñez"/>
    <s v="Cortés"/>
    <s v="Mª Ángeles"/>
    <n v="2363476"/>
    <d v="2021-06-23T00:00:00"/>
    <n v="0.22700000000000001"/>
    <m/>
    <m/>
    <m/>
    <m/>
    <m/>
    <m/>
    <m/>
    <m/>
    <m/>
    <m/>
    <x v="166"/>
    <m/>
    <s v="Shunt portocava percutáneo TIPS. Procedimiento básico"/>
    <x v="114"/>
    <m/>
    <m/>
    <m/>
  </r>
  <r>
    <s v="Adulto"/>
    <s v="Bosch"/>
    <s v="Fornás"/>
    <s v="Eduardo José"/>
    <n v="2531319"/>
    <d v="2021-06-23T00:00:00"/>
    <n v="0.125"/>
    <m/>
    <m/>
    <m/>
    <m/>
    <m/>
    <m/>
    <m/>
    <m/>
    <m/>
    <m/>
    <x v="167"/>
    <m/>
    <s v="Drenaje biliar percutáneo interno externo"/>
    <x v="114"/>
    <m/>
    <m/>
    <m/>
  </r>
  <r>
    <s v="Adulto"/>
    <s v="Marco"/>
    <s v="Garcia"/>
    <s v="Jose Manuel"/>
    <n v="2932035"/>
    <d v="2021-06-23T00:00:00"/>
    <n v="2.0449999999999999E-2"/>
    <m/>
    <m/>
    <m/>
    <m/>
    <m/>
    <m/>
    <m/>
    <m/>
    <m/>
    <m/>
    <x v="168"/>
    <m/>
    <s v="Drenaje biliar percutáneo con implante de stent"/>
    <x v="114"/>
    <m/>
    <m/>
    <m/>
  </r>
  <r>
    <s v="Pediátrico"/>
    <s v="Lisarde"/>
    <s v="Valles"/>
    <s v="Nahia"/>
    <n v="6705671"/>
    <d v="2021-06-22T00:00:00"/>
    <n v="5.0970000000000004"/>
    <m/>
    <m/>
    <m/>
    <m/>
    <m/>
    <m/>
    <m/>
    <m/>
    <m/>
    <m/>
    <x v="169"/>
    <m/>
    <s v="Cateterismo cardíaco pediátrico"/>
    <x v="114"/>
    <m/>
    <m/>
    <m/>
  </r>
  <r>
    <s v="Adulto"/>
    <s v="Baeza"/>
    <s v="Saiz"/>
    <s v="Victor Manuel"/>
    <n v="2383416"/>
    <d v="2021-06-22T00:00:00"/>
    <n v="0.40300000000000002"/>
    <m/>
    <m/>
    <m/>
    <m/>
    <m/>
    <m/>
    <m/>
    <m/>
    <m/>
    <m/>
    <x v="170"/>
    <m/>
    <s v="Embolización grandes vasos. Procedimiento básico"/>
    <x v="114"/>
    <m/>
    <m/>
    <m/>
  </r>
  <r>
    <s v="Adulto"/>
    <s v="Veliz"/>
    <s v="Cadena"/>
    <s v="Marlon Omar"/>
    <n v="4976109"/>
    <d v="2021-06-22T00:00:00"/>
    <n v="9.6000000000000002E-2"/>
    <m/>
    <m/>
    <m/>
    <m/>
    <m/>
    <m/>
    <m/>
    <m/>
    <m/>
    <m/>
    <x v="171"/>
    <m/>
    <s v="Otro intervencionismo diagnóstico de abdomen"/>
    <x v="129"/>
    <n v="6"/>
    <n v="2021"/>
    <m/>
  </r>
  <r>
    <s v="Adulto"/>
    <s v="Soria"/>
    <s v="Gallego"/>
    <s v="Azucena"/>
    <n v="3778362"/>
    <d v="2021-06-22T00:00:00"/>
    <n v="7.6999999999999999E-2"/>
    <m/>
    <m/>
    <m/>
    <m/>
    <m/>
    <m/>
    <m/>
    <m/>
    <m/>
    <m/>
    <x v="120"/>
    <m/>
    <s v="Drenaje biliar percutáneo interno externo"/>
    <x v="114"/>
    <n v="6"/>
    <n v="2021"/>
    <m/>
  </r>
  <r>
    <s v="Adulto"/>
    <s v="Amber"/>
    <s v="Martinez"/>
    <s v="Josefina"/>
    <n v="1777454"/>
    <d v="2021-06-22T00:00:00"/>
    <n v="4.3999999999999997E-2"/>
    <m/>
    <m/>
    <m/>
    <m/>
    <m/>
    <m/>
    <m/>
    <m/>
    <m/>
    <m/>
    <x v="86"/>
    <m/>
    <s v="Dilatación vía biliar"/>
    <x v="114"/>
    <m/>
    <m/>
    <m/>
  </r>
  <r>
    <s v="Adulto"/>
    <s v="Delgado"/>
    <s v="Jiménez"/>
    <s v="Javier"/>
    <n v="11132642"/>
    <d v="2021-06-21T00:00:00"/>
    <n v="0.53400000000000003"/>
    <m/>
    <m/>
    <m/>
    <m/>
    <m/>
    <m/>
    <m/>
    <m/>
    <m/>
    <m/>
    <x v="172"/>
    <m/>
    <s v="Quimioembolización hepática. Procedimiento básico"/>
    <x v="114"/>
    <m/>
    <m/>
    <m/>
  </r>
  <r>
    <s v="Adulto"/>
    <s v="Castillero"/>
    <s v="Ángel"/>
    <s v="Jacinto"/>
    <n v="2960626"/>
    <d v="2021-06-21T00:00:00"/>
    <n v="0.38"/>
    <m/>
    <m/>
    <m/>
    <m/>
    <m/>
    <m/>
    <m/>
    <m/>
    <m/>
    <m/>
    <x v="173"/>
    <m/>
    <s v="Embolización en tumores. Procedimiento básico"/>
    <x v="114"/>
    <m/>
    <m/>
    <m/>
  </r>
  <r>
    <s v="Adulto"/>
    <s v="Lozano"/>
    <s v="Ramos"/>
    <s v="Miguel Ángel"/>
    <n v="3824620"/>
    <d v="2021-06-21T00:00:00"/>
    <n v="0.29499999999999998"/>
    <m/>
    <m/>
    <m/>
    <m/>
    <m/>
    <m/>
    <m/>
    <m/>
    <m/>
    <m/>
    <x v="174"/>
    <m/>
    <s v="Embolización grandes vasos. Procedimiento básico"/>
    <x v="114"/>
    <m/>
    <m/>
    <m/>
  </r>
  <r>
    <s v="Adulto"/>
    <s v="Cano"/>
    <s v="Castro"/>
    <s v="Jorge Arturo"/>
    <n v="2955837"/>
    <d v="2021-06-21T00:00:00"/>
    <n v="8.9999999999999993E-3"/>
    <m/>
    <m/>
    <m/>
    <m/>
    <m/>
    <m/>
    <m/>
    <m/>
    <m/>
    <m/>
    <x v="175"/>
    <m/>
    <s v="Otras arteriografías"/>
    <x v="114"/>
    <m/>
    <m/>
    <m/>
  </r>
  <r>
    <s v="Adulto"/>
    <s v="Duro"/>
    <s v="Lázaro"/>
    <s v="Silvia"/>
    <n v="2629910"/>
    <d v="2021-06-20T00:00:00"/>
    <n v="0.46700000000000003"/>
    <m/>
    <m/>
    <m/>
    <m/>
    <m/>
    <m/>
    <m/>
    <m/>
    <m/>
    <m/>
    <x v="176"/>
    <m/>
    <s v="Embolización otras hemorragias. Procedimiento básico"/>
    <x v="114"/>
    <m/>
    <m/>
    <m/>
  </r>
  <r>
    <s v="Adulto"/>
    <s v="Nieto-Guerrero"/>
    <s v="Ponce"/>
    <s v="Inmaculada Concepcion"/>
    <n v="4287856"/>
    <d v="2021-06-20T00:00:00"/>
    <n v="3.2599999999999997E-2"/>
    <m/>
    <m/>
    <m/>
    <m/>
    <m/>
    <m/>
    <m/>
    <m/>
    <m/>
    <m/>
    <x v="177"/>
    <m/>
    <s v="Toma de presiones: Manometría venosa"/>
    <x v="114"/>
    <m/>
    <m/>
    <m/>
  </r>
  <r>
    <s v="Adulto"/>
    <s v="Zamora"/>
    <s v="Herraiz"/>
    <s v="Primitivo"/>
    <n v="3266794"/>
    <d v="2021-06-18T00:00:00"/>
    <n v="0.84399999999999997"/>
    <m/>
    <m/>
    <m/>
    <m/>
    <m/>
    <m/>
    <m/>
    <m/>
    <m/>
    <m/>
    <x v="178"/>
    <m/>
    <s v="Embolización hepática: Procedimiento básico"/>
    <x v="130"/>
    <n v="6"/>
    <n v="2021"/>
    <m/>
  </r>
  <r>
    <s v="Adulto"/>
    <s v="Espinos"/>
    <s v="Canos"/>
    <s v="Ricardo"/>
    <n v="1807351"/>
    <d v="2021-06-18T00:00:00"/>
    <n v="0.39600000000000002"/>
    <m/>
    <m/>
    <m/>
    <m/>
    <m/>
    <m/>
    <m/>
    <m/>
    <m/>
    <m/>
    <x v="179"/>
    <m/>
    <s v="Embolización en otros territorios venosos"/>
    <x v="114"/>
    <m/>
    <m/>
    <m/>
  </r>
  <r>
    <s v="Adulto"/>
    <s v="Soria"/>
    <s v="Gallego"/>
    <s v="Azucena"/>
    <n v="3778362"/>
    <d v="2021-06-18T00:00:00"/>
    <n v="0.127"/>
    <m/>
    <m/>
    <m/>
    <m/>
    <m/>
    <m/>
    <m/>
    <m/>
    <m/>
    <m/>
    <x v="120"/>
    <m/>
    <s v="Biopsia percutánea mediante ecografía"/>
    <x v="114"/>
    <n v="6"/>
    <n v="2021"/>
    <m/>
  </r>
  <r>
    <s v="Adulto"/>
    <s v="Iranzo"/>
    <s v="Ibáñez"/>
    <s v="Francisco"/>
    <n v="4334183"/>
    <d v="2021-06-17T00:00:00"/>
    <n v="2.99"/>
    <m/>
    <m/>
    <m/>
    <m/>
    <m/>
    <m/>
    <m/>
    <m/>
    <m/>
    <m/>
    <x v="180"/>
    <m/>
    <s v="Embolización tumoral. Procedimiento básico"/>
    <x v="131"/>
    <m/>
    <m/>
    <m/>
  </r>
  <r>
    <s v="Adulto"/>
    <s v="Escudero"/>
    <s v="Montoya"/>
    <s v="Vicenta"/>
    <n v="2426762"/>
    <d v="2021-06-17T00:00:00"/>
    <n v="0.748"/>
    <m/>
    <m/>
    <m/>
    <m/>
    <m/>
    <m/>
    <m/>
    <m/>
    <m/>
    <m/>
    <x v="181"/>
    <m/>
    <s v="Tratamiento endovascular estenosis oclusiva cava superior: Procedimiento básico"/>
    <x v="114"/>
    <m/>
    <m/>
    <m/>
  </r>
  <r>
    <s v="Adulto"/>
    <s v="Paredes"/>
    <s v="García"/>
    <s v="Adelina"/>
    <n v="2653819"/>
    <d v="2021-06-17T00:00:00"/>
    <n v="0.30499999999999999"/>
    <m/>
    <m/>
    <m/>
    <m/>
    <m/>
    <m/>
    <m/>
    <m/>
    <m/>
    <m/>
    <x v="182"/>
    <m/>
    <s v="Embolización en otros territorios venosos"/>
    <x v="114"/>
    <m/>
    <m/>
    <m/>
  </r>
  <r>
    <s v="Adulto"/>
    <s v="Beltrán"/>
    <s v="Arribas"/>
    <s v="Mª Teresa"/>
    <n v="2309540"/>
    <d v="2021-06-17T00:00:00"/>
    <n v="0.182"/>
    <m/>
    <m/>
    <m/>
    <m/>
    <m/>
    <m/>
    <m/>
    <m/>
    <m/>
    <m/>
    <x v="55"/>
    <m/>
    <s v="Drenaje percutáneo de abscesos y colecciones"/>
    <x v="114"/>
    <m/>
    <m/>
    <m/>
  </r>
  <r>
    <s v="Adulto"/>
    <s v="Carmona"/>
    <s v="García"/>
    <s v="Paloma"/>
    <n v="13116229"/>
    <d v="2021-06-17T00:00:00"/>
    <n v="7.6239999999999988E-2"/>
    <m/>
    <m/>
    <m/>
    <m/>
    <m/>
    <m/>
    <m/>
    <m/>
    <m/>
    <m/>
    <x v="183"/>
    <m/>
    <s v="Otras embolizaciones. Procedimiento básico"/>
    <x v="132"/>
    <m/>
    <m/>
    <m/>
  </r>
  <r>
    <s v="Adulto"/>
    <s v="Sales"/>
    <s v="Doñate"/>
    <s v="Ángel José"/>
    <n v="1746391"/>
    <d v="2021-06-16T00:00:00"/>
    <n v="0.56999999999999995"/>
    <m/>
    <m/>
    <m/>
    <m/>
    <m/>
    <m/>
    <m/>
    <m/>
    <m/>
    <m/>
    <x v="184"/>
    <m/>
    <s v="Biopsia transyugular hepática"/>
    <x v="114"/>
    <m/>
    <m/>
    <m/>
  </r>
  <r>
    <s v="Adulto"/>
    <s v="Bosch"/>
    <s v="Fornás"/>
    <s v="Eduardo José"/>
    <n v="2531319"/>
    <d v="2021-06-16T00:00:00"/>
    <n v="0.36399999999999999"/>
    <m/>
    <m/>
    <m/>
    <m/>
    <m/>
    <m/>
    <m/>
    <m/>
    <m/>
    <m/>
    <x v="167"/>
    <m/>
    <s v="Biopsia percutánea mediante ecografía"/>
    <x v="114"/>
    <m/>
    <m/>
    <m/>
  </r>
  <r>
    <s v="Adulto"/>
    <s v="Martínez"/>
    <s v="Laserna"/>
    <s v="M Catalina"/>
    <n v="3363411"/>
    <d v="2021-06-16T00:00:00"/>
    <n v="0.123"/>
    <m/>
    <m/>
    <m/>
    <m/>
    <m/>
    <m/>
    <m/>
    <m/>
    <m/>
    <m/>
    <x v="185"/>
    <m/>
    <s v="Gastroyeyunostomía percutánea"/>
    <x v="114"/>
    <m/>
    <m/>
    <m/>
  </r>
  <r>
    <s v="Adulto"/>
    <s v="Ruiz"/>
    <s v="Garrido"/>
    <s v="Encarnación"/>
    <n v="11132037"/>
    <d v="2021-06-16T00:00:00"/>
    <n v="6.7000000000000004E-2"/>
    <m/>
    <m/>
    <m/>
    <m/>
    <m/>
    <m/>
    <m/>
    <m/>
    <m/>
    <m/>
    <x v="186"/>
    <m/>
    <s v="Control catéter drenaje"/>
    <x v="133"/>
    <m/>
    <m/>
    <m/>
  </r>
  <r>
    <s v="Adulto"/>
    <s v="Gimenez"/>
    <s v="Salazar"/>
    <s v="José"/>
    <n v="2381654"/>
    <d v="2021-06-15T00:00:00"/>
    <n v="0.88500000000000001"/>
    <m/>
    <m/>
    <m/>
    <m/>
    <m/>
    <m/>
    <m/>
    <m/>
    <m/>
    <m/>
    <x v="30"/>
    <m/>
    <s v="Quimioembolización hepática. Procedimiento básico"/>
    <x v="134"/>
    <m/>
    <m/>
    <m/>
  </r>
  <r>
    <s v="Adulto"/>
    <s v="García"/>
    <s v="Graf"/>
    <s v="Miguel"/>
    <n v="8133802"/>
    <d v="2021-06-15T00:00:00"/>
    <n v="0.60599999999999998"/>
    <m/>
    <m/>
    <m/>
    <m/>
    <m/>
    <m/>
    <m/>
    <m/>
    <m/>
    <m/>
    <x v="187"/>
    <m/>
    <s v="Tratamiento intraarterial ictus isquémico"/>
    <x v="114"/>
    <m/>
    <m/>
    <m/>
  </r>
  <r>
    <s v="Adulto"/>
    <s v="Cano"/>
    <s v="Castro"/>
    <s v="Jorge Arturo"/>
    <n v="2955837"/>
    <d v="2021-06-15T00:00:00"/>
    <n v="0.41199999999999998"/>
    <m/>
    <m/>
    <m/>
    <m/>
    <m/>
    <m/>
    <m/>
    <m/>
    <m/>
    <m/>
    <x v="175"/>
    <m/>
    <s v="Quimioembolización hepática. Procedimiento básico"/>
    <x v="114"/>
    <m/>
    <m/>
    <m/>
  </r>
  <r>
    <s v="Adulto"/>
    <s v="Ruiz"/>
    <s v="Garrido"/>
    <s v="Encarnación"/>
    <n v="11132037"/>
    <d v="2021-06-15T00:00:00"/>
    <n v="0.13"/>
    <m/>
    <m/>
    <m/>
    <m/>
    <m/>
    <m/>
    <m/>
    <m/>
    <m/>
    <m/>
    <x v="186"/>
    <m/>
    <s v="Drenaje biliar percutáneo con implante de stent"/>
    <x v="133"/>
    <m/>
    <m/>
    <m/>
  </r>
  <r>
    <s v="Adulto"/>
    <s v="Zalve"/>
    <s v="Plaza"/>
    <s v="M Imperio"/>
    <n v="2950417"/>
    <d v="2021-06-15T00:00:00"/>
    <n v="0.05"/>
    <m/>
    <m/>
    <m/>
    <m/>
    <m/>
    <m/>
    <m/>
    <m/>
    <m/>
    <m/>
    <x v="188"/>
    <m/>
    <s v="Toma de presiones: Manometría venosa"/>
    <x v="135"/>
    <n v="6"/>
    <n v="2021"/>
    <m/>
  </r>
  <r>
    <s v="Adulto"/>
    <s v="Tarrazona"/>
    <s v="Chover"/>
    <s v="Joaquín"/>
    <n v="4335475"/>
    <d v="2021-06-14T00:00:00"/>
    <n v="1.837"/>
    <m/>
    <m/>
    <m/>
    <m/>
    <m/>
    <m/>
    <m/>
    <m/>
    <m/>
    <m/>
    <x v="189"/>
    <m/>
    <s v="Quimioembolización hepática. Procedimiento básico"/>
    <x v="136"/>
    <n v="6"/>
    <n v="2021"/>
    <m/>
  </r>
  <r>
    <s v="Adulto"/>
    <s v="Ponce"/>
    <s v="Aranda"/>
    <s v="Carlos"/>
    <n v="3552115"/>
    <d v="2021-06-14T00:00:00"/>
    <n v="0.878"/>
    <m/>
    <m/>
    <m/>
    <m/>
    <m/>
    <m/>
    <m/>
    <m/>
    <m/>
    <m/>
    <x v="190"/>
    <m/>
    <s v="Quimioembolización hepática. Procedimiento básico"/>
    <x v="114"/>
    <m/>
    <m/>
    <m/>
  </r>
  <r>
    <s v="Adulto"/>
    <s v="Ortega"/>
    <s v="Mateu"/>
    <s v="Antonia"/>
    <n v="2847917"/>
    <d v="2021-06-14T00:00:00"/>
    <n v="0.105"/>
    <m/>
    <m/>
    <m/>
    <m/>
    <m/>
    <m/>
    <m/>
    <m/>
    <m/>
    <m/>
    <x v="191"/>
    <m/>
    <s v="Filtro de cava"/>
    <x v="114"/>
    <m/>
    <m/>
    <m/>
  </r>
  <r>
    <s v="Adulto"/>
    <s v="Ponce"/>
    <s v="Aranda"/>
    <s v="Carlos"/>
    <n v="3552115"/>
    <d v="2021-06-14T00:00:00"/>
    <n v="6.9000000000000006E-2"/>
    <m/>
    <m/>
    <m/>
    <m/>
    <m/>
    <m/>
    <m/>
    <m/>
    <m/>
    <m/>
    <x v="190"/>
    <m/>
    <s v="Arteriografía troncos viscerales digestivos"/>
    <x v="114"/>
    <m/>
    <m/>
    <m/>
  </r>
  <r>
    <s v="Adulto"/>
    <s v="Yahaya"/>
    <m/>
    <s v="Khairullamirin Bin"/>
    <n v="13147895"/>
    <d v="2021-06-13T00:00:00"/>
    <n v="0.121"/>
    <m/>
    <m/>
    <m/>
    <m/>
    <m/>
    <m/>
    <m/>
    <m/>
    <m/>
    <m/>
    <x v="192"/>
    <m/>
    <s v="Embolización de grandes vasos"/>
    <x v="137"/>
    <n v="6"/>
    <n v="2021"/>
    <m/>
  </r>
  <r>
    <s v="Adulto"/>
    <s v="Lopez"/>
    <s v="Navarro"/>
    <s v="Teresa"/>
    <n v="2271653"/>
    <d v="2021-06-12T00:00:00"/>
    <n v="0.92100000000000004"/>
    <m/>
    <m/>
    <m/>
    <m/>
    <m/>
    <m/>
    <m/>
    <m/>
    <m/>
    <m/>
    <x v="193"/>
    <m/>
    <s v="Embolización de grandes vasos"/>
    <x v="114"/>
    <m/>
    <m/>
    <m/>
  </r>
  <r>
    <s v="Adulto"/>
    <s v="Llombart"/>
    <s v="Bosch"/>
    <s v="Manuel"/>
    <n v="3179058"/>
    <d v="2021-06-11T00:00:00"/>
    <n v="2.6349999999999998"/>
    <m/>
    <m/>
    <m/>
    <m/>
    <m/>
    <m/>
    <m/>
    <m/>
    <m/>
    <m/>
    <x v="194"/>
    <m/>
    <s v="Cateterismo cardíaco"/>
    <x v="138"/>
    <n v="6"/>
    <m/>
    <m/>
  </r>
  <r>
    <s v="Adulto"/>
    <s v="Bellver"/>
    <s v="Bellver"/>
    <s v="Francisco"/>
    <n v="3065592"/>
    <d v="2021-06-11T00:00:00"/>
    <n v="2.2810000000000001"/>
    <m/>
    <m/>
    <m/>
    <m/>
    <m/>
    <m/>
    <m/>
    <m/>
    <m/>
    <m/>
    <x v="195"/>
    <m/>
    <s v="Cateterismo cardíaco"/>
    <x v="139"/>
    <n v="6"/>
    <m/>
    <m/>
  </r>
  <r>
    <s v="Adulto"/>
    <s v="Simo"/>
    <s v="Barrajon"/>
    <s v="Maria Virginia"/>
    <n v="2036987"/>
    <d v="2021-06-11T00:00:00"/>
    <n v="0.20300000000000001"/>
    <m/>
    <m/>
    <m/>
    <m/>
    <m/>
    <m/>
    <m/>
    <m/>
    <m/>
    <m/>
    <x v="196"/>
    <m/>
    <s v="Tratamiento endovascular estenosis oclusivas en miembros inferiores"/>
    <x v="114"/>
    <n v="6"/>
    <n v="2021"/>
    <m/>
  </r>
  <r>
    <s v="Adulto"/>
    <s v="Bellveser"/>
    <s v="Icardo"/>
    <s v="Ricardo"/>
    <n v="2867240"/>
    <d v="2021-06-11T00:00:00"/>
    <n v="4.3999999999999997E-2"/>
    <m/>
    <m/>
    <m/>
    <m/>
    <m/>
    <m/>
    <m/>
    <m/>
    <m/>
    <m/>
    <x v="197"/>
    <m/>
    <s v="Control catéter drenaje"/>
    <x v="114"/>
    <m/>
    <m/>
    <m/>
  </r>
  <r>
    <s v="Adulto"/>
    <s v="Urban"/>
    <s v="Martinez"/>
    <s v="M Ángeles"/>
    <n v="3264857"/>
    <d v="2021-06-11T00:00:00"/>
    <n v="2.8000000000000001E-2"/>
    <m/>
    <m/>
    <m/>
    <m/>
    <m/>
    <m/>
    <m/>
    <m/>
    <m/>
    <m/>
    <x v="198"/>
    <m/>
    <s v="Flebo ms"/>
    <x v="114"/>
    <n v="6"/>
    <n v="2021"/>
    <m/>
  </r>
  <r>
    <s v="Adulto"/>
    <s v="Slomik"/>
    <m/>
    <s v="Kristof"/>
    <n v="11450645"/>
    <d v="2021-06-10T00:00:00"/>
    <n v="0.92600000000000005"/>
    <m/>
    <m/>
    <m/>
    <m/>
    <m/>
    <m/>
    <m/>
    <m/>
    <m/>
    <m/>
    <x v="199"/>
    <m/>
    <s v="Embolización de hemorragia digestiva alta. Procedimiento básico"/>
    <x v="114"/>
    <n v="6"/>
    <n v="2021"/>
    <m/>
  </r>
  <r>
    <s v="Adulto"/>
    <s v="Peris"/>
    <s v="Rodríguez"/>
    <s v="José Antonio"/>
    <n v="2409387"/>
    <d v="2021-06-10T00:00:00"/>
    <n v="0.59199999999999997"/>
    <m/>
    <m/>
    <m/>
    <m/>
    <m/>
    <m/>
    <m/>
    <m/>
    <m/>
    <m/>
    <x v="200"/>
    <m/>
    <s v="Arteriografía troncos viscerales digestivos"/>
    <x v="114"/>
    <m/>
    <m/>
    <m/>
  </r>
  <r>
    <s v="Adulto"/>
    <s v="Simo"/>
    <s v="Barrajon"/>
    <s v="Maria Virginia"/>
    <n v="2036987"/>
    <d v="2021-06-10T00:00:00"/>
    <n v="0.186"/>
    <m/>
    <m/>
    <m/>
    <m/>
    <m/>
    <m/>
    <m/>
    <m/>
    <m/>
    <m/>
    <x v="196"/>
    <m/>
    <s v="Tratamiento endovascular estenosis oclusivas en miembros inferiores"/>
    <x v="114"/>
    <n v="6"/>
    <n v="2021"/>
    <m/>
  </r>
  <r>
    <s v="Adulto"/>
    <s v="San Ramón"/>
    <s v="López"/>
    <s v="Jose Raul"/>
    <n v="2036158"/>
    <d v="2021-06-10T00:00:00"/>
    <n v="5.2999999999999999E-2"/>
    <m/>
    <m/>
    <m/>
    <m/>
    <m/>
    <m/>
    <m/>
    <m/>
    <m/>
    <m/>
    <x v="201"/>
    <m/>
    <s v="Tratamiento de hernias discales por láser"/>
    <x v="114"/>
    <m/>
    <m/>
    <m/>
  </r>
  <r>
    <s v="Adulto"/>
    <s v="Carbonell"/>
    <s v="Lázaro"/>
    <s v="Felipe"/>
    <n v="210073"/>
    <d v="2021-06-10T00:00:00"/>
    <n v="4.8000000000000001E-2"/>
    <m/>
    <m/>
    <m/>
    <m/>
    <m/>
    <m/>
    <m/>
    <m/>
    <m/>
    <m/>
    <x v="202"/>
    <m/>
    <s v="Tratamiento de hernias discales por láser"/>
    <x v="114"/>
    <m/>
    <m/>
    <m/>
  </r>
  <r>
    <s v="Adulto"/>
    <s v="Alacreu"/>
    <s v="Cervera"/>
    <s v="Javier"/>
    <n v="2634637"/>
    <d v="2021-06-10T00:00:00"/>
    <n v="2.3E-2"/>
    <m/>
    <m/>
    <m/>
    <m/>
    <m/>
    <m/>
    <m/>
    <m/>
    <m/>
    <m/>
    <x v="203"/>
    <m/>
    <s v="Tratamiento de hernias discales por láser"/>
    <x v="114"/>
    <m/>
    <m/>
    <m/>
  </r>
  <r>
    <s v="Adulto"/>
    <s v="Belenguer"/>
    <s v="Díaz"/>
    <s v="Francisco"/>
    <n v="2203390"/>
    <d v="2021-06-09T00:00:00"/>
    <n v="1.03"/>
    <m/>
    <m/>
    <m/>
    <m/>
    <m/>
    <m/>
    <m/>
    <m/>
    <m/>
    <m/>
    <x v="204"/>
    <m/>
    <s v="Cateterismo cardíaco"/>
    <x v="140"/>
    <n v="6"/>
    <n v="2021"/>
    <s v="Hemodinámica"/>
  </r>
  <r>
    <s v="Adulto"/>
    <s v="Escrivá"/>
    <s v="Faus"/>
    <s v="José Ramón"/>
    <n v="242936"/>
    <d v="2021-06-09T00:00:00"/>
    <n v="1.022"/>
    <m/>
    <m/>
    <m/>
    <m/>
    <m/>
    <m/>
    <m/>
    <m/>
    <m/>
    <m/>
    <x v="205"/>
    <m/>
    <s v="Shunt portocava percutáneo TIPS. Procedimiento básico"/>
    <x v="141"/>
    <n v="6"/>
    <n v="2021"/>
    <s v="Vascular"/>
  </r>
  <r>
    <s v="Adulto"/>
    <s v="Garrido"/>
    <s v="Garrido"/>
    <s v="Vicente"/>
    <n v="1896448"/>
    <d v="2021-06-09T00:00:00"/>
    <n v="0.67900000000000005"/>
    <m/>
    <m/>
    <m/>
    <m/>
    <m/>
    <m/>
    <m/>
    <m/>
    <m/>
    <m/>
    <x v="206"/>
    <m/>
    <s v="Embolización de hemorragia digestiva baja"/>
    <x v="142"/>
    <n v="6"/>
    <n v="2021"/>
    <s v="Vascular"/>
  </r>
  <r>
    <s v="Adulto"/>
    <s v="Llombart"/>
    <s v="Bosch"/>
    <s v="Manuel"/>
    <n v="3179058"/>
    <d v="2021-06-09T00:00:00"/>
    <n v="0.377"/>
    <m/>
    <m/>
    <m/>
    <m/>
    <m/>
    <m/>
    <m/>
    <m/>
    <m/>
    <m/>
    <x v="194"/>
    <m/>
    <s v="Cateterismo cardíaco"/>
    <x v="138"/>
    <n v="6"/>
    <m/>
    <m/>
  </r>
  <r>
    <s v="Pediátrico"/>
    <s v="Marquez"/>
    <s v="Heredia"/>
    <s v="Tonet"/>
    <n v="12098521"/>
    <d v="2021-06-09T00:00:00"/>
    <n v="3.8629999999999998E-2"/>
    <m/>
    <m/>
    <m/>
    <m/>
    <m/>
    <m/>
    <m/>
    <m/>
    <m/>
    <m/>
    <x v="207"/>
    <m/>
    <s v="Angiografía cerebral completa y selectiva pediátrica"/>
    <x v="143"/>
    <n v="6"/>
    <n v="2021"/>
    <s v="Vascular"/>
  </r>
  <r>
    <s v="Adulto"/>
    <s v="Cano"/>
    <s v="Jiménez"/>
    <s v="José"/>
    <n v="1781720"/>
    <d v="2021-06-08T00:00:00"/>
    <n v="1.698"/>
    <m/>
    <m/>
    <m/>
    <m/>
    <m/>
    <m/>
    <m/>
    <m/>
    <m/>
    <m/>
    <x v="208"/>
    <m/>
    <s v="Quimioembolización hepática. Procedimiento básico"/>
    <x v="144"/>
    <n v="6"/>
    <n v="2021"/>
    <s v="Vascular"/>
  </r>
  <r>
    <s v="Adulto"/>
    <s v="Ortega"/>
    <s v="Sánchez"/>
    <s v="Juan Fran"/>
    <n v="3567377"/>
    <d v="2021-06-08T00:00:00"/>
    <n v="0.52400000000000002"/>
    <m/>
    <m/>
    <m/>
    <m/>
    <m/>
    <m/>
    <m/>
    <m/>
    <m/>
    <m/>
    <x v="209"/>
    <m/>
    <s v="Embolización esplénica. Procedimiento básico"/>
    <x v="145"/>
    <n v="6"/>
    <n v="2021"/>
    <s v="Vascular"/>
  </r>
  <r>
    <s v="Adulto"/>
    <s v="Sastre"/>
    <s v="Bay"/>
    <s v="Juan Carlos"/>
    <n v="997195"/>
    <d v="2021-06-08T00:00:00"/>
    <n v="0.33600000000000002"/>
    <m/>
    <m/>
    <m/>
    <m/>
    <m/>
    <m/>
    <m/>
    <m/>
    <m/>
    <m/>
    <x v="210"/>
    <m/>
    <s v="Otras embolizaciones. Procedimiento básico"/>
    <x v="146"/>
    <n v="6"/>
    <n v="2021"/>
    <s v="Vascular"/>
  </r>
  <r>
    <s v="Pediátrico"/>
    <s v="Gomez"/>
    <s v="Zambrana"/>
    <s v="Hugo"/>
    <n v="6670344"/>
    <d v="2021-06-08T00:00:00"/>
    <n v="0.26200000000000001"/>
    <m/>
    <m/>
    <m/>
    <m/>
    <m/>
    <m/>
    <m/>
    <m/>
    <m/>
    <m/>
    <x v="211"/>
    <m/>
    <s v="Angiografía cerebral completa y selectiva"/>
    <x v="147"/>
    <n v="6"/>
    <n v="2021"/>
    <s v="Vascular"/>
  </r>
  <r>
    <s v="Pediátrico"/>
    <s v="García"/>
    <s v="Peñalver"/>
    <s v="Jana"/>
    <n v="13074011"/>
    <d v="2021-06-08T00:00:00"/>
    <n v="3.0499999999999999E-2"/>
    <m/>
    <m/>
    <m/>
    <m/>
    <m/>
    <m/>
    <m/>
    <m/>
    <m/>
    <m/>
    <x v="212"/>
    <m/>
    <s v="Cateterismo cardíaco pediátrico"/>
    <x v="148"/>
    <n v="6"/>
    <n v="2021"/>
    <m/>
  </r>
  <r>
    <s v="Adulto"/>
    <s v="Morales"/>
    <s v="Gómez"/>
    <s v="Miguel"/>
    <n v="4435994"/>
    <d v="2021-06-07T00:00:00"/>
    <n v="5.8710000000000004"/>
    <m/>
    <m/>
    <m/>
    <m/>
    <m/>
    <m/>
    <m/>
    <m/>
    <m/>
    <m/>
    <x v="213"/>
    <m/>
    <s v="Cateterismo cardíaco"/>
    <x v="149"/>
    <n v="6"/>
    <m/>
    <s v="Hemodinámica"/>
  </r>
  <r>
    <s v="Adulto"/>
    <s v="Quesada"/>
    <s v="Ruano"/>
    <s v="Ana"/>
    <n v="2858016"/>
    <d v="2021-06-07T00:00:00"/>
    <n v="0.85099999999999998"/>
    <m/>
    <m/>
    <m/>
    <m/>
    <m/>
    <m/>
    <m/>
    <m/>
    <m/>
    <m/>
    <x v="214"/>
    <m/>
    <s v="Cateterismo cardíaco"/>
    <x v="150"/>
    <n v="6"/>
    <n v="2021"/>
    <m/>
  </r>
  <r>
    <s v="Adulto"/>
    <s v="Balaguer"/>
    <s v="Roig"/>
    <s v="Rosa María"/>
    <n v="3804137"/>
    <d v="2021-06-04T00:00:00"/>
    <n v="0.97699999999999998"/>
    <m/>
    <m/>
    <m/>
    <m/>
    <m/>
    <m/>
    <m/>
    <m/>
    <m/>
    <m/>
    <x v="215"/>
    <m/>
    <s v="Cateterismo cardíaco"/>
    <x v="151"/>
    <n v="6"/>
    <n v="2021"/>
    <m/>
  </r>
  <r>
    <s v="Adulto"/>
    <s v="Gorostola"/>
    <s v="Covelo"/>
    <s v="Miguel Ángel"/>
    <n v="5493247"/>
    <d v="2021-06-04T00:00:00"/>
    <n v="0.76300000000000001"/>
    <m/>
    <m/>
    <m/>
    <m/>
    <m/>
    <m/>
    <m/>
    <m/>
    <m/>
    <m/>
    <x v="216"/>
    <m/>
    <s v="Cateterismo cardíaco"/>
    <x v="152"/>
    <n v="6"/>
    <n v="2021"/>
    <m/>
  </r>
  <r>
    <s v="Adulto"/>
    <s v="Sánchez"/>
    <s v="Ferrer"/>
    <s v="Santiago"/>
    <n v="2818175"/>
    <d v="2021-06-04T00:00:00"/>
    <n v="0.55500000000000005"/>
    <m/>
    <m/>
    <m/>
    <m/>
    <m/>
    <m/>
    <m/>
    <m/>
    <m/>
    <m/>
    <x v="217"/>
    <m/>
    <s v="Drenaje biliar percutáneo con implante de stent"/>
    <x v="153"/>
    <n v="6"/>
    <n v="2021"/>
    <m/>
  </r>
  <r>
    <s v="Pediátrico"/>
    <s v="Corchado"/>
    <s v="Martínez"/>
    <s v="Andreu"/>
    <n v="5670105"/>
    <d v="2021-06-04T00:00:00"/>
    <n v="0.44800000000000001"/>
    <m/>
    <m/>
    <m/>
    <m/>
    <m/>
    <m/>
    <m/>
    <m/>
    <m/>
    <m/>
    <x v="218"/>
    <m/>
    <s v="Cateterismo cardíaco pediátrico"/>
    <x v="154"/>
    <n v="6"/>
    <n v="2021"/>
    <m/>
  </r>
  <r>
    <s v="Adulto"/>
    <s v="Rodilla"/>
    <s v="Sánchez"/>
    <s v="Carmen"/>
    <n v="2231754"/>
    <d v="2021-06-04T00:00:00"/>
    <n v="0.436"/>
    <m/>
    <m/>
    <m/>
    <m/>
    <m/>
    <m/>
    <m/>
    <m/>
    <m/>
    <m/>
    <x v="219"/>
    <m/>
    <s v="Cateterismo cardíaco"/>
    <x v="155"/>
    <n v="6"/>
    <n v="2021"/>
    <m/>
  </r>
  <r>
    <s v="Adulto"/>
    <s v="Ibáñez"/>
    <s v="Ibáñez"/>
    <s v="Vicente"/>
    <n v="3805063"/>
    <d v="2021-06-04T00:00:00"/>
    <n v="0.435"/>
    <m/>
    <m/>
    <m/>
    <m/>
    <m/>
    <m/>
    <m/>
    <m/>
    <m/>
    <m/>
    <x v="220"/>
    <m/>
    <s v="Cateterismo cardíaco"/>
    <x v="156"/>
    <n v="6"/>
    <n v="2021"/>
    <m/>
  </r>
  <r>
    <s v="Adulto"/>
    <s v="Zafra"/>
    <s v="Carrascosa"/>
    <s v="Josefa"/>
    <n v="2911947"/>
    <d v="2021-06-04T00:00:00"/>
    <n v="0.373"/>
    <m/>
    <m/>
    <m/>
    <m/>
    <m/>
    <m/>
    <m/>
    <m/>
    <m/>
    <m/>
    <x v="221"/>
    <m/>
    <s v="Cateterismo cardíaco"/>
    <x v="157"/>
    <n v="6"/>
    <n v="2021"/>
    <m/>
  </r>
  <r>
    <s v="Adulto"/>
    <s v="Ases"/>
    <s v="Gil"/>
    <s v="M Dolores Remedios"/>
    <n v="2691987"/>
    <d v="2021-06-04T00:00:00"/>
    <n v="0.27400000000000002"/>
    <m/>
    <m/>
    <m/>
    <m/>
    <m/>
    <m/>
    <m/>
    <m/>
    <m/>
    <m/>
    <x v="222"/>
    <m/>
    <s v="Cateterismo cardíaco"/>
    <x v="158"/>
    <n v="6"/>
    <n v="2021"/>
    <m/>
  </r>
  <r>
    <s v="Adulto"/>
    <s v="Sapiña"/>
    <s v="Fuertes"/>
    <s v="Vicente"/>
    <n v="164032"/>
    <d v="2021-06-04T00:00:00"/>
    <n v="0.23899999999999999"/>
    <m/>
    <m/>
    <m/>
    <m/>
    <m/>
    <m/>
    <m/>
    <m/>
    <m/>
    <m/>
    <x v="26"/>
    <m/>
    <s v="Tratamiento endovascular estenosis oclusivas en miembros superiores"/>
    <x v="25"/>
    <n v="6"/>
    <n v="2021"/>
    <m/>
  </r>
  <r>
    <s v="Adulto"/>
    <s v="Pardo"/>
    <s v="Bernes"/>
    <s v="Mª José"/>
    <n v="3781436"/>
    <d v="2021-06-04T00:00:00"/>
    <n v="0.191"/>
    <m/>
    <m/>
    <m/>
    <m/>
    <m/>
    <m/>
    <m/>
    <m/>
    <m/>
    <m/>
    <x v="223"/>
    <m/>
    <s v="Angiografía cerebral completa y selectiva"/>
    <x v="159"/>
    <n v="6"/>
    <n v="2021"/>
    <m/>
  </r>
  <r>
    <s v="Adulto"/>
    <s v="Jodar"/>
    <s v="Navarro"/>
    <s v="Luis"/>
    <n v="2863463"/>
    <d v="2021-06-04T00:00:00"/>
    <n v="0.19"/>
    <m/>
    <m/>
    <m/>
    <m/>
    <m/>
    <m/>
    <m/>
    <m/>
    <m/>
    <m/>
    <x v="224"/>
    <m/>
    <s v="Filtro de cava"/>
    <x v="160"/>
    <n v="6"/>
    <n v="2021"/>
    <m/>
  </r>
  <r>
    <s v="Adulto"/>
    <s v="Davalillo"/>
    <s v="Simó"/>
    <s v="Alicia"/>
    <n v="2965323"/>
    <d v="2021-06-03T00:00:00"/>
    <n v="1.0860000000000001"/>
    <m/>
    <m/>
    <m/>
    <m/>
    <m/>
    <m/>
    <m/>
    <m/>
    <m/>
    <m/>
    <x v="68"/>
    <m/>
    <s v="Embolización de aneurismas arteriales"/>
    <x v="161"/>
    <n v="6"/>
    <n v="2021"/>
    <m/>
  </r>
  <r>
    <s v="Pediátrico"/>
    <s v="Zhu"/>
    <m/>
    <s v="David Weimin"/>
    <n v="9450045"/>
    <d v="2021-06-03T00:00:00"/>
    <n v="0.90500000000000003"/>
    <m/>
    <m/>
    <m/>
    <m/>
    <m/>
    <m/>
    <m/>
    <m/>
    <m/>
    <m/>
    <x v="225"/>
    <m/>
    <s v="Cateterismo cardíaco pediátrico"/>
    <x v="162"/>
    <n v="6"/>
    <n v="2021"/>
    <m/>
  </r>
  <r>
    <s v="Adulto"/>
    <s v="Zamora"/>
    <s v="Campillo"/>
    <s v="Noelia"/>
    <n v="1094226"/>
    <d v="2021-06-03T00:00:00"/>
    <n v="0.495"/>
    <m/>
    <m/>
    <m/>
    <m/>
    <m/>
    <m/>
    <m/>
    <m/>
    <m/>
    <m/>
    <x v="226"/>
    <m/>
    <s v="Cateterismo cardíaco"/>
    <x v="163"/>
    <n v="6"/>
    <n v="2021"/>
    <m/>
  </r>
  <r>
    <s v="Adulto"/>
    <s v="Lacruz"/>
    <s v="Gómez"/>
    <s v="José"/>
    <n v="2395826"/>
    <d v="2021-06-03T00:00:00"/>
    <n v="0.251"/>
    <m/>
    <m/>
    <m/>
    <m/>
    <m/>
    <m/>
    <m/>
    <m/>
    <m/>
    <m/>
    <x v="227"/>
    <m/>
    <s v="Cateterismo cardíaco"/>
    <x v="164"/>
    <n v="6"/>
    <n v="2021"/>
    <m/>
  </r>
  <r>
    <s v="Adulto"/>
    <s v="Fernández"/>
    <s v="Ávila"/>
    <s v="Luisa"/>
    <n v="2032954"/>
    <d v="2021-06-03T00:00:00"/>
    <n v="0.20399999999999999"/>
    <m/>
    <m/>
    <m/>
    <m/>
    <m/>
    <m/>
    <m/>
    <m/>
    <m/>
    <m/>
    <x v="228"/>
    <m/>
    <s v="Otras arteriografías"/>
    <x v="165"/>
    <n v="6"/>
    <n v="2021"/>
    <m/>
  </r>
  <r>
    <s v="Adulto"/>
    <s v="Garrigues"/>
    <s v="Garrigues"/>
    <s v="Inmaculada"/>
    <n v="4724530"/>
    <d v="2021-06-03T00:00:00"/>
    <n v="0.14099999999999999"/>
    <m/>
    <m/>
    <m/>
    <m/>
    <m/>
    <m/>
    <m/>
    <m/>
    <m/>
    <m/>
    <x v="229"/>
    <m/>
    <s v="Cateterismo cardíaco"/>
    <x v="166"/>
    <n v="6"/>
    <n v="2021"/>
    <m/>
  </r>
  <r>
    <s v="Adulto"/>
    <s v="Soler"/>
    <s v="Juan"/>
    <s v="Joaquín"/>
    <n v="1900685"/>
    <d v="2021-06-02T00:00:00"/>
    <n v="1.024"/>
    <m/>
    <m/>
    <m/>
    <m/>
    <m/>
    <m/>
    <m/>
    <m/>
    <m/>
    <m/>
    <x v="230"/>
    <m/>
    <s v="Quimioembolización hepática. Procedimiento básico"/>
    <x v="114"/>
    <n v="6"/>
    <n v="2021"/>
    <m/>
  </r>
  <r>
    <s v="Adulto"/>
    <s v="Basterra"/>
    <s v="Montserrat"/>
    <s v="Samuel"/>
    <n v="4667464"/>
    <d v="2021-06-02T00:00:00"/>
    <n v="0.94399999999999995"/>
    <m/>
    <m/>
    <m/>
    <m/>
    <m/>
    <m/>
    <m/>
    <m/>
    <m/>
    <m/>
    <x v="231"/>
    <m/>
    <s v="Cateterismo cardíaco"/>
    <x v="167"/>
    <n v="6"/>
    <n v="2021"/>
    <m/>
  </r>
  <r>
    <s v="Adulto"/>
    <s v="Coll"/>
    <s v="Hilario"/>
    <s v="Maria Carmen"/>
    <n v="2275619"/>
    <d v="2021-06-02T00:00:00"/>
    <n v="0.40760000000000002"/>
    <m/>
    <m/>
    <m/>
    <m/>
    <m/>
    <m/>
    <m/>
    <m/>
    <m/>
    <m/>
    <x v="232"/>
    <m/>
    <s v="Cateterismo cardíaco"/>
    <x v="168"/>
    <n v="6"/>
    <n v="2021"/>
    <m/>
  </r>
  <r>
    <s v="Adulto"/>
    <s v="Bosch"/>
    <s v="Bueno"/>
    <s v="Alfredo Manuel"/>
    <n v="89641"/>
    <d v="2021-06-02T00:00:00"/>
    <n v="0.36599999999999999"/>
    <m/>
    <m/>
    <m/>
    <m/>
    <m/>
    <m/>
    <m/>
    <m/>
    <m/>
    <m/>
    <x v="233"/>
    <m/>
    <s v="Cateterismo cardíaco"/>
    <x v="169"/>
    <n v="6"/>
    <n v="2021"/>
    <m/>
  </r>
  <r>
    <s v="Adulto"/>
    <s v="Bosch"/>
    <s v="Giménez"/>
    <s v="Antonio José"/>
    <n v="2406075"/>
    <d v="2021-06-02T00:00:00"/>
    <n v="0.26800000000000002"/>
    <m/>
    <m/>
    <m/>
    <m/>
    <m/>
    <m/>
    <m/>
    <m/>
    <m/>
    <m/>
    <x v="234"/>
    <m/>
    <s v="Embolización en otros territorios venosos"/>
    <x v="170"/>
    <n v="6"/>
    <n v="2021"/>
    <m/>
  </r>
  <r>
    <s v="Adulto"/>
    <s v="García"/>
    <s v="Roger"/>
    <s v="José Miguel"/>
    <n v="2308120"/>
    <d v="2021-06-02T00:00:00"/>
    <n v="0.105"/>
    <m/>
    <m/>
    <m/>
    <m/>
    <m/>
    <m/>
    <m/>
    <m/>
    <m/>
    <m/>
    <x v="235"/>
    <m/>
    <s v="Cateterismo cardíaco"/>
    <x v="171"/>
    <n v="6"/>
    <n v="2021"/>
    <m/>
  </r>
  <r>
    <s v="Pediátrico"/>
    <s v="Alabajos"/>
    <s v="Hernández"/>
    <s v="Sofía"/>
    <n v="13045433"/>
    <d v="2021-06-02T00:00:00"/>
    <n v="1.4599999999999999E-3"/>
    <m/>
    <m/>
    <m/>
    <m/>
    <m/>
    <m/>
    <m/>
    <m/>
    <m/>
    <m/>
    <x v="236"/>
    <m/>
    <s v="Colocación cáteter vena central con tracto subcutáneo pediátrico"/>
    <x v="172"/>
    <n v="6"/>
    <n v="2021"/>
    <m/>
  </r>
  <r>
    <s v="Adulto"/>
    <s v="Domínguez"/>
    <s v="Vilar"/>
    <s v="Carles"/>
    <n v="5224082"/>
    <d v="2021-06-01T00:00:00"/>
    <n v="0.73899999999999999"/>
    <m/>
    <m/>
    <m/>
    <m/>
    <m/>
    <m/>
    <m/>
    <m/>
    <m/>
    <m/>
    <x v="237"/>
    <m/>
    <s v="Embolización pulmonar: Procedimiento básico"/>
    <x v="173"/>
    <n v="6"/>
    <n v="2021"/>
    <s v="Vascular"/>
  </r>
  <r>
    <s v="Adulto"/>
    <s v="Cantero"/>
    <s v="Sanchez"/>
    <s v="Alfonso"/>
    <n v="2807868"/>
    <d v="2021-06-01T00:00:00"/>
    <n v="0.372"/>
    <m/>
    <m/>
    <m/>
    <m/>
    <m/>
    <m/>
    <m/>
    <m/>
    <m/>
    <m/>
    <x v="238"/>
    <m/>
    <s v="Cateterismo cardíaco"/>
    <x v="174"/>
    <n v="6"/>
    <n v="2021"/>
    <m/>
  </r>
  <r>
    <s v="Adulto"/>
    <s v="Martínez"/>
    <s v="Sánchez"/>
    <s v="José Vicente"/>
    <n v="2844774"/>
    <d v="2021-06-01T00:00:00"/>
    <n v="0.249"/>
    <m/>
    <m/>
    <m/>
    <m/>
    <m/>
    <m/>
    <m/>
    <m/>
    <m/>
    <m/>
    <x v="239"/>
    <m/>
    <s v="Embolización renal. Procedimiento básico"/>
    <x v="175"/>
    <n v="6"/>
    <n v="2021"/>
    <m/>
  </r>
  <r>
    <s v="Adulto"/>
    <s v="Redondo"/>
    <s v="Ibáñez"/>
    <s v="Pedro"/>
    <n v="2182282"/>
    <d v="2021-05-31T00:00:00"/>
    <n v="1.385"/>
    <m/>
    <m/>
    <m/>
    <m/>
    <m/>
    <m/>
    <m/>
    <m/>
    <m/>
    <m/>
    <x v="240"/>
    <m/>
    <s v="Tratamiento estenosis oclusiva troncos viscerales digestivos"/>
    <x v="176"/>
    <n v="5"/>
    <n v="2021"/>
    <m/>
  </r>
  <r>
    <s v="Adulto"/>
    <s v="Dehond"/>
    <m/>
    <s v="Hans Agustinus B"/>
    <n v="12913420"/>
    <d v="2021-05-31T00:00:00"/>
    <n v="1.278"/>
    <m/>
    <m/>
    <m/>
    <m/>
    <m/>
    <m/>
    <m/>
    <m/>
    <m/>
    <m/>
    <x v="241"/>
    <m/>
    <s v="Embolización esplénica. Procedimiento básico"/>
    <x v="177"/>
    <n v="5"/>
    <n v="2021"/>
    <m/>
  </r>
  <r>
    <s v="Adulto"/>
    <s v="Serrador"/>
    <s v="Alba"/>
    <s v="Armando"/>
    <n v="1859653"/>
    <d v="2021-05-31T00:00:00"/>
    <n v="0.375"/>
    <m/>
    <m/>
    <m/>
    <m/>
    <m/>
    <m/>
    <m/>
    <m/>
    <m/>
    <m/>
    <x v="242"/>
    <m/>
    <s v="Cateterismo cardíaco"/>
    <x v="178"/>
    <n v="5"/>
    <n v="2021"/>
    <m/>
  </r>
  <r>
    <s v="Adulto"/>
    <s v="Sanchez"/>
    <s v="Plumed"/>
    <s v="Antonia"/>
    <n v="12675675"/>
    <d v="2021-05-31T00:00:00"/>
    <n v="0.19"/>
    <m/>
    <m/>
    <m/>
    <m/>
    <m/>
    <m/>
    <m/>
    <m/>
    <m/>
    <m/>
    <x v="243"/>
    <m/>
    <s v="Cateterismo cardíaco"/>
    <x v="179"/>
    <n v="5"/>
    <n v="2021"/>
    <m/>
  </r>
  <r>
    <s v="Pediátrico"/>
    <s v="Sánchez"/>
    <s v="Cortés"/>
    <s v="Jaime"/>
    <n v="11705090"/>
    <d v="2021-05-31T00:00:00"/>
    <n v="4.5100000000000001E-2"/>
    <m/>
    <m/>
    <m/>
    <m/>
    <m/>
    <m/>
    <m/>
    <m/>
    <m/>
    <m/>
    <x v="244"/>
    <m/>
    <s v="Cateterismo cardíaco pediátrico"/>
    <x v="180"/>
    <n v="5"/>
    <n v="2021"/>
    <m/>
  </r>
  <r>
    <s v="Adulto"/>
    <s v="Díaz"/>
    <s v="Monedero"/>
    <s v="Fernando"/>
    <n v="3122083"/>
    <d v="2021-05-28T00:00:00"/>
    <n v="2.9369999999999998"/>
    <m/>
    <m/>
    <m/>
    <m/>
    <m/>
    <m/>
    <m/>
    <m/>
    <m/>
    <m/>
    <x v="245"/>
    <m/>
    <s v="Embolización esplénica. Procedimiento básico"/>
    <x v="181"/>
    <n v="5"/>
    <n v="2021"/>
    <m/>
  </r>
  <r>
    <s v="Adulto"/>
    <s v="Sahakyan"/>
    <s v="Sahakyan"/>
    <s v="Grigor"/>
    <n v="4783967"/>
    <d v="2021-05-28T00:00:00"/>
    <n v="1.1000000000000001"/>
    <m/>
    <m/>
    <m/>
    <m/>
    <m/>
    <m/>
    <m/>
    <m/>
    <m/>
    <m/>
    <x v="246"/>
    <m/>
    <s v="Cateterismo cardíaco"/>
    <x v="182"/>
    <n v="5"/>
    <n v="2021"/>
    <m/>
  </r>
  <r>
    <s v="Adulto"/>
    <s v="Ruiz"/>
    <s v="Garrido"/>
    <s v="Encarnación"/>
    <n v="11132037"/>
    <d v="2021-05-28T00:00:00"/>
    <n v="0.41899999999999998"/>
    <m/>
    <m/>
    <m/>
    <m/>
    <m/>
    <m/>
    <m/>
    <m/>
    <m/>
    <m/>
    <x v="186"/>
    <m/>
    <s v="Drenaje biliar percutáneo"/>
    <x v="133"/>
    <n v="5"/>
    <n v="2021"/>
    <m/>
  </r>
  <r>
    <s v="Pediátrico"/>
    <s v="Bernal"/>
    <s v="Pacheco"/>
    <s v="Luis"/>
    <n v="12455947"/>
    <d v="2021-05-28T00:00:00"/>
    <n v="3.3000000000000002E-2"/>
    <m/>
    <m/>
    <m/>
    <m/>
    <m/>
    <m/>
    <m/>
    <m/>
    <m/>
    <m/>
    <x v="247"/>
    <m/>
    <s v="Cateterismo cardíaco pediátrico"/>
    <x v="183"/>
    <n v="5"/>
    <n v="2021"/>
    <m/>
  </r>
  <r>
    <s v="Pediátrico"/>
    <s v="Omary"/>
    <m/>
    <s v="Rayan"/>
    <n v="11810986"/>
    <d v="2021-05-28T00:00:00"/>
    <n v="8.3999999999999995E-3"/>
    <m/>
    <m/>
    <m/>
    <m/>
    <m/>
    <m/>
    <m/>
    <m/>
    <m/>
    <m/>
    <x v="248"/>
    <m/>
    <s v="Cateterismo cardíaco pediátrico"/>
    <x v="184"/>
    <n v="5"/>
    <n v="2021"/>
    <m/>
  </r>
  <r>
    <s v="Adulto"/>
    <s v="Samper"/>
    <s v="Conca"/>
    <s v="Josep"/>
    <n v="2914618"/>
    <d v="2021-05-27T00:00:00"/>
    <n v="0.628"/>
    <m/>
    <m/>
    <m/>
    <m/>
    <m/>
    <m/>
    <m/>
    <m/>
    <m/>
    <m/>
    <x v="249"/>
    <m/>
    <s v="Arteriografía troncos viscerales digestivos"/>
    <x v="185"/>
    <n v="5"/>
    <n v="2021"/>
    <m/>
  </r>
  <r>
    <s v="Adulto"/>
    <s v="Fernández"/>
    <s v="Montalva"/>
    <s v="Carlos"/>
    <n v="321938"/>
    <d v="2021-05-27T00:00:00"/>
    <n v="0.60299999999999998"/>
    <m/>
    <m/>
    <m/>
    <m/>
    <m/>
    <m/>
    <m/>
    <m/>
    <m/>
    <m/>
    <x v="162"/>
    <m/>
    <s v="Arteriografía troncos viscerales digestivos"/>
    <x v="186"/>
    <n v="5"/>
    <n v="2021"/>
    <m/>
  </r>
  <r>
    <s v="Adulto"/>
    <s v="Gutiérrez"/>
    <s v="Duero"/>
    <s v="Antonio"/>
    <n v="3206214"/>
    <d v="2021-05-27T00:00:00"/>
    <n v="0.54500000000000004"/>
    <m/>
    <m/>
    <m/>
    <m/>
    <m/>
    <m/>
    <m/>
    <m/>
    <m/>
    <m/>
    <x v="250"/>
    <m/>
    <s v="Cateterismo cardíaco"/>
    <x v="187"/>
    <n v="5"/>
    <n v="2021"/>
    <m/>
  </r>
  <r>
    <s v="Adulto"/>
    <s v="Frau"/>
    <s v="Segarra"/>
    <s v="Carmen"/>
    <n v="3078017"/>
    <d v="2021-05-27T00:00:00"/>
    <n v="0.39800000000000002"/>
    <m/>
    <m/>
    <m/>
    <m/>
    <m/>
    <m/>
    <m/>
    <m/>
    <m/>
    <m/>
    <x v="251"/>
    <m/>
    <s v="Cateterismo cardíaco"/>
    <x v="188"/>
    <n v="5"/>
    <n v="2021"/>
    <m/>
  </r>
  <r>
    <s v="Adulto"/>
    <s v="Rosa"/>
    <s v="García"/>
    <s v="Cristian"/>
    <n v="3402217"/>
    <d v="2021-05-27T00:00:00"/>
    <n v="0.15"/>
    <m/>
    <m/>
    <m/>
    <m/>
    <m/>
    <m/>
    <m/>
    <m/>
    <m/>
    <m/>
    <x v="252"/>
    <m/>
    <s v="Tratamiento de lesiones vertebrales: Verteroplastia asistida por stent"/>
    <x v="189"/>
    <n v="5"/>
    <n v="2021"/>
    <m/>
  </r>
  <r>
    <s v="Adulto"/>
    <s v="Morell"/>
    <s v="Capellino"/>
    <s v="José "/>
    <n v="1906942"/>
    <d v="2021-05-27T00:00:00"/>
    <n v="9.2999999999999999E-2"/>
    <m/>
    <m/>
    <m/>
    <m/>
    <m/>
    <m/>
    <m/>
    <m/>
    <m/>
    <m/>
    <x v="253"/>
    <m/>
    <s v="Embolización esplénica. Procedimiento básico"/>
    <x v="190"/>
    <n v="5"/>
    <n v="2021"/>
    <m/>
  </r>
  <r>
    <s v="Pediátrico"/>
    <s v="Gavrilas"/>
    <m/>
    <s v="Alin Constantin"/>
    <n v="13006114"/>
    <d v="2021-05-27T00:00:00"/>
    <n v="3.5999999999999997E-2"/>
    <m/>
    <m/>
    <m/>
    <m/>
    <m/>
    <m/>
    <m/>
    <m/>
    <m/>
    <m/>
    <x v="254"/>
    <m/>
    <s v="Cateterismo cardíaco pediátrico"/>
    <x v="191"/>
    <n v="5"/>
    <n v="2021"/>
    <m/>
  </r>
  <r>
    <s v="Pediátrico"/>
    <s v="Calvo"/>
    <s v="Barber"/>
    <s v="Annelise"/>
    <n v="13090672"/>
    <d v="2021-05-27T00:00:00"/>
    <n v="1.39E-3"/>
    <m/>
    <m/>
    <m/>
    <m/>
    <m/>
    <m/>
    <m/>
    <m/>
    <m/>
    <m/>
    <x v="255"/>
    <m/>
    <s v="Colocación cáteter vena central con tracto subcutáneo pediátrico"/>
    <x v="192"/>
    <n v="5"/>
    <n v="2021"/>
    <m/>
  </r>
  <r>
    <s v="Adulto"/>
    <s v="Sepúlveda"/>
    <s v="Boix"/>
    <s v="Amparo"/>
    <n v="3178515"/>
    <d v="2021-05-26T00:00:00"/>
    <n v="2.6360000000000001"/>
    <m/>
    <m/>
    <m/>
    <m/>
    <m/>
    <m/>
    <m/>
    <m/>
    <m/>
    <m/>
    <x v="256"/>
    <m/>
    <s v="Cateterismo cardíaco"/>
    <x v="193"/>
    <n v="5"/>
    <n v="2021"/>
    <s v="Hemodinámica"/>
  </r>
  <r>
    <s v="Adulto"/>
    <s v="Moscardo"/>
    <s v="Ignacio"/>
    <s v="Fernando"/>
    <n v="2902203"/>
    <d v="2021-05-26T00:00:00"/>
    <n v="0.31"/>
    <m/>
    <m/>
    <m/>
    <m/>
    <m/>
    <m/>
    <m/>
    <m/>
    <m/>
    <m/>
    <x v="257"/>
    <m/>
    <s v="Tratamiento endovascular aneurisma de aorta abdominal. Procedimiento basico"/>
    <x v="194"/>
    <n v="5"/>
    <n v="2021"/>
    <m/>
  </r>
  <r>
    <s v="Adulto"/>
    <s v="Veliz"/>
    <s v="Cadena"/>
    <s v="Marlon Omar"/>
    <n v="4976109"/>
    <d v="2021-05-26T00:00:00"/>
    <n v="0.193"/>
    <m/>
    <m/>
    <m/>
    <m/>
    <m/>
    <m/>
    <m/>
    <m/>
    <m/>
    <m/>
    <x v="171"/>
    <m/>
    <s v="Drenaje biliar percutáneo con drenaje de stent"/>
    <x v="129"/>
    <n v="5"/>
    <n v="2021"/>
    <m/>
  </r>
  <r>
    <s v="Adulto"/>
    <s v="Vizcaya"/>
    <s v="Ebuka"/>
    <s v="Marcelino"/>
    <n v="10917790"/>
    <d v="2021-05-26T00:00:00"/>
    <n v="0.108"/>
    <m/>
    <m/>
    <m/>
    <m/>
    <m/>
    <m/>
    <m/>
    <m/>
    <m/>
    <m/>
    <x v="258"/>
    <m/>
    <s v="Embolización bronquial. Procedimiento básico"/>
    <x v="195"/>
    <n v="5"/>
    <n v="2021"/>
    <m/>
  </r>
  <r>
    <s v="Pediátrico"/>
    <s v="Izquierdo"/>
    <s v="Lluch"/>
    <s v="Malena"/>
    <n v="11810950"/>
    <d v="2021-05-26T00:00:00"/>
    <n v="1.4999999999999999E-2"/>
    <m/>
    <m/>
    <m/>
    <m/>
    <m/>
    <m/>
    <m/>
    <m/>
    <m/>
    <m/>
    <x v="259"/>
    <m/>
    <s v="Dilatación vía biliar pediátrica"/>
    <x v="196"/>
    <n v="5"/>
    <n v="2021"/>
    <m/>
  </r>
  <r>
    <s v="Pediátrico"/>
    <s v="López"/>
    <s v="Yuste"/>
    <s v="Thiago"/>
    <n v="12851181"/>
    <d v="2021-05-26T00:00:00"/>
    <n v="4.5599999999999998E-3"/>
    <m/>
    <m/>
    <m/>
    <m/>
    <m/>
    <m/>
    <m/>
    <m/>
    <m/>
    <m/>
    <x v="260"/>
    <m/>
    <s v="Dilatación vía biliar pediátrica"/>
    <x v="197"/>
    <n v="5"/>
    <n v="2021"/>
    <m/>
  </r>
  <r>
    <s v="Pediátrico"/>
    <s v="Kassouad"/>
    <m/>
    <s v="Yasmine"/>
    <n v="12448683"/>
    <d v="2021-05-26T00:00:00"/>
    <n v="3.6999999999999999E-4"/>
    <m/>
    <m/>
    <m/>
    <m/>
    <m/>
    <m/>
    <m/>
    <m/>
    <m/>
    <m/>
    <x v="261"/>
    <m/>
    <s v="Drenaje percutáneo de abscesos y colecciones pediátrico"/>
    <x v="198"/>
    <n v="5"/>
    <n v="2021"/>
    <m/>
  </r>
  <r>
    <s v="Adulto"/>
    <s v="Martínez"/>
    <s v="Calderón"/>
    <s v="Julia Caridad"/>
    <n v="2868174"/>
    <d v="2021-05-25T00:00:00"/>
    <n v="0.38100000000000001"/>
    <m/>
    <m/>
    <m/>
    <m/>
    <m/>
    <m/>
    <m/>
    <m/>
    <m/>
    <m/>
    <x v="262"/>
    <m/>
    <s v="Drenaje percutáneo de abscesos y colecciones"/>
    <x v="199"/>
    <n v="5"/>
    <n v="2021"/>
    <m/>
  </r>
  <r>
    <s v="Pediátrico"/>
    <s v="Falah"/>
    <m/>
    <s v="Reda"/>
    <n v="12710458"/>
    <d v="2021-05-25T00:00:00"/>
    <n v="0.35499999999999998"/>
    <m/>
    <m/>
    <m/>
    <m/>
    <m/>
    <m/>
    <m/>
    <m/>
    <m/>
    <m/>
    <x v="263"/>
    <m/>
    <s v="Cateterismo cardíaco pediátrico"/>
    <x v="200"/>
    <n v="5"/>
    <n v="2021"/>
    <s v="Hemodinámica"/>
  </r>
  <r>
    <s v="Adulto"/>
    <s v="Morcillo"/>
    <s v="Mora"/>
    <s v="Miguel Ángel"/>
    <n v="4703316"/>
    <d v="2021-05-24T00:00:00"/>
    <n v="1.41"/>
    <m/>
    <m/>
    <m/>
    <m/>
    <m/>
    <m/>
    <m/>
    <m/>
    <m/>
    <m/>
    <x v="264"/>
    <m/>
    <s v="Quimioembolización hepática. Procedimiento básico"/>
    <x v="201"/>
    <n v="5"/>
    <n v="2021"/>
    <m/>
  </r>
  <r>
    <s v="Adulto"/>
    <s v="Charfaoui"/>
    <m/>
    <s v="Sofiane"/>
    <n v="10168600"/>
    <d v="2021-05-24T00:00:00"/>
    <n v="0.49299999999999999"/>
    <m/>
    <m/>
    <m/>
    <m/>
    <m/>
    <m/>
    <m/>
    <m/>
    <m/>
    <m/>
    <x v="265"/>
    <m/>
    <s v="Arteriografía troncos viscerales digestivos"/>
    <x v="202"/>
    <n v="5"/>
    <n v="2021"/>
    <s v="Vascular"/>
  </r>
  <r>
    <s v="Adulto"/>
    <s v="Notario"/>
    <s v="Ballesteros"/>
    <s v="Julián"/>
    <n v="3469956"/>
    <d v="2021-05-24T00:00:00"/>
    <n v="0.48499999999999999"/>
    <m/>
    <m/>
    <m/>
    <m/>
    <m/>
    <m/>
    <m/>
    <m/>
    <m/>
    <m/>
    <x v="266"/>
    <m/>
    <s v="Quimioembolización hepática. Procedimiento básico"/>
    <x v="203"/>
    <n v="5"/>
    <n v="2021"/>
    <m/>
  </r>
  <r>
    <s v="Pediátrico"/>
    <s v="Goterris"/>
    <s v="Triguero"/>
    <s v="Adrián"/>
    <n v="7168260"/>
    <d v="2021-05-24T00:00:00"/>
    <n v="1.6E-2"/>
    <m/>
    <m/>
    <m/>
    <m/>
    <m/>
    <m/>
    <m/>
    <m/>
    <m/>
    <m/>
    <x v="267"/>
    <m/>
    <s v="Cateterismo cardíaco pediátrico"/>
    <x v="204"/>
    <n v="5"/>
    <n v="2021"/>
    <m/>
  </r>
  <r>
    <s v="Adulto"/>
    <s v="Monar"/>
    <s v="Van Vliet"/>
    <s v="Juana Andrea"/>
    <n v="120012"/>
    <d v="2021-05-23T00:00:00"/>
    <n v="0.371"/>
    <m/>
    <m/>
    <m/>
    <m/>
    <m/>
    <m/>
    <m/>
    <m/>
    <m/>
    <m/>
    <x v="268"/>
    <m/>
    <s v="Embolización hepática: Procedimiento básico"/>
    <x v="205"/>
    <n v="5"/>
    <n v="2021"/>
    <m/>
  </r>
  <r>
    <s v="Adulto"/>
    <s v="Beltrán"/>
    <s v="Arribas"/>
    <s v="Mª Teresa"/>
    <n v="2309540"/>
    <d v="2021-05-22T00:00:00"/>
    <n v="0.27"/>
    <m/>
    <m/>
    <m/>
    <m/>
    <m/>
    <m/>
    <m/>
    <m/>
    <m/>
    <m/>
    <x v="55"/>
    <m/>
    <s v="Embolización de hemorragias digestivas. Procedimiento básico"/>
    <x v="206"/>
    <n v="5"/>
    <n v="2021"/>
    <m/>
  </r>
  <r>
    <s v="Adulto"/>
    <s v="Osuna"/>
    <s v="Degracia"/>
    <s v="José"/>
    <n v="2157186"/>
    <d v="2021-05-21T00:00:00"/>
    <n v="0.67800000000000005"/>
    <m/>
    <m/>
    <m/>
    <m/>
    <m/>
    <m/>
    <m/>
    <m/>
    <m/>
    <m/>
    <x v="269"/>
    <m/>
    <s v="Cateterismo cardíaco"/>
    <x v="207"/>
    <n v="5"/>
    <n v="2021"/>
    <s v="Hemodinámica"/>
  </r>
  <r>
    <s v="Adulto"/>
    <s v="Calaforra"/>
    <s v="Brisa"/>
    <s v="José Luis"/>
    <n v="2810676"/>
    <d v="2021-05-21T00:00:00"/>
    <n v="0.48099999999999998"/>
    <m/>
    <m/>
    <m/>
    <m/>
    <m/>
    <m/>
    <m/>
    <m/>
    <m/>
    <m/>
    <x v="270"/>
    <m/>
    <s v="Cateterismo cardíaco"/>
    <x v="208"/>
    <n v="5"/>
    <n v="2021"/>
    <s v="Hemodinámica"/>
  </r>
  <r>
    <s v="Pediátrico"/>
    <s v="Rowland"/>
    <s v="Molina"/>
    <s v="Elizabeth"/>
    <n v="5393586"/>
    <d v="2021-05-21T00:00:00"/>
    <n v="0.3"/>
    <m/>
    <m/>
    <m/>
    <m/>
    <m/>
    <m/>
    <m/>
    <m/>
    <m/>
    <m/>
    <x v="271"/>
    <m/>
    <s v="Cateterismo cardíaco pediátrico"/>
    <x v="209"/>
    <n v="5"/>
    <n v="2021"/>
    <m/>
  </r>
  <r>
    <s v="Adulto"/>
    <s v="Zaragoza"/>
    <s v="Navarro"/>
    <s v="María"/>
    <n v="2215136"/>
    <d v="2021-05-21T00:00:00"/>
    <n v="0.216"/>
    <m/>
    <m/>
    <m/>
    <m/>
    <m/>
    <m/>
    <m/>
    <m/>
    <m/>
    <m/>
    <x v="272"/>
    <m/>
    <s v="Tratamiento endovascular estenosis oclusiva cava inferior"/>
    <x v="210"/>
    <n v="5"/>
    <n v="2021"/>
    <m/>
  </r>
  <r>
    <s v="Adulto"/>
    <s v="Castillero"/>
    <s v="Ángel"/>
    <s v="Jacinto"/>
    <n v="2960626"/>
    <d v="2021-05-20T00:00:00"/>
    <n v="1.1559999999999999"/>
    <m/>
    <m/>
    <m/>
    <m/>
    <m/>
    <m/>
    <m/>
    <m/>
    <m/>
    <m/>
    <x v="173"/>
    <m/>
    <s v="Embolización tumoral. Procedimiento básico"/>
    <x v="211"/>
    <n v="5"/>
    <n v="2021"/>
    <s v="Vascular"/>
  </r>
  <r>
    <s v="Adulto"/>
    <s v="Dueñas"/>
    <s v="López"/>
    <s v="Francisco"/>
    <n v="4348465"/>
    <d v="2021-05-20T00:00:00"/>
    <n v="0.26300000000000001"/>
    <m/>
    <m/>
    <m/>
    <m/>
    <m/>
    <m/>
    <m/>
    <m/>
    <m/>
    <m/>
    <x v="273"/>
    <m/>
    <s v="Arteriografía de miembros inferiores"/>
    <x v="212"/>
    <n v="5"/>
    <n v="2021"/>
    <m/>
  </r>
  <r>
    <s v="Adulto"/>
    <s v="Lahuerta"/>
    <s v="Lozano"/>
    <s v="Luis"/>
    <n v="2711030"/>
    <d v="2021-05-20T00:00:00"/>
    <n v="0.26100000000000001"/>
    <m/>
    <m/>
    <m/>
    <m/>
    <m/>
    <m/>
    <m/>
    <m/>
    <m/>
    <m/>
    <x v="274"/>
    <m/>
    <s v="Tratamiento de lesiones vertebrales: Verteroplastia simple"/>
    <x v="213"/>
    <n v="5"/>
    <n v="2021"/>
    <m/>
  </r>
  <r>
    <s v="Pediátrico"/>
    <s v="Aliaga"/>
    <s v="Bea"/>
    <s v="Mª Pilar"/>
    <n v="10591565"/>
    <d v="2021-05-20T00:00:00"/>
    <n v="5.5E-2"/>
    <m/>
    <m/>
    <m/>
    <m/>
    <m/>
    <m/>
    <m/>
    <m/>
    <m/>
    <m/>
    <x v="275"/>
    <m/>
    <s v="Cateterismo cardíaco pediátrico"/>
    <x v="214"/>
    <n v="5"/>
    <n v="2021"/>
    <s v="Hemodinámica"/>
  </r>
  <r>
    <s v="Adulto"/>
    <s v="Torres"/>
    <s v="Carrillo"/>
    <s v="Manuel"/>
    <n v="2860214"/>
    <d v="2021-05-19T00:00:00"/>
    <n v="0.53500000000000003"/>
    <m/>
    <m/>
    <m/>
    <m/>
    <m/>
    <m/>
    <m/>
    <m/>
    <m/>
    <m/>
    <x v="276"/>
    <m/>
    <s v="Tratamiento endovascular estenosis oclusivas en miembros inferiores"/>
    <x v="215"/>
    <n v="5"/>
    <n v="2021"/>
    <s v="Vascular"/>
  </r>
  <r>
    <s v="Pediátrico"/>
    <s v="Amiryan"/>
    <s v="Peña"/>
    <s v="Sara"/>
    <n v="9843947"/>
    <d v="2021-05-19T00:00:00"/>
    <n v="3.5000000000000003E-2"/>
    <m/>
    <m/>
    <m/>
    <m/>
    <m/>
    <m/>
    <m/>
    <m/>
    <m/>
    <m/>
    <x v="277"/>
    <m/>
    <s v="Arteriografía cerebral completa y selectiva pediátrica"/>
    <x v="216"/>
    <n v="5"/>
    <n v="2021"/>
    <s v="NHFE_USCA_100"/>
  </r>
  <r>
    <s v="Pediátrico"/>
    <s v="Rico"/>
    <s v="Blasco"/>
    <s v="Marc"/>
    <n v="7262150"/>
    <d v="2021-05-19T00:00:00"/>
    <n v="2.1999999999999999E-2"/>
    <m/>
    <m/>
    <m/>
    <m/>
    <m/>
    <m/>
    <m/>
    <m/>
    <m/>
    <m/>
    <x v="278"/>
    <m/>
    <s v="Otras arteriografías pediátricas"/>
    <x v="217"/>
    <n v="5"/>
    <n v="2021"/>
    <s v="NHFE_USCA_100"/>
  </r>
  <r>
    <s v="Pediátrico"/>
    <s v="Berenguer"/>
    <s v="Manzanera"/>
    <s v="Paula"/>
    <n v="12233971"/>
    <d v="2021-05-19T00:00:00"/>
    <n v="1.6E-2"/>
    <m/>
    <m/>
    <m/>
    <m/>
    <m/>
    <m/>
    <m/>
    <m/>
    <m/>
    <m/>
    <x v="279"/>
    <m/>
    <s v="Dilatación vía biliar pediátrica"/>
    <x v="218"/>
    <n v="5"/>
    <n v="2021"/>
    <s v="NHFE_USCA_100"/>
  </r>
  <r>
    <s v="Adulto"/>
    <s v="Mila"/>
    <s v="Piro"/>
    <s v="Manuel"/>
    <n v="2269932"/>
    <d v="2021-05-18T00:00:00"/>
    <n v="3.2490000000000001"/>
    <m/>
    <m/>
    <m/>
    <m/>
    <m/>
    <m/>
    <m/>
    <m/>
    <m/>
    <m/>
    <x v="280"/>
    <m/>
    <s v="Quimioembolización hepática. Procedimiento básico"/>
    <x v="219"/>
    <n v="5"/>
    <n v="2021"/>
    <s v="Vascular"/>
  </r>
  <r>
    <s v="Pediátrico"/>
    <s v="Martínez"/>
    <s v="Rodríguez"/>
    <s v="José"/>
    <n v="8315081"/>
    <d v="2021-05-18T00:00:00"/>
    <n v="2.0570000000000001E-2"/>
    <m/>
    <m/>
    <m/>
    <m/>
    <m/>
    <m/>
    <m/>
    <m/>
    <m/>
    <m/>
    <x v="281"/>
    <m/>
    <s v="Cateterismo cardíaco pediátrico"/>
    <x v="220"/>
    <n v="5"/>
    <n v="2021"/>
    <s v="Hemodinámica"/>
  </r>
  <r>
    <s v="Adulto"/>
    <s v="Viña"/>
    <s v="Gonzalez"/>
    <s v="María"/>
    <n v="2809006"/>
    <d v="2021-05-17T00:00:00"/>
    <n v="0.7"/>
    <m/>
    <m/>
    <m/>
    <m/>
    <m/>
    <m/>
    <m/>
    <m/>
    <m/>
    <m/>
    <x v="282"/>
    <m/>
    <s v="Arteriografía troncos viscerales digestivos"/>
    <x v="221"/>
    <n v="5"/>
    <n v="2021"/>
    <s v="Vascular"/>
  </r>
  <r>
    <s v="Adulto"/>
    <s v="Blasco "/>
    <s v="López"/>
    <s v="Francisco"/>
    <n v="3745640"/>
    <d v="2021-05-17T00:00:00"/>
    <n v="0.60599999999999998"/>
    <m/>
    <m/>
    <m/>
    <m/>
    <m/>
    <m/>
    <m/>
    <m/>
    <m/>
    <m/>
    <x v="283"/>
    <m/>
    <s v="Quimioembolización hepática. Procedimiento básico"/>
    <x v="222"/>
    <n v="5"/>
    <n v="2021"/>
    <s v="Vascular"/>
  </r>
  <r>
    <s v="Pediátrico"/>
    <s v="Guzman"/>
    <s v="Province"/>
    <s v="Ayun"/>
    <n v="13091286"/>
    <d v="2021-05-17T00:00:00"/>
    <n v="2.8670000000000001E-2"/>
    <m/>
    <m/>
    <m/>
    <m/>
    <m/>
    <m/>
    <m/>
    <m/>
    <m/>
    <m/>
    <x v="284"/>
    <m/>
    <s v="Cateterismo cardíaco pediátrico"/>
    <x v="223"/>
    <n v="5"/>
    <n v="2021"/>
    <s v="Hemodinámica"/>
  </r>
  <r>
    <s v="Adulto"/>
    <s v="Hernández"/>
    <s v="Villar"/>
    <s v="Juana María"/>
    <n v="1854528"/>
    <d v="2021-05-14T00:00:00"/>
    <n v="1.1339999999999999"/>
    <m/>
    <m/>
    <m/>
    <m/>
    <m/>
    <m/>
    <m/>
    <m/>
    <m/>
    <m/>
    <x v="285"/>
    <m/>
    <s v="Cateterismo cardíaco"/>
    <x v="224"/>
    <n v="5"/>
    <n v="2021"/>
    <s v="Hemodinámica"/>
  </r>
  <r>
    <s v="Adulto"/>
    <s v="Martínez"/>
    <s v="Alberto"/>
    <s v="Carmen"/>
    <n v="3329353"/>
    <d v="2021-05-14T00:00:00"/>
    <n v="0.45800000000000002"/>
    <m/>
    <m/>
    <m/>
    <m/>
    <m/>
    <m/>
    <m/>
    <m/>
    <m/>
    <m/>
    <x v="286"/>
    <m/>
    <s v="Cateterismo cardíaco"/>
    <x v="225"/>
    <n v="5"/>
    <n v="2021"/>
    <s v="Hemodinámica"/>
  </r>
  <r>
    <s v="Pediátrico"/>
    <s v="Abbas"/>
    <m/>
    <s v="Zamma"/>
    <n v="11466787"/>
    <d v="2021-05-14T00:00:00"/>
    <n v="4.1000000000000002E-2"/>
    <m/>
    <m/>
    <m/>
    <m/>
    <m/>
    <m/>
    <m/>
    <m/>
    <m/>
    <m/>
    <x v="287"/>
    <m/>
    <s v="Cateterismo cardíaco pediátrico"/>
    <x v="226"/>
    <n v="5"/>
    <n v="2021"/>
    <s v="Hemodinámica"/>
  </r>
  <r>
    <s v="Pediátrico"/>
    <s v="Calderón"/>
    <s v="Herás"/>
    <s v="Zaira"/>
    <n v="5490018"/>
    <d v="2021-05-13T00:00:00"/>
    <n v="1.8"/>
    <m/>
    <m/>
    <m/>
    <m/>
    <m/>
    <m/>
    <m/>
    <m/>
    <m/>
    <m/>
    <x v="288"/>
    <m/>
    <s v="Cateterismo cardíaco"/>
    <x v="227"/>
    <n v="5"/>
    <n v="2021"/>
    <s v="Hemodinámica"/>
  </r>
  <r>
    <s v="Adulto"/>
    <s v="Abad"/>
    <s v="Isla"/>
    <s v="Azucena"/>
    <n v="4774482"/>
    <d v="2021-05-13T00:00:00"/>
    <n v="1.6240000000000001"/>
    <m/>
    <m/>
    <m/>
    <m/>
    <m/>
    <m/>
    <m/>
    <m/>
    <m/>
    <m/>
    <x v="289"/>
    <m/>
    <s v="Cateterismo cardíaco"/>
    <x v="228"/>
    <n v="5"/>
    <n v="2021"/>
    <s v="Hemodinámica"/>
  </r>
  <r>
    <s v="Adulto"/>
    <s v="Hlioui"/>
    <m/>
    <s v="Hamid"/>
    <n v="5350920"/>
    <d v="2021-05-13T00:00:00"/>
    <n v="0.61399999999999999"/>
    <m/>
    <m/>
    <m/>
    <m/>
    <m/>
    <m/>
    <m/>
    <m/>
    <m/>
    <m/>
    <x v="290"/>
    <m/>
    <s v="Tratamiento estenosis oclusiva cava superior: Procedimiento básico"/>
    <x v="229"/>
    <n v="5"/>
    <n v="2021"/>
    <s v="Vascular"/>
  </r>
  <r>
    <s v="Adulto"/>
    <s v="Castro"/>
    <s v="Pagán"/>
    <s v="Claudio"/>
    <n v="3070452"/>
    <d v="2021-05-13T00:00:00"/>
    <n v="0.45600000000000002"/>
    <m/>
    <m/>
    <m/>
    <m/>
    <m/>
    <m/>
    <m/>
    <m/>
    <m/>
    <m/>
    <x v="291"/>
    <m/>
    <s v="Cateterismo cardíaco"/>
    <x v="230"/>
    <n v="5"/>
    <n v="2021"/>
    <s v="Hemodinámica"/>
  </r>
  <r>
    <s v="Pediátrico"/>
    <s v="Ndumu"/>
    <s v="Nseng"/>
    <s v="Cristina"/>
    <n v="13109284"/>
    <d v="2021-05-13T00:00:00"/>
    <n v="2.0490000000000001E-2"/>
    <m/>
    <m/>
    <m/>
    <m/>
    <m/>
    <m/>
    <m/>
    <m/>
    <m/>
    <m/>
    <x v="292"/>
    <m/>
    <s v="Cateterismo cardíaco pediátrico"/>
    <x v="231"/>
    <n v="5"/>
    <n v="2021"/>
    <s v="Hemodinámica"/>
  </r>
  <r>
    <s v="Pediátrico"/>
    <s v="Gil"/>
    <s v="Toboso"/>
    <s v="Silvia"/>
    <n v="7985797"/>
    <d v="2021-05-12T00:00:00"/>
    <n v="0.48499999999999999"/>
    <m/>
    <m/>
    <m/>
    <m/>
    <m/>
    <m/>
    <m/>
    <m/>
    <m/>
    <m/>
    <x v="293"/>
    <m/>
    <s v="Cateterismo cardíaco pediátrico"/>
    <x v="232"/>
    <n v="5"/>
    <n v="2021"/>
    <s v="Hemodinámica"/>
  </r>
  <r>
    <s v="Pediátrico"/>
    <s v="Llopis"/>
    <s v="Donaire"/>
    <s v="Francisco José"/>
    <n v="6078001"/>
    <d v="2021-05-12T00:00:00"/>
    <n v="0.38100000000000001"/>
    <m/>
    <m/>
    <m/>
    <m/>
    <m/>
    <m/>
    <m/>
    <m/>
    <m/>
    <m/>
    <x v="294"/>
    <m/>
    <s v="Cateterismo cardíaco pediátrico"/>
    <x v="233"/>
    <n v="5"/>
    <n v="2021"/>
    <s v="Hemodinámica"/>
  </r>
  <r>
    <s v="Adulto"/>
    <s v="Sanchis"/>
    <s v="Navarro"/>
    <s v="Jaime"/>
    <n v="2993897"/>
    <d v="2021-05-11T00:00:00"/>
    <n v="0.81"/>
    <m/>
    <m/>
    <m/>
    <m/>
    <m/>
    <m/>
    <m/>
    <m/>
    <m/>
    <m/>
    <x v="295"/>
    <m/>
    <s v="Cateterismo cardíaco"/>
    <x v="234"/>
    <n v="5"/>
    <n v="2021"/>
    <s v="Hemodinámica"/>
  </r>
  <r>
    <s v="Adulto"/>
    <s v="Iranzo"/>
    <s v="Anguis"/>
    <s v="David"/>
    <n v="6279763"/>
    <d v="2021-05-10T00:00:00"/>
    <n v="0.57899999999999996"/>
    <m/>
    <m/>
    <m/>
    <m/>
    <m/>
    <m/>
    <m/>
    <m/>
    <m/>
    <m/>
    <x v="296"/>
    <m/>
    <s v="Cateterismo cardíaco"/>
    <x v="235"/>
    <n v="5"/>
    <n v="2021"/>
    <s v="Hemodinámica"/>
  </r>
  <r>
    <s v="Adulto"/>
    <s v="Alós"/>
    <s v="Salcedo"/>
    <s v="Carmen"/>
    <n v="2453990"/>
    <d v="2021-05-10T00:00:00"/>
    <n v="0.52"/>
    <m/>
    <m/>
    <m/>
    <m/>
    <m/>
    <m/>
    <m/>
    <m/>
    <m/>
    <m/>
    <x v="297"/>
    <m/>
    <s v="Cateterismo cardíaco"/>
    <x v="236"/>
    <n v="5"/>
    <n v="2021"/>
    <s v="Hemodinámica"/>
  </r>
  <r>
    <s v="Adulto"/>
    <s v="Santamaria"/>
    <s v="Biot"/>
    <s v="José"/>
    <n v="2527533"/>
    <d v="2021-05-10T00:00:00"/>
    <n v="0.5"/>
    <m/>
    <m/>
    <m/>
    <m/>
    <m/>
    <m/>
    <m/>
    <m/>
    <m/>
    <m/>
    <x v="298"/>
    <m/>
    <s v="Cateterismo cardíaco"/>
    <x v="237"/>
    <n v="5"/>
    <n v="2021"/>
    <s v="Hemodinámica"/>
  </r>
  <r>
    <s v="Pediátrico"/>
    <s v="Duval"/>
    <s v="Montoya"/>
    <s v="Jaqueline"/>
    <n v="13117302"/>
    <d v="2021-05-07T00:00:00"/>
    <n v="3.5000000000000001E-3"/>
    <m/>
    <m/>
    <m/>
    <m/>
    <m/>
    <m/>
    <m/>
    <m/>
    <m/>
    <m/>
    <x v="299"/>
    <m/>
    <s v="Cateterismo cardíaco pediátrico"/>
    <x v="238"/>
    <n v="5"/>
    <n v="2021"/>
    <s v="Hemodinámica"/>
  </r>
  <r>
    <s v="Adulto"/>
    <s v="Greus"/>
    <s v="Gil"/>
    <s v="Enrique"/>
    <n v="110067"/>
    <d v="2021-05-06T00:00:00"/>
    <n v="1.2"/>
    <m/>
    <m/>
    <m/>
    <m/>
    <m/>
    <m/>
    <m/>
    <m/>
    <m/>
    <m/>
    <x v="300"/>
    <m/>
    <s v="Cateterismo cardíaco"/>
    <x v="239"/>
    <n v="5"/>
    <n v="2021"/>
    <m/>
  </r>
  <r>
    <s v="Adulto"/>
    <s v="Molina"/>
    <s v="Pavón"/>
    <s v="Alejandro"/>
    <n v="3687383"/>
    <d v="2021-05-06T00:00:00"/>
    <n v="0.67700000000000005"/>
    <m/>
    <m/>
    <m/>
    <m/>
    <m/>
    <m/>
    <m/>
    <m/>
    <m/>
    <m/>
    <x v="301"/>
    <m/>
    <s v="Cateterismo cardíaco"/>
    <x v="240"/>
    <n v="5"/>
    <n v="2021"/>
    <m/>
  </r>
  <r>
    <s v="Pediátrico"/>
    <s v="Palomares"/>
    <s v="Calero"/>
    <s v="Alex"/>
    <n v="12053479"/>
    <d v="2021-05-06T00:00:00"/>
    <n v="7.2999999999999995E-2"/>
    <m/>
    <m/>
    <m/>
    <m/>
    <m/>
    <m/>
    <m/>
    <m/>
    <m/>
    <m/>
    <x v="302"/>
    <m/>
    <s v="Cateterismo cardíaco pediátrico"/>
    <x v="241"/>
    <n v="5"/>
    <n v="2021"/>
    <s v="NFHE_USCA_100"/>
  </r>
  <r>
    <s v="Adulto"/>
    <s v="Navarro"/>
    <s v="San Bautista"/>
    <s v="Juan Bautista"/>
    <n v="1857041"/>
    <d v="2021-05-05T00:00:00"/>
    <n v="0.74099999999999999"/>
    <m/>
    <m/>
    <m/>
    <m/>
    <m/>
    <m/>
    <m/>
    <m/>
    <m/>
    <m/>
    <x v="303"/>
    <m/>
    <s v="Tratamiento endovascular aneurisma de aorta abdominal. Procedimiento basico"/>
    <x v="114"/>
    <m/>
    <m/>
    <m/>
  </r>
  <r>
    <s v="Pediátrico"/>
    <s v="Hussain"/>
    <m/>
    <s v="Rumi"/>
    <n v="12899269"/>
    <d v="2021-05-05T00:00:00"/>
    <n v="0.05"/>
    <m/>
    <m/>
    <m/>
    <m/>
    <m/>
    <m/>
    <m/>
    <m/>
    <m/>
    <m/>
    <x v="304"/>
    <m/>
    <s v="Cateterismo cardíaco pediátrico"/>
    <x v="242"/>
    <n v="5"/>
    <n v="2021"/>
    <s v="Hemodinámica"/>
  </r>
  <r>
    <s v="Adulto"/>
    <s v="Veliz"/>
    <s v="Cadena"/>
    <s v="Marlon Omar"/>
    <n v="4976109"/>
    <d v="2021-05-04T00:00:00"/>
    <n v="1.9650000000000001"/>
    <m/>
    <m/>
    <m/>
    <m/>
    <m/>
    <m/>
    <m/>
    <m/>
    <m/>
    <m/>
    <x v="171"/>
    <m/>
    <s v="Otro intervencionismo diagnóstico de abdomen"/>
    <x v="129"/>
    <n v="5"/>
    <n v="2021"/>
    <s v="Vascular"/>
  </r>
  <r>
    <s v="Pediátrico"/>
    <s v="Krasnoruzhskikh"/>
    <s v="Sola"/>
    <s v="Zoe"/>
    <n v="10593147"/>
    <d v="2021-05-04T00:00:00"/>
    <n v="0.189"/>
    <m/>
    <m/>
    <m/>
    <m/>
    <m/>
    <m/>
    <m/>
    <m/>
    <m/>
    <m/>
    <x v="305"/>
    <m/>
    <s v="Cateterismo cardíaco pediátrico"/>
    <x v="243"/>
    <n v="5"/>
    <n v="2021"/>
    <s v="NFHE_USCA_100"/>
  </r>
  <r>
    <s v="Pediátrico"/>
    <s v="Sebastiá"/>
    <s v="Martínez"/>
    <s v="Alba"/>
    <n v="12648248"/>
    <d v="2021-05-03T00:00:00"/>
    <n v="4.5999999999999999E-2"/>
    <m/>
    <m/>
    <m/>
    <m/>
    <m/>
    <m/>
    <m/>
    <m/>
    <m/>
    <m/>
    <x v="306"/>
    <m/>
    <s v="Cateterismo cardíaco pediátrico"/>
    <x v="244"/>
    <n v="5"/>
    <n v="2021"/>
    <s v="Hemodinámica"/>
  </r>
  <r>
    <s v="Pediátrico"/>
    <s v="Giner"/>
    <s v="Parra"/>
    <s v="Alba"/>
    <n v="8062522"/>
    <d v="2021-04-30T00:00:00"/>
    <n v="0.10299999999999999"/>
    <m/>
    <m/>
    <m/>
    <m/>
    <m/>
    <m/>
    <m/>
    <m/>
    <m/>
    <m/>
    <x v="307"/>
    <m/>
    <s v="Arteriografía pélvica pediátrica"/>
    <x v="245"/>
    <n v="4"/>
    <n v="2021"/>
    <m/>
  </r>
  <r>
    <s v="Pediátrico"/>
    <s v="Ferrus"/>
    <s v="Gonzalez"/>
    <s v="Laia"/>
    <n v="1290954"/>
    <d v="2021-04-30T00:00:00"/>
    <n v="4.8809999999999999E-2"/>
    <m/>
    <m/>
    <m/>
    <m/>
    <m/>
    <m/>
    <m/>
    <m/>
    <m/>
    <m/>
    <x v="308"/>
    <m/>
    <s v="Cateterismo cardíaco pediátrico"/>
    <x v="246"/>
    <n v="4"/>
    <n v="2021"/>
    <s v="Hemodinámica"/>
  </r>
  <r>
    <s v="Pediátrico"/>
    <s v="Constinuc"/>
    <m/>
    <s v="David Constanti"/>
    <n v="7263099"/>
    <d v="2021-04-29T00:00:00"/>
    <n v="0.36499999999999999"/>
    <m/>
    <m/>
    <m/>
    <m/>
    <m/>
    <m/>
    <m/>
    <m/>
    <m/>
    <m/>
    <x v="309"/>
    <m/>
    <s v="Cateterismo cardíaco pediátrico"/>
    <x v="247"/>
    <n v="4"/>
    <n v="2021"/>
    <s v="Hemodinámica"/>
  </r>
  <r>
    <s v="Pediátrico"/>
    <s v="Gómez"/>
    <s v="Zambrano"/>
    <s v="Hugo"/>
    <n v="6670344"/>
    <d v="2021-04-29T00:00:00"/>
    <n v="6.6000000000000003E-2"/>
    <m/>
    <m/>
    <m/>
    <m/>
    <m/>
    <m/>
    <m/>
    <m/>
    <m/>
    <m/>
    <x v="211"/>
    <m/>
    <s v="Angiografía cerebral completa y selectiva pediátrica"/>
    <x v="248"/>
    <n v="4"/>
    <n v="2021"/>
    <m/>
  </r>
  <r>
    <s v="Adulto"/>
    <s v="Chust"/>
    <s v="Piquer"/>
    <s v="Isabel"/>
    <n v="2878193"/>
    <d v="2021-04-28T00:00:00"/>
    <n v="0.4"/>
    <m/>
    <m/>
    <m/>
    <m/>
    <m/>
    <m/>
    <m/>
    <m/>
    <m/>
    <m/>
    <x v="310"/>
    <m/>
    <s v="Toma de presiones: Manometría venosa"/>
    <x v="249"/>
    <n v="4"/>
    <n v="2021"/>
    <s v="Vascular"/>
  </r>
  <r>
    <s v="Pediátrico"/>
    <s v="Cantos"/>
    <s v="Mendoza"/>
    <s v="Rubén"/>
    <n v="8482529"/>
    <d v="2021-04-28T00:00:00"/>
    <n v="3.4000000000000002E-2"/>
    <m/>
    <m/>
    <m/>
    <m/>
    <m/>
    <m/>
    <m/>
    <m/>
    <m/>
    <m/>
    <x v="311"/>
    <m/>
    <s v="Arteriografía por vía venosa pediátrica"/>
    <x v="250"/>
    <n v="4"/>
    <n v="2021"/>
    <m/>
  </r>
  <r>
    <s v="Pediátrico"/>
    <s v="Peinado"/>
    <s v="Castillejos"/>
    <s v="David"/>
    <n v="9650615"/>
    <d v="2021-04-28T00:00:00"/>
    <n v="1.2800000000000001E-2"/>
    <m/>
    <m/>
    <m/>
    <m/>
    <m/>
    <m/>
    <m/>
    <m/>
    <m/>
    <m/>
    <x v="312"/>
    <m/>
    <s v="Angiografía cerebral completa y selectiva pediátrica"/>
    <x v="251"/>
    <n v="4"/>
    <n v="2021"/>
    <s v="Vascular"/>
  </r>
  <r>
    <s v="Pediátrico"/>
    <s v="Ciochina"/>
    <m/>
    <s v="Maya Paulina"/>
    <n v="13030412"/>
    <d v="2021-04-28T00:00:00"/>
    <n v="1.4599999999999999E-3"/>
    <m/>
    <m/>
    <m/>
    <m/>
    <m/>
    <m/>
    <m/>
    <m/>
    <m/>
    <m/>
    <x v="313"/>
    <m/>
    <s v="Colocación cáteter vena central sin tracto subcutáneo pediátrico"/>
    <x v="252"/>
    <n v="4"/>
    <n v="2021"/>
    <s v="Vascular"/>
  </r>
  <r>
    <s v="Adulto"/>
    <s v="Burriel"/>
    <s v="Ballester"/>
    <s v="Herminio"/>
    <n v="3523973"/>
    <d v="2021-04-27T00:00:00"/>
    <n v="1.3580000000000001"/>
    <m/>
    <m/>
    <m/>
    <m/>
    <m/>
    <m/>
    <m/>
    <m/>
    <m/>
    <m/>
    <x v="314"/>
    <m/>
    <s v="Quimioembolización hepática. Procedimiento básico"/>
    <x v="253"/>
    <n v="4"/>
    <n v="2021"/>
    <m/>
  </r>
  <r>
    <s v="Pediátrico"/>
    <s v="Gómez"/>
    <s v="Poles"/>
    <s v="María"/>
    <n v="11757112"/>
    <d v="2021-04-27T00:00:00"/>
    <n v="9.9399999999999992E-3"/>
    <m/>
    <m/>
    <m/>
    <m/>
    <m/>
    <m/>
    <m/>
    <m/>
    <m/>
    <m/>
    <x v="315"/>
    <m/>
    <s v="Cateterismo cardíaco pediátrico"/>
    <x v="254"/>
    <n v="4"/>
    <n v="2021"/>
    <m/>
  </r>
  <r>
    <s v="Adulto"/>
    <s v="Estruch"/>
    <s v="Estruch"/>
    <s v="Ricardo"/>
    <n v="245828"/>
    <d v="2021-04-26T00:00:00"/>
    <n v="1.032"/>
    <m/>
    <m/>
    <m/>
    <m/>
    <m/>
    <m/>
    <m/>
    <m/>
    <m/>
    <m/>
    <x v="316"/>
    <m/>
    <s v="Biopsia percutánea mediante ecografía"/>
    <x v="255"/>
    <n v="4"/>
    <n v="2021"/>
    <s v="Vascular"/>
  </r>
  <r>
    <s v="Adulto"/>
    <s v="García"/>
    <s v="Calabuig"/>
    <s v="Eliduvina"/>
    <n v="3510329"/>
    <d v="2021-04-26T00:00:00"/>
    <n v="0.4"/>
    <m/>
    <m/>
    <m/>
    <m/>
    <m/>
    <m/>
    <m/>
    <m/>
    <m/>
    <m/>
    <x v="317"/>
    <m/>
    <s v="Quimioembolización hepática. Procedimiento básico"/>
    <x v="256"/>
    <n v="4"/>
    <n v="2021"/>
    <m/>
  </r>
  <r>
    <s v="Adulto"/>
    <s v="Sanchez"/>
    <s v="Garcia"/>
    <s v="Primitivo"/>
    <n v="1244519"/>
    <d v="2021-04-21T00:00:00"/>
    <n v="0.30099999999999999"/>
    <m/>
    <m/>
    <m/>
    <m/>
    <m/>
    <m/>
    <m/>
    <m/>
    <m/>
    <m/>
    <x v="137"/>
    <m/>
    <s v="Tratamiento endovascular aneurisma de aorta abdominal. Procedimiento basico"/>
    <x v="114"/>
    <m/>
    <m/>
    <m/>
  </r>
  <r>
    <s v="Adulto"/>
    <s v="Lamallem"/>
    <m/>
    <s v="Jamil"/>
    <n v="6771491"/>
    <d v="2021-04-20T00:00:00"/>
    <n v="0.53"/>
    <m/>
    <m/>
    <m/>
    <m/>
    <m/>
    <m/>
    <m/>
    <m/>
    <m/>
    <m/>
    <x v="318"/>
    <m/>
    <s v="Embolización pulmonar: Procedimiento básico"/>
    <x v="257"/>
    <n v="4"/>
    <n v="2021"/>
    <s v="Vascular"/>
  </r>
  <r>
    <s v="Adulto"/>
    <s v="Alberto"/>
    <s v="Saiz"/>
    <s v="Pilar"/>
    <n v="3329365"/>
    <d v="2021-04-20T00:00:00"/>
    <n v="0.39600000000000002"/>
    <n v="0"/>
    <n v="0.123"/>
    <n v="0.39400000000000002"/>
    <n v="0.32400000000000001"/>
    <n v="0"/>
    <n v="0"/>
    <n v="0.123"/>
    <n v="0.39400000000000002"/>
    <n v="0.32400000000000001"/>
    <n v="0"/>
    <x v="319"/>
    <m/>
    <s v="Cateterismo cardíaco"/>
    <x v="258"/>
    <n v="4"/>
    <n v="2021"/>
    <s v="Hemodinámica"/>
  </r>
  <r>
    <s v="Adulto"/>
    <s v="Blasco "/>
    <s v="López"/>
    <s v="Francisco"/>
    <n v="3745640"/>
    <d v="2021-04-19T00:00:00"/>
    <n v="1.472"/>
    <m/>
    <m/>
    <m/>
    <m/>
    <m/>
    <m/>
    <m/>
    <m/>
    <m/>
    <m/>
    <x v="283"/>
    <m/>
    <s v="Embolización hepática: Procedimiento básico"/>
    <x v="222"/>
    <n v="4"/>
    <n v="2021"/>
    <s v="Vascular"/>
  </r>
  <r>
    <s v="Adulto"/>
    <s v="Catalán"/>
    <s v="Pérez"/>
    <s v="Mónica"/>
    <n v="2949196"/>
    <d v="2021-04-19T00:00:00"/>
    <n v="0.9"/>
    <n v="0"/>
    <n v="0.28599999999999998"/>
    <n v="0.28699999999999998"/>
    <n v="0.08"/>
    <n v="0"/>
    <n v="0"/>
    <n v="0.38400000000000001"/>
    <n v="0.38400000000000001"/>
    <n v="0.13400000000000001"/>
    <n v="0"/>
    <x v="320"/>
    <m/>
    <s v="Cateterismo cardíaco"/>
    <x v="259"/>
    <n v="4"/>
    <n v="2021"/>
    <s v="Hemodinámica"/>
  </r>
  <r>
    <s v="Adulto"/>
    <s v="Peiró"/>
    <s v="Navarrete"/>
    <s v="Cándido"/>
    <n v="2987571"/>
    <d v="2021-04-19T00:00:00"/>
    <n v="0.877"/>
    <m/>
    <m/>
    <m/>
    <m/>
    <m/>
    <m/>
    <m/>
    <m/>
    <m/>
    <m/>
    <x v="321"/>
    <m/>
    <m/>
    <x v="260"/>
    <n v="4"/>
    <n v="2021"/>
    <s v="Vascular"/>
  </r>
  <r>
    <s v="Pediátrico"/>
    <s v="Arteaga"/>
    <s v="Piedrahita"/>
    <s v="Dylan Adriy"/>
    <n v="12872007"/>
    <d v="2021-04-19T00:00:00"/>
    <n v="0.72099999999999997"/>
    <m/>
    <m/>
    <m/>
    <m/>
    <m/>
    <m/>
    <m/>
    <m/>
    <m/>
    <m/>
    <x v="322"/>
    <m/>
    <s v="Cateterismo cardiaco pediatrico"/>
    <x v="261"/>
    <n v="4"/>
    <n v="2021"/>
    <s v="Vascular"/>
  </r>
  <r>
    <s v="Adulto"/>
    <s v="Muñoz"/>
    <s v="Fernández"/>
    <s v="Francisco"/>
    <n v="2272024"/>
    <d v="2021-04-16T00:00:00"/>
    <n v="0.60099999999999998"/>
    <n v="0"/>
    <n v="5.7000000000000002E-2"/>
    <n v="0.36199999999999999"/>
    <n v="0.35599999999999998"/>
    <n v="0"/>
    <n v="0"/>
    <n v="9.0999999999999998E-2"/>
    <n v="0.41599999999999998"/>
    <n v="4.1399999999999999E-2"/>
    <n v="0"/>
    <x v="323"/>
    <m/>
    <s v="Cateterismo cardíaco"/>
    <x v="262"/>
    <n v="4"/>
    <n v="2021"/>
    <s v="Hemodinámica"/>
  </r>
  <r>
    <s v="Adulto"/>
    <s v="Fernández"/>
    <s v="Bermúdez"/>
    <s v="Bienvenido"/>
    <n v="244541"/>
    <d v="2021-04-15T00:00:00"/>
    <n v="1.024"/>
    <m/>
    <m/>
    <m/>
    <m/>
    <m/>
    <m/>
    <m/>
    <m/>
    <m/>
    <m/>
    <x v="324"/>
    <m/>
    <s v="Arteriografía troncos viscerales digestivos"/>
    <x v="263"/>
    <n v="4"/>
    <n v="2021"/>
    <s v="Vascular"/>
  </r>
  <r>
    <s v="Adulto"/>
    <s v="Sendín"/>
    <s v="Guerrero"/>
    <s v="José"/>
    <n v="1213680"/>
    <d v="2021-04-15T00:00:00"/>
    <n v="0.72599999999999998"/>
    <n v="0"/>
    <n v="0.26"/>
    <n v="0.57599999999999996"/>
    <n v="0.48099999999999998"/>
    <n v="0"/>
    <n v="0"/>
    <n v="0.26"/>
    <n v="0.70399999999999996"/>
    <n v="0.61"/>
    <n v="0"/>
    <x v="325"/>
    <m/>
    <s v="Cateterismo cardíaco"/>
    <x v="264"/>
    <n v="4"/>
    <n v="2021"/>
    <s v="Hemodinámica"/>
  </r>
  <r>
    <s v="Adulto"/>
    <s v="Valverde"/>
    <s v="Quevedo"/>
    <s v="Manuel"/>
    <n v="1006232"/>
    <d v="2021-04-14T00:00:00"/>
    <n v="0.34300000000000003"/>
    <n v="0"/>
    <n v="0.115"/>
    <n v="0.17399999999999999"/>
    <n v="0.17100000000000001"/>
    <n v="0"/>
    <n v="0"/>
    <n v="7.6999999999999999E-2"/>
    <n v="0.14499999999999999"/>
    <n v="0.14099999999999999"/>
    <n v="0"/>
    <x v="326"/>
    <m/>
    <s v="Cateterismo cardíaco"/>
    <x v="265"/>
    <n v="4"/>
    <n v="2021"/>
    <s v="Hemodinámica"/>
  </r>
  <r>
    <s v="Pediátrico"/>
    <s v="Núñez"/>
    <s v="Ortiz"/>
    <s v="Rosa"/>
    <n v="6617691"/>
    <d v="2021-04-13T00:00:00"/>
    <n v="3.4140000000000001"/>
    <m/>
    <m/>
    <m/>
    <m/>
    <m/>
    <m/>
    <m/>
    <m/>
    <m/>
    <m/>
    <x v="327"/>
    <m/>
    <s v="Cateterismo cardiaco pediatrico"/>
    <x v="266"/>
    <n v="4"/>
    <n v="2021"/>
    <s v="Vascular"/>
  </r>
  <r>
    <s v="Adulto"/>
    <s v="Conde"/>
    <s v="Conde"/>
    <s v="Miguel Francisco"/>
    <n v="2409224"/>
    <d v="2021-04-13T00:00:00"/>
    <n v="0.63500000000000001"/>
    <m/>
    <m/>
    <m/>
    <m/>
    <m/>
    <m/>
    <m/>
    <m/>
    <m/>
    <m/>
    <x v="328"/>
    <m/>
    <s v="Shunt portocava percutáneo TIPS. Procedimiento básico"/>
    <x v="267"/>
    <n v="4"/>
    <n v="2021"/>
    <s v="Vascular"/>
  </r>
  <r>
    <s v="Pediátrico"/>
    <s v="Pons"/>
    <s v="Pous"/>
    <s v="Noa"/>
    <n v="13106653"/>
    <d v="2021-04-13T00:00:00"/>
    <n v="3.7000000000000002E-3"/>
    <m/>
    <m/>
    <m/>
    <m/>
    <m/>
    <m/>
    <m/>
    <m/>
    <m/>
    <m/>
    <x v="329"/>
    <m/>
    <s v="Cateterismo cardíaco pediátrico"/>
    <x v="268"/>
    <n v="4"/>
    <n v="2021"/>
    <m/>
  </r>
  <r>
    <s v="Adulto"/>
    <s v="Fernando"/>
    <s v="Llorca"/>
    <s v="Consuelo"/>
    <n v="221667"/>
    <d v="2021-04-08T00:00:00"/>
    <n v="0.81499999999999995"/>
    <m/>
    <m/>
    <m/>
    <m/>
    <m/>
    <m/>
    <m/>
    <m/>
    <m/>
    <m/>
    <x v="330"/>
    <m/>
    <s v="Embolización en tumores. Procedimiento básico"/>
    <x v="269"/>
    <n v="4"/>
    <n v="2021"/>
    <s v="Vascular"/>
  </r>
  <r>
    <s v="Pediátrico"/>
    <s v="Mancebo"/>
    <s v="Matos"/>
    <s v="Junior"/>
    <n v="12097962"/>
    <d v="2021-04-08T00:00:00"/>
    <n v="0.03"/>
    <m/>
    <m/>
    <m/>
    <m/>
    <m/>
    <m/>
    <m/>
    <m/>
    <m/>
    <m/>
    <x v="331"/>
    <m/>
    <s v="Cateterismo cardíaco pediátrico"/>
    <x v="270"/>
    <n v="4"/>
    <n v="2021"/>
    <m/>
  </r>
  <r>
    <s v="Adulto"/>
    <s v="Lacomba"/>
    <s v="Albalate"/>
    <s v="José"/>
    <n v="2803018"/>
    <d v="2021-04-06T00:00:00"/>
    <n v="1.05"/>
    <m/>
    <m/>
    <m/>
    <m/>
    <m/>
    <m/>
    <m/>
    <m/>
    <m/>
    <m/>
    <x v="332"/>
    <m/>
    <s v="Quimioembolización hepática. Procedimiento básico"/>
    <x v="271"/>
    <n v="4"/>
    <n v="2021"/>
    <s v="Vascular"/>
  </r>
  <r>
    <s v="Pediátrico"/>
    <s v="López"/>
    <s v="Pardo"/>
    <s v="Lidia"/>
    <n v="7164364"/>
    <d v="2021-04-06T00:00:00"/>
    <n v="0.746"/>
    <m/>
    <m/>
    <m/>
    <m/>
    <m/>
    <m/>
    <m/>
    <m/>
    <m/>
    <m/>
    <x v="333"/>
    <m/>
    <s v="Cateterismo cardiaco pediatrico"/>
    <x v="272"/>
    <n v="4"/>
    <n v="2021"/>
    <s v="Vascular"/>
  </r>
  <r>
    <s v="Pediátrico"/>
    <s v="López"/>
    <s v="Yuste"/>
    <s v="Thiago"/>
    <n v="12851181"/>
    <d v="2021-03-31T00:00:00"/>
    <n v="0.155"/>
    <m/>
    <m/>
    <m/>
    <m/>
    <m/>
    <m/>
    <m/>
    <m/>
    <m/>
    <m/>
    <x v="260"/>
    <m/>
    <s v="Dilatación vía biliar"/>
    <x v="197"/>
    <n v="3"/>
    <n v="2021"/>
    <s v="Vascular"/>
  </r>
  <r>
    <s v="Adulto"/>
    <s v="Frías"/>
    <s v="Benito"/>
    <s v="Juan"/>
    <n v="4271173"/>
    <d v="2021-03-30T00:00:00"/>
    <n v="0.99099999999999999"/>
    <m/>
    <m/>
    <m/>
    <m/>
    <m/>
    <m/>
    <m/>
    <m/>
    <m/>
    <m/>
    <x v="334"/>
    <m/>
    <s v="Toma de presiones: Manometría venosa"/>
    <x v="273"/>
    <n v="3"/>
    <n v="2021"/>
    <s v="Vascular"/>
  </r>
  <r>
    <s v="Adulto"/>
    <s v="Hlioui"/>
    <m/>
    <s v="Hamid"/>
    <n v="5350920"/>
    <d v="2021-03-30T00:00:00"/>
    <n v="0.317"/>
    <m/>
    <m/>
    <m/>
    <m/>
    <m/>
    <m/>
    <m/>
    <m/>
    <m/>
    <m/>
    <x v="290"/>
    <m/>
    <s v="Tratamiento estenosis oclusiva cava superior: Procedimiento básico"/>
    <x v="229"/>
    <n v="3"/>
    <n v="2021"/>
    <s v="Vascular"/>
  </r>
  <r>
    <s v="Adulto"/>
    <s v="Felix"/>
    <s v="Fontestad"/>
    <s v="Jesús"/>
    <n v="2290059"/>
    <d v="2021-03-29T00:00:00"/>
    <n v="2.44"/>
    <n v="0"/>
    <n v="0.21"/>
    <n v="2.3912"/>
    <n v="2.1227999999999998"/>
    <n v="0"/>
    <n v="0"/>
    <n v="0.43919999999999998"/>
    <n v="1.0491999999999999"/>
    <n v="0.7075999999999999"/>
    <n v="0"/>
    <x v="335"/>
    <m/>
    <s v="Cateterismo cardíaco"/>
    <x v="274"/>
    <n v="3"/>
    <n v="2021"/>
    <s v="Hemodinámica"/>
  </r>
  <r>
    <s v="Adulto"/>
    <s v="Sarrión"/>
    <s v="Benito"/>
    <s v="Regina"/>
    <n v="3498767"/>
    <d v="2021-03-29T00:00:00"/>
    <n v="0.78600000000000003"/>
    <m/>
    <m/>
    <m/>
    <m/>
    <m/>
    <m/>
    <m/>
    <m/>
    <m/>
    <m/>
    <x v="336"/>
    <m/>
    <s v="Embolización hepática: Procedimiento básico"/>
    <x v="275"/>
    <n v="3"/>
    <n v="2021"/>
    <s v="Vascular"/>
  </r>
  <r>
    <s v="Adulto"/>
    <s v="Khoshbekyan"/>
    <m/>
    <s v="Poghos"/>
    <n v="6842969"/>
    <d v="2021-03-26T00:00:00"/>
    <n v="4.3"/>
    <n v="0"/>
    <n v="1.4"/>
    <n v="1.38"/>
    <n v="1.155"/>
    <n v="0"/>
    <n v="0"/>
    <n v="0.35799999999999998"/>
    <n v="0.9"/>
    <n v="2.5129999999999999"/>
    <n v="0"/>
    <x v="337"/>
    <m/>
    <s v="Cateterismo cardíaco"/>
    <x v="276"/>
    <n v="3"/>
    <n v="2021"/>
    <s v="Hemodinámica"/>
  </r>
  <r>
    <s v="Adulto"/>
    <s v="Cisne"/>
    <s v="del Isaac"/>
    <s v="Jesús"/>
    <n v="2925628"/>
    <d v="2021-03-26T00:00:00"/>
    <n v="3.8069999999999999"/>
    <n v="0"/>
    <n v="1.7110000000000001"/>
    <n v="1.712"/>
    <n v="0.68200000000000005"/>
    <n v="0"/>
    <n v="0"/>
    <n v="1.698"/>
    <n v="1.7"/>
    <n v="0.68200000000000005"/>
    <n v="0"/>
    <x v="338"/>
    <s v="Si"/>
    <s v="Cateterismo cardíaco"/>
    <x v="277"/>
    <n v="3"/>
    <n v="2021"/>
    <s v="Hemodinámica"/>
  </r>
  <r>
    <s v="Pediátrico"/>
    <s v="García"/>
    <s v="Oller"/>
    <s v="Hugo"/>
    <n v="11396648"/>
    <d v="2021-03-26T00:00:00"/>
    <n v="0.107"/>
    <m/>
    <m/>
    <m/>
    <m/>
    <m/>
    <m/>
    <m/>
    <m/>
    <m/>
    <m/>
    <x v="339"/>
    <m/>
    <s v="Cateterismo cardiaco pediatrico"/>
    <x v="278"/>
    <n v="3"/>
    <n v="2021"/>
    <s v="Vascular"/>
  </r>
  <r>
    <s v="Adulto"/>
    <s v="Juan"/>
    <s v="Verdú"/>
    <s v="Luis"/>
    <n v="3604125"/>
    <d v="2021-03-25T00:00:00"/>
    <n v="1.5409999999999999"/>
    <m/>
    <m/>
    <m/>
    <m/>
    <m/>
    <m/>
    <m/>
    <m/>
    <m/>
    <m/>
    <x v="340"/>
    <m/>
    <s v="Otras embolizaciones. Procedimiento básico"/>
    <x v="279"/>
    <n v="3"/>
    <n v="2021"/>
    <s v="Vascular"/>
  </r>
  <r>
    <s v="Pediátrico"/>
    <s v="Hurtado"/>
    <s v="Pamies"/>
    <s v="Ainara"/>
    <n v="7014360"/>
    <d v="2021-03-25T00:00:00"/>
    <n v="0.24199999999999999"/>
    <m/>
    <m/>
    <m/>
    <m/>
    <m/>
    <m/>
    <m/>
    <m/>
    <m/>
    <m/>
    <x v="341"/>
    <m/>
    <s v="Cateterismo cardiaco pediatrico"/>
    <x v="280"/>
    <n v="3"/>
    <n v="2021"/>
    <s v="Vascular"/>
  </r>
  <r>
    <s v="Adulto"/>
    <s v="Rodríguez"/>
    <s v="Hernández"/>
    <s v="Edgar"/>
    <n v="12223156"/>
    <d v="2021-03-24T00:00:00"/>
    <n v="0.36499999999999999"/>
    <m/>
    <m/>
    <m/>
    <m/>
    <m/>
    <m/>
    <m/>
    <m/>
    <m/>
    <m/>
    <x v="342"/>
    <m/>
    <s v="Esclerosis de cavidades"/>
    <x v="281"/>
    <n v="3"/>
    <n v="2021"/>
    <s v="Vascular"/>
  </r>
  <r>
    <s v="Adulto"/>
    <s v="Vera"/>
    <s v="Domínguez"/>
    <s v="Manuel"/>
    <n v="2881585"/>
    <d v="2021-03-23T00:00:00"/>
    <n v="0.43"/>
    <m/>
    <m/>
    <m/>
    <m/>
    <m/>
    <m/>
    <m/>
    <m/>
    <m/>
    <m/>
    <x v="343"/>
    <m/>
    <s v="Tratamiento intraarterial ictus isquémico"/>
    <x v="282"/>
    <n v="3"/>
    <n v="2021"/>
    <s v="Vascular"/>
  </r>
  <r>
    <s v="Pediátrico"/>
    <s v="López"/>
    <s v="Sánchez"/>
    <s v="Emma"/>
    <n v="11575960"/>
    <d v="2021-03-23T00:00:00"/>
    <n v="0.2"/>
    <m/>
    <m/>
    <m/>
    <m/>
    <m/>
    <m/>
    <m/>
    <m/>
    <m/>
    <m/>
    <x v="344"/>
    <m/>
    <s v="Cateterismo cardiaco pediatrico"/>
    <x v="283"/>
    <n v="3"/>
    <n v="2021"/>
    <s v="Vascular"/>
  </r>
  <r>
    <s v="Adulto"/>
    <s v="Mariño"/>
    <s v="San Martín"/>
    <s v="Maximino Andrés"/>
    <n v="3042189"/>
    <d v="2021-03-22T00:00:00"/>
    <n v="0.41399999999999998"/>
    <n v="0"/>
    <n v="3.2000000000000001E-2"/>
    <n v="0.182"/>
    <n v="0.17"/>
    <n v="0"/>
    <n v="0"/>
    <n v="7.1999999999999995E-2"/>
    <n v="0.183"/>
    <n v="0.183"/>
    <n v="0"/>
    <x v="345"/>
    <m/>
    <s v="Cateterismo cardíaco"/>
    <x v="284"/>
    <n v="3"/>
    <n v="2021"/>
    <s v="Hemodinámica"/>
  </r>
  <r>
    <s v="Pediátrico"/>
    <s v="Esteve"/>
    <s v="Nevado"/>
    <s v="Lucía"/>
    <n v="12930459"/>
    <d v="2021-03-22T00:00:00"/>
    <n v="0.1"/>
    <m/>
    <m/>
    <m/>
    <m/>
    <m/>
    <m/>
    <m/>
    <m/>
    <m/>
    <m/>
    <x v="346"/>
    <m/>
    <s v="Cateterismo cardíaco pediátrico"/>
    <x v="285"/>
    <n v="3"/>
    <n v="2021"/>
    <s v="Hemodinámica"/>
  </r>
  <r>
    <s v="Adulto"/>
    <s v="Gerona"/>
    <s v="Torregrosa"/>
    <s v="Guillermo"/>
    <n v="805641"/>
    <d v="2021-03-17T00:00:00"/>
    <n v="1.073"/>
    <n v="0"/>
    <n v="0.14099999999999999"/>
    <n v="0.45100000000000001"/>
    <n v="0.45100000000000001"/>
    <n v="0"/>
    <n v="0"/>
    <n v="8.4000000000000005E-2"/>
    <n v="0.377"/>
    <n v="0.377"/>
    <n v="0"/>
    <x v="347"/>
    <m/>
    <s v="Cateterismo cardíaco"/>
    <x v="286"/>
    <n v="3"/>
    <n v="2021"/>
    <s v="Hemodinámica"/>
  </r>
  <r>
    <s v="Adulto"/>
    <s v="Muñoz"/>
    <s v="Hernández"/>
    <s v="Manuela"/>
    <n v="3122982"/>
    <d v="2021-03-17T00:00:00"/>
    <n v="0.255"/>
    <m/>
    <m/>
    <m/>
    <m/>
    <m/>
    <m/>
    <m/>
    <m/>
    <m/>
    <m/>
    <x v="348"/>
    <m/>
    <s v="Gastrostomía percutánea"/>
    <x v="287"/>
    <n v="3"/>
    <n v="2021"/>
    <s v="Vascular"/>
  </r>
  <r>
    <s v="Adulto"/>
    <s v="Fuster"/>
    <s v="Tarrazo"/>
    <s v="Rosa María"/>
    <n v="3264182"/>
    <d v="2021-03-16T00:00:00"/>
    <n v="0.4"/>
    <m/>
    <m/>
    <m/>
    <m/>
    <m/>
    <m/>
    <m/>
    <m/>
    <m/>
    <m/>
    <x v="349"/>
    <m/>
    <s v="Embolización renal. Procedimiento básico"/>
    <x v="288"/>
    <n v="3"/>
    <n v="2021"/>
    <s v="Vascular"/>
  </r>
  <r>
    <s v="Adulto"/>
    <s v="Del Pueblo"/>
    <s v="Nieto"/>
    <s v="Josefa"/>
    <n v="1847325"/>
    <d v="2021-03-16T00:00:00"/>
    <n v="0.3"/>
    <m/>
    <m/>
    <m/>
    <m/>
    <m/>
    <m/>
    <m/>
    <m/>
    <m/>
    <m/>
    <x v="350"/>
    <m/>
    <s v="Embolización esplénica. Procedimiento básico"/>
    <x v="289"/>
    <n v="3"/>
    <n v="2021"/>
    <s v="Vascular"/>
  </r>
  <r>
    <s v="Pediátrico"/>
    <s v="Morralla"/>
    <s v="Dols"/>
    <s v="Sonia"/>
    <n v="6557380"/>
    <d v="2021-03-16T00:00:00"/>
    <n v="0.161"/>
    <m/>
    <m/>
    <m/>
    <m/>
    <m/>
    <m/>
    <m/>
    <m/>
    <m/>
    <m/>
    <x v="351"/>
    <m/>
    <s v="Cateterismo cardíaco pediátrico"/>
    <x v="290"/>
    <n v="3"/>
    <n v="2021"/>
    <m/>
  </r>
  <r>
    <s v="Adulto"/>
    <s v="Peñarrocha"/>
    <s v="Piqueras"/>
    <s v="Marcos Antonio"/>
    <n v="3028955"/>
    <d v="2021-03-15T00:00:00"/>
    <n v="0.627"/>
    <m/>
    <m/>
    <m/>
    <m/>
    <m/>
    <m/>
    <m/>
    <m/>
    <m/>
    <m/>
    <x v="352"/>
    <m/>
    <s v="Otras embolizaciones. Procedimiento básico"/>
    <x v="291"/>
    <n v="3"/>
    <n v="2021"/>
    <s v="Vascular"/>
  </r>
  <r>
    <s v="Pediátrico"/>
    <s v="Mata"/>
    <s v="Garrido"/>
    <s v="Marta"/>
    <n v="6704909"/>
    <d v="2021-03-15T00:00:00"/>
    <n v="2.9000000000000001E-2"/>
    <m/>
    <m/>
    <m/>
    <m/>
    <m/>
    <m/>
    <m/>
    <m/>
    <m/>
    <m/>
    <x v="353"/>
    <m/>
    <s v="Cateterismo cardiaco pediatrico"/>
    <x v="292"/>
    <n v="3"/>
    <n v="2021"/>
    <s v="Vascular"/>
  </r>
  <r>
    <s v="Pediátrico"/>
    <s v="Pedrón"/>
    <s v="Caballero"/>
    <s v="Ángela"/>
    <n v="13020054"/>
    <d v="2021-03-15T00:00:00"/>
    <n v="1.2999999999999999E-2"/>
    <m/>
    <m/>
    <m/>
    <m/>
    <m/>
    <m/>
    <m/>
    <m/>
    <m/>
    <m/>
    <x v="354"/>
    <m/>
    <s v="Otro intervencionismo diagnostico de abdomen pediátrico"/>
    <x v="293"/>
    <n v="3"/>
    <n v="2021"/>
    <s v="Vascular"/>
  </r>
  <r>
    <s v="Adulto"/>
    <s v="Navarro"/>
    <s v="Palanca"/>
    <s v="Vicenta"/>
    <n v="3370441"/>
    <d v="2021-03-14T00:00:00"/>
    <n v="0.43"/>
    <m/>
    <m/>
    <m/>
    <m/>
    <m/>
    <m/>
    <m/>
    <m/>
    <m/>
    <m/>
    <x v="355"/>
    <m/>
    <s v="Embolización de hemorragia digestiva alta. Procedimiento básico"/>
    <x v="294"/>
    <n v="3"/>
    <n v="2021"/>
    <s v="Vascular"/>
  </r>
  <r>
    <s v="Adulto"/>
    <s v="Herrada"/>
    <s v="Perona"/>
    <s v="Honorio"/>
    <n v="3328651"/>
    <d v="2021-03-12T00:00:00"/>
    <n v="2.1440000000000001"/>
    <n v="0"/>
    <n v="0.39700000000000002"/>
    <n v="0.39700000000000002"/>
    <n v="0.17399999999999999"/>
    <n v="0"/>
    <n v="0"/>
    <n v="8.4000000000000005E-2"/>
    <n v="0.20899999999999999"/>
    <n v="1.194"/>
    <n v="0"/>
    <x v="356"/>
    <m/>
    <s v="Cateterismo cardíaco"/>
    <x v="295"/>
    <n v="3"/>
    <n v="2021"/>
    <s v="Hemodinámica"/>
  </r>
  <r>
    <s v="Adulto"/>
    <s v="García-Uceda"/>
    <s v="Ruiz-Orejón"/>
    <s v="José"/>
    <n v="2309838"/>
    <d v="2021-03-12T00:00:00"/>
    <n v="0.98"/>
    <m/>
    <m/>
    <m/>
    <m/>
    <m/>
    <m/>
    <m/>
    <m/>
    <m/>
    <m/>
    <x v="357"/>
    <m/>
    <s v="Shunt portocava percutáneo TIPS. Procedimiento básico"/>
    <x v="296"/>
    <n v="3"/>
    <n v="2021"/>
    <s v="Vascular"/>
  </r>
  <r>
    <s v="Pediátrico"/>
    <s v="Prieto"/>
    <s v="Bonora"/>
    <s v="Víctor"/>
    <n v="7577641"/>
    <d v="2021-03-11T00:00:00"/>
    <n v="0.42399999999999999"/>
    <m/>
    <m/>
    <m/>
    <m/>
    <m/>
    <m/>
    <m/>
    <m/>
    <m/>
    <m/>
    <x v="358"/>
    <m/>
    <s v="Cateterismo cardiaco pediatrico"/>
    <x v="297"/>
    <n v="3"/>
    <n v="2021"/>
    <s v="Vascular"/>
  </r>
  <r>
    <s v="Adulto"/>
    <s v="Argente"/>
    <s v="Gomis"/>
    <s v="Juan"/>
    <n v="3152027"/>
    <d v="2021-03-10T00:00:00"/>
    <n v="0.94399999999999995"/>
    <n v="0"/>
    <n v="4.7E-2"/>
    <n v="0.21299999999999999"/>
    <n v="0.21299999999999999"/>
    <n v="0"/>
    <n v="0"/>
    <n v="7.6999999999999999E-2"/>
    <n v="0.56699999999999995"/>
    <n v="0.21299999999999999"/>
    <n v="0"/>
    <x v="359"/>
    <m/>
    <s v="Cateterismo cardíaco"/>
    <x v="298"/>
    <n v="3"/>
    <n v="2021"/>
    <s v="Hemodinámica"/>
  </r>
  <r>
    <s v="Adulto"/>
    <s v="Navalón"/>
    <s v="Defez"/>
    <s v="Javier"/>
    <n v="3847337"/>
    <d v="2021-03-10T00:00:00"/>
    <n v="0.67100000000000004"/>
    <n v="0"/>
    <n v="0.34200000000000003"/>
    <n v="0.19700000000000001"/>
    <n v="5.8000000000000003E-2"/>
    <n v="0"/>
    <n v="0"/>
    <n v="0.34200000000000003"/>
    <n v="0.19700000000000001"/>
    <n v="0.125"/>
    <n v="0"/>
    <x v="360"/>
    <m/>
    <s v="Cateterismo cardíaco"/>
    <x v="299"/>
    <n v="3"/>
    <n v="2021"/>
    <s v="Hemodinámica"/>
  </r>
  <r>
    <s v="Adulto"/>
    <s v="Oliva"/>
    <s v="Moresi"/>
    <s v="Lorenzo"/>
    <n v="3342662"/>
    <d v="2021-03-10T00:00:00"/>
    <n v="0.46500000000000002"/>
    <n v="0"/>
    <n v="7.0999999999999994E-2"/>
    <n v="0.35599999999999998"/>
    <n v="0.307"/>
    <n v="0"/>
    <n v="0"/>
    <n v="7.0999999999999994E-2"/>
    <n v="0.35699999999999998"/>
    <n v="0.307"/>
    <n v="0"/>
    <x v="361"/>
    <m/>
    <s v="Cateterismo cardíaco"/>
    <x v="300"/>
    <n v="3"/>
    <n v="2021"/>
    <s v="Hemodinámica"/>
  </r>
  <r>
    <s v="Adulto"/>
    <s v="Veliz"/>
    <s v="Cadena"/>
    <s v="Marlon Omar"/>
    <n v="4976109"/>
    <d v="2021-03-10T00:00:00"/>
    <n v="0.42399999999999999"/>
    <m/>
    <m/>
    <m/>
    <m/>
    <m/>
    <m/>
    <m/>
    <m/>
    <m/>
    <m/>
    <x v="171"/>
    <m/>
    <s v="Drenaje biliar percutáneo interno externo"/>
    <x v="129"/>
    <n v="3"/>
    <n v="2021"/>
    <s v="Vascular"/>
  </r>
  <r>
    <s v="Adulto"/>
    <s v="Rochina"/>
    <s v="Herradón"/>
    <s v="Antonio"/>
    <n v="3296336"/>
    <d v="2021-03-10T00:00:00"/>
    <n v="0.28699999999999998"/>
    <n v="0"/>
    <n v="6.2E-2"/>
    <n v="0.13200000000000001"/>
    <n v="8.5999999999999993E-2"/>
    <n v="0"/>
    <n v="0"/>
    <n v="8.5999999999999993E-2"/>
    <n v="9.8000000000000004E-2"/>
    <n v="0.154"/>
    <n v="0"/>
    <x v="362"/>
    <m/>
    <s v="Cateterismo cardíaco"/>
    <x v="301"/>
    <n v="3"/>
    <n v="2021"/>
    <s v="Hemodinámica"/>
  </r>
  <r>
    <s v="Adulto"/>
    <s v="Ortiz"/>
    <s v="Robles"/>
    <s v="Javier"/>
    <n v="12246972"/>
    <d v="2021-03-10T00:00:00"/>
    <n v="0.23599999999999999"/>
    <n v="0"/>
    <n v="2.1000000000000001E-2"/>
    <n v="0.11700000000000001"/>
    <n v="0.1"/>
    <n v="0"/>
    <n v="0"/>
    <n v="0.3"/>
    <n v="0.11700000000000001"/>
    <n v="0.1"/>
    <n v="0"/>
    <x v="363"/>
    <m/>
    <s v="Cateterismo cardíaco"/>
    <x v="302"/>
    <n v="3"/>
    <n v="2021"/>
    <s v="Hemodinámica"/>
  </r>
  <r>
    <s v="Adulto"/>
    <s v="Natividad"/>
    <s v="Gallego"/>
    <s v="Andrés"/>
    <n v="3760411"/>
    <d v="2021-03-10T00:00:00"/>
    <n v="0.23499999999999999"/>
    <n v="0"/>
    <n v="6.5000000000000002E-2"/>
    <n v="0.105"/>
    <n v="0.105"/>
    <n v="0"/>
    <n v="0"/>
    <n v="2.5999999999999999E-2"/>
    <n v="0.105"/>
    <n v="0.105"/>
    <n v="0"/>
    <x v="95"/>
    <m/>
    <s v="Cateterismo cardíaco"/>
    <x v="303"/>
    <n v="3"/>
    <n v="2021"/>
    <s v="Hemodinámica"/>
  </r>
  <r>
    <s v="Adulto"/>
    <s v="Puchalt"/>
    <s v="Rambla"/>
    <s v="Juan José"/>
    <n v="3701013"/>
    <d v="2021-03-09T00:00:00"/>
    <n v="0.97499999999999998"/>
    <n v="0"/>
    <n v="0.217"/>
    <n v="0.35799999999999998"/>
    <n v="0.29299999999999998"/>
    <n v="0"/>
    <n v="0"/>
    <n v="0.217"/>
    <n v="0.97499999999999998"/>
    <n v="0.91"/>
    <n v="0"/>
    <x v="364"/>
    <m/>
    <s v="Cateterismo cardíaco"/>
    <x v="304"/>
    <n v="3"/>
    <n v="2021"/>
    <s v="Hemodinámica"/>
  </r>
  <r>
    <s v="Adulto"/>
    <s v="Matute"/>
    <s v="Tobias"/>
    <s v="Luis Javier"/>
    <n v="5152251"/>
    <d v="2021-03-09T00:00:00"/>
    <n v="0.06"/>
    <n v="0"/>
    <n v="0.06"/>
    <n v="0.06"/>
    <n v="0.06"/>
    <n v="0"/>
    <n v="0"/>
    <n v="0.06"/>
    <n v="0.06"/>
    <n v="0.06"/>
    <n v="0"/>
    <x v="17"/>
    <m/>
    <s v="Cateterismo cardíaco"/>
    <x v="305"/>
    <n v="3"/>
    <n v="2021"/>
    <s v="Hemodinámica"/>
  </r>
  <r>
    <s v="Adulto"/>
    <s v="Tormo"/>
    <s v="Albert"/>
    <s v="Rafael"/>
    <n v="323546"/>
    <d v="2021-03-08T00:00:00"/>
    <n v="0.8"/>
    <m/>
    <m/>
    <m/>
    <m/>
    <m/>
    <m/>
    <m/>
    <m/>
    <m/>
    <m/>
    <x v="365"/>
    <m/>
    <s v="Embolización tumoral. Procedimiento básico"/>
    <x v="306"/>
    <n v="3"/>
    <n v="2021"/>
    <s v="Vascular"/>
  </r>
  <r>
    <s v="Pediátrico"/>
    <s v="Boles"/>
    <s v="Fernández"/>
    <s v="Alanna"/>
    <n v="7120820"/>
    <d v="2021-03-08T00:00:00"/>
    <n v="0.36"/>
    <m/>
    <m/>
    <m/>
    <m/>
    <m/>
    <m/>
    <m/>
    <m/>
    <m/>
    <m/>
    <x v="366"/>
    <m/>
    <s v="Cateterismo cardiaco pediatrico"/>
    <x v="307"/>
    <n v="3"/>
    <n v="2021"/>
    <s v="Hemodinámica"/>
  </r>
  <r>
    <s v="Adulto"/>
    <s v="García "/>
    <s v="Martí"/>
    <s v="Rafael"/>
    <n v="2874613"/>
    <d v="2021-03-05T00:00:00"/>
    <n v="0.61899999999999999"/>
    <m/>
    <m/>
    <m/>
    <m/>
    <m/>
    <m/>
    <m/>
    <m/>
    <m/>
    <m/>
    <x v="367"/>
    <m/>
    <s v="Otras embolizaciones. Procedimiento básico"/>
    <x v="308"/>
    <n v="3"/>
    <n v="2021"/>
    <s v="Vascular"/>
  </r>
  <r>
    <s v="Adulto"/>
    <s v="García "/>
    <s v="Martí"/>
    <s v="Rafael"/>
    <n v="2874613"/>
    <d v="2021-03-05T00:00:00"/>
    <n v="0.46800000000000003"/>
    <m/>
    <m/>
    <m/>
    <m/>
    <m/>
    <m/>
    <m/>
    <m/>
    <m/>
    <m/>
    <x v="367"/>
    <m/>
    <s v="Arteriografía troncos viscerales digestivos"/>
    <x v="308"/>
    <n v="3"/>
    <n v="2021"/>
    <s v="Vascular"/>
  </r>
  <r>
    <s v="Adulto"/>
    <s v="Navarro"/>
    <s v="Baixauli"/>
    <s v="Juan"/>
    <n v="3720067"/>
    <d v="2021-03-04T00:00:00"/>
    <n v="0.83899999999999997"/>
    <m/>
    <m/>
    <m/>
    <m/>
    <m/>
    <m/>
    <m/>
    <m/>
    <m/>
    <m/>
    <x v="368"/>
    <m/>
    <s v="Embolización de hemorragia digestiva alta. Procedimiento básico"/>
    <x v="309"/>
    <n v="3"/>
    <n v="2021"/>
    <s v="Vascular"/>
  </r>
  <r>
    <s v="Pediátrico"/>
    <s v="Waqas"/>
    <m/>
    <s v="Hoolain Fatima"/>
    <n v="13027262"/>
    <d v="2021-03-04T00:00:00"/>
    <n v="0.191"/>
    <m/>
    <m/>
    <m/>
    <m/>
    <m/>
    <m/>
    <m/>
    <m/>
    <m/>
    <m/>
    <x v="369"/>
    <m/>
    <s v="Cateterismo cardíaco pediátrico"/>
    <x v="310"/>
    <n v="3"/>
    <n v="2021"/>
    <s v="Vascular"/>
  </r>
  <r>
    <s v="Adulto"/>
    <s v="Hlioui"/>
    <m/>
    <s v="Hamid"/>
    <n v="5350920"/>
    <d v="2021-03-03T00:00:00"/>
    <n v="0.61899999999999999"/>
    <m/>
    <m/>
    <m/>
    <m/>
    <m/>
    <m/>
    <m/>
    <m/>
    <m/>
    <m/>
    <x v="290"/>
    <m/>
    <s v="Tratamiento estenosis oclusiva cava superior: Procedimiento básico"/>
    <x v="229"/>
    <n v="3"/>
    <n v="2021"/>
    <s v="Vascular"/>
  </r>
  <r>
    <s v="Adulto"/>
    <s v="Astilleros"/>
    <s v="Jiménez"/>
    <s v="Jacinto"/>
    <n v="264626"/>
    <d v="2021-03-02T00:00:00"/>
    <n v="0.63600000000000001"/>
    <m/>
    <m/>
    <m/>
    <m/>
    <m/>
    <m/>
    <m/>
    <m/>
    <m/>
    <m/>
    <x v="370"/>
    <m/>
    <s v="Quimioembolización hepática. Procedimiento básico"/>
    <x v="311"/>
    <n v="3"/>
    <n v="2021"/>
    <s v="Vascular"/>
  </r>
  <r>
    <s v="Pediátrico"/>
    <s v="Cobo"/>
    <s v="Fernández"/>
    <s v="Iván"/>
    <n v="12925178"/>
    <d v="2021-03-02T00:00:00"/>
    <n v="2.5000000000000001E-2"/>
    <m/>
    <m/>
    <m/>
    <m/>
    <m/>
    <m/>
    <m/>
    <m/>
    <m/>
    <m/>
    <x v="371"/>
    <m/>
    <s v="Cateterismo cardíaco pediátrico"/>
    <x v="312"/>
    <n v="3"/>
    <n v="2021"/>
    <m/>
  </r>
  <r>
    <s v="Adulto"/>
    <s v="Casas"/>
    <s v="Pérez"/>
    <s v="Gregorio"/>
    <n v="2861579"/>
    <d v="2021-03-02T00:00:00"/>
    <n v="0.02"/>
    <n v="0"/>
    <n v="0.02"/>
    <n v="0.02"/>
    <n v="0.02"/>
    <n v="0"/>
    <n v="0"/>
    <n v="0.02"/>
    <n v="0.02"/>
    <n v="0.02"/>
    <n v="0"/>
    <x v="372"/>
    <m/>
    <s v="Cateterismo cardíaco"/>
    <x v="313"/>
    <n v="3"/>
    <n v="2021"/>
    <s v="Hemodinámica"/>
  </r>
  <r>
    <s v="Adulto"/>
    <s v="Delgado"/>
    <s v="Jiménez"/>
    <s v="Javier"/>
    <n v="11132642"/>
    <d v="2021-03-01T00:00:00"/>
    <n v="0.40500000000000003"/>
    <m/>
    <m/>
    <m/>
    <m/>
    <m/>
    <m/>
    <m/>
    <m/>
    <m/>
    <m/>
    <x v="172"/>
    <m/>
    <s v="Quimioembolización hepática. Procedimiento básico"/>
    <x v="314"/>
    <n v="3"/>
    <n v="2021"/>
    <s v="Vascular"/>
  </r>
  <r>
    <s v="Adulto"/>
    <s v="Chust"/>
    <s v="Piquer"/>
    <s v="Isabel"/>
    <n v="2878193"/>
    <d v="2021-02-26T00:00:00"/>
    <n v="0.41699999999999998"/>
    <m/>
    <m/>
    <m/>
    <m/>
    <m/>
    <m/>
    <m/>
    <m/>
    <m/>
    <m/>
    <x v="310"/>
    <m/>
    <s v="Quimioembolización hepática. Procedimiento básico"/>
    <x v="249"/>
    <n v="2"/>
    <n v="2021"/>
    <s v="Vascular"/>
  </r>
  <r>
    <s v="Adulto"/>
    <s v="Veliz"/>
    <s v="Cadena"/>
    <s v="Marlon Omar"/>
    <n v="4976109"/>
    <d v="2021-02-26T00:00:00"/>
    <n v="0.35199999999999998"/>
    <m/>
    <m/>
    <m/>
    <m/>
    <m/>
    <m/>
    <m/>
    <m/>
    <m/>
    <m/>
    <x v="171"/>
    <m/>
    <m/>
    <x v="129"/>
    <n v="2"/>
    <n v="2021"/>
    <s v="Vascular"/>
  </r>
  <r>
    <s v="Adulto"/>
    <s v="Quintero"/>
    <s v="Acosta"/>
    <s v="Miguel Ángel"/>
    <n v="2343053"/>
    <d v="2021-02-25T00:00:00"/>
    <n v="0.78500000000000003"/>
    <m/>
    <m/>
    <m/>
    <m/>
    <m/>
    <m/>
    <m/>
    <m/>
    <m/>
    <m/>
    <x v="373"/>
    <m/>
    <m/>
    <x v="315"/>
    <n v="2"/>
    <n v="2021"/>
    <s v="Vascular"/>
  </r>
  <r>
    <s v="Pediátrico"/>
    <s v="Villena"/>
    <s v="Abadia"/>
    <s v="Mario"/>
    <n v="10434097"/>
    <d v="2021-02-25T00:00:00"/>
    <n v="0.17299999999999999"/>
    <m/>
    <m/>
    <m/>
    <m/>
    <m/>
    <m/>
    <m/>
    <m/>
    <m/>
    <m/>
    <x v="374"/>
    <m/>
    <s v="Cateterismo cardíaco pediátrico"/>
    <x v="316"/>
    <n v="2"/>
    <n v="2021"/>
    <m/>
  </r>
  <r>
    <s v="Adulto"/>
    <s v="Jiménez "/>
    <s v="Gómez"/>
    <s v="Noel"/>
    <n v="196981"/>
    <d v="2021-02-25T00:00:00"/>
    <n v="6.2E-2"/>
    <s v="abdomen"/>
    <m/>
    <m/>
    <m/>
    <m/>
    <m/>
    <m/>
    <m/>
    <m/>
    <m/>
    <x v="375"/>
    <m/>
    <s v="Filtro de cava"/>
    <x v="317"/>
    <n v="2"/>
    <n v="2021"/>
    <s v="Vascular"/>
  </r>
  <r>
    <s v="Pediátrico"/>
    <s v="Falah"/>
    <m/>
    <s v="Reda"/>
    <n v="12710458"/>
    <d v="2021-02-23T00:00:00"/>
    <n v="0.46400000000000002"/>
    <m/>
    <m/>
    <m/>
    <m/>
    <m/>
    <m/>
    <m/>
    <m/>
    <m/>
    <m/>
    <x v="263"/>
    <m/>
    <s v="Cateterismo cardíaco pediátrico"/>
    <x v="200"/>
    <n v="2"/>
    <n v="2021"/>
    <s v="Hemodinámica"/>
  </r>
  <r>
    <s v="Adulto"/>
    <s v="Ortell"/>
    <s v="Renau"/>
    <s v="Miguel"/>
    <n v="1819791"/>
    <d v="2021-02-22T00:00:00"/>
    <n v="4.1500000000000004"/>
    <m/>
    <m/>
    <m/>
    <m/>
    <m/>
    <m/>
    <m/>
    <m/>
    <m/>
    <m/>
    <x v="376"/>
    <s v="Si"/>
    <m/>
    <x v="318"/>
    <n v="2"/>
    <n v="2021"/>
    <s v="Vascular"/>
  </r>
  <r>
    <s v="Adulto"/>
    <s v="Camargo"/>
    <s v="Monasterio"/>
    <s v="Marilin"/>
    <n v="7253924"/>
    <d v="2021-02-19T00:00:00"/>
    <n v="0.48649999999999999"/>
    <s v="abdomen"/>
    <m/>
    <m/>
    <m/>
    <m/>
    <m/>
    <m/>
    <m/>
    <m/>
    <m/>
    <x v="377"/>
    <m/>
    <s v="Embolización de miomas uterinos: Procedimiento básico"/>
    <x v="319"/>
    <n v="2"/>
    <n v="2021"/>
    <s v="Vascular"/>
  </r>
  <r>
    <s v="Adulto"/>
    <s v="Cuenca"/>
    <s v="Puchalt"/>
    <s v="José Antonio"/>
    <n v="4726973"/>
    <d v="2021-02-19T00:00:00"/>
    <n v="0.2"/>
    <s v="torax"/>
    <m/>
    <m/>
    <m/>
    <m/>
    <m/>
    <m/>
    <m/>
    <m/>
    <m/>
    <x v="378"/>
    <m/>
    <s v="Otro intervencionismo de diagnóstico de tórax"/>
    <x v="320"/>
    <n v="2"/>
    <n v="2021"/>
    <s v="Vascular"/>
  </r>
  <r>
    <s v="Adulto"/>
    <s v="Donat"/>
    <s v="Canet"/>
    <s v="Rafael "/>
    <n v="116680"/>
    <d v="2021-02-18T00:00:00"/>
    <n v="0.19"/>
    <s v="abdomen"/>
    <m/>
    <m/>
    <m/>
    <m/>
    <m/>
    <m/>
    <m/>
    <m/>
    <m/>
    <x v="379"/>
    <m/>
    <s v="Embolización renal. Procedimiento básico"/>
    <x v="321"/>
    <n v="2"/>
    <n v="2021"/>
    <s v="Vascular"/>
  </r>
  <r>
    <s v="Adulto"/>
    <s v="Blasco "/>
    <s v="Calatayud"/>
    <s v="Josefa"/>
    <n v="2316361"/>
    <d v="2021-02-18T00:00:00"/>
    <n v="0.16"/>
    <s v="abdomen"/>
    <m/>
    <m/>
    <m/>
    <m/>
    <m/>
    <m/>
    <m/>
    <m/>
    <m/>
    <x v="380"/>
    <m/>
    <s v="Colocación cateter central con tracto subcutaneo + tto endov esten oclu cava sup (no imagenes)"/>
    <x v="322"/>
    <n v="2"/>
    <n v="2021"/>
    <s v="Vascular"/>
  </r>
  <r>
    <s v="Pediátrico"/>
    <s v="Jiménez "/>
    <s v="Ramos"/>
    <s v="Henderson Edin"/>
    <n v="6700426"/>
    <d v="2021-02-18T00:00:00"/>
    <n v="4.8000000000000001E-2"/>
    <m/>
    <m/>
    <m/>
    <m/>
    <m/>
    <m/>
    <m/>
    <m/>
    <m/>
    <m/>
    <x v="381"/>
    <m/>
    <m/>
    <x v="323"/>
    <n v="2"/>
    <n v="2021"/>
    <s v="Vascular"/>
  </r>
  <r>
    <s v="Adulto"/>
    <s v="Lozano"/>
    <s v="Ramos"/>
    <s v="Miguel Ángel"/>
    <n v="3824620"/>
    <d v="2021-02-17T00:00:00"/>
    <n v="0.11"/>
    <s v="abdomen"/>
    <m/>
    <m/>
    <m/>
    <m/>
    <m/>
    <m/>
    <m/>
    <m/>
    <m/>
    <x v="174"/>
    <m/>
    <s v="Arteriografía troncos viscerales digestivos"/>
    <x v="324"/>
    <n v="2"/>
    <n v="2021"/>
    <s v="Vascular"/>
  </r>
  <r>
    <s v="Pediátrico"/>
    <s v="Pérez"/>
    <s v="Jiménez"/>
    <s v="Meritxell"/>
    <n v="7900199"/>
    <d v="2021-02-17T00:00:00"/>
    <n v="0.10299999999999999"/>
    <m/>
    <m/>
    <m/>
    <m/>
    <m/>
    <m/>
    <m/>
    <m/>
    <m/>
    <m/>
    <x v="382"/>
    <m/>
    <s v="Dilatación biliar hepática"/>
    <x v="325"/>
    <n v="2"/>
    <n v="2021"/>
    <s v="Vascular"/>
  </r>
  <r>
    <s v="Pediátrico"/>
    <s v="Pazmiño"/>
    <s v="Manchón"/>
    <s v="Aaron Javier"/>
    <n v="6203670"/>
    <d v="2021-02-16T00:00:00"/>
    <n v="0.182"/>
    <m/>
    <n v="3.1E-2"/>
    <n v="3.1E-2"/>
    <n v="0.121"/>
    <n v="0.151"/>
    <n v="0"/>
    <n v="3.1E-2"/>
    <n v="3.1E-2"/>
    <n v="0.121"/>
    <n v="0.151"/>
    <x v="383"/>
    <m/>
    <s v="Cateterismo cardiaco pediatrico"/>
    <x v="326"/>
    <n v="2"/>
    <n v="2021"/>
    <s v="Vascular"/>
  </r>
  <r>
    <s v="Adulto"/>
    <s v="Chust"/>
    <s v="Piquer"/>
    <s v="Isabel"/>
    <n v="2878193"/>
    <d v="2021-02-15T00:00:00"/>
    <n v="1.081"/>
    <m/>
    <m/>
    <m/>
    <m/>
    <m/>
    <m/>
    <m/>
    <m/>
    <m/>
    <m/>
    <x v="310"/>
    <m/>
    <s v="Quimioembolización hepática. Procedimiento básico"/>
    <x v="249"/>
    <n v="2"/>
    <n v="2021"/>
    <s v="Vascular"/>
  </r>
  <r>
    <s v="Adulto"/>
    <s v="Lozano"/>
    <s v="Ramos"/>
    <s v="Miguel Ángel"/>
    <n v="3824620"/>
    <d v="2021-02-14T00:00:00"/>
    <n v="0.217"/>
    <s v="abdomen"/>
    <m/>
    <m/>
    <m/>
    <m/>
    <m/>
    <m/>
    <m/>
    <m/>
    <m/>
    <x v="174"/>
    <m/>
    <s v="Embolización de hemorragia digestiva baja. Procedimiento básico"/>
    <x v="324"/>
    <n v="2"/>
    <n v="2021"/>
    <s v="Vascular"/>
  </r>
  <r>
    <s v="Adulto"/>
    <s v="Jiménez "/>
    <s v="Gómez"/>
    <s v="Noel"/>
    <n v="196981"/>
    <d v="2021-02-13T00:00:00"/>
    <n v="0.31"/>
    <s v="abdomen"/>
    <m/>
    <m/>
    <m/>
    <m/>
    <m/>
    <m/>
    <m/>
    <m/>
    <m/>
    <x v="375"/>
    <m/>
    <s v="Embolización de hemorragia digestiva baja: Procedimiento básico"/>
    <x v="317"/>
    <n v="2"/>
    <n v="2021"/>
    <s v="Vascular"/>
  </r>
  <r>
    <s v="Adulto"/>
    <s v="Castro"/>
    <s v="Soler"/>
    <s v="Rafael "/>
    <n v="1867828"/>
    <d v="2021-02-12T00:00:00"/>
    <n v="0.28699999999999998"/>
    <s v="abdomen"/>
    <m/>
    <m/>
    <m/>
    <m/>
    <m/>
    <m/>
    <m/>
    <m/>
    <m/>
    <x v="384"/>
    <m/>
    <s v="Estudio de fístula arteriovenosa hemodialisis"/>
    <x v="327"/>
    <n v="2"/>
    <n v="2021"/>
    <s v="Vascular"/>
  </r>
  <r>
    <s v="Pediátrico"/>
    <s v="Cruz"/>
    <s v="Bermell"/>
    <s v="Ángela"/>
    <n v="7507480"/>
    <d v="2021-02-11T00:00:00"/>
    <n v="0.318"/>
    <m/>
    <m/>
    <m/>
    <m/>
    <m/>
    <m/>
    <m/>
    <m/>
    <m/>
    <m/>
    <x v="385"/>
    <m/>
    <s v="Cateterismo cardíaco pediátrico"/>
    <x v="328"/>
    <n v="2"/>
    <n v="2021"/>
    <m/>
  </r>
  <r>
    <s v="Adulto"/>
    <s v="Hueso "/>
    <s v="Borrego"/>
    <s v="Manuela"/>
    <n v="2418238"/>
    <d v="2021-02-09T00:00:00"/>
    <n v="1.1000000000000001"/>
    <s v="abodmen"/>
    <m/>
    <m/>
    <m/>
    <m/>
    <m/>
    <m/>
    <m/>
    <m/>
    <m/>
    <x v="386"/>
    <m/>
    <s v="Embo hepatica proc basic"/>
    <x v="329"/>
    <n v="2"/>
    <n v="2021"/>
    <s v="Vascular"/>
  </r>
  <r>
    <s v="Pediátrico"/>
    <s v="Tortosa"/>
    <s v="Hernández"/>
    <s v="Andreu"/>
    <n v="13064638"/>
    <d v="2021-02-09T00:00:00"/>
    <n v="0.1115"/>
    <m/>
    <m/>
    <m/>
    <m/>
    <m/>
    <m/>
    <m/>
    <m/>
    <m/>
    <m/>
    <x v="387"/>
    <m/>
    <s v="Cateterismo cardíaco pediátrico"/>
    <x v="330"/>
    <n v="2"/>
    <n v="2021"/>
    <s v="Hemodinámica"/>
  </r>
  <r>
    <s v="Pediátrico"/>
    <s v="Mancebo"/>
    <s v="Matos"/>
    <s v="Junior"/>
    <n v="12097962"/>
    <d v="2021-02-08T00:00:00"/>
    <n v="0.41399999999999998"/>
    <m/>
    <m/>
    <m/>
    <m/>
    <m/>
    <m/>
    <m/>
    <m/>
    <m/>
    <m/>
    <x v="331"/>
    <m/>
    <s v="Cateterismo cardíaco pediátrico"/>
    <x v="270"/>
    <n v="2"/>
    <n v="2021"/>
    <m/>
  </r>
  <r>
    <s v="Adulto"/>
    <s v="Duro "/>
    <s v="Moreno"/>
    <s v="Ramón"/>
    <n v="1858960"/>
    <d v="2021-02-04T00:00:00"/>
    <n v="1.07"/>
    <s v="abdomen"/>
    <m/>
    <m/>
    <m/>
    <m/>
    <m/>
    <m/>
    <m/>
    <m/>
    <m/>
    <x v="388"/>
    <s v="Si"/>
    <s v="Quimioembolización hepática. Procedimiento básico"/>
    <x v="331"/>
    <n v="2"/>
    <n v="2021"/>
    <s v="Vascular"/>
  </r>
  <r>
    <s v="Adulto"/>
    <s v="Paraschiv"/>
    <m/>
    <s v="Mihaela Florentina"/>
    <n v="6733815"/>
    <d v="2021-02-04T00:00:00"/>
    <n v="0.9"/>
    <s v="abdomen"/>
    <m/>
    <m/>
    <m/>
    <m/>
    <m/>
    <m/>
    <m/>
    <m/>
    <m/>
    <x v="389"/>
    <m/>
    <s v="Embo otras hemorrajs proc basic"/>
    <x v="332"/>
    <n v="2"/>
    <n v="2021"/>
    <s v="Vascular"/>
  </r>
  <r>
    <s v="Adulto"/>
    <s v="Giner"/>
    <s v="Ortega"/>
    <s v="Francisca"/>
    <n v="2932156"/>
    <d v="2021-02-03T00:00:00"/>
    <n v="0.8"/>
    <s v="abdomen"/>
    <m/>
    <m/>
    <m/>
    <m/>
    <m/>
    <m/>
    <m/>
    <m/>
    <m/>
    <x v="87"/>
    <s v="Si"/>
    <s v="Quimioembolización hepática. Procedimiento básico"/>
    <x v="89"/>
    <n v="2"/>
    <n v="2021"/>
    <s v="Vascular"/>
  </r>
  <r>
    <s v="Pediátrico"/>
    <s v="Saiz"/>
    <s v="Amorós"/>
    <s v="Francis"/>
    <n v="12615325"/>
    <d v="2021-02-03T00:00:00"/>
    <n v="3.1E-2"/>
    <m/>
    <m/>
    <m/>
    <m/>
    <m/>
    <m/>
    <m/>
    <m/>
    <m/>
    <m/>
    <x v="390"/>
    <m/>
    <s v="Cateterismo cardíaco pediátrico"/>
    <x v="333"/>
    <n v="2"/>
    <n v="2021"/>
    <s v="Hemodinámica"/>
  </r>
  <r>
    <s v="Adulto"/>
    <s v="Vicent"/>
    <s v="Roig"/>
    <s v="Elvira"/>
    <n v="4343935"/>
    <d v="2021-02-01T00:00:00"/>
    <n v="2.8580000000000001"/>
    <s v="abdomen"/>
    <m/>
    <m/>
    <m/>
    <m/>
    <m/>
    <m/>
    <m/>
    <m/>
    <m/>
    <x v="391"/>
    <n v="9040010010385090"/>
    <s v="Tratamiento estenosis oclusiva otras arterias"/>
    <x v="334"/>
    <n v="2"/>
    <n v="2021"/>
    <s v="Vascular"/>
  </r>
  <r>
    <s v="Adulto"/>
    <s v="Blasco "/>
    <s v="Calatayud"/>
    <s v="Josefa"/>
    <n v="2316361"/>
    <d v="2021-01-29T00:00:00"/>
    <n v="1.2E-2"/>
    <s v="abdomen"/>
    <m/>
    <m/>
    <m/>
    <m/>
    <m/>
    <m/>
    <m/>
    <m/>
    <m/>
    <x v="380"/>
    <m/>
    <s v="Colocación de cáteter central con tracto subcutáneo"/>
    <x v="322"/>
    <n v="1"/>
    <n v="2021"/>
    <s v="Vascular"/>
  </r>
  <r>
    <s v="Adulto"/>
    <s v="Jiménez "/>
    <s v="Navarro"/>
    <s v="Milagros"/>
    <n v="3395822"/>
    <d v="2021-01-08T00:00:00"/>
    <n v="7.8E-2"/>
    <m/>
    <m/>
    <m/>
    <m/>
    <m/>
    <m/>
    <m/>
    <m/>
    <m/>
    <m/>
    <x v="392"/>
    <m/>
    <s v="Embolización bronquial. Procedimiento básico"/>
    <x v="335"/>
    <n v="1"/>
    <n v="2021"/>
    <s v="Vascular"/>
  </r>
  <r>
    <s v="Adulto"/>
    <s v="Cervera"/>
    <s v="Ruiz"/>
    <s v="Antonio"/>
    <n v="2932082"/>
    <d v="2021-01-07T00:00:00"/>
    <n v="1.0249999999999999"/>
    <s v="abodmen"/>
    <m/>
    <m/>
    <m/>
    <m/>
    <m/>
    <m/>
    <m/>
    <m/>
    <m/>
    <x v="393"/>
    <s v="Si"/>
    <s v="Embolización en tumores. Procedimiento básico"/>
    <x v="336"/>
    <n v="1"/>
    <n v="2021"/>
    <s v="Vascular"/>
  </r>
  <r>
    <s v="Pediátrico"/>
    <s v="Boles"/>
    <s v="Fernández"/>
    <s v="Alanna"/>
    <n v="7120820"/>
    <d v="2020-12-21T00:00:00"/>
    <n v="0.52889000000000008"/>
    <m/>
    <m/>
    <m/>
    <m/>
    <m/>
    <m/>
    <m/>
    <m/>
    <m/>
    <m/>
    <x v="366"/>
    <m/>
    <s v="Cateterismo cardiaco pediatrico"/>
    <x v="307"/>
    <n v="12"/>
    <n v="2020"/>
    <s v="Hemodinámica"/>
  </r>
  <r>
    <s v="Adulto"/>
    <s v="Peiró"/>
    <s v="Feliu"/>
    <s v="Amadeo"/>
    <n v="4715136"/>
    <d v="2020-12-14T00:00:00"/>
    <n v="0.27900000000000003"/>
    <m/>
    <m/>
    <m/>
    <m/>
    <m/>
    <m/>
    <m/>
    <m/>
    <m/>
    <m/>
    <x v="394"/>
    <s v="Si"/>
    <s v="Infusión terapéutica quimioterapia. Procedimiento básico"/>
    <x v="337"/>
    <n v="12"/>
    <n v="2020"/>
    <s v="Vascular"/>
  </r>
  <r>
    <s v="Adulto"/>
    <s v="Blasco "/>
    <s v="Calatayud"/>
    <s v="Josefa"/>
    <n v="2316361"/>
    <d v="2020-12-11T00:00:00"/>
    <n v="0.37"/>
    <s v="torax"/>
    <m/>
    <m/>
    <m/>
    <m/>
    <m/>
    <m/>
    <m/>
    <m/>
    <m/>
    <x v="380"/>
    <m/>
    <s v="Tratamiento endovascular estenosis oclusiva cava superior: Procedimiento básico"/>
    <x v="322"/>
    <n v="12"/>
    <n v="2020"/>
    <s v="Vascular"/>
  </r>
  <r>
    <s v="Adulto"/>
    <s v="Peiró"/>
    <s v="Feliu"/>
    <s v="Amadeo"/>
    <n v="4715136"/>
    <d v="2020-11-23T00:00:00"/>
    <n v="2.8650000000000002"/>
    <m/>
    <m/>
    <m/>
    <m/>
    <m/>
    <m/>
    <m/>
    <m/>
    <m/>
    <m/>
    <x v="394"/>
    <s v="Si"/>
    <s v="Embolización en tumores. Procedimiento básico"/>
    <x v="337"/>
    <n v="11"/>
    <n v="2020"/>
    <s v="Vascular"/>
  </r>
  <r>
    <s v="Adulto"/>
    <s v="Sánchez"/>
    <s v="Castillo"/>
    <s v="José"/>
    <n v="2281733"/>
    <d v="2020-11-17T00:00:00"/>
    <n v="4.532"/>
    <m/>
    <m/>
    <m/>
    <m/>
    <m/>
    <m/>
    <m/>
    <m/>
    <m/>
    <m/>
    <x v="395"/>
    <s v="Si"/>
    <s v="Quimioembolización hepática. Procedimiento básico"/>
    <x v="338"/>
    <n v="11"/>
    <n v="2020"/>
    <s v="Vascular"/>
  </r>
  <r>
    <s v="Adulto"/>
    <s v="Galarza"/>
    <s v="Perelló"/>
    <s v="María Dolores"/>
    <n v="3479017"/>
    <d v="2020-11-05T00:00:00"/>
    <n v="0.93799999999999994"/>
    <s v="abdomen"/>
    <m/>
    <m/>
    <m/>
    <m/>
    <m/>
    <m/>
    <m/>
    <m/>
    <m/>
    <x v="396"/>
    <m/>
    <s v="3061080102091010"/>
    <x v="339"/>
    <n v="11"/>
    <n v="2020"/>
    <s v="Vascular"/>
  </r>
  <r>
    <s v="Adulto"/>
    <s v="Reina"/>
    <s v="Pérez"/>
    <s v="Carlos"/>
    <n v="339746"/>
    <d v="2020-11-05T00:00:00"/>
    <n v="0.33200000000000002"/>
    <n v="0.01"/>
    <n v="1.6E-2"/>
    <n v="8.9999999999999993E-3"/>
    <n v="0.01"/>
    <n v="1.4999999999999999E-2"/>
    <n v="0.01"/>
    <n v="1.6E-2"/>
    <n v="8.9999999999999993E-3"/>
    <n v="0.01"/>
    <n v="1.4999999999999999E-2"/>
    <x v="397"/>
    <m/>
    <s v="3061080111001050"/>
    <x v="340"/>
    <n v="11"/>
    <n v="2020"/>
    <s v="Vascular"/>
  </r>
  <r>
    <s v="Adulto"/>
    <s v="Garrigues"/>
    <s v="Langa"/>
    <s v="Juan"/>
    <n v="42108"/>
    <d v="2020-11-04T00:00:00"/>
    <n v="1.6870000000000001"/>
    <m/>
    <m/>
    <m/>
    <m/>
    <m/>
    <m/>
    <m/>
    <m/>
    <m/>
    <m/>
    <x v="398"/>
    <m/>
    <s v="Arteriografía renal"/>
    <x v="341"/>
    <n v="11"/>
    <n v="2020"/>
    <s v="Vascular"/>
  </r>
  <r>
    <s v="Adulto"/>
    <s v="Vercher"/>
    <s v="Montañana"/>
    <s v="Ramón"/>
    <n v="2616513"/>
    <d v="2020-11-04T00:00:00"/>
    <n v="0.115"/>
    <m/>
    <m/>
    <m/>
    <m/>
    <m/>
    <m/>
    <m/>
    <m/>
    <m/>
    <m/>
    <x v="399"/>
    <m/>
    <s v="3061080106071010"/>
    <x v="342"/>
    <n v="11"/>
    <n v="2020"/>
    <s v="Vascular"/>
  </r>
  <r>
    <s v="Adulto"/>
    <s v="Vercher"/>
    <s v="Montañana"/>
    <s v="Ramón"/>
    <n v="2616513"/>
    <d v="2020-11-03T00:00:00"/>
    <n v="0.03"/>
    <m/>
    <m/>
    <m/>
    <m/>
    <m/>
    <m/>
    <m/>
    <m/>
    <m/>
    <m/>
    <x v="399"/>
    <m/>
    <s v="3061080110001100"/>
    <x v="342"/>
    <n v="11"/>
    <n v="2020"/>
    <s v="Vascular"/>
  </r>
  <r>
    <s v="Adulto"/>
    <s v="Blasco "/>
    <s v="Calatayud"/>
    <s v="Josefa"/>
    <n v="2316361"/>
    <d v="2020-10-30T00:00:00"/>
    <n v="0.111"/>
    <s v="torax"/>
    <n v="0.11"/>
    <n v="0.11"/>
    <n v="0.11"/>
    <n v="0"/>
    <n v="0"/>
    <n v="0.11"/>
    <n v="0.11"/>
    <n v="0.11"/>
    <n v="0"/>
    <x v="380"/>
    <m/>
    <s v="Tratamiento endovascular estenosis oclusiva miembros superiores. Procedimiento basico"/>
    <x v="322"/>
    <n v="10"/>
    <n v="2020"/>
    <s v="Vascular"/>
  </r>
  <r>
    <s v="Adulto"/>
    <s v="Torres"/>
    <s v="Oliver"/>
    <s v="Vicente"/>
    <n v="2516454"/>
    <d v="2020-10-23T00:00:00"/>
    <n v="3.5110000000000001"/>
    <m/>
    <m/>
    <m/>
    <m/>
    <m/>
    <m/>
    <m/>
    <m/>
    <m/>
    <m/>
    <x v="400"/>
    <s v="Si"/>
    <s v="Shunt portocava percutáneo TIPS. Procedimiento básico"/>
    <x v="343"/>
    <n v="10"/>
    <n v="2020"/>
    <s v="Vascular"/>
  </r>
  <r>
    <s v="Adulto"/>
    <s v="Torres"/>
    <s v="Oliver"/>
    <s v="Vicente"/>
    <n v="2516454"/>
    <d v="2020-10-22T00:00:00"/>
    <n v="2.0510000000000002"/>
    <m/>
    <m/>
    <m/>
    <m/>
    <m/>
    <m/>
    <m/>
    <m/>
    <m/>
    <m/>
    <x v="400"/>
    <s v="Si"/>
    <s v="Shunt portocava percutáneo TIPS. Procedimiento básico"/>
    <x v="343"/>
    <n v="10"/>
    <n v="2020"/>
    <s v="Vascular"/>
  </r>
  <r>
    <s v="Adulto"/>
    <s v="Gamiz"/>
    <s v="Fos"/>
    <s v="M Carmen"/>
    <n v="3208027"/>
    <d v="2020-10-21T00:00:00"/>
    <n v="1.9159999999999999"/>
    <m/>
    <m/>
    <m/>
    <m/>
    <m/>
    <m/>
    <m/>
    <m/>
    <m/>
    <m/>
    <x v="401"/>
    <m/>
    <s v="Arteriografía renal"/>
    <x v="344"/>
    <n v="10"/>
    <n v="2020"/>
    <s v="Vascular"/>
  </r>
  <r>
    <s v="Adulto"/>
    <s v="Fernández"/>
    <s v="Serrano"/>
    <s v="Juan Pedro"/>
    <n v="2530715"/>
    <d v="2020-10-20T00:00:00"/>
    <n v="0.41299999999999998"/>
    <n v="1.6E-2"/>
    <n v="2.5000000000000001E-2"/>
    <n v="1.6E-2"/>
    <n v="1.7999999999999999E-2"/>
    <n v="2.3E-2"/>
    <n v="1.6E-2"/>
    <n v="2.5000000000000001E-2"/>
    <n v="1.6E-2"/>
    <n v="1.7999999999999999E-2"/>
    <n v="2.3E-2"/>
    <x v="402"/>
    <m/>
    <s v="3061080109001030"/>
    <x v="345"/>
    <n v="10"/>
    <n v="2020"/>
    <s v="Vascular"/>
  </r>
  <r>
    <s v="Adulto"/>
    <s v="Campos"/>
    <s v="Rogel"/>
    <s v="Basilio"/>
    <n v="2401168"/>
    <d v="2020-10-17T00:00:00"/>
    <n v="4.1280000000000001"/>
    <m/>
    <m/>
    <m/>
    <m/>
    <m/>
    <m/>
    <m/>
    <m/>
    <m/>
    <m/>
    <x v="403"/>
    <s v="Si"/>
    <s v="Embolización anuerisma venoso. Procedimiento básico"/>
    <x v="346"/>
    <n v="10"/>
    <n v="2020"/>
    <s v="Vascular"/>
  </r>
  <r>
    <s v="Adulto"/>
    <s v="Orallo"/>
    <s v="Álvarez"/>
    <s v="Florentina"/>
    <n v="3386511"/>
    <d v="2020-10-16T00:00:00"/>
    <n v="4.2060000000000004"/>
    <m/>
    <m/>
    <m/>
    <m/>
    <m/>
    <m/>
    <m/>
    <m/>
    <m/>
    <m/>
    <x v="404"/>
    <s v="Si"/>
    <s v="Embolización renal. Procedimiento básico"/>
    <x v="347"/>
    <n v="10"/>
    <n v="2020"/>
    <s v="Vascular"/>
  </r>
  <r>
    <s v="Adulto"/>
    <s v="Soler"/>
    <s v="Juan"/>
    <s v="Joaquín"/>
    <n v="1900685"/>
    <d v="2020-10-15T00:00:00"/>
    <n v="2.8919999999999999"/>
    <m/>
    <m/>
    <m/>
    <m/>
    <m/>
    <m/>
    <m/>
    <m/>
    <m/>
    <m/>
    <x v="230"/>
    <s v="Si"/>
    <s v="Infusión terapéutica quimioterapia. Procedimiento básico"/>
    <x v="348"/>
    <n v="10"/>
    <n v="2020"/>
    <s v="Vascular"/>
  </r>
  <r>
    <s v="Adulto"/>
    <s v="Fengying"/>
    <m/>
    <s v="Zheng"/>
    <n v="12301367"/>
    <d v="2020-10-15T00:00:00"/>
    <n v="0.623"/>
    <m/>
    <m/>
    <m/>
    <m/>
    <m/>
    <m/>
    <m/>
    <m/>
    <m/>
    <m/>
    <x v="405"/>
    <m/>
    <s v="3061080105041010"/>
    <x v="349"/>
    <n v="10"/>
    <n v="2020"/>
    <s v="Vascular"/>
  </r>
  <r>
    <s v="Adulto"/>
    <s v="Gonzalez"/>
    <s v="Climent"/>
    <s v="Javier"/>
    <n v="4724594"/>
    <d v="2020-10-07T00:00:00"/>
    <n v="6.1459999999999999"/>
    <m/>
    <m/>
    <m/>
    <m/>
    <m/>
    <m/>
    <m/>
    <m/>
    <m/>
    <m/>
    <x v="406"/>
    <s v="Si"/>
    <s v="Quimioembolización hepática. Procedimiento básico"/>
    <x v="350"/>
    <n v="10"/>
    <n v="2020"/>
    <s v="Vascular"/>
  </r>
  <r>
    <s v="Adulto"/>
    <s v="Giner"/>
    <s v="Ortega"/>
    <s v="Francisca"/>
    <n v="2932156"/>
    <d v="2020-10-07T00:00:00"/>
    <n v="0.97599999999999998"/>
    <s v="abdomen"/>
    <m/>
    <m/>
    <m/>
    <m/>
    <m/>
    <m/>
    <m/>
    <m/>
    <m/>
    <x v="87"/>
    <s v="Si"/>
    <s v="3061080110001370"/>
    <x v="89"/>
    <n v="10"/>
    <n v="2020"/>
    <s v="Vascular"/>
  </r>
  <r>
    <s v="Adulto"/>
    <s v="Jiménez "/>
    <s v="Navarro"/>
    <s v="Milagros"/>
    <n v="3395822"/>
    <d v="2020-10-06T00:00:00"/>
    <n v="2.7730000000000001"/>
    <m/>
    <m/>
    <m/>
    <m/>
    <m/>
    <m/>
    <m/>
    <m/>
    <m/>
    <m/>
    <x v="392"/>
    <m/>
    <s v="Embolización bronquial. Procedimiento básico"/>
    <x v="335"/>
    <n v="10"/>
    <n v="2020"/>
    <s v="Vascular"/>
  </r>
  <r>
    <s v="Adulto"/>
    <s v="Villar"/>
    <s v="Marín"/>
    <s v="José"/>
    <n v="2484685"/>
    <d v="2020-10-01T00:00:00"/>
    <n v="5.5"/>
    <m/>
    <m/>
    <m/>
    <m/>
    <m/>
    <m/>
    <m/>
    <m/>
    <m/>
    <m/>
    <x v="407"/>
    <s v="Si"/>
    <s v="Quimioembolización hepática. Procedimiento básico"/>
    <x v="351"/>
    <n v="10"/>
    <n v="2020"/>
    <s v="Vascular"/>
  </r>
  <r>
    <s v="Adulto"/>
    <s v="Arocha"/>
    <s v="Mejías"/>
    <s v="Caridad María"/>
    <n v="12557556"/>
    <d v="2020-09-24T00:00:00"/>
    <n v="3.718"/>
    <m/>
    <m/>
    <m/>
    <m/>
    <m/>
    <m/>
    <m/>
    <m/>
    <m/>
    <m/>
    <x v="408"/>
    <s v="Si"/>
    <s v="Arteriografía miembros inferiores"/>
    <x v="352"/>
    <n v="9"/>
    <n v="2020"/>
    <s v="Vascular"/>
  </r>
  <r>
    <s v="Adulto"/>
    <s v="Arocha"/>
    <s v="Mejías"/>
    <s v="Caridad María"/>
    <n v="12557556"/>
    <d v="2020-09-23T00:00:00"/>
    <n v="1.3759999999999999"/>
    <m/>
    <m/>
    <m/>
    <m/>
    <m/>
    <m/>
    <m/>
    <m/>
    <m/>
    <m/>
    <x v="408"/>
    <s v="Si"/>
    <m/>
    <x v="352"/>
    <n v="9"/>
    <n v="2020"/>
    <s v="Vascular"/>
  </r>
  <r>
    <s v="Adulto"/>
    <s v="Soler"/>
    <s v="Juan"/>
    <s v="Joaquín"/>
    <n v="1900685"/>
    <d v="2020-09-18T00:00:00"/>
    <n v="3.5640000000000001"/>
    <m/>
    <m/>
    <m/>
    <m/>
    <m/>
    <m/>
    <m/>
    <m/>
    <m/>
    <m/>
    <x v="230"/>
    <s v="Si"/>
    <s v="Embolización tumoral. Procedimiento básico"/>
    <x v="348"/>
    <n v="9"/>
    <n v="2020"/>
    <s v="Vascular"/>
  </r>
  <r>
    <s v="Adulto"/>
    <s v="Llanes"/>
    <s v="Tolosa"/>
    <s v="Ramón"/>
    <n v="1698821"/>
    <d v="2020-09-18T00:00:00"/>
    <n v="3.0019999999999998"/>
    <m/>
    <m/>
    <m/>
    <m/>
    <m/>
    <m/>
    <m/>
    <m/>
    <m/>
    <m/>
    <x v="409"/>
    <s v="Si"/>
    <s v="Quimioembolización hepática. Procedimiento básico"/>
    <x v="353"/>
    <n v="9"/>
    <n v="2020"/>
    <s v="Vascular"/>
  </r>
  <r>
    <s v="Adulto"/>
    <s v="Torregrosa"/>
    <s v="Valero"/>
    <s v="Diego"/>
    <n v="4245699"/>
    <d v="2020-09-15T00:00:00"/>
    <n v="2.7559999999999998"/>
    <m/>
    <m/>
    <m/>
    <m/>
    <m/>
    <m/>
    <m/>
    <m/>
    <m/>
    <m/>
    <x v="410"/>
    <s v="Si"/>
    <s v="Infusión terapéutica quimioterapia. Procedimiento básico"/>
    <x v="354"/>
    <n v="9"/>
    <n v="2020"/>
    <s v="Vascular"/>
  </r>
  <r>
    <s v="Adulto"/>
    <s v="Blasco "/>
    <s v="Calatayud"/>
    <s v="Josefa"/>
    <n v="2316361"/>
    <d v="2020-09-10T00:00:00"/>
    <n v="0.11"/>
    <s v="torax"/>
    <m/>
    <m/>
    <m/>
    <m/>
    <m/>
    <m/>
    <m/>
    <m/>
    <m/>
    <x v="380"/>
    <m/>
    <m/>
    <x v="322"/>
    <n v="9"/>
    <n v="2020"/>
    <s v="Vascular"/>
  </r>
  <r>
    <s v="Adulto"/>
    <s v="Pastor"/>
    <s v="Sánchez"/>
    <s v="Pascual"/>
    <n v="3190819"/>
    <d v="2020-08-27T00:00:00"/>
    <n v="2.456"/>
    <m/>
    <m/>
    <m/>
    <m/>
    <m/>
    <m/>
    <m/>
    <m/>
    <m/>
    <m/>
    <x v="411"/>
    <m/>
    <s v="Quimioembolización hepática. Procedimiento básico"/>
    <x v="355"/>
    <n v="8"/>
    <n v="2020"/>
    <s v="Vascular"/>
  </r>
  <r>
    <s v="Adulto"/>
    <s v="Andreu"/>
    <s v="Soñer"/>
    <s v="Paloma"/>
    <n v="4023574"/>
    <d v="2020-08-17T00:00:00"/>
    <n v="3.536"/>
    <m/>
    <m/>
    <m/>
    <m/>
    <m/>
    <m/>
    <m/>
    <m/>
    <m/>
    <m/>
    <x v="412"/>
    <s v="Si"/>
    <s v="Embolización otras hemorragias. Procedimiento básico"/>
    <x v="356"/>
    <n v="8"/>
    <n v="2020"/>
    <s v="Vascular"/>
  </r>
  <r>
    <s v="Adulto"/>
    <s v="Andreu"/>
    <s v="Soñer"/>
    <s v="Paloma"/>
    <n v="4023574"/>
    <d v="2020-08-16T00:00:00"/>
    <n v="3.077"/>
    <m/>
    <m/>
    <m/>
    <m/>
    <m/>
    <m/>
    <m/>
    <m/>
    <m/>
    <m/>
    <x v="412"/>
    <s v="Si"/>
    <s v="Arteriografía troncos viscerales digestivos"/>
    <x v="356"/>
    <n v="8"/>
    <n v="2020"/>
    <s v="Vascular"/>
  </r>
  <r>
    <s v="Adulto"/>
    <s v="Vidal"/>
    <s v="Morant"/>
    <s v="Ángel Salvador"/>
    <n v="93062"/>
    <d v="2020-08-16T00:00:00"/>
    <n v="2.762"/>
    <m/>
    <m/>
    <m/>
    <m/>
    <m/>
    <m/>
    <m/>
    <m/>
    <m/>
    <m/>
    <x v="413"/>
    <m/>
    <s v="Embolización de hemorragias digestivas. Procedimiento básico"/>
    <x v="357"/>
    <n v="8"/>
    <n v="2020"/>
    <s v="Vascular"/>
  </r>
  <r>
    <s v="Adulto"/>
    <s v="Botella"/>
    <s v="Crespo"/>
    <s v="José Manuel"/>
    <n v="3116475"/>
    <d v="2020-08-13T00:00:00"/>
    <n v="2.165"/>
    <m/>
    <m/>
    <m/>
    <m/>
    <m/>
    <m/>
    <m/>
    <m/>
    <m/>
    <m/>
    <x v="414"/>
    <s v="Si"/>
    <s v="Infusión terapéutica quimioterapia. Procedimiento básico"/>
    <x v="358"/>
    <n v="8"/>
    <n v="2020"/>
    <s v="Vascular"/>
  </r>
  <r>
    <s v="Adulto"/>
    <s v="Ballester"/>
    <s v="Noguera"/>
    <s v="José Vicente"/>
    <n v="2910430"/>
    <d v="2020-08-11T00:00:00"/>
    <n v="2.67"/>
    <m/>
    <m/>
    <m/>
    <m/>
    <m/>
    <m/>
    <m/>
    <m/>
    <m/>
    <m/>
    <x v="415"/>
    <s v="Si"/>
    <s v="Quimioembolización hepática. Procedimiento básico"/>
    <x v="359"/>
    <n v="8"/>
    <n v="2020"/>
    <s v="Vascular"/>
  </r>
  <r>
    <s v="Adulto"/>
    <s v="Gallego"/>
    <s v="Hernández"/>
    <s v="Salvador"/>
    <n v="248481"/>
    <d v="2020-07-31T00:00:00"/>
    <n v="5.7679999999999998"/>
    <m/>
    <m/>
    <m/>
    <m/>
    <m/>
    <m/>
    <m/>
    <m/>
    <m/>
    <m/>
    <x v="416"/>
    <s v="Si"/>
    <s v="Infusión terapéutica quimioterapia. Procedimiento básico"/>
    <x v="360"/>
    <n v="7"/>
    <n v="2020"/>
    <s v="Vascular"/>
  </r>
  <r>
    <s v="Adulto"/>
    <s v="Botella"/>
    <s v="Crespo"/>
    <s v="José Manuel"/>
    <n v="3116475"/>
    <d v="2020-07-28T00:00:00"/>
    <n v="6.1840000000000002"/>
    <m/>
    <m/>
    <m/>
    <m/>
    <m/>
    <m/>
    <m/>
    <m/>
    <m/>
    <m/>
    <x v="414"/>
    <s v="Si"/>
    <s v="Arteriografía troncos viscerales digestivos"/>
    <x v="358"/>
    <n v="7"/>
    <n v="2020"/>
    <s v="Vascular"/>
  </r>
  <r>
    <s v="Adulto"/>
    <s v="Álvarez"/>
    <s v="Ruiz"/>
    <s v="José"/>
    <n v="4484462"/>
    <d v="2020-07-28T00:00:00"/>
    <n v="3.5249999999999999"/>
    <m/>
    <m/>
    <m/>
    <m/>
    <m/>
    <m/>
    <m/>
    <m/>
    <m/>
    <m/>
    <x v="417"/>
    <s v="Si"/>
    <s v="Control catéter drenaje"/>
    <x v="361"/>
    <n v="7"/>
    <n v="2020"/>
    <s v="Vascular"/>
  </r>
  <r>
    <s v="Adulto"/>
    <s v="Nadal"/>
    <s v="Torralbo"/>
    <s v="David"/>
    <n v="4664774"/>
    <d v="2020-07-16T00:00:00"/>
    <n v="7.4690000000000003"/>
    <m/>
    <m/>
    <m/>
    <m/>
    <m/>
    <m/>
    <m/>
    <m/>
    <m/>
    <m/>
    <x v="418"/>
    <s v="Si"/>
    <s v="Arteriografía troncos viscerales digestivos"/>
    <x v="362"/>
    <n v="7"/>
    <n v="2020"/>
    <s v="Vascular"/>
  </r>
  <r>
    <s v="Adulto"/>
    <s v="Arroyo"/>
    <s v="Porta"/>
    <s v="Adela"/>
    <n v="3189874"/>
    <d v="2020-07-08T00:00:00"/>
    <n v="3.7"/>
    <m/>
    <m/>
    <m/>
    <m/>
    <m/>
    <m/>
    <m/>
    <m/>
    <m/>
    <m/>
    <x v="419"/>
    <s v="Si"/>
    <s v="Angiografía cerebral completa y selectiva. Procedimiento básico"/>
    <x v="363"/>
    <n v="7"/>
    <n v="2020"/>
    <s v="Vascular"/>
  </r>
  <r>
    <s v="Adulto"/>
    <s v="Murciano"/>
    <s v="Rodilla"/>
    <s v="Herlinda"/>
    <n v="2908045"/>
    <d v="2020-06-30T00:00:00"/>
    <n v="3.476"/>
    <m/>
    <m/>
    <m/>
    <m/>
    <m/>
    <m/>
    <m/>
    <m/>
    <m/>
    <m/>
    <x v="420"/>
    <s v="Si"/>
    <s v="Embolización en malformaciones vasculares cerebrales. Procedimiento báscio"/>
    <x v="364"/>
    <n v="6"/>
    <n v="2020"/>
    <s v="Vascular"/>
  </r>
  <r>
    <s v="Adulto"/>
    <s v="Timoner"/>
    <s v="Domingo"/>
    <s v="Pedro Enrique"/>
    <n v="1755575"/>
    <d v="2020-06-26T00:00:00"/>
    <n v="4.2350000000000003"/>
    <m/>
    <m/>
    <m/>
    <m/>
    <m/>
    <m/>
    <m/>
    <m/>
    <m/>
    <m/>
    <x v="421"/>
    <s v="Si"/>
    <s v="Embolización esplénica. Procedimiento básico"/>
    <x v="365"/>
    <n v="6"/>
    <n v="2020"/>
    <s v="Vascular"/>
  </r>
  <r>
    <s v="Adulto"/>
    <s v="Calero"/>
    <s v="Serrano"/>
    <s v="Catalina"/>
    <n v="2608848"/>
    <d v="2020-06-25T00:00:00"/>
    <n v="6.2839999999999998"/>
    <m/>
    <m/>
    <m/>
    <m/>
    <m/>
    <m/>
    <m/>
    <m/>
    <m/>
    <m/>
    <x v="422"/>
    <s v="Si"/>
    <s v="Otras embolizaciones. Procedimiento básico"/>
    <x v="366"/>
    <n v="6"/>
    <n v="2020"/>
    <s v="Vascular"/>
  </r>
  <r>
    <s v="Adulto"/>
    <s v="Llanes"/>
    <s v="Tolosa"/>
    <s v="Ramón"/>
    <n v="1698821"/>
    <d v="2020-06-22T00:00:00"/>
    <n v="3.0939999999999999"/>
    <m/>
    <m/>
    <m/>
    <m/>
    <m/>
    <m/>
    <m/>
    <m/>
    <m/>
    <m/>
    <x v="409"/>
    <s v="Si"/>
    <s v="Quimioembolización hepática. Procedimiento básico"/>
    <x v="353"/>
    <n v="6"/>
    <n v="2020"/>
    <s v="Vascular"/>
  </r>
  <r>
    <s v="Adulto"/>
    <s v="Pardo"/>
    <s v="Serrano"/>
    <s v="M Carmen"/>
    <n v="3273662"/>
    <d v="2020-06-22T00:00:00"/>
    <n v="2.9980000000000002"/>
    <m/>
    <m/>
    <m/>
    <m/>
    <m/>
    <m/>
    <m/>
    <m/>
    <m/>
    <m/>
    <x v="423"/>
    <s v="Si"/>
    <s v="Embolización grandes vasos. Procedimiento básico"/>
    <x v="367"/>
    <n v="6"/>
    <n v="2020"/>
    <s v="Vascular"/>
  </r>
  <r>
    <s v="Adulto"/>
    <s v="Martínez"/>
    <s v="Soriano"/>
    <s v="Carmen"/>
    <n v="3481236"/>
    <d v="2020-06-11T00:00:00"/>
    <n v="2.823"/>
    <m/>
    <m/>
    <m/>
    <m/>
    <m/>
    <m/>
    <m/>
    <m/>
    <m/>
    <m/>
    <x v="424"/>
    <s v="Si"/>
    <s v="Quimioembolización hepática. Procedimiento básico"/>
    <x v="368"/>
    <n v="6"/>
    <n v="2020"/>
    <s v="Vascular"/>
  </r>
  <r>
    <s v="Adulto"/>
    <s v="Gallego"/>
    <s v="Hernández"/>
    <s v="Salvador"/>
    <n v="248481"/>
    <d v="2020-06-10T00:00:00"/>
    <n v="2.839"/>
    <m/>
    <m/>
    <m/>
    <m/>
    <m/>
    <m/>
    <m/>
    <m/>
    <m/>
    <m/>
    <x v="416"/>
    <s v="Si"/>
    <s v="Arteriografía troncos viscerales digestivos"/>
    <x v="360"/>
    <n v="6"/>
    <n v="2020"/>
    <s v="Vascular"/>
  </r>
  <r>
    <s v="Adulto"/>
    <s v="Mitkov"/>
    <s v="Rusev"/>
    <s v="Plamen"/>
    <n v="6230481"/>
    <d v="2020-06-04T00:00:00"/>
    <n v="3.05"/>
    <m/>
    <m/>
    <m/>
    <m/>
    <m/>
    <m/>
    <m/>
    <m/>
    <m/>
    <m/>
    <x v="425"/>
    <s v="Si"/>
    <s v="Arteriografía troncos viscerales digestivos"/>
    <x v="369"/>
    <n v="6"/>
    <n v="2020"/>
    <s v="Vascular"/>
  </r>
  <r>
    <s v="Adulto"/>
    <s v="Martínez"/>
    <s v="Ibáñez"/>
    <s v="Valentín"/>
    <n v="1276398"/>
    <d v="2020-06-03T00:00:00"/>
    <n v="3.7519999999999998"/>
    <m/>
    <m/>
    <m/>
    <m/>
    <m/>
    <m/>
    <m/>
    <m/>
    <m/>
    <m/>
    <x v="426"/>
    <s v="Si"/>
    <s v="Aortografía abdominal"/>
    <x v="370"/>
    <n v="6"/>
    <n v="2020"/>
    <s v="Vascular"/>
  </r>
  <r>
    <s v="Adulto"/>
    <s v="Astilleros"/>
    <s v="Jiménez"/>
    <s v="Jacinto"/>
    <n v="264626"/>
    <d v="2020-06-03T00:00:00"/>
    <n v="0.872"/>
    <m/>
    <m/>
    <m/>
    <m/>
    <m/>
    <m/>
    <m/>
    <m/>
    <m/>
    <m/>
    <x v="370"/>
    <m/>
    <s v="Quimioembolización hepática. Procedimiento básico"/>
    <x v="311"/>
    <n v="6"/>
    <n v="2020"/>
    <s v="Vascular"/>
  </r>
  <r>
    <s v="Adulto"/>
    <s v="Calvo"/>
    <s v="Gómez"/>
    <s v="José"/>
    <n v="2398262"/>
    <d v="2020-05-30T00:00:00"/>
    <n v="2.9849999999999999"/>
    <m/>
    <m/>
    <m/>
    <m/>
    <m/>
    <m/>
    <m/>
    <m/>
    <m/>
    <m/>
    <x v="0"/>
    <s v="Si"/>
    <s v="Embolización de hemorragia digestiva alta. Procedimiento básico"/>
    <x v="371"/>
    <n v="5"/>
    <n v="2020"/>
    <s v="Vascular"/>
  </r>
  <r>
    <s v="Adulto"/>
    <s v="Verdejo"/>
    <s v="Matrínez"/>
    <s v="José Manuel"/>
    <n v="146669"/>
    <d v="2020-05-29T00:00:00"/>
    <n v="3.36"/>
    <m/>
    <m/>
    <m/>
    <m/>
    <m/>
    <m/>
    <m/>
    <m/>
    <m/>
    <m/>
    <x v="427"/>
    <s v="Si"/>
    <s v="(TIPS) Shunt protocava percutáneo. Procedimiento básico"/>
    <x v="372"/>
    <n v="5"/>
    <n v="2020"/>
    <s v="Vascular"/>
  </r>
  <r>
    <s v="Adulto"/>
    <s v="Urbán"/>
    <s v="García"/>
    <s v="Alejandro"/>
    <n v="2357868"/>
    <d v="2020-05-29T00:00:00"/>
    <n v="6.3E-2"/>
    <m/>
    <m/>
    <m/>
    <m/>
    <m/>
    <m/>
    <m/>
    <m/>
    <m/>
    <m/>
    <x v="428"/>
    <m/>
    <m/>
    <x v="373"/>
    <n v="5"/>
    <n v="2020"/>
    <s v="Vascular"/>
  </r>
  <r>
    <s v="Adulto"/>
    <s v="Urbán"/>
    <s v="García"/>
    <s v="Alejandro"/>
    <n v="2357868"/>
    <d v="2020-05-28T00:00:00"/>
    <n v="0.254"/>
    <m/>
    <m/>
    <m/>
    <m/>
    <m/>
    <m/>
    <m/>
    <m/>
    <m/>
    <m/>
    <x v="428"/>
    <m/>
    <m/>
    <x v="373"/>
    <n v="5"/>
    <n v="2020"/>
    <s v="Vascular"/>
  </r>
  <r>
    <s v="Adulto"/>
    <s v="Collado"/>
    <s v="Rodríguez"/>
    <s v="José Vicente"/>
    <n v="3065170"/>
    <d v="2020-05-28T00:00:00"/>
    <n v="0.123"/>
    <m/>
    <m/>
    <m/>
    <m/>
    <m/>
    <m/>
    <m/>
    <m/>
    <m/>
    <m/>
    <x v="429"/>
    <m/>
    <m/>
    <x v="374"/>
    <n v="5"/>
    <n v="2020"/>
    <s v="Vascular"/>
  </r>
  <r>
    <s v="Adulto"/>
    <s v="Martínez"/>
    <s v="Soriano"/>
    <s v="Carmen"/>
    <n v="3481236"/>
    <d v="2020-05-21T00:00:00"/>
    <n v="2.1709999999999998"/>
    <m/>
    <m/>
    <m/>
    <m/>
    <m/>
    <m/>
    <m/>
    <m/>
    <m/>
    <m/>
    <x v="424"/>
    <s v="Si"/>
    <s v="Otras embolizaciones. Procedimiento básico"/>
    <x v="368"/>
    <n v="5"/>
    <n v="2020"/>
    <s v="Vascular"/>
  </r>
  <r>
    <s v="Adulto"/>
    <s v="Martínez"/>
    <s v="Ibáñez"/>
    <s v="Valentín"/>
    <n v="1276398"/>
    <d v="2020-05-04T00:00:00"/>
    <n v="2.5619999999999998"/>
    <m/>
    <m/>
    <m/>
    <m/>
    <m/>
    <m/>
    <m/>
    <m/>
    <m/>
    <m/>
    <x v="426"/>
    <s v="Si"/>
    <s v="Embolización de aneurismas venosos"/>
    <x v="370"/>
    <n v="5"/>
    <n v="2020"/>
    <s v="Vascular"/>
  </r>
  <r>
    <s v="Adulto"/>
    <s v="Duro "/>
    <s v="Moreno"/>
    <s v="Ramón"/>
    <n v="1858960"/>
    <d v="2020-04-23T00:00:00"/>
    <n v="3.262"/>
    <s v="abdomen"/>
    <m/>
    <m/>
    <m/>
    <m/>
    <m/>
    <m/>
    <m/>
    <m/>
    <m/>
    <x v="388"/>
    <s v="Si"/>
    <s v="Quimioembolización hepática. Procedimiento básico"/>
    <x v="331"/>
    <n v="4"/>
    <n v="2020"/>
    <s v="Vascular"/>
  </r>
  <r>
    <s v="Adulto"/>
    <s v="Gonzalez"/>
    <s v="Climent"/>
    <s v="Javier"/>
    <n v="4724594"/>
    <d v="2020-02-18T00:00:00"/>
    <n v="1.141"/>
    <m/>
    <m/>
    <m/>
    <m/>
    <m/>
    <m/>
    <m/>
    <m/>
    <m/>
    <m/>
    <x v="406"/>
    <s v="Si"/>
    <m/>
    <x v="350"/>
    <n v="2"/>
    <n v="2020"/>
    <s v="Vascular"/>
  </r>
  <r>
    <s v="Adulto"/>
    <s v="Ballester"/>
    <s v="Noguera"/>
    <s v="José Vicente"/>
    <n v="2910430"/>
    <d v="2020-02-12T00:00:00"/>
    <n v="5.6"/>
    <m/>
    <m/>
    <m/>
    <m/>
    <m/>
    <m/>
    <m/>
    <m/>
    <m/>
    <m/>
    <x v="415"/>
    <s v="Si"/>
    <s v="Quimioembolización hepática. Procedimiento básico"/>
    <x v="359"/>
    <n v="2"/>
    <n v="2020"/>
    <s v="Vascular"/>
  </r>
  <r>
    <s v="Adulto"/>
    <s v="Punzano"/>
    <s v="Egea"/>
    <s v="Felipe"/>
    <n v="1862484"/>
    <d v="2020-02-12T00:00:00"/>
    <n v="3.944"/>
    <m/>
    <m/>
    <m/>
    <m/>
    <m/>
    <m/>
    <m/>
    <m/>
    <m/>
    <m/>
    <x v="430"/>
    <s v="Si"/>
    <s v="Ablación tumoral, radiofrecuencia"/>
    <x v="375"/>
    <n v="2"/>
    <n v="2020"/>
    <s v="Vascular"/>
  </r>
  <r>
    <s v="Adulto"/>
    <s v="Llanes"/>
    <s v="Tolosa"/>
    <s v="Ramón"/>
    <n v="1698821"/>
    <d v="2020-02-04T00:00:00"/>
    <n v="5.2409999999999997"/>
    <m/>
    <m/>
    <m/>
    <m/>
    <m/>
    <m/>
    <m/>
    <m/>
    <m/>
    <m/>
    <x v="409"/>
    <s v="Si"/>
    <s v="Quimioembolización hepática. Procedimiento básico"/>
    <x v="353"/>
    <n v="2"/>
    <n v="2020"/>
    <s v="Vascular"/>
  </r>
  <r>
    <s v="Adulto"/>
    <s v="Villar"/>
    <s v="Marín"/>
    <s v="José"/>
    <n v="2484685"/>
    <d v="2020-01-23T00:00:00"/>
    <n v="1.145"/>
    <m/>
    <m/>
    <m/>
    <m/>
    <m/>
    <m/>
    <m/>
    <m/>
    <m/>
    <m/>
    <x v="407"/>
    <s v="Si"/>
    <s v="Quimioembolización hepática. Procedimiento básico"/>
    <x v="351"/>
    <n v="1"/>
    <n v="2020"/>
    <s v="Vascular"/>
  </r>
  <r>
    <s v="Adulto"/>
    <s v="Cano"/>
    <s v="Esteban"/>
    <s v="Juana"/>
    <n v="2983985"/>
    <d v="2020-01-18T00:00:00"/>
    <n v="0.54600000000000004"/>
    <n v="0"/>
    <n v="7.0999999999999994E-2"/>
    <n v="0.377"/>
    <n v="0.35399999999999998"/>
    <n v="0"/>
    <n v="0"/>
    <n v="0.1"/>
    <n v="0.38"/>
    <n v="0.36"/>
    <n v="0"/>
    <x v="431"/>
    <m/>
    <s v="Cateterismo cardíaco"/>
    <x v="376"/>
    <n v="1"/>
    <n v="2020"/>
    <s v="Hemodinámica"/>
  </r>
  <r>
    <s v="Adulto"/>
    <s v="Villar"/>
    <s v="Marín"/>
    <s v="José"/>
    <n v="2484685"/>
    <d v="2020-01-14T00:00:00"/>
    <n v="0.28699999999999998"/>
    <m/>
    <m/>
    <m/>
    <m/>
    <m/>
    <m/>
    <m/>
    <m/>
    <m/>
    <m/>
    <x v="407"/>
    <s v="Si"/>
    <s v="Quimioembolización hepática. Procedimiento básico"/>
    <x v="351"/>
    <n v="1"/>
    <n v="2020"/>
    <s v="Vascular"/>
  </r>
  <r>
    <s v="Adulto"/>
    <s v="Cervera"/>
    <s v="Ruiz"/>
    <s v="Antonio"/>
    <n v="2932082"/>
    <d v="2019-12-26T00:00:00"/>
    <n v="0.83899999999999997"/>
    <s v="abdomen"/>
    <m/>
    <m/>
    <m/>
    <m/>
    <m/>
    <m/>
    <m/>
    <m/>
    <m/>
    <x v="393"/>
    <s v="Si"/>
    <s v="3061080107241010"/>
    <x v="336"/>
    <n v="12"/>
    <n v="2019"/>
    <s v="Vascular"/>
  </r>
  <r>
    <s v="Adulto"/>
    <s v="Palanca"/>
    <s v="Pascual"/>
    <s v="Francisco"/>
    <n v="2334536"/>
    <d v="2019-12-16T00:00:00"/>
    <n v="6.1820000000000004"/>
    <m/>
    <m/>
    <m/>
    <m/>
    <m/>
    <m/>
    <m/>
    <m/>
    <m/>
    <m/>
    <x v="432"/>
    <s v="Si"/>
    <s v="Embolización de hemorragia digestiva alta. Procedimiento básico"/>
    <x v="377"/>
    <n v="12"/>
    <n v="2019"/>
    <s v="Vascular"/>
  </r>
  <r>
    <s v="Adulto"/>
    <s v="Cervera"/>
    <s v="Ruiz"/>
    <s v="Antonio"/>
    <n v="2932082"/>
    <d v="2019-12-03T00:00:00"/>
    <n v="5.8280000000000003"/>
    <s v="abdomen"/>
    <m/>
    <m/>
    <m/>
    <m/>
    <m/>
    <m/>
    <m/>
    <m/>
    <m/>
    <x v="393"/>
    <s v="Si"/>
    <s v="Quimioembolización hepática. Procedimiento básico"/>
    <x v="336"/>
    <n v="12"/>
    <n v="2019"/>
    <s v="Vascular"/>
  </r>
  <r>
    <s v="Adulto"/>
    <s v="Patiño"/>
    <s v="Nieto"/>
    <s v="Donato"/>
    <n v="3130505"/>
    <d v="2019-10-23T00:00:00"/>
    <n v="3.8679999999999999"/>
    <m/>
    <m/>
    <m/>
    <m/>
    <m/>
    <m/>
    <m/>
    <m/>
    <m/>
    <m/>
    <x v="433"/>
    <s v="Si"/>
    <s v="Tratamiento endovascular aneurisma de aorta abdominal. Procedimiento basico"/>
    <x v="378"/>
    <n v="10"/>
    <n v="2019"/>
    <s v="Vascular"/>
  </r>
  <r>
    <s v="Adulto"/>
    <s v="Piorno"/>
    <s v="Pérez"/>
    <s v="Ángel"/>
    <n v="3194477"/>
    <d v="2019-10-18T00:00:00"/>
    <n v="5.4779999999999998"/>
    <m/>
    <m/>
    <m/>
    <m/>
    <m/>
    <m/>
    <m/>
    <m/>
    <m/>
    <m/>
    <x v="434"/>
    <s v="Si"/>
    <s v="Arteriografía renal"/>
    <x v="379"/>
    <n v="10"/>
    <n v="2019"/>
    <s v="Vascular"/>
  </r>
  <r>
    <s v="Adulto"/>
    <s v="Cervera"/>
    <s v="Ruiz"/>
    <s v="Antonio"/>
    <n v="2932082"/>
    <d v="2019-09-23T00:00:00"/>
    <n v="2.7250000000000001"/>
    <s v="abdomen"/>
    <m/>
    <m/>
    <m/>
    <m/>
    <m/>
    <m/>
    <m/>
    <m/>
    <m/>
    <x v="393"/>
    <s v="Si"/>
    <s v="Quimioembolización hepática. Procedimiento básico"/>
    <x v="336"/>
    <n v="9"/>
    <n v="2019"/>
    <s v="Vascular"/>
  </r>
  <r>
    <s v="Adulto"/>
    <s v="Cebriá "/>
    <s v="Gamón"/>
    <s v="Vicente"/>
    <n v="1987869"/>
    <d v="2019-07-23T00:00:00"/>
    <n v="8.9350000000000005"/>
    <m/>
    <m/>
    <m/>
    <m/>
    <m/>
    <m/>
    <m/>
    <m/>
    <m/>
    <m/>
    <x v="435"/>
    <s v="Si"/>
    <s v="Tratamiento endovascular aneurisma de aorta abdominal. Procedimiento basico"/>
    <x v="380"/>
    <n v="7"/>
    <n v="2019"/>
    <s v="Vascular"/>
  </r>
  <r>
    <s v="Adulto"/>
    <s v="Cocera"/>
    <s v="Martínez"/>
    <s v="Rogelio"/>
    <n v="3256868"/>
    <d v="2019-05-26T00:00:00"/>
    <n v="0.63700000000000001"/>
    <n v="0"/>
    <n v="2.5999999999999999E-2"/>
    <n v="0.51300000000000001"/>
    <n v="0.51300000000000001"/>
    <n v="0"/>
    <n v="0"/>
    <n v="5.2999999999999999E-2"/>
    <n v="0.11899999999999999"/>
    <n v="9.2999999999999999E-2"/>
    <n v="0"/>
    <x v="436"/>
    <m/>
    <s v="Cateterismo cardíaco"/>
    <x v="381"/>
    <n v="5"/>
    <n v="2019"/>
    <s v="Hemodinámica"/>
  </r>
  <r>
    <s v="Adulto"/>
    <s v="Gonzalez"/>
    <s v="Climent"/>
    <s v="Javier"/>
    <n v="4724594"/>
    <d v="2019-02-05T00:00:00"/>
    <n v="2.4550000000000001"/>
    <m/>
    <m/>
    <m/>
    <m/>
    <m/>
    <m/>
    <m/>
    <m/>
    <m/>
    <m/>
    <x v="406"/>
    <s v="Si"/>
    <m/>
    <x v="350"/>
    <n v="2"/>
    <n v="2019"/>
    <s v="Vascular"/>
  </r>
  <r>
    <s v="Adulto"/>
    <s v="Giner"/>
    <s v="Ortega"/>
    <s v="Francisca"/>
    <n v="2932156"/>
    <d v="2018-06-11T00:00:00"/>
    <n v="2.9"/>
    <s v="abdomen"/>
    <m/>
    <m/>
    <m/>
    <m/>
    <m/>
    <m/>
    <m/>
    <m/>
    <m/>
    <x v="87"/>
    <s v="Si"/>
    <s v="Quimioembolización hepática. Procedimiento básico"/>
    <x v="89"/>
    <n v="6"/>
    <n v="2018"/>
    <s v="Vascular"/>
  </r>
  <r>
    <s v="Adulto"/>
    <s v="Cervera"/>
    <s v="Ruiz"/>
    <s v="Antonio"/>
    <n v="2932082"/>
    <d v="2018-02-26T00:00:00"/>
    <n v="4.17"/>
    <s v="abdomen"/>
    <m/>
    <m/>
    <m/>
    <m/>
    <m/>
    <m/>
    <m/>
    <m/>
    <m/>
    <x v="393"/>
    <s v="Si"/>
    <s v="Quimioembolización hepática. Procedimiento básico"/>
    <x v="336"/>
    <n v="2"/>
    <n v="2018"/>
    <s v="Vascular"/>
  </r>
  <r>
    <s v="Adulto"/>
    <s v="Torregrosa"/>
    <s v="Valero"/>
    <s v="M Carmen"/>
    <n v="4245699"/>
    <d v="2018-01-15T00:00:00"/>
    <n v="3.1589999999999998"/>
    <m/>
    <m/>
    <m/>
    <m/>
    <m/>
    <m/>
    <m/>
    <m/>
    <m/>
    <m/>
    <x v="410"/>
    <s v="Si"/>
    <m/>
    <x v="382"/>
    <n v="1"/>
    <n v="2018"/>
    <s v="Vascular"/>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383"/>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s v=""/>
    <m/>
    <m/>
    <m/>
    <m/>
    <m/>
    <m/>
    <m/>
    <m/>
    <m/>
    <m/>
    <m/>
    <m/>
    <m/>
    <m/>
    <m/>
    <m/>
    <x v="102"/>
    <m/>
    <m/>
    <x v="114"/>
    <m/>
    <m/>
    <m/>
  </r>
  <r>
    <m/>
    <m/>
    <m/>
    <m/>
    <m/>
    <m/>
    <m/>
    <m/>
    <m/>
    <m/>
    <m/>
    <m/>
    <m/>
    <m/>
    <m/>
    <m/>
    <m/>
    <x v="102"/>
    <m/>
    <m/>
    <x v="114"/>
    <m/>
    <m/>
    <m/>
  </r>
  <r>
    <m/>
    <m/>
    <m/>
    <m/>
    <m/>
    <m/>
    <m/>
    <m/>
    <m/>
    <m/>
    <m/>
    <m/>
    <m/>
    <m/>
    <m/>
    <m/>
    <m/>
    <x v="102"/>
    <m/>
    <m/>
    <x v="114"/>
    <m/>
    <m/>
    <m/>
  </r>
  <r>
    <m/>
    <m/>
    <m/>
    <m/>
    <m/>
    <m/>
    <m/>
    <m/>
    <m/>
    <m/>
    <m/>
    <m/>
    <m/>
    <m/>
    <m/>
    <m/>
    <m/>
    <x v="102"/>
    <m/>
    <m/>
    <x v="114"/>
    <m/>
    <m/>
    <m/>
  </r>
  <r>
    <m/>
    <m/>
    <m/>
    <m/>
    <m/>
    <m/>
    <m/>
    <m/>
    <m/>
    <m/>
    <m/>
    <m/>
    <m/>
    <m/>
    <m/>
    <m/>
    <m/>
    <x v="102"/>
    <m/>
    <m/>
    <x v="114"/>
    <m/>
    <m/>
    <m/>
  </r>
</pivotCacheRecords>
</file>

<file path=xl/pivotCache/pivotCacheRecords5.xml><?xml version="1.0" encoding="utf-8"?>
<pivotCacheRecords xmlns="http://schemas.openxmlformats.org/spreadsheetml/2006/main" xmlns:r="http://schemas.openxmlformats.org/officeDocument/2006/relationships" count="2429">
  <r>
    <s v="Torregrosa"/>
    <s v="Valero"/>
    <s v="M Carmen"/>
    <x v="0"/>
    <x v="0"/>
    <n v="3.1589999999999998"/>
    <m/>
    <m/>
    <m/>
    <m/>
    <m/>
    <m/>
    <m/>
    <m/>
    <m/>
    <m/>
    <d v="1955-09-22T00:00:00"/>
    <s v="Si"/>
    <x v="0"/>
  </r>
  <r>
    <s v="Cervera"/>
    <s v="Ruiz"/>
    <s v="Antonio"/>
    <x v="1"/>
    <x v="1"/>
    <n v="4.17"/>
    <s v="abdomen"/>
    <m/>
    <m/>
    <m/>
    <m/>
    <m/>
    <m/>
    <m/>
    <m/>
    <m/>
    <d v="1958-01-11T00:00:00"/>
    <s v="Si"/>
    <x v="1"/>
  </r>
  <r>
    <s v="Giner"/>
    <s v="Ortega"/>
    <s v="Francisca"/>
    <x v="2"/>
    <x v="2"/>
    <n v="2.9"/>
    <s v="abdomen"/>
    <m/>
    <m/>
    <m/>
    <m/>
    <m/>
    <m/>
    <m/>
    <m/>
    <m/>
    <d v="1958-12-29T00:00:00"/>
    <s v="Si"/>
    <x v="1"/>
  </r>
  <r>
    <s v="Gonzalez"/>
    <s v="Climent"/>
    <s v="Javier"/>
    <x v="3"/>
    <x v="3"/>
    <n v="2.4550000000000001"/>
    <m/>
    <m/>
    <m/>
    <m/>
    <m/>
    <m/>
    <m/>
    <m/>
    <m/>
    <m/>
    <d v="1961-07-13T00:00:00"/>
    <s v="Si"/>
    <x v="0"/>
  </r>
  <r>
    <s v="Cocera"/>
    <s v="Martínez"/>
    <s v="Rogelio"/>
    <x v="4"/>
    <x v="4"/>
    <n v="0.63700000000000001"/>
    <n v="0"/>
    <n v="2.5999999999999999E-2"/>
    <n v="0.51300000000000001"/>
    <n v="0.51300000000000001"/>
    <n v="0"/>
    <n v="0"/>
    <n v="5.2999999999999999E-2"/>
    <n v="0.11899999999999999"/>
    <n v="9.2999999999999999E-2"/>
    <n v="0"/>
    <d v="1933-04-17T00:00:00"/>
    <m/>
    <x v="2"/>
  </r>
  <r>
    <s v="Cebriá "/>
    <s v="Gamón"/>
    <s v="Vicente"/>
    <x v="5"/>
    <x v="5"/>
    <n v="8.9350000000000005"/>
    <m/>
    <m/>
    <m/>
    <m/>
    <m/>
    <m/>
    <m/>
    <m/>
    <m/>
    <m/>
    <d v="1945-06-03T00:00:00"/>
    <s v="Si"/>
    <x v="3"/>
  </r>
  <r>
    <s v="Cervera"/>
    <s v="Ruiz"/>
    <s v="Antonio"/>
    <x v="1"/>
    <x v="6"/>
    <n v="2.7250000000000001"/>
    <s v="abdomen"/>
    <m/>
    <m/>
    <m/>
    <m/>
    <m/>
    <m/>
    <m/>
    <m/>
    <m/>
    <d v="1958-01-11T00:00:00"/>
    <s v="Si"/>
    <x v="1"/>
  </r>
  <r>
    <s v="Piorno"/>
    <s v="Pérez"/>
    <s v="Ángel"/>
    <x v="6"/>
    <x v="7"/>
    <n v="5.4779999999999998"/>
    <m/>
    <m/>
    <m/>
    <m/>
    <m/>
    <m/>
    <m/>
    <m/>
    <m/>
    <m/>
    <d v="1950-06-14T00:00:00"/>
    <s v="Si"/>
    <x v="4"/>
  </r>
  <r>
    <s v="Patiño"/>
    <s v="Nieto"/>
    <s v="Donato"/>
    <x v="7"/>
    <x v="8"/>
    <n v="3.8679999999999999"/>
    <m/>
    <m/>
    <m/>
    <m/>
    <m/>
    <m/>
    <m/>
    <m/>
    <m/>
    <m/>
    <d v="1935-10-28T00:00:00"/>
    <s v="Si"/>
    <x v="3"/>
  </r>
  <r>
    <s v="Cervera"/>
    <s v="Ruiz"/>
    <s v="Antonio"/>
    <x v="1"/>
    <x v="9"/>
    <n v="5.8280000000000003"/>
    <s v="abdomen"/>
    <m/>
    <m/>
    <m/>
    <m/>
    <m/>
    <m/>
    <m/>
    <m/>
    <m/>
    <d v="1958-01-11T00:00:00"/>
    <s v="Si"/>
    <x v="1"/>
  </r>
  <r>
    <s v="Palanca"/>
    <s v="Pascual"/>
    <s v="Francisco"/>
    <x v="8"/>
    <x v="10"/>
    <n v="6.1820000000000004"/>
    <m/>
    <m/>
    <m/>
    <m/>
    <m/>
    <m/>
    <m/>
    <m/>
    <m/>
    <m/>
    <d v="1963-11-08T00:00:00"/>
    <s v="Si"/>
    <x v="5"/>
  </r>
  <r>
    <s v="Cervera"/>
    <s v="Ruiz"/>
    <s v="Antonio"/>
    <x v="1"/>
    <x v="11"/>
    <n v="0.83899999999999997"/>
    <s v="abdomen"/>
    <m/>
    <m/>
    <m/>
    <m/>
    <m/>
    <m/>
    <m/>
    <m/>
    <m/>
    <d v="1958-01-11T00:00:00"/>
    <s v="Si"/>
    <x v="6"/>
  </r>
  <r>
    <s v="Villar"/>
    <s v="Marín"/>
    <s v="José"/>
    <x v="9"/>
    <x v="12"/>
    <n v="0.28699999999999998"/>
    <m/>
    <m/>
    <m/>
    <m/>
    <m/>
    <m/>
    <m/>
    <m/>
    <m/>
    <m/>
    <d v="1947-07-21T00:00:00"/>
    <s v="Si"/>
    <x v="1"/>
  </r>
  <r>
    <s v="Cano"/>
    <s v="Esteban"/>
    <s v="Juana"/>
    <x v="10"/>
    <x v="13"/>
    <n v="0.54600000000000004"/>
    <n v="0"/>
    <n v="7.0999999999999994E-2"/>
    <n v="0.377"/>
    <n v="0.35399999999999998"/>
    <n v="0"/>
    <n v="0"/>
    <n v="0.1"/>
    <n v="0.38"/>
    <n v="0.36"/>
    <n v="0"/>
    <d v="1933-08-28T00:00:00"/>
    <m/>
    <x v="2"/>
  </r>
  <r>
    <s v="Villar"/>
    <s v="Marín"/>
    <s v="José"/>
    <x v="9"/>
    <x v="14"/>
    <n v="1.145"/>
    <m/>
    <m/>
    <m/>
    <m/>
    <m/>
    <m/>
    <m/>
    <m/>
    <m/>
    <m/>
    <d v="1947-07-21T00:00:00"/>
    <s v="Si"/>
    <x v="1"/>
  </r>
  <r>
    <s v="Llanes"/>
    <s v="Tolosa"/>
    <s v="Ramón"/>
    <x v="11"/>
    <x v="15"/>
    <n v="5.2409999999999997"/>
    <m/>
    <m/>
    <m/>
    <m/>
    <m/>
    <m/>
    <m/>
    <m/>
    <m/>
    <m/>
    <d v="1965-08-17T00:00:00"/>
    <s v="Si"/>
    <x v="1"/>
  </r>
  <r>
    <s v="Punzano"/>
    <s v="Egea"/>
    <s v="Felipe"/>
    <x v="12"/>
    <x v="16"/>
    <n v="3.944"/>
    <m/>
    <m/>
    <m/>
    <m/>
    <m/>
    <m/>
    <m/>
    <m/>
    <m/>
    <m/>
    <d v="1960-02-05T00:00:00"/>
    <s v="Si"/>
    <x v="7"/>
  </r>
  <r>
    <s v="Ballester"/>
    <s v="Noguera"/>
    <s v="José Vicente"/>
    <x v="13"/>
    <x v="16"/>
    <n v="5.6"/>
    <m/>
    <m/>
    <m/>
    <m/>
    <m/>
    <m/>
    <m/>
    <m/>
    <m/>
    <m/>
    <d v="1958-10-22T00:00:00"/>
    <s v="Si"/>
    <x v="1"/>
  </r>
  <r>
    <s v="Gonzalez"/>
    <s v="Climent"/>
    <s v="Javier"/>
    <x v="3"/>
    <x v="17"/>
    <n v="1.141"/>
    <m/>
    <m/>
    <m/>
    <m/>
    <m/>
    <m/>
    <m/>
    <m/>
    <m/>
    <m/>
    <d v="1961-07-13T00:00:00"/>
    <s v="Si"/>
    <x v="0"/>
  </r>
  <r>
    <s v="Duro "/>
    <s v="Moreno"/>
    <s v="Ramón"/>
    <x v="14"/>
    <x v="18"/>
    <n v="3.262"/>
    <s v="abdomen"/>
    <m/>
    <m/>
    <m/>
    <m/>
    <m/>
    <m/>
    <m/>
    <m/>
    <m/>
    <d v="1958-08-16T00:00:00"/>
    <s v="Si"/>
    <x v="1"/>
  </r>
  <r>
    <s v="Martínez"/>
    <s v="Ibáñez"/>
    <s v="Valentín"/>
    <x v="15"/>
    <x v="19"/>
    <n v="2.5619999999999998"/>
    <m/>
    <m/>
    <m/>
    <m/>
    <m/>
    <m/>
    <m/>
    <m/>
    <m/>
    <m/>
    <d v="1946-11-03T00:00:00"/>
    <s v="Si"/>
    <x v="8"/>
  </r>
  <r>
    <s v="Martínez"/>
    <s v="Soriano"/>
    <s v="Carmen"/>
    <x v="16"/>
    <x v="20"/>
    <n v="2.1709999999999998"/>
    <m/>
    <m/>
    <m/>
    <m/>
    <m/>
    <m/>
    <m/>
    <m/>
    <m/>
    <m/>
    <d v="1940-08-27T00:00:00"/>
    <s v="Si"/>
    <x v="9"/>
  </r>
  <r>
    <s v="Urbán"/>
    <s v="García"/>
    <s v="Alejandro"/>
    <x v="17"/>
    <x v="21"/>
    <n v="0.254"/>
    <m/>
    <m/>
    <m/>
    <m/>
    <m/>
    <m/>
    <m/>
    <m/>
    <m/>
    <m/>
    <d v="1971-05-10T00:00:00"/>
    <m/>
    <x v="0"/>
  </r>
  <r>
    <s v="Collado"/>
    <s v="Rodríguez"/>
    <s v="José Vicente"/>
    <x v="18"/>
    <x v="21"/>
    <n v="0.123"/>
    <m/>
    <m/>
    <m/>
    <m/>
    <m/>
    <m/>
    <m/>
    <m/>
    <m/>
    <m/>
    <d v="1957-08-08T00:00:00"/>
    <m/>
    <x v="0"/>
  </r>
  <r>
    <s v="Verdejo"/>
    <s v="Matrínez"/>
    <s v="José Manuel"/>
    <x v="19"/>
    <x v="22"/>
    <n v="3.36"/>
    <m/>
    <m/>
    <m/>
    <m/>
    <m/>
    <m/>
    <m/>
    <m/>
    <m/>
    <m/>
    <d v="1965-08-11T00:00:00"/>
    <s v="Si"/>
    <x v="10"/>
  </r>
  <r>
    <s v="Urbán"/>
    <s v="García"/>
    <s v="Alejandro"/>
    <x v="17"/>
    <x v="22"/>
    <n v="6.3E-2"/>
    <m/>
    <m/>
    <m/>
    <m/>
    <m/>
    <m/>
    <m/>
    <m/>
    <m/>
    <m/>
    <d v="1971-05-10T00:00:00"/>
    <m/>
    <x v="0"/>
  </r>
  <r>
    <s v="Calvo"/>
    <s v="Gómez"/>
    <s v="José"/>
    <x v="20"/>
    <x v="23"/>
    <n v="2.9849999999999999"/>
    <m/>
    <m/>
    <m/>
    <m/>
    <m/>
    <m/>
    <m/>
    <m/>
    <m/>
    <m/>
    <d v="1943-10-30T00:00:00"/>
    <s v="Si"/>
    <x v="5"/>
  </r>
  <r>
    <s v="Martínez"/>
    <s v="Ibáñez"/>
    <s v="Valentín"/>
    <x v="15"/>
    <x v="24"/>
    <n v="3.7519999999999998"/>
    <m/>
    <m/>
    <m/>
    <m/>
    <m/>
    <m/>
    <m/>
    <m/>
    <m/>
    <m/>
    <d v="1946-11-03T00:00:00"/>
    <s v="Si"/>
    <x v="11"/>
  </r>
  <r>
    <s v="Astilleros"/>
    <s v="Jiménez"/>
    <s v="Jacinto"/>
    <x v="21"/>
    <x v="24"/>
    <n v="0.872"/>
    <m/>
    <m/>
    <m/>
    <m/>
    <m/>
    <m/>
    <m/>
    <m/>
    <m/>
    <m/>
    <d v="1956-10-17T00:00:00"/>
    <m/>
    <x v="1"/>
  </r>
  <r>
    <s v="Mitkov"/>
    <s v="Rusev"/>
    <s v="Plamen"/>
    <x v="22"/>
    <x v="25"/>
    <n v="3.05"/>
    <m/>
    <m/>
    <m/>
    <m/>
    <m/>
    <m/>
    <m/>
    <m/>
    <m/>
    <m/>
    <d v="1978-08-21T00:00:00"/>
    <s v="Si"/>
    <x v="12"/>
  </r>
  <r>
    <s v="Gallego"/>
    <s v="Hernández"/>
    <s v="Salvador"/>
    <x v="23"/>
    <x v="26"/>
    <n v="2.839"/>
    <m/>
    <m/>
    <m/>
    <m/>
    <m/>
    <m/>
    <m/>
    <m/>
    <m/>
    <m/>
    <d v="1958-03-25T00:00:00"/>
    <s v="Si"/>
    <x v="12"/>
  </r>
  <r>
    <s v="Martínez"/>
    <s v="Soriano"/>
    <s v="Carmen"/>
    <x v="16"/>
    <x v="27"/>
    <n v="2.823"/>
    <m/>
    <m/>
    <m/>
    <m/>
    <m/>
    <m/>
    <m/>
    <m/>
    <m/>
    <m/>
    <d v="1940-08-27T00:00:00"/>
    <s v="Si"/>
    <x v="1"/>
  </r>
  <r>
    <s v="Pardo"/>
    <s v="Serrano"/>
    <s v="M Carmen"/>
    <x v="24"/>
    <x v="28"/>
    <n v="2.9980000000000002"/>
    <m/>
    <m/>
    <m/>
    <m/>
    <m/>
    <m/>
    <m/>
    <m/>
    <m/>
    <m/>
    <d v="1951-10-20T00:00:00"/>
    <s v="Si"/>
    <x v="13"/>
  </r>
  <r>
    <s v="Llanes"/>
    <s v="Tolosa"/>
    <s v="Ramón"/>
    <x v="11"/>
    <x v="28"/>
    <n v="3.0939999999999999"/>
    <m/>
    <m/>
    <m/>
    <m/>
    <m/>
    <m/>
    <m/>
    <m/>
    <m/>
    <m/>
    <d v="1965-08-17T00:00:00"/>
    <s v="Si"/>
    <x v="1"/>
  </r>
  <r>
    <s v="Calero"/>
    <s v="Serrano"/>
    <s v="Catalina"/>
    <x v="25"/>
    <x v="29"/>
    <n v="6.2839999999999998"/>
    <m/>
    <m/>
    <m/>
    <m/>
    <m/>
    <m/>
    <m/>
    <m/>
    <m/>
    <m/>
    <d v="1948-02-04T00:00:00"/>
    <s v="Si"/>
    <x v="9"/>
  </r>
  <r>
    <s v="Timoner"/>
    <s v="Domingo"/>
    <s v="Pedro Enrique"/>
    <x v="26"/>
    <x v="30"/>
    <n v="4.2350000000000003"/>
    <m/>
    <m/>
    <m/>
    <m/>
    <m/>
    <m/>
    <m/>
    <m/>
    <m/>
    <m/>
    <d v="1955-05-09T00:00:00"/>
    <s v="Si"/>
    <x v="14"/>
  </r>
  <r>
    <s v="Murciano"/>
    <s v="Rodilla"/>
    <s v="Herlinda"/>
    <x v="27"/>
    <x v="31"/>
    <n v="3.476"/>
    <m/>
    <m/>
    <m/>
    <m/>
    <m/>
    <m/>
    <m/>
    <m/>
    <m/>
    <m/>
    <d v="1956-06-15T00:00:00"/>
    <s v="Si"/>
    <x v="15"/>
  </r>
  <r>
    <s v="Arroyo"/>
    <s v="Porta"/>
    <s v="Adela"/>
    <x v="28"/>
    <x v="32"/>
    <n v="3.7"/>
    <m/>
    <m/>
    <m/>
    <m/>
    <m/>
    <m/>
    <m/>
    <m/>
    <m/>
    <m/>
    <d v="1945-11-10T00:00:00"/>
    <s v="Si"/>
    <x v="16"/>
  </r>
  <r>
    <s v="Nadal"/>
    <s v="Torralbo"/>
    <s v="David"/>
    <x v="29"/>
    <x v="33"/>
    <n v="7.4690000000000003"/>
    <m/>
    <m/>
    <m/>
    <m/>
    <m/>
    <m/>
    <m/>
    <m/>
    <m/>
    <m/>
    <d v="1970-07-14T00:00:00"/>
    <s v="Si"/>
    <x v="12"/>
  </r>
  <r>
    <s v="Botella"/>
    <s v="Crespo"/>
    <s v="José Manuel"/>
    <x v="30"/>
    <x v="34"/>
    <n v="6.1840000000000002"/>
    <m/>
    <m/>
    <m/>
    <m/>
    <m/>
    <m/>
    <m/>
    <m/>
    <m/>
    <m/>
    <d v="1949-07-16T00:00:00"/>
    <s v="Si"/>
    <x v="12"/>
  </r>
  <r>
    <s v="Álvarez"/>
    <s v="Ruiz"/>
    <s v="José"/>
    <x v="31"/>
    <x v="34"/>
    <n v="3.5249999999999999"/>
    <m/>
    <m/>
    <m/>
    <m/>
    <m/>
    <m/>
    <m/>
    <m/>
    <m/>
    <m/>
    <d v="1950-07-18T00:00:00"/>
    <s v="Si"/>
    <x v="17"/>
  </r>
  <r>
    <s v="Gallego"/>
    <s v="Hernández"/>
    <s v="Salvador"/>
    <x v="23"/>
    <x v="35"/>
    <n v="5.7679999999999998"/>
    <m/>
    <m/>
    <m/>
    <m/>
    <m/>
    <m/>
    <m/>
    <m/>
    <m/>
    <m/>
    <d v="1958-03-25T00:00:00"/>
    <s v="Si"/>
    <x v="18"/>
  </r>
  <r>
    <s v="Ballester"/>
    <s v="Noguera"/>
    <s v="José Vicente"/>
    <x v="13"/>
    <x v="36"/>
    <n v="2.67"/>
    <m/>
    <m/>
    <m/>
    <m/>
    <m/>
    <m/>
    <m/>
    <m/>
    <m/>
    <m/>
    <d v="1958-10-22T00:00:00"/>
    <s v="Si"/>
    <x v="1"/>
  </r>
  <r>
    <s v="Botella"/>
    <s v="Crespo"/>
    <s v="José Manuel"/>
    <x v="30"/>
    <x v="37"/>
    <n v="2.165"/>
    <m/>
    <m/>
    <m/>
    <m/>
    <m/>
    <m/>
    <m/>
    <m/>
    <m/>
    <m/>
    <d v="1949-07-16T00:00:00"/>
    <s v="Si"/>
    <x v="18"/>
  </r>
  <r>
    <s v="Vidal"/>
    <s v="Morant"/>
    <s v="Ángel Salvador"/>
    <x v="32"/>
    <x v="38"/>
    <n v="2.762"/>
    <m/>
    <m/>
    <m/>
    <m/>
    <m/>
    <m/>
    <m/>
    <m/>
    <m/>
    <m/>
    <d v="1958-09-30T00:00:00"/>
    <m/>
    <x v="19"/>
  </r>
  <r>
    <s v="Andreu"/>
    <s v="Soñer"/>
    <s v="Paloma"/>
    <x v="33"/>
    <x v="38"/>
    <n v="3.077"/>
    <m/>
    <m/>
    <m/>
    <m/>
    <m/>
    <m/>
    <m/>
    <m/>
    <m/>
    <m/>
    <d v="1967-11-06T00:00:00"/>
    <s v="Si"/>
    <x v="12"/>
  </r>
  <r>
    <s v="Andreu"/>
    <s v="Soñer"/>
    <s v="Paloma"/>
    <x v="33"/>
    <x v="39"/>
    <n v="3.536"/>
    <m/>
    <m/>
    <m/>
    <m/>
    <m/>
    <m/>
    <m/>
    <m/>
    <m/>
    <m/>
    <d v="1967-11-06T00:00:00"/>
    <s v="Si"/>
    <x v="20"/>
  </r>
  <r>
    <s v="Pastor"/>
    <s v="Sánchez"/>
    <s v="Pascual"/>
    <x v="34"/>
    <x v="40"/>
    <n v="2.456"/>
    <m/>
    <m/>
    <m/>
    <m/>
    <m/>
    <m/>
    <m/>
    <m/>
    <m/>
    <m/>
    <d v="1947-09-20T00:00:00"/>
    <m/>
    <x v="1"/>
  </r>
  <r>
    <s v="Blasco "/>
    <s v="Calatayud"/>
    <s v="Josefa"/>
    <x v="35"/>
    <x v="41"/>
    <n v="0.11"/>
    <s v="torax"/>
    <m/>
    <m/>
    <m/>
    <m/>
    <m/>
    <m/>
    <m/>
    <m/>
    <m/>
    <d v="1959-01-04T00:00:00"/>
    <m/>
    <x v="0"/>
  </r>
  <r>
    <s v="Torregrosa"/>
    <s v="Valero"/>
    <s v="Diego"/>
    <x v="0"/>
    <x v="42"/>
    <n v="2.7559999999999998"/>
    <m/>
    <m/>
    <m/>
    <m/>
    <m/>
    <m/>
    <m/>
    <m/>
    <m/>
    <m/>
    <d v="1955-09-22T00:00:00"/>
    <s v="Si"/>
    <x v="18"/>
  </r>
  <r>
    <s v="Soler"/>
    <s v="Juan"/>
    <s v="Joaquín"/>
    <x v="36"/>
    <x v="43"/>
    <n v="3.5640000000000001"/>
    <m/>
    <m/>
    <m/>
    <m/>
    <m/>
    <m/>
    <m/>
    <m/>
    <m/>
    <m/>
    <d v="1951-12-11T00:00:00"/>
    <s v="Si"/>
    <x v="21"/>
  </r>
  <r>
    <s v="Llanes"/>
    <s v="Tolosa"/>
    <s v="Ramón"/>
    <x v="11"/>
    <x v="43"/>
    <n v="3.0019999999999998"/>
    <m/>
    <m/>
    <m/>
    <m/>
    <m/>
    <m/>
    <m/>
    <m/>
    <m/>
    <m/>
    <d v="1965-08-17T00:00:00"/>
    <s v="Si"/>
    <x v="1"/>
  </r>
  <r>
    <s v="Arocha"/>
    <s v="Mejías"/>
    <s v="Caridad María"/>
    <x v="37"/>
    <x v="44"/>
    <n v="1.3759999999999999"/>
    <m/>
    <m/>
    <m/>
    <m/>
    <m/>
    <m/>
    <m/>
    <m/>
    <m/>
    <m/>
    <d v="1956-06-17T00:00:00"/>
    <s v="Si"/>
    <x v="0"/>
  </r>
  <r>
    <s v="Arocha"/>
    <s v="Mejías"/>
    <s v="Caridad María"/>
    <x v="37"/>
    <x v="45"/>
    <n v="3.718"/>
    <m/>
    <m/>
    <m/>
    <m/>
    <m/>
    <m/>
    <m/>
    <m/>
    <m/>
    <m/>
    <d v="1956-06-17T00:00:00"/>
    <s v="Si"/>
    <x v="22"/>
  </r>
  <r>
    <s v="Villar"/>
    <s v="Marín"/>
    <s v="José"/>
    <x v="9"/>
    <x v="46"/>
    <n v="5.5"/>
    <m/>
    <m/>
    <m/>
    <m/>
    <m/>
    <m/>
    <m/>
    <m/>
    <m/>
    <m/>
    <d v="1947-07-21T00:00:00"/>
    <s v="Si"/>
    <x v="1"/>
  </r>
  <r>
    <s v="Jiménez "/>
    <s v="Navarro"/>
    <s v="Milagros"/>
    <x v="38"/>
    <x v="47"/>
    <n v="2.7730000000000001"/>
    <m/>
    <m/>
    <m/>
    <m/>
    <m/>
    <m/>
    <m/>
    <m/>
    <m/>
    <m/>
    <d v="1980-11-29T00:00:00"/>
    <m/>
    <x v="23"/>
  </r>
  <r>
    <s v="Gonzalez"/>
    <s v="Climent"/>
    <s v="Javier"/>
    <x v="3"/>
    <x v="48"/>
    <n v="6.1459999999999999"/>
    <m/>
    <m/>
    <m/>
    <m/>
    <m/>
    <m/>
    <m/>
    <m/>
    <m/>
    <m/>
    <d v="1961-07-13T00:00:00"/>
    <s v="Si"/>
    <x v="1"/>
  </r>
  <r>
    <s v="Giner"/>
    <s v="Ortega"/>
    <s v="Francisca"/>
    <x v="2"/>
    <x v="48"/>
    <n v="0.97599999999999998"/>
    <s v="abdomen"/>
    <m/>
    <m/>
    <m/>
    <m/>
    <m/>
    <m/>
    <m/>
    <m/>
    <m/>
    <d v="1958-12-29T00:00:00"/>
    <s v="Si"/>
    <x v="24"/>
  </r>
  <r>
    <s v="Soler"/>
    <s v="Juan"/>
    <s v="Joaquín"/>
    <x v="36"/>
    <x v="49"/>
    <n v="2.8919999999999999"/>
    <m/>
    <m/>
    <m/>
    <m/>
    <m/>
    <m/>
    <m/>
    <m/>
    <m/>
    <m/>
    <d v="1951-12-11T00:00:00"/>
    <s v="Si"/>
    <x v="18"/>
  </r>
  <r>
    <s v="Fengying"/>
    <m/>
    <s v="Zheng"/>
    <x v="39"/>
    <x v="49"/>
    <n v="0.623"/>
    <m/>
    <m/>
    <m/>
    <m/>
    <m/>
    <m/>
    <m/>
    <m/>
    <m/>
    <m/>
    <d v="1965-06-12T00:00:00"/>
    <m/>
    <x v="25"/>
  </r>
  <r>
    <s v="Orallo"/>
    <s v="Álvarez"/>
    <s v="Florentina"/>
    <x v="40"/>
    <x v="50"/>
    <n v="4.2060000000000004"/>
    <m/>
    <m/>
    <m/>
    <m/>
    <m/>
    <m/>
    <m/>
    <m/>
    <m/>
    <m/>
    <d v="1936-12-31T00:00:00"/>
    <s v="Si"/>
    <x v="26"/>
  </r>
  <r>
    <s v="Campos"/>
    <s v="Rogel"/>
    <s v="Basilio"/>
    <x v="41"/>
    <x v="51"/>
    <n v="4.1280000000000001"/>
    <m/>
    <m/>
    <m/>
    <m/>
    <m/>
    <m/>
    <m/>
    <m/>
    <m/>
    <m/>
    <d v="1944-04-26T00:00:00"/>
    <s v="Si"/>
    <x v="27"/>
  </r>
  <r>
    <s v="Fernández"/>
    <s v="Serrano"/>
    <s v="Juan Pedro"/>
    <x v="42"/>
    <x v="52"/>
    <n v="0.41299999999999998"/>
    <n v="1.6E-2"/>
    <n v="2.5000000000000001E-2"/>
    <n v="1.6E-2"/>
    <n v="1.7999999999999999E-2"/>
    <n v="2.3E-2"/>
    <n v="1.6E-2"/>
    <n v="2.5000000000000001E-2"/>
    <n v="1.6E-2"/>
    <n v="1.7999999999999999E-2"/>
    <n v="2.3E-2"/>
    <d v="1949-07-01T00:00:00"/>
    <m/>
    <x v="28"/>
  </r>
  <r>
    <s v="Gamiz"/>
    <s v="Fos"/>
    <s v="M Carmen"/>
    <x v="43"/>
    <x v="53"/>
    <n v="1.9159999999999999"/>
    <m/>
    <m/>
    <m/>
    <m/>
    <m/>
    <m/>
    <m/>
    <m/>
    <m/>
    <m/>
    <d v="1946-03-05T00:00:00"/>
    <m/>
    <x v="4"/>
  </r>
  <r>
    <s v="Torres"/>
    <s v="Oliver"/>
    <s v="Vicente"/>
    <x v="44"/>
    <x v="54"/>
    <n v="2.0510000000000002"/>
    <m/>
    <m/>
    <m/>
    <m/>
    <m/>
    <m/>
    <m/>
    <m/>
    <m/>
    <m/>
    <d v="1959-09-04T00:00:00"/>
    <s v="Si"/>
    <x v="29"/>
  </r>
  <r>
    <s v="Torres"/>
    <s v="Oliver"/>
    <s v="Vicente"/>
    <x v="44"/>
    <x v="55"/>
    <n v="3.5110000000000001"/>
    <m/>
    <m/>
    <m/>
    <m/>
    <m/>
    <m/>
    <m/>
    <m/>
    <m/>
    <m/>
    <d v="1959-09-04T00:00:00"/>
    <s v="Si"/>
    <x v="29"/>
  </r>
  <r>
    <s v="Blasco "/>
    <s v="Calatayud"/>
    <s v="Josefa"/>
    <x v="35"/>
    <x v="56"/>
    <n v="0.111"/>
    <s v="torax"/>
    <n v="0.11"/>
    <n v="0.11"/>
    <n v="0.11"/>
    <n v="0"/>
    <n v="0"/>
    <n v="0.11"/>
    <n v="0.11"/>
    <n v="0.11"/>
    <n v="0"/>
    <d v="1959-01-04T00:00:00"/>
    <m/>
    <x v="30"/>
  </r>
  <r>
    <s v="Vercher"/>
    <s v="Montañana"/>
    <s v="Ramón"/>
    <x v="45"/>
    <x v="57"/>
    <n v="0.03"/>
    <m/>
    <m/>
    <m/>
    <m/>
    <m/>
    <m/>
    <m/>
    <m/>
    <m/>
    <m/>
    <d v="1961-01-14T00:00:00"/>
    <m/>
    <x v="31"/>
  </r>
  <r>
    <s v="Vercher"/>
    <s v="Montañana"/>
    <s v="Ramón"/>
    <x v="45"/>
    <x v="58"/>
    <n v="0.115"/>
    <m/>
    <m/>
    <m/>
    <m/>
    <m/>
    <m/>
    <m/>
    <m/>
    <m/>
    <m/>
    <d v="1961-01-14T00:00:00"/>
    <m/>
    <x v="32"/>
  </r>
  <r>
    <s v="Garrigues"/>
    <s v="Langa"/>
    <s v="Juan"/>
    <x v="46"/>
    <x v="58"/>
    <n v="1.6870000000000001"/>
    <m/>
    <m/>
    <m/>
    <m/>
    <m/>
    <m/>
    <m/>
    <m/>
    <m/>
    <m/>
    <d v="1953-05-08T00:00:00"/>
    <m/>
    <x v="4"/>
  </r>
  <r>
    <s v="Reina"/>
    <s v="Pérez"/>
    <s v="Carlos"/>
    <x v="47"/>
    <x v="59"/>
    <n v="0.33200000000000002"/>
    <n v="0.01"/>
    <n v="1.6E-2"/>
    <n v="8.9999999999999993E-3"/>
    <n v="0.01"/>
    <n v="1.4999999999999999E-2"/>
    <n v="0.01"/>
    <n v="1.6E-2"/>
    <n v="8.9999999999999993E-3"/>
    <n v="0.01"/>
    <n v="1.4999999999999999E-2"/>
    <d v="1979-05-08T00:00:00"/>
    <m/>
    <x v="33"/>
  </r>
  <r>
    <s v="Galarza"/>
    <s v="Perelló"/>
    <s v="María Dolores"/>
    <x v="48"/>
    <x v="59"/>
    <n v="0.93799999999999994"/>
    <s v="abdomen"/>
    <m/>
    <m/>
    <m/>
    <m/>
    <m/>
    <m/>
    <m/>
    <m/>
    <m/>
    <d v="1939-01-15T00:00:00"/>
    <m/>
    <x v="34"/>
  </r>
  <r>
    <s v="Sánchez"/>
    <s v="Castillo"/>
    <s v="José"/>
    <x v="49"/>
    <x v="60"/>
    <n v="4.532"/>
    <m/>
    <m/>
    <m/>
    <m/>
    <m/>
    <m/>
    <m/>
    <m/>
    <m/>
    <m/>
    <d v="1951-08-22T00:00:00"/>
    <s v="Si"/>
    <x v="1"/>
  </r>
  <r>
    <s v="Peiró"/>
    <s v="Feliu"/>
    <s v="Amadeo"/>
    <x v="50"/>
    <x v="61"/>
    <n v="2.8650000000000002"/>
    <m/>
    <m/>
    <m/>
    <m/>
    <m/>
    <m/>
    <m/>
    <m/>
    <m/>
    <m/>
    <d v="1971-10-04T00:00:00"/>
    <s v="Si"/>
    <x v="35"/>
  </r>
  <r>
    <s v="Blasco "/>
    <s v="Calatayud"/>
    <s v="Josefa"/>
    <x v="35"/>
    <x v="62"/>
    <n v="0.37"/>
    <s v="torax"/>
    <m/>
    <m/>
    <m/>
    <m/>
    <m/>
    <m/>
    <m/>
    <m/>
    <m/>
    <d v="1959-01-04T00:00:00"/>
    <m/>
    <x v="36"/>
  </r>
  <r>
    <s v="Peiró"/>
    <s v="Feliu"/>
    <s v="Amadeo"/>
    <x v="50"/>
    <x v="63"/>
    <n v="0.27900000000000003"/>
    <m/>
    <m/>
    <m/>
    <m/>
    <m/>
    <m/>
    <m/>
    <m/>
    <m/>
    <m/>
    <d v="1971-10-04T00:00:00"/>
    <s v="Si"/>
    <x v="18"/>
  </r>
  <r>
    <s v="Boles"/>
    <s v="Fernández"/>
    <s v="Alanna"/>
    <x v="51"/>
    <x v="64"/>
    <n v="0.52889000000000008"/>
    <m/>
    <m/>
    <m/>
    <m/>
    <m/>
    <m/>
    <m/>
    <m/>
    <m/>
    <m/>
    <d v="2005-11-17T00:00:00"/>
    <m/>
    <x v="37"/>
  </r>
  <r>
    <s v="Cervera"/>
    <s v="Ruiz"/>
    <s v="Antonio"/>
    <x v="1"/>
    <x v="65"/>
    <n v="1.0249999999999999"/>
    <s v="abodmen"/>
    <m/>
    <m/>
    <m/>
    <m/>
    <m/>
    <m/>
    <m/>
    <m/>
    <m/>
    <d v="1958-01-11T00:00:00"/>
    <s v="Si"/>
    <x v="35"/>
  </r>
  <r>
    <s v="Jiménez "/>
    <s v="Navarro"/>
    <s v="Milagros"/>
    <x v="38"/>
    <x v="66"/>
    <n v="7.8E-2"/>
    <m/>
    <m/>
    <m/>
    <m/>
    <m/>
    <m/>
    <m/>
    <m/>
    <m/>
    <m/>
    <d v="1980-11-29T00:00:00"/>
    <m/>
    <x v="23"/>
  </r>
  <r>
    <s v="Blasco "/>
    <s v="Calatayud"/>
    <s v="Josefa"/>
    <x v="35"/>
    <x v="67"/>
    <n v="1.2E-2"/>
    <s v="abdomen"/>
    <m/>
    <m/>
    <m/>
    <m/>
    <m/>
    <m/>
    <m/>
    <m/>
    <m/>
    <d v="1959-01-04T00:00:00"/>
    <m/>
    <x v="38"/>
  </r>
  <r>
    <s v="Vicent"/>
    <s v="Roig"/>
    <s v="Elvira"/>
    <x v="52"/>
    <x v="68"/>
    <n v="2.8580000000000001"/>
    <s v="abdomen"/>
    <m/>
    <m/>
    <m/>
    <m/>
    <m/>
    <m/>
    <m/>
    <m/>
    <m/>
    <d v="1943-04-02T00:00:00"/>
    <n v="9040010010385090"/>
    <x v="39"/>
  </r>
  <r>
    <s v="Saiz"/>
    <s v="Amorós"/>
    <s v="Francis"/>
    <x v="53"/>
    <x v="69"/>
    <n v="3.1E-2"/>
    <m/>
    <m/>
    <m/>
    <m/>
    <m/>
    <m/>
    <m/>
    <m/>
    <m/>
    <m/>
    <d v="2019-05-15T00:00:00"/>
    <m/>
    <x v="40"/>
  </r>
  <r>
    <s v="Giner"/>
    <s v="Ortega"/>
    <s v="Francisca"/>
    <x v="2"/>
    <x v="69"/>
    <n v="0.8"/>
    <s v="abdomen"/>
    <m/>
    <m/>
    <m/>
    <m/>
    <m/>
    <m/>
    <m/>
    <m/>
    <m/>
    <d v="1958-12-29T00:00:00"/>
    <s v="Si"/>
    <x v="1"/>
  </r>
  <r>
    <s v="Paraschiv"/>
    <m/>
    <s v="Mihaela Florentina"/>
    <x v="54"/>
    <x v="70"/>
    <n v="0.9"/>
    <s v="abdomen"/>
    <m/>
    <m/>
    <m/>
    <m/>
    <m/>
    <m/>
    <m/>
    <m/>
    <m/>
    <d v="1986-03-27T00:00:00"/>
    <m/>
    <x v="41"/>
  </r>
  <r>
    <s v="Duro "/>
    <s v="Moreno"/>
    <s v="Ramón"/>
    <x v="14"/>
    <x v="70"/>
    <n v="1.07"/>
    <s v="abdomen"/>
    <m/>
    <m/>
    <m/>
    <m/>
    <m/>
    <m/>
    <m/>
    <m/>
    <m/>
    <d v="1958-08-16T00:00:00"/>
    <s v="Si"/>
    <x v="1"/>
  </r>
  <r>
    <s v="Mancebo"/>
    <s v="Matos"/>
    <s v="Junior"/>
    <x v="55"/>
    <x v="71"/>
    <n v="0.41399999999999998"/>
    <m/>
    <m/>
    <m/>
    <m/>
    <m/>
    <m/>
    <m/>
    <m/>
    <m/>
    <m/>
    <d v="2006-12-08T00:00:00"/>
    <m/>
    <x v="40"/>
  </r>
  <r>
    <s v="Tortosa"/>
    <s v="Hernández"/>
    <s v="Andreu"/>
    <x v="56"/>
    <x v="72"/>
    <n v="0.1115"/>
    <m/>
    <m/>
    <m/>
    <m/>
    <m/>
    <m/>
    <m/>
    <m/>
    <m/>
    <m/>
    <d v="2021-01-29T00:00:00"/>
    <m/>
    <x v="40"/>
  </r>
  <r>
    <s v="Hueso "/>
    <s v="Borrego"/>
    <s v="Manuela"/>
    <x v="57"/>
    <x v="72"/>
    <n v="1.1000000000000001"/>
    <s v="abodmen"/>
    <m/>
    <m/>
    <m/>
    <m/>
    <m/>
    <m/>
    <m/>
    <m/>
    <m/>
    <d v="1959-01-07T00:00:00"/>
    <m/>
    <x v="42"/>
  </r>
  <r>
    <s v="Cruz"/>
    <s v="Bermell"/>
    <s v="Ángela"/>
    <x v="58"/>
    <x v="73"/>
    <n v="0.318"/>
    <m/>
    <m/>
    <m/>
    <m/>
    <m/>
    <m/>
    <m/>
    <m/>
    <m/>
    <m/>
    <d v="2008-09-09T00:00:00"/>
    <m/>
    <x v="40"/>
  </r>
  <r>
    <s v="Castro"/>
    <s v="Soler"/>
    <s v="Rafael "/>
    <x v="59"/>
    <x v="74"/>
    <n v="0.28699999999999998"/>
    <s v="abdomen"/>
    <m/>
    <m/>
    <m/>
    <m/>
    <m/>
    <m/>
    <m/>
    <m/>
    <m/>
    <d v="1942-02-16T00:00:00"/>
    <m/>
    <x v="43"/>
  </r>
  <r>
    <s v="Jiménez "/>
    <s v="Gómez"/>
    <s v="Noel"/>
    <x v="60"/>
    <x v="75"/>
    <n v="0.31"/>
    <s v="abdomen"/>
    <m/>
    <m/>
    <m/>
    <m/>
    <m/>
    <m/>
    <m/>
    <m/>
    <m/>
    <d v="1989-12-24T00:00:00"/>
    <m/>
    <x v="44"/>
  </r>
  <r>
    <s v="Lozano"/>
    <s v="Ramos"/>
    <s v="Miguel Ángel"/>
    <x v="61"/>
    <x v="76"/>
    <n v="0.217"/>
    <s v="abdomen"/>
    <m/>
    <m/>
    <m/>
    <m/>
    <m/>
    <m/>
    <m/>
    <m/>
    <m/>
    <d v="1969-02-05T00:00:00"/>
    <m/>
    <x v="45"/>
  </r>
  <r>
    <s v="Chust"/>
    <s v="Piquer"/>
    <s v="Isabel"/>
    <x v="62"/>
    <x v="77"/>
    <n v="1.081"/>
    <m/>
    <m/>
    <m/>
    <m/>
    <m/>
    <m/>
    <m/>
    <m/>
    <m/>
    <m/>
    <d v="1959-12-14T00:00:00"/>
    <m/>
    <x v="1"/>
  </r>
  <r>
    <s v="Pazmiño"/>
    <s v="Manchón"/>
    <s v="Aaron Javier"/>
    <x v="63"/>
    <x v="78"/>
    <n v="0.182"/>
    <m/>
    <n v="3.1E-2"/>
    <n v="3.1E-2"/>
    <n v="0.121"/>
    <n v="0.151"/>
    <n v="0"/>
    <n v="3.1E-2"/>
    <n v="3.1E-2"/>
    <n v="0.121"/>
    <n v="0.151"/>
    <d v="2006-02-03T00:00:00"/>
    <m/>
    <x v="37"/>
  </r>
  <r>
    <s v="Pérez"/>
    <s v="Jiménez"/>
    <s v="Meritxell"/>
    <x v="64"/>
    <x v="79"/>
    <n v="0.10299999999999999"/>
    <m/>
    <m/>
    <m/>
    <m/>
    <m/>
    <m/>
    <m/>
    <m/>
    <m/>
    <m/>
    <d v="2009-09-14T00:00:00"/>
    <m/>
    <x v="46"/>
  </r>
  <r>
    <s v="Lozano"/>
    <s v="Ramos"/>
    <s v="Miguel Ángel"/>
    <x v="61"/>
    <x v="79"/>
    <n v="0.11"/>
    <s v="abdomen"/>
    <m/>
    <m/>
    <m/>
    <m/>
    <m/>
    <m/>
    <m/>
    <m/>
    <m/>
    <d v="1969-02-05T00:00:00"/>
    <m/>
    <x v="12"/>
  </r>
  <r>
    <s v="Jiménez "/>
    <s v="Ramos"/>
    <s v="Henderson Edin"/>
    <x v="65"/>
    <x v="80"/>
    <n v="4.8000000000000001E-2"/>
    <m/>
    <m/>
    <m/>
    <m/>
    <m/>
    <m/>
    <m/>
    <m/>
    <m/>
    <m/>
    <d v="2007-02-01T00:00:00"/>
    <m/>
    <x v="0"/>
  </r>
  <r>
    <s v="Donat"/>
    <s v="Canet"/>
    <s v="Rafael "/>
    <x v="66"/>
    <x v="80"/>
    <n v="0.19"/>
    <s v="abdomen"/>
    <m/>
    <m/>
    <m/>
    <m/>
    <m/>
    <m/>
    <m/>
    <m/>
    <m/>
    <d v="1969-07-05T00:00:00"/>
    <m/>
    <x v="26"/>
  </r>
  <r>
    <s v="Blasco "/>
    <s v="Calatayud"/>
    <s v="Josefa"/>
    <x v="35"/>
    <x v="80"/>
    <n v="0.16"/>
    <s v="abdomen"/>
    <m/>
    <m/>
    <m/>
    <m/>
    <m/>
    <m/>
    <m/>
    <m/>
    <m/>
    <d v="1959-01-04T00:00:00"/>
    <m/>
    <x v="47"/>
  </r>
  <r>
    <s v="Cuenca"/>
    <s v="Puchalt"/>
    <s v="José Antonio"/>
    <x v="67"/>
    <x v="81"/>
    <n v="0.2"/>
    <s v="torax"/>
    <m/>
    <m/>
    <m/>
    <m/>
    <m/>
    <m/>
    <m/>
    <m/>
    <m/>
    <d v="1956-11-24T00:00:00"/>
    <m/>
    <x v="48"/>
  </r>
  <r>
    <s v="Camargo"/>
    <s v="Monasterio"/>
    <s v="Marilin"/>
    <x v="68"/>
    <x v="81"/>
    <n v="0.48649999999999999"/>
    <s v="abdomen"/>
    <m/>
    <m/>
    <m/>
    <m/>
    <m/>
    <m/>
    <m/>
    <m/>
    <m/>
    <d v="1976-06-28T00:00:00"/>
    <m/>
    <x v="49"/>
  </r>
  <r>
    <s v="Ortell"/>
    <s v="Renau"/>
    <s v="Miguel"/>
    <x v="69"/>
    <x v="82"/>
    <n v="4.1500000000000004"/>
    <m/>
    <m/>
    <m/>
    <m/>
    <m/>
    <m/>
    <m/>
    <m/>
    <m/>
    <m/>
    <d v="1960-09-26T00:00:00"/>
    <s v="Si"/>
    <x v="0"/>
  </r>
  <r>
    <s v="Falah"/>
    <m/>
    <s v="Reda"/>
    <x v="70"/>
    <x v="83"/>
    <n v="0.46400000000000002"/>
    <m/>
    <m/>
    <m/>
    <m/>
    <m/>
    <m/>
    <m/>
    <m/>
    <m/>
    <m/>
    <d v="2019-08-05T00:00:00"/>
    <m/>
    <x v="40"/>
  </r>
  <r>
    <s v="Villena"/>
    <s v="Abadia"/>
    <s v="Mario"/>
    <x v="71"/>
    <x v="84"/>
    <n v="0.17299999999999999"/>
    <m/>
    <m/>
    <m/>
    <m/>
    <m/>
    <m/>
    <m/>
    <m/>
    <m/>
    <m/>
    <d v="2012-11-23T00:00:00"/>
    <m/>
    <x v="40"/>
  </r>
  <r>
    <s v="Quintero"/>
    <s v="Acosta"/>
    <s v="Miguel Ángel"/>
    <x v="72"/>
    <x v="84"/>
    <n v="0.78500000000000003"/>
    <m/>
    <m/>
    <m/>
    <m/>
    <m/>
    <m/>
    <m/>
    <m/>
    <m/>
    <m/>
    <d v="1960-04-21T00:00:00"/>
    <m/>
    <x v="0"/>
  </r>
  <r>
    <s v="Jiménez "/>
    <s v="Gómez"/>
    <s v="Noel"/>
    <x v="60"/>
    <x v="84"/>
    <n v="6.2E-2"/>
    <s v="abdomen"/>
    <m/>
    <m/>
    <m/>
    <m/>
    <m/>
    <m/>
    <m/>
    <m/>
    <m/>
    <d v="1989-12-24T00:00:00"/>
    <m/>
    <x v="50"/>
  </r>
  <r>
    <s v="Veliz"/>
    <s v="Cadena"/>
    <s v="Marlon Omar"/>
    <x v="73"/>
    <x v="85"/>
    <n v="0.35199999999999998"/>
    <m/>
    <m/>
    <m/>
    <m/>
    <m/>
    <m/>
    <m/>
    <m/>
    <m/>
    <m/>
    <d v="1978-05-25T00:00:00"/>
    <m/>
    <x v="0"/>
  </r>
  <r>
    <s v="Chust"/>
    <s v="Piquer"/>
    <s v="Isabel"/>
    <x v="62"/>
    <x v="85"/>
    <n v="0.41699999999999998"/>
    <m/>
    <m/>
    <m/>
    <m/>
    <m/>
    <m/>
    <m/>
    <m/>
    <m/>
    <m/>
    <d v="1959-12-14T00:00:00"/>
    <m/>
    <x v="1"/>
  </r>
  <r>
    <s v="Delgado"/>
    <s v="Jiménez"/>
    <s v="Javier"/>
    <x v="74"/>
    <x v="86"/>
    <n v="0.40500000000000003"/>
    <m/>
    <m/>
    <m/>
    <m/>
    <m/>
    <m/>
    <m/>
    <m/>
    <m/>
    <m/>
    <d v="1977-04-25T00:00:00"/>
    <m/>
    <x v="1"/>
  </r>
  <r>
    <s v="Cobo"/>
    <s v="Fernández"/>
    <s v="Iván"/>
    <x v="75"/>
    <x v="87"/>
    <n v="2.5000000000000001E-2"/>
    <m/>
    <m/>
    <m/>
    <m/>
    <m/>
    <m/>
    <m/>
    <m/>
    <m/>
    <m/>
    <d v="2020-06-16T00:00:00"/>
    <m/>
    <x v="40"/>
  </r>
  <r>
    <s v="Casas"/>
    <s v="Pérez"/>
    <s v="Gregorio"/>
    <x v="76"/>
    <x v="87"/>
    <n v="0.02"/>
    <n v="0"/>
    <n v="0.02"/>
    <n v="0.02"/>
    <n v="0.02"/>
    <n v="0"/>
    <n v="0"/>
    <n v="0.02"/>
    <n v="0.02"/>
    <n v="0.02"/>
    <n v="0"/>
    <d v="1946-06-16T00:00:00"/>
    <m/>
    <x v="2"/>
  </r>
  <r>
    <s v="Astilleros"/>
    <s v="Jiménez"/>
    <s v="Jacinto"/>
    <x v="21"/>
    <x v="87"/>
    <n v="0.63600000000000001"/>
    <m/>
    <m/>
    <m/>
    <m/>
    <m/>
    <m/>
    <m/>
    <m/>
    <m/>
    <m/>
    <d v="1956-10-17T00:00:00"/>
    <m/>
    <x v="1"/>
  </r>
  <r>
    <s v="Hlioui"/>
    <m/>
    <s v="Hamid"/>
    <x v="77"/>
    <x v="88"/>
    <n v="0.61899999999999999"/>
    <m/>
    <m/>
    <m/>
    <m/>
    <m/>
    <m/>
    <m/>
    <m/>
    <m/>
    <m/>
    <d v="1972-10-24T00:00:00"/>
    <m/>
    <x v="51"/>
  </r>
  <r>
    <s v="Waqas"/>
    <m/>
    <s v="Hoolain Fatima"/>
    <x v="78"/>
    <x v="89"/>
    <n v="0.191"/>
    <m/>
    <m/>
    <m/>
    <m/>
    <m/>
    <m/>
    <m/>
    <m/>
    <m/>
    <m/>
    <d v="2020-11-04T00:00:00"/>
    <m/>
    <x v="40"/>
  </r>
  <r>
    <s v="Navarro"/>
    <s v="Baixauli"/>
    <s v="Juan"/>
    <x v="79"/>
    <x v="89"/>
    <n v="0.83899999999999997"/>
    <m/>
    <m/>
    <m/>
    <m/>
    <m/>
    <m/>
    <m/>
    <m/>
    <m/>
    <m/>
    <d v="1950-06-23T00:00:00"/>
    <m/>
    <x v="5"/>
  </r>
  <r>
    <s v="García "/>
    <s v="Martí"/>
    <s v="Rafael"/>
    <x v="80"/>
    <x v="90"/>
    <n v="0.61899999999999999"/>
    <m/>
    <m/>
    <m/>
    <m/>
    <m/>
    <m/>
    <m/>
    <m/>
    <m/>
    <m/>
    <d v="1958-07-12T00:00:00"/>
    <m/>
    <x v="9"/>
  </r>
  <r>
    <s v="García "/>
    <s v="Martí"/>
    <s v="Rafael"/>
    <x v="80"/>
    <x v="90"/>
    <n v="0.46800000000000003"/>
    <m/>
    <m/>
    <m/>
    <m/>
    <m/>
    <m/>
    <m/>
    <m/>
    <m/>
    <m/>
    <d v="1958-07-12T00:00:00"/>
    <m/>
    <x v="12"/>
  </r>
  <r>
    <s v="Tormo"/>
    <s v="Albert"/>
    <s v="Rafael"/>
    <x v="81"/>
    <x v="91"/>
    <n v="0.8"/>
    <m/>
    <m/>
    <m/>
    <m/>
    <m/>
    <m/>
    <m/>
    <m/>
    <m/>
    <m/>
    <d v="1938-08-02T00:00:00"/>
    <m/>
    <x v="21"/>
  </r>
  <r>
    <s v="Boles"/>
    <s v="Fernández"/>
    <s v="Alanna"/>
    <x v="51"/>
    <x v="91"/>
    <n v="0.36"/>
    <m/>
    <m/>
    <m/>
    <m/>
    <m/>
    <m/>
    <m/>
    <m/>
    <m/>
    <m/>
    <d v="2005-11-17T00:00:00"/>
    <m/>
    <x v="37"/>
  </r>
  <r>
    <s v="Puchalt"/>
    <s v="Rambla"/>
    <s v="Juan José"/>
    <x v="82"/>
    <x v="92"/>
    <n v="0.97499999999999998"/>
    <n v="0"/>
    <n v="0.217"/>
    <n v="0.35799999999999998"/>
    <n v="0.29299999999999998"/>
    <n v="0"/>
    <n v="0"/>
    <n v="0.217"/>
    <n v="0.97499999999999998"/>
    <n v="0.91"/>
    <n v="0"/>
    <d v="1932-06-24T00:00:00"/>
    <m/>
    <x v="2"/>
  </r>
  <r>
    <s v="Matute"/>
    <s v="Tobias"/>
    <s v="Luis Javier"/>
    <x v="83"/>
    <x v="92"/>
    <n v="0.06"/>
    <n v="0"/>
    <n v="0.06"/>
    <n v="0.06"/>
    <n v="0.06"/>
    <n v="0"/>
    <n v="0"/>
    <n v="0.06"/>
    <n v="0.06"/>
    <n v="0.06"/>
    <n v="0"/>
    <d v="1964-02-02T00:00:00"/>
    <m/>
    <x v="2"/>
  </r>
  <r>
    <s v="Veliz"/>
    <s v="Cadena"/>
    <s v="Marlon Omar"/>
    <x v="73"/>
    <x v="93"/>
    <n v="0.42399999999999999"/>
    <m/>
    <m/>
    <m/>
    <m/>
    <m/>
    <m/>
    <m/>
    <m/>
    <m/>
    <m/>
    <d v="1978-05-25T00:00:00"/>
    <m/>
    <x v="52"/>
  </r>
  <r>
    <s v="Rochina"/>
    <s v="Herradón"/>
    <s v="Antonio"/>
    <x v="84"/>
    <x v="93"/>
    <n v="0.28699999999999998"/>
    <n v="0"/>
    <n v="6.2E-2"/>
    <n v="0.13200000000000001"/>
    <n v="8.5999999999999993E-2"/>
    <n v="0"/>
    <n v="0"/>
    <n v="8.5999999999999993E-2"/>
    <n v="9.8000000000000004E-2"/>
    <n v="0.154"/>
    <n v="0"/>
    <d v="1952-04-24T00:00:00"/>
    <m/>
    <x v="2"/>
  </r>
  <r>
    <s v="Ortiz"/>
    <s v="Robles"/>
    <s v="Javier"/>
    <x v="85"/>
    <x v="93"/>
    <n v="0.23599999999999999"/>
    <n v="0"/>
    <n v="2.1000000000000001E-2"/>
    <n v="0.11700000000000001"/>
    <n v="0.1"/>
    <n v="0"/>
    <n v="0"/>
    <n v="0.3"/>
    <n v="0.11700000000000001"/>
    <n v="0.1"/>
    <n v="0"/>
    <d v="1968-09-25T00:00:00"/>
    <m/>
    <x v="2"/>
  </r>
  <r>
    <s v="Oliva"/>
    <s v="Moresi"/>
    <s v="Lorenzo"/>
    <x v="86"/>
    <x v="93"/>
    <n v="0.46500000000000002"/>
    <n v="0"/>
    <n v="7.0999999999999994E-2"/>
    <n v="0.35599999999999998"/>
    <n v="0.307"/>
    <n v="0"/>
    <n v="0"/>
    <n v="7.0999999999999994E-2"/>
    <n v="0.35699999999999998"/>
    <n v="0.307"/>
    <n v="0"/>
    <d v="1963-08-24T00:00:00"/>
    <m/>
    <x v="2"/>
  </r>
  <r>
    <s v="Navalón"/>
    <s v="Defez"/>
    <s v="Javier"/>
    <x v="87"/>
    <x v="93"/>
    <n v="0.67100000000000004"/>
    <n v="0"/>
    <n v="0.34200000000000003"/>
    <n v="0.19700000000000001"/>
    <n v="5.8000000000000003E-2"/>
    <n v="0"/>
    <n v="0"/>
    <n v="0.34200000000000003"/>
    <n v="0.19700000000000001"/>
    <n v="0.125"/>
    <n v="0"/>
    <d v="1965-05-08T00:00:00"/>
    <m/>
    <x v="2"/>
  </r>
  <r>
    <s v="Natividad"/>
    <s v="Gallego"/>
    <s v="Andrés"/>
    <x v="88"/>
    <x v="93"/>
    <n v="0.23499999999999999"/>
    <n v="0"/>
    <n v="6.5000000000000002E-2"/>
    <n v="0.105"/>
    <n v="0.105"/>
    <n v="0"/>
    <n v="0"/>
    <n v="2.5999999999999999E-2"/>
    <n v="0.105"/>
    <n v="0.105"/>
    <n v="0"/>
    <d v="1963-04-25T00:00:00"/>
    <m/>
    <x v="2"/>
  </r>
  <r>
    <s v="Argente"/>
    <s v="Gomis"/>
    <s v="Juan"/>
    <x v="89"/>
    <x v="93"/>
    <n v="0.94399999999999995"/>
    <n v="0"/>
    <n v="4.7E-2"/>
    <n v="0.21299999999999999"/>
    <n v="0.21299999999999999"/>
    <n v="0"/>
    <n v="0"/>
    <n v="7.6999999999999999E-2"/>
    <n v="0.56699999999999995"/>
    <n v="0.21299999999999999"/>
    <n v="0"/>
    <d v="1935-11-19T00:00:00"/>
    <m/>
    <x v="2"/>
  </r>
  <r>
    <s v="Prieto"/>
    <s v="Bonora"/>
    <s v="Víctor"/>
    <x v="90"/>
    <x v="94"/>
    <n v="0.42399999999999999"/>
    <m/>
    <m/>
    <m/>
    <m/>
    <m/>
    <m/>
    <m/>
    <m/>
    <m/>
    <m/>
    <d v="2008-11-23T00:00:00"/>
    <m/>
    <x v="37"/>
  </r>
  <r>
    <s v="Herrada"/>
    <s v="Perona"/>
    <s v="Honorio"/>
    <x v="91"/>
    <x v="95"/>
    <n v="2.1440000000000001"/>
    <n v="0"/>
    <n v="0.39700000000000002"/>
    <n v="0.39700000000000002"/>
    <n v="0.17399999999999999"/>
    <n v="0"/>
    <n v="0"/>
    <n v="8.4000000000000005E-2"/>
    <n v="0.20899999999999999"/>
    <n v="1.194"/>
    <n v="0"/>
    <d v="1940-03-05T00:00:00"/>
    <m/>
    <x v="2"/>
  </r>
  <r>
    <s v="García-Uceda"/>
    <s v="Ruiz-Orejón"/>
    <s v="José"/>
    <x v="92"/>
    <x v="95"/>
    <n v="0.98"/>
    <m/>
    <m/>
    <m/>
    <m/>
    <m/>
    <m/>
    <m/>
    <m/>
    <m/>
    <m/>
    <d v="1959-11-08T00:00:00"/>
    <m/>
    <x v="29"/>
  </r>
  <r>
    <s v="Navarro"/>
    <s v="Palanca"/>
    <s v="Vicenta"/>
    <x v="93"/>
    <x v="96"/>
    <n v="0.43"/>
    <m/>
    <m/>
    <m/>
    <m/>
    <m/>
    <m/>
    <m/>
    <m/>
    <m/>
    <m/>
    <d v="1944-03-18T00:00:00"/>
    <m/>
    <x v="5"/>
  </r>
  <r>
    <s v="Peñarrocha"/>
    <s v="Piqueras"/>
    <s v="Marcos Antonio"/>
    <x v="94"/>
    <x v="97"/>
    <n v="0.627"/>
    <m/>
    <m/>
    <m/>
    <m/>
    <m/>
    <m/>
    <m/>
    <m/>
    <m/>
    <m/>
    <d v="1962-01-17T00:00:00"/>
    <m/>
    <x v="9"/>
  </r>
  <r>
    <s v="Pedrón"/>
    <s v="Caballero"/>
    <s v="Ángela"/>
    <x v="95"/>
    <x v="97"/>
    <n v="1.2999999999999999E-2"/>
    <m/>
    <m/>
    <m/>
    <m/>
    <m/>
    <m/>
    <m/>
    <m/>
    <m/>
    <m/>
    <d v="2020-10-22T00:00:00"/>
    <m/>
    <x v="53"/>
  </r>
  <r>
    <s v="Mata"/>
    <s v="Garrido"/>
    <s v="Marta"/>
    <x v="96"/>
    <x v="97"/>
    <n v="2.9000000000000001E-2"/>
    <m/>
    <m/>
    <m/>
    <m/>
    <m/>
    <m/>
    <m/>
    <m/>
    <m/>
    <m/>
    <d v="2007-02-17T00:00:00"/>
    <m/>
    <x v="37"/>
  </r>
  <r>
    <s v="Morralla"/>
    <s v="Dols"/>
    <s v="Sonia"/>
    <x v="97"/>
    <x v="98"/>
    <n v="0.161"/>
    <m/>
    <m/>
    <m/>
    <m/>
    <m/>
    <m/>
    <m/>
    <m/>
    <m/>
    <m/>
    <d v="2006-09-28T00:00:00"/>
    <m/>
    <x v="40"/>
  </r>
  <r>
    <s v="Fuster"/>
    <s v="Tarrazo"/>
    <s v="Rosa María"/>
    <x v="98"/>
    <x v="98"/>
    <n v="0.4"/>
    <m/>
    <m/>
    <m/>
    <m/>
    <m/>
    <m/>
    <m/>
    <m/>
    <m/>
    <m/>
    <d v="1944-10-24T00:00:00"/>
    <m/>
    <x v="26"/>
  </r>
  <r>
    <s v="Del Pueblo"/>
    <s v="Nieto"/>
    <s v="Josefa"/>
    <x v="99"/>
    <x v="98"/>
    <n v="0.3"/>
    <m/>
    <m/>
    <m/>
    <m/>
    <m/>
    <m/>
    <m/>
    <m/>
    <m/>
    <m/>
    <d v="1963-03-15T00:00:00"/>
    <m/>
    <x v="14"/>
  </r>
  <r>
    <s v="Muñoz"/>
    <s v="Hernández"/>
    <s v="Manuela"/>
    <x v="100"/>
    <x v="99"/>
    <n v="0.255"/>
    <m/>
    <m/>
    <m/>
    <m/>
    <m/>
    <m/>
    <m/>
    <m/>
    <m/>
    <m/>
    <d v="1934-01-06T00:00:00"/>
    <m/>
    <x v="54"/>
  </r>
  <r>
    <s v="Gerona"/>
    <s v="Torregrosa"/>
    <s v="Guillermo"/>
    <x v="101"/>
    <x v="99"/>
    <n v="1.073"/>
    <n v="0"/>
    <n v="0.14099999999999999"/>
    <n v="0.45100000000000001"/>
    <n v="0.45100000000000001"/>
    <n v="0"/>
    <n v="0"/>
    <n v="8.4000000000000005E-2"/>
    <n v="0.377"/>
    <n v="0.377"/>
    <n v="0"/>
    <d v="1941-04-16T00:00:00"/>
    <m/>
    <x v="2"/>
  </r>
  <r>
    <s v="Mariño"/>
    <s v="San Martín"/>
    <s v="Maximino Andrés"/>
    <x v="102"/>
    <x v="100"/>
    <n v="0.41399999999999998"/>
    <n v="0"/>
    <n v="3.2000000000000001E-2"/>
    <n v="0.182"/>
    <n v="0.17"/>
    <n v="0"/>
    <n v="0"/>
    <n v="7.1999999999999995E-2"/>
    <n v="0.183"/>
    <n v="0.183"/>
    <n v="0"/>
    <d v="1962-03-06T00:00:00"/>
    <m/>
    <x v="2"/>
  </r>
  <r>
    <s v="Esteve"/>
    <s v="Nevado"/>
    <s v="Lucía"/>
    <x v="103"/>
    <x v="100"/>
    <n v="0.1"/>
    <m/>
    <m/>
    <m/>
    <m/>
    <m/>
    <m/>
    <m/>
    <m/>
    <m/>
    <m/>
    <d v="2020-07-02T00:00:00"/>
    <m/>
    <x v="40"/>
  </r>
  <r>
    <s v="Vera"/>
    <s v="Domínguez"/>
    <s v="Manuel"/>
    <x v="104"/>
    <x v="101"/>
    <n v="0.43"/>
    <m/>
    <m/>
    <m/>
    <m/>
    <m/>
    <m/>
    <m/>
    <m/>
    <m/>
    <m/>
    <d v="1963-01-20T00:00:00"/>
    <m/>
    <x v="55"/>
  </r>
  <r>
    <s v="López"/>
    <s v="Sánchez"/>
    <s v="Emma"/>
    <x v="105"/>
    <x v="101"/>
    <n v="0.2"/>
    <m/>
    <m/>
    <m/>
    <m/>
    <m/>
    <m/>
    <m/>
    <m/>
    <m/>
    <m/>
    <d v="2016-04-20T00:00:00"/>
    <m/>
    <x v="37"/>
  </r>
  <r>
    <s v="Rodríguez"/>
    <s v="Hernández"/>
    <s v="Edgar"/>
    <x v="106"/>
    <x v="102"/>
    <n v="0.36499999999999999"/>
    <m/>
    <m/>
    <m/>
    <m/>
    <m/>
    <m/>
    <m/>
    <m/>
    <m/>
    <m/>
    <d v="1996-06-18T00:00:00"/>
    <m/>
    <x v="56"/>
  </r>
  <r>
    <s v="Juan"/>
    <s v="Verdú"/>
    <s v="Luis"/>
    <x v="107"/>
    <x v="103"/>
    <n v="1.5409999999999999"/>
    <m/>
    <m/>
    <m/>
    <m/>
    <m/>
    <m/>
    <m/>
    <m/>
    <m/>
    <m/>
    <d v="1946-06-26T00:00:00"/>
    <m/>
    <x v="9"/>
  </r>
  <r>
    <s v="Hurtado"/>
    <s v="Pamies"/>
    <s v="Ainara"/>
    <x v="108"/>
    <x v="103"/>
    <n v="0.24199999999999999"/>
    <m/>
    <m/>
    <m/>
    <m/>
    <m/>
    <m/>
    <m/>
    <m/>
    <m/>
    <m/>
    <d v="2007-08-24T00:00:00"/>
    <m/>
    <x v="37"/>
  </r>
  <r>
    <s v="Khoshbekyan"/>
    <m/>
    <s v="Poghos"/>
    <x v="109"/>
    <x v="104"/>
    <n v="4.3"/>
    <n v="0"/>
    <n v="1.4"/>
    <n v="1.38"/>
    <n v="1.155"/>
    <n v="0"/>
    <n v="0"/>
    <n v="0.35799999999999998"/>
    <n v="0.9"/>
    <n v="2.5129999999999999"/>
    <n v="0"/>
    <d v="1958-12-05T00:00:00"/>
    <m/>
    <x v="2"/>
  </r>
  <r>
    <s v="García"/>
    <s v="Oller"/>
    <s v="Hugo"/>
    <x v="110"/>
    <x v="104"/>
    <n v="0.107"/>
    <m/>
    <m/>
    <m/>
    <m/>
    <m/>
    <m/>
    <m/>
    <m/>
    <m/>
    <m/>
    <d v="2015-09-14T00:00:00"/>
    <m/>
    <x v="37"/>
  </r>
  <r>
    <s v="Cisne"/>
    <s v="del Isaac"/>
    <s v="Jesús"/>
    <x v="111"/>
    <x v="104"/>
    <n v="3.8069999999999999"/>
    <n v="0"/>
    <n v="1.7110000000000001"/>
    <n v="1.712"/>
    <n v="0.68200000000000005"/>
    <n v="0"/>
    <n v="0"/>
    <n v="1.698"/>
    <n v="1.7"/>
    <n v="0.68200000000000005"/>
    <n v="0"/>
    <d v="1963-12-17T00:00:00"/>
    <s v="Si"/>
    <x v="2"/>
  </r>
  <r>
    <s v="Sarrión"/>
    <s v="Benito"/>
    <s v="Regina"/>
    <x v="112"/>
    <x v="105"/>
    <n v="0.78600000000000003"/>
    <m/>
    <m/>
    <m/>
    <m/>
    <m/>
    <m/>
    <m/>
    <m/>
    <m/>
    <m/>
    <d v="1947-03-18T00:00:00"/>
    <m/>
    <x v="57"/>
  </r>
  <r>
    <s v="Felix"/>
    <s v="Fontestad"/>
    <s v="Jesús"/>
    <x v="113"/>
    <x v="105"/>
    <n v="2.44"/>
    <n v="0"/>
    <n v="0.21"/>
    <n v="2.3912"/>
    <n v="2.1227999999999998"/>
    <n v="0"/>
    <n v="0"/>
    <n v="0.43919999999999998"/>
    <n v="1.0491999999999999"/>
    <n v="0.7075999999999999"/>
    <n v="0"/>
    <d v="1948-12-02T00:00:00"/>
    <m/>
    <x v="2"/>
  </r>
  <r>
    <s v="Hlioui"/>
    <m/>
    <s v="Hamid"/>
    <x v="77"/>
    <x v="106"/>
    <n v="0.317"/>
    <m/>
    <m/>
    <m/>
    <m/>
    <m/>
    <m/>
    <m/>
    <m/>
    <m/>
    <m/>
    <d v="1972-10-24T00:00:00"/>
    <m/>
    <x v="51"/>
  </r>
  <r>
    <s v="Frías"/>
    <s v="Benito"/>
    <s v="Juan"/>
    <x v="114"/>
    <x v="106"/>
    <n v="0.99099999999999999"/>
    <m/>
    <m/>
    <m/>
    <m/>
    <m/>
    <m/>
    <m/>
    <m/>
    <m/>
    <m/>
    <d v="1958-04-25T00:00:00"/>
    <m/>
    <x v="58"/>
  </r>
  <r>
    <s v="López"/>
    <s v="Yuste"/>
    <s v="Thiago"/>
    <x v="115"/>
    <x v="107"/>
    <n v="0.155"/>
    <m/>
    <m/>
    <m/>
    <m/>
    <m/>
    <m/>
    <m/>
    <m/>
    <m/>
    <m/>
    <d v="2020-01-02T00:00:00"/>
    <m/>
    <x v="59"/>
  </r>
  <r>
    <s v="López"/>
    <s v="Pardo"/>
    <s v="Lidia"/>
    <x v="116"/>
    <x v="108"/>
    <n v="0.746"/>
    <m/>
    <m/>
    <m/>
    <m/>
    <m/>
    <m/>
    <m/>
    <m/>
    <m/>
    <m/>
    <d v="2007-12-27T00:00:00"/>
    <m/>
    <x v="37"/>
  </r>
  <r>
    <s v="Lacomba"/>
    <s v="Albalate"/>
    <s v="José"/>
    <x v="117"/>
    <x v="108"/>
    <n v="1.05"/>
    <m/>
    <m/>
    <m/>
    <m/>
    <m/>
    <m/>
    <m/>
    <m/>
    <m/>
    <m/>
    <d v="1938-08-22T00:00:00"/>
    <m/>
    <x v="1"/>
  </r>
  <r>
    <s v="Mancebo"/>
    <s v="Matos"/>
    <s v="Junior"/>
    <x v="55"/>
    <x v="109"/>
    <n v="0.03"/>
    <m/>
    <m/>
    <m/>
    <m/>
    <m/>
    <m/>
    <m/>
    <m/>
    <m/>
    <m/>
    <d v="2006-12-08T00:00:00"/>
    <m/>
    <x v="40"/>
  </r>
  <r>
    <s v="Fernando"/>
    <s v="Llorca"/>
    <s v="Consuelo"/>
    <x v="118"/>
    <x v="109"/>
    <n v="0.81499999999999995"/>
    <m/>
    <m/>
    <m/>
    <m/>
    <m/>
    <m/>
    <m/>
    <m/>
    <m/>
    <m/>
    <d v="1963-03-08T00:00:00"/>
    <m/>
    <x v="35"/>
  </r>
  <r>
    <s v="Pons"/>
    <s v="Pous"/>
    <s v="Noa"/>
    <x v="119"/>
    <x v="110"/>
    <n v="3.7000000000000002E-3"/>
    <m/>
    <m/>
    <m/>
    <m/>
    <m/>
    <m/>
    <m/>
    <m/>
    <m/>
    <m/>
    <d v="2021-04-13T00:00:00"/>
    <m/>
    <x v="40"/>
  </r>
  <r>
    <s v="Núñez"/>
    <s v="Ortiz"/>
    <s v="Rosa"/>
    <x v="120"/>
    <x v="110"/>
    <n v="3.4140000000000001"/>
    <m/>
    <m/>
    <m/>
    <m/>
    <m/>
    <m/>
    <m/>
    <m/>
    <m/>
    <m/>
    <d v="2006-11-18T00:00:00"/>
    <m/>
    <x v="37"/>
  </r>
  <r>
    <s v="Conde"/>
    <s v="Conde"/>
    <s v="Miguel Francisco"/>
    <x v="121"/>
    <x v="110"/>
    <n v="0.63500000000000001"/>
    <m/>
    <m/>
    <m/>
    <m/>
    <m/>
    <m/>
    <m/>
    <m/>
    <m/>
    <m/>
    <d v="1957-02-21T00:00:00"/>
    <m/>
    <x v="29"/>
  </r>
  <r>
    <s v="Valverde"/>
    <s v="Quevedo"/>
    <s v="Manuel"/>
    <x v="122"/>
    <x v="111"/>
    <n v="0.34300000000000003"/>
    <n v="0"/>
    <n v="0.115"/>
    <n v="0.17399999999999999"/>
    <n v="0.17100000000000001"/>
    <n v="0"/>
    <n v="0"/>
    <n v="7.6999999999999999E-2"/>
    <n v="0.14499999999999999"/>
    <n v="0.14099999999999999"/>
    <n v="0"/>
    <d v="1958-02-13T00:00:00"/>
    <m/>
    <x v="2"/>
  </r>
  <r>
    <s v="Sendín"/>
    <s v="Guerrero"/>
    <s v="José"/>
    <x v="123"/>
    <x v="112"/>
    <n v="0.72599999999999998"/>
    <n v="0"/>
    <n v="0.26"/>
    <n v="0.57599999999999996"/>
    <n v="0.48099999999999998"/>
    <n v="0"/>
    <n v="0"/>
    <n v="0.26"/>
    <n v="0.70399999999999996"/>
    <n v="0.61"/>
    <n v="0"/>
    <d v="1936-07-13T00:00:00"/>
    <m/>
    <x v="2"/>
  </r>
  <r>
    <s v="Fernández"/>
    <s v="Bermúdez"/>
    <s v="Bienvenido"/>
    <x v="124"/>
    <x v="112"/>
    <n v="1.024"/>
    <m/>
    <m/>
    <m/>
    <m/>
    <m/>
    <m/>
    <m/>
    <m/>
    <m/>
    <m/>
    <d v="1965-12-18T00:00:00"/>
    <m/>
    <x v="12"/>
  </r>
  <r>
    <s v="Muñoz"/>
    <s v="Fernández"/>
    <s v="Francisco"/>
    <x v="125"/>
    <x v="113"/>
    <n v="0.60099999999999998"/>
    <n v="0"/>
    <n v="5.7000000000000002E-2"/>
    <n v="0.36199999999999999"/>
    <n v="0.35599999999999998"/>
    <n v="0"/>
    <n v="0"/>
    <n v="9.0999999999999998E-2"/>
    <n v="0.41599999999999998"/>
    <n v="4.1399999999999999E-2"/>
    <n v="0"/>
    <d v="1954-01-22T00:00:00"/>
    <m/>
    <x v="2"/>
  </r>
  <r>
    <s v="Peiró"/>
    <s v="Navarrete"/>
    <s v="Cándido"/>
    <x v="126"/>
    <x v="114"/>
    <n v="0.877"/>
    <m/>
    <m/>
    <m/>
    <m/>
    <m/>
    <m/>
    <m/>
    <m/>
    <m/>
    <m/>
    <d v="1964-01-08T00:00:00"/>
    <m/>
    <x v="0"/>
  </r>
  <r>
    <s v="Catalán"/>
    <s v="Pérez"/>
    <s v="Mónica"/>
    <x v="127"/>
    <x v="114"/>
    <n v="0.9"/>
    <n v="0"/>
    <n v="0.28599999999999998"/>
    <n v="0.28699999999999998"/>
    <n v="0.08"/>
    <n v="0"/>
    <n v="0"/>
    <n v="0.38400000000000001"/>
    <n v="0.38400000000000001"/>
    <n v="0.13400000000000001"/>
    <n v="0"/>
    <d v="1971-11-12T00:00:00"/>
    <m/>
    <x v="2"/>
  </r>
  <r>
    <s v="Blasco "/>
    <s v="López"/>
    <s v="Francisco"/>
    <x v="128"/>
    <x v="114"/>
    <n v="1.472"/>
    <m/>
    <m/>
    <m/>
    <m/>
    <m/>
    <m/>
    <m/>
    <m/>
    <m/>
    <m/>
    <d v="1956-10-11T00:00:00"/>
    <m/>
    <x v="57"/>
  </r>
  <r>
    <s v="Arteaga"/>
    <s v="Piedrahita"/>
    <s v="Dylan Adriy"/>
    <x v="129"/>
    <x v="114"/>
    <n v="0.72099999999999997"/>
    <m/>
    <m/>
    <m/>
    <m/>
    <m/>
    <m/>
    <m/>
    <m/>
    <m/>
    <m/>
    <d v="2009-04-27T00:00:00"/>
    <m/>
    <x v="37"/>
  </r>
  <r>
    <s v="Lamallem"/>
    <m/>
    <s v="Jamil"/>
    <x v="130"/>
    <x v="115"/>
    <n v="0.53"/>
    <m/>
    <m/>
    <m/>
    <m/>
    <m/>
    <m/>
    <m/>
    <m/>
    <m/>
    <m/>
    <d v="1972-05-23T00:00:00"/>
    <m/>
    <x v="60"/>
  </r>
  <r>
    <s v="Alberto"/>
    <s v="Saiz"/>
    <s v="Pilar"/>
    <x v="131"/>
    <x v="115"/>
    <n v="0.39600000000000002"/>
    <n v="0"/>
    <n v="0.123"/>
    <n v="0.39400000000000002"/>
    <n v="0.32400000000000001"/>
    <n v="0"/>
    <n v="0"/>
    <n v="0.123"/>
    <n v="0.39400000000000002"/>
    <n v="0.32400000000000001"/>
    <n v="0"/>
    <d v="1940-02-04T00:00:00"/>
    <m/>
    <x v="2"/>
  </r>
  <r>
    <s v="Sanchez"/>
    <s v="Garcia"/>
    <s v="Primitivo"/>
    <x v="132"/>
    <x v="116"/>
    <n v="0.30099999999999999"/>
    <m/>
    <m/>
    <m/>
    <m/>
    <m/>
    <m/>
    <m/>
    <m/>
    <m/>
    <m/>
    <d v="1946-12-31T00:00:00"/>
    <m/>
    <x v="3"/>
  </r>
  <r>
    <s v="García"/>
    <s v="Calabuig"/>
    <s v="Eliduvina"/>
    <x v="133"/>
    <x v="117"/>
    <n v="0.4"/>
    <m/>
    <m/>
    <m/>
    <m/>
    <m/>
    <m/>
    <m/>
    <m/>
    <m/>
    <m/>
    <d v="1956-03-08T00:00:00"/>
    <m/>
    <x v="1"/>
  </r>
  <r>
    <s v="Estruch"/>
    <s v="Estruch"/>
    <s v="Ricardo"/>
    <x v="134"/>
    <x v="117"/>
    <n v="1.032"/>
    <m/>
    <m/>
    <m/>
    <m/>
    <m/>
    <m/>
    <m/>
    <m/>
    <m/>
    <m/>
    <d v="1953-08-20T00:00:00"/>
    <m/>
    <x v="61"/>
  </r>
  <r>
    <s v="Gómez"/>
    <s v="Poles"/>
    <s v="María"/>
    <x v="135"/>
    <x v="118"/>
    <n v="9.9399999999999992E-3"/>
    <m/>
    <m/>
    <m/>
    <m/>
    <m/>
    <m/>
    <m/>
    <m/>
    <m/>
    <m/>
    <d v="2016-09-20T00:00:00"/>
    <m/>
    <x v="40"/>
  </r>
  <r>
    <s v="Burriel"/>
    <s v="Ballester"/>
    <s v="Herminio"/>
    <x v="136"/>
    <x v="118"/>
    <n v="1.3580000000000001"/>
    <m/>
    <m/>
    <m/>
    <m/>
    <m/>
    <m/>
    <m/>
    <m/>
    <m/>
    <m/>
    <d v="1945-11-16T00:00:00"/>
    <m/>
    <x v="1"/>
  </r>
  <r>
    <s v="Peinado"/>
    <s v="Castillejos"/>
    <s v="David"/>
    <x v="137"/>
    <x v="119"/>
    <n v="1.2800000000000001E-2"/>
    <m/>
    <m/>
    <m/>
    <m/>
    <m/>
    <m/>
    <m/>
    <m/>
    <m/>
    <m/>
    <d v="2012-02-17T00:00:00"/>
    <m/>
    <x v="62"/>
  </r>
  <r>
    <s v="Ciochina"/>
    <m/>
    <s v="Maya Paulina"/>
    <x v="138"/>
    <x v="119"/>
    <n v="1.4599999999999999E-3"/>
    <m/>
    <m/>
    <m/>
    <m/>
    <m/>
    <m/>
    <m/>
    <m/>
    <m/>
    <m/>
    <d v="2020-11-10T00:00:00"/>
    <m/>
    <x v="63"/>
  </r>
  <r>
    <s v="Chust"/>
    <s v="Piquer"/>
    <s v="Isabel"/>
    <x v="62"/>
    <x v="119"/>
    <n v="0.4"/>
    <m/>
    <m/>
    <m/>
    <m/>
    <m/>
    <m/>
    <m/>
    <m/>
    <m/>
    <m/>
    <d v="1959-12-14T00:00:00"/>
    <m/>
    <x v="58"/>
  </r>
  <r>
    <s v="Cantos"/>
    <s v="Mendoza"/>
    <s v="Rubén"/>
    <x v="139"/>
    <x v="119"/>
    <n v="3.4000000000000002E-2"/>
    <m/>
    <m/>
    <m/>
    <m/>
    <m/>
    <m/>
    <m/>
    <m/>
    <m/>
    <m/>
    <d v="2011-02-21T00:00:00"/>
    <m/>
    <x v="64"/>
  </r>
  <r>
    <s v="Gómez"/>
    <s v="Zambrano"/>
    <s v="Hugo"/>
    <x v="140"/>
    <x v="120"/>
    <n v="6.6000000000000003E-2"/>
    <m/>
    <m/>
    <m/>
    <m/>
    <m/>
    <m/>
    <m/>
    <m/>
    <m/>
    <m/>
    <d v="2007-01-04T00:00:00"/>
    <m/>
    <x v="62"/>
  </r>
  <r>
    <s v="Constinuc"/>
    <m/>
    <s v="David Constanti"/>
    <x v="141"/>
    <x v="120"/>
    <n v="0.36499999999999999"/>
    <m/>
    <m/>
    <m/>
    <m/>
    <m/>
    <m/>
    <m/>
    <m/>
    <m/>
    <m/>
    <d v="2008-04-13T00:00:00"/>
    <m/>
    <x v="40"/>
  </r>
  <r>
    <s v="Giner"/>
    <s v="Parra"/>
    <s v="Alba"/>
    <x v="142"/>
    <x v="121"/>
    <n v="0.10299999999999999"/>
    <m/>
    <m/>
    <m/>
    <m/>
    <m/>
    <m/>
    <m/>
    <m/>
    <m/>
    <m/>
    <d v="2020-05-22T00:00:00"/>
    <m/>
    <x v="65"/>
  </r>
  <r>
    <s v="Ferrus"/>
    <s v="Gonzalez"/>
    <s v="Laia"/>
    <x v="143"/>
    <x v="121"/>
    <n v="4.8809999999999999E-2"/>
    <m/>
    <m/>
    <m/>
    <m/>
    <m/>
    <m/>
    <m/>
    <m/>
    <m/>
    <m/>
    <d v="2020-04-28T00:00:00"/>
    <m/>
    <x v="40"/>
  </r>
  <r>
    <s v="Sebastiá"/>
    <s v="Martínez"/>
    <s v="Alba"/>
    <x v="144"/>
    <x v="122"/>
    <n v="4.5999999999999999E-2"/>
    <m/>
    <m/>
    <m/>
    <m/>
    <m/>
    <m/>
    <m/>
    <m/>
    <m/>
    <m/>
    <d v="2019-06-27T00:00:00"/>
    <m/>
    <x v="40"/>
  </r>
  <r>
    <s v="Veliz"/>
    <s v="Cadena"/>
    <s v="Marlon Omar"/>
    <x v="73"/>
    <x v="123"/>
    <n v="1.9650000000000001"/>
    <m/>
    <m/>
    <m/>
    <m/>
    <m/>
    <m/>
    <m/>
    <m/>
    <m/>
    <m/>
    <d v="1978-05-25T00:00:00"/>
    <m/>
    <x v="66"/>
  </r>
  <r>
    <s v="Krasnoruzhskikh"/>
    <s v="Sola"/>
    <s v="Zoe"/>
    <x v="145"/>
    <x v="123"/>
    <n v="0.189"/>
    <m/>
    <m/>
    <m/>
    <m/>
    <m/>
    <m/>
    <m/>
    <m/>
    <m/>
    <m/>
    <d v="2013-06-02T00:00:00"/>
    <m/>
    <x v="40"/>
  </r>
  <r>
    <s v="Navarro"/>
    <s v="San Bautista"/>
    <s v="Juan Bautista"/>
    <x v="146"/>
    <x v="124"/>
    <n v="0.74099999999999999"/>
    <m/>
    <m/>
    <m/>
    <m/>
    <m/>
    <m/>
    <m/>
    <m/>
    <m/>
    <m/>
    <d v="1942-01-29T00:00:00"/>
    <m/>
    <x v="3"/>
  </r>
  <r>
    <s v="Hussain"/>
    <m/>
    <s v="Rumi"/>
    <x v="147"/>
    <x v="124"/>
    <n v="0.05"/>
    <m/>
    <m/>
    <m/>
    <m/>
    <m/>
    <m/>
    <m/>
    <m/>
    <m/>
    <m/>
    <d v="2020-03-15T00:00:00"/>
    <m/>
    <x v="40"/>
  </r>
  <r>
    <s v="Palomares"/>
    <s v="Calero"/>
    <s v="Alex"/>
    <x v="148"/>
    <x v="125"/>
    <n v="7.2999999999999995E-2"/>
    <m/>
    <m/>
    <m/>
    <m/>
    <m/>
    <m/>
    <m/>
    <m/>
    <m/>
    <m/>
    <d v="2017-09-08T00:00:00"/>
    <m/>
    <x v="40"/>
  </r>
  <r>
    <s v="Molina"/>
    <s v="Pavón"/>
    <s v="Alejandro"/>
    <x v="149"/>
    <x v="125"/>
    <n v="0.67700000000000005"/>
    <m/>
    <m/>
    <m/>
    <m/>
    <m/>
    <m/>
    <m/>
    <m/>
    <m/>
    <m/>
    <d v="1942-07-04T00:00:00"/>
    <m/>
    <x v="2"/>
  </r>
  <r>
    <s v="Greus"/>
    <s v="Gil"/>
    <s v="Enrique"/>
    <x v="150"/>
    <x v="125"/>
    <n v="1.2"/>
    <m/>
    <m/>
    <m/>
    <m/>
    <m/>
    <m/>
    <m/>
    <m/>
    <m/>
    <m/>
    <d v="1930-09-10T00:00:00"/>
    <m/>
    <x v="2"/>
  </r>
  <r>
    <s v="Duval"/>
    <s v="Montoya"/>
    <s v="Jaqueline"/>
    <x v="151"/>
    <x v="126"/>
    <n v="3.5000000000000001E-3"/>
    <m/>
    <m/>
    <m/>
    <m/>
    <m/>
    <m/>
    <m/>
    <m/>
    <m/>
    <m/>
    <d v="2021-04-30T00:00:00"/>
    <m/>
    <x v="40"/>
  </r>
  <r>
    <s v="Santamaria"/>
    <s v="Biot"/>
    <s v="José"/>
    <x v="152"/>
    <x v="127"/>
    <n v="0.5"/>
    <m/>
    <m/>
    <m/>
    <m/>
    <m/>
    <m/>
    <m/>
    <m/>
    <m/>
    <m/>
    <d v="1979-07-27T00:00:00"/>
    <m/>
    <x v="2"/>
  </r>
  <r>
    <s v="Iranzo"/>
    <s v="Anguis"/>
    <s v="David"/>
    <x v="153"/>
    <x v="127"/>
    <n v="0.57899999999999996"/>
    <m/>
    <m/>
    <m/>
    <m/>
    <m/>
    <m/>
    <m/>
    <m/>
    <m/>
    <m/>
    <d v="1966-06-27T00:00:00"/>
    <m/>
    <x v="2"/>
  </r>
  <r>
    <s v="Alós"/>
    <s v="Salcedo"/>
    <s v="Carmen"/>
    <x v="154"/>
    <x v="127"/>
    <n v="0.52"/>
    <m/>
    <m/>
    <m/>
    <m/>
    <m/>
    <m/>
    <m/>
    <m/>
    <m/>
    <m/>
    <d v="1942-03-13T00:00:00"/>
    <m/>
    <x v="2"/>
  </r>
  <r>
    <s v="Sanchis"/>
    <s v="Navarro"/>
    <s v="Jaime"/>
    <x v="155"/>
    <x v="128"/>
    <n v="0.81"/>
    <m/>
    <m/>
    <m/>
    <m/>
    <m/>
    <m/>
    <m/>
    <m/>
    <m/>
    <m/>
    <d v="1972-07-18T00:00:00"/>
    <m/>
    <x v="2"/>
  </r>
  <r>
    <s v="Llopis"/>
    <s v="Donaire"/>
    <s v="Francisco José"/>
    <x v="156"/>
    <x v="129"/>
    <n v="0.38100000000000001"/>
    <m/>
    <m/>
    <m/>
    <m/>
    <m/>
    <m/>
    <m/>
    <m/>
    <m/>
    <m/>
    <d v="2005-10-27T00:00:00"/>
    <m/>
    <x v="40"/>
  </r>
  <r>
    <s v="Gil"/>
    <s v="Toboso"/>
    <s v="Silvia"/>
    <x v="157"/>
    <x v="129"/>
    <n v="0.48499999999999999"/>
    <m/>
    <m/>
    <m/>
    <m/>
    <m/>
    <m/>
    <m/>
    <m/>
    <m/>
    <m/>
    <d v="2010-01-24T00:00:00"/>
    <m/>
    <x v="40"/>
  </r>
  <r>
    <s v="Ndumu"/>
    <s v="Nseng"/>
    <s v="Cristina"/>
    <x v="158"/>
    <x v="130"/>
    <n v="2.0490000000000001E-2"/>
    <m/>
    <m/>
    <m/>
    <m/>
    <m/>
    <m/>
    <m/>
    <m/>
    <m/>
    <m/>
    <d v="2020-05-27T00:00:00"/>
    <m/>
    <x v="40"/>
  </r>
  <r>
    <s v="Hlioui"/>
    <m/>
    <s v="Hamid"/>
    <x v="77"/>
    <x v="130"/>
    <n v="0.61399999999999999"/>
    <m/>
    <m/>
    <m/>
    <m/>
    <m/>
    <m/>
    <m/>
    <m/>
    <m/>
    <m/>
    <d v="1972-10-24T00:00:00"/>
    <m/>
    <x v="51"/>
  </r>
  <r>
    <s v="Castro"/>
    <s v="Pagán"/>
    <s v="Claudio"/>
    <x v="159"/>
    <x v="130"/>
    <n v="0.45600000000000002"/>
    <m/>
    <m/>
    <m/>
    <m/>
    <m/>
    <m/>
    <m/>
    <m/>
    <m/>
    <m/>
    <d v="1959-04-04T00:00:00"/>
    <m/>
    <x v="2"/>
  </r>
  <r>
    <s v="Calderón"/>
    <s v="Herás"/>
    <s v="Zaira"/>
    <x v="160"/>
    <x v="130"/>
    <n v="1.8"/>
    <m/>
    <m/>
    <m/>
    <m/>
    <m/>
    <m/>
    <m/>
    <m/>
    <m/>
    <m/>
    <d v="2003-09-23T00:00:00"/>
    <m/>
    <x v="2"/>
  </r>
  <r>
    <s v="Abad"/>
    <s v="Isla"/>
    <s v="Azucena"/>
    <x v="161"/>
    <x v="130"/>
    <n v="1.6240000000000001"/>
    <m/>
    <m/>
    <m/>
    <m/>
    <m/>
    <m/>
    <m/>
    <m/>
    <m/>
    <m/>
    <d v="1964-01-21T00:00:00"/>
    <m/>
    <x v="2"/>
  </r>
  <r>
    <s v="Martínez"/>
    <s v="Alberto"/>
    <s v="Carmen"/>
    <x v="162"/>
    <x v="131"/>
    <n v="0.45800000000000002"/>
    <m/>
    <m/>
    <m/>
    <m/>
    <m/>
    <m/>
    <m/>
    <m/>
    <m/>
    <m/>
    <d v="1939-10-26T00:00:00"/>
    <m/>
    <x v="2"/>
  </r>
  <r>
    <s v="Hernández"/>
    <s v="Villar"/>
    <s v="Juana María"/>
    <x v="163"/>
    <x v="131"/>
    <n v="1.1339999999999999"/>
    <m/>
    <m/>
    <m/>
    <m/>
    <m/>
    <m/>
    <m/>
    <m/>
    <m/>
    <m/>
    <d v="1969-10-15T00:00:00"/>
    <m/>
    <x v="2"/>
  </r>
  <r>
    <s v="Abbas"/>
    <m/>
    <s v="Zamma"/>
    <x v="164"/>
    <x v="131"/>
    <n v="4.1000000000000002E-2"/>
    <m/>
    <m/>
    <m/>
    <m/>
    <m/>
    <m/>
    <m/>
    <m/>
    <m/>
    <m/>
    <d v="2015-11-29T00:00:00"/>
    <m/>
    <x v="40"/>
  </r>
  <r>
    <s v="Viña"/>
    <s v="Gonzalez"/>
    <s v="María"/>
    <x v="165"/>
    <x v="132"/>
    <n v="0.7"/>
    <m/>
    <m/>
    <m/>
    <m/>
    <m/>
    <m/>
    <m/>
    <m/>
    <m/>
    <m/>
    <d v="1941-12-21T00:00:00"/>
    <m/>
    <x v="12"/>
  </r>
  <r>
    <s v="Guzman"/>
    <s v="Province"/>
    <s v="Ayun"/>
    <x v="166"/>
    <x v="132"/>
    <n v="2.8670000000000001E-2"/>
    <m/>
    <m/>
    <m/>
    <m/>
    <m/>
    <m/>
    <m/>
    <m/>
    <m/>
    <m/>
    <d v="2021-03-13T00:00:00"/>
    <m/>
    <x v="40"/>
  </r>
  <r>
    <s v="Blasco "/>
    <s v="López"/>
    <s v="Francisco"/>
    <x v="128"/>
    <x v="132"/>
    <n v="0.60599999999999998"/>
    <m/>
    <m/>
    <m/>
    <m/>
    <m/>
    <m/>
    <m/>
    <m/>
    <m/>
    <m/>
    <d v="1956-10-11T00:00:00"/>
    <m/>
    <x v="1"/>
  </r>
  <r>
    <s v="Mila"/>
    <s v="Piro"/>
    <s v="Manuel"/>
    <x v="167"/>
    <x v="133"/>
    <n v="3.2490000000000001"/>
    <m/>
    <m/>
    <m/>
    <m/>
    <m/>
    <m/>
    <m/>
    <m/>
    <m/>
    <m/>
    <d v="1949-05-05T00:00:00"/>
    <m/>
    <x v="1"/>
  </r>
  <r>
    <s v="Martínez"/>
    <s v="Rodríguez"/>
    <s v="José"/>
    <x v="168"/>
    <x v="133"/>
    <n v="2.0570000000000001E-2"/>
    <m/>
    <m/>
    <m/>
    <m/>
    <m/>
    <m/>
    <m/>
    <m/>
    <m/>
    <m/>
    <d v="2010-11-12T00:00:00"/>
    <m/>
    <x v="40"/>
  </r>
  <r>
    <s v="Torres"/>
    <s v="Carrillo"/>
    <s v="Manuel"/>
    <x v="169"/>
    <x v="134"/>
    <n v="0.53500000000000003"/>
    <m/>
    <m/>
    <m/>
    <m/>
    <m/>
    <m/>
    <m/>
    <m/>
    <m/>
    <m/>
    <d v="1938-07-01T00:00:00"/>
    <m/>
    <x v="67"/>
  </r>
  <r>
    <s v="Rico"/>
    <s v="Blasco"/>
    <s v="Marc"/>
    <x v="170"/>
    <x v="134"/>
    <n v="2.1999999999999999E-2"/>
    <m/>
    <m/>
    <m/>
    <m/>
    <m/>
    <m/>
    <m/>
    <m/>
    <m/>
    <m/>
    <d v="2008-04-03T00:00:00"/>
    <m/>
    <x v="68"/>
  </r>
  <r>
    <s v="Berenguer"/>
    <s v="Manzanera"/>
    <s v="Paula"/>
    <x v="171"/>
    <x v="134"/>
    <n v="1.6E-2"/>
    <m/>
    <m/>
    <m/>
    <m/>
    <m/>
    <m/>
    <m/>
    <m/>
    <m/>
    <m/>
    <d v="2018-04-10T00:00:00"/>
    <m/>
    <x v="69"/>
  </r>
  <r>
    <s v="Amiryan"/>
    <s v="Peña"/>
    <s v="Sara"/>
    <x v="172"/>
    <x v="134"/>
    <n v="3.5000000000000003E-2"/>
    <m/>
    <m/>
    <m/>
    <m/>
    <m/>
    <m/>
    <m/>
    <m/>
    <m/>
    <m/>
    <d v="2012-05-05T00:00:00"/>
    <m/>
    <x v="70"/>
  </r>
  <r>
    <s v="Lahuerta"/>
    <s v="Lozano"/>
    <s v="Luis"/>
    <x v="173"/>
    <x v="135"/>
    <n v="0.26100000000000001"/>
    <m/>
    <m/>
    <m/>
    <m/>
    <m/>
    <m/>
    <m/>
    <m/>
    <m/>
    <m/>
    <d v="1938-10-12T00:00:00"/>
    <m/>
    <x v="71"/>
  </r>
  <r>
    <s v="Dueñas"/>
    <s v="López"/>
    <s v="Francisco"/>
    <x v="174"/>
    <x v="135"/>
    <n v="0.26300000000000001"/>
    <m/>
    <m/>
    <m/>
    <m/>
    <m/>
    <m/>
    <m/>
    <m/>
    <m/>
    <m/>
    <d v="1963-10-31T00:00:00"/>
    <m/>
    <x v="72"/>
  </r>
  <r>
    <s v="Castillero"/>
    <s v="Ángel"/>
    <s v="Jacinto"/>
    <x v="175"/>
    <x v="135"/>
    <n v="1.1559999999999999"/>
    <m/>
    <m/>
    <m/>
    <m/>
    <m/>
    <m/>
    <m/>
    <m/>
    <m/>
    <m/>
    <d v="1943-07-18T00:00:00"/>
    <m/>
    <x v="21"/>
  </r>
  <r>
    <s v="Aliaga"/>
    <s v="Bea"/>
    <s v="Mª Pilar"/>
    <x v="176"/>
    <x v="135"/>
    <n v="5.5E-2"/>
    <m/>
    <m/>
    <m/>
    <m/>
    <m/>
    <m/>
    <m/>
    <m/>
    <m/>
    <m/>
    <d v="2013-05-31T00:00:00"/>
    <m/>
    <x v="40"/>
  </r>
  <r>
    <s v="Zaragoza"/>
    <s v="Navarro"/>
    <s v="María"/>
    <x v="177"/>
    <x v="136"/>
    <n v="0.216"/>
    <m/>
    <m/>
    <m/>
    <m/>
    <m/>
    <m/>
    <m/>
    <m/>
    <m/>
    <m/>
    <d v="1935-02-24T00:00:00"/>
    <m/>
    <x v="73"/>
  </r>
  <r>
    <s v="Rowland"/>
    <s v="Molina"/>
    <s v="Elizabeth"/>
    <x v="178"/>
    <x v="136"/>
    <n v="0.3"/>
    <m/>
    <m/>
    <m/>
    <m/>
    <m/>
    <m/>
    <m/>
    <m/>
    <m/>
    <m/>
    <d v="2003-12-15T00:00:00"/>
    <m/>
    <x v="40"/>
  </r>
  <r>
    <s v="Osuna"/>
    <s v="Degracia"/>
    <s v="José"/>
    <x v="179"/>
    <x v="136"/>
    <n v="0.67800000000000005"/>
    <m/>
    <m/>
    <m/>
    <m/>
    <m/>
    <m/>
    <m/>
    <m/>
    <m/>
    <m/>
    <d v="1935-06-05T00:00:00"/>
    <m/>
    <x v="2"/>
  </r>
  <r>
    <s v="Calaforra"/>
    <s v="Brisa"/>
    <s v="José Luis"/>
    <x v="180"/>
    <x v="136"/>
    <n v="0.48099999999999998"/>
    <m/>
    <m/>
    <m/>
    <m/>
    <m/>
    <m/>
    <m/>
    <m/>
    <m/>
    <m/>
    <d v="1948-03-06T00:00:00"/>
    <m/>
    <x v="2"/>
  </r>
  <r>
    <s v="Beltrán"/>
    <s v="Arribas"/>
    <s v="Mª Teresa"/>
    <x v="181"/>
    <x v="137"/>
    <n v="0.27"/>
    <m/>
    <m/>
    <m/>
    <m/>
    <m/>
    <m/>
    <m/>
    <m/>
    <m/>
    <m/>
    <d v="1958-10-15T00:00:00"/>
    <m/>
    <x v="19"/>
  </r>
  <r>
    <s v="Monar"/>
    <s v="Van Vliet"/>
    <s v="Juana Andrea"/>
    <x v="182"/>
    <x v="138"/>
    <n v="0.371"/>
    <m/>
    <m/>
    <m/>
    <m/>
    <m/>
    <m/>
    <m/>
    <m/>
    <m/>
    <m/>
    <d v="1971-01-01T00:00:00"/>
    <m/>
    <x v="57"/>
  </r>
  <r>
    <s v="Notario"/>
    <s v="Ballesteros"/>
    <s v="Julián"/>
    <x v="183"/>
    <x v="139"/>
    <n v="0.48499999999999999"/>
    <m/>
    <m/>
    <m/>
    <m/>
    <m/>
    <m/>
    <m/>
    <m/>
    <m/>
    <m/>
    <d v="1935-03-03T00:00:00"/>
    <m/>
    <x v="1"/>
  </r>
  <r>
    <s v="Morcillo"/>
    <s v="Mora"/>
    <s v="Miguel Ángel"/>
    <x v="184"/>
    <x v="139"/>
    <n v="1.41"/>
    <m/>
    <m/>
    <m/>
    <m/>
    <m/>
    <m/>
    <m/>
    <m/>
    <m/>
    <m/>
    <d v="1958-10-08T00:00:00"/>
    <m/>
    <x v="1"/>
  </r>
  <r>
    <s v="Goterris"/>
    <s v="Triguero"/>
    <s v="Adrián"/>
    <x v="185"/>
    <x v="139"/>
    <n v="1.6E-2"/>
    <m/>
    <m/>
    <m/>
    <m/>
    <m/>
    <m/>
    <m/>
    <m/>
    <m/>
    <m/>
    <d v="2008-01-02T00:00:00"/>
    <m/>
    <x v="40"/>
  </r>
  <r>
    <s v="Charfaoui"/>
    <m/>
    <s v="Sofiane"/>
    <x v="186"/>
    <x v="139"/>
    <n v="0.49299999999999999"/>
    <m/>
    <m/>
    <m/>
    <m/>
    <m/>
    <m/>
    <m/>
    <m/>
    <m/>
    <m/>
    <d v="1992-01-10T00:00:00"/>
    <m/>
    <x v="12"/>
  </r>
  <r>
    <s v="Martínez"/>
    <s v="Calderón"/>
    <s v="Julia Caridad"/>
    <x v="187"/>
    <x v="140"/>
    <n v="0.38100000000000001"/>
    <m/>
    <m/>
    <m/>
    <m/>
    <m/>
    <m/>
    <m/>
    <m/>
    <m/>
    <m/>
    <d v="1951-03-05T00:00:00"/>
    <m/>
    <x v="74"/>
  </r>
  <r>
    <s v="Falah"/>
    <m/>
    <s v="Reda"/>
    <x v="70"/>
    <x v="140"/>
    <n v="0.35499999999999998"/>
    <m/>
    <m/>
    <m/>
    <m/>
    <m/>
    <m/>
    <m/>
    <m/>
    <m/>
    <m/>
    <d v="2019-08-05T00:00:00"/>
    <m/>
    <x v="40"/>
  </r>
  <r>
    <s v="Vizcaya"/>
    <s v="Ebuka"/>
    <s v="Marcelino"/>
    <x v="188"/>
    <x v="141"/>
    <n v="0.108"/>
    <m/>
    <m/>
    <m/>
    <m/>
    <m/>
    <m/>
    <m/>
    <m/>
    <m/>
    <m/>
    <d v="1966-04-11T00:00:00"/>
    <m/>
    <x v="23"/>
  </r>
  <r>
    <s v="Veliz"/>
    <s v="Cadena"/>
    <s v="Marlon Omar"/>
    <x v="73"/>
    <x v="141"/>
    <n v="0.193"/>
    <m/>
    <m/>
    <m/>
    <m/>
    <m/>
    <m/>
    <m/>
    <m/>
    <m/>
    <m/>
    <d v="1978-05-25T00:00:00"/>
    <m/>
    <x v="75"/>
  </r>
  <r>
    <s v="Sepúlveda"/>
    <s v="Boix"/>
    <s v="Amparo"/>
    <x v="189"/>
    <x v="141"/>
    <n v="2.6360000000000001"/>
    <m/>
    <m/>
    <m/>
    <m/>
    <m/>
    <m/>
    <m/>
    <m/>
    <m/>
    <m/>
    <d v="1933-01-14T00:00:00"/>
    <m/>
    <x v="2"/>
  </r>
  <r>
    <s v="Moscardo"/>
    <s v="Ignacio"/>
    <s v="Fernando"/>
    <x v="190"/>
    <x v="141"/>
    <n v="0.31"/>
    <m/>
    <m/>
    <m/>
    <m/>
    <m/>
    <m/>
    <m/>
    <m/>
    <m/>
    <m/>
    <d v="1949-12-14T00:00:00"/>
    <m/>
    <x v="3"/>
  </r>
  <r>
    <s v="López"/>
    <s v="Yuste"/>
    <s v="Thiago"/>
    <x v="115"/>
    <x v="141"/>
    <n v="4.5599999999999998E-3"/>
    <m/>
    <m/>
    <m/>
    <m/>
    <m/>
    <m/>
    <m/>
    <m/>
    <m/>
    <m/>
    <d v="2020-01-02T00:00:00"/>
    <m/>
    <x v="69"/>
  </r>
  <r>
    <s v="Kassouad"/>
    <m/>
    <s v="Yasmine"/>
    <x v="191"/>
    <x v="141"/>
    <n v="3.6999999999999999E-4"/>
    <m/>
    <m/>
    <m/>
    <m/>
    <m/>
    <m/>
    <m/>
    <m/>
    <m/>
    <m/>
    <d v="2014-06-10T00:00:00"/>
    <m/>
    <x v="76"/>
  </r>
  <r>
    <s v="Izquierdo"/>
    <s v="Lluch"/>
    <s v="Malena"/>
    <x v="192"/>
    <x v="141"/>
    <n v="1.4999999999999999E-2"/>
    <m/>
    <m/>
    <m/>
    <m/>
    <m/>
    <m/>
    <m/>
    <m/>
    <m/>
    <m/>
    <d v="2016-12-12T00:00:00"/>
    <m/>
    <x v="69"/>
  </r>
  <r>
    <s v="Samper"/>
    <s v="Conca"/>
    <s v="Josep"/>
    <x v="193"/>
    <x v="142"/>
    <n v="0.628"/>
    <m/>
    <m/>
    <m/>
    <m/>
    <m/>
    <m/>
    <m/>
    <m/>
    <m/>
    <m/>
    <d v="1952-02-28T00:00:00"/>
    <m/>
    <x v="12"/>
  </r>
  <r>
    <s v="Rosa"/>
    <s v="García"/>
    <s v="Cristian"/>
    <x v="194"/>
    <x v="142"/>
    <n v="0.15"/>
    <m/>
    <m/>
    <m/>
    <m/>
    <m/>
    <m/>
    <m/>
    <m/>
    <m/>
    <m/>
    <d v="1979-09-29T00:00:00"/>
    <m/>
    <x v="77"/>
  </r>
  <r>
    <s v="Morell"/>
    <s v="Capellino"/>
    <s v="José "/>
    <x v="195"/>
    <x v="142"/>
    <n v="9.2999999999999999E-2"/>
    <m/>
    <m/>
    <m/>
    <m/>
    <m/>
    <m/>
    <m/>
    <m/>
    <m/>
    <m/>
    <d v="1977-12-23T00:00:00"/>
    <m/>
    <x v="14"/>
  </r>
  <r>
    <s v="Gutiérrez"/>
    <s v="Duero"/>
    <s v="Antonio"/>
    <x v="196"/>
    <x v="142"/>
    <n v="0.54500000000000004"/>
    <m/>
    <m/>
    <m/>
    <m/>
    <m/>
    <m/>
    <m/>
    <m/>
    <m/>
    <m/>
    <d v="1941-12-11T00:00:00"/>
    <m/>
    <x v="2"/>
  </r>
  <r>
    <s v="Gavrilas"/>
    <m/>
    <s v="Alin Constantin"/>
    <x v="197"/>
    <x v="142"/>
    <n v="3.5999999999999997E-2"/>
    <m/>
    <m/>
    <m/>
    <m/>
    <m/>
    <m/>
    <m/>
    <m/>
    <m/>
    <m/>
    <d v="2011-08-28T00:00:00"/>
    <m/>
    <x v="40"/>
  </r>
  <r>
    <s v="Frau"/>
    <s v="Segarra"/>
    <s v="Carmen"/>
    <x v="198"/>
    <x v="142"/>
    <n v="0.39800000000000002"/>
    <m/>
    <m/>
    <m/>
    <m/>
    <m/>
    <m/>
    <m/>
    <m/>
    <m/>
    <m/>
    <d v="1943-07-16T00:00:00"/>
    <m/>
    <x v="2"/>
  </r>
  <r>
    <s v="Fernández"/>
    <s v="Montalva"/>
    <s v="Carlos"/>
    <x v="199"/>
    <x v="142"/>
    <n v="0.60299999999999998"/>
    <m/>
    <m/>
    <m/>
    <m/>
    <m/>
    <m/>
    <m/>
    <m/>
    <m/>
    <m/>
    <d v="1938-10-02T00:00:00"/>
    <m/>
    <x v="12"/>
  </r>
  <r>
    <s v="Calvo"/>
    <s v="Barber"/>
    <s v="Annelise"/>
    <x v="200"/>
    <x v="142"/>
    <n v="1.39E-3"/>
    <m/>
    <m/>
    <m/>
    <m/>
    <m/>
    <m/>
    <m/>
    <m/>
    <m/>
    <m/>
    <d v="2021-03-12T00:00:00"/>
    <m/>
    <x v="78"/>
  </r>
  <r>
    <s v="Sahakyan"/>
    <s v="Sahakyan"/>
    <s v="Grigor"/>
    <x v="201"/>
    <x v="143"/>
    <n v="1.1000000000000001"/>
    <m/>
    <m/>
    <m/>
    <m/>
    <m/>
    <m/>
    <m/>
    <m/>
    <m/>
    <m/>
    <d v="1965-02-21T00:00:00"/>
    <m/>
    <x v="2"/>
  </r>
  <r>
    <s v="Ruiz"/>
    <s v="Garrido"/>
    <s v="Encarnación"/>
    <x v="202"/>
    <x v="143"/>
    <n v="0.41899999999999998"/>
    <m/>
    <m/>
    <m/>
    <m/>
    <m/>
    <m/>
    <m/>
    <m/>
    <m/>
    <m/>
    <d v="1964-08-06T00:00:00"/>
    <m/>
    <x v="79"/>
  </r>
  <r>
    <s v="Omary"/>
    <m/>
    <s v="Rayan"/>
    <x v="203"/>
    <x v="143"/>
    <n v="8.3999999999999995E-3"/>
    <m/>
    <m/>
    <m/>
    <m/>
    <m/>
    <m/>
    <m/>
    <m/>
    <m/>
    <m/>
    <d v="2016-12-16T00:00:00"/>
    <m/>
    <x v="40"/>
  </r>
  <r>
    <s v="Díaz"/>
    <s v="Monedero"/>
    <s v="Fernando"/>
    <x v="204"/>
    <x v="143"/>
    <n v="2.9369999999999998"/>
    <m/>
    <m/>
    <m/>
    <m/>
    <m/>
    <m/>
    <m/>
    <m/>
    <m/>
    <m/>
    <d v="1956-06-24T00:00:00"/>
    <m/>
    <x v="14"/>
  </r>
  <r>
    <s v="Bernal"/>
    <s v="Pacheco"/>
    <s v="Luis"/>
    <x v="205"/>
    <x v="143"/>
    <n v="3.3000000000000002E-2"/>
    <m/>
    <m/>
    <m/>
    <m/>
    <m/>
    <m/>
    <m/>
    <m/>
    <m/>
    <m/>
    <d v="2018-09-17T00:00:00"/>
    <m/>
    <x v="40"/>
  </r>
  <r>
    <s v="Serrador"/>
    <s v="Alba"/>
    <s v="Armando"/>
    <x v="206"/>
    <x v="144"/>
    <n v="0.375"/>
    <m/>
    <m/>
    <m/>
    <m/>
    <m/>
    <m/>
    <m/>
    <m/>
    <m/>
    <m/>
    <d v="1974-05-02T00:00:00"/>
    <m/>
    <x v="2"/>
  </r>
  <r>
    <s v="Sánchez"/>
    <s v="Cortés"/>
    <s v="Jaime"/>
    <x v="207"/>
    <x v="144"/>
    <n v="4.5100000000000001E-2"/>
    <m/>
    <m/>
    <m/>
    <m/>
    <m/>
    <m/>
    <m/>
    <m/>
    <m/>
    <m/>
    <d v="2016-08-12T00:00:00"/>
    <m/>
    <x v="40"/>
  </r>
  <r>
    <s v="Sanchez"/>
    <s v="Plumed"/>
    <s v="Antonia"/>
    <x v="208"/>
    <x v="144"/>
    <n v="0.19"/>
    <m/>
    <m/>
    <m/>
    <m/>
    <m/>
    <m/>
    <m/>
    <m/>
    <m/>
    <m/>
    <d v="1952-01-14T00:00:00"/>
    <m/>
    <x v="2"/>
  </r>
  <r>
    <s v="Redondo"/>
    <s v="Ibáñez"/>
    <s v="Pedro"/>
    <x v="209"/>
    <x v="144"/>
    <n v="1.385"/>
    <m/>
    <m/>
    <m/>
    <m/>
    <m/>
    <m/>
    <m/>
    <m/>
    <m/>
    <m/>
    <d v="1943-11-15T00:00:00"/>
    <m/>
    <x v="80"/>
  </r>
  <r>
    <s v="Dehond"/>
    <m/>
    <s v="Hans Agustinus B"/>
    <x v="210"/>
    <x v="144"/>
    <n v="1.278"/>
    <m/>
    <m/>
    <m/>
    <m/>
    <m/>
    <m/>
    <m/>
    <m/>
    <m/>
    <m/>
    <d v="1950-01-22T00:00:00"/>
    <m/>
    <x v="14"/>
  </r>
  <r>
    <s v="Martínez"/>
    <s v="Sánchez"/>
    <s v="José Vicente"/>
    <x v="211"/>
    <x v="145"/>
    <n v="0.249"/>
    <m/>
    <m/>
    <m/>
    <m/>
    <m/>
    <m/>
    <m/>
    <m/>
    <m/>
    <m/>
    <d v="1974-03-02T00:00:00"/>
    <m/>
    <x v="26"/>
  </r>
  <r>
    <s v="Domínguez"/>
    <s v="Vilar"/>
    <s v="Carles"/>
    <x v="212"/>
    <x v="145"/>
    <n v="0.73899999999999999"/>
    <m/>
    <m/>
    <m/>
    <m/>
    <m/>
    <m/>
    <m/>
    <m/>
    <m/>
    <m/>
    <d v="2003-04-13T00:00:00"/>
    <m/>
    <x v="60"/>
  </r>
  <r>
    <s v="Cantero"/>
    <s v="Sanchez"/>
    <s v="Alfonso"/>
    <x v="213"/>
    <x v="145"/>
    <n v="0.372"/>
    <m/>
    <m/>
    <m/>
    <m/>
    <m/>
    <m/>
    <m/>
    <m/>
    <m/>
    <m/>
    <d v="1944-10-08T00:00:00"/>
    <m/>
    <x v="2"/>
  </r>
  <r>
    <s v="Soler"/>
    <s v="Juan"/>
    <s v="Joaquín"/>
    <x v="36"/>
    <x v="146"/>
    <n v="1.024"/>
    <m/>
    <m/>
    <m/>
    <m/>
    <m/>
    <m/>
    <m/>
    <m/>
    <m/>
    <m/>
    <d v="1951-12-11T00:00:00"/>
    <m/>
    <x v="1"/>
  </r>
  <r>
    <s v="García"/>
    <s v="Roger"/>
    <s v="José Miguel"/>
    <x v="214"/>
    <x v="146"/>
    <n v="0.105"/>
    <m/>
    <m/>
    <m/>
    <m/>
    <m/>
    <m/>
    <m/>
    <m/>
    <m/>
    <m/>
    <d v="1960-08-28T00:00:00"/>
    <m/>
    <x v="2"/>
  </r>
  <r>
    <s v="Coll"/>
    <s v="Hilario"/>
    <s v="Maria Carmen"/>
    <x v="215"/>
    <x v="146"/>
    <n v="0.40760000000000002"/>
    <m/>
    <m/>
    <m/>
    <m/>
    <m/>
    <m/>
    <m/>
    <m/>
    <m/>
    <m/>
    <d v="1956-02-03T00:00:00"/>
    <m/>
    <x v="2"/>
  </r>
  <r>
    <s v="Bosch"/>
    <s v="Bueno"/>
    <s v="Alfredo Manuel"/>
    <x v="216"/>
    <x v="146"/>
    <n v="0.36599999999999999"/>
    <m/>
    <m/>
    <m/>
    <m/>
    <m/>
    <m/>
    <m/>
    <m/>
    <m/>
    <m/>
    <d v="1960-12-07T00:00:00"/>
    <m/>
    <x v="2"/>
  </r>
  <r>
    <s v="Bosch"/>
    <s v="Giménez"/>
    <s v="Antonio José"/>
    <x v="217"/>
    <x v="146"/>
    <n v="0.26800000000000002"/>
    <m/>
    <m/>
    <m/>
    <m/>
    <m/>
    <m/>
    <m/>
    <m/>
    <m/>
    <m/>
    <d v="1942-03-10T00:00:00"/>
    <m/>
    <x v="81"/>
  </r>
  <r>
    <s v="Basterra"/>
    <s v="Montserrat"/>
    <s v="Samuel"/>
    <x v="218"/>
    <x v="146"/>
    <n v="0.94399999999999995"/>
    <m/>
    <m/>
    <m/>
    <m/>
    <m/>
    <m/>
    <m/>
    <m/>
    <m/>
    <m/>
    <d v="1934-12-24T00:00:00"/>
    <m/>
    <x v="2"/>
  </r>
  <r>
    <s v="Alabajos"/>
    <s v="Hernández"/>
    <s v="Sofía"/>
    <x v="219"/>
    <x v="146"/>
    <n v="1.4599999999999999E-3"/>
    <m/>
    <m/>
    <m/>
    <m/>
    <m/>
    <m/>
    <m/>
    <m/>
    <m/>
    <m/>
    <d v="2020-12-14T00:00:00"/>
    <m/>
    <x v="78"/>
  </r>
  <r>
    <s v="Zhu"/>
    <m/>
    <s v="David Weimin"/>
    <x v="220"/>
    <x v="147"/>
    <n v="0.90500000000000003"/>
    <m/>
    <m/>
    <m/>
    <m/>
    <m/>
    <m/>
    <m/>
    <m/>
    <m/>
    <m/>
    <d v="2006-10-15T00:00:00"/>
    <m/>
    <x v="40"/>
  </r>
  <r>
    <s v="Zamora"/>
    <s v="Campillo"/>
    <s v="Noelia"/>
    <x v="221"/>
    <x v="147"/>
    <n v="0.495"/>
    <m/>
    <m/>
    <m/>
    <m/>
    <m/>
    <m/>
    <m/>
    <m/>
    <m/>
    <m/>
    <d v="1976-02-14T00:00:00"/>
    <m/>
    <x v="2"/>
  </r>
  <r>
    <s v="Lacruz"/>
    <s v="Gómez"/>
    <s v="José"/>
    <x v="222"/>
    <x v="147"/>
    <n v="0.251"/>
    <m/>
    <m/>
    <m/>
    <m/>
    <m/>
    <m/>
    <m/>
    <m/>
    <m/>
    <m/>
    <d v="1930-02-19T00:00:00"/>
    <m/>
    <x v="2"/>
  </r>
  <r>
    <s v="Garrigues"/>
    <s v="Garrigues"/>
    <s v="Inmaculada"/>
    <x v="223"/>
    <x v="147"/>
    <n v="0.14099999999999999"/>
    <m/>
    <m/>
    <m/>
    <m/>
    <m/>
    <m/>
    <m/>
    <m/>
    <m/>
    <m/>
    <d v="1963-09-28T00:00:00"/>
    <m/>
    <x v="2"/>
  </r>
  <r>
    <s v="Fernández"/>
    <s v="Ávila"/>
    <s v="Luisa"/>
    <x v="224"/>
    <x v="147"/>
    <n v="0.20399999999999999"/>
    <m/>
    <m/>
    <m/>
    <m/>
    <m/>
    <m/>
    <m/>
    <m/>
    <m/>
    <m/>
    <d v="1936-10-01T00:00:00"/>
    <m/>
    <x v="82"/>
  </r>
  <r>
    <s v="Davalillo"/>
    <s v="Simó"/>
    <s v="Alicia"/>
    <x v="225"/>
    <x v="147"/>
    <n v="1.0860000000000001"/>
    <m/>
    <m/>
    <m/>
    <m/>
    <m/>
    <m/>
    <m/>
    <m/>
    <m/>
    <m/>
    <d v="1965-11-02T00:00:00"/>
    <m/>
    <x v="83"/>
  </r>
  <r>
    <s v="Zafra"/>
    <s v="Carrascosa"/>
    <s v="Josefa"/>
    <x v="226"/>
    <x v="148"/>
    <n v="0.373"/>
    <m/>
    <m/>
    <m/>
    <m/>
    <m/>
    <m/>
    <m/>
    <m/>
    <m/>
    <m/>
    <d v="1959-07-19T00:00:00"/>
    <m/>
    <x v="2"/>
  </r>
  <r>
    <s v="Sapiña"/>
    <s v="Fuertes"/>
    <s v="Vicente"/>
    <x v="227"/>
    <x v="148"/>
    <n v="0.23899999999999999"/>
    <m/>
    <m/>
    <m/>
    <m/>
    <m/>
    <m/>
    <m/>
    <m/>
    <m/>
    <m/>
    <d v="1960-01-22T00:00:00"/>
    <m/>
    <x v="84"/>
  </r>
  <r>
    <s v="Sánchez"/>
    <s v="Ferrer"/>
    <s v="Santiago"/>
    <x v="228"/>
    <x v="148"/>
    <n v="0.55500000000000005"/>
    <m/>
    <m/>
    <m/>
    <m/>
    <m/>
    <m/>
    <m/>
    <m/>
    <m/>
    <m/>
    <d v="1959-03-08T00:00:00"/>
    <m/>
    <x v="85"/>
  </r>
  <r>
    <s v="Rodilla"/>
    <s v="Sánchez"/>
    <s v="Carmen"/>
    <x v="229"/>
    <x v="148"/>
    <n v="0.436"/>
    <m/>
    <m/>
    <m/>
    <m/>
    <m/>
    <m/>
    <m/>
    <m/>
    <m/>
    <m/>
    <d v="1944-08-23T00:00:00"/>
    <m/>
    <x v="2"/>
  </r>
  <r>
    <s v="Pardo"/>
    <s v="Bernes"/>
    <s v="Mª José"/>
    <x v="230"/>
    <x v="148"/>
    <n v="0.191"/>
    <m/>
    <m/>
    <m/>
    <m/>
    <m/>
    <m/>
    <m/>
    <m/>
    <m/>
    <m/>
    <d v="1966-05-27T00:00:00"/>
    <m/>
    <x v="86"/>
  </r>
  <r>
    <s v="Jodar"/>
    <s v="Navarro"/>
    <s v="Luis"/>
    <x v="231"/>
    <x v="148"/>
    <n v="0.19"/>
    <m/>
    <m/>
    <m/>
    <m/>
    <m/>
    <m/>
    <m/>
    <m/>
    <m/>
    <m/>
    <d v="1948-10-03T00:00:00"/>
    <m/>
    <x v="50"/>
  </r>
  <r>
    <s v="Ibáñez"/>
    <s v="Ibáñez"/>
    <s v="Vicente"/>
    <x v="232"/>
    <x v="148"/>
    <n v="0.435"/>
    <m/>
    <m/>
    <m/>
    <m/>
    <m/>
    <m/>
    <m/>
    <m/>
    <m/>
    <m/>
    <d v="1952-04-02T00:00:00"/>
    <m/>
    <x v="2"/>
  </r>
  <r>
    <s v="Gorostola"/>
    <s v="Covelo"/>
    <s v="Miguel Ángel"/>
    <x v="233"/>
    <x v="148"/>
    <n v="0.76300000000000001"/>
    <m/>
    <m/>
    <m/>
    <m/>
    <m/>
    <m/>
    <m/>
    <m/>
    <m/>
    <m/>
    <d v="1946-08-07T00:00:00"/>
    <m/>
    <x v="2"/>
  </r>
  <r>
    <s v="Corchado"/>
    <s v="Martínez"/>
    <s v="Andreu"/>
    <x v="234"/>
    <x v="148"/>
    <n v="0.44800000000000001"/>
    <m/>
    <m/>
    <m/>
    <m/>
    <m/>
    <m/>
    <m/>
    <m/>
    <m/>
    <m/>
    <d v="2004-12-06T00:00:00"/>
    <m/>
    <x v="40"/>
  </r>
  <r>
    <s v="Balaguer"/>
    <s v="Roig"/>
    <s v="Rosa María"/>
    <x v="235"/>
    <x v="148"/>
    <n v="0.97699999999999998"/>
    <m/>
    <m/>
    <m/>
    <m/>
    <m/>
    <m/>
    <m/>
    <m/>
    <m/>
    <m/>
    <d v="1956-11-08T00:00:00"/>
    <m/>
    <x v="2"/>
  </r>
  <r>
    <s v="Ases"/>
    <s v="Gil"/>
    <s v="M Dolores Remedios"/>
    <x v="236"/>
    <x v="148"/>
    <n v="0.27400000000000002"/>
    <m/>
    <m/>
    <m/>
    <m/>
    <m/>
    <m/>
    <m/>
    <m/>
    <m/>
    <m/>
    <d v="1941-09-05T00:00:00"/>
    <m/>
    <x v="2"/>
  </r>
  <r>
    <s v="Quesada"/>
    <s v="Ruano"/>
    <s v="Ana"/>
    <x v="237"/>
    <x v="149"/>
    <n v="0.85099999999999998"/>
    <m/>
    <m/>
    <m/>
    <m/>
    <m/>
    <m/>
    <m/>
    <m/>
    <m/>
    <m/>
    <d v="1942-05-24T00:00:00"/>
    <m/>
    <x v="2"/>
  </r>
  <r>
    <s v="Morales"/>
    <s v="Gómez"/>
    <s v="Miguel"/>
    <x v="238"/>
    <x v="149"/>
    <n v="5.8710000000000004"/>
    <m/>
    <m/>
    <m/>
    <m/>
    <m/>
    <m/>
    <m/>
    <m/>
    <m/>
    <m/>
    <d v="1953-09-30T00:00:00"/>
    <m/>
    <x v="2"/>
  </r>
  <r>
    <s v="Sastre"/>
    <s v="Bay"/>
    <s v="Juan Carlos"/>
    <x v="239"/>
    <x v="150"/>
    <n v="0.33600000000000002"/>
    <m/>
    <m/>
    <m/>
    <m/>
    <m/>
    <m/>
    <m/>
    <m/>
    <m/>
    <m/>
    <d v="1965-01-08T00:00:00"/>
    <m/>
    <x v="9"/>
  </r>
  <r>
    <s v="Ortega"/>
    <s v="Sánchez"/>
    <s v="Juan Fran"/>
    <x v="240"/>
    <x v="150"/>
    <n v="0.52400000000000002"/>
    <m/>
    <m/>
    <m/>
    <m/>
    <m/>
    <m/>
    <m/>
    <m/>
    <m/>
    <m/>
    <d v="1970-08-07T00:00:00"/>
    <m/>
    <x v="14"/>
  </r>
  <r>
    <s v="Gomez"/>
    <s v="Zambrana"/>
    <s v="Hugo"/>
    <x v="140"/>
    <x v="150"/>
    <n v="0.26200000000000001"/>
    <m/>
    <m/>
    <m/>
    <m/>
    <m/>
    <m/>
    <m/>
    <m/>
    <m/>
    <m/>
    <d v="2007-01-04T00:00:00"/>
    <m/>
    <x v="86"/>
  </r>
  <r>
    <s v="García"/>
    <s v="Peñalver"/>
    <s v="Jana"/>
    <x v="241"/>
    <x v="150"/>
    <n v="3.0499999999999999E-2"/>
    <m/>
    <m/>
    <m/>
    <m/>
    <m/>
    <m/>
    <m/>
    <m/>
    <m/>
    <m/>
    <d v="2021-02-22T00:00:00"/>
    <m/>
    <x v="40"/>
  </r>
  <r>
    <s v="Cano"/>
    <s v="Jiménez"/>
    <s v="José"/>
    <x v="242"/>
    <x v="150"/>
    <n v="1.698"/>
    <m/>
    <m/>
    <m/>
    <m/>
    <m/>
    <m/>
    <m/>
    <m/>
    <m/>
    <m/>
    <d v="1964-11-15T00:00:00"/>
    <m/>
    <x v="1"/>
  </r>
  <r>
    <s v="Marquez"/>
    <s v="Heredia"/>
    <s v="Tonet"/>
    <x v="243"/>
    <x v="151"/>
    <n v="3.8629999999999998E-2"/>
    <m/>
    <m/>
    <m/>
    <m/>
    <m/>
    <m/>
    <m/>
    <m/>
    <m/>
    <m/>
    <d v="2017-11-02T00:00:00"/>
    <m/>
    <x v="62"/>
  </r>
  <r>
    <s v="Llombart"/>
    <s v="Bosch"/>
    <s v="Manuel"/>
    <x v="244"/>
    <x v="151"/>
    <n v="0.377"/>
    <m/>
    <m/>
    <m/>
    <m/>
    <m/>
    <m/>
    <m/>
    <m/>
    <m/>
    <m/>
    <d v="1940-10-10T00:00:00"/>
    <m/>
    <x v="2"/>
  </r>
  <r>
    <s v="Garrido"/>
    <s v="Garrido"/>
    <s v="Vicente"/>
    <x v="245"/>
    <x v="151"/>
    <n v="0.67900000000000005"/>
    <m/>
    <m/>
    <m/>
    <m/>
    <m/>
    <m/>
    <m/>
    <m/>
    <m/>
    <m/>
    <d v="1949-05-19T00:00:00"/>
    <m/>
    <x v="87"/>
  </r>
  <r>
    <s v="Escrivá"/>
    <s v="Faus"/>
    <s v="José Ramón"/>
    <x v="246"/>
    <x v="151"/>
    <n v="1.022"/>
    <m/>
    <m/>
    <m/>
    <m/>
    <m/>
    <m/>
    <m/>
    <m/>
    <m/>
    <m/>
    <d v="1969-04-16T00:00:00"/>
    <m/>
    <x v="29"/>
  </r>
  <r>
    <s v="Belenguer"/>
    <s v="Díaz"/>
    <s v="Francisco"/>
    <x v="247"/>
    <x v="151"/>
    <n v="1.03"/>
    <m/>
    <m/>
    <m/>
    <m/>
    <m/>
    <m/>
    <m/>
    <m/>
    <m/>
    <m/>
    <d v="1931-12-22T00:00:00"/>
    <m/>
    <x v="2"/>
  </r>
  <r>
    <s v="Slomik"/>
    <m/>
    <s v="Kristof"/>
    <x v="248"/>
    <x v="152"/>
    <n v="0.92600000000000005"/>
    <m/>
    <m/>
    <m/>
    <m/>
    <m/>
    <m/>
    <m/>
    <m/>
    <m/>
    <m/>
    <d v="1983-03-17T00:00:00"/>
    <m/>
    <x v="5"/>
  </r>
  <r>
    <s v="Simo"/>
    <s v="Barrajon"/>
    <s v="Maria Virginia"/>
    <x v="249"/>
    <x v="152"/>
    <n v="0.186"/>
    <m/>
    <m/>
    <m/>
    <m/>
    <m/>
    <m/>
    <m/>
    <m/>
    <m/>
    <m/>
    <d v="1981-02-19T00:00:00"/>
    <m/>
    <x v="67"/>
  </r>
  <r>
    <s v="San Ramón"/>
    <s v="López"/>
    <s v="Jose Raul"/>
    <x v="250"/>
    <x v="152"/>
    <n v="5.2999999999999999E-2"/>
    <m/>
    <m/>
    <m/>
    <m/>
    <m/>
    <m/>
    <m/>
    <m/>
    <m/>
    <m/>
    <d v="1983-06-12T00:00:00"/>
    <m/>
    <x v="88"/>
  </r>
  <r>
    <s v="Peris"/>
    <s v="Rodríguez"/>
    <s v="José Antonio"/>
    <x v="251"/>
    <x v="152"/>
    <n v="0.59199999999999997"/>
    <m/>
    <m/>
    <m/>
    <m/>
    <m/>
    <m/>
    <m/>
    <m/>
    <m/>
    <m/>
    <d v="1959-08-14T00:00:00"/>
    <m/>
    <x v="12"/>
  </r>
  <r>
    <s v="Carbonell"/>
    <s v="Lázaro"/>
    <s v="Felipe"/>
    <x v="252"/>
    <x v="152"/>
    <n v="4.8000000000000001E-2"/>
    <m/>
    <m/>
    <m/>
    <m/>
    <m/>
    <m/>
    <m/>
    <m/>
    <m/>
    <m/>
    <d v="1970-03-08T00:00:00"/>
    <m/>
    <x v="88"/>
  </r>
  <r>
    <s v="Alacreu"/>
    <s v="Cervera"/>
    <s v="Javier"/>
    <x v="253"/>
    <x v="152"/>
    <n v="2.3E-2"/>
    <m/>
    <m/>
    <m/>
    <m/>
    <m/>
    <m/>
    <m/>
    <m/>
    <m/>
    <m/>
    <d v="1985-09-07T00:00:00"/>
    <m/>
    <x v="88"/>
  </r>
  <r>
    <s v="Urban"/>
    <s v="Martinez"/>
    <s v="M Ángeles"/>
    <x v="254"/>
    <x v="153"/>
    <n v="2.8000000000000001E-2"/>
    <m/>
    <m/>
    <m/>
    <m/>
    <m/>
    <m/>
    <m/>
    <m/>
    <m/>
    <m/>
    <d v="1971-05-26T00:00:00"/>
    <m/>
    <x v="89"/>
  </r>
  <r>
    <s v="Simo"/>
    <s v="Barrajon"/>
    <s v="Maria Virginia"/>
    <x v="249"/>
    <x v="153"/>
    <n v="0.20300000000000001"/>
    <m/>
    <m/>
    <m/>
    <m/>
    <m/>
    <m/>
    <m/>
    <m/>
    <m/>
    <m/>
    <d v="1981-02-19T00:00:00"/>
    <m/>
    <x v="67"/>
  </r>
  <r>
    <s v="Llombart"/>
    <s v="Bosch"/>
    <s v="Manuel"/>
    <x v="244"/>
    <x v="153"/>
    <n v="2.6349999999999998"/>
    <m/>
    <m/>
    <m/>
    <m/>
    <m/>
    <m/>
    <m/>
    <m/>
    <m/>
    <m/>
    <d v="1940-10-10T00:00:00"/>
    <m/>
    <x v="2"/>
  </r>
  <r>
    <s v="Bellveser"/>
    <s v="Icardo"/>
    <s v="Ricardo"/>
    <x v="255"/>
    <x v="153"/>
    <n v="4.3999999999999997E-2"/>
    <m/>
    <m/>
    <m/>
    <m/>
    <m/>
    <m/>
    <m/>
    <m/>
    <m/>
    <m/>
    <d v="1948-11-27T00:00:00"/>
    <m/>
    <x v="17"/>
  </r>
  <r>
    <s v="Bellver"/>
    <s v="Bellver"/>
    <s v="Francisco"/>
    <x v="256"/>
    <x v="153"/>
    <n v="2.2810000000000001"/>
    <m/>
    <m/>
    <m/>
    <m/>
    <m/>
    <m/>
    <m/>
    <m/>
    <m/>
    <m/>
    <d v="1937-04-27T00:00:00"/>
    <m/>
    <x v="2"/>
  </r>
  <r>
    <s v="Lopez"/>
    <s v="Navarro"/>
    <s v="Teresa"/>
    <x v="257"/>
    <x v="154"/>
    <n v="0.92100000000000004"/>
    <m/>
    <m/>
    <m/>
    <m/>
    <m/>
    <m/>
    <m/>
    <m/>
    <m/>
    <m/>
    <d v="1952-02-04T00:00:00"/>
    <m/>
    <x v="90"/>
  </r>
  <r>
    <s v="Yahaya"/>
    <m/>
    <s v="Khairullamirin Bin"/>
    <x v="258"/>
    <x v="155"/>
    <n v="0.121"/>
    <m/>
    <m/>
    <m/>
    <m/>
    <m/>
    <m/>
    <m/>
    <m/>
    <m/>
    <m/>
    <d v="2002-01-28T00:00:00"/>
    <m/>
    <x v="90"/>
  </r>
  <r>
    <s v="Tarrazona"/>
    <s v="Chover"/>
    <s v="Joaquín"/>
    <x v="259"/>
    <x v="156"/>
    <n v="1.837"/>
    <m/>
    <m/>
    <m/>
    <m/>
    <m/>
    <m/>
    <m/>
    <m/>
    <m/>
    <m/>
    <d v="1956-01-21T00:00:00"/>
    <m/>
    <x v="1"/>
  </r>
  <r>
    <s v="Ponce"/>
    <s v="Aranda"/>
    <s v="Carlos"/>
    <x v="260"/>
    <x v="156"/>
    <n v="0.878"/>
    <m/>
    <m/>
    <m/>
    <m/>
    <m/>
    <m/>
    <m/>
    <m/>
    <m/>
    <m/>
    <d v="1962-01-24T00:00:00"/>
    <m/>
    <x v="1"/>
  </r>
  <r>
    <s v="Ponce"/>
    <s v="Aranda"/>
    <s v="Carlos"/>
    <x v="260"/>
    <x v="156"/>
    <n v="6.9000000000000006E-2"/>
    <m/>
    <m/>
    <m/>
    <m/>
    <m/>
    <m/>
    <m/>
    <m/>
    <m/>
    <m/>
    <d v="1962-01-24T00:00:00"/>
    <m/>
    <x v="12"/>
  </r>
  <r>
    <s v="Ortega"/>
    <s v="Mateu"/>
    <s v="Antonia"/>
    <x v="261"/>
    <x v="156"/>
    <n v="0.105"/>
    <m/>
    <m/>
    <m/>
    <m/>
    <m/>
    <m/>
    <m/>
    <m/>
    <m/>
    <m/>
    <d v="1942-02-06T00:00:00"/>
    <m/>
    <x v="50"/>
  </r>
  <r>
    <s v="Zalve"/>
    <s v="Plaza"/>
    <s v="M Imperio"/>
    <x v="262"/>
    <x v="157"/>
    <n v="0.05"/>
    <m/>
    <m/>
    <m/>
    <m/>
    <m/>
    <m/>
    <m/>
    <m/>
    <m/>
    <m/>
    <d v="1974-01-22T00:00:00"/>
    <m/>
    <x v="58"/>
  </r>
  <r>
    <s v="Ruiz"/>
    <s v="Garrido"/>
    <s v="Encarnación"/>
    <x v="202"/>
    <x v="157"/>
    <n v="0.13"/>
    <m/>
    <m/>
    <m/>
    <m/>
    <m/>
    <m/>
    <m/>
    <m/>
    <m/>
    <m/>
    <d v="1964-08-06T00:00:00"/>
    <m/>
    <x v="85"/>
  </r>
  <r>
    <s v="Gimenez"/>
    <s v="Salazar"/>
    <s v="José"/>
    <x v="263"/>
    <x v="157"/>
    <n v="0.88500000000000001"/>
    <m/>
    <m/>
    <m/>
    <m/>
    <m/>
    <m/>
    <m/>
    <m/>
    <m/>
    <m/>
    <d v="1961-03-19T00:00:00"/>
    <m/>
    <x v="1"/>
  </r>
  <r>
    <s v="García"/>
    <s v="Graf"/>
    <s v="Miguel"/>
    <x v="264"/>
    <x v="157"/>
    <n v="0.60599999999999998"/>
    <m/>
    <m/>
    <m/>
    <m/>
    <m/>
    <m/>
    <m/>
    <m/>
    <m/>
    <m/>
    <d v="1992-12-02T00:00:00"/>
    <m/>
    <x v="55"/>
  </r>
  <r>
    <s v="Cano"/>
    <s v="Castro"/>
    <s v="Jorge Arturo"/>
    <x v="265"/>
    <x v="157"/>
    <n v="0.41199999999999998"/>
    <m/>
    <m/>
    <m/>
    <m/>
    <m/>
    <m/>
    <m/>
    <m/>
    <m/>
    <m/>
    <d v="1962-01-05T00:00:00"/>
    <m/>
    <x v="1"/>
  </r>
  <r>
    <s v="Sales"/>
    <s v="Doñate"/>
    <s v="Ángel José"/>
    <x v="266"/>
    <x v="158"/>
    <n v="0.56999999999999995"/>
    <m/>
    <m/>
    <m/>
    <m/>
    <m/>
    <m/>
    <m/>
    <m/>
    <m/>
    <m/>
    <d v="1959-11-07T00:00:00"/>
    <m/>
    <x v="91"/>
  </r>
  <r>
    <s v="Ruiz"/>
    <s v="Garrido"/>
    <s v="Encarnación"/>
    <x v="202"/>
    <x v="158"/>
    <n v="6.7000000000000004E-2"/>
    <m/>
    <m/>
    <m/>
    <m/>
    <m/>
    <m/>
    <m/>
    <m/>
    <m/>
    <m/>
    <d v="1964-08-06T00:00:00"/>
    <m/>
    <x v="17"/>
  </r>
  <r>
    <s v="Martínez"/>
    <s v="Laserna"/>
    <s v="M Catalina"/>
    <x v="267"/>
    <x v="158"/>
    <n v="0.123"/>
    <m/>
    <m/>
    <m/>
    <m/>
    <m/>
    <m/>
    <m/>
    <m/>
    <m/>
    <m/>
    <d v="1948-01-29T00:00:00"/>
    <m/>
    <x v="92"/>
  </r>
  <r>
    <s v="Bosch"/>
    <s v="Fornás"/>
    <s v="Eduardo José"/>
    <x v="268"/>
    <x v="158"/>
    <n v="0.36399999999999999"/>
    <m/>
    <m/>
    <m/>
    <m/>
    <m/>
    <m/>
    <m/>
    <m/>
    <m/>
    <m/>
    <d v="1963-02-15T00:00:00"/>
    <m/>
    <x v="61"/>
  </r>
  <r>
    <s v="Paredes"/>
    <s v="García"/>
    <s v="Adelina"/>
    <x v="269"/>
    <x v="159"/>
    <n v="0.30499999999999999"/>
    <m/>
    <m/>
    <m/>
    <m/>
    <m/>
    <m/>
    <m/>
    <m/>
    <m/>
    <m/>
    <d v="1983-11-01T00:00:00"/>
    <m/>
    <x v="81"/>
  </r>
  <r>
    <s v="Iranzo"/>
    <s v="Ibáñez"/>
    <s v="Francisco"/>
    <x v="270"/>
    <x v="159"/>
    <n v="2.99"/>
    <m/>
    <m/>
    <m/>
    <m/>
    <m/>
    <m/>
    <m/>
    <m/>
    <m/>
    <m/>
    <d v="1950-02-27T00:00:00"/>
    <m/>
    <x v="21"/>
  </r>
  <r>
    <s v="Escudero"/>
    <s v="Montoya"/>
    <s v="Vicenta"/>
    <x v="271"/>
    <x v="159"/>
    <n v="0.748"/>
    <m/>
    <m/>
    <m/>
    <m/>
    <m/>
    <m/>
    <m/>
    <m/>
    <m/>
    <m/>
    <d v="1959-04-06T00:00:00"/>
    <m/>
    <x v="36"/>
  </r>
  <r>
    <s v="Carmona"/>
    <s v="García"/>
    <s v="Paloma"/>
    <x v="272"/>
    <x v="159"/>
    <n v="7.6239999999999988E-2"/>
    <m/>
    <m/>
    <m/>
    <m/>
    <m/>
    <m/>
    <m/>
    <m/>
    <m/>
    <m/>
    <d v="1984-08-09T00:00:00"/>
    <m/>
    <x v="9"/>
  </r>
  <r>
    <s v="Beltrán"/>
    <s v="Arribas"/>
    <s v="Mª Teresa"/>
    <x v="181"/>
    <x v="159"/>
    <n v="0.182"/>
    <m/>
    <m/>
    <m/>
    <m/>
    <m/>
    <m/>
    <m/>
    <m/>
    <m/>
    <m/>
    <d v="1958-10-15T00:00:00"/>
    <m/>
    <x v="74"/>
  </r>
  <r>
    <s v="Zamora"/>
    <s v="Herraiz"/>
    <s v="Primitivo"/>
    <x v="273"/>
    <x v="160"/>
    <n v="0.84399999999999997"/>
    <m/>
    <m/>
    <m/>
    <m/>
    <m/>
    <m/>
    <m/>
    <m/>
    <m/>
    <m/>
    <d v="1946-02-28T00:00:00"/>
    <m/>
    <x v="57"/>
  </r>
  <r>
    <s v="Soria"/>
    <s v="Gallego"/>
    <s v="Azucena"/>
    <x v="274"/>
    <x v="160"/>
    <n v="0.127"/>
    <m/>
    <m/>
    <m/>
    <m/>
    <m/>
    <m/>
    <m/>
    <m/>
    <m/>
    <m/>
    <d v="1970-11-23T00:00:00"/>
    <m/>
    <x v="61"/>
  </r>
  <r>
    <s v="Espinos"/>
    <s v="Canos"/>
    <s v="Ricardo"/>
    <x v="275"/>
    <x v="160"/>
    <n v="0.39600000000000002"/>
    <m/>
    <m/>
    <m/>
    <m/>
    <m/>
    <m/>
    <m/>
    <m/>
    <m/>
    <m/>
    <d v="1945-01-17T00:00:00"/>
    <m/>
    <x v="81"/>
  </r>
  <r>
    <s v="Nieto-Guerrero"/>
    <s v="Ponce"/>
    <s v="Inmaculada Concepcion"/>
    <x v="276"/>
    <x v="161"/>
    <n v="3.2599999999999997E-2"/>
    <m/>
    <m/>
    <m/>
    <m/>
    <m/>
    <m/>
    <m/>
    <m/>
    <m/>
    <m/>
    <d v="1986-09-20T00:00:00"/>
    <m/>
    <x v="58"/>
  </r>
  <r>
    <s v="Duro"/>
    <s v="Lázaro"/>
    <s v="Silvia"/>
    <x v="277"/>
    <x v="161"/>
    <n v="0.46700000000000003"/>
    <m/>
    <m/>
    <m/>
    <m/>
    <m/>
    <m/>
    <m/>
    <m/>
    <m/>
    <m/>
    <d v="1991-07-03T00:00:00"/>
    <m/>
    <x v="20"/>
  </r>
  <r>
    <s v="Lozano"/>
    <s v="Ramos"/>
    <s v="Miguel Ángel"/>
    <x v="61"/>
    <x v="162"/>
    <n v="0.29499999999999998"/>
    <m/>
    <m/>
    <m/>
    <m/>
    <m/>
    <m/>
    <m/>
    <m/>
    <m/>
    <m/>
    <d v="1969-02-05T00:00:00"/>
    <m/>
    <x v="13"/>
  </r>
  <r>
    <s v="Delgado"/>
    <s v="Jiménez"/>
    <s v="Javier"/>
    <x v="74"/>
    <x v="162"/>
    <n v="0.53400000000000003"/>
    <m/>
    <m/>
    <m/>
    <m/>
    <m/>
    <m/>
    <m/>
    <m/>
    <m/>
    <m/>
    <d v="1977-04-25T00:00:00"/>
    <m/>
    <x v="1"/>
  </r>
  <r>
    <s v="Castillero"/>
    <s v="Ángel"/>
    <s v="Jacinto"/>
    <x v="175"/>
    <x v="162"/>
    <n v="0.38"/>
    <m/>
    <m/>
    <m/>
    <m/>
    <m/>
    <m/>
    <m/>
    <m/>
    <m/>
    <m/>
    <d v="1943-07-18T00:00:00"/>
    <m/>
    <x v="35"/>
  </r>
  <r>
    <s v="Cano"/>
    <s v="Castro"/>
    <s v="Jorge Arturo"/>
    <x v="265"/>
    <x v="162"/>
    <n v="8.9999999999999993E-3"/>
    <m/>
    <m/>
    <m/>
    <m/>
    <m/>
    <m/>
    <m/>
    <m/>
    <m/>
    <m/>
    <d v="1962-01-05T00:00:00"/>
    <m/>
    <x v="82"/>
  </r>
  <r>
    <s v="Veliz"/>
    <s v="Cadena"/>
    <s v="Marlon Omar"/>
    <x v="73"/>
    <x v="163"/>
    <n v="9.6000000000000002E-2"/>
    <m/>
    <m/>
    <m/>
    <m/>
    <m/>
    <m/>
    <m/>
    <m/>
    <m/>
    <m/>
    <d v="1978-05-25T00:00:00"/>
    <m/>
    <x v="66"/>
  </r>
  <r>
    <s v="Soria"/>
    <s v="Gallego"/>
    <s v="Azucena"/>
    <x v="274"/>
    <x v="163"/>
    <n v="7.6999999999999999E-2"/>
    <m/>
    <m/>
    <m/>
    <m/>
    <m/>
    <m/>
    <m/>
    <m/>
    <m/>
    <m/>
    <d v="1970-11-23T00:00:00"/>
    <m/>
    <x v="52"/>
  </r>
  <r>
    <s v="Lisarde"/>
    <s v="Valles"/>
    <s v="Nahia"/>
    <x v="278"/>
    <x v="163"/>
    <n v="5.0970000000000004"/>
    <m/>
    <m/>
    <m/>
    <m/>
    <m/>
    <m/>
    <m/>
    <m/>
    <m/>
    <m/>
    <d v="2007-02-16T00:00:00"/>
    <m/>
    <x v="40"/>
  </r>
  <r>
    <s v="Baeza"/>
    <s v="Saiz"/>
    <s v="Victor Manuel"/>
    <x v="279"/>
    <x v="163"/>
    <n v="0.40300000000000002"/>
    <m/>
    <m/>
    <m/>
    <m/>
    <m/>
    <m/>
    <m/>
    <m/>
    <m/>
    <m/>
    <d v="1954-10-07T00:00:00"/>
    <m/>
    <x v="13"/>
  </r>
  <r>
    <s v="Amber"/>
    <s v="Martinez"/>
    <s v="Josefina"/>
    <x v="280"/>
    <x v="163"/>
    <n v="4.3999999999999997E-2"/>
    <m/>
    <m/>
    <m/>
    <m/>
    <m/>
    <m/>
    <m/>
    <m/>
    <m/>
    <m/>
    <d v="1958-06-03T00:00:00"/>
    <m/>
    <x v="59"/>
  </r>
  <r>
    <s v="Quitian"/>
    <s v="Blanco"/>
    <s v="Luisa"/>
    <x v="281"/>
    <x v="164"/>
    <n v="0.93200000000000005"/>
    <m/>
    <m/>
    <m/>
    <m/>
    <m/>
    <m/>
    <m/>
    <m/>
    <m/>
    <m/>
    <d v="1937-08-12T00:00:00"/>
    <m/>
    <x v="55"/>
  </r>
  <r>
    <s v="Marco"/>
    <s v="Garcia"/>
    <s v="Jose Manuel"/>
    <x v="282"/>
    <x v="164"/>
    <n v="2.0449999999999999E-2"/>
    <m/>
    <m/>
    <m/>
    <m/>
    <m/>
    <m/>
    <m/>
    <m/>
    <m/>
    <m/>
    <d v="1957-06-25T00:00:00"/>
    <m/>
    <x v="85"/>
  </r>
  <r>
    <s v="Ibáñez"/>
    <s v="Cortés"/>
    <s v="Mª Ángeles"/>
    <x v="283"/>
    <x v="164"/>
    <n v="0.22700000000000001"/>
    <m/>
    <m/>
    <m/>
    <m/>
    <m/>
    <m/>
    <m/>
    <m/>
    <m/>
    <m/>
    <d v="1972-09-04T00:00:00"/>
    <m/>
    <x v="29"/>
  </r>
  <r>
    <s v="Bosch"/>
    <s v="Fornás"/>
    <s v="Eduardo José"/>
    <x v="268"/>
    <x v="164"/>
    <n v="0.125"/>
    <m/>
    <m/>
    <m/>
    <m/>
    <m/>
    <m/>
    <m/>
    <m/>
    <m/>
    <m/>
    <d v="1963-02-15T00:00:00"/>
    <m/>
    <x v="52"/>
  </r>
  <r>
    <s v="Zacares"/>
    <s v="Real"/>
    <s v="Mª Amparo"/>
    <x v="284"/>
    <x v="165"/>
    <n v="48.71"/>
    <m/>
    <m/>
    <m/>
    <m/>
    <m/>
    <m/>
    <m/>
    <m/>
    <m/>
    <m/>
    <d v="1976-10-15T00:00:00"/>
    <m/>
    <x v="93"/>
  </r>
  <r>
    <s v="Ruiz"/>
    <s v="Villar"/>
    <s v="Antonio"/>
    <x v="285"/>
    <x v="165"/>
    <n v="0.66522999999999999"/>
    <m/>
    <m/>
    <m/>
    <m/>
    <m/>
    <m/>
    <m/>
    <m/>
    <m/>
    <m/>
    <d v="1945-01-26T00:00:00"/>
    <m/>
    <x v="4"/>
  </r>
  <r>
    <s v="Martí"/>
    <s v="Ros"/>
    <s v="Amparo"/>
    <x v="286"/>
    <x v="165"/>
    <n v="0.13600000000000001"/>
    <m/>
    <m/>
    <m/>
    <m/>
    <m/>
    <m/>
    <m/>
    <m/>
    <m/>
    <m/>
    <d v="1945-09-13T00:00:00"/>
    <m/>
    <x v="94"/>
  </r>
  <r>
    <s v="Gonzalez"/>
    <s v="Romero"/>
    <s v="Antonio"/>
    <x v="287"/>
    <x v="165"/>
    <n v="3.5000000000000003E-2"/>
    <m/>
    <m/>
    <m/>
    <m/>
    <m/>
    <m/>
    <m/>
    <m/>
    <m/>
    <m/>
    <d v="1957-05-01T00:00:00"/>
    <m/>
    <x v="72"/>
  </r>
  <r>
    <s v="Fernández"/>
    <s v="Montalva"/>
    <s v="Carlos"/>
    <x v="199"/>
    <x v="165"/>
    <n v="0.29959999999999998"/>
    <m/>
    <m/>
    <m/>
    <m/>
    <m/>
    <m/>
    <m/>
    <m/>
    <m/>
    <m/>
    <d v="1938-10-02T00:00:00"/>
    <m/>
    <x v="57"/>
  </r>
  <r>
    <s v="Pinter"/>
    <s v="Pla"/>
    <s v="Victoria"/>
    <x v="288"/>
    <x v="166"/>
    <n v="8.6800000000000002E-3"/>
    <m/>
    <m/>
    <m/>
    <m/>
    <m/>
    <m/>
    <m/>
    <m/>
    <m/>
    <m/>
    <d v="1966-08-14T00:00:00"/>
    <m/>
    <x v="17"/>
  </r>
  <r>
    <s v="Parrizas"/>
    <s v="Collado"/>
    <s v="José Manuel"/>
    <x v="289"/>
    <x v="166"/>
    <n v="0.4723"/>
    <m/>
    <m/>
    <m/>
    <m/>
    <m/>
    <m/>
    <m/>
    <m/>
    <m/>
    <m/>
    <d v="1966-05-04T00:00:00"/>
    <m/>
    <x v="59"/>
  </r>
  <r>
    <s v="Miranda"/>
    <s v="Castro"/>
    <s v="Andres Mauricio"/>
    <x v="290"/>
    <x v="166"/>
    <n v="6.3399999999999998E-2"/>
    <m/>
    <m/>
    <m/>
    <m/>
    <m/>
    <m/>
    <m/>
    <m/>
    <m/>
    <m/>
    <d v="1984-09-27T00:00:00"/>
    <m/>
    <x v="95"/>
  </r>
  <r>
    <s v="Zacares"/>
    <s v="Real"/>
    <s v="Mª Amparo"/>
    <x v="284"/>
    <x v="167"/>
    <n v="23.46"/>
    <m/>
    <m/>
    <m/>
    <m/>
    <m/>
    <m/>
    <m/>
    <m/>
    <m/>
    <m/>
    <d v="1976-10-15T00:00:00"/>
    <m/>
    <x v="93"/>
  </r>
  <r>
    <s v="San Esteban"/>
    <s v="Perez"/>
    <s v="Fernando"/>
    <x v="291"/>
    <x v="167"/>
    <n v="9.2999999999999999E-2"/>
    <m/>
    <m/>
    <m/>
    <m/>
    <m/>
    <m/>
    <m/>
    <m/>
    <m/>
    <m/>
    <d v="1968-05-30T00:00:00"/>
    <m/>
    <x v="58"/>
  </r>
  <r>
    <s v="Lozano"/>
    <s v="Ruiz"/>
    <s v="Miguel Ángel"/>
    <x v="292"/>
    <x v="167"/>
    <n v="0.35299999999999998"/>
    <m/>
    <m/>
    <m/>
    <m/>
    <m/>
    <m/>
    <m/>
    <m/>
    <m/>
    <m/>
    <d v="1961-08-19T00:00:00"/>
    <m/>
    <x v="96"/>
  </r>
  <r>
    <s v="Costa"/>
    <s v="Blanch"/>
    <s v="Francisco Antonio"/>
    <x v="293"/>
    <x v="167"/>
    <n v="3.16E-3"/>
    <m/>
    <m/>
    <m/>
    <m/>
    <m/>
    <m/>
    <m/>
    <m/>
    <m/>
    <m/>
    <d v="1954-06-13T00:00:00"/>
    <m/>
    <x v="97"/>
  </r>
  <r>
    <s v="Amber"/>
    <s v="Martinez"/>
    <s v="Josefina"/>
    <x v="280"/>
    <x v="167"/>
    <n v="9.0399999999999994E-2"/>
    <m/>
    <m/>
    <m/>
    <m/>
    <m/>
    <m/>
    <m/>
    <m/>
    <m/>
    <m/>
    <d v="1958-06-03T00:00:00"/>
    <m/>
    <x v="17"/>
  </r>
  <r>
    <s v="Mateo"/>
    <s v="Velazquez"/>
    <s v="Jose"/>
    <x v="294"/>
    <x v="168"/>
    <n v="0.26100000000000001"/>
    <m/>
    <m/>
    <m/>
    <m/>
    <m/>
    <m/>
    <m/>
    <m/>
    <m/>
    <m/>
    <d v="1936-03-19T00:00:00"/>
    <m/>
    <x v="98"/>
  </r>
  <r>
    <s v="Lluesma"/>
    <s v="Garcia"/>
    <s v="Florencio"/>
    <x v="295"/>
    <x v="168"/>
    <n v="0.82099999999999995"/>
    <m/>
    <m/>
    <m/>
    <m/>
    <m/>
    <m/>
    <m/>
    <m/>
    <m/>
    <m/>
    <d v="1943-05-07T00:00:00"/>
    <m/>
    <x v="98"/>
  </r>
  <r>
    <s v="Fernandez"/>
    <s v="Bautista"/>
    <s v="Andres"/>
    <x v="296"/>
    <x v="168"/>
    <n v="0.81899999999999995"/>
    <m/>
    <m/>
    <m/>
    <m/>
    <m/>
    <m/>
    <m/>
    <m/>
    <m/>
    <m/>
    <d v="1960-07-24T00:00:00"/>
    <m/>
    <x v="57"/>
  </r>
  <r>
    <s v="Hernández"/>
    <s v="López"/>
    <s v="Vicente Rafael"/>
    <x v="297"/>
    <x v="169"/>
    <n v="3.4460000000000002"/>
    <m/>
    <m/>
    <m/>
    <m/>
    <m/>
    <m/>
    <m/>
    <m/>
    <m/>
    <m/>
    <d v="1950-04-26T00:00:00"/>
    <m/>
    <x v="2"/>
  </r>
  <r>
    <s v="Ruiz"/>
    <s v="Barrachina"/>
    <s v="Amparo"/>
    <x v="298"/>
    <x v="170"/>
    <n v="0.59650000000000003"/>
    <m/>
    <m/>
    <m/>
    <m/>
    <m/>
    <m/>
    <m/>
    <m/>
    <m/>
    <m/>
    <d v="1941-05-07T00:00:00"/>
    <m/>
    <x v="20"/>
  </r>
  <r>
    <s v="Valverde"/>
    <s v="Puerto"/>
    <s v="José"/>
    <x v="299"/>
    <x v="171"/>
    <n v="5.8840000000000003E-2"/>
    <m/>
    <m/>
    <m/>
    <m/>
    <m/>
    <m/>
    <m/>
    <m/>
    <m/>
    <m/>
    <d v="1962-10-07T00:00:00"/>
    <m/>
    <x v="74"/>
  </r>
  <r>
    <s v="Sendra"/>
    <s v="Fillol"/>
    <s v="Pilar"/>
    <x v="300"/>
    <x v="171"/>
    <n v="2.4299999999999999E-3"/>
    <m/>
    <m/>
    <m/>
    <m/>
    <m/>
    <m/>
    <m/>
    <m/>
    <m/>
    <m/>
    <d v="1962-12-04T00:00:00"/>
    <m/>
    <x v="99"/>
  </r>
  <r>
    <s v="Rubio"/>
    <s v="Coll"/>
    <s v="José Antonio"/>
    <x v="301"/>
    <x v="171"/>
    <n v="0.55230000000000001"/>
    <m/>
    <m/>
    <m/>
    <m/>
    <m/>
    <m/>
    <m/>
    <m/>
    <m/>
    <m/>
    <d v="1951-02-17T00:00:00"/>
    <m/>
    <x v="100"/>
  </r>
  <r>
    <s v="Mateos"/>
    <s v="Gómez"/>
    <s v="Francisco"/>
    <x v="302"/>
    <x v="171"/>
    <n v="4.0000000000000002E-4"/>
    <m/>
    <m/>
    <m/>
    <m/>
    <m/>
    <m/>
    <m/>
    <m/>
    <m/>
    <m/>
    <d v="1978-07-01T00:00:00"/>
    <m/>
    <x v="97"/>
  </r>
  <r>
    <s v="Gil"/>
    <s v="Andrés"/>
    <s v="Rafael Antonio"/>
    <x v="303"/>
    <x v="171"/>
    <n v="0.81399999999999995"/>
    <m/>
    <m/>
    <m/>
    <m/>
    <m/>
    <m/>
    <m/>
    <m/>
    <m/>
    <m/>
    <d v="1962-12-21T00:00:00"/>
    <m/>
    <x v="1"/>
  </r>
  <r>
    <s v="Abad"/>
    <s v="Mateos"/>
    <s v="Lázaro"/>
    <x v="304"/>
    <x v="171"/>
    <n v="7.8E-2"/>
    <m/>
    <m/>
    <m/>
    <m/>
    <m/>
    <m/>
    <m/>
    <m/>
    <m/>
    <m/>
    <d v="1943-09-04T00:00:00"/>
    <m/>
    <x v="23"/>
  </r>
  <r>
    <s v="Sanmartín"/>
    <s v="Ruiz"/>
    <s v="Vicente"/>
    <x v="305"/>
    <x v="172"/>
    <n v="0.44900000000000001"/>
    <m/>
    <m/>
    <m/>
    <m/>
    <m/>
    <m/>
    <m/>
    <m/>
    <m/>
    <m/>
    <d v="1959-08-04T00:00:00"/>
    <m/>
    <x v="58"/>
  </r>
  <r>
    <s v="Palau"/>
    <s v="Subies"/>
    <s v="Juan Antonio"/>
    <x v="306"/>
    <x v="172"/>
    <n v="6.4099999999999999E-3"/>
    <m/>
    <m/>
    <m/>
    <m/>
    <m/>
    <m/>
    <m/>
    <m/>
    <m/>
    <m/>
    <d v="1959-10-06T00:00:00"/>
    <m/>
    <x v="97"/>
  </r>
  <r>
    <s v="Ivars"/>
    <s v="Villalonga"/>
    <s v="José María"/>
    <x v="307"/>
    <x v="172"/>
    <n v="2.5200000000000001E-3"/>
    <m/>
    <m/>
    <m/>
    <m/>
    <m/>
    <m/>
    <m/>
    <m/>
    <m/>
    <m/>
    <d v="1956-08-28T00:00:00"/>
    <m/>
    <x v="97"/>
  </r>
  <r>
    <s v="Gabaldón"/>
    <s v="Álvarez"/>
    <s v="Rosa María"/>
    <x v="308"/>
    <x v="172"/>
    <n v="1.2840000000000001E-2"/>
    <m/>
    <m/>
    <m/>
    <m/>
    <m/>
    <m/>
    <m/>
    <m/>
    <m/>
    <m/>
    <d v="1967-11-12T00:00:00"/>
    <m/>
    <x v="101"/>
  </r>
  <r>
    <s v="Drago"/>
    <s v="Benot"/>
    <s v="David"/>
    <x v="309"/>
    <x v="172"/>
    <n v="0.36975000000000002"/>
    <m/>
    <m/>
    <m/>
    <m/>
    <m/>
    <m/>
    <m/>
    <m/>
    <m/>
    <m/>
    <d v="1959-12-03T00:00:00"/>
    <m/>
    <x v="4"/>
  </r>
  <r>
    <s v="Amber"/>
    <s v="Martinez"/>
    <s v="Josefina"/>
    <x v="280"/>
    <x v="172"/>
    <n v="4.9000000000000002E-2"/>
    <m/>
    <m/>
    <m/>
    <m/>
    <m/>
    <m/>
    <m/>
    <m/>
    <m/>
    <m/>
    <d v="1958-06-03T00:00:00"/>
    <m/>
    <x v="102"/>
  </r>
  <r>
    <s v="Torres"/>
    <s v="López"/>
    <s v="Magdalena"/>
    <x v="310"/>
    <x v="173"/>
    <n v="5.9199999999999999E-3"/>
    <m/>
    <m/>
    <m/>
    <m/>
    <m/>
    <m/>
    <m/>
    <m/>
    <m/>
    <m/>
    <d v="1958-12-02T00:00:00"/>
    <m/>
    <x v="17"/>
  </r>
  <r>
    <s v="Stoykov"/>
    <m/>
    <s v="Viktor Stoynev"/>
    <x v="311"/>
    <x v="173"/>
    <n v="7.4999999999999997E-2"/>
    <m/>
    <m/>
    <m/>
    <m/>
    <m/>
    <m/>
    <m/>
    <m/>
    <m/>
    <m/>
    <d v="1940-02-16T00:00:00"/>
    <m/>
    <x v="103"/>
  </r>
  <r>
    <s v="Martínez"/>
    <s v="Jiménez"/>
    <s v="Esteban"/>
    <x v="312"/>
    <x v="173"/>
    <n v="9.1590000000000005E-2"/>
    <m/>
    <m/>
    <m/>
    <m/>
    <m/>
    <m/>
    <m/>
    <m/>
    <m/>
    <m/>
    <d v="1964-08-11T00:00:00"/>
    <m/>
    <x v="58"/>
  </r>
  <r>
    <s v="Dorado"/>
    <s v="Cuevas"/>
    <s v="Manuel"/>
    <x v="313"/>
    <x v="173"/>
    <n v="5.2100000000000002E-3"/>
    <m/>
    <m/>
    <m/>
    <m/>
    <m/>
    <m/>
    <m/>
    <m/>
    <m/>
    <m/>
    <d v="1957-11-26T00:00:00"/>
    <m/>
    <x v="17"/>
  </r>
  <r>
    <s v="Soria"/>
    <s v="Gallego"/>
    <s v="Azucena"/>
    <x v="274"/>
    <x v="174"/>
    <n v="4.5999999999999999E-2"/>
    <m/>
    <m/>
    <m/>
    <m/>
    <m/>
    <m/>
    <m/>
    <m/>
    <m/>
    <m/>
    <d v="1970-11-23T00:00:00"/>
    <m/>
    <x v="17"/>
  </r>
  <r>
    <s v="Clemente"/>
    <s v="Díaz"/>
    <s v="José"/>
    <x v="314"/>
    <x v="174"/>
    <n v="0.95399999999999996"/>
    <m/>
    <m/>
    <m/>
    <m/>
    <m/>
    <m/>
    <m/>
    <m/>
    <m/>
    <m/>
    <d v="1940-11-14T00:00:00"/>
    <m/>
    <x v="1"/>
  </r>
  <r>
    <s v="Abad"/>
    <s v="Mateos"/>
    <s v="Lázaro"/>
    <x v="304"/>
    <x v="174"/>
    <n v="0.63500000000000001"/>
    <m/>
    <m/>
    <m/>
    <m/>
    <m/>
    <m/>
    <m/>
    <m/>
    <m/>
    <m/>
    <d v="1943-09-04T00:00:00"/>
    <m/>
    <x v="23"/>
  </r>
  <r>
    <s v="Riera"/>
    <s v="Gonzalez"/>
    <s v="Vicente"/>
    <x v="315"/>
    <x v="175"/>
    <n v="0.02"/>
    <m/>
    <m/>
    <m/>
    <m/>
    <m/>
    <m/>
    <m/>
    <m/>
    <m/>
    <m/>
    <d v="1965-09-15T00:00:00"/>
    <m/>
    <x v="97"/>
  </r>
  <r>
    <s v="Molina"/>
    <s v="Gil"/>
    <s v="Francisco Javier"/>
    <x v="316"/>
    <x v="175"/>
    <n v="5.2599999999999999E-3"/>
    <m/>
    <m/>
    <m/>
    <m/>
    <m/>
    <m/>
    <m/>
    <m/>
    <m/>
    <m/>
    <d v="1967-12-03T00:00:00"/>
    <m/>
    <x v="17"/>
  </r>
  <r>
    <s v="Juárez"/>
    <s v="Martínez"/>
    <s v="José"/>
    <x v="317"/>
    <x v="175"/>
    <n v="1.3109999999999999"/>
    <m/>
    <m/>
    <m/>
    <m/>
    <m/>
    <m/>
    <m/>
    <m/>
    <m/>
    <m/>
    <d v="1952-03-21T00:00:00"/>
    <m/>
    <x v="60"/>
  </r>
  <r>
    <s v="Giner"/>
    <s v="Ortega"/>
    <s v="Francisca"/>
    <x v="2"/>
    <x v="175"/>
    <n v="0.56499999999999995"/>
    <s v="abdomen"/>
    <m/>
    <m/>
    <m/>
    <m/>
    <m/>
    <m/>
    <m/>
    <m/>
    <m/>
    <d v="1958-12-29T00:00:00"/>
    <s v="Si"/>
    <x v="1"/>
  </r>
  <r>
    <s v="Figuerola"/>
    <s v="Ferrer"/>
    <s v="Mª José"/>
    <x v="318"/>
    <x v="175"/>
    <n v="0.1578"/>
    <m/>
    <m/>
    <m/>
    <m/>
    <m/>
    <m/>
    <m/>
    <m/>
    <m/>
    <m/>
    <d v="1945-03-11T00:00:00"/>
    <m/>
    <x v="81"/>
  </r>
  <r>
    <s v="Abrego"/>
    <s v="Brito"/>
    <s v="Ana"/>
    <x v="319"/>
    <x v="175"/>
    <n v="1.57E-3"/>
    <m/>
    <m/>
    <m/>
    <m/>
    <m/>
    <m/>
    <m/>
    <m/>
    <m/>
    <m/>
    <d v="1946-12-31T00:00:00"/>
    <m/>
    <x v="17"/>
  </r>
  <r>
    <s v="López"/>
    <s v="Cabello"/>
    <s v="José Roberto"/>
    <x v="320"/>
    <x v="176"/>
    <n v="0.82599999999999996"/>
    <m/>
    <m/>
    <m/>
    <m/>
    <m/>
    <m/>
    <m/>
    <m/>
    <m/>
    <m/>
    <d v="1974-11-12T00:00:00"/>
    <m/>
    <x v="87"/>
  </r>
  <r>
    <s v="Suárez"/>
    <s v="Rosa, de la"/>
    <s v="Raul"/>
    <x v="321"/>
    <x v="177"/>
    <n v="0.154"/>
    <m/>
    <m/>
    <m/>
    <m/>
    <m/>
    <m/>
    <m/>
    <m/>
    <m/>
    <m/>
    <d v="1971-02-14T00:00:00"/>
    <m/>
    <x v="100"/>
  </r>
  <r>
    <s v="Soriano"/>
    <s v="López"/>
    <s v="Manuel Fernando"/>
    <x v="322"/>
    <x v="177"/>
    <n v="1.073E-2"/>
    <m/>
    <m/>
    <m/>
    <m/>
    <m/>
    <m/>
    <m/>
    <m/>
    <m/>
    <m/>
    <d v="1958-07-09T00:00:00"/>
    <m/>
    <x v="104"/>
  </r>
  <r>
    <s v="Sempere"/>
    <s v="Torres"/>
    <s v="Gloria"/>
    <x v="323"/>
    <x v="177"/>
    <n v="4.9500000000000004E-3"/>
    <m/>
    <m/>
    <m/>
    <m/>
    <m/>
    <m/>
    <m/>
    <m/>
    <m/>
    <m/>
    <d v="1946-09-01T00:00:00"/>
    <m/>
    <x v="104"/>
  </r>
  <r>
    <s v="Clemente"/>
    <s v="Díaz"/>
    <s v="José"/>
    <x v="314"/>
    <x v="177"/>
    <n v="1.8580000000000001"/>
    <m/>
    <m/>
    <m/>
    <m/>
    <m/>
    <m/>
    <m/>
    <m/>
    <m/>
    <m/>
    <d v="1940-11-14T00:00:00"/>
    <m/>
    <x v="1"/>
  </r>
  <r>
    <s v="Sempere"/>
    <s v="Torres"/>
    <s v="Gloria"/>
    <x v="323"/>
    <x v="178"/>
    <n v="3.0899999999999999E-3"/>
    <m/>
    <m/>
    <m/>
    <m/>
    <m/>
    <m/>
    <m/>
    <m/>
    <m/>
    <m/>
    <d v="1946-09-01T00:00:00"/>
    <m/>
    <x v="104"/>
  </r>
  <r>
    <s v="Sánchez"/>
    <s v="Pascual"/>
    <s v="Vicente"/>
    <x v="324"/>
    <x v="178"/>
    <n v="0.50900000000000001"/>
    <m/>
    <m/>
    <m/>
    <m/>
    <m/>
    <m/>
    <m/>
    <m/>
    <m/>
    <m/>
    <d v="1948-01-01T00:00:00"/>
    <m/>
    <x v="3"/>
  </r>
  <r>
    <s v="Polit"/>
    <s v="Collado"/>
    <s v="Francisco"/>
    <x v="325"/>
    <x v="178"/>
    <n v="3.7999999999999999E-2"/>
    <m/>
    <m/>
    <m/>
    <m/>
    <m/>
    <m/>
    <m/>
    <m/>
    <m/>
    <m/>
    <d v="1940-04-18T00:00:00"/>
    <m/>
    <x v="93"/>
  </r>
  <r>
    <s v="Muñoz"/>
    <s v="Cambero"/>
    <s v="Manuel"/>
    <x v="326"/>
    <x v="178"/>
    <n v="0.187"/>
    <m/>
    <m/>
    <m/>
    <m/>
    <m/>
    <m/>
    <m/>
    <m/>
    <m/>
    <m/>
    <d v="1959-08-08T00:00:00"/>
    <m/>
    <x v="58"/>
  </r>
  <r>
    <s v="Iznardo"/>
    <s v="Olivert"/>
    <s v="M Carmen"/>
    <x v="327"/>
    <x v="178"/>
    <n v="7.1999999999999995E-2"/>
    <m/>
    <m/>
    <m/>
    <m/>
    <m/>
    <m/>
    <m/>
    <m/>
    <m/>
    <m/>
    <d v="1969-08-23T00:00:00"/>
    <m/>
    <x v="85"/>
  </r>
  <r>
    <s v="Veintimilla"/>
    <s v="Bea"/>
    <s v="Miguel Ángel"/>
    <x v="328"/>
    <x v="179"/>
    <n v="1.163"/>
    <m/>
    <m/>
    <m/>
    <m/>
    <m/>
    <m/>
    <m/>
    <m/>
    <m/>
    <m/>
    <d v="1967-10-08T00:00:00"/>
    <m/>
    <x v="14"/>
  </r>
  <r>
    <s v="Martínez"/>
    <s v="Albero"/>
    <s v="Cristóbal"/>
    <x v="329"/>
    <x v="179"/>
    <n v="0.4345"/>
    <m/>
    <m/>
    <m/>
    <m/>
    <m/>
    <m/>
    <m/>
    <m/>
    <m/>
    <m/>
    <d v="1944-04-07T00:00:00"/>
    <m/>
    <x v="14"/>
  </r>
  <r>
    <s v="García"/>
    <s v="Lorenzana"/>
    <s v="Emilio Ernesto"/>
    <x v="330"/>
    <x v="179"/>
    <n v="1.9400000000000001E-3"/>
    <m/>
    <m/>
    <m/>
    <m/>
    <m/>
    <m/>
    <m/>
    <m/>
    <m/>
    <m/>
    <d v="1947-11-07T00:00:00"/>
    <m/>
    <x v="105"/>
  </r>
  <r>
    <s v="Tarazona"/>
    <s v="Martí"/>
    <s v="Desamparados"/>
    <x v="331"/>
    <x v="180"/>
    <n v="9.6999999999999994E-4"/>
    <m/>
    <m/>
    <m/>
    <m/>
    <m/>
    <m/>
    <m/>
    <m/>
    <m/>
    <m/>
    <d v="1944-01-20T00:00:00"/>
    <m/>
    <x v="99"/>
  </r>
  <r>
    <s v="Soria"/>
    <s v="Gallego"/>
    <s v="Azucena"/>
    <x v="274"/>
    <x v="180"/>
    <n v="6.8000000000000005E-2"/>
    <m/>
    <m/>
    <m/>
    <m/>
    <m/>
    <m/>
    <m/>
    <m/>
    <m/>
    <m/>
    <d v="1970-11-23T00:00:00"/>
    <m/>
    <x v="85"/>
  </r>
  <r>
    <s v="Sanchis"/>
    <s v="Vidal"/>
    <s v="José Luis"/>
    <x v="332"/>
    <x v="181"/>
    <n v="2.121E-2"/>
    <m/>
    <m/>
    <m/>
    <m/>
    <m/>
    <m/>
    <m/>
    <m/>
    <m/>
    <m/>
    <d v="1939-01-21T00:00:00"/>
    <m/>
    <x v="17"/>
  </r>
  <r>
    <s v="Pérez"/>
    <s v="Ballester"/>
    <s v="M Desamparados"/>
    <x v="333"/>
    <x v="181"/>
    <n v="5.0000000000000001E-4"/>
    <m/>
    <m/>
    <m/>
    <m/>
    <m/>
    <m/>
    <m/>
    <m/>
    <m/>
    <m/>
    <d v="1941-07-31T00:00:00"/>
    <m/>
    <x v="104"/>
  </r>
  <r>
    <s v="Martín"/>
    <s v="Arias"/>
    <s v="Victoriana"/>
    <x v="334"/>
    <x v="181"/>
    <n v="3.5000000000000001E-3"/>
    <m/>
    <m/>
    <m/>
    <m/>
    <m/>
    <m/>
    <m/>
    <m/>
    <m/>
    <m/>
    <d v="1951-04-05T00:00:00"/>
    <m/>
    <x v="97"/>
  </r>
  <r>
    <s v="Marcos"/>
    <s v="Pérez"/>
    <s v="Jovita"/>
    <x v="335"/>
    <x v="181"/>
    <n v="1.7000000000000001E-2"/>
    <m/>
    <m/>
    <m/>
    <m/>
    <m/>
    <m/>
    <m/>
    <m/>
    <m/>
    <m/>
    <d v="1942-05-28T00:00:00"/>
    <m/>
    <x v="97"/>
  </r>
  <r>
    <s v="Bustos"/>
    <s v="Morcillo"/>
    <s v="Miguel"/>
    <x v="336"/>
    <x v="181"/>
    <n v="6.6699999999999995E-2"/>
    <m/>
    <m/>
    <m/>
    <m/>
    <m/>
    <m/>
    <m/>
    <m/>
    <m/>
    <m/>
    <d v="1957-01-11T00:00:00"/>
    <m/>
    <x v="106"/>
  </r>
  <r>
    <s v="Juan"/>
    <s v="Segarra"/>
    <s v="Carmen"/>
    <x v="337"/>
    <x v="182"/>
    <n v="0.03"/>
    <m/>
    <m/>
    <m/>
    <m/>
    <m/>
    <m/>
    <m/>
    <m/>
    <m/>
    <m/>
    <d v="1933-04-04T00:00:00"/>
    <m/>
    <x v="50"/>
  </r>
  <r>
    <s v="Torres"/>
    <s v="Lopez"/>
    <s v="Magdalena"/>
    <x v="310"/>
    <x v="183"/>
    <n v="2.5700000000000001E-2"/>
    <m/>
    <m/>
    <m/>
    <m/>
    <m/>
    <m/>
    <m/>
    <m/>
    <m/>
    <m/>
    <d v="1958-12-02T00:00:00"/>
    <m/>
    <x v="107"/>
  </r>
  <r>
    <s v="Soler"/>
    <s v="Benitez"/>
    <s v="Francisco"/>
    <x v="338"/>
    <x v="183"/>
    <n v="0.76800000000000002"/>
    <m/>
    <m/>
    <m/>
    <m/>
    <m/>
    <m/>
    <m/>
    <m/>
    <m/>
    <m/>
    <d v="1950-09-25T00:00:00"/>
    <m/>
    <x v="20"/>
  </r>
  <r>
    <s v="Soler"/>
    <s v="Benitez"/>
    <s v="Francisco"/>
    <x v="338"/>
    <x v="183"/>
    <n v="0.76793"/>
    <m/>
    <m/>
    <m/>
    <m/>
    <m/>
    <m/>
    <m/>
    <m/>
    <m/>
    <m/>
    <d v="1950-09-15T00:00:00"/>
    <m/>
    <x v="108"/>
  </r>
  <r>
    <s v="Priego"/>
    <s v="Panadero"/>
    <s v="Maria"/>
    <x v="339"/>
    <x v="183"/>
    <n v="1.9529999999999999E-2"/>
    <m/>
    <m/>
    <m/>
    <m/>
    <m/>
    <m/>
    <m/>
    <m/>
    <m/>
    <m/>
    <d v="1936-09-18T00:00:00"/>
    <m/>
    <x v="109"/>
  </r>
  <r>
    <s v="Guirao"/>
    <s v="Roncero"/>
    <s v="Juan"/>
    <x v="340"/>
    <x v="183"/>
    <n v="4.2900000000000004E-3"/>
    <m/>
    <m/>
    <m/>
    <m/>
    <m/>
    <m/>
    <m/>
    <m/>
    <m/>
    <m/>
    <d v="1961-04-13T00:00:00"/>
    <m/>
    <x v="109"/>
  </r>
  <r>
    <s v="Gozalvez"/>
    <s v="Tormo"/>
    <s v="Iluminada"/>
    <x v="341"/>
    <x v="183"/>
    <n v="0.48443000000000003"/>
    <m/>
    <m/>
    <m/>
    <m/>
    <m/>
    <m/>
    <m/>
    <m/>
    <m/>
    <m/>
    <d v="1951-06-28T00:00:00"/>
    <m/>
    <x v="110"/>
  </r>
  <r>
    <s v="Garcia"/>
    <s v="Martinez"/>
    <s v="Ascension"/>
    <x v="342"/>
    <x v="183"/>
    <n v="1.66E-3"/>
    <m/>
    <m/>
    <m/>
    <m/>
    <m/>
    <m/>
    <m/>
    <m/>
    <m/>
    <m/>
    <d v="1939-05-15T00:00:00"/>
    <m/>
    <x v="111"/>
  </r>
  <r>
    <s v="Cuenca"/>
    <s v="Moya"/>
    <s v="Francisco Manuel"/>
    <x v="343"/>
    <x v="183"/>
    <n v="4.6699999999999997E-3"/>
    <m/>
    <m/>
    <m/>
    <m/>
    <m/>
    <m/>
    <m/>
    <m/>
    <m/>
    <m/>
    <d v="1961-07-24T00:00:00"/>
    <m/>
    <x v="112"/>
  </r>
  <r>
    <s v="Ruiz"/>
    <s v="Barrachina"/>
    <s v="Amparo"/>
    <x v="298"/>
    <x v="184"/>
    <n v="1.6207"/>
    <m/>
    <m/>
    <m/>
    <m/>
    <m/>
    <m/>
    <m/>
    <m/>
    <m/>
    <m/>
    <d v="1941-05-07T00:00:00"/>
    <m/>
    <x v="113"/>
  </r>
  <r>
    <s v="Parrizas"/>
    <s v="Collado"/>
    <s v="Jose Manuel"/>
    <x v="289"/>
    <x v="184"/>
    <n v="3.31E-3"/>
    <m/>
    <m/>
    <m/>
    <m/>
    <m/>
    <m/>
    <m/>
    <m/>
    <m/>
    <m/>
    <d v="1996-05-04T00:00:00"/>
    <m/>
    <x v="107"/>
  </r>
  <r>
    <s v="Parrizas"/>
    <s v="Collado"/>
    <s v="Jose Manuel"/>
    <x v="289"/>
    <x v="184"/>
    <n v="2.31E-3"/>
    <m/>
    <m/>
    <m/>
    <m/>
    <m/>
    <m/>
    <m/>
    <m/>
    <m/>
    <m/>
    <d v="1996-05-04T00:00:00"/>
    <m/>
    <x v="114"/>
  </r>
  <r>
    <s v="Parra"/>
    <s v="Benitez"/>
    <s v="Francisco Manuel"/>
    <x v="344"/>
    <x v="184"/>
    <s v="Falta mirarlo. No acceso"/>
    <m/>
    <m/>
    <m/>
    <m/>
    <m/>
    <m/>
    <m/>
    <m/>
    <m/>
    <m/>
    <m/>
    <m/>
    <x v="0"/>
  </r>
  <r>
    <s v="Garcia"/>
    <s v="Alemany"/>
    <s v="Javier"/>
    <x v="345"/>
    <x v="184"/>
    <n v="0.42227999999999999"/>
    <m/>
    <m/>
    <m/>
    <m/>
    <m/>
    <m/>
    <m/>
    <m/>
    <m/>
    <m/>
    <d v="2003-11-06T00:00:00"/>
    <m/>
    <x v="115"/>
  </r>
  <r>
    <s v="Rebolledo"/>
    <s v="Tudela"/>
    <s v="Juan"/>
    <x v="346"/>
    <x v="185"/>
    <n v="4.17"/>
    <m/>
    <m/>
    <m/>
    <m/>
    <m/>
    <m/>
    <m/>
    <m/>
    <m/>
    <m/>
    <d v="1950-09-11T00:00:00"/>
    <m/>
    <x v="2"/>
  </r>
  <r>
    <s v="Mateu"/>
    <s v="Tarin"/>
    <s v="Carmen"/>
    <x v="347"/>
    <x v="185"/>
    <n v="0.39269999999999999"/>
    <m/>
    <m/>
    <m/>
    <m/>
    <m/>
    <m/>
    <m/>
    <m/>
    <m/>
    <m/>
    <d v="1950-04-04T00:00:00"/>
    <m/>
    <x v="116"/>
  </r>
  <r>
    <s v="Bañuls"/>
    <s v="Marco"/>
    <s v="Rafael"/>
    <x v="348"/>
    <x v="185"/>
    <n v="0.61248000000000002"/>
    <m/>
    <m/>
    <m/>
    <m/>
    <m/>
    <m/>
    <m/>
    <m/>
    <m/>
    <m/>
    <d v="1938-02-18T00:00:00"/>
    <m/>
    <x v="50"/>
  </r>
  <r>
    <s v="Graupner"/>
    <s v="Cligny"/>
    <s v="Josiane Annick"/>
    <x v="349"/>
    <x v="186"/>
    <n v="0.26139000000000001"/>
    <m/>
    <m/>
    <m/>
    <m/>
    <m/>
    <m/>
    <m/>
    <m/>
    <m/>
    <m/>
    <d v="1939-05-27T00:00:00"/>
    <m/>
    <x v="113"/>
  </r>
  <r>
    <s v="Bosch "/>
    <s v="Gail"/>
    <s v="Ruben"/>
    <x v="350"/>
    <x v="186"/>
    <n v="0.45"/>
    <m/>
    <m/>
    <m/>
    <m/>
    <m/>
    <m/>
    <m/>
    <m/>
    <m/>
    <m/>
    <d v="1994-02-26T00:00:00"/>
    <m/>
    <x v="117"/>
  </r>
  <r>
    <s v="Paixa"/>
    <s v="Trulla"/>
    <s v="Javier"/>
    <x v="351"/>
    <x v="187"/>
    <n v="4.1689999999999998E-2"/>
    <m/>
    <m/>
    <m/>
    <m/>
    <m/>
    <m/>
    <m/>
    <m/>
    <m/>
    <m/>
    <d v="1963-04-25T00:00:00"/>
    <m/>
    <x v="118"/>
  </r>
  <r>
    <s v="Lozano"/>
    <s v="Martinez"/>
    <s v="Pilar"/>
    <x v="352"/>
    <x v="187"/>
    <n v="0.36323"/>
    <m/>
    <m/>
    <m/>
    <m/>
    <m/>
    <m/>
    <m/>
    <m/>
    <m/>
    <m/>
    <d v="1968-11-06T00:00:00"/>
    <m/>
    <x v="42"/>
  </r>
  <r>
    <s v="Kharla"/>
    <m/>
    <s v="Dmytro"/>
    <x v="353"/>
    <x v="187"/>
    <n v="4.2759999999999999E-2"/>
    <m/>
    <m/>
    <m/>
    <m/>
    <m/>
    <m/>
    <m/>
    <m/>
    <m/>
    <m/>
    <d v="1988-09-20T00:00:00"/>
    <m/>
    <x v="119"/>
  </r>
  <r>
    <s v="Graupner"/>
    <s v="Cligny"/>
    <s v="Josiane annick"/>
    <x v="349"/>
    <x v="187"/>
    <s v="Sin datos"/>
    <m/>
    <m/>
    <m/>
    <m/>
    <m/>
    <m/>
    <m/>
    <m/>
    <m/>
    <m/>
    <d v="1947-05-27T00:00:00"/>
    <m/>
    <x v="50"/>
  </r>
  <r>
    <s v="Garcia"/>
    <s v="Gonzales"/>
    <s v="Oscar"/>
    <x v="354"/>
    <x v="187"/>
    <n v="1.8600000000000001E-3"/>
    <m/>
    <m/>
    <m/>
    <m/>
    <m/>
    <m/>
    <m/>
    <m/>
    <m/>
    <m/>
    <d v="1985-02-09T00:00:00"/>
    <m/>
    <x v="120"/>
  </r>
  <r>
    <s v="Ormad"/>
    <s v="Pina"/>
    <s v="Patricia"/>
    <x v="355"/>
    <x v="188"/>
    <n v="0.51763000000000003"/>
    <m/>
    <m/>
    <m/>
    <m/>
    <m/>
    <m/>
    <m/>
    <m/>
    <m/>
    <m/>
    <d v="1982-04-20T00:00:00"/>
    <m/>
    <x v="121"/>
  </r>
  <r>
    <s v="Suñer"/>
    <s v="Hostalot"/>
    <s v="Pilar"/>
    <x v="356"/>
    <x v="189"/>
    <n v="2.1270000000000001E-2"/>
    <m/>
    <m/>
    <m/>
    <m/>
    <m/>
    <m/>
    <m/>
    <m/>
    <m/>
    <m/>
    <d v="1955-04-10T00:00:00"/>
    <m/>
    <x v="122"/>
  </r>
  <r>
    <s v="Moyano"/>
    <s v="Palenzuela"/>
    <s v="Lucia"/>
    <x v="357"/>
    <x v="189"/>
    <n v="8.0999999999999996E-4"/>
    <m/>
    <m/>
    <m/>
    <m/>
    <m/>
    <m/>
    <m/>
    <m/>
    <m/>
    <m/>
    <d v="2002-12-30T00:00:00"/>
    <m/>
    <x v="111"/>
  </r>
  <r>
    <s v="Giner"/>
    <s v="Ortega"/>
    <s v="Francisca"/>
    <x v="2"/>
    <x v="189"/>
    <n v="0.20699999999999999"/>
    <m/>
    <m/>
    <m/>
    <m/>
    <m/>
    <m/>
    <m/>
    <m/>
    <m/>
    <m/>
    <d v="1958-12-29T00:00:00"/>
    <m/>
    <x v="1"/>
  </r>
  <r>
    <s v="Garcia "/>
    <s v="Martinez"/>
    <s v="Aurelio"/>
    <x v="358"/>
    <x v="189"/>
    <n v="2.96E-3"/>
    <m/>
    <m/>
    <m/>
    <m/>
    <m/>
    <m/>
    <m/>
    <m/>
    <m/>
    <m/>
    <d v="1934-04-08T00:00:00"/>
    <m/>
    <x v="107"/>
  </r>
  <r>
    <s v="Nebot "/>
    <s v="Blanco"/>
    <s v="Jose Vicente"/>
    <x v="359"/>
    <x v="190"/>
    <n v="9.3659999999999993E-2"/>
    <m/>
    <m/>
    <m/>
    <m/>
    <m/>
    <m/>
    <m/>
    <m/>
    <m/>
    <m/>
    <d v="1959-02-07T00:00:00"/>
    <m/>
    <x v="123"/>
  </r>
  <r>
    <s v="Barbera "/>
    <s v="Ibañez"/>
    <s v="Valeriano"/>
    <x v="360"/>
    <x v="190"/>
    <n v="5.4190000000000002E-2"/>
    <m/>
    <m/>
    <m/>
    <m/>
    <m/>
    <m/>
    <m/>
    <m/>
    <m/>
    <m/>
    <d v="1947-09-27T00:00:00"/>
    <m/>
    <x v="114"/>
  </r>
  <r>
    <s v="Amber "/>
    <s v="Martínez"/>
    <s v="Josefina"/>
    <x v="280"/>
    <x v="190"/>
    <n v="1.421E-2"/>
    <m/>
    <m/>
    <m/>
    <m/>
    <m/>
    <m/>
    <m/>
    <m/>
    <m/>
    <m/>
    <d v="1958-06-03T00:00:00"/>
    <m/>
    <x v="122"/>
  </r>
  <r>
    <s v="Yeste"/>
    <s v="Gomez"/>
    <s v="M Blanca"/>
    <x v="361"/>
    <x v="191"/>
    <n v="0.28088000000000002"/>
    <m/>
    <m/>
    <m/>
    <m/>
    <m/>
    <m/>
    <m/>
    <m/>
    <m/>
    <m/>
    <d v="1959-07-22T00:00:00"/>
    <m/>
    <x v="1"/>
  </r>
  <r>
    <s v="Santafe"/>
    <s v="Galindo"/>
    <s v="Ramiro"/>
    <x v="362"/>
    <x v="191"/>
    <n v="1.7260000000000001E-2"/>
    <m/>
    <m/>
    <m/>
    <m/>
    <m/>
    <m/>
    <m/>
    <m/>
    <m/>
    <m/>
    <d v="1943-08-10T00:00:00"/>
    <m/>
    <x v="111"/>
  </r>
  <r>
    <s v="Fernandez"/>
    <s v="Sarralde"/>
    <s v="Juan Antonio"/>
    <x v="363"/>
    <x v="191"/>
    <n v="4.854E-2"/>
    <m/>
    <m/>
    <m/>
    <m/>
    <m/>
    <m/>
    <m/>
    <m/>
    <m/>
    <m/>
    <d v="1945-03-29T00:00:00"/>
    <m/>
    <x v="124"/>
  </r>
  <r>
    <s v="Nebot"/>
    <s v="Blasco"/>
    <s v="Jose Vicente"/>
    <x v="359"/>
    <x v="192"/>
    <n v="0.16941000000000001"/>
    <m/>
    <m/>
    <m/>
    <m/>
    <m/>
    <m/>
    <m/>
    <m/>
    <m/>
    <m/>
    <d v="1959-02-07T00:00:00"/>
    <m/>
    <x v="125"/>
  </r>
  <r>
    <s v="Garcia"/>
    <s v="Mora"/>
    <s v="Eduardo "/>
    <x v="364"/>
    <x v="192"/>
    <n v="6.3549999999999995E-2"/>
    <m/>
    <m/>
    <m/>
    <m/>
    <m/>
    <m/>
    <m/>
    <m/>
    <m/>
    <m/>
    <d v="1945-08-19T00:00:00"/>
    <m/>
    <x v="126"/>
  </r>
  <r>
    <s v="Flores"/>
    <s v="Martinez"/>
    <s v="Jose Luis"/>
    <x v="365"/>
    <x v="192"/>
    <n v="0.15226999999999999"/>
    <m/>
    <m/>
    <m/>
    <m/>
    <m/>
    <m/>
    <m/>
    <m/>
    <m/>
    <m/>
    <d v="1945-05-21T00:00:00"/>
    <m/>
    <x v="127"/>
  </r>
  <r>
    <s v="Amber "/>
    <s v="Martínez"/>
    <s v="Josefina"/>
    <x v="280"/>
    <x v="192"/>
    <n v="1.0319999999999999E-2"/>
    <m/>
    <m/>
    <m/>
    <m/>
    <m/>
    <m/>
    <m/>
    <m/>
    <m/>
    <m/>
    <d v="2021-06-03T00:00:00"/>
    <m/>
    <x v="107"/>
  </r>
  <r>
    <s v="Iznardo"/>
    <s v="Olivert"/>
    <s v="M Carmen"/>
    <x v="327"/>
    <x v="193"/>
    <n v="5.3940000000000002E-2"/>
    <m/>
    <m/>
    <m/>
    <m/>
    <m/>
    <m/>
    <m/>
    <m/>
    <m/>
    <m/>
    <d v="1969-08-23T00:00:00"/>
    <m/>
    <x v="122"/>
  </r>
  <r>
    <s v="Arilla"/>
    <s v="Agorriz"/>
    <s v="Elias"/>
    <x v="366"/>
    <x v="193"/>
    <n v="0.76710999999999996"/>
    <m/>
    <m/>
    <m/>
    <m/>
    <m/>
    <m/>
    <m/>
    <m/>
    <m/>
    <m/>
    <d v="1953-10-03T00:00:00"/>
    <m/>
    <x v="128"/>
  </r>
  <r>
    <s v="Torrijo"/>
    <s v="Melendez"/>
    <s v="Carmen"/>
    <x v="367"/>
    <x v="194"/>
    <n v="0.30624000000000001"/>
    <m/>
    <m/>
    <m/>
    <m/>
    <m/>
    <m/>
    <m/>
    <m/>
    <m/>
    <m/>
    <d v="2021-07-21T00:00:00"/>
    <m/>
    <x v="113"/>
  </r>
  <r>
    <s v="Gil"/>
    <s v="Andres"/>
    <s v="Rafael Antonio"/>
    <x v="303"/>
    <x v="194"/>
    <n v="3.1844100000000002"/>
    <m/>
    <m/>
    <m/>
    <m/>
    <m/>
    <m/>
    <m/>
    <m/>
    <m/>
    <m/>
    <d v="1962-12-21T00:00:00"/>
    <m/>
    <x v="9"/>
  </r>
  <r>
    <s v="Planells"/>
    <s v="Andreu"/>
    <s v="Evaristo"/>
    <x v="368"/>
    <x v="195"/>
    <n v="1.108E-2"/>
    <m/>
    <m/>
    <m/>
    <m/>
    <m/>
    <m/>
    <m/>
    <m/>
    <m/>
    <m/>
    <d v="2021-09-08T00:00:00"/>
    <m/>
    <x v="129"/>
  </r>
  <r>
    <s v="Martinez"/>
    <s v="Romero"/>
    <s v="Manuela"/>
    <x v="369"/>
    <x v="195"/>
    <n v="0.19328999999999999"/>
    <m/>
    <m/>
    <m/>
    <m/>
    <m/>
    <m/>
    <m/>
    <m/>
    <m/>
    <m/>
    <d v="1955-01-09T00:00:00"/>
    <m/>
    <x v="52"/>
  </r>
  <r>
    <s v="Bernat"/>
    <s v="Sanchez"/>
    <s v="Isabel"/>
    <x v="370"/>
    <x v="195"/>
    <n v="6.0999999999999997E-4"/>
    <m/>
    <m/>
    <m/>
    <m/>
    <m/>
    <m/>
    <m/>
    <m/>
    <m/>
    <m/>
    <d v="1956-02-20T00:00:00"/>
    <m/>
    <x v="129"/>
  </r>
  <r>
    <s v="Perez"/>
    <s v="Casado"/>
    <s v="Ricard Vicent"/>
    <x v="371"/>
    <x v="196"/>
    <n v="0.71126"/>
    <m/>
    <m/>
    <m/>
    <m/>
    <m/>
    <m/>
    <m/>
    <m/>
    <m/>
    <m/>
    <d v="1945-10-27T00:00:00"/>
    <m/>
    <x v="1"/>
  </r>
  <r>
    <s v="Olmos"/>
    <s v="Cabanes"/>
    <s v="Rafael Miguel"/>
    <x v="372"/>
    <x v="196"/>
    <n v="1.9300000000000001E-3"/>
    <m/>
    <m/>
    <m/>
    <m/>
    <m/>
    <m/>
    <m/>
    <m/>
    <m/>
    <m/>
    <d v="1944-09-30T00:00:00"/>
    <m/>
    <x v="92"/>
  </r>
  <r>
    <s v="Montes"/>
    <s v="Martinez"/>
    <s v="Eloina"/>
    <x v="373"/>
    <x v="196"/>
    <n v="1.72E-2"/>
    <m/>
    <m/>
    <m/>
    <m/>
    <m/>
    <m/>
    <m/>
    <m/>
    <m/>
    <m/>
    <d v="1943-06-24T00:00:00"/>
    <m/>
    <x v="43"/>
  </r>
  <r>
    <s v="San Bautista"/>
    <s v="Carbonell"/>
    <s v="Maria Jose"/>
    <x v="374"/>
    <x v="197"/>
    <n v="4.0120000000000003E-2"/>
    <m/>
    <m/>
    <m/>
    <m/>
    <m/>
    <m/>
    <m/>
    <m/>
    <m/>
    <m/>
    <d v="1958-04-26T00:00:00"/>
    <m/>
    <x v="130"/>
  </r>
  <r>
    <s v="Iznardo"/>
    <s v="Olivert"/>
    <s v="M Carmen"/>
    <x v="327"/>
    <x v="197"/>
    <n v="4.1880000000000001E-2"/>
    <m/>
    <m/>
    <m/>
    <m/>
    <m/>
    <m/>
    <m/>
    <m/>
    <m/>
    <m/>
    <d v="1969-08-23T00:00:00"/>
    <m/>
    <x v="17"/>
  </r>
  <r>
    <s v="Adria"/>
    <s v="Peiro"/>
    <s v="Antonia"/>
    <x v="375"/>
    <x v="197"/>
    <n v="2.656E-2"/>
    <m/>
    <m/>
    <m/>
    <m/>
    <m/>
    <m/>
    <m/>
    <m/>
    <m/>
    <m/>
    <d v="1952-01-13T00:00:00"/>
    <m/>
    <x v="131"/>
  </r>
  <r>
    <s v="Safont"/>
    <s v="Escriche"/>
    <s v="Rosalia"/>
    <x v="376"/>
    <x v="198"/>
    <n v="0.22191"/>
    <m/>
    <m/>
    <m/>
    <m/>
    <m/>
    <m/>
    <m/>
    <m/>
    <m/>
    <m/>
    <d v="1968-07-17T00:00:00"/>
    <m/>
    <x v="23"/>
  </r>
  <r>
    <s v="Nebot "/>
    <s v="Giner"/>
    <s v="Angel"/>
    <x v="377"/>
    <x v="198"/>
    <n v="7.22E-2"/>
    <m/>
    <m/>
    <m/>
    <m/>
    <m/>
    <m/>
    <m/>
    <m/>
    <m/>
    <m/>
    <d v="1946-04-23T00:00:00"/>
    <m/>
    <x v="132"/>
  </r>
  <r>
    <s v="Guadas"/>
    <s v="Sanz"/>
    <s v="Pedro "/>
    <x v="378"/>
    <x v="198"/>
    <n v="6.43E-3"/>
    <m/>
    <m/>
    <m/>
    <m/>
    <m/>
    <m/>
    <m/>
    <m/>
    <m/>
    <m/>
    <d v="1965-11-02T00:00:00"/>
    <m/>
    <x v="133"/>
  </r>
  <r>
    <s v="Aracil"/>
    <s v="Viana"/>
    <s v="Jose Francisco"/>
    <x v="379"/>
    <x v="198"/>
    <n v="0.68527000000000005"/>
    <m/>
    <m/>
    <m/>
    <m/>
    <m/>
    <m/>
    <m/>
    <m/>
    <m/>
    <m/>
    <d v="1957-06-11T00:00:00"/>
    <m/>
    <x v="57"/>
  </r>
  <r>
    <s v="Sena"/>
    <s v="Penella"/>
    <s v="Maria Vicenta"/>
    <x v="380"/>
    <x v="199"/>
    <n v="2.4499999999999999E-3"/>
    <m/>
    <m/>
    <m/>
    <m/>
    <m/>
    <m/>
    <m/>
    <m/>
    <m/>
    <m/>
    <d v="1956-10-29T00:00:00"/>
    <m/>
    <x v="134"/>
  </r>
  <r>
    <s v="Romeo"/>
    <s v="Esteban"/>
    <s v="Emilia"/>
    <x v="381"/>
    <x v="199"/>
    <n v="5.1999999999999998E-3"/>
    <m/>
    <m/>
    <m/>
    <m/>
    <m/>
    <m/>
    <m/>
    <m/>
    <m/>
    <m/>
    <d v="1957-11-20T00:00:00"/>
    <m/>
    <x v="135"/>
  </r>
  <r>
    <s v="Garcia"/>
    <s v="Gimenez"/>
    <s v="Paz Luisa"/>
    <x v="382"/>
    <x v="199"/>
    <n v="0.22303999999999999"/>
    <m/>
    <m/>
    <m/>
    <m/>
    <m/>
    <m/>
    <m/>
    <m/>
    <m/>
    <m/>
    <d v="1938-06-21T00:00:00"/>
    <m/>
    <x v="1"/>
  </r>
  <r>
    <s v="Chirivella"/>
    <s v="Asins"/>
    <s v="Salvadora"/>
    <x v="383"/>
    <x v="199"/>
    <n v="0.70599999999999996"/>
    <m/>
    <m/>
    <m/>
    <m/>
    <m/>
    <m/>
    <m/>
    <m/>
    <m/>
    <m/>
    <d v="1952-10-08T00:00:00"/>
    <m/>
    <x v="1"/>
  </r>
  <r>
    <s v="Arnal"/>
    <s v="Fentanes"/>
    <s v="Francisco"/>
    <x v="384"/>
    <x v="199"/>
    <n v="4.8000000000000001E-4"/>
    <m/>
    <m/>
    <m/>
    <m/>
    <m/>
    <m/>
    <m/>
    <m/>
    <m/>
    <m/>
    <d v="1962-03-15T00:00:00"/>
    <m/>
    <x v="129"/>
  </r>
  <r>
    <s v="Alfonso"/>
    <s v="Cuenca"/>
    <s v="Amparo"/>
    <x v="385"/>
    <x v="199"/>
    <n v="6.9999999999999994E-5"/>
    <m/>
    <m/>
    <m/>
    <m/>
    <m/>
    <m/>
    <m/>
    <m/>
    <m/>
    <m/>
    <d v="1932-04-14T00:00:00"/>
    <m/>
    <x v="133"/>
  </r>
  <r>
    <s v="Vera"/>
    <s v="Martinez"/>
    <s v="Iris"/>
    <x v="386"/>
    <x v="200"/>
    <n v="1.4409999999999999E-2"/>
    <m/>
    <m/>
    <m/>
    <m/>
    <m/>
    <m/>
    <m/>
    <m/>
    <m/>
    <m/>
    <d v="1992-11-20T00:00:00"/>
    <m/>
    <x v="129"/>
  </r>
  <r>
    <s v="Soriano"/>
    <s v="Calero"/>
    <s v="Francisco"/>
    <x v="387"/>
    <x v="200"/>
    <n v="0.28836000000000001"/>
    <m/>
    <m/>
    <m/>
    <m/>
    <m/>
    <m/>
    <m/>
    <m/>
    <m/>
    <m/>
    <d v="1959-11-24T00:00:00"/>
    <m/>
    <x v="136"/>
  </r>
  <r>
    <s v="Montoliu"/>
    <s v="Brisach"/>
    <s v="Joaquin VTE"/>
    <x v="388"/>
    <x v="200"/>
    <n v="1.1974"/>
    <m/>
    <m/>
    <m/>
    <m/>
    <m/>
    <m/>
    <m/>
    <m/>
    <m/>
    <m/>
    <d v="1953-10-27T00:00:00"/>
    <m/>
    <x v="137"/>
  </r>
  <r>
    <s v="Iznardo"/>
    <s v="Olivert"/>
    <s v="M Carmen"/>
    <x v="327"/>
    <x v="200"/>
    <n v="5.5399999999999998E-3"/>
    <m/>
    <m/>
    <m/>
    <m/>
    <m/>
    <m/>
    <m/>
    <m/>
    <m/>
    <m/>
    <d v="1969-08-23T00:00:00"/>
    <m/>
    <x v="138"/>
  </r>
  <r>
    <s v="Galvez"/>
    <s v="Guillen"/>
    <s v="Augustin"/>
    <x v="389"/>
    <x v="200"/>
    <n v="8.7290000000000006E-2"/>
    <m/>
    <m/>
    <m/>
    <m/>
    <m/>
    <m/>
    <m/>
    <m/>
    <m/>
    <m/>
    <d v="1949-07-24T00:00:00"/>
    <m/>
    <x v="136"/>
  </r>
  <r>
    <s v="Zazo"/>
    <s v="Cuevas"/>
    <s v="Francisca"/>
    <x v="390"/>
    <x v="201"/>
    <n v="0.34741"/>
    <m/>
    <m/>
    <m/>
    <m/>
    <m/>
    <m/>
    <m/>
    <m/>
    <m/>
    <m/>
    <d v="1948-02-16T00:00:00"/>
    <m/>
    <x v="139"/>
  </r>
  <r>
    <s v="Navarro"/>
    <s v="Fernandez"/>
    <s v="Paloma"/>
    <x v="391"/>
    <x v="201"/>
    <s v="No tiene"/>
    <m/>
    <m/>
    <m/>
    <m/>
    <m/>
    <m/>
    <m/>
    <m/>
    <m/>
    <m/>
    <d v="1958-11-05T00:00:00"/>
    <m/>
    <x v="29"/>
  </r>
  <r>
    <s v="Martinez"/>
    <s v="Calvo"/>
    <s v="Pedro"/>
    <x v="392"/>
    <x v="201"/>
    <n v="3.3999999999999998E-3"/>
    <m/>
    <m/>
    <m/>
    <m/>
    <m/>
    <m/>
    <m/>
    <m/>
    <m/>
    <m/>
    <d v="1953-10-03T00:00:00"/>
    <m/>
    <x v="129"/>
  </r>
  <r>
    <s v="Beltran"/>
    <s v="Arribas"/>
    <s v="M Teresa"/>
    <x v="181"/>
    <x v="201"/>
    <n v="5.5000000000000003E-4"/>
    <m/>
    <m/>
    <m/>
    <m/>
    <m/>
    <m/>
    <m/>
    <m/>
    <m/>
    <m/>
    <d v="1958-10-15T00:00:00"/>
    <m/>
    <x v="140"/>
  </r>
  <r>
    <s v="Montero"/>
    <s v="Villanueva"/>
    <s v="M Carmen"/>
    <x v="393"/>
    <x v="202"/>
    <s v="No tiene"/>
    <m/>
    <m/>
    <m/>
    <m/>
    <m/>
    <m/>
    <m/>
    <m/>
    <m/>
    <m/>
    <d v="1944-04-27T00:00:00"/>
    <m/>
    <x v="120"/>
  </r>
  <r>
    <s v="Iglesias"/>
    <s v="Garcia"/>
    <s v="Jose M"/>
    <x v="394"/>
    <x v="202"/>
    <n v="1.132E-2"/>
    <m/>
    <m/>
    <m/>
    <m/>
    <m/>
    <m/>
    <m/>
    <m/>
    <m/>
    <m/>
    <d v="1951-04-22T00:00:00"/>
    <m/>
    <x v="43"/>
  </r>
  <r>
    <s v="Garcia"/>
    <s v="Lanzas"/>
    <s v="Alfonso Javier"/>
    <x v="395"/>
    <x v="202"/>
    <n v="2.1299999999999999E-3"/>
    <m/>
    <m/>
    <m/>
    <m/>
    <m/>
    <m/>
    <m/>
    <m/>
    <m/>
    <m/>
    <d v="1980-08-10T00:00:00"/>
    <m/>
    <x v="134"/>
  </r>
  <r>
    <s v="Cuevas"/>
    <s v="Ojeda"/>
    <s v="Francisca"/>
    <x v="396"/>
    <x v="202"/>
    <s v="No tiene"/>
    <m/>
    <m/>
    <m/>
    <m/>
    <m/>
    <m/>
    <m/>
    <m/>
    <m/>
    <m/>
    <d v="1951-07-28T00:00:00"/>
    <m/>
    <x v="141"/>
  </r>
  <r>
    <s v="Iznardo"/>
    <s v="Olivert"/>
    <s v="M Carmen"/>
    <x v="327"/>
    <x v="203"/>
    <n v="2.2100000000000002E-2"/>
    <m/>
    <m/>
    <m/>
    <m/>
    <m/>
    <m/>
    <m/>
    <m/>
    <m/>
    <m/>
    <d v="1969-08-23T00:00:00"/>
    <m/>
    <x v="137"/>
  </r>
  <r>
    <s v="Esteban"/>
    <s v="Gimenez"/>
    <s v="Francisco Javier"/>
    <x v="397"/>
    <x v="203"/>
    <n v="4.5710000000000001E-2"/>
    <m/>
    <m/>
    <m/>
    <m/>
    <m/>
    <m/>
    <m/>
    <m/>
    <m/>
    <m/>
    <d v="1945-03-28T00:00:00"/>
    <m/>
    <x v="89"/>
  </r>
  <r>
    <s v="Acedo"/>
    <s v="Guerra"/>
    <s v="Mercedes"/>
    <x v="398"/>
    <x v="203"/>
    <n v="7.6999999999999996E-4"/>
    <m/>
    <m/>
    <m/>
    <m/>
    <m/>
    <m/>
    <m/>
    <m/>
    <m/>
    <m/>
    <d v="1932-05-09T00:00:00"/>
    <m/>
    <x v="142"/>
  </r>
  <r>
    <s v="Montoro"/>
    <s v="Latorre"/>
    <s v="Maria Isabel"/>
    <x v="399"/>
    <x v="204"/>
    <n v="0.27767999999999998"/>
    <m/>
    <m/>
    <m/>
    <m/>
    <m/>
    <m/>
    <m/>
    <m/>
    <m/>
    <m/>
    <d v="1956-07-26T00:00:00"/>
    <m/>
    <x v="126"/>
  </r>
  <r>
    <s v="Montoro"/>
    <s v="Latorre"/>
    <s v="Maria Isabel"/>
    <x v="399"/>
    <x v="205"/>
    <n v="0.36073"/>
    <m/>
    <m/>
    <m/>
    <m/>
    <m/>
    <m/>
    <m/>
    <m/>
    <m/>
    <m/>
    <d v="1956-07-26T00:00:00"/>
    <m/>
    <x v="126"/>
  </r>
  <r>
    <s v="Mateos"/>
    <s v="Gomez"/>
    <s v="Francisco"/>
    <x v="302"/>
    <x v="206"/>
    <n v="0.41289999999999999"/>
    <m/>
    <m/>
    <m/>
    <m/>
    <m/>
    <m/>
    <m/>
    <m/>
    <m/>
    <m/>
    <d v="1978-07-01T00:00:00"/>
    <m/>
    <x v="66"/>
  </r>
  <r>
    <s v="Garrido"/>
    <s v="Martínez"/>
    <s v="Juan Vicente"/>
    <x v="400"/>
    <x v="206"/>
    <n v="4.7400000000000003E-3"/>
    <m/>
    <m/>
    <m/>
    <m/>
    <m/>
    <m/>
    <m/>
    <m/>
    <m/>
    <m/>
    <d v="1964-02-02T00:00:00"/>
    <m/>
    <x v="17"/>
  </r>
  <r>
    <s v="Soria"/>
    <s v="Gallego"/>
    <s v="Azucena"/>
    <x v="274"/>
    <x v="207"/>
    <n v="6.7100000000000007E-2"/>
    <m/>
    <m/>
    <m/>
    <m/>
    <m/>
    <m/>
    <m/>
    <m/>
    <m/>
    <m/>
    <d v="2021-11-23T00:00:00"/>
    <m/>
    <x v="143"/>
  </r>
  <r>
    <s v="Sierra"/>
    <s v="Benavent"/>
    <s v="Josefa"/>
    <x v="401"/>
    <x v="207"/>
    <n v="5.7499999999999999E-3"/>
    <m/>
    <m/>
    <m/>
    <m/>
    <m/>
    <m/>
    <m/>
    <m/>
    <m/>
    <m/>
    <d v="1959-03-04T00:00:00"/>
    <m/>
    <x v="137"/>
  </r>
  <r>
    <s v="Ros"/>
    <s v="García"/>
    <s v="Francisco Juan"/>
    <x v="402"/>
    <x v="207"/>
    <n v="0.11219"/>
    <m/>
    <m/>
    <m/>
    <m/>
    <m/>
    <m/>
    <m/>
    <m/>
    <m/>
    <m/>
    <d v="1957-06-24T00:00:00"/>
    <m/>
    <x v="130"/>
  </r>
  <r>
    <s v="Roca"/>
    <s v="Julve"/>
    <s v="David"/>
    <x v="403"/>
    <x v="207"/>
    <n v="0.54935"/>
    <m/>
    <m/>
    <m/>
    <m/>
    <m/>
    <m/>
    <m/>
    <m/>
    <m/>
    <m/>
    <d v="1974-04-18T00:00:00"/>
    <m/>
    <x v="59"/>
  </r>
  <r>
    <s v="Piñero "/>
    <s v="Domingo"/>
    <s v="Maria Carmen"/>
    <x v="404"/>
    <x v="207"/>
    <n v="1E-3"/>
    <m/>
    <m/>
    <m/>
    <m/>
    <m/>
    <m/>
    <m/>
    <m/>
    <m/>
    <m/>
    <d v="1947-08-01T00:00:00"/>
    <m/>
    <x v="144"/>
  </r>
  <r>
    <s v="Koppers"/>
    <m/>
    <s v="Cornelis Simon Mari"/>
    <x v="405"/>
    <x v="207"/>
    <n v="1.65E-3"/>
    <m/>
    <m/>
    <m/>
    <m/>
    <m/>
    <m/>
    <m/>
    <m/>
    <m/>
    <m/>
    <d v="1951-02-28T00:00:00"/>
    <m/>
    <x v="133"/>
  </r>
  <r>
    <s v="Moron"/>
    <s v="Ruano"/>
    <s v="Joaquín"/>
    <x v="406"/>
    <x v="208"/>
    <n v="6.4799999999999996E-2"/>
    <m/>
    <m/>
    <m/>
    <m/>
    <m/>
    <m/>
    <m/>
    <m/>
    <m/>
    <m/>
    <d v="1964-12-29T00:00:00"/>
    <m/>
    <x v="145"/>
  </r>
  <r>
    <s v="Navarro"/>
    <s v="Anton"/>
    <s v="Elena"/>
    <x v="407"/>
    <x v="209"/>
    <n v="1.0300000000000001E-3"/>
    <m/>
    <m/>
    <m/>
    <m/>
    <m/>
    <m/>
    <m/>
    <m/>
    <m/>
    <m/>
    <d v="1968-06-23T00:00:00"/>
    <m/>
    <x v="145"/>
  </r>
  <r>
    <s v="Mico"/>
    <s v="Benaches"/>
    <s v="Maria Vicenta"/>
    <x v="408"/>
    <x v="209"/>
    <n v="6.2100000000000002E-2"/>
    <m/>
    <m/>
    <m/>
    <m/>
    <m/>
    <m/>
    <m/>
    <m/>
    <m/>
    <m/>
    <d v="1953-07-03T00:00:00"/>
    <m/>
    <x v="146"/>
  </r>
  <r>
    <s v="Iznardo"/>
    <s v="Olivert"/>
    <s v="M Carmen"/>
    <x v="327"/>
    <x v="209"/>
    <n v="8.9200000000000008E-3"/>
    <m/>
    <m/>
    <m/>
    <m/>
    <m/>
    <m/>
    <m/>
    <m/>
    <m/>
    <m/>
    <d v="1969-08-23T00:00:00"/>
    <m/>
    <x v="138"/>
  </r>
  <r>
    <s v="Huesca"/>
    <s v="Castello"/>
    <s v="Pascual"/>
    <x v="409"/>
    <x v="209"/>
    <n v="8.1610000000000002E-2"/>
    <m/>
    <m/>
    <m/>
    <m/>
    <m/>
    <m/>
    <m/>
    <m/>
    <m/>
    <m/>
    <d v="1952-05-21T00:00:00"/>
    <m/>
    <x v="147"/>
  </r>
  <r>
    <s v="Alcalde"/>
    <s v="Argente"/>
    <s v="M Cristina"/>
    <x v="410"/>
    <x v="209"/>
    <n v="1.56E-3"/>
    <m/>
    <m/>
    <m/>
    <m/>
    <m/>
    <m/>
    <m/>
    <m/>
    <m/>
    <m/>
    <d v="1968-10-26T00:00:00"/>
    <m/>
    <x v="17"/>
  </r>
  <r>
    <s v="Pozo del Jerico"/>
    <m/>
    <s v="Juan"/>
    <x v="411"/>
    <x v="210"/>
    <n v="0.26515"/>
    <m/>
    <m/>
    <m/>
    <m/>
    <m/>
    <m/>
    <m/>
    <m/>
    <m/>
    <m/>
    <d v="1974-09-24T00:00:00"/>
    <m/>
    <x v="148"/>
  </r>
  <r>
    <s v="Marti"/>
    <s v="Moya"/>
    <s v="Bautista"/>
    <x v="412"/>
    <x v="210"/>
    <n v="1.073E-2"/>
    <m/>
    <m/>
    <m/>
    <m/>
    <m/>
    <m/>
    <m/>
    <m/>
    <m/>
    <m/>
    <d v="1946-02-04T00:00:00"/>
    <m/>
    <x v="17"/>
  </r>
  <r>
    <s v="Esteban"/>
    <s v="Gimenez"/>
    <s v="Francisco Javier"/>
    <x v="397"/>
    <x v="210"/>
    <n v="2.5420000000000002E-2"/>
    <m/>
    <m/>
    <m/>
    <m/>
    <m/>
    <m/>
    <m/>
    <m/>
    <m/>
    <m/>
    <d v="1945-03-28T00:00:00"/>
    <m/>
    <x v="149"/>
  </r>
  <r>
    <s v="Cortes"/>
    <s v="Marques"/>
    <s v="Jorge"/>
    <x v="413"/>
    <x v="210"/>
    <n v="3.29E-3"/>
    <m/>
    <m/>
    <m/>
    <m/>
    <m/>
    <m/>
    <m/>
    <m/>
    <m/>
    <m/>
    <d v="1956-08-29T00:00:00"/>
    <m/>
    <x v="145"/>
  </r>
  <r>
    <s v="Arroyo"/>
    <s v="Gonzalez"/>
    <s v="Manuel"/>
    <x v="414"/>
    <x v="210"/>
    <n v="0.42329"/>
    <m/>
    <m/>
    <m/>
    <m/>
    <m/>
    <m/>
    <m/>
    <m/>
    <m/>
    <m/>
    <d v="1960-05-18T00:00:00"/>
    <m/>
    <x v="1"/>
  </r>
  <r>
    <s v="Soria"/>
    <s v="Crespo"/>
    <s v="Manuel Damian"/>
    <x v="415"/>
    <x v="211"/>
    <n v="1.0435399999999999"/>
    <m/>
    <m/>
    <m/>
    <m/>
    <m/>
    <m/>
    <m/>
    <m/>
    <m/>
    <m/>
    <d v="1962-11-02T00:00:00"/>
    <m/>
    <x v="150"/>
  </r>
  <r>
    <s v="Montoliu"/>
    <s v="Brisach"/>
    <s v="Joaquin Vte"/>
    <x v="388"/>
    <x v="211"/>
    <n v="0.46850999999999998"/>
    <m/>
    <m/>
    <m/>
    <m/>
    <m/>
    <m/>
    <m/>
    <m/>
    <m/>
    <m/>
    <d v="1953-10-27T00:00:00"/>
    <m/>
    <x v="119"/>
  </r>
  <r>
    <s v="Lucan"/>
    <m/>
    <s v="Maria"/>
    <x v="416"/>
    <x v="211"/>
    <n v="0.23141"/>
    <m/>
    <m/>
    <m/>
    <m/>
    <m/>
    <m/>
    <m/>
    <m/>
    <m/>
    <m/>
    <d v="1961-03-19T00:00:00"/>
    <m/>
    <x v="1"/>
  </r>
  <r>
    <s v="Sarmiento"/>
    <s v="Valenzuela"/>
    <s v="David"/>
    <x v="417"/>
    <x v="212"/>
    <n v="0.19888"/>
    <m/>
    <m/>
    <m/>
    <m/>
    <m/>
    <m/>
    <m/>
    <m/>
    <m/>
    <m/>
    <d v="2005-07-26T00:00:00"/>
    <m/>
    <x v="151"/>
  </r>
  <r>
    <s v="Sapiña"/>
    <s v="Fuertes"/>
    <s v="Vicente"/>
    <x v="227"/>
    <x v="213"/>
    <n v="6.1809999999999997E-2"/>
    <m/>
    <m/>
    <m/>
    <m/>
    <m/>
    <m/>
    <m/>
    <m/>
    <m/>
    <m/>
    <d v="1960-01-22T00:00:00"/>
    <m/>
    <x v="89"/>
  </r>
  <r>
    <s v="Esteban "/>
    <s v="Gimenez"/>
    <s v="Francisco Javier"/>
    <x v="397"/>
    <x v="213"/>
    <n v="0.33156999999999998"/>
    <m/>
    <m/>
    <m/>
    <m/>
    <m/>
    <m/>
    <m/>
    <m/>
    <m/>
    <m/>
    <d v="1945-03-28T00:00:00"/>
    <m/>
    <x v="133"/>
  </r>
  <r>
    <s v="Hernandez"/>
    <s v="Diaz"/>
    <s v="Beatriz"/>
    <x v="418"/>
    <x v="214"/>
    <n v="3.9390000000000001E-2"/>
    <m/>
    <m/>
    <m/>
    <m/>
    <m/>
    <m/>
    <m/>
    <m/>
    <m/>
    <m/>
    <d v="1989-01-10T00:00:00"/>
    <m/>
    <x v="152"/>
  </r>
  <r>
    <s v="Benedicto "/>
    <s v="Tena"/>
    <s v="Cristobal"/>
    <x v="419"/>
    <x v="214"/>
    <n v="0.10213"/>
    <m/>
    <m/>
    <m/>
    <m/>
    <m/>
    <m/>
    <m/>
    <m/>
    <m/>
    <m/>
    <d v="1947-08-20T00:00:00"/>
    <m/>
    <x v="50"/>
  </r>
  <r>
    <s v="Alvarez"/>
    <s v="Murgui"/>
    <s v="Salvador"/>
    <x v="420"/>
    <x v="214"/>
    <n v="4.9399999999999999E-2"/>
    <m/>
    <m/>
    <m/>
    <m/>
    <m/>
    <m/>
    <m/>
    <m/>
    <m/>
    <m/>
    <d v="1963-08-20T00:00:00"/>
    <m/>
    <x v="82"/>
  </r>
  <r>
    <s v="Muria"/>
    <s v="Biosca"/>
    <s v="Jose"/>
    <x v="421"/>
    <x v="215"/>
    <n v="0.20630000000000001"/>
    <m/>
    <m/>
    <m/>
    <m/>
    <m/>
    <m/>
    <m/>
    <m/>
    <m/>
    <m/>
    <d v="1945-03-10T00:00:00"/>
    <m/>
    <x v="4"/>
  </r>
  <r>
    <s v="Dybizbanski"/>
    <m/>
    <s v="Gabriele"/>
    <x v="422"/>
    <x v="215"/>
    <n v="0.42324000000000001"/>
    <m/>
    <m/>
    <m/>
    <m/>
    <m/>
    <m/>
    <m/>
    <m/>
    <m/>
    <m/>
    <d v="1957-12-08T00:00:00"/>
    <m/>
    <x v="150"/>
  </r>
  <r>
    <s v="Castro"/>
    <s v="Contreras"/>
    <s v="Maria Elena"/>
    <x v="423"/>
    <x v="215"/>
    <n v="2.0400000000000001E-2"/>
    <m/>
    <m/>
    <m/>
    <m/>
    <m/>
    <m/>
    <m/>
    <m/>
    <m/>
    <m/>
    <d v="1953-03-27T00:00:00"/>
    <m/>
    <x v="43"/>
  </r>
  <r>
    <s v="Alvarez"/>
    <s v="Murgui"/>
    <s v="Salvador"/>
    <x v="424"/>
    <x v="216"/>
    <n v="2.1499999999999998E-2"/>
    <m/>
    <m/>
    <m/>
    <m/>
    <m/>
    <m/>
    <m/>
    <m/>
    <m/>
    <m/>
    <d v="1963-08-20T00:00:00"/>
    <m/>
    <x v="82"/>
  </r>
  <r>
    <s v="Sanchez"/>
    <s v="Ramirez"/>
    <s v="Jose Luis"/>
    <x v="425"/>
    <x v="217"/>
    <n v="0.65146999999999999"/>
    <m/>
    <m/>
    <m/>
    <m/>
    <m/>
    <m/>
    <m/>
    <m/>
    <m/>
    <m/>
    <d v="1951-09-19T00:00:00"/>
    <m/>
    <x v="113"/>
  </r>
  <r>
    <s v="Selva"/>
    <s v="Agullo"/>
    <s v="Jaime"/>
    <x v="426"/>
    <x v="218"/>
    <n v="0.62890999999999997"/>
    <m/>
    <m/>
    <m/>
    <m/>
    <m/>
    <m/>
    <m/>
    <m/>
    <m/>
    <m/>
    <d v="1961-03-06T00:00:00"/>
    <m/>
    <x v="153"/>
  </r>
  <r>
    <s v="Perez"/>
    <s v="Casado"/>
    <s v="Ricard Vicent"/>
    <x v="371"/>
    <x v="218"/>
    <n v="0.62312000000000001"/>
    <m/>
    <m/>
    <m/>
    <m/>
    <m/>
    <m/>
    <m/>
    <m/>
    <m/>
    <m/>
    <d v="1945-10-27T00:00:00"/>
    <m/>
    <x v="57"/>
  </r>
  <r>
    <s v="Garrido"/>
    <s v="Martinez"/>
    <s v="Juan Vicente"/>
    <x v="400"/>
    <x v="218"/>
    <n v="8.9999999999999998E-4"/>
    <m/>
    <m/>
    <m/>
    <m/>
    <m/>
    <m/>
    <m/>
    <m/>
    <m/>
    <m/>
    <d v="1964-02-02T00:00:00"/>
    <m/>
    <x v="154"/>
  </r>
  <r>
    <s v="Belda"/>
    <s v="Vidal"/>
    <s v="Jose Enrique"/>
    <x v="427"/>
    <x v="218"/>
    <n v="9.4699999999999993E-3"/>
    <m/>
    <m/>
    <m/>
    <m/>
    <m/>
    <m/>
    <m/>
    <m/>
    <m/>
    <m/>
    <d v="1957-01-27T00:00:00"/>
    <m/>
    <x v="155"/>
  </r>
  <r>
    <s v="Roca"/>
    <s v="Julve"/>
    <s v="David"/>
    <x v="403"/>
    <x v="219"/>
    <n v="0.99819999999999998"/>
    <m/>
    <m/>
    <m/>
    <m/>
    <m/>
    <m/>
    <m/>
    <m/>
    <m/>
    <m/>
    <d v="1974-04-18T00:00:00"/>
    <m/>
    <x v="59"/>
  </r>
  <r>
    <s v="Robla"/>
    <s v="Segovia"/>
    <s v="Francisco"/>
    <x v="428"/>
    <x v="219"/>
    <n v="0.27812999999999999"/>
    <m/>
    <m/>
    <m/>
    <m/>
    <m/>
    <m/>
    <m/>
    <m/>
    <m/>
    <m/>
    <d v="1961-01-02T00:00:00"/>
    <m/>
    <x v="20"/>
  </r>
  <r>
    <s v="Lopez"/>
    <s v="Moreno"/>
    <s v="Miguel"/>
    <x v="429"/>
    <x v="219"/>
    <n v="1.2E-4"/>
    <m/>
    <m/>
    <m/>
    <m/>
    <m/>
    <m/>
    <m/>
    <m/>
    <m/>
    <m/>
    <d v="1952-06-26T00:00:00"/>
    <m/>
    <x v="156"/>
  </r>
  <r>
    <s v="Gallardo"/>
    <s v="Ruiz"/>
    <s v="Augustin"/>
    <x v="430"/>
    <x v="219"/>
    <n v="1.0670000000000001E-2"/>
    <m/>
    <m/>
    <m/>
    <m/>
    <m/>
    <m/>
    <m/>
    <m/>
    <m/>
    <m/>
    <d v="1952-04-01T00:00:00"/>
    <m/>
    <x v="89"/>
  </r>
  <r>
    <s v="Gomez"/>
    <s v="Piqueras"/>
    <s v="Maria Maximina"/>
    <x v="431"/>
    <x v="220"/>
    <s v="No hay"/>
    <m/>
    <m/>
    <m/>
    <m/>
    <m/>
    <m/>
    <m/>
    <m/>
    <m/>
    <m/>
    <d v="1996-06-19T00:00:00"/>
    <m/>
    <x v="26"/>
  </r>
  <r>
    <s v="Chobanyan"/>
    <m/>
    <s v="Hranush"/>
    <x v="432"/>
    <x v="220"/>
    <n v="1.009E-2"/>
    <m/>
    <m/>
    <m/>
    <m/>
    <m/>
    <m/>
    <m/>
    <m/>
    <m/>
    <m/>
    <d v="1982-02-12T00:00:00"/>
    <m/>
    <x v="157"/>
  </r>
  <r>
    <s v="Chaparro"/>
    <s v="Calleja"/>
    <s v="Antonio Luis"/>
    <x v="433"/>
    <x v="220"/>
    <n v="1.1596299999999999"/>
    <m/>
    <m/>
    <m/>
    <m/>
    <m/>
    <m/>
    <m/>
    <m/>
    <m/>
    <m/>
    <d v="1951-09-27T00:00:00"/>
    <m/>
    <x v="57"/>
  </r>
  <r>
    <s v="Beltran"/>
    <s v="Arribas"/>
    <s v="M Teresa"/>
    <x v="181"/>
    <x v="220"/>
    <n v="0.59674000000000005"/>
    <m/>
    <m/>
    <m/>
    <m/>
    <m/>
    <m/>
    <m/>
    <m/>
    <m/>
    <m/>
    <d v="1968-10-15T00:00:00"/>
    <m/>
    <x v="66"/>
  </r>
  <r>
    <s v="Alcalde"/>
    <s v="Argente"/>
    <s v="Maria Cristina"/>
    <x v="410"/>
    <x v="220"/>
    <n v="0.29970000000000002"/>
    <m/>
    <m/>
    <m/>
    <m/>
    <m/>
    <m/>
    <m/>
    <m/>
    <m/>
    <m/>
    <d v="1968-10-26T00:00:00"/>
    <m/>
    <x v="158"/>
  </r>
  <r>
    <s v="Zabaleta"/>
    <s v="Vilar"/>
    <s v="Francisco Javier"/>
    <x v="434"/>
    <x v="221"/>
    <n v="6.7000000000000002E-4"/>
    <m/>
    <m/>
    <m/>
    <m/>
    <m/>
    <m/>
    <m/>
    <m/>
    <m/>
    <m/>
    <d v="1994-12-31T00:00:00"/>
    <m/>
    <x v="157"/>
  </r>
  <r>
    <s v="Ruano"/>
    <s v="Monterde"/>
    <s v="Maria del Mar"/>
    <x v="435"/>
    <x v="221"/>
    <n v="9.9349999999999994E-2"/>
    <m/>
    <m/>
    <m/>
    <m/>
    <m/>
    <m/>
    <m/>
    <m/>
    <m/>
    <m/>
    <d v="1982-04-01T00:00:00"/>
    <m/>
    <x v="148"/>
  </r>
  <r>
    <s v="Rogers"/>
    <m/>
    <s v="Robert Janes"/>
    <x v="436"/>
    <x v="221"/>
    <n v="0.20930000000000001"/>
    <m/>
    <m/>
    <m/>
    <m/>
    <m/>
    <m/>
    <m/>
    <m/>
    <m/>
    <m/>
    <d v="1934-09-18T00:00:00"/>
    <m/>
    <x v="57"/>
  </r>
  <r>
    <s v="Gomez"/>
    <s v="Piqueras"/>
    <s v="Maria Maximina"/>
    <x v="431"/>
    <x v="221"/>
    <n v="0.32629999999999998"/>
    <m/>
    <m/>
    <m/>
    <m/>
    <m/>
    <m/>
    <m/>
    <m/>
    <m/>
    <m/>
    <d v="1966-06-19T00:00:00"/>
    <m/>
    <x v="20"/>
  </r>
  <r>
    <s v="Calvo"/>
    <s v="Gomez"/>
    <s v="Jose"/>
    <x v="20"/>
    <x v="221"/>
    <n v="1.4036299999999999"/>
    <m/>
    <m/>
    <m/>
    <m/>
    <m/>
    <m/>
    <m/>
    <m/>
    <m/>
    <m/>
    <d v="1943-10-30T00:00:00"/>
    <m/>
    <x v="1"/>
  </r>
  <r>
    <s v="Vaño "/>
    <s v="Gonzalez"/>
    <s v="Concepción"/>
    <x v="437"/>
    <x v="222"/>
    <n v="5.2400000000000002E-2"/>
    <m/>
    <m/>
    <m/>
    <m/>
    <m/>
    <m/>
    <m/>
    <m/>
    <m/>
    <m/>
    <d v="1944-09-07T00:00:00"/>
    <m/>
    <x v="143"/>
  </r>
  <r>
    <s v="Ruano"/>
    <s v="Monterde"/>
    <s v="Maria del Mar"/>
    <x v="435"/>
    <x v="222"/>
    <n v="9.7800000000000005E-3"/>
    <m/>
    <m/>
    <m/>
    <m/>
    <m/>
    <m/>
    <m/>
    <m/>
    <m/>
    <m/>
    <d v="1982-04-01T00:00:00"/>
    <m/>
    <x v="126"/>
  </r>
  <r>
    <s v="Pinter"/>
    <s v="Pla"/>
    <s v="Victoria"/>
    <x v="288"/>
    <x v="222"/>
    <n v="4.8399999999999997E-3"/>
    <m/>
    <m/>
    <m/>
    <m/>
    <m/>
    <m/>
    <m/>
    <m/>
    <m/>
    <m/>
    <d v="1966-08-14T00:00:00"/>
    <m/>
    <x v="159"/>
  </r>
  <r>
    <s v="Montes"/>
    <s v="Martinez"/>
    <s v="Eloina"/>
    <x v="373"/>
    <x v="222"/>
    <n v="3.2299999999999999E-4"/>
    <m/>
    <m/>
    <m/>
    <m/>
    <m/>
    <m/>
    <m/>
    <m/>
    <m/>
    <m/>
    <d v="1943-06-24T00:00:00"/>
    <m/>
    <x v="144"/>
  </r>
  <r>
    <s v="Ballesteros"/>
    <s v="Briz"/>
    <s v="Vicente"/>
    <x v="438"/>
    <x v="222"/>
    <n v="0.158"/>
    <m/>
    <m/>
    <m/>
    <m/>
    <m/>
    <m/>
    <m/>
    <m/>
    <m/>
    <m/>
    <d v="1951-06-01T00:00:00"/>
    <m/>
    <x v="114"/>
  </r>
  <r>
    <s v="Reyes"/>
    <s v="Tuleda"/>
    <s v="Vicente"/>
    <x v="439"/>
    <x v="223"/>
    <n v="0.77449999999999997"/>
    <m/>
    <m/>
    <m/>
    <m/>
    <m/>
    <m/>
    <m/>
    <m/>
    <m/>
    <m/>
    <d v="1952-04-21T00:00:00"/>
    <m/>
    <x v="153"/>
  </r>
  <r>
    <s v="Sanchez"/>
    <s v="Ruiz"/>
    <s v="Antonio"/>
    <x v="440"/>
    <x v="224"/>
    <n v="3.252E-2"/>
    <m/>
    <m/>
    <m/>
    <m/>
    <m/>
    <m/>
    <m/>
    <m/>
    <m/>
    <m/>
    <d v="1958-07-03T00:00:00"/>
    <m/>
    <x v="58"/>
  </r>
  <r>
    <s v="Martinez"/>
    <s v="Alfaro"/>
    <s v="Vicente"/>
    <x v="441"/>
    <x v="224"/>
    <n v="0.21648999999999999"/>
    <m/>
    <m/>
    <m/>
    <m/>
    <m/>
    <m/>
    <m/>
    <m/>
    <m/>
    <m/>
    <d v="1957-04-05T00:00:00"/>
    <m/>
    <x v="160"/>
  </r>
  <r>
    <s v="De Oliveira"/>
    <s v="Gajda"/>
    <s v="Thalia"/>
    <x v="442"/>
    <x v="224"/>
    <n v="5.6699999999999997E-3"/>
    <m/>
    <m/>
    <m/>
    <m/>
    <m/>
    <m/>
    <m/>
    <m/>
    <m/>
    <m/>
    <d v="1997-07-22T00:00:00"/>
    <m/>
    <x v="157"/>
  </r>
  <r>
    <s v="Pinter"/>
    <s v="Pla"/>
    <s v="Victoria"/>
    <x v="288"/>
    <x v="225"/>
    <n v="2.9199999999999999E-3"/>
    <m/>
    <m/>
    <m/>
    <m/>
    <m/>
    <m/>
    <m/>
    <m/>
    <m/>
    <m/>
    <d v="1966-08-14T00:00:00"/>
    <m/>
    <x v="140"/>
  </r>
  <r>
    <s v="Noguera"/>
    <s v="Villanueva"/>
    <s v="Josep"/>
    <x v="443"/>
    <x v="225"/>
    <n v="0.99777000000000005"/>
    <m/>
    <m/>
    <m/>
    <m/>
    <m/>
    <m/>
    <m/>
    <m/>
    <m/>
    <m/>
    <d v="1955-04-01T00:00:00"/>
    <m/>
    <x v="1"/>
  </r>
  <r>
    <s v="Martinez "/>
    <s v="Albero"/>
    <s v="Cristobal"/>
    <x v="329"/>
    <x v="225"/>
    <n v="0.11185"/>
    <m/>
    <m/>
    <m/>
    <m/>
    <m/>
    <m/>
    <m/>
    <m/>
    <m/>
    <m/>
    <d v="1944-04-07T00:00:00"/>
    <m/>
    <x v="161"/>
  </r>
  <r>
    <s v="Lup"/>
    <m/>
    <s v="Margareta"/>
    <x v="444"/>
    <x v="225"/>
    <n v="7.7499999999999999E-2"/>
    <m/>
    <m/>
    <m/>
    <m/>
    <m/>
    <m/>
    <m/>
    <m/>
    <m/>
    <m/>
    <d v="1966-08-18T00:00:00"/>
    <m/>
    <x v="162"/>
  </r>
  <r>
    <s v="Huesca"/>
    <s v="Castello"/>
    <s v="Pascual"/>
    <x v="409"/>
    <x v="225"/>
    <n v="5.2220000000000003E-2"/>
    <m/>
    <m/>
    <m/>
    <m/>
    <m/>
    <m/>
    <m/>
    <m/>
    <m/>
    <m/>
    <d v="1952-05-21T00:00:00"/>
    <m/>
    <x v="59"/>
  </r>
  <r>
    <s v="Amaro"/>
    <s v="Gonzalez"/>
    <s v="Ramona"/>
    <x v="445"/>
    <x v="225"/>
    <n v="2.1000000000000001E-4"/>
    <m/>
    <m/>
    <m/>
    <m/>
    <m/>
    <m/>
    <m/>
    <m/>
    <m/>
    <m/>
    <d v="1946-08-31T00:00:00"/>
    <m/>
    <x v="157"/>
  </r>
  <r>
    <s v="March"/>
    <s v="Ruiz"/>
    <s v="Eduardo"/>
    <x v="446"/>
    <x v="226"/>
    <n v="0.54415999999999998"/>
    <m/>
    <m/>
    <m/>
    <m/>
    <m/>
    <m/>
    <m/>
    <m/>
    <m/>
    <m/>
    <d v="2021-02-18T00:00:00"/>
    <m/>
    <x v="130"/>
  </r>
  <r>
    <s v="Lup"/>
    <m/>
    <s v="Margareta"/>
    <x v="444"/>
    <x v="226"/>
    <n v="1.6250000000000001E-2"/>
    <m/>
    <m/>
    <m/>
    <m/>
    <m/>
    <m/>
    <m/>
    <m/>
    <m/>
    <m/>
    <d v="1966-08-18T00:00:00"/>
    <m/>
    <x v="148"/>
  </r>
  <r>
    <s v="Lopez"/>
    <s v="Moreno"/>
    <s v="Miguel"/>
    <x v="429"/>
    <x v="226"/>
    <n v="2.0699999999999998E-3"/>
    <m/>
    <m/>
    <m/>
    <m/>
    <m/>
    <m/>
    <m/>
    <m/>
    <m/>
    <m/>
    <d v="1952-06-26T00:00:00"/>
    <m/>
    <x v="157"/>
  </r>
  <r>
    <s v="Fort"/>
    <s v="Hernandez"/>
    <s v="Jose"/>
    <x v="447"/>
    <x v="226"/>
    <n v="4.3920000000000001E-2"/>
    <m/>
    <m/>
    <m/>
    <m/>
    <m/>
    <m/>
    <m/>
    <m/>
    <m/>
    <m/>
    <d v="1938-09-07T00:00:00"/>
    <m/>
    <x v="43"/>
  </r>
  <r>
    <s v="Cortelles"/>
    <s v="Raga"/>
    <s v="Maria Cristina"/>
    <x v="448"/>
    <x v="226"/>
    <n v="4.9899999999999996E-3"/>
    <m/>
    <m/>
    <m/>
    <m/>
    <m/>
    <m/>
    <m/>
    <m/>
    <m/>
    <m/>
    <d v="2021-07-25T00:00:00"/>
    <m/>
    <x v="157"/>
  </r>
  <r>
    <s v="Nieto "/>
    <s v="Jimenez"/>
    <s v="Juani"/>
    <x v="449"/>
    <x v="227"/>
    <n v="1.34E-3"/>
    <m/>
    <m/>
    <m/>
    <m/>
    <m/>
    <m/>
    <m/>
    <m/>
    <m/>
    <m/>
    <d v="1958-06-04T00:00:00"/>
    <m/>
    <x v="161"/>
  </r>
  <r>
    <s v="March"/>
    <s v="Ruiz"/>
    <s v="Eduardo"/>
    <x v="446"/>
    <x v="227"/>
    <n v="6.8659999999999999E-2"/>
    <m/>
    <m/>
    <m/>
    <m/>
    <m/>
    <m/>
    <m/>
    <m/>
    <m/>
    <m/>
    <d v="1962-02-18T00:00:00"/>
    <m/>
    <x v="142"/>
  </r>
  <r>
    <s v="Losada"/>
    <s v="Quintero"/>
    <s v="Gonzalo Tadeo"/>
    <x v="450"/>
    <x v="227"/>
    <n v="1.9349999999999999E-2"/>
    <m/>
    <m/>
    <m/>
    <m/>
    <m/>
    <m/>
    <m/>
    <m/>
    <m/>
    <m/>
    <d v="2021-08-19T00:00:00"/>
    <m/>
    <x v="138"/>
  </r>
  <r>
    <s v="Garrido"/>
    <s v="Martinez"/>
    <s v="Juan Vicente"/>
    <x v="400"/>
    <x v="227"/>
    <n v="8.0000000000000004E-4"/>
    <m/>
    <m/>
    <m/>
    <m/>
    <m/>
    <m/>
    <m/>
    <m/>
    <m/>
    <m/>
    <d v="1964-02-02T00:00:00"/>
    <m/>
    <x v="137"/>
  </r>
  <r>
    <s v="Marti"/>
    <s v="Moya"/>
    <s v="Bautista"/>
    <x v="412"/>
    <x v="228"/>
    <n v="3.3800000000000002E-3"/>
    <m/>
    <m/>
    <m/>
    <m/>
    <m/>
    <m/>
    <m/>
    <m/>
    <m/>
    <m/>
    <d v="1968-02-04T00:00:00"/>
    <m/>
    <x v="154"/>
  </r>
  <r>
    <s v="Alcalde"/>
    <s v="Argente"/>
    <s v="Maria Cristina"/>
    <x v="410"/>
    <x v="228"/>
    <n v="1.99E-3"/>
    <m/>
    <m/>
    <m/>
    <m/>
    <m/>
    <m/>
    <m/>
    <m/>
    <m/>
    <m/>
    <d v="1968-10-26T00:00:00"/>
    <m/>
    <x v="154"/>
  </r>
  <r>
    <s v="Noguera"/>
    <s v="Lopez"/>
    <s v="Francisca"/>
    <x v="451"/>
    <x v="228"/>
    <n v="4.0500000000000001E-2"/>
    <m/>
    <m/>
    <m/>
    <m/>
    <m/>
    <m/>
    <m/>
    <m/>
    <m/>
    <m/>
    <d v="1955-07-30T00:00:00"/>
    <m/>
    <x v="163"/>
  </r>
  <r>
    <s v="Barberan "/>
    <s v="Cervera"/>
    <s v="Francisco"/>
    <x v="452"/>
    <x v="228"/>
    <n v="1.353E-2"/>
    <m/>
    <m/>
    <m/>
    <m/>
    <m/>
    <m/>
    <m/>
    <m/>
    <m/>
    <m/>
    <d v="1976-02-12T00:00:00"/>
    <m/>
    <x v="154"/>
  </r>
  <r>
    <s v="Rubert"/>
    <s v="Vendrell"/>
    <s v="Jose Vicente"/>
    <x v="453"/>
    <x v="228"/>
    <n v="2.6700000000000001E-3"/>
    <m/>
    <m/>
    <m/>
    <m/>
    <m/>
    <m/>
    <m/>
    <m/>
    <m/>
    <m/>
    <d v="1972-06-01T00:00:00"/>
    <m/>
    <x v="54"/>
  </r>
  <r>
    <s v="March"/>
    <s v="Ruiz"/>
    <s v="Eduardo"/>
    <x v="446"/>
    <x v="228"/>
    <n v="6.3909999999999995E-2"/>
    <m/>
    <m/>
    <m/>
    <m/>
    <m/>
    <m/>
    <m/>
    <m/>
    <m/>
    <m/>
    <d v="1962-02-18T00:00:00"/>
    <m/>
    <x v="163"/>
  </r>
  <r>
    <s v="Benedicto"/>
    <s v="Benedicto"/>
    <s v="Rafael"/>
    <x v="454"/>
    <x v="228"/>
    <n v="1E-4"/>
    <m/>
    <m/>
    <m/>
    <m/>
    <m/>
    <m/>
    <m/>
    <m/>
    <m/>
    <m/>
    <d v="1954-03-16T00:00:00"/>
    <m/>
    <x v="140"/>
  </r>
  <r>
    <s v="Boore"/>
    <m/>
    <s v="Nicholas"/>
    <x v="455"/>
    <x v="229"/>
    <n v="2.9080000000000002E-2"/>
    <m/>
    <m/>
    <m/>
    <m/>
    <m/>
    <m/>
    <m/>
    <m/>
    <m/>
    <m/>
    <d v="1977-07-23T00:00:00"/>
    <m/>
    <x v="140"/>
  </r>
  <r>
    <s v="Noguera"/>
    <s v="Lopez"/>
    <s v="Francisca"/>
    <x v="451"/>
    <x v="229"/>
    <n v="1.3350000000000001E-2"/>
    <m/>
    <m/>
    <m/>
    <m/>
    <m/>
    <m/>
    <m/>
    <m/>
    <m/>
    <m/>
    <d v="1955-07-30T00:00:00"/>
    <m/>
    <x v="148"/>
  </r>
  <r>
    <s v="Zarzo"/>
    <s v="Pitarch"/>
    <s v="Vicente"/>
    <x v="456"/>
    <x v="230"/>
    <n v="0.27945999999999999"/>
    <m/>
    <m/>
    <m/>
    <m/>
    <m/>
    <m/>
    <m/>
    <m/>
    <m/>
    <m/>
    <d v="1938-05-06T00:00:00"/>
    <m/>
    <x v="20"/>
  </r>
  <r>
    <s v="Lopez"/>
    <s v="Moreno"/>
    <s v="Miguel"/>
    <x v="429"/>
    <x v="231"/>
    <n v="2.2300000000000002E-3"/>
    <m/>
    <m/>
    <m/>
    <m/>
    <m/>
    <m/>
    <m/>
    <m/>
    <m/>
    <m/>
    <d v="1952-06-26T00:00:00"/>
    <m/>
    <x v="157"/>
  </r>
  <r>
    <s v="Kojelyte"/>
    <m/>
    <s v="Loreta"/>
    <x v="457"/>
    <x v="231"/>
    <n v="0.36048000000000002"/>
    <m/>
    <m/>
    <m/>
    <m/>
    <m/>
    <m/>
    <m/>
    <m/>
    <m/>
    <m/>
    <d v="1978-12-10T00:00:00"/>
    <m/>
    <x v="164"/>
  </r>
  <r>
    <s v="Cerezo"/>
    <s v="Moreno"/>
    <s v="Juan"/>
    <x v="458"/>
    <x v="231"/>
    <n v="0.89612999999999998"/>
    <m/>
    <m/>
    <m/>
    <m/>
    <m/>
    <m/>
    <m/>
    <m/>
    <m/>
    <m/>
    <d v="1944-01-19T00:00:00"/>
    <m/>
    <x v="163"/>
  </r>
  <r>
    <s v="Menero"/>
    <s v="Cerisuelo"/>
    <s v="Maria Carmen"/>
    <x v="459"/>
    <x v="231"/>
    <n v="6.5509999999999999E-2"/>
    <m/>
    <m/>
    <m/>
    <m/>
    <m/>
    <m/>
    <m/>
    <m/>
    <m/>
    <m/>
    <d v="1952-07-26T00:00:00"/>
    <m/>
    <x v="161"/>
  </r>
  <r>
    <s v="Vicent"/>
    <s v="Belenguer"/>
    <s v="Ana"/>
    <x v="460"/>
    <x v="232"/>
    <n v="1.3129999999999999E-2"/>
    <m/>
    <m/>
    <m/>
    <m/>
    <m/>
    <m/>
    <m/>
    <m/>
    <m/>
    <m/>
    <d v="1978-08-03T00:00:00"/>
    <m/>
    <x v="165"/>
  </r>
  <r>
    <s v="Pinter"/>
    <s v="Pla"/>
    <s v="Victoria"/>
    <x v="288"/>
    <x v="232"/>
    <n v="2.3720000000000001E-2"/>
    <m/>
    <m/>
    <m/>
    <m/>
    <m/>
    <m/>
    <m/>
    <m/>
    <m/>
    <m/>
    <d v="1966-08-14T00:00:00"/>
    <m/>
    <x v="161"/>
  </r>
  <r>
    <s v="Banacloche"/>
    <s v="Sancho"/>
    <s v="Leonardo"/>
    <x v="461"/>
    <x v="232"/>
    <n v="3.46E-3"/>
    <m/>
    <m/>
    <m/>
    <m/>
    <m/>
    <m/>
    <m/>
    <m/>
    <m/>
    <m/>
    <d v="1939-03-16T00:00:00"/>
    <m/>
    <x v="144"/>
  </r>
  <r>
    <s v="Riera"/>
    <s v="Gonzalez"/>
    <s v="Vicente"/>
    <x v="315"/>
    <x v="232"/>
    <n v="0.13753000000000001"/>
    <m/>
    <m/>
    <m/>
    <m/>
    <m/>
    <m/>
    <m/>
    <m/>
    <m/>
    <m/>
    <d v="1965-09-15T00:00:00"/>
    <m/>
    <x v="14"/>
  </r>
  <r>
    <s v="Valero"/>
    <s v="Aguado"/>
    <s v="Francisco"/>
    <x v="462"/>
    <x v="233"/>
    <n v="5.1000000000000004E-4"/>
    <m/>
    <m/>
    <m/>
    <m/>
    <m/>
    <m/>
    <m/>
    <m/>
    <m/>
    <m/>
    <d v="1967-07-07T00:00:00"/>
    <m/>
    <x v="157"/>
  </r>
  <r>
    <s v="Navarro "/>
    <s v="San Bautista"/>
    <s v="Juan Bautista"/>
    <x v="146"/>
    <x v="233"/>
    <n v="0.20297000000000001"/>
    <m/>
    <m/>
    <m/>
    <m/>
    <m/>
    <m/>
    <m/>
    <m/>
    <m/>
    <m/>
    <d v="1942-01-29T00:00:00"/>
    <m/>
    <x v="166"/>
  </r>
  <r>
    <s v="Jarque"/>
    <s v="Tortajada"/>
    <s v="Ramon"/>
    <x v="463"/>
    <x v="233"/>
    <n v="1.9959999999999999E-2"/>
    <m/>
    <m/>
    <m/>
    <m/>
    <m/>
    <m/>
    <m/>
    <m/>
    <m/>
    <m/>
    <d v="1948-10-12T00:00:00"/>
    <m/>
    <x v="167"/>
  </r>
  <r>
    <s v="Coll"/>
    <s v="Moscardo"/>
    <s v="Jose Luis"/>
    <x v="464"/>
    <x v="233"/>
    <n v="7.17E-2"/>
    <m/>
    <m/>
    <m/>
    <m/>
    <m/>
    <m/>
    <m/>
    <m/>
    <m/>
    <m/>
    <d v="1952-09-09T00:00:00"/>
    <m/>
    <x v="43"/>
  </r>
  <r>
    <s v="Rojas"/>
    <s v="De Torres"/>
    <s v="Luisa Emilia"/>
    <x v="465"/>
    <x v="233"/>
    <n v="2.4802399999999998"/>
    <m/>
    <m/>
    <m/>
    <m/>
    <m/>
    <m/>
    <m/>
    <m/>
    <m/>
    <m/>
    <d v="1958-04-18T00:00:00"/>
    <m/>
    <x v="168"/>
  </r>
  <r>
    <s v="Tortajada"/>
    <s v="Salazar"/>
    <s v="Francisco"/>
    <x v="466"/>
    <x v="234"/>
    <n v="4.8579999999999998E-2"/>
    <m/>
    <m/>
    <m/>
    <m/>
    <m/>
    <m/>
    <m/>
    <m/>
    <m/>
    <m/>
    <d v="1978-10-13T00:00:00"/>
    <m/>
    <x v="50"/>
  </r>
  <r>
    <s v="Ruiz "/>
    <s v="Arana"/>
    <s v="Maria"/>
    <x v="467"/>
    <x v="234"/>
    <n v="1.6999999999999999E-3"/>
    <m/>
    <m/>
    <m/>
    <m/>
    <m/>
    <m/>
    <m/>
    <m/>
    <m/>
    <m/>
    <d v="1981-04-30T00:00:00"/>
    <m/>
    <x v="157"/>
  </r>
  <r>
    <s v="Cerezo"/>
    <s v="Moreno"/>
    <s v="Juan"/>
    <x v="458"/>
    <x v="234"/>
    <n v="2.42733"/>
    <m/>
    <m/>
    <m/>
    <m/>
    <m/>
    <m/>
    <m/>
    <m/>
    <m/>
    <m/>
    <d v="1944-01-19T00:00:00"/>
    <m/>
    <x v="169"/>
  </r>
  <r>
    <s v="Adrian"/>
    <s v="Sanchis"/>
    <s v="Jose"/>
    <x v="468"/>
    <x v="234"/>
    <n v="0.13919000000000001"/>
    <m/>
    <m/>
    <m/>
    <m/>
    <m/>
    <m/>
    <m/>
    <m/>
    <m/>
    <m/>
    <d v="1952-05-18T00:00:00"/>
    <m/>
    <x v="144"/>
  </r>
  <r>
    <s v="Mora"/>
    <s v="Lopez"/>
    <s v="Juan Carlos"/>
    <x v="469"/>
    <x v="235"/>
    <n v="2.862E-2"/>
    <m/>
    <m/>
    <m/>
    <m/>
    <m/>
    <m/>
    <m/>
    <m/>
    <m/>
    <m/>
    <d v="1967-11-13T00:00:00"/>
    <m/>
    <x v="163"/>
  </r>
  <r>
    <s v="Higueras"/>
    <s v="Gonzalez"/>
    <s v="Julio Antonio"/>
    <x v="470"/>
    <x v="235"/>
    <n v="1.15E-3"/>
    <m/>
    <m/>
    <m/>
    <m/>
    <m/>
    <m/>
    <m/>
    <m/>
    <m/>
    <m/>
    <d v="1982-04-28T00:00:00"/>
    <m/>
    <x v="144"/>
  </r>
  <r>
    <s v="Mateu"/>
    <s v="Martinez"/>
    <s v="Manuel"/>
    <x v="471"/>
    <x v="236"/>
    <n v="1.1E-4"/>
    <m/>
    <m/>
    <m/>
    <m/>
    <m/>
    <m/>
    <m/>
    <m/>
    <m/>
    <m/>
    <d v="1965-12-19T00:00:00"/>
    <m/>
    <x v="157"/>
  </r>
  <r>
    <s v="Lazaro"/>
    <s v="Pastor"/>
    <s v="Aurora"/>
    <x v="472"/>
    <x v="236"/>
    <n v="0.94977"/>
    <m/>
    <m/>
    <m/>
    <m/>
    <m/>
    <m/>
    <m/>
    <m/>
    <m/>
    <m/>
    <d v="1937-06-19T00:00:00"/>
    <m/>
    <x v="13"/>
  </r>
  <r>
    <s v="Ballesteros"/>
    <s v="Briz"/>
    <s v="Vicente"/>
    <x v="438"/>
    <x v="236"/>
    <n v="0.57469000000000003"/>
    <m/>
    <m/>
    <m/>
    <m/>
    <m/>
    <m/>
    <m/>
    <m/>
    <m/>
    <m/>
    <d v="1957-06-01T00:00:00"/>
    <m/>
    <x v="170"/>
  </r>
  <r>
    <s v="Garcia"/>
    <s v="Planells"/>
    <s v="Africa"/>
    <x v="473"/>
    <x v="236"/>
    <n v="4.3800000000000002E-3"/>
    <m/>
    <m/>
    <m/>
    <m/>
    <m/>
    <m/>
    <m/>
    <m/>
    <m/>
    <m/>
    <d v="1952-02-25T00:00:00"/>
    <m/>
    <x v="157"/>
  </r>
  <r>
    <s v="Rubio"/>
    <s v="Bordonado"/>
    <s v="Francisco Manuel"/>
    <x v="474"/>
    <x v="236"/>
    <n v="0.50243000000000004"/>
    <m/>
    <m/>
    <m/>
    <m/>
    <m/>
    <m/>
    <m/>
    <m/>
    <m/>
    <m/>
    <d v="1968-01-04T00:00:00"/>
    <m/>
    <x v="14"/>
  </r>
  <r>
    <s v="Gil "/>
    <s v="Andres"/>
    <s v="Rafael Antonio"/>
    <x v="475"/>
    <x v="237"/>
    <n v="0.55373000000000006"/>
    <m/>
    <m/>
    <m/>
    <m/>
    <m/>
    <m/>
    <m/>
    <m/>
    <m/>
    <m/>
    <d v="1962-12-21T00:00:00"/>
    <m/>
    <x v="35"/>
  </r>
  <r>
    <s v="Cano"/>
    <s v="Patiño"/>
    <s v="Jose Luis"/>
    <x v="476"/>
    <x v="237"/>
    <n v="7.6999999999999996E-4"/>
    <m/>
    <m/>
    <m/>
    <m/>
    <m/>
    <m/>
    <m/>
    <m/>
    <m/>
    <m/>
    <d v="1947-04-04T00:00:00"/>
    <m/>
    <x v="144"/>
  </r>
  <r>
    <s v="Jarque"/>
    <s v="Tortajada"/>
    <s v="Ramon"/>
    <x v="463"/>
    <x v="238"/>
    <n v="4.6100000000000004E-3"/>
    <m/>
    <m/>
    <m/>
    <m/>
    <m/>
    <m/>
    <m/>
    <m/>
    <m/>
    <m/>
    <d v="1948-10-12T00:00:00"/>
    <m/>
    <x v="171"/>
  </r>
  <r>
    <s v="Belmonte "/>
    <s v="Perez"/>
    <s v="Miguel"/>
    <x v="477"/>
    <x v="238"/>
    <n v="0.10339"/>
    <m/>
    <m/>
    <m/>
    <m/>
    <m/>
    <m/>
    <m/>
    <m/>
    <m/>
    <m/>
    <d v="2021-09-22T00:00:00"/>
    <m/>
    <x v="172"/>
  </r>
  <r>
    <s v="Miguel"/>
    <s v="Gomez"/>
    <s v="Pedro"/>
    <x v="478"/>
    <x v="238"/>
    <n v="0.19083"/>
    <m/>
    <m/>
    <m/>
    <m/>
    <m/>
    <m/>
    <m/>
    <m/>
    <m/>
    <m/>
    <d v="1945-12-23T00:00:00"/>
    <m/>
    <x v="23"/>
  </r>
  <r>
    <s v="Morales"/>
    <s v="Gisbert"/>
    <s v="Rafael"/>
    <x v="479"/>
    <x v="238"/>
    <n v="0.40106999999999998"/>
    <m/>
    <m/>
    <m/>
    <m/>
    <m/>
    <m/>
    <m/>
    <m/>
    <m/>
    <m/>
    <d v="1966-04-13T00:00:00"/>
    <m/>
    <x v="14"/>
  </r>
  <r>
    <s v="Ballesteros"/>
    <s v="Briz"/>
    <s v="Vicente"/>
    <x v="438"/>
    <x v="239"/>
    <n v="0.54773000000000005"/>
    <m/>
    <m/>
    <m/>
    <m/>
    <m/>
    <m/>
    <m/>
    <m/>
    <m/>
    <m/>
    <d v="1951-06-01T00:00:00"/>
    <m/>
    <x v="137"/>
  </r>
  <r>
    <s v="Pareja"/>
    <s v="Garcia"/>
    <s v="Alfredo"/>
    <x v="480"/>
    <x v="239"/>
    <n v="1.857E-2"/>
    <m/>
    <m/>
    <m/>
    <m/>
    <m/>
    <m/>
    <m/>
    <m/>
    <m/>
    <m/>
    <d v="1948-06-01T00:00:00"/>
    <m/>
    <x v="137"/>
  </r>
  <r>
    <s v="Guluta"/>
    <m/>
    <s v="Ion"/>
    <x v="481"/>
    <x v="239"/>
    <n v="8.2100000000000003E-3"/>
    <m/>
    <m/>
    <m/>
    <m/>
    <m/>
    <m/>
    <m/>
    <m/>
    <m/>
    <m/>
    <d v="1973-05-22T00:00:00"/>
    <m/>
    <x v="137"/>
  </r>
  <r>
    <s v="Huesca"/>
    <s v="Castello"/>
    <s v="Pascual"/>
    <x v="409"/>
    <x v="239"/>
    <n v="1.289E-2"/>
    <m/>
    <m/>
    <m/>
    <m/>
    <m/>
    <m/>
    <m/>
    <m/>
    <m/>
    <m/>
    <d v="1953-05-21T00:00:00"/>
    <m/>
    <x v="173"/>
  </r>
  <r>
    <s v="Ferrando"/>
    <s v="Lopez"/>
    <s v="Jose Luis"/>
    <x v="482"/>
    <x v="240"/>
    <n v="2.9190000000000001E-2"/>
    <m/>
    <m/>
    <m/>
    <m/>
    <m/>
    <m/>
    <m/>
    <m/>
    <m/>
    <m/>
    <d v="1952-05-12T00:00:00"/>
    <m/>
    <x v="171"/>
  </r>
  <r>
    <s v="Oreja"/>
    <s v="Dosil"/>
    <s v="Saray"/>
    <x v="483"/>
    <x v="240"/>
    <n v="2.49E-3"/>
    <m/>
    <m/>
    <m/>
    <m/>
    <m/>
    <m/>
    <m/>
    <m/>
    <m/>
    <m/>
    <d v="1974-12-24T00:00:00"/>
    <m/>
    <x v="144"/>
  </r>
  <r>
    <s v="Morillo"/>
    <s v="Morillo"/>
    <s v="Amalia"/>
    <x v="484"/>
    <x v="240"/>
    <n v="5.5500000000000002E-3"/>
    <m/>
    <m/>
    <m/>
    <m/>
    <m/>
    <m/>
    <m/>
    <m/>
    <m/>
    <m/>
    <d v="1956-06-05T00:00:00"/>
    <m/>
    <x v="134"/>
  </r>
  <r>
    <s v="Vazquez"/>
    <s v="Granado"/>
    <s v="Dolores"/>
    <x v="485"/>
    <x v="241"/>
    <n v="1.1175900000000001"/>
    <m/>
    <m/>
    <m/>
    <m/>
    <m/>
    <m/>
    <m/>
    <m/>
    <m/>
    <m/>
    <d v="1954-04-13T00:00:00"/>
    <m/>
    <x v="174"/>
  </r>
  <r>
    <s v="Ballesteros"/>
    <s v="Garcia"/>
    <s v="Lidia"/>
    <x v="486"/>
    <x v="242"/>
    <n v="1.9000000000000001E-4"/>
    <m/>
    <m/>
    <m/>
    <m/>
    <m/>
    <m/>
    <m/>
    <m/>
    <m/>
    <m/>
    <d v="2006-08-23T00:00:00"/>
    <m/>
    <x v="157"/>
  </r>
  <r>
    <s v="Soria"/>
    <s v="Gallego"/>
    <s v="Azucena"/>
    <x v="274"/>
    <x v="242"/>
    <n v="1.1E-4"/>
    <m/>
    <m/>
    <m/>
    <m/>
    <m/>
    <m/>
    <m/>
    <m/>
    <m/>
    <m/>
    <d v="1970-11-23T00:00:00"/>
    <m/>
    <x v="157"/>
  </r>
  <r>
    <s v="Bonora"/>
    <s v="Casares"/>
    <s v="alfredo"/>
    <x v="487"/>
    <x v="242"/>
    <n v="2.3000000000000001E-4"/>
    <m/>
    <m/>
    <m/>
    <m/>
    <m/>
    <m/>
    <m/>
    <m/>
    <m/>
    <m/>
    <d v="1959-04-30T00:00:00"/>
    <m/>
    <x v="144"/>
  </r>
  <r>
    <s v="Garcia"/>
    <s v="Campillos"/>
    <s v="Manuel"/>
    <x v="488"/>
    <x v="242"/>
    <n v="1.933E-2"/>
    <m/>
    <m/>
    <m/>
    <m/>
    <m/>
    <m/>
    <m/>
    <m/>
    <m/>
    <m/>
    <d v="1971-04-02T00:00:00"/>
    <m/>
    <x v="43"/>
  </r>
  <r>
    <s v="Vidal"/>
    <s v="Huerta"/>
    <s v="Rosa M"/>
    <x v="489"/>
    <x v="242"/>
    <n v="0.17576"/>
    <m/>
    <m/>
    <m/>
    <m/>
    <m/>
    <m/>
    <m/>
    <m/>
    <m/>
    <m/>
    <d v="1965-02-21T00:00:00"/>
    <m/>
    <x v="14"/>
  </r>
  <r>
    <s v="Chaparro"/>
    <s v="Calleja"/>
    <s v="Antonio Luis"/>
    <x v="433"/>
    <x v="242"/>
    <n v="0.51471999999999996"/>
    <m/>
    <m/>
    <m/>
    <m/>
    <m/>
    <m/>
    <m/>
    <m/>
    <m/>
    <m/>
    <d v="1951-09-27T00:00:00"/>
    <m/>
    <x v="35"/>
  </r>
  <r>
    <s v="Losada"/>
    <s v="Quintero"/>
    <s v="Gonzalo Tadeo"/>
    <x v="450"/>
    <x v="243"/>
    <n v="2.8199999999999999E-2"/>
    <m/>
    <m/>
    <m/>
    <m/>
    <m/>
    <m/>
    <m/>
    <m/>
    <m/>
    <m/>
    <d v="2001-08-19T00:00:00"/>
    <m/>
    <x v="17"/>
  </r>
  <r>
    <s v="Guasp"/>
    <s v="Vizcaino"/>
    <s v="Ana Maria"/>
    <x v="490"/>
    <x v="243"/>
    <n v="0.11722"/>
    <m/>
    <m/>
    <m/>
    <m/>
    <m/>
    <m/>
    <m/>
    <m/>
    <m/>
    <m/>
    <d v="1938-06-08T00:00:00"/>
    <m/>
    <x v="134"/>
  </r>
  <r>
    <s v="Rus"/>
    <s v="Mompo"/>
    <s v="Antonio"/>
    <x v="491"/>
    <x v="243"/>
    <n v="6.2619999999999995E-2"/>
    <m/>
    <m/>
    <m/>
    <m/>
    <m/>
    <m/>
    <m/>
    <m/>
    <m/>
    <m/>
    <d v="1950-11-20T00:00:00"/>
    <m/>
    <x v="134"/>
  </r>
  <r>
    <s v="Roca"/>
    <s v="Julve"/>
    <s v="David"/>
    <x v="403"/>
    <x v="243"/>
    <n v="0.54207000000000005"/>
    <m/>
    <m/>
    <m/>
    <m/>
    <m/>
    <m/>
    <m/>
    <m/>
    <m/>
    <m/>
    <d v="1974-04-18T00:00:00"/>
    <m/>
    <x v="59"/>
  </r>
  <r>
    <s v="Martinez"/>
    <s v="Jodar"/>
    <s v="Vicente"/>
    <x v="492"/>
    <x v="243"/>
    <n v="2.453E-2"/>
    <m/>
    <m/>
    <m/>
    <m/>
    <m/>
    <m/>
    <m/>
    <m/>
    <m/>
    <m/>
    <d v="1953-10-18T00:00:00"/>
    <m/>
    <x v="175"/>
  </r>
  <r>
    <s v="Sevilla"/>
    <s v="Sierra"/>
    <s v="Antonio"/>
    <x v="493"/>
    <x v="244"/>
    <n v="4.8999999999999998E-4"/>
    <m/>
    <m/>
    <m/>
    <m/>
    <m/>
    <m/>
    <m/>
    <m/>
    <m/>
    <m/>
    <d v="1937-05-10T00:00:00"/>
    <m/>
    <x v="144"/>
  </r>
  <r>
    <s v="Castillo"/>
    <s v="Coronado"/>
    <s v="Pedro"/>
    <x v="494"/>
    <x v="244"/>
    <n v="4.8939999999999997E-2"/>
    <m/>
    <m/>
    <m/>
    <m/>
    <m/>
    <m/>
    <m/>
    <m/>
    <m/>
    <m/>
    <d v="1948-07-22T00:00:00"/>
    <m/>
    <x v="144"/>
  </r>
  <r>
    <s v="Requena"/>
    <s v="Centellas"/>
    <s v="Ascension"/>
    <x v="495"/>
    <x v="244"/>
    <n v="3.0400000000000002E-3"/>
    <m/>
    <m/>
    <m/>
    <m/>
    <m/>
    <m/>
    <m/>
    <m/>
    <m/>
    <m/>
    <d v="1956-05-30T00:00:00"/>
    <m/>
    <x v="144"/>
  </r>
  <r>
    <s v="Adrian"/>
    <s v="Sanchis"/>
    <s v="Jose"/>
    <x v="468"/>
    <x v="244"/>
    <n v="5.0800000000000003E-3"/>
    <m/>
    <m/>
    <m/>
    <m/>
    <m/>
    <m/>
    <m/>
    <m/>
    <m/>
    <m/>
    <d v="1952-05-18T00:00:00"/>
    <m/>
    <x v="144"/>
  </r>
  <r>
    <s v="Vaño"/>
    <s v="Gonzalez"/>
    <s v="Concepcion"/>
    <x v="437"/>
    <x v="244"/>
    <n v="0.11534999999999999"/>
    <m/>
    <m/>
    <m/>
    <m/>
    <m/>
    <m/>
    <m/>
    <m/>
    <m/>
    <m/>
    <d v="1944-09-07T00:00:00"/>
    <m/>
    <x v="17"/>
  </r>
  <r>
    <s v="Garcia"/>
    <s v="Parra"/>
    <s v="Alberto"/>
    <x v="496"/>
    <x v="244"/>
    <n v="0.32218999999999998"/>
    <m/>
    <m/>
    <m/>
    <m/>
    <m/>
    <m/>
    <m/>
    <m/>
    <m/>
    <m/>
    <d v="1976-11-15T00:00:00"/>
    <m/>
    <x v="136"/>
  </r>
  <r>
    <s v="Mena"/>
    <s v="Marco"/>
    <s v="Gabriel"/>
    <x v="497"/>
    <x v="244"/>
    <n v="0.19678999999999999"/>
    <m/>
    <m/>
    <m/>
    <m/>
    <m/>
    <m/>
    <m/>
    <m/>
    <m/>
    <m/>
    <d v="1990-04-16T00:00:00"/>
    <m/>
    <x v="82"/>
  </r>
  <r>
    <s v="San Bautista"/>
    <s v="Carbonell"/>
    <s v="Maria Jose"/>
    <x v="374"/>
    <x v="244"/>
    <n v="0.12267"/>
    <m/>
    <m/>
    <m/>
    <m/>
    <m/>
    <m/>
    <m/>
    <m/>
    <m/>
    <m/>
    <d v="1958-04-16T00:00:00"/>
    <m/>
    <x v="125"/>
  </r>
  <r>
    <s v="Baño"/>
    <s v="Caba"/>
    <s v="Josefa"/>
    <x v="498"/>
    <x v="245"/>
    <n v="0.15221000000000001"/>
    <m/>
    <m/>
    <m/>
    <m/>
    <m/>
    <m/>
    <m/>
    <m/>
    <m/>
    <m/>
    <d v="1964-12-10T00:00:00"/>
    <m/>
    <x v="159"/>
  </r>
  <r>
    <s v="Garrido"/>
    <s v="Martinez"/>
    <s v="Juan Vicente"/>
    <x v="400"/>
    <x v="245"/>
    <n v="1.9E-2"/>
    <m/>
    <m/>
    <m/>
    <m/>
    <m/>
    <m/>
    <m/>
    <m/>
    <m/>
    <m/>
    <d v="1964-02-02T00:00:00"/>
    <m/>
    <x v="17"/>
  </r>
  <r>
    <s v="Aguado"/>
    <s v="Mañez"/>
    <s v="M Angeles Juli"/>
    <x v="499"/>
    <x v="245"/>
    <n v="1.57E-3"/>
    <m/>
    <m/>
    <m/>
    <m/>
    <m/>
    <m/>
    <m/>
    <m/>
    <m/>
    <m/>
    <d v="1970-02-19T00:00:00"/>
    <m/>
    <x v="157"/>
  </r>
  <r>
    <s v="Pacheco"/>
    <s v="Ruiz"/>
    <s v="Juan Sebastian"/>
    <x v="500"/>
    <x v="245"/>
    <n v="2.4199999999999998E-3"/>
    <m/>
    <m/>
    <m/>
    <m/>
    <m/>
    <m/>
    <m/>
    <m/>
    <m/>
    <m/>
    <d v="1974-01-20T00:00:00"/>
    <m/>
    <x v="157"/>
  </r>
  <r>
    <s v="Andres"/>
    <s v="Pla"/>
    <s v="Francisco"/>
    <x v="501"/>
    <x v="246"/>
    <n v="4.5109999999999997E-2"/>
    <m/>
    <m/>
    <m/>
    <m/>
    <m/>
    <m/>
    <m/>
    <m/>
    <m/>
    <m/>
    <d v="1950-03-09T00:00:00"/>
    <m/>
    <x v="126"/>
  </r>
  <r>
    <s v="Delgado"/>
    <s v="Santos"/>
    <s v="Isidoro"/>
    <x v="502"/>
    <x v="246"/>
    <n v="0.31444"/>
    <m/>
    <m/>
    <m/>
    <m/>
    <m/>
    <m/>
    <m/>
    <m/>
    <m/>
    <m/>
    <d v="1957-05-08T00:00:00"/>
    <m/>
    <x v="163"/>
  </r>
  <r>
    <s v="Delgado"/>
    <s v="Santos"/>
    <s v="Isidoro"/>
    <x v="502"/>
    <x v="247"/>
    <n v="0.16342000000000001"/>
    <m/>
    <m/>
    <m/>
    <m/>
    <m/>
    <m/>
    <m/>
    <m/>
    <m/>
    <m/>
    <d v="1957-05-08T00:00:00"/>
    <m/>
    <x v="163"/>
  </r>
  <r>
    <s v="Delgado"/>
    <s v="Santos"/>
    <s v="Isidoro"/>
    <x v="502"/>
    <x v="248"/>
    <n v="2.785E-2"/>
    <m/>
    <m/>
    <m/>
    <m/>
    <m/>
    <m/>
    <m/>
    <m/>
    <m/>
    <m/>
    <d v="1957-05-08T00:00:00"/>
    <m/>
    <x v="163"/>
  </r>
  <r>
    <s v="Garrido"/>
    <s v="Exposito"/>
    <s v="Carlos"/>
    <x v="503"/>
    <x v="249"/>
    <n v="0.57764000000000004"/>
    <m/>
    <m/>
    <m/>
    <m/>
    <m/>
    <m/>
    <m/>
    <m/>
    <m/>
    <m/>
    <d v="1979-02-02T00:00:00"/>
    <m/>
    <x v="176"/>
  </r>
  <r>
    <s v="Fernandez"/>
    <s v="Sarralde"/>
    <s v="Juan Antonio"/>
    <x v="363"/>
    <x v="250"/>
    <n v="0.12392"/>
    <m/>
    <m/>
    <m/>
    <m/>
    <m/>
    <m/>
    <m/>
    <m/>
    <m/>
    <m/>
    <d v="1955-03-29T00:00:00"/>
    <m/>
    <x v="149"/>
  </r>
  <r>
    <s v="Martin"/>
    <s v="Ramon"/>
    <s v="Jose Vicente"/>
    <x v="504"/>
    <x v="250"/>
    <n v="3.3649999999999999E-2"/>
    <m/>
    <m/>
    <m/>
    <m/>
    <m/>
    <m/>
    <m/>
    <m/>
    <m/>
    <m/>
    <d v="1961-08-10T00:00:00"/>
    <m/>
    <x v="143"/>
  </r>
  <r>
    <s v="Gil"/>
    <s v="Guillem"/>
    <s v="Vicente"/>
    <x v="505"/>
    <x v="250"/>
    <n v="0.95455000000000001"/>
    <m/>
    <m/>
    <m/>
    <m/>
    <m/>
    <m/>
    <m/>
    <m/>
    <m/>
    <m/>
    <d v="1941-02-20T00:00:00"/>
    <m/>
    <x v="57"/>
  </r>
  <r>
    <s v="Amber"/>
    <s v="Martinez"/>
    <s v="Josefina"/>
    <x v="280"/>
    <x v="250"/>
    <n v="2.3619999999999999E-2"/>
    <m/>
    <m/>
    <m/>
    <m/>
    <m/>
    <m/>
    <m/>
    <m/>
    <m/>
    <m/>
    <d v="1958-06-03T00:00:00"/>
    <m/>
    <x v="143"/>
  </r>
  <r>
    <s v="Mares"/>
    <s v="Gros"/>
    <s v="Antonia"/>
    <x v="506"/>
    <x v="251"/>
    <n v="0.39411000000000002"/>
    <m/>
    <m/>
    <m/>
    <m/>
    <m/>
    <m/>
    <m/>
    <m/>
    <m/>
    <m/>
    <d v="1949-07-31T00:00:00"/>
    <m/>
    <x v="177"/>
  </r>
  <r>
    <s v="Magnanelli"/>
    <m/>
    <s v="Fernando Domingo"/>
    <x v="507"/>
    <x v="251"/>
    <n v="0.16678999999999999"/>
    <m/>
    <m/>
    <m/>
    <m/>
    <m/>
    <m/>
    <m/>
    <m/>
    <m/>
    <m/>
    <d v="1955-12-23T00:00:00"/>
    <m/>
    <x v="16"/>
  </r>
  <r>
    <s v="Molla"/>
    <s v="Rudy"/>
    <s v="Yan"/>
    <x v="508"/>
    <x v="251"/>
    <n v="0.11255"/>
    <m/>
    <m/>
    <m/>
    <m/>
    <m/>
    <m/>
    <m/>
    <m/>
    <m/>
    <m/>
    <d v="1985-04-28T00:00:00"/>
    <m/>
    <x v="126"/>
  </r>
  <r>
    <s v="Huesca"/>
    <s v="Castello"/>
    <s v="Pascual"/>
    <x v="409"/>
    <x v="251"/>
    <n v="2.3400000000000001E-2"/>
    <m/>
    <m/>
    <m/>
    <m/>
    <m/>
    <m/>
    <m/>
    <m/>
    <m/>
    <m/>
    <d v="1952-05-21T00:00:00"/>
    <m/>
    <x v="17"/>
  </r>
  <r>
    <s v="Cañas"/>
    <s v="Aguilar"/>
    <s v="M Francisca"/>
    <x v="509"/>
    <x v="251"/>
    <n v="0.10861999999999999"/>
    <m/>
    <m/>
    <m/>
    <m/>
    <m/>
    <m/>
    <m/>
    <m/>
    <m/>
    <m/>
    <d v="1950-12-30T00:00:00"/>
    <m/>
    <x v="178"/>
  </r>
  <r>
    <s v="Agullo"/>
    <s v="Díaz"/>
    <s v="Tomas"/>
    <x v="510"/>
    <x v="251"/>
    <n v="3.10968"/>
    <m/>
    <m/>
    <m/>
    <m/>
    <m/>
    <m/>
    <m/>
    <m/>
    <m/>
    <m/>
    <d v="1940-04-14T00:00:00"/>
    <m/>
    <x v="2"/>
  </r>
  <r>
    <s v="Ramos"/>
    <s v="Villodre"/>
    <s v="Eduardo"/>
    <x v="511"/>
    <x v="252"/>
    <s v="No tiene"/>
    <m/>
    <m/>
    <m/>
    <m/>
    <m/>
    <m/>
    <m/>
    <m/>
    <m/>
    <m/>
    <d v="1940-04-17T00:00:00"/>
    <m/>
    <x v="16"/>
  </r>
  <r>
    <s v="Tendero"/>
    <s v="Barcelo"/>
    <s v="Maria Dolores"/>
    <x v="512"/>
    <x v="252"/>
    <n v="0.12623000000000001"/>
    <m/>
    <m/>
    <m/>
    <m/>
    <m/>
    <m/>
    <m/>
    <m/>
    <m/>
    <m/>
    <d v="1961-03-20T00:00:00"/>
    <m/>
    <x v="16"/>
  </r>
  <r>
    <s v="Castaño"/>
    <s v="Encina"/>
    <s v="M Carmen"/>
    <x v="513"/>
    <x v="252"/>
    <n v="2.759E-2"/>
    <m/>
    <m/>
    <m/>
    <m/>
    <m/>
    <m/>
    <m/>
    <m/>
    <m/>
    <m/>
    <d v="1950-11-28T00:00:00"/>
    <m/>
    <x v="16"/>
  </r>
  <r>
    <s v="Garcia"/>
    <s v="Furio"/>
    <s v="M Antonia"/>
    <x v="514"/>
    <x v="252"/>
    <s v="No tiene"/>
    <m/>
    <m/>
    <m/>
    <m/>
    <m/>
    <m/>
    <m/>
    <m/>
    <m/>
    <m/>
    <d v="1948-10-15T00:00:00"/>
    <m/>
    <x v="16"/>
  </r>
  <r>
    <s v="Gil"/>
    <s v="Guillem"/>
    <s v="Vicente"/>
    <x v="505"/>
    <x v="252"/>
    <n v="3.0120000000000001E-2"/>
    <m/>
    <m/>
    <m/>
    <m/>
    <m/>
    <m/>
    <m/>
    <m/>
    <m/>
    <m/>
    <d v="1941-02-20T00:00:00"/>
    <m/>
    <x v="17"/>
  </r>
  <r>
    <s v="Guinot"/>
    <s v="Alvaro"/>
    <s v="Dolores"/>
    <x v="515"/>
    <x v="252"/>
    <n v="7.6259999999999994E-2"/>
    <m/>
    <m/>
    <m/>
    <m/>
    <m/>
    <m/>
    <m/>
    <m/>
    <m/>
    <m/>
    <d v="1935-08-06T00:00:00"/>
    <m/>
    <x v="163"/>
  </r>
  <r>
    <s v="Ruiz"/>
    <s v="Alamo"/>
    <s v="Jose Arturo"/>
    <x v="516"/>
    <x v="252"/>
    <n v="0.17508000000000001"/>
    <m/>
    <m/>
    <m/>
    <m/>
    <m/>
    <m/>
    <m/>
    <m/>
    <m/>
    <m/>
    <d v="1951-10-20T00:00:00"/>
    <m/>
    <x v="23"/>
  </r>
  <r>
    <s v="Portales"/>
    <s v="Baldo"/>
    <s v="Emilio"/>
    <x v="517"/>
    <x v="253"/>
    <n v="9.2429999999999998E-2"/>
    <m/>
    <m/>
    <m/>
    <m/>
    <m/>
    <m/>
    <m/>
    <m/>
    <m/>
    <m/>
    <d v="1964-11-17T00:00:00"/>
    <m/>
    <x v="16"/>
  </r>
  <r>
    <s v="Adan"/>
    <s v="Berradre"/>
    <s v="Maria Soraya"/>
    <x v="518"/>
    <x v="253"/>
    <n v="0.25568000000000002"/>
    <m/>
    <m/>
    <m/>
    <m/>
    <m/>
    <m/>
    <m/>
    <m/>
    <m/>
    <m/>
    <d v="1984-03-14T00:00:00"/>
    <m/>
    <x v="16"/>
  </r>
  <r>
    <s v="Guinot"/>
    <s v="Alvaro"/>
    <s v="Dolores"/>
    <x v="515"/>
    <x v="253"/>
    <n v="1.255E-2"/>
    <m/>
    <m/>
    <m/>
    <m/>
    <m/>
    <m/>
    <m/>
    <m/>
    <m/>
    <m/>
    <d v="1935-08-06T00:00:00"/>
    <m/>
    <x v="179"/>
  </r>
  <r>
    <s v="Ballesteros"/>
    <s v="Briz"/>
    <s v="Vicente"/>
    <x v="438"/>
    <x v="253"/>
    <n v="0.11452"/>
    <m/>
    <m/>
    <m/>
    <m/>
    <m/>
    <m/>
    <m/>
    <m/>
    <m/>
    <m/>
    <d v="1951-06-01T00:00:00"/>
    <m/>
    <x v="143"/>
  </r>
  <r>
    <s v="Mushimi"/>
    <s v="Kanyengwe"/>
    <s v="Yvette"/>
    <x v="519"/>
    <x v="254"/>
    <n v="0.12146999999999999"/>
    <m/>
    <m/>
    <m/>
    <m/>
    <m/>
    <m/>
    <m/>
    <m/>
    <m/>
    <m/>
    <d v="1972-11-28T00:00:00"/>
    <m/>
    <x v="16"/>
  </r>
  <r>
    <s v="Raga"/>
    <s v="Almudever"/>
    <s v="Concepcion"/>
    <x v="520"/>
    <x v="254"/>
    <n v="0.18865000000000001"/>
    <m/>
    <m/>
    <m/>
    <m/>
    <m/>
    <m/>
    <m/>
    <m/>
    <m/>
    <m/>
    <d v="1944-02-05T00:00:00"/>
    <m/>
    <x v="16"/>
  </r>
  <r>
    <s v="Fernandez"/>
    <s v="Gimenez"/>
    <s v="Carmen"/>
    <x v="521"/>
    <x v="254"/>
    <n v="0.16464000000000001"/>
    <m/>
    <m/>
    <m/>
    <m/>
    <m/>
    <m/>
    <m/>
    <m/>
    <m/>
    <m/>
    <d v="1992-05-22T00:00:00"/>
    <m/>
    <x v="139"/>
  </r>
  <r>
    <s v="Rojas"/>
    <s v="Fontalba"/>
    <s v="Antonio"/>
    <x v="522"/>
    <x v="254"/>
    <n v="6.4280000000000004E-2"/>
    <m/>
    <m/>
    <m/>
    <m/>
    <m/>
    <m/>
    <m/>
    <m/>
    <m/>
    <m/>
    <d v="1963-01-12T00:00:00"/>
    <m/>
    <x v="58"/>
  </r>
  <r>
    <s v="Beneyto"/>
    <s v="Molina"/>
    <s v="Jose"/>
    <x v="523"/>
    <x v="254"/>
    <n v="1.3139400000000001"/>
    <m/>
    <m/>
    <m/>
    <m/>
    <m/>
    <m/>
    <m/>
    <m/>
    <m/>
    <m/>
    <d v="1952-10-18T00:00:00"/>
    <m/>
    <x v="153"/>
  </r>
  <r>
    <s v="Fernandez"/>
    <s v="Gimenez"/>
    <s v="Carmen"/>
    <x v="521"/>
    <x v="254"/>
    <n v="0.16464000000000001"/>
    <m/>
    <m/>
    <m/>
    <m/>
    <m/>
    <m/>
    <m/>
    <m/>
    <m/>
    <m/>
    <d v="1992-05-22T00:00:00"/>
    <m/>
    <x v="115"/>
  </r>
  <r>
    <s v="Cherino"/>
    <s v="Talens"/>
    <s v="Margarita"/>
    <x v="524"/>
    <x v="255"/>
    <n v="5.62E-3"/>
    <m/>
    <m/>
    <m/>
    <m/>
    <m/>
    <m/>
    <m/>
    <m/>
    <m/>
    <m/>
    <d v="1975-06-10T00:00:00"/>
    <m/>
    <x v="154"/>
  </r>
  <r>
    <s v="Martinez"/>
    <s v="Gonzalez"/>
    <s v="Jose Ignacio"/>
    <x v="525"/>
    <x v="255"/>
    <n v="1.6310000000000002E-2"/>
    <m/>
    <m/>
    <m/>
    <m/>
    <m/>
    <m/>
    <m/>
    <m/>
    <m/>
    <m/>
    <d v="1955-12-30T00:00:00"/>
    <m/>
    <x v="17"/>
  </r>
  <r>
    <s v="Garcia"/>
    <s v="Soldevilla"/>
    <s v="Julio Antonio"/>
    <x v="526"/>
    <x v="255"/>
    <n v="1.7010000000000001E-2"/>
    <m/>
    <m/>
    <m/>
    <m/>
    <m/>
    <m/>
    <m/>
    <m/>
    <m/>
    <m/>
    <d v="1966-04-27T00:00:00"/>
    <m/>
    <x v="144"/>
  </r>
  <r>
    <s v="Perez"/>
    <s v="Navamuel"/>
    <s v="Jesus Vitores"/>
    <x v="527"/>
    <x v="255"/>
    <n v="4.1153199999999996"/>
    <m/>
    <m/>
    <m/>
    <m/>
    <m/>
    <m/>
    <m/>
    <m/>
    <m/>
    <m/>
    <d v="1947-10-07T00:00:00"/>
    <m/>
    <x v="9"/>
  </r>
  <r>
    <s v="Lacueva"/>
    <s v="Perez"/>
    <s v="Josefa"/>
    <x v="528"/>
    <x v="255"/>
    <n v="0.42487999999999998"/>
    <m/>
    <m/>
    <m/>
    <m/>
    <m/>
    <m/>
    <m/>
    <m/>
    <m/>
    <m/>
    <d v="1945-12-29T00:00:00"/>
    <m/>
    <x v="16"/>
  </r>
  <r>
    <s v="Frigols"/>
    <s v="Vila"/>
    <s v="Maria Esther"/>
    <x v="529"/>
    <x v="255"/>
    <n v="5.2399999999999999E-3"/>
    <m/>
    <m/>
    <m/>
    <m/>
    <m/>
    <m/>
    <m/>
    <m/>
    <m/>
    <m/>
    <d v="1974-08-22T00:00:00"/>
    <m/>
    <x v="180"/>
  </r>
  <r>
    <s v="Jimenez"/>
    <s v="Rivas"/>
    <s v="Antonio"/>
    <x v="530"/>
    <x v="255"/>
    <n v="2.3E-3"/>
    <m/>
    <m/>
    <m/>
    <m/>
    <m/>
    <m/>
    <m/>
    <m/>
    <m/>
    <m/>
    <d v="1967-12-16T00:00:00"/>
    <m/>
    <x v="157"/>
  </r>
  <r>
    <s v="Amber"/>
    <s v="Martinez"/>
    <s v="Josefina"/>
    <x v="280"/>
    <x v="255"/>
    <n v="1.601E-2"/>
    <m/>
    <m/>
    <m/>
    <m/>
    <m/>
    <m/>
    <m/>
    <m/>
    <m/>
    <m/>
    <d v="1958-06-03T00:00:00"/>
    <m/>
    <x v="17"/>
  </r>
  <r>
    <s v="Nieto"/>
    <s v="Bueno"/>
    <s v="Margarita"/>
    <x v="531"/>
    <x v="255"/>
    <n v="3.4346000000000001"/>
    <m/>
    <m/>
    <m/>
    <m/>
    <m/>
    <m/>
    <m/>
    <m/>
    <m/>
    <m/>
    <d v="1947-11-13T00:00:00"/>
    <m/>
    <x v="181"/>
  </r>
  <r>
    <s v="Morant"/>
    <s v="Muñoz"/>
    <s v="Josefina"/>
    <x v="532"/>
    <x v="256"/>
    <n v="8.5400000000000007E-3"/>
    <m/>
    <m/>
    <m/>
    <m/>
    <m/>
    <m/>
    <m/>
    <m/>
    <m/>
    <m/>
    <d v="1938-07-03T00:00:00"/>
    <m/>
    <x v="17"/>
  </r>
  <r>
    <s v="Insaurralde"/>
    <s v="Garcia"/>
    <s v="Lidia Rosa"/>
    <x v="533"/>
    <x v="256"/>
    <n v="4.5100000000000001E-3"/>
    <m/>
    <m/>
    <m/>
    <m/>
    <m/>
    <m/>
    <m/>
    <m/>
    <m/>
    <m/>
    <d v="1985-02-06T00:00:00"/>
    <m/>
    <x v="38"/>
  </r>
  <r>
    <s v="Aracil"/>
    <s v="Viana"/>
    <s v="Jose Francisco"/>
    <x v="379"/>
    <x v="256"/>
    <n v="0.55408000000000002"/>
    <m/>
    <m/>
    <m/>
    <m/>
    <m/>
    <m/>
    <m/>
    <m/>
    <m/>
    <m/>
    <d v="1947-06-11T00:00:00"/>
    <m/>
    <x v="57"/>
  </r>
  <r>
    <s v="Olmo"/>
    <s v="Rubio"/>
    <s v="Carmen"/>
    <x v="534"/>
    <x v="256"/>
    <n v="0.86882999999999999"/>
    <m/>
    <m/>
    <m/>
    <m/>
    <m/>
    <m/>
    <m/>
    <m/>
    <m/>
    <m/>
    <d v="1974-08-15T00:00:00"/>
    <m/>
    <x v="182"/>
  </r>
  <r>
    <s v="Ferris"/>
    <s v="Villalba"/>
    <s v="Esther"/>
    <x v="535"/>
    <x v="256"/>
    <n v="3.2599999999999999E-3"/>
    <m/>
    <m/>
    <m/>
    <m/>
    <m/>
    <m/>
    <m/>
    <m/>
    <m/>
    <m/>
    <d v="1989-03-30T00:00:00"/>
    <m/>
    <x v="183"/>
  </r>
  <r>
    <s v="Fernandez"/>
    <s v="Guasch"/>
    <s v="Francisca"/>
    <x v="536"/>
    <x v="256"/>
    <n v="8.9300000000000004E-3"/>
    <m/>
    <m/>
    <m/>
    <m/>
    <m/>
    <m/>
    <m/>
    <m/>
    <m/>
    <m/>
    <d v="1982-08-13T00:00:00"/>
    <m/>
    <x v="183"/>
  </r>
  <r>
    <s v="Fluture"/>
    <m/>
    <s v="Veronica Mariana"/>
    <x v="537"/>
    <x v="257"/>
    <n v="4.13E-3"/>
    <m/>
    <m/>
    <m/>
    <m/>
    <m/>
    <m/>
    <m/>
    <m/>
    <m/>
    <m/>
    <d v="1992-05-10T00:00:00"/>
    <m/>
    <x v="184"/>
  </r>
  <r>
    <s v="Picaso"/>
    <s v="Ruiz"/>
    <s v="Benito"/>
    <x v="538"/>
    <x v="257"/>
    <n v="0.83816999999999997"/>
    <m/>
    <m/>
    <m/>
    <m/>
    <m/>
    <m/>
    <m/>
    <m/>
    <m/>
    <m/>
    <d v="1946-07-10T00:00:00"/>
    <m/>
    <x v="153"/>
  </r>
  <r>
    <s v="Alvarez"/>
    <s v="Tur"/>
    <s v="Laura"/>
    <x v="539"/>
    <x v="258"/>
    <n v="7.6539999999999997E-2"/>
    <m/>
    <m/>
    <m/>
    <m/>
    <m/>
    <m/>
    <m/>
    <m/>
    <m/>
    <m/>
    <d v="1954-12-31T00:00:00"/>
    <m/>
    <x v="58"/>
  </r>
  <r>
    <s v="Ismagilova"/>
    <m/>
    <s v="Elvira"/>
    <x v="540"/>
    <x v="258"/>
    <n v="0.26922000000000001"/>
    <m/>
    <m/>
    <m/>
    <m/>
    <m/>
    <m/>
    <m/>
    <m/>
    <m/>
    <m/>
    <d v="1979-07-27T00:00:00"/>
    <m/>
    <x v="26"/>
  </r>
  <r>
    <s v="Iznardo"/>
    <s v="Olivert"/>
    <s v="M Carmen"/>
    <x v="327"/>
    <x v="259"/>
    <n v="4.5799999999999999E-3"/>
    <m/>
    <m/>
    <m/>
    <m/>
    <m/>
    <m/>
    <m/>
    <m/>
    <m/>
    <m/>
    <d v="1969-08-23T00:00:00"/>
    <m/>
    <x v="157"/>
  </r>
  <r>
    <s v="Carbunaru"/>
    <m/>
    <s v="Liviu"/>
    <x v="541"/>
    <x v="259"/>
    <n v="3.0589999999999999E-2"/>
    <m/>
    <m/>
    <m/>
    <m/>
    <m/>
    <m/>
    <m/>
    <m/>
    <m/>
    <m/>
    <d v="1975-06-02T00:00:00"/>
    <m/>
    <x v="148"/>
  </r>
  <r>
    <s v="Gil"/>
    <s v="Guillem"/>
    <s v="Vicente"/>
    <x v="505"/>
    <x v="259"/>
    <n v="0.14423"/>
    <m/>
    <m/>
    <m/>
    <m/>
    <m/>
    <m/>
    <m/>
    <m/>
    <m/>
    <m/>
    <d v="1941-02-20T00:00:00"/>
    <m/>
    <x v="138"/>
  </r>
  <r>
    <s v="Orti"/>
    <s v="Muedra"/>
    <s v="Salvador"/>
    <x v="542"/>
    <x v="259"/>
    <n v="1.46"/>
    <m/>
    <m/>
    <m/>
    <m/>
    <m/>
    <m/>
    <m/>
    <m/>
    <m/>
    <m/>
    <d v="1941-04-04T00:00:00"/>
    <m/>
    <x v="185"/>
  </r>
  <r>
    <s v="Gheorghe"/>
    <m/>
    <s v="Constantin"/>
    <x v="543"/>
    <x v="260"/>
    <n v="0.14812"/>
    <m/>
    <m/>
    <m/>
    <m/>
    <m/>
    <m/>
    <m/>
    <m/>
    <m/>
    <m/>
    <d v="1953-12-31T00:00:00"/>
    <m/>
    <x v="54"/>
  </r>
  <r>
    <s v="Torrijos"/>
    <s v="Valencia"/>
    <s v="Pedro"/>
    <x v="544"/>
    <x v="260"/>
    <n v="2.32918"/>
    <m/>
    <m/>
    <m/>
    <m/>
    <m/>
    <m/>
    <m/>
    <m/>
    <m/>
    <m/>
    <d v="1945-12-08T00:00:00"/>
    <m/>
    <x v="166"/>
  </r>
  <r>
    <s v="Cedeño"/>
    <s v="Marcano"/>
    <s v="Jose Miguel"/>
    <x v="545"/>
    <x v="260"/>
    <n v="2.6"/>
    <m/>
    <m/>
    <m/>
    <m/>
    <m/>
    <m/>
    <m/>
    <m/>
    <m/>
    <m/>
    <d v="1970-03-19T00:00:00"/>
    <m/>
    <x v="168"/>
  </r>
  <r>
    <s v="Romero"/>
    <s v="Leon"/>
    <s v="Maria"/>
    <x v="546"/>
    <x v="261"/>
    <n v="0.26273000000000002"/>
    <m/>
    <m/>
    <m/>
    <m/>
    <m/>
    <m/>
    <m/>
    <m/>
    <m/>
    <m/>
    <d v="1942-11-07T00:00:00"/>
    <m/>
    <x v="16"/>
  </r>
  <r>
    <s v="Peiro"/>
    <s v="Giner"/>
    <s v="Pilar"/>
    <x v="547"/>
    <x v="261"/>
    <n v="0.97111499999999995"/>
    <m/>
    <m/>
    <m/>
    <m/>
    <m/>
    <m/>
    <m/>
    <m/>
    <m/>
    <m/>
    <d v="1951-10-12T00:00:00"/>
    <m/>
    <x v="16"/>
  </r>
  <r>
    <s v="Cruz"/>
    <s v="Diana"/>
    <s v="Rafael"/>
    <x v="548"/>
    <x v="261"/>
    <n v="3.644E-2"/>
    <m/>
    <m/>
    <m/>
    <m/>
    <m/>
    <m/>
    <m/>
    <m/>
    <m/>
    <m/>
    <d v="1963-10-17T00:00:00"/>
    <m/>
    <x v="20"/>
  </r>
  <r>
    <s v="Huesca"/>
    <s v="Castello"/>
    <s v="Pascual"/>
    <x v="409"/>
    <x v="261"/>
    <n v="7.145E-2"/>
    <m/>
    <m/>
    <m/>
    <m/>
    <m/>
    <m/>
    <m/>
    <m/>
    <m/>
    <m/>
    <d v="1952-05-21T00:00:00"/>
    <m/>
    <x v="59"/>
  </r>
  <r>
    <s v="La Roda"/>
    <s v="Escribano"/>
    <s v="Enrique"/>
    <x v="549"/>
    <x v="262"/>
    <n v="4.7509999999999997E-2"/>
    <m/>
    <m/>
    <m/>
    <m/>
    <m/>
    <m/>
    <m/>
    <m/>
    <m/>
    <m/>
    <d v="1960-02-10T00:00:00"/>
    <m/>
    <x v="50"/>
  </r>
  <r>
    <s v="Ruiz"/>
    <s v="Luja"/>
    <s v="Daniela"/>
    <x v="550"/>
    <x v="262"/>
    <n v="0.45500000000000002"/>
    <m/>
    <m/>
    <m/>
    <m/>
    <m/>
    <m/>
    <m/>
    <m/>
    <m/>
    <m/>
    <d v="1963-01-31T00:00:00"/>
    <m/>
    <x v="180"/>
  </r>
  <r>
    <s v="Lopez"/>
    <s v="Gomez"/>
    <s v="Trinidad"/>
    <x v="551"/>
    <x v="262"/>
    <n v="3.4299999999999999E-3"/>
    <m/>
    <m/>
    <m/>
    <m/>
    <m/>
    <m/>
    <m/>
    <m/>
    <m/>
    <m/>
    <d v="1946-06-02T00:00:00"/>
    <m/>
    <x v="186"/>
  </r>
  <r>
    <s v="Xuezhen"/>
    <m/>
    <s v="Li"/>
    <x v="552"/>
    <x v="262"/>
    <n v="0.29894999999999999"/>
    <m/>
    <m/>
    <m/>
    <m/>
    <m/>
    <m/>
    <m/>
    <m/>
    <m/>
    <m/>
    <d v="1970-05-05T00:00:00"/>
    <m/>
    <x v="187"/>
  </r>
  <r>
    <s v="Alvarez"/>
    <s v="Tur"/>
    <s v="Laura"/>
    <x v="539"/>
    <x v="262"/>
    <n v="2.1099999999999999E-3"/>
    <m/>
    <m/>
    <m/>
    <m/>
    <m/>
    <m/>
    <m/>
    <m/>
    <m/>
    <m/>
    <d v="1984-12-31T00:00:00"/>
    <m/>
    <x v="157"/>
  </r>
  <r>
    <s v="Navarro"/>
    <s v="Pelecha"/>
    <s v="Vicente"/>
    <x v="553"/>
    <x v="262"/>
    <n v="0.64298"/>
    <m/>
    <m/>
    <m/>
    <m/>
    <m/>
    <m/>
    <m/>
    <m/>
    <m/>
    <m/>
    <d v="1950-12-07T00:00:00"/>
    <m/>
    <x v="14"/>
  </r>
  <r>
    <s v="Hurtado"/>
    <s v="Marques"/>
    <s v="Juan Carlos"/>
    <x v="554"/>
    <x v="263"/>
    <n v="4.6699999999999997E-3"/>
    <m/>
    <m/>
    <m/>
    <m/>
    <m/>
    <m/>
    <m/>
    <m/>
    <m/>
    <m/>
    <d v="1962-05-08T00:00:00"/>
    <m/>
    <x v="54"/>
  </r>
  <r>
    <s v="Borrego"/>
    <s v="Ledesma"/>
    <s v="Antonia"/>
    <x v="555"/>
    <x v="264"/>
    <n v="1.8950000000000002E-2"/>
    <m/>
    <m/>
    <m/>
    <m/>
    <m/>
    <m/>
    <m/>
    <m/>
    <m/>
    <m/>
    <d v="1955-11-21T00:00:00"/>
    <m/>
    <x v="188"/>
  </r>
  <r>
    <s v="Medina i"/>
    <s v="Rodrigo"/>
    <s v="Josep"/>
    <x v="556"/>
    <x v="264"/>
    <n v="1.3172900000000001"/>
    <m/>
    <m/>
    <m/>
    <m/>
    <m/>
    <m/>
    <m/>
    <m/>
    <m/>
    <m/>
    <d v="2021-10-24T00:00:00"/>
    <m/>
    <x v="61"/>
  </r>
  <r>
    <s v="Iznardo"/>
    <s v="Oliver"/>
    <s v="M Carmen"/>
    <x v="327"/>
    <x v="264"/>
    <n v="0.29304000000000002"/>
    <m/>
    <m/>
    <m/>
    <m/>
    <m/>
    <m/>
    <m/>
    <m/>
    <m/>
    <m/>
    <d v="1969-08-23T00:00:00"/>
    <m/>
    <x v="143"/>
  </r>
  <r>
    <s v="Peiro"/>
    <s v="Gomez"/>
    <s v="Salvador"/>
    <x v="557"/>
    <x v="265"/>
    <n v="7.5590000000000004E-2"/>
    <m/>
    <m/>
    <m/>
    <m/>
    <m/>
    <m/>
    <m/>
    <m/>
    <m/>
    <m/>
    <d v="1951-11-30T00:00:00"/>
    <m/>
    <x v="143"/>
  </r>
  <r>
    <s v="Orti "/>
    <s v="Muedra"/>
    <s v="Salvador"/>
    <x v="542"/>
    <x v="265"/>
    <n v="0.27879999999999999"/>
    <m/>
    <m/>
    <m/>
    <m/>
    <m/>
    <m/>
    <m/>
    <m/>
    <m/>
    <m/>
    <d v="1941-04-04T00:00:00"/>
    <m/>
    <x v="185"/>
  </r>
  <r>
    <s v="Sanz"/>
    <s v="Rincon"/>
    <s v="Laura"/>
    <x v="558"/>
    <x v="266"/>
    <n v="0.2545"/>
    <m/>
    <m/>
    <m/>
    <m/>
    <m/>
    <m/>
    <m/>
    <m/>
    <m/>
    <m/>
    <d v="1979-03-24T00:00:00"/>
    <m/>
    <x v="189"/>
  </r>
  <r>
    <s v="Rodriguez"/>
    <s v="Martinez"/>
    <s v="Virginia Ela"/>
    <x v="559"/>
    <x v="266"/>
    <n v="7.4999999999999997E-2"/>
    <m/>
    <m/>
    <m/>
    <m/>
    <m/>
    <m/>
    <m/>
    <m/>
    <m/>
    <m/>
    <d v="1955-10-08T00:00:00"/>
    <m/>
    <x v="190"/>
  </r>
  <r>
    <s v="Martinez"/>
    <s v="Jimenez"/>
    <s v="Esteban"/>
    <x v="312"/>
    <x v="266"/>
    <n v="0.79412000000000005"/>
    <m/>
    <m/>
    <m/>
    <m/>
    <m/>
    <m/>
    <m/>
    <m/>
    <m/>
    <m/>
    <d v="1964-08-14T00:00:00"/>
    <m/>
    <x v="35"/>
  </r>
  <r>
    <s v="Rodriguez"/>
    <s v="Martinez"/>
    <s v="Virginia Ela"/>
    <x v="559"/>
    <x v="267"/>
    <n v="1.2579999999999999E-2"/>
    <m/>
    <m/>
    <m/>
    <m/>
    <m/>
    <m/>
    <m/>
    <m/>
    <m/>
    <m/>
    <d v="1955-10-08T00:00:00"/>
    <m/>
    <x v="172"/>
  </r>
  <r>
    <s v="Pinter"/>
    <s v="Pla"/>
    <s v="Victoria"/>
    <x v="288"/>
    <x v="267"/>
    <n v="3.3400000000000001E-3"/>
    <m/>
    <m/>
    <m/>
    <m/>
    <m/>
    <m/>
    <m/>
    <m/>
    <m/>
    <m/>
    <d v="1966-08-14T00:00:00"/>
    <m/>
    <x v="183"/>
  </r>
  <r>
    <s v="Baño"/>
    <s v="Caba"/>
    <s v="Josefa"/>
    <x v="498"/>
    <x v="267"/>
    <n v="7.1529999999999996E-3"/>
    <m/>
    <m/>
    <m/>
    <m/>
    <m/>
    <m/>
    <m/>
    <m/>
    <m/>
    <m/>
    <d v="1964-12-10T00:00:00"/>
    <m/>
    <x v="137"/>
  </r>
  <r>
    <s v="Solian"/>
    <s v="Indoitu"/>
    <s v="Valentina"/>
    <x v="560"/>
    <x v="268"/>
    <n v="0.99973000000000001"/>
    <m/>
    <m/>
    <m/>
    <m/>
    <m/>
    <m/>
    <m/>
    <m/>
    <m/>
    <m/>
    <d v="1960-11-12T00:00:00"/>
    <m/>
    <x v="29"/>
  </r>
  <r>
    <s v="Saturino"/>
    <s v="Santiago"/>
    <s v="Iluminado"/>
    <x v="561"/>
    <x v="268"/>
    <n v="0.35904000000000003"/>
    <m/>
    <m/>
    <m/>
    <m/>
    <m/>
    <m/>
    <m/>
    <m/>
    <m/>
    <m/>
    <d v="1976-12-28T00:00:00"/>
    <m/>
    <x v="16"/>
  </r>
  <r>
    <s v="Iznardo"/>
    <s v="Olivert"/>
    <s v="M Carmen"/>
    <x v="327"/>
    <x v="268"/>
    <n v="1.7099999999999999E-3"/>
    <m/>
    <m/>
    <m/>
    <m/>
    <m/>
    <m/>
    <m/>
    <m/>
    <m/>
    <m/>
    <d v="1969-08-23T00:00:00"/>
    <m/>
    <x v="17"/>
  </r>
  <r>
    <s v="Perez"/>
    <s v="Perez"/>
    <s v="Sagrario"/>
    <x v="562"/>
    <x v="268"/>
    <n v="3.7170000000000002E-2"/>
    <m/>
    <m/>
    <m/>
    <m/>
    <m/>
    <m/>
    <m/>
    <m/>
    <m/>
    <m/>
    <d v="1979-11-29T00:00:00"/>
    <m/>
    <x v="191"/>
  </r>
  <r>
    <s v="Fernando"/>
    <s v="Cano"/>
    <s v="Jose"/>
    <x v="563"/>
    <x v="268"/>
    <n v="0.96340000000000003"/>
    <m/>
    <m/>
    <m/>
    <m/>
    <m/>
    <m/>
    <m/>
    <m/>
    <m/>
    <m/>
    <d v="1949-10-29T00:00:00"/>
    <m/>
    <x v="14"/>
  </r>
  <r>
    <s v="Martinez"/>
    <s v="Sola"/>
    <s v="Laura Maria"/>
    <x v="564"/>
    <x v="269"/>
    <n v="0.31818000000000002"/>
    <m/>
    <m/>
    <m/>
    <m/>
    <m/>
    <m/>
    <m/>
    <m/>
    <m/>
    <m/>
    <d v="1997-01-16T00:00:00"/>
    <m/>
    <x v="15"/>
  </r>
  <r>
    <s v="Casado"/>
    <s v="Bioque"/>
    <s v="Jose Angel"/>
    <x v="565"/>
    <x v="270"/>
    <n v="4.1694000000000004"/>
    <m/>
    <m/>
    <m/>
    <m/>
    <m/>
    <m/>
    <m/>
    <m/>
    <m/>
    <m/>
    <d v="1957-03-17T00:00:00"/>
    <m/>
    <x v="163"/>
  </r>
  <r>
    <s v="Aracil"/>
    <s v="Viana"/>
    <s v="Jose Francisco"/>
    <x v="379"/>
    <x v="270"/>
    <n v="0.36797000000000002"/>
    <m/>
    <m/>
    <m/>
    <m/>
    <m/>
    <m/>
    <m/>
    <m/>
    <m/>
    <m/>
    <d v="1947-06-11T00:00:00"/>
    <m/>
    <x v="35"/>
  </r>
  <r>
    <s v="Soghomonyan"/>
    <m/>
    <s v="Arevik"/>
    <x v="566"/>
    <x v="270"/>
    <n v="0.27422000000000002"/>
    <m/>
    <m/>
    <m/>
    <m/>
    <m/>
    <m/>
    <m/>
    <m/>
    <m/>
    <m/>
    <d v="1991-04-29T00:00:00"/>
    <m/>
    <x v="192"/>
  </r>
  <r>
    <s v="Casado"/>
    <s v="Bioque"/>
    <s v="Jose Angel"/>
    <x v="565"/>
    <x v="271"/>
    <n v="0.29898999999999998"/>
    <m/>
    <m/>
    <m/>
    <m/>
    <m/>
    <m/>
    <m/>
    <m/>
    <m/>
    <m/>
    <d v="1957-03-17T00:00:00"/>
    <m/>
    <x v="163"/>
  </r>
  <r>
    <s v="Prieto"/>
    <s v="Roelas"/>
    <s v="Miguel"/>
    <x v="567"/>
    <x v="271"/>
    <n v="1.34E-3"/>
    <m/>
    <m/>
    <m/>
    <m/>
    <m/>
    <m/>
    <m/>
    <m/>
    <m/>
    <m/>
    <d v="1950-12-11T00:00:00"/>
    <m/>
    <x v="17"/>
  </r>
  <r>
    <s v="Martinez"/>
    <s v="Granell"/>
    <s v="Vicente"/>
    <x v="568"/>
    <x v="271"/>
    <n v="8.2100000000000003E-3"/>
    <m/>
    <m/>
    <m/>
    <m/>
    <m/>
    <m/>
    <m/>
    <m/>
    <m/>
    <m/>
    <d v="1934-07-21T00:00:00"/>
    <m/>
    <x v="144"/>
  </r>
  <r>
    <s v="Adrian"/>
    <s v="Sanchis"/>
    <s v="Jose"/>
    <x v="468"/>
    <x v="271"/>
    <n v="2.7699999999999999E-3"/>
    <m/>
    <m/>
    <m/>
    <m/>
    <m/>
    <m/>
    <m/>
    <m/>
    <m/>
    <m/>
    <d v="1952-05-18T00:00:00"/>
    <m/>
    <x v="144"/>
  </r>
  <r>
    <s v="Amat "/>
    <s v="Aznar"/>
    <s v="Jose"/>
    <x v="569"/>
    <x v="271"/>
    <n v="0.41713"/>
    <m/>
    <m/>
    <m/>
    <m/>
    <m/>
    <m/>
    <m/>
    <m/>
    <m/>
    <m/>
    <d v="1945-01-21T00:00:00"/>
    <m/>
    <x v="57"/>
  </r>
  <r>
    <s v="Giner"/>
    <s v="Almiñana"/>
    <s v="Maria Dolores"/>
    <x v="570"/>
    <x v="271"/>
    <n v="0.24414"/>
    <m/>
    <m/>
    <m/>
    <m/>
    <m/>
    <m/>
    <m/>
    <m/>
    <m/>
    <m/>
    <d v="1953-02-26T00:00:00"/>
    <m/>
    <x v="57"/>
  </r>
  <r>
    <s v="Graupner"/>
    <s v="Cligny"/>
    <s v="Josiane Annick"/>
    <x v="349"/>
    <x v="272"/>
    <n v="3.0949999999999998E-2"/>
    <m/>
    <m/>
    <m/>
    <m/>
    <m/>
    <m/>
    <m/>
    <m/>
    <m/>
    <m/>
    <d v="1949-05-27T00:00:00"/>
    <m/>
    <x v="50"/>
  </r>
  <r>
    <s v="Ortega"/>
    <s v="Mateu"/>
    <s v="Antonia"/>
    <x v="261"/>
    <x v="272"/>
    <n v="0.15989999999999999"/>
    <m/>
    <m/>
    <m/>
    <m/>
    <m/>
    <m/>
    <m/>
    <m/>
    <m/>
    <m/>
    <d v="1942-02-06T00:00:00"/>
    <m/>
    <x v="50"/>
  </r>
  <r>
    <s v="Del Arco"/>
    <s v="Herrero"/>
    <s v="Gabriel"/>
    <x v="571"/>
    <x v="272"/>
    <n v="0.57769999999999999"/>
    <m/>
    <m/>
    <m/>
    <m/>
    <m/>
    <m/>
    <m/>
    <m/>
    <m/>
    <m/>
    <d v="1940-07-17T00:00:00"/>
    <m/>
    <x v="177"/>
  </r>
  <r>
    <s v="Casado "/>
    <s v="Bioque"/>
    <s v="Jose Angel"/>
    <x v="572"/>
    <x v="272"/>
    <n v="0.10659"/>
    <m/>
    <m/>
    <m/>
    <m/>
    <m/>
    <m/>
    <m/>
    <m/>
    <m/>
    <m/>
    <d v="1957-03-17T00:00:00"/>
    <m/>
    <x v="193"/>
  </r>
  <r>
    <s v="Hueso "/>
    <s v="Esteban "/>
    <s v="Jose Javier"/>
    <x v="573"/>
    <x v="272"/>
    <n v="1.319E-2"/>
    <m/>
    <m/>
    <m/>
    <m/>
    <m/>
    <m/>
    <m/>
    <m/>
    <m/>
    <m/>
    <d v="1957-05-26T00:00:00"/>
    <m/>
    <x v="183"/>
  </r>
  <r>
    <s v="Coronado"/>
    <s v="Soriano"/>
    <s v="Rafael"/>
    <x v="574"/>
    <x v="273"/>
    <n v="4.2100000000000002E-3"/>
    <m/>
    <m/>
    <m/>
    <m/>
    <m/>
    <m/>
    <m/>
    <m/>
    <m/>
    <m/>
    <d v="1947-04-27T00:00:00"/>
    <m/>
    <x v="144"/>
  </r>
  <r>
    <s v="Baño"/>
    <s v="Caba"/>
    <s v="Josefa"/>
    <x v="498"/>
    <x v="273"/>
    <n v="6.3950000000000007E-2"/>
    <m/>
    <m/>
    <m/>
    <m/>
    <m/>
    <m/>
    <m/>
    <m/>
    <m/>
    <m/>
    <d v="1964-12-10T00:00:00"/>
    <m/>
    <x v="194"/>
  </r>
  <r>
    <s v="Prieto"/>
    <s v="Llivicura"/>
    <s v="Alexander Fernando"/>
    <x v="575"/>
    <x v="274"/>
    <s v="No tiene"/>
    <m/>
    <m/>
    <m/>
    <m/>
    <m/>
    <m/>
    <m/>
    <m/>
    <m/>
    <m/>
    <d v="1998-01-22T00:00:00"/>
    <m/>
    <x v="16"/>
  </r>
  <r>
    <s v="Carduna"/>
    <s v="Soler"/>
    <s v="Antonio"/>
    <x v="576"/>
    <x v="274"/>
    <n v="1.3382099999999999"/>
    <m/>
    <m/>
    <m/>
    <m/>
    <m/>
    <m/>
    <m/>
    <m/>
    <m/>
    <m/>
    <d v="1966-12-07T00:00:00"/>
    <m/>
    <x v="195"/>
  </r>
  <r>
    <s v="Perez"/>
    <s v="Icaran"/>
    <s v="Sara"/>
    <x v="577"/>
    <x v="274"/>
    <n v="0.36397000000000002"/>
    <m/>
    <m/>
    <m/>
    <m/>
    <m/>
    <m/>
    <m/>
    <m/>
    <m/>
    <m/>
    <d v="1962-11-30T00:00:00"/>
    <m/>
    <x v="175"/>
  </r>
  <r>
    <s v="Paez"/>
    <s v="Rueda"/>
    <s v="Jose"/>
    <x v="578"/>
    <x v="274"/>
    <n v="2.7456200000000002"/>
    <m/>
    <m/>
    <m/>
    <m/>
    <m/>
    <m/>
    <m/>
    <m/>
    <m/>
    <m/>
    <d v="1942-01-02T00:00:00"/>
    <m/>
    <x v="2"/>
  </r>
  <r>
    <s v="Cardona"/>
    <s v="Soler"/>
    <s v="Antonio"/>
    <x v="576"/>
    <x v="275"/>
    <n v="2.34077"/>
    <m/>
    <m/>
    <m/>
    <m/>
    <m/>
    <m/>
    <m/>
    <m/>
    <m/>
    <m/>
    <d v="1966-12-07T00:00:00"/>
    <m/>
    <x v="196"/>
  </r>
  <r>
    <s v="Perez"/>
    <s v="Tent"/>
    <s v="Jaime"/>
    <x v="579"/>
    <x v="275"/>
    <n v="4.4510000000000001E-2"/>
    <m/>
    <m/>
    <m/>
    <m/>
    <m/>
    <m/>
    <m/>
    <m/>
    <m/>
    <m/>
    <d v="1949-06-25T00:00:00"/>
    <m/>
    <x v="126"/>
  </r>
  <r>
    <s v="Egea"/>
    <s v="Vera"/>
    <s v="Fuensanta"/>
    <x v="580"/>
    <x v="276"/>
    <n v="1.1749700000000001"/>
    <m/>
    <m/>
    <m/>
    <m/>
    <m/>
    <m/>
    <m/>
    <m/>
    <m/>
    <m/>
    <d v="1957-11-19T00:00:00"/>
    <m/>
    <x v="92"/>
  </r>
  <r>
    <s v="Roca"/>
    <s v="Julve"/>
    <s v="David"/>
    <x v="403"/>
    <x v="276"/>
    <n v="3.0249999999999999E-2"/>
    <m/>
    <m/>
    <m/>
    <m/>
    <m/>
    <m/>
    <m/>
    <m/>
    <m/>
    <m/>
    <d v="1974-04-18T00:00:00"/>
    <m/>
    <x v="147"/>
  </r>
  <r>
    <s v="Pollitt"/>
    <m/>
    <s v="Graham Frank"/>
    <x v="581"/>
    <x v="276"/>
    <n v="0.3483"/>
    <m/>
    <m/>
    <m/>
    <m/>
    <m/>
    <m/>
    <m/>
    <m/>
    <m/>
    <m/>
    <d v="1951-08-13T00:00:00"/>
    <m/>
    <x v="197"/>
  </r>
  <r>
    <s v="Ros"/>
    <s v="Peris"/>
    <s v="Jose Rafael"/>
    <x v="582"/>
    <x v="276"/>
    <n v="2.2399999999999998E-3"/>
    <m/>
    <m/>
    <m/>
    <m/>
    <m/>
    <m/>
    <m/>
    <m/>
    <m/>
    <m/>
    <d v="1956-03-26T00:00:00"/>
    <m/>
    <x v="157"/>
  </r>
  <r>
    <s v="Asunción"/>
    <s v="Foix"/>
    <s v="Enrique Ismael"/>
    <x v="583"/>
    <x v="276"/>
    <n v="0.82076000000000005"/>
    <m/>
    <m/>
    <m/>
    <m/>
    <m/>
    <m/>
    <m/>
    <m/>
    <m/>
    <m/>
    <d v="1951-06-13T00:00:00"/>
    <m/>
    <x v="1"/>
  </r>
  <r>
    <s v="Uri"/>
    <s v="Sanchez"/>
    <s v="Juan"/>
    <x v="584"/>
    <x v="276"/>
    <n v="5.8880000000000002E-2"/>
    <m/>
    <m/>
    <m/>
    <m/>
    <m/>
    <m/>
    <m/>
    <m/>
    <m/>
    <m/>
    <d v="1966-12-19T00:00:00"/>
    <m/>
    <x v="138"/>
  </r>
  <r>
    <s v="Cebrian"/>
    <s v="Ruiz"/>
    <s v="Francisco José"/>
    <x v="585"/>
    <x v="276"/>
    <n v="2.4152200000000001"/>
    <m/>
    <m/>
    <m/>
    <m/>
    <m/>
    <m/>
    <m/>
    <m/>
    <m/>
    <m/>
    <d v="1976-12-17T00:00:00"/>
    <m/>
    <x v="2"/>
  </r>
  <r>
    <s v="Latorre"/>
    <s v="Miralles"/>
    <s v="Miguel"/>
    <x v="586"/>
    <x v="277"/>
    <n v="9.5549999999999996E-2"/>
    <m/>
    <m/>
    <m/>
    <m/>
    <m/>
    <m/>
    <m/>
    <m/>
    <m/>
    <m/>
    <d v="1950-06-17T00:00:00"/>
    <m/>
    <x v="158"/>
  </r>
  <r>
    <s v="Reina"/>
    <s v="Perez"/>
    <s v="Carlos"/>
    <x v="587"/>
    <x v="277"/>
    <n v="0.22499"/>
    <m/>
    <m/>
    <m/>
    <m/>
    <m/>
    <m/>
    <m/>
    <m/>
    <m/>
    <m/>
    <d v="1979-05-08T00:00:00"/>
    <m/>
    <x v="198"/>
  </r>
  <r>
    <s v="Moraes"/>
    <m/>
    <s v="Vanderila Aparecida"/>
    <x v="588"/>
    <x v="277"/>
    <n v="0.24546000000000001"/>
    <m/>
    <m/>
    <m/>
    <m/>
    <m/>
    <m/>
    <m/>
    <m/>
    <m/>
    <m/>
    <d v="1983-10-23T00:00:00"/>
    <m/>
    <x v="20"/>
  </r>
  <r>
    <s v="Hadraqui"/>
    <m/>
    <s v="El Kebira"/>
    <x v="589"/>
    <x v="277"/>
    <n v="1.0399999999999999E-3"/>
    <m/>
    <m/>
    <m/>
    <m/>
    <m/>
    <m/>
    <m/>
    <m/>
    <m/>
    <m/>
    <d v="1977-01-01T00:00:00"/>
    <m/>
    <x v="157"/>
  </r>
  <r>
    <s v="Camacho"/>
    <s v="Moya"/>
    <s v="Antonio"/>
    <x v="590"/>
    <x v="277"/>
    <n v="0.15159"/>
    <m/>
    <m/>
    <m/>
    <m/>
    <m/>
    <m/>
    <m/>
    <m/>
    <m/>
    <m/>
    <d v="1960-11-09T00:00:00"/>
    <m/>
    <x v="199"/>
  </r>
  <r>
    <s v="Yapu"/>
    <s v="Yapu"/>
    <s v="Nelly Juana"/>
    <x v="591"/>
    <x v="278"/>
    <n v="0.12723999999999999"/>
    <m/>
    <m/>
    <m/>
    <m/>
    <m/>
    <m/>
    <m/>
    <m/>
    <m/>
    <m/>
    <d v="1967-08-15T00:00:00"/>
    <m/>
    <x v="23"/>
  </r>
  <r>
    <s v="Marzal"/>
    <s v="Felici"/>
    <s v="Miguel Angel"/>
    <x v="592"/>
    <x v="279"/>
    <n v="0.13719999999999999"/>
    <m/>
    <m/>
    <m/>
    <m/>
    <m/>
    <m/>
    <m/>
    <m/>
    <m/>
    <m/>
    <d v="1951-10-14T00:00:00"/>
    <m/>
    <x v="200"/>
  </r>
  <r>
    <s v="Copado "/>
    <s v="Carbonell"/>
    <s v="Ivan"/>
    <x v="593"/>
    <x v="279"/>
    <n v="0.19755"/>
    <m/>
    <m/>
    <m/>
    <m/>
    <m/>
    <m/>
    <m/>
    <m/>
    <m/>
    <m/>
    <d v="1977-06-04T00:00:00"/>
    <m/>
    <x v="17"/>
  </r>
  <r>
    <s v="Saura"/>
    <s v="Lopez"/>
    <s v="Maria Isabel"/>
    <x v="594"/>
    <x v="279"/>
    <n v="0.42803000000000002"/>
    <m/>
    <m/>
    <m/>
    <m/>
    <m/>
    <m/>
    <m/>
    <m/>
    <m/>
    <m/>
    <d v="1978-06-13T00:00:00"/>
    <m/>
    <x v="21"/>
  </r>
  <r>
    <s v="Garrido"/>
    <s v="Grimaltos"/>
    <s v="Teresa"/>
    <x v="595"/>
    <x v="280"/>
    <n v="1.573"/>
    <m/>
    <m/>
    <m/>
    <m/>
    <m/>
    <m/>
    <m/>
    <m/>
    <m/>
    <m/>
    <d v="1961-01-08T00:00:00"/>
    <m/>
    <x v="57"/>
  </r>
  <r>
    <s v="Romero"/>
    <s v="Hernández"/>
    <s v="Manuel"/>
    <x v="596"/>
    <x v="280"/>
    <n v="4.598E-2"/>
    <m/>
    <m/>
    <m/>
    <m/>
    <m/>
    <m/>
    <m/>
    <m/>
    <m/>
    <m/>
    <d v="1966-08-05T00:00:00"/>
    <m/>
    <x v="126"/>
  </r>
  <r>
    <s v="Lorenzo"/>
    <s v="Rochina"/>
    <s v="Amparo"/>
    <x v="597"/>
    <x v="280"/>
    <n v="0.10975"/>
    <m/>
    <m/>
    <m/>
    <m/>
    <m/>
    <m/>
    <m/>
    <m/>
    <m/>
    <m/>
    <d v="1950-09-15T00:00:00"/>
    <m/>
    <x v="201"/>
  </r>
  <r>
    <s v="Maya"/>
    <s v="Albert"/>
    <s v="Francisco Gabriel"/>
    <x v="598"/>
    <x v="281"/>
    <n v="1.146E-2"/>
    <m/>
    <m/>
    <m/>
    <m/>
    <m/>
    <m/>
    <m/>
    <m/>
    <m/>
    <m/>
    <d v="1992-05-14T00:00:00"/>
    <m/>
    <x v="202"/>
  </r>
  <r>
    <s v="Romero"/>
    <s v="Hernández"/>
    <s v="Manuel"/>
    <x v="596"/>
    <x v="281"/>
    <n v="8.3089999999999997E-2"/>
    <m/>
    <m/>
    <m/>
    <m/>
    <m/>
    <m/>
    <m/>
    <m/>
    <m/>
    <m/>
    <d v="1966-08-05T00:00:00"/>
    <m/>
    <x v="148"/>
  </r>
  <r>
    <s v="Jordan"/>
    <s v="Bernat"/>
    <s v="Antonio"/>
    <x v="599"/>
    <x v="281"/>
    <n v="8.2610000000000003E-2"/>
    <m/>
    <m/>
    <m/>
    <m/>
    <m/>
    <m/>
    <m/>
    <m/>
    <m/>
    <m/>
    <d v="1965-05-29T00:00:00"/>
    <m/>
    <x v="203"/>
  </r>
  <r>
    <s v="Rojas"/>
    <s v="Sanchez"/>
    <s v="Javier"/>
    <x v="600"/>
    <x v="281"/>
    <n v="1.4400000000000001E-3"/>
    <m/>
    <m/>
    <m/>
    <m/>
    <m/>
    <m/>
    <m/>
    <m/>
    <m/>
    <m/>
    <d v="1968-12-27T00:00:00"/>
    <m/>
    <x v="144"/>
  </r>
  <r>
    <s v="Garcia "/>
    <s v="Castello"/>
    <s v="Desamparados"/>
    <x v="601"/>
    <x v="281"/>
    <n v="2.2799999999999999E-3"/>
    <m/>
    <m/>
    <m/>
    <m/>
    <m/>
    <m/>
    <m/>
    <m/>
    <m/>
    <m/>
    <d v="1957-07-31T00:00:00"/>
    <m/>
    <x v="157"/>
  </r>
  <r>
    <s v="Huesca"/>
    <s v="Castello"/>
    <s v="PAscual"/>
    <x v="602"/>
    <x v="281"/>
    <n v="5.688E-2"/>
    <m/>
    <m/>
    <m/>
    <m/>
    <m/>
    <m/>
    <m/>
    <m/>
    <m/>
    <m/>
    <d v="1952-05-21T00:00:00"/>
    <m/>
    <x v="204"/>
  </r>
  <r>
    <s v="Lloret"/>
    <s v="Gimenez"/>
    <s v="Joan Joaquim"/>
    <x v="603"/>
    <x v="281"/>
    <n v="0.35235"/>
    <m/>
    <m/>
    <m/>
    <m/>
    <m/>
    <m/>
    <m/>
    <m/>
    <m/>
    <m/>
    <d v="1969-10-06T00:00:00"/>
    <m/>
    <x v="205"/>
  </r>
  <r>
    <s v="Cervero "/>
    <s v="Marco"/>
    <s v="Ana Isabel"/>
    <x v="604"/>
    <x v="282"/>
    <n v="1.532E-2"/>
    <m/>
    <m/>
    <m/>
    <m/>
    <m/>
    <m/>
    <m/>
    <m/>
    <m/>
    <m/>
    <d v="1968-09-22T00:00:00"/>
    <m/>
    <x v="138"/>
  </r>
  <r>
    <s v="Samit"/>
    <s v="Castellet"/>
    <s v="Patricia"/>
    <x v="605"/>
    <x v="282"/>
    <n v="3.0759999999999999E-2"/>
    <m/>
    <m/>
    <m/>
    <m/>
    <m/>
    <m/>
    <m/>
    <m/>
    <m/>
    <m/>
    <d v="1984-08-06T00:00:00"/>
    <m/>
    <x v="206"/>
  </r>
  <r>
    <s v="Diaz"/>
    <s v="Cano "/>
    <s v="Alicia"/>
    <x v="606"/>
    <x v="282"/>
    <n v="5.8999999999999999E-3"/>
    <m/>
    <m/>
    <m/>
    <m/>
    <m/>
    <m/>
    <m/>
    <m/>
    <m/>
    <m/>
    <d v="1964-05-14T00:00:00"/>
    <m/>
    <x v="207"/>
  </r>
  <r>
    <s v="Herrera"/>
    <s v="Nuñez"/>
    <s v="Vicente Luis"/>
    <x v="607"/>
    <x v="282"/>
    <n v="3.236E-2"/>
    <m/>
    <m/>
    <m/>
    <m/>
    <m/>
    <m/>
    <m/>
    <m/>
    <m/>
    <m/>
    <d v="1950-11-14T00:00:00"/>
    <m/>
    <x v="57"/>
  </r>
  <r>
    <s v="Huesca"/>
    <s v="Castello"/>
    <s v="Pascual"/>
    <x v="409"/>
    <x v="283"/>
    <n v="1.1220000000000001E-2"/>
    <m/>
    <m/>
    <m/>
    <m/>
    <m/>
    <m/>
    <m/>
    <m/>
    <m/>
    <m/>
    <d v="1952-05-21T00:00:00"/>
    <m/>
    <x v="17"/>
  </r>
  <r>
    <s v="Valero"/>
    <s v="Aguardo"/>
    <s v="Francisco"/>
    <x v="462"/>
    <x v="283"/>
    <n v="0.95940000000000003"/>
    <m/>
    <m/>
    <m/>
    <m/>
    <m/>
    <m/>
    <m/>
    <m/>
    <m/>
    <m/>
    <d v="1967-07-07T00:00:00"/>
    <m/>
    <x v="14"/>
  </r>
  <r>
    <s v="Montoro"/>
    <s v="La Torre"/>
    <s v="Maria Isabel"/>
    <x v="608"/>
    <x v="283"/>
    <n v="0.17297999999999999"/>
    <m/>
    <m/>
    <m/>
    <m/>
    <m/>
    <m/>
    <m/>
    <m/>
    <m/>
    <m/>
    <d v="1956-07-26T00:00:00"/>
    <m/>
    <x v="163"/>
  </r>
  <r>
    <s v="Ortega"/>
    <s v="Escos"/>
    <s v="Francisco Javier"/>
    <x v="609"/>
    <x v="283"/>
    <n v="0.78642000000000001"/>
    <m/>
    <m/>
    <m/>
    <m/>
    <m/>
    <m/>
    <m/>
    <m/>
    <m/>
    <m/>
    <d v="1957-10-31T00:00:00"/>
    <m/>
    <x v="14"/>
  </r>
  <r>
    <s v="Montoro"/>
    <s v="La Torre"/>
    <s v="Maria Isabel"/>
    <x v="608"/>
    <x v="284"/>
    <n v="0.22428999999999999"/>
    <m/>
    <m/>
    <m/>
    <m/>
    <m/>
    <m/>
    <m/>
    <m/>
    <m/>
    <m/>
    <d v="1956-07-26T00:00:00"/>
    <m/>
    <x v="148"/>
  </r>
  <r>
    <s v="Montoro"/>
    <s v="La Torre"/>
    <s v="Maria Isabel"/>
    <x v="608"/>
    <x v="285"/>
    <n v="5.697E-2"/>
    <m/>
    <m/>
    <m/>
    <m/>
    <m/>
    <m/>
    <m/>
    <m/>
    <m/>
    <m/>
    <d v="1956-07-26T00:00:00"/>
    <m/>
    <x v="163"/>
  </r>
  <r>
    <s v="Polit "/>
    <s v="Collado"/>
    <s v="Francisco"/>
    <x v="325"/>
    <x v="286"/>
    <n v="5.8619999999999998E-2"/>
    <m/>
    <m/>
    <m/>
    <m/>
    <m/>
    <m/>
    <m/>
    <m/>
    <m/>
    <m/>
    <d v="1940-04-18T00:00:00"/>
    <m/>
    <x v="208"/>
  </r>
  <r>
    <s v="Iranzo"/>
    <s v="Ibañez"/>
    <s v="Francisco"/>
    <x v="270"/>
    <x v="287"/>
    <n v="0.34388999999999997"/>
    <m/>
    <m/>
    <m/>
    <m/>
    <m/>
    <m/>
    <m/>
    <m/>
    <m/>
    <m/>
    <d v="1950-02-27T00:00:00"/>
    <m/>
    <x v="1"/>
  </r>
  <r>
    <s v="Cervero"/>
    <s v="Marco"/>
    <s v="Ana Isabel"/>
    <x v="604"/>
    <x v="287"/>
    <n v="1.1730000000000001E-2"/>
    <m/>
    <m/>
    <m/>
    <m/>
    <m/>
    <m/>
    <m/>
    <m/>
    <m/>
    <m/>
    <d v="1968-09-22T00:00:00"/>
    <m/>
    <x v="159"/>
  </r>
  <r>
    <s v="Serrano"/>
    <s v="Monzonis"/>
    <s v="Gema"/>
    <x v="610"/>
    <x v="287"/>
    <n v="0.19328999999999999"/>
    <m/>
    <m/>
    <m/>
    <m/>
    <m/>
    <m/>
    <m/>
    <m/>
    <m/>
    <m/>
    <d v="1966-06-29T00:00:00"/>
    <m/>
    <x v="82"/>
  </r>
  <r>
    <s v="Copado"/>
    <s v="Carbonell"/>
    <s v="Ivan"/>
    <x v="593"/>
    <x v="287"/>
    <n v="7.6869999999999994E-2"/>
    <m/>
    <m/>
    <m/>
    <m/>
    <m/>
    <m/>
    <m/>
    <m/>
    <m/>
    <m/>
    <d v="1977-06-04T00:00:00"/>
    <m/>
    <x v="137"/>
  </r>
  <r>
    <s v="Merino"/>
    <s v="Jiron"/>
    <s v="Segundo Nicanor"/>
    <x v="611"/>
    <x v="287"/>
    <n v="1.2630699999999999"/>
    <m/>
    <m/>
    <m/>
    <m/>
    <m/>
    <m/>
    <m/>
    <m/>
    <m/>
    <m/>
    <d v="1953-05-15T00:00:00"/>
    <m/>
    <x v="29"/>
  </r>
  <r>
    <s v="Navarro"/>
    <s v="San Bautista"/>
    <s v="Juan Bautista"/>
    <x v="146"/>
    <x v="288"/>
    <n v="0.66081000000000001"/>
    <m/>
    <m/>
    <m/>
    <m/>
    <m/>
    <m/>
    <m/>
    <m/>
    <m/>
    <m/>
    <d v="1942-01-29T00:00:00"/>
    <m/>
    <x v="209"/>
  </r>
  <r>
    <s v="Uri"/>
    <s v="Sanchez"/>
    <s v="Juan"/>
    <x v="584"/>
    <x v="288"/>
    <n v="0.16492000000000001"/>
    <m/>
    <m/>
    <m/>
    <m/>
    <m/>
    <m/>
    <m/>
    <m/>
    <m/>
    <m/>
    <d v="1966-12-19T00:00:00"/>
    <m/>
    <x v="138"/>
  </r>
  <r>
    <s v="Corrales"/>
    <s v="Brunet"/>
    <s v="Fernando Jaime"/>
    <x v="612"/>
    <x v="288"/>
    <n v="3.8179999999999999E-2"/>
    <m/>
    <m/>
    <m/>
    <m/>
    <m/>
    <m/>
    <m/>
    <m/>
    <m/>
    <m/>
    <s v="08/12/196"/>
    <m/>
    <x v="50"/>
  </r>
  <r>
    <s v="Ricazo"/>
    <s v="Ruiz"/>
    <s v="Benito"/>
    <x v="538"/>
    <x v="288"/>
    <n v="1.4E-2"/>
    <m/>
    <m/>
    <m/>
    <m/>
    <m/>
    <m/>
    <m/>
    <m/>
    <m/>
    <m/>
    <d v="1946-07-10T00:00:00"/>
    <m/>
    <x v="171"/>
  </r>
  <r>
    <s v="Lezana"/>
    <s v="Roldan"/>
    <s v="Armando"/>
    <x v="613"/>
    <x v="288"/>
    <n v="5.1569999999999998E-2"/>
    <m/>
    <m/>
    <m/>
    <m/>
    <m/>
    <m/>
    <m/>
    <m/>
    <m/>
    <m/>
    <d v="1963-11-15T00:00:00"/>
    <m/>
    <x v="61"/>
  </r>
  <r>
    <s v="Herrera"/>
    <s v="Nuñez"/>
    <s v="Vicente Luis"/>
    <x v="607"/>
    <x v="288"/>
    <n v="0.77819000000000005"/>
    <m/>
    <m/>
    <m/>
    <m/>
    <m/>
    <m/>
    <m/>
    <m/>
    <m/>
    <m/>
    <d v="1950-11-14T00:00:00"/>
    <m/>
    <x v="57"/>
  </r>
  <r>
    <s v="Tuduri Taviel"/>
    <s v="De Andrade"/>
    <s v="Ana M"/>
    <x v="614"/>
    <x v="289"/>
    <n v="1.7649999999999999E-2"/>
    <m/>
    <m/>
    <m/>
    <m/>
    <m/>
    <m/>
    <m/>
    <m/>
    <m/>
    <m/>
    <d v="1940-02-15T00:00:00"/>
    <m/>
    <x v="210"/>
  </r>
  <r>
    <s v="Cheza"/>
    <s v="Bort"/>
    <s v="Rosa"/>
    <x v="615"/>
    <x v="289"/>
    <n v="5.3339999999999999E-2"/>
    <m/>
    <m/>
    <m/>
    <m/>
    <m/>
    <m/>
    <m/>
    <m/>
    <m/>
    <m/>
    <d v="1940-02-26T00:00:00"/>
    <m/>
    <x v="199"/>
  </r>
  <r>
    <s v="Juan"/>
    <s v="Segura"/>
    <s v="Carmen"/>
    <x v="337"/>
    <x v="289"/>
    <n v="4.5600000000000002E-2"/>
    <m/>
    <m/>
    <m/>
    <m/>
    <m/>
    <m/>
    <m/>
    <m/>
    <m/>
    <m/>
    <d v="1933-04-04T00:00:00"/>
    <m/>
    <x v="100"/>
  </r>
  <r>
    <s v="Higon"/>
    <s v="Ballester"/>
    <s v="Fernando Victor"/>
    <x v="616"/>
    <x v="289"/>
    <n v="4.1999999999999997E-3"/>
    <m/>
    <m/>
    <m/>
    <m/>
    <m/>
    <m/>
    <m/>
    <m/>
    <m/>
    <m/>
    <d v="1952-01-09T00:00:00"/>
    <m/>
    <x v="144"/>
  </r>
  <r>
    <s v="Camacho"/>
    <s v="Perez"/>
    <s v="Esperanza"/>
    <x v="617"/>
    <x v="289"/>
    <n v="0.28466999999999998"/>
    <m/>
    <m/>
    <m/>
    <m/>
    <m/>
    <m/>
    <m/>
    <m/>
    <m/>
    <m/>
    <d v="1954-11-03T00:00:00"/>
    <m/>
    <x v="211"/>
  </r>
  <r>
    <s v="Martinez"/>
    <s v="Perez"/>
    <s v="Saray"/>
    <x v="618"/>
    <x v="289"/>
    <n v="0.16159999999999999"/>
    <m/>
    <m/>
    <m/>
    <m/>
    <m/>
    <m/>
    <m/>
    <m/>
    <m/>
    <m/>
    <d v="1983-03-23T00:00:00"/>
    <m/>
    <x v="183"/>
  </r>
  <r>
    <s v="Sanz"/>
    <s v="Medina"/>
    <s v="Vicente"/>
    <x v="619"/>
    <x v="290"/>
    <n v="1.2784500000000001"/>
    <m/>
    <m/>
    <m/>
    <m/>
    <m/>
    <m/>
    <m/>
    <m/>
    <m/>
    <m/>
    <d v="1943-10-23T00:00:00"/>
    <m/>
    <x v="143"/>
  </r>
  <r>
    <s v="Marin"/>
    <s v="Martinez"/>
    <s v="Ana"/>
    <x v="620"/>
    <x v="290"/>
    <n v="3.15E-3"/>
    <m/>
    <m/>
    <m/>
    <m/>
    <m/>
    <m/>
    <m/>
    <m/>
    <m/>
    <m/>
    <d v="1944-12-12T00:00:00"/>
    <m/>
    <x v="171"/>
  </r>
  <r>
    <s v="Cuenca"/>
    <s v="Miralles"/>
    <s v="Tamara"/>
    <x v="621"/>
    <x v="290"/>
    <n v="8.8239999999999999E-2"/>
    <m/>
    <m/>
    <m/>
    <m/>
    <m/>
    <m/>
    <m/>
    <m/>
    <m/>
    <m/>
    <d v="1989-08-20T00:00:00"/>
    <m/>
    <x v="23"/>
  </r>
  <r>
    <s v="Mendez"/>
    <s v="Roca"/>
    <s v="Luisa"/>
    <x v="622"/>
    <x v="290"/>
    <n v="7.8259999999999996E-2"/>
    <m/>
    <m/>
    <m/>
    <m/>
    <m/>
    <m/>
    <m/>
    <m/>
    <m/>
    <m/>
    <d v="1973-10-11T00:00:00"/>
    <m/>
    <x v="212"/>
  </r>
  <r>
    <s v="Cuevas"/>
    <s v="Valero"/>
    <s v="Francisca"/>
    <x v="623"/>
    <x v="291"/>
    <s v="No tiene"/>
    <m/>
    <m/>
    <m/>
    <m/>
    <m/>
    <m/>
    <m/>
    <m/>
    <m/>
    <m/>
    <d v="1937-08-26T00:00:00"/>
    <m/>
    <x v="213"/>
  </r>
  <r>
    <s v="Rodriguez"/>
    <s v="Martinez"/>
    <s v="Manuel Santos"/>
    <x v="624"/>
    <x v="292"/>
    <n v="0.24976000000000001"/>
    <m/>
    <m/>
    <m/>
    <m/>
    <m/>
    <m/>
    <m/>
    <m/>
    <m/>
    <m/>
    <d v="1950-11-01T00:00:00"/>
    <m/>
    <x v="138"/>
  </r>
  <r>
    <s v="Ruiz"/>
    <s v="Lujan"/>
    <s v="Daniela"/>
    <x v="550"/>
    <x v="293"/>
    <n v="0.15798999999999999"/>
    <m/>
    <m/>
    <m/>
    <m/>
    <m/>
    <m/>
    <m/>
    <m/>
    <m/>
    <m/>
    <d v="1963-01-31T00:00:00"/>
    <m/>
    <x v="214"/>
  </r>
  <r>
    <s v="Merino"/>
    <s v="Jirun"/>
    <s v="Segundo Nicaron"/>
    <x v="611"/>
    <x v="293"/>
    <n v="0.49443999999999999"/>
    <m/>
    <m/>
    <m/>
    <m/>
    <m/>
    <m/>
    <m/>
    <m/>
    <m/>
    <m/>
    <d v="1953-05-15T00:00:00"/>
    <m/>
    <x v="29"/>
  </r>
  <r>
    <s v="Sanchis"/>
    <s v="Vidal"/>
    <s v="Jose Luis"/>
    <x v="332"/>
    <x v="293"/>
    <n v="0.29226999999999997"/>
    <m/>
    <m/>
    <m/>
    <m/>
    <m/>
    <m/>
    <m/>
    <m/>
    <m/>
    <m/>
    <d v="1939-01-31T00:00:00"/>
    <m/>
    <x v="166"/>
  </r>
  <r>
    <s v="Morote"/>
    <s v="Gonzalez"/>
    <s v="Francisco"/>
    <x v="625"/>
    <x v="293"/>
    <n v="0.11902"/>
    <m/>
    <m/>
    <m/>
    <m/>
    <m/>
    <m/>
    <m/>
    <m/>
    <m/>
    <m/>
    <d v="1963-05-18T00:00:00"/>
    <m/>
    <x v="20"/>
  </r>
  <r>
    <s v="Egea"/>
    <s v="Vera"/>
    <s v="Fuensanta"/>
    <x v="580"/>
    <x v="294"/>
    <n v="2.9069999999999999E-2"/>
    <m/>
    <m/>
    <m/>
    <m/>
    <m/>
    <m/>
    <m/>
    <m/>
    <m/>
    <m/>
    <d v="1957-11-19T00:00:00"/>
    <m/>
    <x v="54"/>
  </r>
  <r>
    <s v="Navarro"/>
    <s v="Candel"/>
    <s v="Josefa"/>
    <x v="626"/>
    <x v="294"/>
    <n v="2.128E-2"/>
    <m/>
    <m/>
    <m/>
    <m/>
    <m/>
    <m/>
    <m/>
    <m/>
    <m/>
    <m/>
    <d v="1954-12-10T00:00:00"/>
    <m/>
    <x v="50"/>
  </r>
  <r>
    <s v="Cano"/>
    <s v="Castro"/>
    <s v="Jorge Arturo"/>
    <x v="265"/>
    <x v="294"/>
    <n v="0.14287"/>
    <m/>
    <m/>
    <m/>
    <m/>
    <m/>
    <m/>
    <m/>
    <m/>
    <m/>
    <m/>
    <d v="1962-01-05T00:00:00"/>
    <m/>
    <x v="91"/>
  </r>
  <r>
    <s v="Herriaz"/>
    <s v="Herriaz"/>
    <s v="Concepción"/>
    <x v="627"/>
    <x v="294"/>
    <n v="0.11226999999999999"/>
    <m/>
    <m/>
    <m/>
    <m/>
    <m/>
    <m/>
    <m/>
    <m/>
    <m/>
    <m/>
    <d v="1948-12-01T00:00:00"/>
    <m/>
    <x v="16"/>
  </r>
  <r>
    <s v="Murillo"/>
    <s v="Murillo"/>
    <s v="Amalia"/>
    <x v="484"/>
    <x v="294"/>
    <n v="6.5189999999999998E-2"/>
    <m/>
    <m/>
    <m/>
    <m/>
    <m/>
    <m/>
    <m/>
    <m/>
    <m/>
    <m/>
    <d v="1956-06-05T00:00:00"/>
    <m/>
    <x v="215"/>
  </r>
  <r>
    <s v="Palencia"/>
    <s v="Fuente"/>
    <s v="Ana Maria"/>
    <x v="628"/>
    <x v="294"/>
    <n v="0.10946"/>
    <m/>
    <m/>
    <m/>
    <m/>
    <m/>
    <m/>
    <m/>
    <m/>
    <m/>
    <m/>
    <d v="1960-03-29T00:00:00"/>
    <m/>
    <x v="206"/>
  </r>
  <r>
    <s v="Ruiz"/>
    <s v="Lujan"/>
    <s v="Daniela"/>
    <x v="550"/>
    <x v="295"/>
    <n v="0.33921000000000001"/>
    <m/>
    <m/>
    <m/>
    <m/>
    <m/>
    <m/>
    <m/>
    <m/>
    <m/>
    <m/>
    <d v="1963-01-31T00:00:00"/>
    <m/>
    <x v="216"/>
  </r>
  <r>
    <s v="Saura "/>
    <s v="Lopez"/>
    <s v="Maria Isabel"/>
    <x v="629"/>
    <x v="295"/>
    <n v="0.29398999999999997"/>
    <m/>
    <m/>
    <m/>
    <m/>
    <m/>
    <m/>
    <m/>
    <m/>
    <m/>
    <m/>
    <d v="1978-06-13T00:00:00"/>
    <m/>
    <x v="35"/>
  </r>
  <r>
    <s v="Portales"/>
    <s v="Llop "/>
    <s v="Enric"/>
    <x v="630"/>
    <x v="295"/>
    <n v="0.13593"/>
    <m/>
    <m/>
    <m/>
    <m/>
    <m/>
    <m/>
    <m/>
    <m/>
    <m/>
    <m/>
    <d v="1961-12-26T00:00:00"/>
    <m/>
    <x v="147"/>
  </r>
  <r>
    <s v="Iborra"/>
    <s v="Debon"/>
    <s v="Hector Luis"/>
    <x v="631"/>
    <x v="295"/>
    <n v="0.11745999999999999"/>
    <m/>
    <m/>
    <m/>
    <m/>
    <m/>
    <m/>
    <m/>
    <m/>
    <m/>
    <m/>
    <d v="1967-07-10T00:00:00"/>
    <m/>
    <x v="58"/>
  </r>
  <r>
    <s v="Constancio "/>
    <s v="Garcia"/>
    <s v="Remedios"/>
    <x v="632"/>
    <x v="295"/>
    <n v="0.28244999999999998"/>
    <m/>
    <m/>
    <m/>
    <m/>
    <m/>
    <m/>
    <m/>
    <m/>
    <m/>
    <m/>
    <d v="1930-10-02T00:00:00"/>
    <m/>
    <x v="217"/>
  </r>
  <r>
    <s v="Galdon"/>
    <s v="Lopez"/>
    <s v="Josefa"/>
    <x v="633"/>
    <x v="296"/>
    <n v="2.3990000000000001E-2"/>
    <m/>
    <m/>
    <m/>
    <m/>
    <m/>
    <m/>
    <m/>
    <m/>
    <m/>
    <m/>
    <d v="1951-09-09T00:00:00"/>
    <m/>
    <x v="171"/>
  </r>
  <r>
    <s v="García"/>
    <s v="Perez"/>
    <s v="Francisco"/>
    <x v="634"/>
    <x v="297"/>
    <n v="0.71501999999999999"/>
    <m/>
    <m/>
    <m/>
    <m/>
    <m/>
    <m/>
    <m/>
    <m/>
    <m/>
    <m/>
    <d v="1955-04-13T00:00:00"/>
    <m/>
    <x v="14"/>
  </r>
  <r>
    <s v="Cervero"/>
    <s v="Marco"/>
    <s v="Ana Isabel"/>
    <x v="604"/>
    <x v="298"/>
    <n v="2.1800000000000001E-3"/>
    <m/>
    <m/>
    <m/>
    <m/>
    <m/>
    <m/>
    <m/>
    <m/>
    <m/>
    <m/>
    <d v="1968-09-22T00:00:00"/>
    <m/>
    <x v="17"/>
  </r>
  <r>
    <s v="Carbajal"/>
    <s v="Calero"/>
    <s v="Juana"/>
    <x v="635"/>
    <x v="299"/>
    <n v="1.8950000000000002E-2"/>
    <m/>
    <m/>
    <m/>
    <m/>
    <m/>
    <m/>
    <m/>
    <m/>
    <m/>
    <m/>
    <d v="1950-05-08T00:00:00"/>
    <m/>
    <x v="50"/>
  </r>
  <r>
    <s v="Ruiz"/>
    <s v="Jorques"/>
    <s v="Joaquin"/>
    <x v="636"/>
    <x v="299"/>
    <n v="4.8329999999999998E-2"/>
    <m/>
    <m/>
    <m/>
    <m/>
    <m/>
    <m/>
    <m/>
    <m/>
    <m/>
    <m/>
    <d v="1983-09-17T00:00:00"/>
    <m/>
    <x v="26"/>
  </r>
  <r>
    <s v="Monte "/>
    <s v="Fuster"/>
    <s v="Vicente"/>
    <x v="637"/>
    <x v="299"/>
    <n v="0.29293999999999998"/>
    <m/>
    <m/>
    <m/>
    <m/>
    <m/>
    <m/>
    <m/>
    <m/>
    <m/>
    <m/>
    <d v="1938-07-16T00:00:00"/>
    <m/>
    <x v="50"/>
  </r>
  <r>
    <s v="Rodrigo"/>
    <s v="Martinez"/>
    <s v="Manuel Santos"/>
    <x v="624"/>
    <x v="299"/>
    <n v="5.1569999999999998E-2"/>
    <m/>
    <m/>
    <m/>
    <m/>
    <m/>
    <m/>
    <m/>
    <m/>
    <m/>
    <m/>
    <d v="1950-11-01T00:00:00"/>
    <m/>
    <x v="17"/>
  </r>
  <r>
    <s v="Gonzalez"/>
    <s v="Uceda"/>
    <s v="Tomas"/>
    <x v="638"/>
    <x v="299"/>
    <n v="0.55359999999999998"/>
    <m/>
    <m/>
    <m/>
    <m/>
    <m/>
    <m/>
    <m/>
    <m/>
    <m/>
    <m/>
    <d v="1959-07-11T00:00:00"/>
    <m/>
    <x v="218"/>
  </r>
  <r>
    <s v="Adame"/>
    <s v="Cerrada"/>
    <s v="Carlos Alfonso"/>
    <x v="639"/>
    <x v="300"/>
    <n v="0.23313999999999999"/>
    <m/>
    <m/>
    <m/>
    <m/>
    <m/>
    <m/>
    <m/>
    <m/>
    <m/>
    <m/>
    <d v="1961-07-10T00:00:00"/>
    <m/>
    <x v="115"/>
  </r>
  <r>
    <s v="Aleruz"/>
    <s v="Muñoz"/>
    <s v="Cristina"/>
    <x v="640"/>
    <x v="301"/>
    <n v="0.61770999999999998"/>
    <m/>
    <m/>
    <m/>
    <m/>
    <m/>
    <m/>
    <m/>
    <m/>
    <m/>
    <m/>
    <d v="1984-03-22T00:00:00"/>
    <m/>
    <x v="20"/>
  </r>
  <r>
    <s v="Peñarrocha "/>
    <s v="Piqueras"/>
    <s v="Marcos Antonio"/>
    <x v="94"/>
    <x v="302"/>
    <n v="2.1436500000000001"/>
    <m/>
    <m/>
    <m/>
    <m/>
    <m/>
    <m/>
    <m/>
    <m/>
    <m/>
    <m/>
    <d v="1962-01-17T00:00:00"/>
    <m/>
    <x v="1"/>
  </r>
  <r>
    <s v="Saturino"/>
    <s v="Lobato"/>
    <s v="Iluminado"/>
    <x v="641"/>
    <x v="303"/>
    <n v="0.93284999999999996"/>
    <m/>
    <m/>
    <m/>
    <m/>
    <m/>
    <m/>
    <m/>
    <m/>
    <m/>
    <m/>
    <d v="1954-01-10T00:00:00"/>
    <m/>
    <x v="177"/>
  </r>
  <r>
    <s v="Lezana"/>
    <s v="Roldán"/>
    <s v="Armando"/>
    <x v="613"/>
    <x v="303"/>
    <n v="0.60650000000000004"/>
    <m/>
    <m/>
    <m/>
    <m/>
    <m/>
    <m/>
    <m/>
    <m/>
    <m/>
    <m/>
    <d v="1963-11-15T00:00:00"/>
    <m/>
    <x v="143"/>
  </r>
  <r>
    <s v="Miranda"/>
    <s v="Castro"/>
    <s v="Andrés Mauricio"/>
    <x v="290"/>
    <x v="303"/>
    <n v="2.3310000000000001E-2"/>
    <m/>
    <m/>
    <m/>
    <m/>
    <m/>
    <m/>
    <m/>
    <m/>
    <m/>
    <m/>
    <s v="27/09//1984"/>
    <m/>
    <x v="180"/>
  </r>
  <r>
    <s v="Pecino"/>
    <s v="Fernandez"/>
    <s v="Francisco"/>
    <x v="642"/>
    <x v="304"/>
    <n v="0.99397000000000002"/>
    <m/>
    <m/>
    <m/>
    <m/>
    <m/>
    <m/>
    <m/>
    <m/>
    <m/>
    <m/>
    <d v="1952-12-18T00:00:00"/>
    <m/>
    <x v="177"/>
  </r>
  <r>
    <s v="Bermudez"/>
    <s v="Nogueira"/>
    <s v="Jose Luis"/>
    <x v="643"/>
    <x v="304"/>
    <n v="0.99397000000000002"/>
    <m/>
    <m/>
    <m/>
    <m/>
    <m/>
    <m/>
    <m/>
    <m/>
    <m/>
    <m/>
    <d v="1962-07-04T00:00:00"/>
    <m/>
    <x v="1"/>
  </r>
  <r>
    <s v="Sanchis"/>
    <s v="Berga"/>
    <s v="Sergio"/>
    <x v="644"/>
    <x v="304"/>
    <n v="1.75E-3"/>
    <m/>
    <m/>
    <m/>
    <m/>
    <m/>
    <m/>
    <m/>
    <m/>
    <m/>
    <m/>
    <d v="1980-03-23T00:00:00"/>
    <m/>
    <x v="157"/>
  </r>
  <r>
    <s v="Martinez"/>
    <s v="Pascual"/>
    <s v="Josefa"/>
    <x v="645"/>
    <x v="304"/>
    <s v="No tiene"/>
    <m/>
    <m/>
    <m/>
    <m/>
    <m/>
    <m/>
    <m/>
    <m/>
    <m/>
    <m/>
    <d v="1966-01-11T00:00:00"/>
    <m/>
    <x v="137"/>
  </r>
  <r>
    <s v="Arroyo"/>
    <s v="Gonzalez"/>
    <s v="Manuel"/>
    <x v="414"/>
    <x v="304"/>
    <n v="0.34320000000000001"/>
    <m/>
    <m/>
    <m/>
    <m/>
    <m/>
    <m/>
    <m/>
    <m/>
    <m/>
    <m/>
    <d v="1960-05-18T00:00:00"/>
    <m/>
    <x v="1"/>
  </r>
  <r>
    <s v="Sapiña"/>
    <s v="Fuertes"/>
    <s v="Vicente"/>
    <x v="227"/>
    <x v="305"/>
    <n v="0.13836999999999999"/>
    <m/>
    <m/>
    <m/>
    <m/>
    <m/>
    <m/>
    <m/>
    <m/>
    <m/>
    <m/>
    <d v="1960-01-22T00:00:00"/>
    <m/>
    <x v="180"/>
  </r>
  <r>
    <s v="Perez"/>
    <s v="Plata"/>
    <s v="Nelson"/>
    <x v="646"/>
    <x v="305"/>
    <n v="4.684E-2"/>
    <m/>
    <m/>
    <m/>
    <m/>
    <m/>
    <m/>
    <m/>
    <m/>
    <m/>
    <m/>
    <d v="1972-12-20T00:00:00"/>
    <m/>
    <x v="9"/>
  </r>
  <r>
    <s v="Penades"/>
    <s v="Cabedo"/>
    <s v="Rafael"/>
    <x v="647"/>
    <x v="306"/>
    <n v="0.61997999999999998"/>
    <m/>
    <m/>
    <m/>
    <m/>
    <m/>
    <m/>
    <m/>
    <m/>
    <m/>
    <m/>
    <d v="1973-01-07T00:00:00"/>
    <m/>
    <x v="177"/>
  </r>
  <r>
    <s v="Valero"/>
    <s v="Martinez"/>
    <s v="Maria Teresa"/>
    <x v="648"/>
    <x v="307"/>
    <n v="0.25522"/>
    <m/>
    <m/>
    <m/>
    <m/>
    <m/>
    <m/>
    <m/>
    <m/>
    <m/>
    <m/>
    <d v="1974-09-14T00:00:00"/>
    <m/>
    <x v="205"/>
  </r>
  <r>
    <s v="Saez"/>
    <s v="Alvarez"/>
    <s v="M Desamparados"/>
    <x v="649"/>
    <x v="307"/>
    <n v="0.25584000000000001"/>
    <m/>
    <m/>
    <m/>
    <m/>
    <m/>
    <m/>
    <m/>
    <m/>
    <m/>
    <m/>
    <d v="1964-11-20T00:00:00"/>
    <m/>
    <x v="20"/>
  </r>
  <r>
    <s v="Gil"/>
    <s v="Andres"/>
    <s v="Rafael Antonio"/>
    <x v="303"/>
    <x v="307"/>
    <n v="0.69123999999999997"/>
    <m/>
    <m/>
    <m/>
    <m/>
    <m/>
    <m/>
    <m/>
    <m/>
    <m/>
    <m/>
    <d v="1962-12-21T00:00:00"/>
    <m/>
    <x v="9"/>
  </r>
  <r>
    <s v="Sanchez"/>
    <s v="Juarez"/>
    <s v="Ignacio"/>
    <x v="650"/>
    <x v="308"/>
    <n v="0.23042000000000001"/>
    <m/>
    <m/>
    <m/>
    <m/>
    <m/>
    <m/>
    <m/>
    <m/>
    <m/>
    <m/>
    <d v="1975-02-17T00:00:00"/>
    <m/>
    <x v="82"/>
  </r>
  <r>
    <s v="Rebbets"/>
    <m/>
    <s v="Emma"/>
    <x v="651"/>
    <x v="308"/>
    <n v="9.0279999999999999E-2"/>
    <m/>
    <m/>
    <m/>
    <m/>
    <m/>
    <m/>
    <m/>
    <m/>
    <m/>
    <m/>
    <d v="1976-12-03T00:00:00"/>
    <m/>
    <x v="212"/>
  </r>
  <r>
    <s v="Torajada"/>
    <s v="Salazar"/>
    <s v="Francisco"/>
    <x v="466"/>
    <x v="308"/>
    <n v="0.53247"/>
    <m/>
    <m/>
    <m/>
    <m/>
    <m/>
    <m/>
    <m/>
    <m/>
    <m/>
    <m/>
    <d v="1978-10-13T00:00:00"/>
    <m/>
    <x v="100"/>
  </r>
  <r>
    <s v="Noheda"/>
    <s v="De la Torre"/>
    <s v="Octavio"/>
    <x v="652"/>
    <x v="309"/>
    <n v="1.044E-2"/>
    <m/>
    <m/>
    <m/>
    <m/>
    <m/>
    <m/>
    <m/>
    <m/>
    <m/>
    <m/>
    <d v="1947-06-08T00:00:00"/>
    <m/>
    <x v="171"/>
  </r>
  <r>
    <s v="Picazo"/>
    <s v="Ruiz"/>
    <s v="Benito"/>
    <x v="538"/>
    <x v="309"/>
    <n v="9.3799999999999994E-3"/>
    <m/>
    <m/>
    <m/>
    <m/>
    <m/>
    <m/>
    <m/>
    <m/>
    <m/>
    <m/>
    <d v="1946-07-10T00:00:00"/>
    <m/>
    <x v="171"/>
  </r>
  <r>
    <s v="Fontestad"/>
    <s v="Crespo"/>
    <s v="Jose Vicente"/>
    <x v="653"/>
    <x v="309"/>
    <n v="0.44962000000000002"/>
    <m/>
    <m/>
    <m/>
    <m/>
    <m/>
    <m/>
    <m/>
    <m/>
    <m/>
    <m/>
    <d v="1952-04-19T00:00:00"/>
    <m/>
    <x v="9"/>
  </r>
  <r>
    <s v="Nacher"/>
    <s v="Soler"/>
    <s v="Salvador"/>
    <x v="654"/>
    <x v="309"/>
    <n v="0.47620000000000001"/>
    <m/>
    <m/>
    <m/>
    <m/>
    <m/>
    <m/>
    <m/>
    <m/>
    <m/>
    <m/>
    <d v="1938-12-17T00:00:00"/>
    <m/>
    <x v="57"/>
  </r>
  <r>
    <s v="Sanchis"/>
    <s v="Collado"/>
    <s v="Vicente"/>
    <x v="655"/>
    <x v="309"/>
    <n v="0.82789000000000001"/>
    <m/>
    <m/>
    <m/>
    <m/>
    <m/>
    <m/>
    <m/>
    <m/>
    <m/>
    <m/>
    <d v="1961-08-12T00:00:00"/>
    <m/>
    <x v="1"/>
  </r>
  <r>
    <s v="Canaletas"/>
    <s v="Puigpey"/>
    <s v="Esteban"/>
    <x v="656"/>
    <x v="310"/>
    <n v="0.28136"/>
    <m/>
    <m/>
    <m/>
    <m/>
    <m/>
    <m/>
    <m/>
    <m/>
    <m/>
    <m/>
    <d v="1940-04-09T00:00:00"/>
    <m/>
    <x v="57"/>
  </r>
  <r>
    <s v="Martinez"/>
    <s v="Perez"/>
    <s v="Gabriel"/>
    <x v="657"/>
    <x v="311"/>
    <n v="3.1900000000000001E-3"/>
    <m/>
    <m/>
    <m/>
    <m/>
    <m/>
    <m/>
    <m/>
    <m/>
    <m/>
    <m/>
    <d v="1949-03-09T00:00:00"/>
    <m/>
    <x v="144"/>
  </r>
  <r>
    <s v="Real"/>
    <s v="Romero"/>
    <s v="Augustin"/>
    <x v="658"/>
    <x v="311"/>
    <n v="5.62E-3"/>
    <m/>
    <m/>
    <m/>
    <m/>
    <m/>
    <m/>
    <m/>
    <m/>
    <m/>
    <m/>
    <d v="1960-01-23T00:00:00"/>
    <m/>
    <x v="144"/>
  </r>
  <r>
    <s v="Chilet"/>
    <s v="Ferrer"/>
    <s v="Francisco"/>
    <x v="659"/>
    <x v="311"/>
    <n v="3.6000000000000002E-4"/>
    <m/>
    <m/>
    <m/>
    <m/>
    <m/>
    <m/>
    <m/>
    <m/>
    <m/>
    <m/>
    <d v="1975-05-14T00:00:00"/>
    <m/>
    <x v="144"/>
  </r>
  <r>
    <s v="García "/>
    <s v="Navarro"/>
    <s v="Lucia"/>
    <x v="660"/>
    <x v="311"/>
    <n v="5.0000000000000002E-5"/>
    <m/>
    <m/>
    <m/>
    <m/>
    <m/>
    <m/>
    <m/>
    <m/>
    <m/>
    <m/>
    <d v="1948-06-07T00:00:00"/>
    <m/>
    <x v="144"/>
  </r>
  <r>
    <s v="Carpena "/>
    <s v="Azorin"/>
    <s v="Juan"/>
    <x v="661"/>
    <x v="311"/>
    <n v="3.4000000000000002E-4"/>
    <m/>
    <m/>
    <m/>
    <m/>
    <m/>
    <m/>
    <m/>
    <m/>
    <m/>
    <m/>
    <d v="1944-11-28T00:00:00"/>
    <m/>
    <x v="157"/>
  </r>
  <r>
    <s v="Martinez"/>
    <s v="Judar"/>
    <s v="Vicente"/>
    <x v="492"/>
    <x v="312"/>
    <n v="1.1559999999999999E-3"/>
    <m/>
    <m/>
    <m/>
    <m/>
    <m/>
    <m/>
    <m/>
    <m/>
    <m/>
    <m/>
    <d v="1953-10-18T00:00:00"/>
    <m/>
    <x v="175"/>
  </r>
  <r>
    <s v="Escirva "/>
    <s v="Faus"/>
    <s v="Jose Ramon"/>
    <x v="246"/>
    <x v="313"/>
    <n v="0.15836"/>
    <m/>
    <m/>
    <m/>
    <m/>
    <m/>
    <m/>
    <m/>
    <m/>
    <m/>
    <m/>
    <d v="1969-04-16T00:00:00"/>
    <m/>
    <x v="113"/>
  </r>
  <r>
    <s v="Molina"/>
    <s v="Fraile"/>
    <s v="Maria"/>
    <x v="662"/>
    <x v="313"/>
    <n v="1.9000000000000001E-4"/>
    <m/>
    <m/>
    <m/>
    <m/>
    <m/>
    <m/>
    <m/>
    <m/>
    <m/>
    <m/>
    <d v="2004-08-05T00:00:00"/>
    <m/>
    <x v="157"/>
  </r>
  <r>
    <s v="Izquierdo "/>
    <s v="Roca"/>
    <s v="Vicente"/>
    <x v="663"/>
    <x v="313"/>
    <n v="8.3000000000000001E-4"/>
    <m/>
    <m/>
    <m/>
    <m/>
    <m/>
    <m/>
    <m/>
    <m/>
    <m/>
    <m/>
    <d v="1950-10-28T00:00:00"/>
    <m/>
    <x v="157"/>
  </r>
  <r>
    <s v="Brualla"/>
    <s v="Olle"/>
    <s v="Jose Luis"/>
    <x v="664"/>
    <x v="314"/>
    <n v="6.3339999999999994E-2"/>
    <m/>
    <m/>
    <m/>
    <m/>
    <m/>
    <m/>
    <m/>
    <m/>
    <m/>
    <m/>
    <d v="1951-01-10T00:00:00"/>
    <m/>
    <x v="175"/>
  </r>
  <r>
    <s v="Copado"/>
    <s v="Carbonell"/>
    <s v="Ivan"/>
    <x v="593"/>
    <x v="314"/>
    <n v="0.23094000000000001"/>
    <m/>
    <m/>
    <m/>
    <m/>
    <m/>
    <m/>
    <m/>
    <m/>
    <m/>
    <m/>
    <d v="1977-06-04T00:00:00"/>
    <m/>
    <x v="171"/>
  </r>
  <r>
    <s v="Martin"/>
    <s v="Juarez"/>
    <s v="Federico"/>
    <x v="665"/>
    <x v="315"/>
    <n v="2.3279999999999999E-2"/>
    <m/>
    <m/>
    <m/>
    <m/>
    <m/>
    <m/>
    <m/>
    <m/>
    <m/>
    <m/>
    <d v="1952-02-01T00:00:00"/>
    <m/>
    <x v="140"/>
  </r>
  <r>
    <s v="Escarabajal "/>
    <s v="Calvo"/>
    <s v="Mari Carmen"/>
    <x v="666"/>
    <x v="316"/>
    <n v="5.9000000000000003E-4"/>
    <m/>
    <m/>
    <m/>
    <m/>
    <m/>
    <m/>
    <m/>
    <m/>
    <m/>
    <m/>
    <d v="1959-09-04T00:00:00"/>
    <m/>
    <x v="157"/>
  </r>
  <r>
    <s v="Frontera"/>
    <s v="Bosch"/>
    <s v="Antonio"/>
    <x v="667"/>
    <x v="316"/>
    <n v="7.0699999999999999E-3"/>
    <m/>
    <m/>
    <m/>
    <m/>
    <m/>
    <m/>
    <m/>
    <m/>
    <m/>
    <m/>
    <d v="1957-11-15T00:00:00"/>
    <m/>
    <x v="144"/>
  </r>
  <r>
    <s v="Aguilar "/>
    <s v="Ramon"/>
    <s v="Vicente Enrique"/>
    <x v="668"/>
    <x v="316"/>
    <n v="1.0529999999999999E-2"/>
    <m/>
    <m/>
    <m/>
    <m/>
    <m/>
    <m/>
    <m/>
    <m/>
    <m/>
    <m/>
    <d v="1947-09-11T00:00:00"/>
    <m/>
    <x v="157"/>
  </r>
  <r>
    <s v="Montagut"/>
    <s v="Garcia"/>
    <s v="Juan Bautista"/>
    <x v="669"/>
    <x v="316"/>
    <n v="9.5600000000000008E-3"/>
    <m/>
    <m/>
    <m/>
    <m/>
    <m/>
    <m/>
    <m/>
    <m/>
    <m/>
    <m/>
    <d v="1957-02-13T00:00:00"/>
    <m/>
    <x v="144"/>
  </r>
  <r>
    <s v="Perez"/>
    <s v="Navarro"/>
    <s v="Andrea"/>
    <x v="670"/>
    <x v="317"/>
    <n v="2.0200000000000001E-3"/>
    <m/>
    <m/>
    <m/>
    <m/>
    <m/>
    <m/>
    <m/>
    <m/>
    <m/>
    <m/>
    <d v="2000-08-22T00:00:00"/>
    <m/>
    <x v="134"/>
  </r>
  <r>
    <s v="Lopez"/>
    <s v="Vazquez"/>
    <s v="Cristina"/>
    <x v="671"/>
    <x v="317"/>
    <n v="7.0699999999999999E-3"/>
    <m/>
    <m/>
    <m/>
    <m/>
    <m/>
    <m/>
    <m/>
    <m/>
    <m/>
    <m/>
    <d v="1955-10-10T00:00:00"/>
    <m/>
    <x v="54"/>
  </r>
  <r>
    <s v="Peiro"/>
    <s v="Navarrete"/>
    <s v="Candido"/>
    <x v="126"/>
    <x v="317"/>
    <n v="0.35793999999999998"/>
    <m/>
    <m/>
    <m/>
    <m/>
    <m/>
    <m/>
    <m/>
    <m/>
    <m/>
    <m/>
    <d v="1964-01-08T00:00:00"/>
    <m/>
    <x v="1"/>
  </r>
  <r>
    <s v="Puchades"/>
    <s v="Ruano"/>
    <s v="Eduardo"/>
    <x v="672"/>
    <x v="318"/>
    <n v="7.7429999999999999E-2"/>
    <m/>
    <m/>
    <m/>
    <m/>
    <m/>
    <m/>
    <m/>
    <m/>
    <m/>
    <m/>
    <d v="1966-09-04T00:00:00"/>
    <m/>
    <x v="171"/>
  </r>
  <r>
    <s v="Marti"/>
    <s v="Moya"/>
    <s v="Bautista"/>
    <x v="412"/>
    <x v="318"/>
    <n v="2.4662E-2"/>
    <m/>
    <m/>
    <m/>
    <m/>
    <m/>
    <m/>
    <m/>
    <m/>
    <m/>
    <m/>
    <d v="1946-02-04T00:00:00"/>
    <m/>
    <x v="137"/>
  </r>
  <r>
    <s v="Giner"/>
    <s v="Ortega"/>
    <s v="Francisca"/>
    <x v="2"/>
    <x v="318"/>
    <n v="1.16327"/>
    <m/>
    <m/>
    <m/>
    <m/>
    <m/>
    <m/>
    <m/>
    <m/>
    <m/>
    <m/>
    <d v="1958-12-29T00:00:00"/>
    <m/>
    <x v="219"/>
  </r>
  <r>
    <s v="Jiménez "/>
    <s v="Gomez"/>
    <s v="Crescencio"/>
    <x v="673"/>
    <x v="318"/>
    <n v="6.6699999999999997E-3"/>
    <m/>
    <m/>
    <m/>
    <m/>
    <m/>
    <m/>
    <m/>
    <m/>
    <m/>
    <m/>
    <d v="1958-04-18T00:00:00"/>
    <m/>
    <x v="157"/>
  </r>
  <r>
    <s v="Nuñez"/>
    <s v="Palomo"/>
    <s v="Juan Carlos"/>
    <x v="674"/>
    <x v="319"/>
    <n v="4.3200000000000001E-3"/>
    <m/>
    <m/>
    <m/>
    <m/>
    <m/>
    <m/>
    <m/>
    <m/>
    <m/>
    <m/>
    <d v="1961-05-30T00:00:00"/>
    <m/>
    <x v="144"/>
  </r>
  <r>
    <s v="Albors"/>
    <s v="Nieto"/>
    <s v="Jaime"/>
    <x v="675"/>
    <x v="319"/>
    <n v="6.4000000000000003E-3"/>
    <m/>
    <m/>
    <m/>
    <m/>
    <m/>
    <m/>
    <m/>
    <m/>
    <m/>
    <m/>
    <d v="1949-07-24T00:00:00"/>
    <m/>
    <x v="157"/>
  </r>
  <r>
    <s v="Mirapeix"/>
    <s v="Fides"/>
    <s v="Pedro Vicente"/>
    <x v="676"/>
    <x v="319"/>
    <n v="7.7119999999999994E-2"/>
    <m/>
    <m/>
    <m/>
    <m/>
    <m/>
    <m/>
    <m/>
    <m/>
    <m/>
    <m/>
    <d v="1970-10-12T00:00:00"/>
    <m/>
    <x v="137"/>
  </r>
  <r>
    <s v="Toledo"/>
    <s v="Clemente"/>
    <s v="Vicente"/>
    <x v="677"/>
    <x v="319"/>
    <n v="7.2389999999999996E-2"/>
    <m/>
    <m/>
    <m/>
    <m/>
    <m/>
    <m/>
    <m/>
    <m/>
    <m/>
    <m/>
    <d v="1969-07-30T00:00:00"/>
    <m/>
    <x v="161"/>
  </r>
  <r>
    <s v="Hernández"/>
    <s v="Garcia"/>
    <s v="Jose Vicente"/>
    <x v="678"/>
    <x v="319"/>
    <n v="0.41467999999999999"/>
    <m/>
    <m/>
    <m/>
    <m/>
    <m/>
    <m/>
    <m/>
    <m/>
    <m/>
    <m/>
    <d v="1952-04-21T00:00:00"/>
    <m/>
    <x v="131"/>
  </r>
  <r>
    <s v="Castillero"/>
    <s v="Angel"/>
    <s v="Jacinto"/>
    <x v="175"/>
    <x v="320"/>
    <n v="0.27655999999999997"/>
    <m/>
    <m/>
    <m/>
    <m/>
    <m/>
    <m/>
    <m/>
    <m/>
    <m/>
    <m/>
    <d v="1943-07-18T00:00:00"/>
    <m/>
    <x v="21"/>
  </r>
  <r>
    <s v="Benavent"/>
    <s v="Perucho"/>
    <s v="Rafael"/>
    <x v="679"/>
    <x v="320"/>
    <n v="0.53493999999999997"/>
    <m/>
    <m/>
    <m/>
    <m/>
    <m/>
    <m/>
    <m/>
    <m/>
    <m/>
    <m/>
    <d v="1938-08-16T00:00:00"/>
    <m/>
    <x v="35"/>
  </r>
  <r>
    <s v="Caballer"/>
    <s v="Vila"/>
    <s v="Francisca"/>
    <x v="680"/>
    <x v="321"/>
    <n v="0.43168000000000001"/>
    <m/>
    <m/>
    <m/>
    <m/>
    <m/>
    <m/>
    <m/>
    <m/>
    <m/>
    <m/>
    <d v="1951-12-04T00:00:00"/>
    <m/>
    <x v="50"/>
  </r>
  <r>
    <s v="Medina i"/>
    <s v="Rodrigo"/>
    <s v="Josep"/>
    <x v="556"/>
    <x v="321"/>
    <n v="1.1757599999999999"/>
    <m/>
    <m/>
    <m/>
    <m/>
    <m/>
    <m/>
    <m/>
    <m/>
    <m/>
    <m/>
    <d v="1944-10-24T00:00:00"/>
    <m/>
    <x v="1"/>
  </r>
  <r>
    <s v="Valero"/>
    <s v="Lloret"/>
    <s v="Luis Francisco"/>
    <x v="681"/>
    <x v="321"/>
    <n v="3.4130000000000001E-2"/>
    <m/>
    <m/>
    <m/>
    <m/>
    <m/>
    <m/>
    <m/>
    <m/>
    <m/>
    <m/>
    <d v="1950-07-21T00:00:00"/>
    <m/>
    <x v="171"/>
  </r>
  <r>
    <s v="Navarro"/>
    <s v="Muñoz"/>
    <s v="Ramiro"/>
    <x v="682"/>
    <x v="321"/>
    <n v="0.43185000000000001"/>
    <m/>
    <m/>
    <m/>
    <m/>
    <m/>
    <m/>
    <m/>
    <m/>
    <m/>
    <m/>
    <d v="1958-04-13T00:00:00"/>
    <m/>
    <x v="14"/>
  </r>
  <r>
    <s v="Palacios"/>
    <s v="Moncho"/>
    <s v="Ricardo"/>
    <x v="683"/>
    <x v="322"/>
    <n v="0.12350999999999999"/>
    <m/>
    <m/>
    <m/>
    <m/>
    <m/>
    <m/>
    <m/>
    <m/>
    <m/>
    <m/>
    <d v="1957-03-02T00:00:00"/>
    <m/>
    <x v="177"/>
  </r>
  <r>
    <s v="Coll"/>
    <s v="Moscardo"/>
    <s v="Jose Luis"/>
    <x v="464"/>
    <x v="322"/>
    <n v="0.35893000000000003"/>
    <m/>
    <m/>
    <m/>
    <m/>
    <m/>
    <m/>
    <m/>
    <m/>
    <m/>
    <m/>
    <d v="1952-03-09T00:00:00"/>
    <m/>
    <x v="175"/>
  </r>
  <r>
    <s v="Cano"/>
    <s v="Jimenez"/>
    <s v="Jose"/>
    <x v="684"/>
    <x v="322"/>
    <n v="1.3492"/>
    <m/>
    <m/>
    <m/>
    <m/>
    <m/>
    <m/>
    <m/>
    <m/>
    <m/>
    <m/>
    <d v="1964-11-15T00:00:00"/>
    <m/>
    <x v="220"/>
  </r>
  <r>
    <s v="Valero"/>
    <s v="Lloret"/>
    <s v="Luis Francisco"/>
    <x v="681"/>
    <x v="323"/>
    <n v="1.8000000000000001E-4"/>
    <m/>
    <m/>
    <m/>
    <m/>
    <m/>
    <m/>
    <m/>
    <m/>
    <m/>
    <m/>
    <d v="1950-07-21T00:00:00"/>
    <m/>
    <x v="144"/>
  </r>
  <r>
    <s v="Gomis"/>
    <s v="Chilet "/>
    <s v="Concepcion"/>
    <x v="685"/>
    <x v="323"/>
    <s v="No tiene"/>
    <m/>
    <m/>
    <m/>
    <m/>
    <m/>
    <m/>
    <m/>
    <m/>
    <m/>
    <m/>
    <d v="1934-11-01T00:00:00"/>
    <m/>
    <x v="13"/>
  </r>
  <r>
    <s v="Abad"/>
    <s v="Fauli"/>
    <s v="Jose Fernando"/>
    <x v="686"/>
    <x v="324"/>
    <n v="0.32895999999999997"/>
    <m/>
    <m/>
    <m/>
    <m/>
    <m/>
    <m/>
    <m/>
    <m/>
    <m/>
    <m/>
    <d v="1956-05-30T00:00:00"/>
    <m/>
    <x v="11"/>
  </r>
  <r>
    <s v="Garcia"/>
    <s v="Perez"/>
    <s v="Francisco"/>
    <x v="634"/>
    <x v="324"/>
    <n v="8.1100000000000005E-2"/>
    <m/>
    <m/>
    <m/>
    <m/>
    <m/>
    <m/>
    <m/>
    <m/>
    <m/>
    <m/>
    <d v="1950-04-13T00:00:00"/>
    <m/>
    <x v="92"/>
  </r>
  <r>
    <s v="Parra"/>
    <s v="Martinez"/>
    <s v="Angel"/>
    <x v="687"/>
    <x v="324"/>
    <n v="0.24031"/>
    <m/>
    <m/>
    <m/>
    <m/>
    <m/>
    <m/>
    <m/>
    <m/>
    <m/>
    <m/>
    <d v="1940-03-01T00:00:00"/>
    <m/>
    <x v="17"/>
  </r>
  <r>
    <s v="Montañes"/>
    <s v="Ferragud"/>
    <s v="Juan Vicente"/>
    <x v="688"/>
    <x v="325"/>
    <n v="0.87904000000000004"/>
    <m/>
    <m/>
    <m/>
    <m/>
    <m/>
    <m/>
    <m/>
    <m/>
    <m/>
    <m/>
    <d v="1959-10-16T00:00:00"/>
    <m/>
    <x v="20"/>
  </r>
  <r>
    <s v="Moise"/>
    <m/>
    <s v="Nicoleta Iuliana"/>
    <x v="689"/>
    <x v="326"/>
    <n v="0.88993999999999995"/>
    <m/>
    <m/>
    <m/>
    <m/>
    <m/>
    <m/>
    <m/>
    <m/>
    <m/>
    <m/>
    <d v="1967-10-02T00:00:00"/>
    <m/>
    <x v="26"/>
  </r>
  <r>
    <s v="Tabikh"/>
    <m/>
    <s v="Mohe Ddin"/>
    <x v="690"/>
    <x v="327"/>
    <n v="3.13E-3"/>
    <m/>
    <m/>
    <m/>
    <m/>
    <m/>
    <m/>
    <m/>
    <m/>
    <m/>
    <m/>
    <d v="1951-02-05T00:00:00"/>
    <m/>
    <x v="144"/>
  </r>
  <r>
    <s v="Arenas"/>
    <s v="Herrera"/>
    <s v="Francisco Javier"/>
    <x v="691"/>
    <x v="327"/>
    <n v="6.2890000000000001E-2"/>
    <m/>
    <m/>
    <m/>
    <m/>
    <m/>
    <m/>
    <m/>
    <m/>
    <m/>
    <m/>
    <d v="2022-01-18T00:00:00"/>
    <m/>
    <x v="61"/>
  </r>
  <r>
    <s v="Carro"/>
    <s v="Jueguen"/>
    <s v="Juan Carlos"/>
    <x v="692"/>
    <x v="327"/>
    <n v="8.8000000000000003E-4"/>
    <m/>
    <m/>
    <m/>
    <m/>
    <m/>
    <m/>
    <m/>
    <m/>
    <m/>
    <m/>
    <d v="1966-08-06T00:00:00"/>
    <m/>
    <x v="144"/>
  </r>
  <r>
    <s v="Ruiz"/>
    <s v="Uceda"/>
    <s v="Bruno"/>
    <x v="693"/>
    <x v="328"/>
    <n v="6.0159999999999998E-2"/>
    <m/>
    <m/>
    <m/>
    <m/>
    <m/>
    <m/>
    <m/>
    <m/>
    <m/>
    <m/>
    <d v="1968-08-05T00:00:00"/>
    <m/>
    <x v="58"/>
  </r>
  <r>
    <s v="Garcia"/>
    <s v="Perez"/>
    <s v="Francisco"/>
    <x v="634"/>
    <x v="328"/>
    <n v="0.41002"/>
    <m/>
    <m/>
    <m/>
    <m/>
    <m/>
    <m/>
    <m/>
    <m/>
    <m/>
    <m/>
    <d v="1950-04-13T00:00:00"/>
    <m/>
    <x v="171"/>
  </r>
  <r>
    <s v="Tormo"/>
    <s v="Benet"/>
    <s v="Vicente"/>
    <x v="694"/>
    <x v="328"/>
    <n v="0.15154000000000001"/>
    <m/>
    <m/>
    <m/>
    <m/>
    <m/>
    <m/>
    <m/>
    <m/>
    <m/>
    <m/>
    <d v="1959-05-04T00:00:00"/>
    <m/>
    <x v="201"/>
  </r>
  <r>
    <s v="Ciscar"/>
    <s v="Vilanova "/>
    <s v="Francisca"/>
    <x v="695"/>
    <x v="328"/>
    <n v="8.9349999999999999E-2"/>
    <m/>
    <m/>
    <m/>
    <m/>
    <m/>
    <m/>
    <m/>
    <m/>
    <m/>
    <m/>
    <d v="1950-06-27T00:00:00"/>
    <m/>
    <x v="126"/>
  </r>
  <r>
    <s v="Campos"/>
    <s v="Gisbert"/>
    <s v="Carlos Enrique"/>
    <x v="696"/>
    <x v="329"/>
    <n v="0.15096999999999999"/>
    <m/>
    <m/>
    <m/>
    <m/>
    <m/>
    <m/>
    <m/>
    <m/>
    <m/>
    <m/>
    <d v="1959-06-04T00:00:00"/>
    <m/>
    <x v="205"/>
  </r>
  <r>
    <s v="Urban "/>
    <s v="Martinez"/>
    <s v="M Angeles"/>
    <x v="254"/>
    <x v="329"/>
    <n v="7.0930000000000007E-2"/>
    <m/>
    <m/>
    <m/>
    <m/>
    <m/>
    <m/>
    <m/>
    <m/>
    <m/>
    <m/>
    <d v="1971-05-26T00:00:00"/>
    <m/>
    <x v="180"/>
  </r>
  <r>
    <s v="Talhaoui"/>
    <m/>
    <s v="Halima"/>
    <x v="697"/>
    <x v="329"/>
    <n v="4.6000000000000001E-4"/>
    <m/>
    <m/>
    <m/>
    <m/>
    <m/>
    <m/>
    <m/>
    <m/>
    <m/>
    <m/>
    <d v="1990-11-07T00:00:00"/>
    <m/>
    <x v="144"/>
  </r>
  <r>
    <s v="Real"/>
    <s v="Balaguer"/>
    <s v="Pascual"/>
    <x v="698"/>
    <x v="329"/>
    <n v="6.6100000000000004E-3"/>
    <m/>
    <m/>
    <m/>
    <m/>
    <m/>
    <m/>
    <m/>
    <m/>
    <m/>
    <m/>
    <d v="1953-06-26T00:00:00"/>
    <m/>
    <x v="183"/>
  </r>
  <r>
    <s v="March"/>
    <s v="Orts"/>
    <s v="Enrique"/>
    <x v="699"/>
    <x v="330"/>
    <n v="3.14E-3"/>
    <m/>
    <m/>
    <m/>
    <m/>
    <m/>
    <m/>
    <m/>
    <m/>
    <m/>
    <m/>
    <d v="1941-08-17T00:00:00"/>
    <m/>
    <x v="157"/>
  </r>
  <r>
    <s v="Bayuna"/>
    <s v="Rodriguez"/>
    <s v="Ana"/>
    <x v="700"/>
    <x v="330"/>
    <n v="0.15323000000000001"/>
    <m/>
    <m/>
    <m/>
    <m/>
    <m/>
    <m/>
    <m/>
    <m/>
    <m/>
    <m/>
    <d v="1988-10-09T00:00:00"/>
    <m/>
    <x v="221"/>
  </r>
  <r>
    <s v="Lara"/>
    <s v="Doñate"/>
    <s v="Ramon"/>
    <x v="701"/>
    <x v="330"/>
    <n v="1E-3"/>
    <m/>
    <m/>
    <m/>
    <m/>
    <m/>
    <m/>
    <m/>
    <m/>
    <m/>
    <m/>
    <d v="1959-05-08T00:00:00"/>
    <m/>
    <x v="157"/>
  </r>
  <r>
    <s v="Martinez"/>
    <s v="Garcia"/>
    <s v="Carmen"/>
    <x v="702"/>
    <x v="331"/>
    <n v="309957"/>
    <m/>
    <m/>
    <m/>
    <m/>
    <m/>
    <m/>
    <m/>
    <m/>
    <m/>
    <m/>
    <d v="1957-02-24T00:00:00"/>
    <m/>
    <x v="200"/>
  </r>
  <r>
    <s v="Bosch"/>
    <s v="Alos"/>
    <s v="Maria Desampara"/>
    <x v="703"/>
    <x v="332"/>
    <n v="0.10778"/>
    <m/>
    <m/>
    <m/>
    <m/>
    <m/>
    <m/>
    <m/>
    <m/>
    <m/>
    <m/>
    <d v="1952-04-11T00:00:00"/>
    <m/>
    <x v="9"/>
  </r>
  <r>
    <s v="Benavent"/>
    <s v="Perucho"/>
    <s v="Rafael"/>
    <x v="679"/>
    <x v="333"/>
    <n v="1.1814899999999999"/>
    <m/>
    <m/>
    <m/>
    <m/>
    <m/>
    <m/>
    <m/>
    <m/>
    <m/>
    <m/>
    <d v="1938-08-16T00:00:00"/>
    <m/>
    <x v="1"/>
  </r>
  <r>
    <s v="De Juan"/>
    <s v="Oriola"/>
    <s v="Jesus"/>
    <x v="704"/>
    <x v="333"/>
    <n v="6.0800000000000003E-3"/>
    <m/>
    <m/>
    <m/>
    <m/>
    <m/>
    <m/>
    <m/>
    <m/>
    <m/>
    <m/>
    <d v="1954-10-04T00:00:00"/>
    <m/>
    <x v="157"/>
  </r>
  <r>
    <s v="Andreo"/>
    <s v="Serrano"/>
    <s v="Manuel"/>
    <x v="705"/>
    <x v="333"/>
    <n v="0.15518999999999999"/>
    <m/>
    <m/>
    <m/>
    <m/>
    <m/>
    <m/>
    <m/>
    <m/>
    <m/>
    <m/>
    <d v="1935-08-25T00:00:00"/>
    <m/>
    <x v="148"/>
  </r>
  <r>
    <s v="Belda"/>
    <s v="Dominguez"/>
    <s v="Vicente"/>
    <x v="706"/>
    <x v="333"/>
    <n v="0.91015000000000001"/>
    <m/>
    <m/>
    <m/>
    <m/>
    <m/>
    <m/>
    <m/>
    <m/>
    <m/>
    <m/>
    <d v="1962-04-22T00:00:00"/>
    <m/>
    <x v="222"/>
  </r>
  <r>
    <s v="Valero "/>
    <s v="Lloret"/>
    <s v="Luis Francisco"/>
    <x v="681"/>
    <x v="334"/>
    <n v="8.94E-3"/>
    <m/>
    <m/>
    <m/>
    <m/>
    <m/>
    <m/>
    <m/>
    <m/>
    <m/>
    <m/>
    <d v="1950-07-21T00:00:00"/>
    <m/>
    <x v="137"/>
  </r>
  <r>
    <s v="Martinez"/>
    <s v="Jodar"/>
    <s v="Vicente"/>
    <x v="492"/>
    <x v="334"/>
    <n v="1.106E-2"/>
    <m/>
    <m/>
    <m/>
    <m/>
    <m/>
    <m/>
    <m/>
    <m/>
    <m/>
    <m/>
    <d v="1963-10-18T00:00:00"/>
    <m/>
    <x v="144"/>
  </r>
  <r>
    <s v="Loaiza"/>
    <s v="Arboleda"/>
    <s v="Yeraldyn"/>
    <x v="707"/>
    <x v="334"/>
    <n v="6.0900000000000003E-2"/>
    <m/>
    <m/>
    <m/>
    <m/>
    <m/>
    <m/>
    <m/>
    <m/>
    <m/>
    <m/>
    <d v="1991-10-28T00:00:00"/>
    <m/>
    <x v="223"/>
  </r>
  <r>
    <s v="Carrasco "/>
    <s v="Chaumel"/>
    <s v="Ignacio"/>
    <x v="708"/>
    <x v="334"/>
    <n v="6.0830000000000002E-2"/>
    <m/>
    <m/>
    <m/>
    <m/>
    <m/>
    <m/>
    <m/>
    <m/>
    <m/>
    <m/>
    <d v="1973-06-01T00:00:00"/>
    <m/>
    <x v="149"/>
  </r>
  <r>
    <s v="Garcia "/>
    <s v="Lorenzana"/>
    <s v="Emilio Ernesto"/>
    <x v="330"/>
    <x v="334"/>
    <n v="0.86741000000000001"/>
    <m/>
    <m/>
    <m/>
    <m/>
    <m/>
    <m/>
    <m/>
    <m/>
    <m/>
    <m/>
    <d v="1947-11-07T00:00:00"/>
    <m/>
    <x v="13"/>
  </r>
  <r>
    <s v="Llinares"/>
    <s v="Fayos"/>
    <s v="Vicente"/>
    <x v="709"/>
    <x v="335"/>
    <n v="2.4549999999999999E-2"/>
    <m/>
    <m/>
    <m/>
    <m/>
    <m/>
    <m/>
    <m/>
    <m/>
    <m/>
    <m/>
    <d v="1963-03-24T00:00:00"/>
    <m/>
    <x v="224"/>
  </r>
  <r>
    <s v="Buso"/>
    <s v="Guillot"/>
    <s v="Maria Carmen"/>
    <x v="710"/>
    <x v="335"/>
    <n v="0.10648000000000001"/>
    <m/>
    <m/>
    <m/>
    <m/>
    <m/>
    <m/>
    <m/>
    <m/>
    <m/>
    <m/>
    <d v="1961-07-26T00:00:00"/>
    <m/>
    <x v="137"/>
  </r>
  <r>
    <s v="Rubio"/>
    <s v="Nuñez"/>
    <s v="Manuel"/>
    <x v="711"/>
    <x v="335"/>
    <n v="0.23746"/>
    <m/>
    <m/>
    <m/>
    <m/>
    <m/>
    <m/>
    <m/>
    <m/>
    <m/>
    <m/>
    <d v="2003-08-19T00:00:00"/>
    <m/>
    <x v="148"/>
  </r>
  <r>
    <s v="Real"/>
    <s v="Costell"/>
    <s v="Amalia"/>
    <x v="712"/>
    <x v="335"/>
    <n v="0.71009"/>
    <m/>
    <m/>
    <m/>
    <m/>
    <m/>
    <m/>
    <m/>
    <m/>
    <m/>
    <m/>
    <d v="1931-01-31T00:00:00"/>
    <m/>
    <x v="225"/>
  </r>
  <r>
    <s v="Duque"/>
    <s v="Robledo"/>
    <s v="Benjamin"/>
    <x v="713"/>
    <x v="335"/>
    <n v="0.57711999999999997"/>
    <m/>
    <m/>
    <m/>
    <m/>
    <m/>
    <m/>
    <m/>
    <m/>
    <m/>
    <m/>
    <d v="1961-06-03T00:00:00"/>
    <m/>
    <x v="13"/>
  </r>
  <r>
    <s v="Martinez"/>
    <s v="Cuadros"/>
    <s v="Francisca"/>
    <x v="714"/>
    <x v="335"/>
    <n v="0.14879999999999999"/>
    <m/>
    <m/>
    <m/>
    <m/>
    <m/>
    <m/>
    <m/>
    <m/>
    <m/>
    <m/>
    <d v="1957-04-30T00:00:00"/>
    <m/>
    <x v="180"/>
  </r>
  <r>
    <s v="Blesa"/>
    <s v="Martinez"/>
    <s v="Jose Javier"/>
    <x v="715"/>
    <x v="335"/>
    <n v="0.13469"/>
    <m/>
    <m/>
    <m/>
    <m/>
    <m/>
    <m/>
    <m/>
    <m/>
    <m/>
    <m/>
    <d v="1963-04-02T00:00:00"/>
    <m/>
    <x v="226"/>
  </r>
  <r>
    <s v="Perez"/>
    <s v="Velez"/>
    <s v="Salvador"/>
    <x v="716"/>
    <x v="336"/>
    <n v="4.1700000000000001E-3"/>
    <m/>
    <m/>
    <m/>
    <m/>
    <m/>
    <m/>
    <m/>
    <m/>
    <m/>
    <m/>
    <d v="1962-04-04T00:00:00"/>
    <m/>
    <x v="213"/>
  </r>
  <r>
    <s v="Baltanas"/>
    <s v="Ayuela"/>
    <s v="Felix"/>
    <x v="717"/>
    <x v="336"/>
    <n v="6.9620000000000001E-2"/>
    <m/>
    <m/>
    <m/>
    <m/>
    <m/>
    <m/>
    <m/>
    <m/>
    <m/>
    <m/>
    <d v="1943-11-18T00:00:00"/>
    <m/>
    <x v="43"/>
  </r>
  <r>
    <s v="Martinez"/>
    <s v="Cuadros"/>
    <s v="Francisca"/>
    <x v="714"/>
    <x v="336"/>
    <n v="5.1990000000000001E-2"/>
    <m/>
    <m/>
    <m/>
    <m/>
    <m/>
    <m/>
    <m/>
    <m/>
    <m/>
    <m/>
    <d v="1957-04-30T00:00:00"/>
    <m/>
    <x v="180"/>
  </r>
  <r>
    <s v="Borras"/>
    <s v="Lorente"/>
    <s v="Juan Francisco"/>
    <x v="718"/>
    <x v="337"/>
    <n v="0.11430999999999999"/>
    <m/>
    <m/>
    <m/>
    <m/>
    <m/>
    <m/>
    <m/>
    <m/>
    <m/>
    <m/>
    <d v="2022-01-28T00:00:00"/>
    <m/>
    <x v="205"/>
  </r>
  <r>
    <s v="Peña"/>
    <s v="Diez"/>
    <s v="Juan"/>
    <x v="719"/>
    <x v="337"/>
    <s v="Imposible"/>
    <m/>
    <m/>
    <m/>
    <m/>
    <m/>
    <m/>
    <m/>
    <m/>
    <m/>
    <m/>
    <d v="1950-05-22T00:00:00"/>
    <m/>
    <x v="227"/>
  </r>
  <r>
    <s v="Mirapeix"/>
    <s v="Fides"/>
    <s v="Pedro Vicente"/>
    <x v="676"/>
    <x v="337"/>
    <n v="7.6899999999999998E-3"/>
    <m/>
    <m/>
    <m/>
    <m/>
    <m/>
    <m/>
    <m/>
    <m/>
    <m/>
    <m/>
    <d v="1970-10-12T00:00:00"/>
    <m/>
    <x v="171"/>
  </r>
  <r>
    <s v="Serena"/>
    <s v="Gonzalez"/>
    <s v="Josefa Ana"/>
    <x v="720"/>
    <x v="337"/>
    <n v="4.1930000000000002E-2"/>
    <m/>
    <m/>
    <m/>
    <m/>
    <m/>
    <m/>
    <m/>
    <m/>
    <m/>
    <m/>
    <d v="1937-06-29T00:00:00"/>
    <m/>
    <x v="56"/>
  </r>
  <r>
    <s v="Garcia "/>
    <s v="Tortula"/>
    <s v="Eduardo"/>
    <x v="721"/>
    <x v="337"/>
    <n v="2.47E-3"/>
    <m/>
    <m/>
    <m/>
    <m/>
    <m/>
    <m/>
    <m/>
    <m/>
    <m/>
    <m/>
    <d v="1986-01-11T00:00:00"/>
    <m/>
    <x v="181"/>
  </r>
  <r>
    <s v="Nebot"/>
    <s v="Blasco"/>
    <s v="José Vicente"/>
    <x v="359"/>
    <x v="338"/>
    <n v="0.19145999999999999"/>
    <m/>
    <m/>
    <m/>
    <m/>
    <m/>
    <m/>
    <m/>
    <m/>
    <m/>
    <m/>
    <d v="1959-02-07T00:00:00"/>
    <m/>
    <x v="102"/>
  </r>
  <r>
    <s v="Verdeguer"/>
    <s v="Sanchis"/>
    <s v="Ana"/>
    <x v="722"/>
    <x v="338"/>
    <n v="0.77766000000000002"/>
    <m/>
    <m/>
    <m/>
    <m/>
    <m/>
    <m/>
    <m/>
    <m/>
    <m/>
    <m/>
    <d v="1947-07-31T00:00:00"/>
    <m/>
    <x v="228"/>
  </r>
  <r>
    <s v="Zanon"/>
    <s v="Montesinos"/>
    <s v="Irene"/>
    <x v="723"/>
    <x v="339"/>
    <n v="8.2589999999999997E-2"/>
    <m/>
    <m/>
    <m/>
    <m/>
    <m/>
    <m/>
    <m/>
    <m/>
    <m/>
    <m/>
    <d v="1990-11-20T00:00:00"/>
    <m/>
    <x v="223"/>
  </r>
  <r>
    <s v="Tomas"/>
    <s v="Sanchis"/>
    <s v="Rafael"/>
    <x v="724"/>
    <x v="339"/>
    <n v="0.14133999999999999"/>
    <m/>
    <m/>
    <m/>
    <m/>
    <m/>
    <m/>
    <m/>
    <m/>
    <m/>
    <m/>
    <d v="1942-01-30T00:00:00"/>
    <m/>
    <x v="82"/>
  </r>
  <r>
    <s v="Sanchez"/>
    <s v="Benito"/>
    <s v="Pedro"/>
    <x v="725"/>
    <x v="339"/>
    <n v="0.15484000000000001"/>
    <m/>
    <m/>
    <m/>
    <m/>
    <m/>
    <m/>
    <m/>
    <m/>
    <m/>
    <m/>
    <d v="1954-07-13T00:00:00"/>
    <m/>
    <x v="148"/>
  </r>
  <r>
    <s v="Amat"/>
    <s v="Aznar"/>
    <s v="Jose"/>
    <x v="569"/>
    <x v="339"/>
    <n v="0.10376000000000001"/>
    <m/>
    <m/>
    <m/>
    <m/>
    <m/>
    <m/>
    <m/>
    <m/>
    <m/>
    <m/>
    <d v="1945-01-21T00:00:00"/>
    <m/>
    <x v="138"/>
  </r>
  <r>
    <s v="Sanchez"/>
    <s v="Benito"/>
    <s v="Pedro"/>
    <x v="725"/>
    <x v="340"/>
    <n v="0.22833000000000001"/>
    <m/>
    <m/>
    <m/>
    <m/>
    <m/>
    <m/>
    <m/>
    <m/>
    <m/>
    <m/>
    <d v="1954-07-13T00:00:00"/>
    <m/>
    <x v="193"/>
  </r>
  <r>
    <s v="Verdeguer"/>
    <s v="Sanchis"/>
    <s v="Ana"/>
    <x v="722"/>
    <x v="340"/>
    <n v="1.1280600000000001"/>
    <m/>
    <m/>
    <m/>
    <m/>
    <m/>
    <m/>
    <m/>
    <m/>
    <m/>
    <m/>
    <d v="1947-01-31T00:00:00"/>
    <m/>
    <x v="228"/>
  </r>
  <r>
    <s v="Nagtegaal "/>
    <m/>
    <s v="Gerrit Simon"/>
    <x v="726"/>
    <x v="340"/>
    <n v="0.53119099999999997"/>
    <m/>
    <m/>
    <m/>
    <m/>
    <m/>
    <m/>
    <m/>
    <m/>
    <m/>
    <m/>
    <d v="1946-09-17T00:00:00"/>
    <m/>
    <x v="57"/>
  </r>
  <r>
    <s v="Fernando"/>
    <s v="Llorca"/>
    <s v="Consuelo"/>
    <x v="118"/>
    <x v="340"/>
    <n v="0.62729999999999997"/>
    <m/>
    <m/>
    <m/>
    <m/>
    <m/>
    <m/>
    <m/>
    <m/>
    <m/>
    <m/>
    <d v="1963-03-08T00:00:00"/>
    <m/>
    <x v="223"/>
  </r>
  <r>
    <s v="Vicente"/>
    <s v="Jiménez"/>
    <s v="Augustin"/>
    <x v="727"/>
    <x v="341"/>
    <n v="0.17546"/>
    <m/>
    <m/>
    <m/>
    <m/>
    <m/>
    <m/>
    <m/>
    <m/>
    <m/>
    <m/>
    <d v="1985-07-01T00:00:00"/>
    <m/>
    <x v="9"/>
  </r>
  <r>
    <s v="Duran"/>
    <s v="Cherino"/>
    <s v="Clara"/>
    <x v="728"/>
    <x v="341"/>
    <n v="4.6100000000000004E-3"/>
    <m/>
    <m/>
    <m/>
    <m/>
    <m/>
    <m/>
    <m/>
    <m/>
    <m/>
    <m/>
    <d v="2005-04-14T00:00:00"/>
    <m/>
    <x v="134"/>
  </r>
  <r>
    <s v="Caro"/>
    <s v="Gomez"/>
    <s v="M Pilar"/>
    <x v="729"/>
    <x v="341"/>
    <n v="9.1900000000000003E-3"/>
    <m/>
    <m/>
    <m/>
    <m/>
    <m/>
    <m/>
    <m/>
    <m/>
    <m/>
    <m/>
    <d v="1974-06-07T00:00:00"/>
    <m/>
    <x v="215"/>
  </r>
  <r>
    <s v="Lopez"/>
    <s v="Osada"/>
    <s v="Jaime"/>
    <x v="730"/>
    <x v="342"/>
    <n v="0.16708999999999999"/>
    <m/>
    <m/>
    <m/>
    <m/>
    <m/>
    <m/>
    <m/>
    <m/>
    <m/>
    <m/>
    <d v="1977-12-17T00:00:00"/>
    <m/>
    <x v="128"/>
  </r>
  <r>
    <s v="Cebrian"/>
    <s v="Carillo"/>
    <s v="M Amparo"/>
    <x v="731"/>
    <x v="342"/>
    <n v="7.3299999999999997E-3"/>
    <m/>
    <m/>
    <m/>
    <m/>
    <m/>
    <m/>
    <m/>
    <m/>
    <m/>
    <m/>
    <d v="1966-03-18T00:00:00"/>
    <m/>
    <x v="229"/>
  </r>
  <r>
    <s v="Saez"/>
    <s v="Sancho"/>
    <s v="Paula"/>
    <x v="732"/>
    <x v="342"/>
    <n v="7.6899999999999998E-3"/>
    <m/>
    <m/>
    <m/>
    <m/>
    <m/>
    <m/>
    <m/>
    <m/>
    <m/>
    <m/>
    <d v="1996-09-25T00:00:00"/>
    <m/>
    <x v="230"/>
  </r>
  <r>
    <s v="Belda"/>
    <s v="Dominguez"/>
    <s v="Vicente"/>
    <x v="706"/>
    <x v="342"/>
    <n v="0.25416"/>
    <m/>
    <m/>
    <m/>
    <m/>
    <m/>
    <m/>
    <m/>
    <m/>
    <m/>
    <m/>
    <d v="1962-04-22T00:00:00"/>
    <m/>
    <x v="9"/>
  </r>
  <r>
    <s v="Verdejo "/>
    <s v="Lopez"/>
    <s v="Antonio"/>
    <x v="733"/>
    <x v="343"/>
    <n v="0.22147"/>
    <m/>
    <m/>
    <m/>
    <m/>
    <m/>
    <m/>
    <m/>
    <m/>
    <m/>
    <m/>
    <d v="1961-05-16T00:00:00"/>
    <m/>
    <x v="231"/>
  </r>
  <r>
    <s v="Espert"/>
    <s v="Perez"/>
    <s v="Rosario"/>
    <x v="734"/>
    <x v="343"/>
    <n v="0.15747"/>
    <m/>
    <m/>
    <m/>
    <m/>
    <m/>
    <m/>
    <m/>
    <m/>
    <m/>
    <m/>
    <d v="1974-08-26T00:00:00"/>
    <m/>
    <x v="4"/>
  </r>
  <r>
    <s v="Lanza"/>
    <s v="Miñana"/>
    <s v="Maria Dolores"/>
    <x v="735"/>
    <x v="343"/>
    <n v="3.6240000000000001E-2"/>
    <m/>
    <m/>
    <m/>
    <m/>
    <m/>
    <m/>
    <m/>
    <m/>
    <m/>
    <m/>
    <d v="1955-09-15T00:00:00"/>
    <m/>
    <x v="134"/>
  </r>
  <r>
    <s v="Sanchez"/>
    <s v="Gutierrez"/>
    <s v="Rafael"/>
    <x v="736"/>
    <x v="343"/>
    <n v="0.34834999999999999"/>
    <m/>
    <m/>
    <m/>
    <m/>
    <m/>
    <m/>
    <m/>
    <m/>
    <m/>
    <m/>
    <d v="1940-05-08T00:00:00"/>
    <m/>
    <x v="59"/>
  </r>
  <r>
    <s v="Mateo"/>
    <s v="Franco"/>
    <s v="Pedro Juan"/>
    <x v="737"/>
    <x v="343"/>
    <n v="0.12751999999999999"/>
    <m/>
    <m/>
    <m/>
    <m/>
    <m/>
    <m/>
    <m/>
    <m/>
    <m/>
    <m/>
    <d v="1947-12-26T00:00:00"/>
    <m/>
    <x v="151"/>
  </r>
  <r>
    <s v="Otriz"/>
    <s v="Escribano"/>
    <s v="Emilio"/>
    <x v="738"/>
    <x v="344"/>
    <n v="5.3400000000000001E-3"/>
    <m/>
    <m/>
    <m/>
    <m/>
    <m/>
    <m/>
    <m/>
    <m/>
    <m/>
    <m/>
    <d v="1953-01-27T00:00:00"/>
    <m/>
    <x v="213"/>
  </r>
  <r>
    <s v="Comenadador"/>
    <s v="Lomas"/>
    <s v="Felisa"/>
    <x v="739"/>
    <x v="344"/>
    <n v="1.7579999999999998E-2"/>
    <m/>
    <m/>
    <m/>
    <m/>
    <m/>
    <m/>
    <m/>
    <m/>
    <m/>
    <m/>
    <d v="1964-05-27T00:00:00"/>
    <m/>
    <x v="180"/>
  </r>
  <r>
    <s v="Mirapeix"/>
    <s v="Fides"/>
    <s v="Pedro Vicente"/>
    <x v="676"/>
    <x v="344"/>
    <n v="7.7219999999999997E-2"/>
    <m/>
    <m/>
    <m/>
    <m/>
    <m/>
    <m/>
    <m/>
    <m/>
    <m/>
    <m/>
    <d v="1970-10-12T00:00:00"/>
    <m/>
    <x v="171"/>
  </r>
  <r>
    <s v="Bosch"/>
    <s v="Fornas"/>
    <s v="Eduardo José"/>
    <x v="268"/>
    <x v="344"/>
    <n v="0.22455"/>
    <m/>
    <m/>
    <m/>
    <m/>
    <m/>
    <m/>
    <m/>
    <m/>
    <m/>
    <m/>
    <d v="1953-02-15T00:00:00"/>
    <m/>
    <x v="143"/>
  </r>
  <r>
    <s v="Perez"/>
    <s v="Sanchis-Estal"/>
    <s v="Antonio Ramón"/>
    <x v="740"/>
    <x v="345"/>
    <n v="3.6569999999999998E-2"/>
    <m/>
    <m/>
    <m/>
    <m/>
    <m/>
    <m/>
    <m/>
    <m/>
    <m/>
    <m/>
    <d v="1973-01-22T00:00:00"/>
    <m/>
    <x v="50"/>
  </r>
  <r>
    <s v="Tortajada"/>
    <s v="Anton"/>
    <s v="Pedro"/>
    <x v="741"/>
    <x v="345"/>
    <n v="9.3399999999999993E-3"/>
    <m/>
    <m/>
    <m/>
    <m/>
    <m/>
    <m/>
    <m/>
    <m/>
    <m/>
    <m/>
    <d v="1937-05-05T00:00:00"/>
    <m/>
    <x v="89"/>
  </r>
  <r>
    <s v="Herraiz"/>
    <s v="Hidalgo"/>
    <s v="Juan Bienvenido"/>
    <x v="742"/>
    <x v="345"/>
    <n v="0.16253000000000001"/>
    <m/>
    <m/>
    <m/>
    <m/>
    <m/>
    <m/>
    <m/>
    <m/>
    <m/>
    <m/>
    <d v="1944-06-23T00:00:00"/>
    <m/>
    <x v="166"/>
  </r>
  <r>
    <s v="Chicano "/>
    <s v="Esteban"/>
    <s v="Isabel"/>
    <x v="743"/>
    <x v="346"/>
    <n v="0.32739000000000001"/>
    <m/>
    <m/>
    <m/>
    <m/>
    <m/>
    <m/>
    <m/>
    <m/>
    <m/>
    <m/>
    <d v="1946-11-17T00:00:00"/>
    <m/>
    <x v="232"/>
  </r>
  <r>
    <s v="Quevedo"/>
    <s v="Rufino"/>
    <s v="Emilio Miguel"/>
    <x v="744"/>
    <x v="346"/>
    <n v="6.3099999999999996E-3"/>
    <m/>
    <m/>
    <m/>
    <m/>
    <m/>
    <m/>
    <m/>
    <m/>
    <m/>
    <m/>
    <d v="1959-06-13T00:00:00"/>
    <m/>
    <x v="215"/>
  </r>
  <r>
    <s v="Sanchiz"/>
    <s v="Garcia"/>
    <s v="Vicenta Maria"/>
    <x v="745"/>
    <x v="347"/>
    <n v="7.4520000000000003E-2"/>
    <m/>
    <m/>
    <m/>
    <m/>
    <m/>
    <m/>
    <m/>
    <m/>
    <m/>
    <m/>
    <d v="1965-02-16T00:00:00"/>
    <m/>
    <x v="177"/>
  </r>
  <r>
    <s v="Bustos"/>
    <s v="Perez"/>
    <s v="Gregoria"/>
    <x v="746"/>
    <x v="347"/>
    <n v="4.6944E-2"/>
    <m/>
    <m/>
    <m/>
    <m/>
    <m/>
    <m/>
    <m/>
    <m/>
    <m/>
    <m/>
    <d v="1935-03-12T00:00:00"/>
    <m/>
    <x v="233"/>
  </r>
  <r>
    <s v="Parcalaboiu"/>
    <m/>
    <s v="Carmen Cristina"/>
    <x v="747"/>
    <x v="347"/>
    <n v="0.19725000000000001"/>
    <m/>
    <m/>
    <m/>
    <m/>
    <m/>
    <m/>
    <m/>
    <m/>
    <m/>
    <m/>
    <d v="1977-04-06T00:00:00"/>
    <m/>
    <x v="177"/>
  </r>
  <r>
    <s v="Martin"/>
    <s v="Fuente de la"/>
    <s v="Abelardo"/>
    <x v="748"/>
    <x v="347"/>
    <n v="0.43341000000000002"/>
    <m/>
    <m/>
    <m/>
    <m/>
    <m/>
    <m/>
    <m/>
    <m/>
    <m/>
    <m/>
    <d v="1950-07-07T00:00:00"/>
    <m/>
    <x v="41"/>
  </r>
  <r>
    <s v="Boyer"/>
    <s v="Lopez"/>
    <s v="Andrea"/>
    <x v="749"/>
    <x v="347"/>
    <n v="2.8999999999999998E-3"/>
    <m/>
    <m/>
    <m/>
    <m/>
    <m/>
    <m/>
    <m/>
    <m/>
    <m/>
    <m/>
    <d v="1996-10-09T00:00:00"/>
    <m/>
    <x v="56"/>
  </r>
  <r>
    <s v="Cabanes"/>
    <s v="Castello"/>
    <s v="Javier"/>
    <x v="750"/>
    <x v="347"/>
    <n v="1.7469999999999999E-2"/>
    <m/>
    <m/>
    <m/>
    <m/>
    <m/>
    <m/>
    <m/>
    <m/>
    <m/>
    <m/>
    <d v="1982-01-30T00:00:00"/>
    <m/>
    <x v="234"/>
  </r>
  <r>
    <s v="Hervas"/>
    <s v="Cabeza"/>
    <s v="Maria Jesus"/>
    <x v="751"/>
    <x v="347"/>
    <n v="0.20165"/>
    <m/>
    <m/>
    <m/>
    <m/>
    <m/>
    <m/>
    <m/>
    <m/>
    <m/>
    <m/>
    <d v="1968-06-05T00:00:00"/>
    <m/>
    <x v="235"/>
  </r>
  <r>
    <s v="Gomez"/>
    <s v="Gutierrez"/>
    <s v="Gregorio"/>
    <x v="752"/>
    <x v="347"/>
    <n v="0.65693000000000001"/>
    <m/>
    <m/>
    <m/>
    <m/>
    <m/>
    <m/>
    <m/>
    <m/>
    <m/>
    <m/>
    <d v="1958-10-13T00:00:00"/>
    <m/>
    <x v="113"/>
  </r>
  <r>
    <s v="Rodrigo"/>
    <s v="Vela"/>
    <s v="Enrique Vicente"/>
    <x v="753"/>
    <x v="348"/>
    <n v="0.15911"/>
    <m/>
    <m/>
    <m/>
    <m/>
    <m/>
    <m/>
    <m/>
    <m/>
    <m/>
    <m/>
    <d v="1961-02-26T00:00:00"/>
    <m/>
    <x v="180"/>
  </r>
  <r>
    <s v="Colomer"/>
    <s v="Monzo"/>
    <s v="M Teresa"/>
    <x v="754"/>
    <x v="348"/>
    <n v="0.21951999999999999"/>
    <m/>
    <m/>
    <m/>
    <m/>
    <m/>
    <m/>
    <m/>
    <m/>
    <m/>
    <m/>
    <d v="1946-08-06T00:00:00"/>
    <m/>
    <x v="134"/>
  </r>
  <r>
    <s v="Pons"/>
    <s v="Aliaga"/>
    <s v="Agustin"/>
    <x v="755"/>
    <x v="348"/>
    <n v="0.10921"/>
    <m/>
    <m/>
    <m/>
    <m/>
    <m/>
    <m/>
    <m/>
    <m/>
    <m/>
    <m/>
    <d v="1991-03-28T00:00:00"/>
    <m/>
    <x v="134"/>
  </r>
  <r>
    <s v="Belda"/>
    <s v="Dominguez"/>
    <s v="Vicente"/>
    <x v="706"/>
    <x v="348"/>
    <n v="0.25295000000000001"/>
    <m/>
    <m/>
    <m/>
    <m/>
    <m/>
    <m/>
    <m/>
    <m/>
    <m/>
    <m/>
    <d v="1962-04-22T00:00:00"/>
    <m/>
    <x v="236"/>
  </r>
  <r>
    <s v="Rodrigo"/>
    <s v="Vela"/>
    <s v="Enrique Vicente"/>
    <x v="753"/>
    <x v="349"/>
    <n v="5.0250000000000003E-2"/>
    <m/>
    <m/>
    <m/>
    <m/>
    <m/>
    <m/>
    <m/>
    <m/>
    <m/>
    <m/>
    <d v="1961-02-26T00:00:00"/>
    <m/>
    <x v="180"/>
  </r>
  <r>
    <s v="Comendador "/>
    <s v="Lomas"/>
    <s v="Felisa"/>
    <x v="739"/>
    <x v="349"/>
    <n v="1.627E-2"/>
    <m/>
    <m/>
    <m/>
    <m/>
    <m/>
    <m/>
    <m/>
    <m/>
    <m/>
    <m/>
    <d v="1964-05-27T00:00:00"/>
    <m/>
    <x v="180"/>
  </r>
  <r>
    <s v="Maldonado"/>
    <s v="Heredia"/>
    <s v="Luis"/>
    <x v="756"/>
    <x v="349"/>
    <n v="9.8589999999999997E-2"/>
    <m/>
    <m/>
    <m/>
    <m/>
    <m/>
    <m/>
    <m/>
    <m/>
    <m/>
    <m/>
    <d v="1970-12-16T00:00:00"/>
    <m/>
    <x v="237"/>
  </r>
  <r>
    <s v="Ferrero"/>
    <s v="Salcedo"/>
    <s v="Carmen"/>
    <x v="757"/>
    <x v="349"/>
    <n v="0.40354000000000001"/>
    <m/>
    <m/>
    <m/>
    <m/>
    <m/>
    <m/>
    <m/>
    <m/>
    <m/>
    <m/>
    <d v="1957-01-19T00:00:00"/>
    <m/>
    <x v="238"/>
  </r>
  <r>
    <s v="Rubio "/>
    <s v="Osma"/>
    <s v="Teresa"/>
    <x v="758"/>
    <x v="349"/>
    <m/>
    <m/>
    <m/>
    <m/>
    <m/>
    <m/>
    <m/>
    <m/>
    <m/>
    <m/>
    <m/>
    <d v="1964-10-03T00:00:00"/>
    <m/>
    <x v="35"/>
  </r>
  <r>
    <s v="Nebot"/>
    <s v="Blasco"/>
    <s v="Jose Vicente"/>
    <x v="359"/>
    <x v="349"/>
    <n v="4.972E-2"/>
    <m/>
    <m/>
    <m/>
    <m/>
    <m/>
    <m/>
    <m/>
    <m/>
    <m/>
    <m/>
    <d v="1959-02-07T00:00:00"/>
    <m/>
    <x v="239"/>
  </r>
  <r>
    <s v="Milla"/>
    <s v="Piro"/>
    <s v="Manuel"/>
    <x v="167"/>
    <x v="350"/>
    <n v="1.0071000000000001"/>
    <m/>
    <m/>
    <m/>
    <m/>
    <m/>
    <m/>
    <m/>
    <m/>
    <m/>
    <m/>
    <d v="1949-05-05T00:00:00"/>
    <m/>
    <x v="1"/>
  </r>
  <r>
    <s v="Suarez"/>
    <s v="Valdivia"/>
    <s v="Carmen Rosa"/>
    <x v="759"/>
    <x v="350"/>
    <n v="1.214E-2"/>
    <m/>
    <m/>
    <m/>
    <m/>
    <m/>
    <m/>
    <m/>
    <m/>
    <m/>
    <m/>
    <d v="1974-09-22T00:00:00"/>
    <m/>
    <x v="43"/>
  </r>
  <r>
    <s v="Arribas"/>
    <s v="Perez"/>
    <s v="M Amparo"/>
    <x v="760"/>
    <x v="350"/>
    <n v="6.8659999999999999E-2"/>
    <m/>
    <m/>
    <m/>
    <m/>
    <m/>
    <m/>
    <m/>
    <m/>
    <m/>
    <m/>
    <d v="1964-05-07T00:00:00"/>
    <m/>
    <x v="26"/>
  </r>
  <r>
    <s v="Colom"/>
    <s v="Campello"/>
    <s v="Carlos"/>
    <x v="761"/>
    <x v="350"/>
    <m/>
    <m/>
    <m/>
    <m/>
    <m/>
    <m/>
    <m/>
    <m/>
    <m/>
    <m/>
    <m/>
    <d v="1962-05-10T00:00:00"/>
    <m/>
    <x v="2"/>
  </r>
  <r>
    <s v="Marti"/>
    <s v="Marti"/>
    <s v="Desamparados"/>
    <x v="762"/>
    <x v="351"/>
    <n v="1.7825"/>
    <m/>
    <m/>
    <m/>
    <m/>
    <m/>
    <m/>
    <m/>
    <m/>
    <m/>
    <m/>
    <d v="1947-03-30T00:00:00"/>
    <m/>
    <x v="1"/>
  </r>
  <r>
    <s v="Gil"/>
    <s v="Perales"/>
    <s v="Barbara"/>
    <x v="763"/>
    <x v="351"/>
    <n v="2.683E-2"/>
    <m/>
    <m/>
    <m/>
    <m/>
    <m/>
    <m/>
    <m/>
    <m/>
    <m/>
    <m/>
    <d v="1961-06-18T00:00:00"/>
    <m/>
    <x v="89"/>
  </r>
  <r>
    <s v="Picazo"/>
    <s v="Martinez"/>
    <s v="Leonides"/>
    <x v="764"/>
    <x v="351"/>
    <n v="0.48036000000000001"/>
    <m/>
    <m/>
    <m/>
    <m/>
    <m/>
    <m/>
    <m/>
    <m/>
    <m/>
    <m/>
    <d v="1976-10-10T00:00:00"/>
    <m/>
    <x v="212"/>
  </r>
  <r>
    <s v="Copado"/>
    <s v="Carbonell"/>
    <s v="Ivan"/>
    <x v="593"/>
    <x v="351"/>
    <n v="4.2810000000000001E-2"/>
    <m/>
    <m/>
    <m/>
    <m/>
    <m/>
    <m/>
    <m/>
    <m/>
    <m/>
    <m/>
    <d v="1977-06-04T00:00:00"/>
    <m/>
    <x v="154"/>
  </r>
  <r>
    <s v="Sevilla"/>
    <s v="Illiana "/>
    <s v="Angel"/>
    <x v="765"/>
    <x v="351"/>
    <n v="9.5339999999999994E-2"/>
    <m/>
    <m/>
    <m/>
    <m/>
    <m/>
    <m/>
    <m/>
    <m/>
    <m/>
    <m/>
    <d v="1945-10-01T00:00:00"/>
    <m/>
    <x v="148"/>
  </r>
  <r>
    <s v="Carrion"/>
    <s v="Rodriguez"/>
    <s v="Juan"/>
    <x v="766"/>
    <x v="351"/>
    <n v="0.33424999999999999"/>
    <m/>
    <m/>
    <m/>
    <m/>
    <m/>
    <m/>
    <m/>
    <m/>
    <m/>
    <m/>
    <d v="1948-12-15T00:00:00"/>
    <m/>
    <x v="215"/>
  </r>
  <r>
    <s v="Juan"/>
    <s v="Santabalbina"/>
    <s v="Ramon"/>
    <x v="767"/>
    <x v="352"/>
    <n v="7.1239999999999998E-2"/>
    <m/>
    <m/>
    <m/>
    <m/>
    <m/>
    <m/>
    <m/>
    <m/>
    <m/>
    <m/>
    <d v="1949-11-05T00:00:00"/>
    <m/>
    <x v="193"/>
  </r>
  <r>
    <s v="Juan"/>
    <s v="Santabalbina"/>
    <s v="Ramon"/>
    <x v="767"/>
    <x v="353"/>
    <n v="3.5700000000000003E-2"/>
    <m/>
    <m/>
    <m/>
    <m/>
    <m/>
    <m/>
    <m/>
    <m/>
    <m/>
    <m/>
    <d v="1949-11-05T00:00:00"/>
    <m/>
    <x v="148"/>
  </r>
  <r>
    <s v="Fernandez"/>
    <s v="Gavara"/>
    <s v="Ana M"/>
    <x v="768"/>
    <x v="354"/>
    <n v="0.38662000000000002"/>
    <m/>
    <m/>
    <m/>
    <m/>
    <m/>
    <m/>
    <m/>
    <m/>
    <m/>
    <m/>
    <d v="1962-09-23T00:00:00"/>
    <m/>
    <x v="134"/>
  </r>
  <r>
    <s v="Saiz "/>
    <s v="Cea "/>
    <s v="Angel Ramundo"/>
    <x v="769"/>
    <x v="354"/>
    <n v="6.0499999999999998E-2"/>
    <m/>
    <m/>
    <m/>
    <m/>
    <m/>
    <m/>
    <m/>
    <m/>
    <m/>
    <m/>
    <d v="1954-08-02T00:00:00"/>
    <m/>
    <x v="54"/>
  </r>
  <r>
    <s v="El Fahoul"/>
    <m/>
    <s v="Abdelouhed"/>
    <x v="770"/>
    <x v="354"/>
    <n v="6.3369999999999996E-2"/>
    <m/>
    <m/>
    <m/>
    <m/>
    <m/>
    <m/>
    <m/>
    <m/>
    <m/>
    <m/>
    <d v="1973-07-03T00:00:00"/>
    <m/>
    <x v="134"/>
  </r>
  <r>
    <s v="Chofre"/>
    <s v="Arago"/>
    <s v="Rosa"/>
    <x v="771"/>
    <x v="354"/>
    <n v="0.37060999999999999"/>
    <m/>
    <m/>
    <m/>
    <m/>
    <m/>
    <m/>
    <m/>
    <m/>
    <m/>
    <m/>
    <d v="1933-06-15T00:00:00"/>
    <m/>
    <x v="134"/>
  </r>
  <r>
    <s v="Corcoles "/>
    <s v="Valcarcel"/>
    <s v="Joaquin"/>
    <x v="772"/>
    <x v="355"/>
    <n v="0.70074999999999998"/>
    <m/>
    <m/>
    <m/>
    <m/>
    <m/>
    <m/>
    <m/>
    <m/>
    <m/>
    <m/>
    <d v="1942-09-05T00:00:00"/>
    <m/>
    <x v="13"/>
  </r>
  <r>
    <s v="Corcoles "/>
    <s v="Valcarcel"/>
    <s v="Joaquin"/>
    <x v="772"/>
    <x v="355"/>
    <n v="0.65224000000000004"/>
    <m/>
    <m/>
    <m/>
    <m/>
    <m/>
    <m/>
    <m/>
    <m/>
    <m/>
    <m/>
    <d v="1942-09-05T00:00:00"/>
    <m/>
    <x v="1"/>
  </r>
  <r>
    <s v="Guzman"/>
    <s v="Guerrero"/>
    <s v="Miozzotty Gerardene"/>
    <x v="773"/>
    <x v="355"/>
    <n v="0.40860000000000002"/>
    <m/>
    <m/>
    <m/>
    <m/>
    <m/>
    <m/>
    <m/>
    <m/>
    <m/>
    <m/>
    <d v="1975-09-06T00:00:00"/>
    <m/>
    <x v="26"/>
  </r>
  <r>
    <s v="Ferrando"/>
    <s v="Llorca"/>
    <s v="Consuelo"/>
    <x v="118"/>
    <x v="355"/>
    <n v="0.64995000000000003"/>
    <m/>
    <m/>
    <m/>
    <m/>
    <m/>
    <m/>
    <m/>
    <m/>
    <m/>
    <m/>
    <d v="1963-03-08T00:00:00"/>
    <m/>
    <x v="35"/>
  </r>
  <r>
    <s v="Mushimi"/>
    <s v="Kanyengwe"/>
    <s v="Yvette"/>
    <x v="519"/>
    <x v="355"/>
    <n v="0.13522999999999999"/>
    <m/>
    <m/>
    <m/>
    <m/>
    <m/>
    <m/>
    <m/>
    <m/>
    <m/>
    <m/>
    <d v="1972-11-18T00:00:00"/>
    <m/>
    <x v="26"/>
  </r>
  <r>
    <s v="Magro"/>
    <s v="Bimbara"/>
    <s v="José Candido"/>
    <x v="774"/>
    <x v="356"/>
    <n v="1.9599999999999999E-3"/>
    <m/>
    <m/>
    <m/>
    <m/>
    <m/>
    <m/>
    <m/>
    <m/>
    <m/>
    <m/>
    <d v="1953-02-13T00:00:00"/>
    <m/>
    <x v="213"/>
  </r>
  <r>
    <s v="Ponce "/>
    <s v="Jimenez"/>
    <s v="Marcelino"/>
    <x v="775"/>
    <x v="356"/>
    <n v="7.2529999999999997E-2"/>
    <m/>
    <m/>
    <m/>
    <m/>
    <m/>
    <m/>
    <m/>
    <m/>
    <m/>
    <m/>
    <d v="1961-02-08T00:00:00"/>
    <m/>
    <x v="163"/>
  </r>
  <r>
    <s v="Moreno"/>
    <s v="Peiro"/>
    <s v="Dolores"/>
    <x v="776"/>
    <x v="356"/>
    <n v="5.3269999999999998E-2"/>
    <m/>
    <m/>
    <m/>
    <m/>
    <m/>
    <m/>
    <m/>
    <m/>
    <m/>
    <m/>
    <d v="1938-07-26T00:00:00"/>
    <m/>
    <x v="138"/>
  </r>
  <r>
    <s v="Requena"/>
    <s v="Centellas"/>
    <s v="Ascension"/>
    <x v="495"/>
    <x v="356"/>
    <n v="3.4329999999999999E-2"/>
    <m/>
    <m/>
    <m/>
    <m/>
    <m/>
    <m/>
    <m/>
    <m/>
    <m/>
    <m/>
    <d v="1946-05-30T00:00:00"/>
    <m/>
    <x v="43"/>
  </r>
  <r>
    <s v="Patiño"/>
    <s v="Nieto"/>
    <s v="Donato"/>
    <x v="7"/>
    <x v="356"/>
    <n v="1.26346"/>
    <m/>
    <m/>
    <m/>
    <m/>
    <m/>
    <m/>
    <m/>
    <m/>
    <m/>
    <m/>
    <d v="1935-10-28T00:00:00"/>
    <m/>
    <x v="240"/>
  </r>
  <r>
    <s v="Castello"/>
    <s v="Morales"/>
    <s v="Antonio"/>
    <x v="777"/>
    <x v="356"/>
    <n v="1.53488"/>
    <m/>
    <m/>
    <m/>
    <m/>
    <m/>
    <m/>
    <m/>
    <m/>
    <m/>
    <m/>
    <d v="1943-10-27T00:00:00"/>
    <m/>
    <x v="166"/>
  </r>
  <r>
    <s v="Ponce"/>
    <s v="Jiménez"/>
    <s v="Marcelino"/>
    <x v="775"/>
    <x v="357"/>
    <n v="2.75E-2"/>
    <m/>
    <m/>
    <m/>
    <m/>
    <m/>
    <m/>
    <m/>
    <m/>
    <m/>
    <m/>
    <d v="1961-02-08T00:00:00"/>
    <m/>
    <x v="193"/>
  </r>
  <r>
    <s v="Arevalo"/>
    <s v="Aguilar"/>
    <s v="Francisco"/>
    <x v="778"/>
    <x v="357"/>
    <n v="5.3600000000000002E-2"/>
    <m/>
    <m/>
    <m/>
    <m/>
    <m/>
    <m/>
    <m/>
    <m/>
    <m/>
    <m/>
    <d v="1968-11-23T00:00:00"/>
    <m/>
    <x v="58"/>
  </r>
  <r>
    <s v="Piorno"/>
    <s v="Perez"/>
    <s v="Angel"/>
    <x v="6"/>
    <x v="357"/>
    <n v="7.3299999999999997E-3"/>
    <m/>
    <m/>
    <m/>
    <m/>
    <m/>
    <m/>
    <m/>
    <m/>
    <m/>
    <m/>
    <d v="1950-06-14T00:00:00"/>
    <m/>
    <x v="43"/>
  </r>
  <r>
    <s v="Calvillo"/>
    <s v="Moreno"/>
    <s v="Rafael"/>
    <x v="779"/>
    <x v="357"/>
    <n v="9.8199999999999996E-2"/>
    <m/>
    <m/>
    <m/>
    <m/>
    <m/>
    <m/>
    <m/>
    <m/>
    <m/>
    <m/>
    <d v="1964-05-18T00:00:00"/>
    <m/>
    <x v="138"/>
  </r>
  <r>
    <s v="Ceruti"/>
    <s v="Bermudez"/>
    <s v="Alfonso Mauricio"/>
    <x v="780"/>
    <x v="357"/>
    <n v="2.3949999999999999E-2"/>
    <m/>
    <m/>
    <m/>
    <m/>
    <m/>
    <m/>
    <m/>
    <m/>
    <m/>
    <m/>
    <d v="1963-09-13T00:00:00"/>
    <m/>
    <x v="241"/>
  </r>
  <r>
    <s v="Perez"/>
    <s v="Pestouire"/>
    <s v="Marina"/>
    <x v="781"/>
    <x v="358"/>
    <n v="8.8000000000000003E-4"/>
    <m/>
    <m/>
    <m/>
    <m/>
    <m/>
    <m/>
    <m/>
    <m/>
    <m/>
    <m/>
    <d v="1996-08-25T00:00:00"/>
    <m/>
    <x v="213"/>
  </r>
  <r>
    <s v="Fernandez "/>
    <s v="Mestre"/>
    <s v="Dolores"/>
    <x v="782"/>
    <x v="358"/>
    <n v="0.38107999999999997"/>
    <m/>
    <m/>
    <m/>
    <m/>
    <m/>
    <m/>
    <m/>
    <m/>
    <m/>
    <m/>
    <d v="1954-05-25T00:00:00"/>
    <m/>
    <x v="57"/>
  </r>
  <r>
    <s v="Ros"/>
    <s v="Fernandez"/>
    <s v="Jose Carlos"/>
    <x v="783"/>
    <x v="358"/>
    <n v="1.92659"/>
    <m/>
    <m/>
    <m/>
    <m/>
    <m/>
    <m/>
    <m/>
    <m/>
    <m/>
    <m/>
    <d v="1965-07-20T00:00:00"/>
    <m/>
    <x v="29"/>
  </r>
  <r>
    <s v="García"/>
    <s v="Herranz"/>
    <s v="Luisa"/>
    <x v="784"/>
    <x v="358"/>
    <n v="6.3800000000000003E-3"/>
    <m/>
    <m/>
    <m/>
    <m/>
    <m/>
    <m/>
    <m/>
    <m/>
    <m/>
    <m/>
    <d v="1951-06-05T00:00:00"/>
    <m/>
    <x v="234"/>
  </r>
  <r>
    <s v="Villena"/>
    <s v="Molina"/>
    <s v="Elihu"/>
    <x v="785"/>
    <x v="358"/>
    <n v="6.404E-2"/>
    <m/>
    <m/>
    <m/>
    <m/>
    <m/>
    <m/>
    <m/>
    <m/>
    <m/>
    <m/>
    <d v="1977-12-23T00:00:00"/>
    <m/>
    <x v="241"/>
  </r>
  <r>
    <s v="Fernandez"/>
    <s v="Mestre"/>
    <s v="Dolores"/>
    <x v="782"/>
    <x v="359"/>
    <n v="1.8689999999999998E-2"/>
    <m/>
    <m/>
    <m/>
    <m/>
    <m/>
    <m/>
    <m/>
    <m/>
    <m/>
    <m/>
    <d v="1954-05-25T00:00:00"/>
    <m/>
    <x v="171"/>
  </r>
  <r>
    <s v="Galiana"/>
    <s v="Blanes"/>
    <s v="Silvia"/>
    <x v="786"/>
    <x v="360"/>
    <n v="0.31526999999999999"/>
    <m/>
    <m/>
    <m/>
    <m/>
    <m/>
    <m/>
    <m/>
    <m/>
    <m/>
    <m/>
    <d v="1968-04-22T00:00:00"/>
    <m/>
    <x v="242"/>
  </r>
  <r>
    <s v="Montesinos"/>
    <s v="Vicente"/>
    <s v="Antonio"/>
    <x v="787"/>
    <x v="360"/>
    <n v="0.78620000000000001"/>
    <m/>
    <m/>
    <m/>
    <m/>
    <m/>
    <m/>
    <m/>
    <m/>
    <m/>
    <m/>
    <d v="1937-06-09T00:00:00"/>
    <m/>
    <x v="13"/>
  </r>
  <r>
    <s v="Montesinos"/>
    <s v="Vicente"/>
    <s v="Antonio"/>
    <x v="787"/>
    <x v="360"/>
    <n v="0.89471000000000001"/>
    <m/>
    <m/>
    <m/>
    <m/>
    <m/>
    <m/>
    <m/>
    <m/>
    <m/>
    <m/>
    <d v="1937-06-09T00:00:00"/>
    <m/>
    <x v="119"/>
  </r>
  <r>
    <s v="Geonete"/>
    <m/>
    <s v="Stefania"/>
    <x v="788"/>
    <x v="360"/>
    <n v="0.17019000000000001"/>
    <m/>
    <m/>
    <m/>
    <m/>
    <m/>
    <m/>
    <m/>
    <m/>
    <m/>
    <m/>
    <d v="1983-12-27T00:00:00"/>
    <m/>
    <x v="9"/>
  </r>
  <r>
    <s v="Suarez"/>
    <s v="Lago"/>
    <s v="Lorena"/>
    <x v="789"/>
    <x v="360"/>
    <n v="6.8339999999999998E-2"/>
    <m/>
    <m/>
    <m/>
    <m/>
    <m/>
    <m/>
    <m/>
    <m/>
    <m/>
    <m/>
    <d v="1973-11-03T00:00:00"/>
    <m/>
    <x v="242"/>
  </r>
  <r>
    <s v="Lopez"/>
    <s v="De la Camara"/>
    <s v="Josefa"/>
    <x v="790"/>
    <x v="360"/>
    <n v="2.4160000000000001E-2"/>
    <m/>
    <m/>
    <m/>
    <m/>
    <m/>
    <m/>
    <m/>
    <m/>
    <m/>
    <m/>
    <d v="1937-12-12T00:00:00"/>
    <m/>
    <x v="243"/>
  </r>
  <r>
    <s v="Nebot"/>
    <s v="BLasco"/>
    <s v="Jose Vicente"/>
    <x v="359"/>
    <x v="361"/>
    <n v="8.0110000000000001E-2"/>
    <m/>
    <m/>
    <m/>
    <m/>
    <m/>
    <m/>
    <m/>
    <m/>
    <m/>
    <m/>
    <d v="1959-02-07T00:00:00"/>
    <m/>
    <x v="154"/>
  </r>
  <r>
    <s v="Martinez"/>
    <s v="Garcia"/>
    <s v="Rafael"/>
    <x v="791"/>
    <x v="361"/>
    <n v="0.12962000000000001"/>
    <m/>
    <m/>
    <m/>
    <m/>
    <m/>
    <m/>
    <m/>
    <m/>
    <m/>
    <m/>
    <d v="1959-03-14T00:00:00"/>
    <m/>
    <x v="148"/>
  </r>
  <r>
    <s v="Bosch"/>
    <s v="Fornas"/>
    <s v="Eduardo Jose"/>
    <x v="268"/>
    <x v="361"/>
    <n v="0.23119000000000001"/>
    <m/>
    <m/>
    <m/>
    <m/>
    <m/>
    <m/>
    <m/>
    <m/>
    <m/>
    <m/>
    <d v="1963-02-15T00:00:00"/>
    <m/>
    <x v="154"/>
  </r>
  <r>
    <s v="Perez"/>
    <s v="Perez"/>
    <s v="Jose Abel"/>
    <x v="792"/>
    <x v="361"/>
    <n v="1.821E-2"/>
    <m/>
    <m/>
    <m/>
    <m/>
    <m/>
    <m/>
    <m/>
    <m/>
    <m/>
    <m/>
    <d v="1963-07-26T00:00:00"/>
    <m/>
    <x v="244"/>
  </r>
  <r>
    <s v="Vicent"/>
    <s v="Andreu"/>
    <s v="Ernesto"/>
    <x v="793"/>
    <x v="361"/>
    <n v="4.3899999999999998E-3"/>
    <m/>
    <m/>
    <m/>
    <m/>
    <m/>
    <m/>
    <m/>
    <m/>
    <m/>
    <m/>
    <d v="1945-05-19T00:00:00"/>
    <m/>
    <x v="243"/>
  </r>
  <r>
    <s v="Matamoros"/>
    <s v="Moreno"/>
    <s v="Eleuterio"/>
    <x v="794"/>
    <x v="362"/>
    <n v="2.0184299999999999"/>
    <m/>
    <m/>
    <m/>
    <m/>
    <m/>
    <m/>
    <m/>
    <m/>
    <m/>
    <m/>
    <d v="1947-02-27T00:00:00"/>
    <m/>
    <x v="177"/>
  </r>
  <r>
    <s v="Cano"/>
    <s v="Bleda"/>
    <s v="Joaquin"/>
    <x v="795"/>
    <x v="362"/>
    <n v="3.7249999999999998E-2"/>
    <m/>
    <m/>
    <m/>
    <m/>
    <m/>
    <m/>
    <m/>
    <m/>
    <m/>
    <m/>
    <d v="1964-10-09T00:00:00"/>
    <m/>
    <x v="126"/>
  </r>
  <r>
    <s v="Madera"/>
    <s v="March"/>
    <s v="Carlos"/>
    <x v="796"/>
    <x v="362"/>
    <n v="0.10913"/>
    <m/>
    <m/>
    <m/>
    <m/>
    <m/>
    <m/>
    <m/>
    <m/>
    <m/>
    <m/>
    <d v="1992-06-05T00:00:00"/>
    <m/>
    <x v="54"/>
  </r>
  <r>
    <s v="Garrido"/>
    <s v="Díaz"/>
    <s v="Ainhoa"/>
    <x v="797"/>
    <x v="362"/>
    <n v="4.0299999999999997E-3"/>
    <m/>
    <m/>
    <m/>
    <m/>
    <m/>
    <m/>
    <m/>
    <m/>
    <m/>
    <m/>
    <d v="2002-02-26T00:00:00"/>
    <m/>
    <x v="171"/>
  </r>
  <r>
    <s v="Benitez"/>
    <s v="Verdejo"/>
    <s v="Juan Antonio"/>
    <x v="798"/>
    <x v="362"/>
    <n v="0.12383"/>
    <m/>
    <m/>
    <m/>
    <m/>
    <m/>
    <m/>
    <m/>
    <m/>
    <m/>
    <m/>
    <d v="1964-02-18T00:00:00"/>
    <m/>
    <x v="58"/>
  </r>
  <r>
    <s v="Giner"/>
    <s v="Esteve"/>
    <s v="Vicenta"/>
    <x v="799"/>
    <x v="362"/>
    <n v="5.6009999999999997E-2"/>
    <m/>
    <m/>
    <m/>
    <m/>
    <m/>
    <m/>
    <m/>
    <m/>
    <m/>
    <m/>
    <d v="1940-11-21T00:00:00"/>
    <m/>
    <x v="191"/>
  </r>
  <r>
    <s v="Beneto"/>
    <s v="Pascual"/>
    <s v="Salvador"/>
    <x v="800"/>
    <x v="362"/>
    <n v="5.602E-2"/>
    <m/>
    <m/>
    <m/>
    <m/>
    <m/>
    <m/>
    <m/>
    <m/>
    <m/>
    <m/>
    <d v="1948-06-23T00:00:00"/>
    <m/>
    <x v="54"/>
  </r>
  <r>
    <s v="Amer"/>
    <s v="Llopis"/>
    <s v="ana"/>
    <x v="801"/>
    <x v="362"/>
    <n v="0.24312"/>
    <m/>
    <m/>
    <m/>
    <m/>
    <m/>
    <m/>
    <m/>
    <m/>
    <m/>
    <m/>
    <d v="1944-08-27T00:00:00"/>
    <m/>
    <x v="245"/>
  </r>
  <r>
    <s v="Elvira"/>
    <s v="Vilares"/>
    <s v="Juan Jose"/>
    <x v="802"/>
    <x v="362"/>
    <n v="0.16389000000000001"/>
    <m/>
    <m/>
    <m/>
    <m/>
    <m/>
    <m/>
    <m/>
    <m/>
    <m/>
    <m/>
    <d v="1955-03-08T00:00:00"/>
    <m/>
    <x v="9"/>
  </r>
  <r>
    <s v="Perez"/>
    <s v="Martinez"/>
    <s v="Maria Teresa"/>
    <x v="803"/>
    <x v="363"/>
    <n v="9.7199999999999995E-3"/>
    <m/>
    <m/>
    <m/>
    <m/>
    <m/>
    <m/>
    <m/>
    <m/>
    <m/>
    <m/>
    <d v="1971-10-02T00:00:00"/>
    <m/>
    <x v="43"/>
  </r>
  <r>
    <s v="Calvillo"/>
    <s v="Romero"/>
    <s v="Rafael"/>
    <x v="779"/>
    <x v="363"/>
    <n v="4.2700000000000004E-3"/>
    <m/>
    <m/>
    <m/>
    <m/>
    <m/>
    <m/>
    <m/>
    <m/>
    <m/>
    <m/>
    <d v="1964-05-18T00:00:00"/>
    <m/>
    <x v="143"/>
  </r>
  <r>
    <s v="Patiño"/>
    <s v="Nieto"/>
    <s v="Donato"/>
    <x v="7"/>
    <x v="363"/>
    <n v="4.9779999999999998E-2"/>
    <m/>
    <m/>
    <m/>
    <m/>
    <m/>
    <m/>
    <m/>
    <m/>
    <m/>
    <m/>
    <d v="1935-10-28T00:00:00"/>
    <m/>
    <x v="166"/>
  </r>
  <r>
    <s v="Estero"/>
    <s v="Codoñer"/>
    <s v="Viente"/>
    <x v="804"/>
    <x v="363"/>
    <n v="0.55086000000000002"/>
    <m/>
    <m/>
    <m/>
    <m/>
    <m/>
    <m/>
    <m/>
    <m/>
    <m/>
    <m/>
    <d v="1949-11-16T00:00:00"/>
    <m/>
    <x v="20"/>
  </r>
  <r>
    <s v="Boix"/>
    <s v="Pascual"/>
    <s v="Jose Lorenzo"/>
    <x v="805"/>
    <x v="363"/>
    <n v="7.1480000000000002E-2"/>
    <m/>
    <m/>
    <m/>
    <m/>
    <m/>
    <m/>
    <m/>
    <m/>
    <m/>
    <m/>
    <d v="1963-01-07T00:00:00"/>
    <m/>
    <x v="241"/>
  </r>
  <r>
    <s v="Bravo "/>
    <s v="Rodriguez"/>
    <s v="Esmeralda"/>
    <x v="806"/>
    <x v="364"/>
    <n v="6.8500000000000005E-2"/>
    <m/>
    <m/>
    <m/>
    <m/>
    <m/>
    <m/>
    <m/>
    <m/>
    <m/>
    <m/>
    <d v="1974-06-04T00:00:00"/>
    <m/>
    <x v="171"/>
  </r>
  <r>
    <s v="Garcia"/>
    <s v="Muñoz"/>
    <s v="Felipe"/>
    <x v="807"/>
    <x v="364"/>
    <n v="0.82843"/>
    <m/>
    <m/>
    <m/>
    <m/>
    <m/>
    <m/>
    <m/>
    <m/>
    <m/>
    <m/>
    <d v="1937-07-23T00:00:00"/>
    <m/>
    <x v="185"/>
  </r>
  <r>
    <s v="Suarez"/>
    <s v="Valdivia"/>
    <s v="Carmen Rosa"/>
    <x v="759"/>
    <x v="364"/>
    <n v="5.5500000000000002E-3"/>
    <m/>
    <m/>
    <m/>
    <m/>
    <m/>
    <m/>
    <m/>
    <m/>
    <m/>
    <m/>
    <d v="1974-09-22T00:00:00"/>
    <m/>
    <x v="246"/>
  </r>
  <r>
    <s v="Estero"/>
    <s v="Codoñer"/>
    <s v="Vicente"/>
    <x v="804"/>
    <x v="364"/>
    <n v="0.66646000000000005"/>
    <m/>
    <m/>
    <m/>
    <m/>
    <m/>
    <m/>
    <m/>
    <m/>
    <m/>
    <m/>
    <d v="1949-11-16T00:00:00"/>
    <m/>
    <x v="20"/>
  </r>
  <r>
    <s v="Monzonis"/>
    <s v="Martinez"/>
    <s v="Jose Vicente"/>
    <x v="808"/>
    <x v="364"/>
    <n v="3.4750000000000003E-2"/>
    <m/>
    <m/>
    <m/>
    <m/>
    <m/>
    <m/>
    <m/>
    <m/>
    <m/>
    <m/>
    <d v="1957-01-22T00:00:00"/>
    <m/>
    <x v="241"/>
  </r>
  <r>
    <s v="Reyes"/>
    <s v="Tudela"/>
    <s v="Vicente"/>
    <x v="439"/>
    <x v="365"/>
    <n v="0.48565999999999998"/>
    <m/>
    <m/>
    <m/>
    <m/>
    <m/>
    <m/>
    <m/>
    <m/>
    <m/>
    <m/>
    <d v="1952-04-21T00:00:00"/>
    <m/>
    <x v="247"/>
  </r>
  <r>
    <s v="Bermudez"/>
    <s v="Nogueira"/>
    <s v="Jose Luis"/>
    <x v="643"/>
    <x v="366"/>
    <n v="1.06924"/>
    <m/>
    <m/>
    <m/>
    <m/>
    <m/>
    <m/>
    <m/>
    <m/>
    <m/>
    <m/>
    <d v="1962-07-04T00:00:00"/>
    <m/>
    <x v="1"/>
  </r>
  <r>
    <s v="Roldan"/>
    <s v="Miret"/>
    <s v="Juan Jose"/>
    <x v="809"/>
    <x v="366"/>
    <n v="0.75485000000000002"/>
    <m/>
    <m/>
    <m/>
    <m/>
    <m/>
    <m/>
    <m/>
    <m/>
    <m/>
    <m/>
    <d v="1964-05-05T00:00:00"/>
    <m/>
    <x v="248"/>
  </r>
  <r>
    <s v="Correixa"/>
    <s v="Xardo"/>
    <s v="Sergio"/>
    <x v="810"/>
    <x v="366"/>
    <n v="0.56691000000000003"/>
    <m/>
    <m/>
    <m/>
    <m/>
    <m/>
    <m/>
    <m/>
    <m/>
    <m/>
    <m/>
    <d v="1985-11-23T00:00:00"/>
    <m/>
    <x v="249"/>
  </r>
  <r>
    <s v="Torres"/>
    <s v="Canovas"/>
    <s v="Baltasar"/>
    <x v="811"/>
    <x v="366"/>
    <n v="1.907E-2"/>
    <m/>
    <m/>
    <m/>
    <m/>
    <m/>
    <m/>
    <m/>
    <m/>
    <m/>
    <m/>
    <d v="1933-10-14T00:00:00"/>
    <m/>
    <x v="54"/>
  </r>
  <r>
    <s v="Suarez"/>
    <s v="De la Rosa"/>
    <s v="Raul"/>
    <x v="321"/>
    <x v="366"/>
    <n v="0.17677000000000001"/>
    <m/>
    <m/>
    <m/>
    <m/>
    <m/>
    <m/>
    <m/>
    <m/>
    <m/>
    <m/>
    <d v="1971-02-14T00:00:00"/>
    <m/>
    <x v="100"/>
  </r>
  <r>
    <s v="Ponce"/>
    <s v="Lopez"/>
    <s v="Maria"/>
    <x v="812"/>
    <x v="366"/>
    <n v="5.5799999999999999E-3"/>
    <m/>
    <m/>
    <m/>
    <m/>
    <m/>
    <m/>
    <m/>
    <m/>
    <m/>
    <m/>
    <d v="1948-08-28T00:00:00"/>
    <m/>
    <x v="241"/>
  </r>
  <r>
    <s v="Claramunt"/>
    <s v="Montañana"/>
    <s v="Arantxa"/>
    <x v="813"/>
    <x v="367"/>
    <n v="0.34597"/>
    <m/>
    <m/>
    <m/>
    <m/>
    <m/>
    <m/>
    <m/>
    <m/>
    <m/>
    <m/>
    <d v="1990-05-18T00:00:00"/>
    <m/>
    <x v="134"/>
  </r>
  <r>
    <s v="Ramirez"/>
    <s v="Peñafiel"/>
    <s v="Inmaculada"/>
    <x v="814"/>
    <x v="367"/>
    <n v="4.1450000000000001E-2"/>
    <m/>
    <m/>
    <m/>
    <m/>
    <m/>
    <m/>
    <m/>
    <m/>
    <m/>
    <m/>
    <d v="1979-01-02T00:00:00"/>
    <m/>
    <x v="134"/>
  </r>
  <r>
    <s v="Pastor"/>
    <s v="Ferrer"/>
    <s v="Agustin"/>
    <x v="815"/>
    <x v="367"/>
    <n v="0.24951000000000001"/>
    <m/>
    <m/>
    <m/>
    <m/>
    <m/>
    <m/>
    <m/>
    <m/>
    <m/>
    <m/>
    <d v="1952-10-16T00:00:00"/>
    <m/>
    <x v="177"/>
  </r>
  <r>
    <s v="Ruiz"/>
    <s v="Rueda"/>
    <s v="Noelia"/>
    <x v="816"/>
    <x v="367"/>
    <n v="1.5890000000000001E-2"/>
    <m/>
    <m/>
    <m/>
    <m/>
    <m/>
    <m/>
    <m/>
    <m/>
    <m/>
    <m/>
    <d v="1979-05-05T00:00:00"/>
    <m/>
    <x v="56"/>
  </r>
  <r>
    <s v="Santos"/>
    <s v="Diez"/>
    <s v="M Merced"/>
    <x v="817"/>
    <x v="367"/>
    <n v="0.96752000000000005"/>
    <m/>
    <m/>
    <m/>
    <m/>
    <m/>
    <m/>
    <m/>
    <m/>
    <m/>
    <m/>
    <d v="1946-09-24T00:00:00"/>
    <m/>
    <x v="166"/>
  </r>
  <r>
    <s v="Cuenca"/>
    <s v="Quiros"/>
    <s v="Miguel Enrique"/>
    <x v="818"/>
    <x v="367"/>
    <n v="1.7809999999999999E-2"/>
    <m/>
    <m/>
    <m/>
    <m/>
    <m/>
    <m/>
    <m/>
    <m/>
    <m/>
    <m/>
    <d v="1990-06-09T00:00:00"/>
    <m/>
    <x v="250"/>
  </r>
  <r>
    <s v="Martinez"/>
    <s v="Jimenez"/>
    <s v="Antolin"/>
    <x v="819"/>
    <x v="368"/>
    <n v="4.9599999999999998E-2"/>
    <m/>
    <m/>
    <m/>
    <m/>
    <m/>
    <m/>
    <m/>
    <m/>
    <m/>
    <m/>
    <d v="1966-08-15T00:00:00"/>
    <m/>
    <x v="89"/>
  </r>
  <r>
    <s v="Adame"/>
    <s v="Cerrada"/>
    <s v="Carlos Alfonso"/>
    <x v="639"/>
    <x v="368"/>
    <n v="0.11813"/>
    <m/>
    <m/>
    <m/>
    <m/>
    <m/>
    <m/>
    <m/>
    <m/>
    <m/>
    <m/>
    <d v="1961-07-10T00:00:00"/>
    <m/>
    <x v="100"/>
  </r>
  <r>
    <s v="Carreras"/>
    <s v="Devis"/>
    <s v="Angel"/>
    <x v="820"/>
    <x v="368"/>
    <n v="3.5699999999999998E-3"/>
    <m/>
    <m/>
    <m/>
    <m/>
    <m/>
    <m/>
    <m/>
    <m/>
    <m/>
    <m/>
    <d v="1978-06-30T00:00:00"/>
    <m/>
    <x v="144"/>
  </r>
  <r>
    <s v="Garrido"/>
    <s v="Diaz"/>
    <s v="Ainhoa"/>
    <x v="797"/>
    <x v="368"/>
    <n v="2.3000000000000001E-4"/>
    <m/>
    <m/>
    <m/>
    <m/>
    <m/>
    <m/>
    <m/>
    <m/>
    <m/>
    <m/>
    <d v="2002-02-26T00:00:00"/>
    <m/>
    <x v="213"/>
  </r>
  <r>
    <s v="Beneto"/>
    <s v="Pascual"/>
    <s v="Salvador"/>
    <x v="800"/>
    <x v="368"/>
    <n v="4.9970000000000001E-2"/>
    <m/>
    <m/>
    <m/>
    <m/>
    <m/>
    <m/>
    <m/>
    <m/>
    <m/>
    <m/>
    <d v="1948-06-23T00:00:00"/>
    <m/>
    <x v="54"/>
  </r>
  <r>
    <s v="Ortiz"/>
    <s v="Martinez"/>
    <s v="Luis"/>
    <x v="821"/>
    <x v="368"/>
    <n v="1.05688"/>
    <m/>
    <m/>
    <m/>
    <m/>
    <m/>
    <m/>
    <m/>
    <m/>
    <m/>
    <m/>
    <d v="1967-01-28T00:00:00"/>
    <m/>
    <x v="20"/>
  </r>
  <r>
    <s v="Cuenca"/>
    <s v="Quiros"/>
    <s v="Miguel Enrique"/>
    <x v="818"/>
    <x v="368"/>
    <n v="9.75E-3"/>
    <m/>
    <m/>
    <m/>
    <m/>
    <m/>
    <m/>
    <m/>
    <m/>
    <m/>
    <m/>
    <d v="1990-11-09T00:00:00"/>
    <m/>
    <x v="126"/>
  </r>
  <r>
    <s v="Araya"/>
    <s v="Alarcon"/>
    <s v="Eladia de la Cruz"/>
    <x v="822"/>
    <x v="368"/>
    <n v="0.18493000000000001"/>
    <m/>
    <m/>
    <m/>
    <m/>
    <m/>
    <m/>
    <m/>
    <m/>
    <m/>
    <m/>
    <d v="1949-11-25T00:00:00"/>
    <m/>
    <x v="14"/>
  </r>
  <r>
    <s v="Perreira"/>
    <s v="Carrio"/>
    <s v="Miriam"/>
    <x v="823"/>
    <x v="369"/>
    <n v="7.8600000000000007E-3"/>
    <m/>
    <m/>
    <m/>
    <m/>
    <m/>
    <m/>
    <m/>
    <m/>
    <m/>
    <m/>
    <d v="1998-09-21T00:00:00"/>
    <m/>
    <x v="89"/>
  </r>
  <r>
    <s v="Montes"/>
    <s v="Vicente"/>
    <s v="Pascual"/>
    <x v="824"/>
    <x v="369"/>
    <n v="2.9899999999999999E-2"/>
    <m/>
    <m/>
    <m/>
    <m/>
    <m/>
    <m/>
    <m/>
    <m/>
    <m/>
    <m/>
    <d v="1957-04-21T00:00:00"/>
    <m/>
    <x v="175"/>
  </r>
  <r>
    <s v="Pastor"/>
    <s v="Mira"/>
    <s v="Jose Miguel"/>
    <x v="825"/>
    <x v="369"/>
    <n v="0.19744999999999999"/>
    <m/>
    <m/>
    <m/>
    <m/>
    <m/>
    <m/>
    <m/>
    <m/>
    <m/>
    <m/>
    <d v="1974-03-29T00:00:00"/>
    <m/>
    <x v="14"/>
  </r>
  <r>
    <s v="Villar"/>
    <s v="Diaz"/>
    <s v="Domitila"/>
    <x v="826"/>
    <x v="369"/>
    <n v="3.7299999999999998E-3"/>
    <m/>
    <m/>
    <m/>
    <m/>
    <m/>
    <m/>
    <m/>
    <m/>
    <m/>
    <m/>
    <d v="1955-05-12T00:00:00"/>
    <m/>
    <x v="54"/>
  </r>
  <r>
    <s v="Soriano"/>
    <s v="Lopez"/>
    <s v="Javier"/>
    <x v="827"/>
    <x v="369"/>
    <n v="1.9400000000000001E-3"/>
    <m/>
    <m/>
    <m/>
    <m/>
    <m/>
    <m/>
    <m/>
    <m/>
    <m/>
    <m/>
    <d v="1978-11-28T00:00:00"/>
    <m/>
    <x v="241"/>
  </r>
  <r>
    <s v="Delgadillo"/>
    <s v="Panozo"/>
    <s v="Eufemia altagracia"/>
    <x v="828"/>
    <x v="369"/>
    <n v="0.37231999999999998"/>
    <m/>
    <m/>
    <m/>
    <m/>
    <m/>
    <m/>
    <m/>
    <m/>
    <m/>
    <m/>
    <d v="1970-09-16T00:00:00"/>
    <m/>
    <x v="243"/>
  </r>
  <r>
    <s v="Sampere"/>
    <s v="Navarro"/>
    <s v="Francisco"/>
    <x v="829"/>
    <x v="369"/>
    <n v="8.2419999999999993E-2"/>
    <m/>
    <m/>
    <m/>
    <m/>
    <m/>
    <m/>
    <m/>
    <m/>
    <m/>
    <m/>
    <d v="1960-10-20T00:00:00"/>
    <m/>
    <x v="241"/>
  </r>
  <r>
    <s v="Simeon "/>
    <s v="Peris"/>
    <s v="Jose Vicente"/>
    <x v="830"/>
    <x v="370"/>
    <n v="4.7469999999999998E-2"/>
    <m/>
    <m/>
    <m/>
    <m/>
    <m/>
    <m/>
    <m/>
    <m/>
    <m/>
    <m/>
    <d v="1970-06-22T00:00:00"/>
    <m/>
    <x v="234"/>
  </r>
  <r>
    <s v="Acebedo"/>
    <s v="Romacho"/>
    <s v="Francsico"/>
    <x v="831"/>
    <x v="370"/>
    <n v="4.2180000000000002E-2"/>
    <m/>
    <m/>
    <m/>
    <m/>
    <m/>
    <m/>
    <m/>
    <m/>
    <m/>
    <m/>
    <d v="1937-11-05T00:00:00"/>
    <m/>
    <x v="43"/>
  </r>
  <r>
    <s v="Gomis"/>
    <s v="Dupla"/>
    <s v="Manuel"/>
    <x v="832"/>
    <x v="370"/>
    <n v="0.148673"/>
    <m/>
    <m/>
    <m/>
    <m/>
    <m/>
    <m/>
    <m/>
    <m/>
    <m/>
    <m/>
    <d v="1940-07-10T00:00:00"/>
    <m/>
    <x v="241"/>
  </r>
  <r>
    <s v="Lapuerta"/>
    <s v="Vallejo"/>
    <s v="Agapito"/>
    <x v="833"/>
    <x v="370"/>
    <n v="5.3659999999999999E-2"/>
    <m/>
    <m/>
    <m/>
    <m/>
    <m/>
    <m/>
    <m/>
    <m/>
    <m/>
    <m/>
    <d v="1947-12-03T00:00:00"/>
    <m/>
    <x v="241"/>
  </r>
  <r>
    <s v="Gonzalez"/>
    <s v="Talens"/>
    <s v="Miguel"/>
    <x v="834"/>
    <x v="371"/>
    <n v="0.1545"/>
    <m/>
    <m/>
    <m/>
    <m/>
    <m/>
    <m/>
    <m/>
    <m/>
    <m/>
    <m/>
    <d v="1942-01-17T00:00:00"/>
    <m/>
    <x v="171"/>
  </r>
  <r>
    <s v="Revert"/>
    <s v="Cabo"/>
    <s v="Domigno Vicente"/>
    <x v="835"/>
    <x v="372"/>
    <n v="1.5200000000000001E-3"/>
    <m/>
    <m/>
    <m/>
    <m/>
    <m/>
    <m/>
    <m/>
    <m/>
    <m/>
    <m/>
    <d v="1946-04-29T00:00:00"/>
    <m/>
    <x v="144"/>
  </r>
  <r>
    <s v="Puentes"/>
    <s v="alegre"/>
    <s v="Victor"/>
    <x v="836"/>
    <x v="372"/>
    <n v="0.34075"/>
    <m/>
    <m/>
    <m/>
    <m/>
    <m/>
    <m/>
    <m/>
    <m/>
    <m/>
    <m/>
    <d v="1990-12-15T00:00:00"/>
    <m/>
    <x v="9"/>
  </r>
  <r>
    <s v="Vazquez"/>
    <s v="Rojas"/>
    <s v="Jair"/>
    <x v="837"/>
    <x v="372"/>
    <n v="0.10525"/>
    <m/>
    <m/>
    <m/>
    <m/>
    <m/>
    <m/>
    <m/>
    <m/>
    <m/>
    <m/>
    <d v="1988-05-07T00:00:00"/>
    <m/>
    <x v="9"/>
  </r>
  <r>
    <s v="Bayona"/>
    <s v="Lara"/>
    <s v="Francisco"/>
    <x v="838"/>
    <x v="372"/>
    <n v="0.18189"/>
    <m/>
    <m/>
    <m/>
    <m/>
    <m/>
    <m/>
    <m/>
    <m/>
    <m/>
    <m/>
    <d v="1946-02-18T00:00:00"/>
    <m/>
    <x v="2"/>
  </r>
  <r>
    <s v="Cortijo"/>
    <s v="Escudero"/>
    <s v="Josefina"/>
    <x v="839"/>
    <x v="372"/>
    <n v="0.37630999999999998"/>
    <m/>
    <m/>
    <m/>
    <m/>
    <m/>
    <m/>
    <m/>
    <m/>
    <m/>
    <m/>
    <d v="1942-03-11T00:00:00"/>
    <m/>
    <x v="2"/>
  </r>
  <r>
    <s v="Moret"/>
    <s v="Perez"/>
    <s v="Francisco"/>
    <x v="840"/>
    <x v="372"/>
    <n v="0.13500999999999999"/>
    <m/>
    <m/>
    <m/>
    <m/>
    <m/>
    <m/>
    <m/>
    <m/>
    <m/>
    <m/>
    <d v="1936-05-09T00:00:00"/>
    <m/>
    <x v="243"/>
  </r>
  <r>
    <s v="Rus"/>
    <s v="Mompo"/>
    <s v="Antonio"/>
    <x v="491"/>
    <x v="373"/>
    <n v="6.6309999999999994E-2"/>
    <m/>
    <m/>
    <m/>
    <m/>
    <m/>
    <m/>
    <m/>
    <m/>
    <m/>
    <m/>
    <d v="1950-11-20T00:00:00"/>
    <m/>
    <x v="134"/>
  </r>
  <r>
    <s v="Rus"/>
    <s v="Mompo"/>
    <s v="Antonio"/>
    <x v="491"/>
    <x v="373"/>
    <n v="2.581E-2"/>
    <m/>
    <m/>
    <m/>
    <m/>
    <m/>
    <m/>
    <m/>
    <m/>
    <m/>
    <m/>
    <d v="1950-11-20T00:00:00"/>
    <m/>
    <x v="251"/>
  </r>
  <r>
    <s v="Rubio"/>
    <s v="Engra"/>
    <s v="Francisco"/>
    <x v="841"/>
    <x v="373"/>
    <n v="2.1718799999999998"/>
    <m/>
    <m/>
    <m/>
    <m/>
    <m/>
    <m/>
    <m/>
    <m/>
    <m/>
    <m/>
    <d v="1940-01-15T00:00:00"/>
    <m/>
    <x v="1"/>
  </r>
  <r>
    <s v="Retamal"/>
    <s v="Hurtado"/>
    <s v="Francisca"/>
    <x v="842"/>
    <x v="373"/>
    <n v="2.972E-2"/>
    <m/>
    <m/>
    <m/>
    <m/>
    <m/>
    <m/>
    <m/>
    <m/>
    <m/>
    <m/>
    <d v="1950-01-22T00:00:00"/>
    <m/>
    <x v="143"/>
  </r>
  <r>
    <s v="Perez"/>
    <s v="Butron"/>
    <s v="Ismael"/>
    <x v="843"/>
    <x v="373"/>
    <n v="0.28993999999999998"/>
    <m/>
    <m/>
    <m/>
    <m/>
    <m/>
    <m/>
    <m/>
    <m/>
    <m/>
    <m/>
    <d v="1966-09-17T00:00:00"/>
    <m/>
    <x v="2"/>
  </r>
  <r>
    <s v="Luengo"/>
    <s v="Sanchez"/>
    <s v="Isidoro"/>
    <x v="844"/>
    <x v="373"/>
    <n v="0.19685"/>
    <m/>
    <m/>
    <m/>
    <m/>
    <m/>
    <m/>
    <m/>
    <m/>
    <m/>
    <m/>
    <d v="1958-11-16T00:00:00"/>
    <m/>
    <x v="2"/>
  </r>
  <r>
    <s v="Ivars"/>
    <s v="Ivars"/>
    <s v="Vicenta"/>
    <x v="845"/>
    <x v="373"/>
    <n v="0.19767000000000001"/>
    <m/>
    <m/>
    <m/>
    <m/>
    <m/>
    <m/>
    <m/>
    <m/>
    <m/>
    <m/>
    <d v="1935-04-25T00:00:00"/>
    <m/>
    <x v="2"/>
  </r>
  <r>
    <s v="Siurana"/>
    <s v="alabau"/>
    <s v="Ricardo"/>
    <x v="846"/>
    <x v="373"/>
    <n v="7.6630000000000004E-2"/>
    <m/>
    <m/>
    <m/>
    <m/>
    <m/>
    <m/>
    <m/>
    <m/>
    <m/>
    <m/>
    <d v="1955-09-13T00:00:00"/>
    <m/>
    <x v="2"/>
  </r>
  <r>
    <s v="Gimenez"/>
    <s v="Domingo"/>
    <s v="Teodora"/>
    <x v="847"/>
    <x v="373"/>
    <n v="5.2700000000000004E-3"/>
    <m/>
    <m/>
    <m/>
    <m/>
    <m/>
    <m/>
    <m/>
    <m/>
    <m/>
    <m/>
    <d v="1928-03-25T00:00:00"/>
    <m/>
    <x v="243"/>
  </r>
  <r>
    <s v="Sabalete"/>
    <s v="Recuero"/>
    <s v="Pedro Angel"/>
    <x v="848"/>
    <x v="373"/>
    <n v="6.4420000000000005E-2"/>
    <m/>
    <m/>
    <m/>
    <m/>
    <m/>
    <m/>
    <m/>
    <m/>
    <m/>
    <m/>
    <d v="1952-12-09T00:00:00"/>
    <m/>
    <x v="241"/>
  </r>
  <r>
    <s v="Gomez"/>
    <s v="Gallardo"/>
    <s v="Gabriel"/>
    <x v="849"/>
    <x v="374"/>
    <n v="6.8999999999999997E-4"/>
    <m/>
    <m/>
    <m/>
    <m/>
    <m/>
    <m/>
    <m/>
    <m/>
    <m/>
    <m/>
    <d v="2005-02-08T00:00:00"/>
    <m/>
    <x v="213"/>
  </r>
  <r>
    <s v="Escrig"/>
    <s v="Aparici"/>
    <s v="Juan Benito"/>
    <x v="850"/>
    <x v="374"/>
    <n v="1.3469999999999999E-2"/>
    <m/>
    <m/>
    <m/>
    <m/>
    <m/>
    <m/>
    <m/>
    <m/>
    <m/>
    <m/>
    <d v="1951-03-21T00:00:00"/>
    <m/>
    <x v="56"/>
  </r>
  <r>
    <s v="Mormeneo"/>
    <s v="Bernat"/>
    <s v="Maria Elisa"/>
    <x v="851"/>
    <x v="374"/>
    <n v="0.17368"/>
    <m/>
    <m/>
    <m/>
    <m/>
    <m/>
    <m/>
    <m/>
    <m/>
    <m/>
    <m/>
    <d v="1967-09-29T00:00:00"/>
    <m/>
    <x v="43"/>
  </r>
  <r>
    <s v="Tortajada"/>
    <s v="Anton"/>
    <s v="Pedro"/>
    <x v="741"/>
    <x v="374"/>
    <n v="9.6939999999999998E-2"/>
    <m/>
    <m/>
    <m/>
    <m/>
    <m/>
    <m/>
    <m/>
    <m/>
    <m/>
    <m/>
    <d v="1937-05-05T00:00:00"/>
    <m/>
    <x v="175"/>
  </r>
  <r>
    <s v="Romero"/>
    <s v="ruiz"/>
    <s v="Maria"/>
    <x v="852"/>
    <x v="374"/>
    <n v="1.28487"/>
    <m/>
    <m/>
    <m/>
    <m/>
    <m/>
    <m/>
    <m/>
    <m/>
    <m/>
    <m/>
    <d v="1954-09-26T00:00:00"/>
    <m/>
    <x v="9"/>
  </r>
  <r>
    <s v="Lllavata"/>
    <s v="Gorriz"/>
    <s v="Juan"/>
    <x v="853"/>
    <x v="374"/>
    <n v="0.17785000000000001"/>
    <m/>
    <m/>
    <m/>
    <m/>
    <m/>
    <m/>
    <m/>
    <m/>
    <m/>
    <m/>
    <d v="1981-11-03T00:00:00"/>
    <m/>
    <x v="2"/>
  </r>
  <r>
    <s v="Leyva"/>
    <s v="Espin"/>
    <s v="Maria Rosario"/>
    <x v="854"/>
    <x v="374"/>
    <n v="0.43052000000000001"/>
    <m/>
    <m/>
    <m/>
    <m/>
    <m/>
    <m/>
    <m/>
    <m/>
    <m/>
    <m/>
    <d v="1961-05-08T00:00:00"/>
    <m/>
    <x v="2"/>
  </r>
  <r>
    <s v="Domingo"/>
    <s v="Milla"/>
    <s v="rodrigo"/>
    <x v="855"/>
    <x v="374"/>
    <n v="0.23888999999999999"/>
    <m/>
    <m/>
    <m/>
    <m/>
    <m/>
    <m/>
    <m/>
    <m/>
    <m/>
    <m/>
    <d v="1957-02-19T00:00:00"/>
    <m/>
    <x v="2"/>
  </r>
  <r>
    <s v="Soriano"/>
    <s v="Corts"/>
    <s v="M Dolores"/>
    <x v="856"/>
    <x v="374"/>
    <n v="5.8930000000000003E-2"/>
    <m/>
    <m/>
    <m/>
    <m/>
    <m/>
    <m/>
    <m/>
    <m/>
    <m/>
    <m/>
    <d v="1958-11-01T00:00:00"/>
    <m/>
    <x v="252"/>
  </r>
  <r>
    <s v="Zaragoza"/>
    <s v="Catalan"/>
    <s v="Adela"/>
    <x v="857"/>
    <x v="374"/>
    <n v="0.34637000000000001"/>
    <m/>
    <m/>
    <m/>
    <m/>
    <m/>
    <m/>
    <m/>
    <m/>
    <m/>
    <m/>
    <d v="1949-05-11T00:00:00"/>
    <m/>
    <x v="253"/>
  </r>
  <r>
    <s v="Alfaro"/>
    <s v="Sanchez"/>
    <s v="Isidro"/>
    <x v="858"/>
    <x v="374"/>
    <n v="1.9820000000000001E-2"/>
    <m/>
    <m/>
    <m/>
    <m/>
    <m/>
    <m/>
    <m/>
    <m/>
    <m/>
    <m/>
    <d v="1960-03-26T00:00:00"/>
    <m/>
    <x v="241"/>
  </r>
  <r>
    <s v="Tarin"/>
    <s v="Ors"/>
    <s v="Vicente"/>
    <x v="859"/>
    <x v="375"/>
    <n v="0.30441000000000001"/>
    <m/>
    <m/>
    <m/>
    <m/>
    <m/>
    <m/>
    <m/>
    <m/>
    <m/>
    <m/>
    <d v="1965-04-02T00:00:00"/>
    <m/>
    <x v="13"/>
  </r>
  <r>
    <s v="Frigols"/>
    <s v="Vilar"/>
    <s v="Maria Esther"/>
    <x v="529"/>
    <x v="375"/>
    <n v="5.2060000000000002E-2"/>
    <m/>
    <m/>
    <m/>
    <m/>
    <m/>
    <m/>
    <m/>
    <m/>
    <m/>
    <m/>
    <d v="1974-08-22T00:00:00"/>
    <m/>
    <x v="254"/>
  </r>
  <r>
    <s v="Amber"/>
    <s v="MArtinez"/>
    <s v="Josefina"/>
    <x v="280"/>
    <x v="375"/>
    <n v="0.11942"/>
    <m/>
    <m/>
    <m/>
    <m/>
    <m/>
    <m/>
    <m/>
    <m/>
    <m/>
    <m/>
    <d v="1958-06-03T00:00:00"/>
    <m/>
    <x v="143"/>
  </r>
  <r>
    <s v="Garrido"/>
    <s v="Garrido"/>
    <s v="Juan Francisco"/>
    <x v="860"/>
    <x v="375"/>
    <n v="0.16411999999999999"/>
    <m/>
    <m/>
    <m/>
    <m/>
    <m/>
    <m/>
    <m/>
    <m/>
    <m/>
    <m/>
    <d v="1965-12-19T00:00:00"/>
    <m/>
    <x v="2"/>
  </r>
  <r>
    <s v="Aguayo"/>
    <s v="Gutierrez"/>
    <s v="Josue"/>
    <x v="861"/>
    <x v="375"/>
    <n v="2.8309999999999998E-2"/>
    <m/>
    <m/>
    <m/>
    <m/>
    <m/>
    <m/>
    <m/>
    <m/>
    <m/>
    <m/>
    <d v="2005-03-08T00:00:00"/>
    <m/>
    <x v="2"/>
  </r>
  <r>
    <s v="Mañas"/>
    <s v="Dominguez"/>
    <s v="Antonio"/>
    <x v="862"/>
    <x v="375"/>
    <n v="0.29994999999999999"/>
    <m/>
    <m/>
    <m/>
    <m/>
    <m/>
    <m/>
    <m/>
    <m/>
    <m/>
    <m/>
    <d v="1953-10-15T00:00:00"/>
    <m/>
    <x v="2"/>
  </r>
  <r>
    <s v="Perez"/>
    <s v="Fayos"/>
    <s v="Salvadora"/>
    <x v="863"/>
    <x v="375"/>
    <n v="0.15537000000000001"/>
    <m/>
    <m/>
    <m/>
    <m/>
    <m/>
    <m/>
    <m/>
    <m/>
    <m/>
    <m/>
    <d v="1943-10-12T00:00:00"/>
    <m/>
    <x v="2"/>
  </r>
  <r>
    <s v="Gomez"/>
    <s v="Hervas"/>
    <s v="Cristobal"/>
    <x v="864"/>
    <x v="375"/>
    <n v="0.17624999999999999"/>
    <m/>
    <m/>
    <m/>
    <m/>
    <m/>
    <m/>
    <m/>
    <m/>
    <m/>
    <m/>
    <d v="1965-07-02T00:00:00"/>
    <m/>
    <x v="2"/>
  </r>
  <r>
    <s v="Cerisier"/>
    <s v="Dubernoy"/>
    <s v="Lorna Beatrice"/>
    <x v="865"/>
    <x v="375"/>
    <n v="1.498E-2"/>
    <m/>
    <m/>
    <m/>
    <m/>
    <m/>
    <m/>
    <m/>
    <m/>
    <m/>
    <m/>
    <d v="1928-09-21T00:00:00"/>
    <m/>
    <x v="243"/>
  </r>
  <r>
    <s v="Perez"/>
    <s v="Butron"/>
    <s v="Ismael"/>
    <x v="843"/>
    <x v="375"/>
    <n v="7.1400000000000005E-2"/>
    <m/>
    <m/>
    <m/>
    <m/>
    <m/>
    <m/>
    <m/>
    <m/>
    <m/>
    <m/>
    <d v="1966-09-17T00:00:00"/>
    <m/>
    <x v="243"/>
  </r>
  <r>
    <s v="Rico"/>
    <s v="Vazquez"/>
    <s v="Amador"/>
    <x v="866"/>
    <x v="375"/>
    <n v="2.3800000000000002E-2"/>
    <m/>
    <m/>
    <m/>
    <m/>
    <m/>
    <m/>
    <m/>
    <m/>
    <m/>
    <m/>
    <d v="1943-11-04T00:00:00"/>
    <m/>
    <x v="243"/>
  </r>
  <r>
    <s v="Magro"/>
    <s v="Bimbarra"/>
    <s v="Jose Candido"/>
    <x v="774"/>
    <x v="376"/>
    <n v="1.9599999999999999E-3"/>
    <m/>
    <m/>
    <m/>
    <m/>
    <m/>
    <m/>
    <m/>
    <m/>
    <m/>
    <m/>
    <d v="1953-02-13T00:00:00"/>
    <m/>
    <x v="50"/>
  </r>
  <r>
    <s v="Pardo"/>
    <s v="Pons"/>
    <s v="Nieves"/>
    <x v="867"/>
    <x v="376"/>
    <n v="2.5500000000000002E-3"/>
    <m/>
    <m/>
    <m/>
    <m/>
    <m/>
    <m/>
    <m/>
    <m/>
    <m/>
    <m/>
    <d v="1947-09-23T00:00:00"/>
    <m/>
    <x v="213"/>
  </r>
  <r>
    <s v="Fernandez"/>
    <s v="Caballero"/>
    <s v="Jaime"/>
    <x v="868"/>
    <x v="376"/>
    <n v="0.14344000000000001"/>
    <m/>
    <m/>
    <m/>
    <m/>
    <m/>
    <m/>
    <m/>
    <m/>
    <m/>
    <m/>
    <d v="1944-07-06T00:00:00"/>
    <m/>
    <x v="255"/>
  </r>
  <r>
    <s v="Bermudez"/>
    <s v="Ferrer"/>
    <s v="Ramon"/>
    <x v="869"/>
    <x v="376"/>
    <n v="0.78583000000000003"/>
    <m/>
    <m/>
    <m/>
    <m/>
    <m/>
    <m/>
    <m/>
    <m/>
    <m/>
    <m/>
    <d v="1942-12-22T00:00:00"/>
    <m/>
    <x v="14"/>
  </r>
  <r>
    <s v="Amer"/>
    <s v="Llopis"/>
    <s v="Ana"/>
    <x v="801"/>
    <x v="376"/>
    <n v="0.19853999999999999"/>
    <m/>
    <m/>
    <m/>
    <m/>
    <m/>
    <m/>
    <m/>
    <m/>
    <m/>
    <m/>
    <d v="1944-08-27T00:00:00"/>
    <m/>
    <x v="143"/>
  </r>
  <r>
    <s v="Cominches"/>
    <s v="Jorda"/>
    <s v="Vicente"/>
    <x v="870"/>
    <x v="376"/>
    <n v="0.62190000000000001"/>
    <m/>
    <m/>
    <m/>
    <m/>
    <m/>
    <m/>
    <m/>
    <m/>
    <m/>
    <m/>
    <d v="1955-02-21T00:00:00"/>
    <m/>
    <x v="147"/>
  </r>
  <r>
    <s v="Aradias"/>
    <s v="Roig"/>
    <s v="Carlos"/>
    <x v="871"/>
    <x v="376"/>
    <n v="0.24467"/>
    <m/>
    <m/>
    <m/>
    <m/>
    <m/>
    <m/>
    <m/>
    <m/>
    <m/>
    <m/>
    <d v="1957-12-05T00:00:00"/>
    <m/>
    <x v="2"/>
  </r>
  <r>
    <s v="Serrano"/>
    <s v="Antelo"/>
    <s v="Encarnación"/>
    <x v="872"/>
    <x v="376"/>
    <n v="1.0728899999999999"/>
    <m/>
    <m/>
    <m/>
    <m/>
    <m/>
    <m/>
    <m/>
    <m/>
    <m/>
    <m/>
    <d v="1937-08-04T00:00:00"/>
    <m/>
    <x v="2"/>
  </r>
  <r>
    <s v="Rodriguez"/>
    <s v="Lopez"/>
    <s v="Francisco"/>
    <x v="873"/>
    <x v="376"/>
    <n v="0.39116000000000001"/>
    <m/>
    <m/>
    <m/>
    <m/>
    <m/>
    <m/>
    <m/>
    <m/>
    <m/>
    <m/>
    <d v="1945-01-19T00:00:00"/>
    <m/>
    <x v="2"/>
  </r>
  <r>
    <s v="Mezquida"/>
    <s v="Monfort"/>
    <s v="Vicente Francisco"/>
    <x v="874"/>
    <x v="376"/>
    <n v="0.19383"/>
    <m/>
    <m/>
    <m/>
    <m/>
    <m/>
    <m/>
    <m/>
    <m/>
    <m/>
    <m/>
    <d v="1959-02-11T00:00:00"/>
    <m/>
    <x v="2"/>
  </r>
  <r>
    <s v="Rozalen"/>
    <s v="Abadia"/>
    <s v="Miguel"/>
    <x v="875"/>
    <x v="376"/>
    <n v="0.12418999999999999"/>
    <m/>
    <m/>
    <m/>
    <m/>
    <m/>
    <m/>
    <m/>
    <m/>
    <m/>
    <m/>
    <d v="1954-01-14T00:00:00"/>
    <m/>
    <x v="253"/>
  </r>
  <r>
    <s v="Calvillo"/>
    <s v="Moreno"/>
    <s v="Rafael"/>
    <x v="779"/>
    <x v="377"/>
    <n v="8.6230000000000001E-2"/>
    <m/>
    <m/>
    <m/>
    <m/>
    <m/>
    <m/>
    <m/>
    <m/>
    <m/>
    <m/>
    <d v="1964-05-18T00:00:00"/>
    <m/>
    <x v="154"/>
  </r>
  <r>
    <s v="Domenech"/>
    <s v="Lleo"/>
    <s v="Guadalupe"/>
    <x v="876"/>
    <x v="377"/>
    <n v="4.1880000000000001E-2"/>
    <m/>
    <m/>
    <m/>
    <m/>
    <m/>
    <m/>
    <m/>
    <m/>
    <m/>
    <m/>
    <d v="1969-11-18T00:00:00"/>
    <m/>
    <x v="54"/>
  </r>
  <r>
    <s v="Sanchez"/>
    <s v="Gutierez"/>
    <s v="Rafael"/>
    <x v="736"/>
    <x v="377"/>
    <n v="0.33698"/>
    <m/>
    <m/>
    <m/>
    <m/>
    <m/>
    <m/>
    <m/>
    <m/>
    <m/>
    <m/>
    <d v="1940-05-08T00:00:00"/>
    <m/>
    <x v="59"/>
  </r>
  <r>
    <s v="Gonzalez"/>
    <s v="Asensio"/>
    <s v="Jose"/>
    <x v="877"/>
    <x v="377"/>
    <n v="4.7980000000000002E-2"/>
    <m/>
    <m/>
    <m/>
    <m/>
    <m/>
    <m/>
    <m/>
    <m/>
    <m/>
    <m/>
    <d v="1955-09-03T00:00:00"/>
    <m/>
    <x v="54"/>
  </r>
  <r>
    <s v="Valle"/>
    <s v="Moreno"/>
    <s v="M Natividad"/>
    <x v="878"/>
    <x v="377"/>
    <n v="8.0210000000000004E-2"/>
    <m/>
    <m/>
    <m/>
    <m/>
    <m/>
    <m/>
    <m/>
    <m/>
    <m/>
    <m/>
    <d v="1944-02-28T00:00:00"/>
    <m/>
    <x v="2"/>
  </r>
  <r>
    <s v="Hidalgo"/>
    <s v="Porras"/>
    <s v="Maria Isabel"/>
    <x v="879"/>
    <x v="377"/>
    <n v="9.6060000000000006E-2"/>
    <m/>
    <m/>
    <m/>
    <m/>
    <m/>
    <m/>
    <m/>
    <m/>
    <m/>
    <m/>
    <d v="1972-02-02T00:00:00"/>
    <m/>
    <x v="2"/>
  </r>
  <r>
    <s v="Galian"/>
    <s v="Talens"/>
    <s v="Jose Ramon"/>
    <x v="880"/>
    <x v="377"/>
    <n v="0.69750999999999996"/>
    <m/>
    <m/>
    <m/>
    <m/>
    <m/>
    <m/>
    <m/>
    <m/>
    <m/>
    <m/>
    <d v="1960-07-28T00:00:00"/>
    <m/>
    <x v="2"/>
  </r>
  <r>
    <s v="Palau"/>
    <s v="Roig"/>
    <s v="Jose Maria"/>
    <x v="881"/>
    <x v="377"/>
    <n v="2.2790000000000001E-2"/>
    <m/>
    <m/>
    <m/>
    <m/>
    <m/>
    <m/>
    <m/>
    <m/>
    <m/>
    <m/>
    <d v="1942-07-11T00:00:00"/>
    <m/>
    <x v="241"/>
  </r>
  <r>
    <s v="Asensi"/>
    <s v="Sandiego"/>
    <s v="Salvador"/>
    <x v="882"/>
    <x v="377"/>
    <n v="0.41404999999999997"/>
    <m/>
    <m/>
    <m/>
    <m/>
    <m/>
    <m/>
    <m/>
    <m/>
    <m/>
    <m/>
    <d v="1949-11-02T00:00:00"/>
    <m/>
    <x v="241"/>
  </r>
  <r>
    <s v="Garcia"/>
    <s v="Ruiz"/>
    <s v="Miguel Antonio"/>
    <x v="883"/>
    <x v="378"/>
    <n v="7.2300000000000003E-3"/>
    <m/>
    <m/>
    <m/>
    <m/>
    <m/>
    <m/>
    <m/>
    <m/>
    <m/>
    <m/>
    <d v="1952-05-10T00:00:00"/>
    <m/>
    <x v="144"/>
  </r>
  <r>
    <s v="Ortega"/>
    <s v="Ramirez"/>
    <s v="Francisco"/>
    <x v="884"/>
    <x v="378"/>
    <n v="6.5129999999999993E-2"/>
    <m/>
    <m/>
    <m/>
    <m/>
    <m/>
    <m/>
    <m/>
    <m/>
    <m/>
    <m/>
    <d v="1944-08-28T00:00:00"/>
    <m/>
    <x v="148"/>
  </r>
  <r>
    <s v="Murillo"/>
    <s v="Domingo"/>
    <s v="Desamparados"/>
    <x v="885"/>
    <x v="378"/>
    <n v="8.1629999999999994E-2"/>
    <m/>
    <m/>
    <m/>
    <m/>
    <m/>
    <m/>
    <m/>
    <m/>
    <m/>
    <m/>
    <d v="1949-03-05T00:00:00"/>
    <m/>
    <x v="23"/>
  </r>
  <r>
    <s v="Carpena"/>
    <s v="Azorin"/>
    <s v="Juan"/>
    <x v="661"/>
    <x v="378"/>
    <n v="0.27639999999999998"/>
    <m/>
    <m/>
    <m/>
    <m/>
    <m/>
    <m/>
    <m/>
    <m/>
    <m/>
    <m/>
    <d v="1940-11-28T00:00:00"/>
    <m/>
    <x v="14"/>
  </r>
  <r>
    <s v="Vazquez"/>
    <s v="Sanchis"/>
    <s v="Vicente"/>
    <x v="886"/>
    <x v="378"/>
    <n v="0.38136999999999999"/>
    <m/>
    <m/>
    <m/>
    <m/>
    <m/>
    <m/>
    <m/>
    <m/>
    <m/>
    <m/>
    <d v="1956-11-16T00:00:00"/>
    <m/>
    <x v="177"/>
  </r>
  <r>
    <s v="Frigols"/>
    <s v="Vila"/>
    <s v="Maria Esther"/>
    <x v="529"/>
    <x v="378"/>
    <n v="7.8170000000000003E-2"/>
    <m/>
    <m/>
    <m/>
    <m/>
    <m/>
    <m/>
    <m/>
    <m/>
    <m/>
    <m/>
    <d v="1974-08-22T00:00:00"/>
    <m/>
    <x v="180"/>
  </r>
  <r>
    <s v="Garrido"/>
    <s v="Carretero"/>
    <s v="Pilar"/>
    <x v="887"/>
    <x v="378"/>
    <n v="0.57909999999999995"/>
    <m/>
    <m/>
    <m/>
    <m/>
    <m/>
    <m/>
    <m/>
    <m/>
    <m/>
    <m/>
    <d v="1953-02-22T00:00:00"/>
    <m/>
    <x v="2"/>
  </r>
  <r>
    <s v="Aprile"/>
    <m/>
    <s v="Claudio"/>
    <x v="888"/>
    <x v="378"/>
    <n v="0.17751"/>
    <m/>
    <m/>
    <m/>
    <m/>
    <m/>
    <m/>
    <m/>
    <m/>
    <m/>
    <m/>
    <d v="1959-07-12T00:00:00"/>
    <m/>
    <x v="2"/>
  </r>
  <r>
    <s v="Santiago"/>
    <s v="Fernandez"/>
    <s v="Antonio"/>
    <x v="889"/>
    <x v="378"/>
    <n v="0.44022"/>
    <m/>
    <m/>
    <m/>
    <m/>
    <m/>
    <m/>
    <m/>
    <m/>
    <m/>
    <m/>
    <d v="1948-09-12T00:00:00"/>
    <m/>
    <x v="2"/>
  </r>
  <r>
    <s v="Koupliakov"/>
    <m/>
    <s v="Vladimir"/>
    <x v="890"/>
    <x v="378"/>
    <n v="0.15740999999999999"/>
    <m/>
    <m/>
    <m/>
    <m/>
    <m/>
    <m/>
    <m/>
    <m/>
    <m/>
    <m/>
    <d v="1951-05-20T00:00:00"/>
    <m/>
    <x v="2"/>
  </r>
  <r>
    <s v="Ceron"/>
    <s v="Lopez"/>
    <s v="Jose"/>
    <x v="891"/>
    <x v="378"/>
    <n v="6.0819999999999999E-2"/>
    <m/>
    <m/>
    <m/>
    <m/>
    <m/>
    <m/>
    <m/>
    <m/>
    <m/>
    <m/>
    <d v="1953-05-22T00:00:00"/>
    <m/>
    <x v="2"/>
  </r>
  <r>
    <s v="Garrigos"/>
    <s v="Cordero"/>
    <s v="Carlos"/>
    <x v="892"/>
    <x v="378"/>
    <n v="2.0000000000000001E-4"/>
    <m/>
    <m/>
    <m/>
    <m/>
    <m/>
    <m/>
    <m/>
    <m/>
    <m/>
    <m/>
    <d v="2006-05-21T00:00:00"/>
    <m/>
    <x v="256"/>
  </r>
  <r>
    <s v="Gomez"/>
    <s v="Vessesi"/>
    <s v="Francisco"/>
    <x v="893"/>
    <x v="378"/>
    <n v="1.059E-2"/>
    <m/>
    <m/>
    <m/>
    <m/>
    <m/>
    <m/>
    <m/>
    <m/>
    <m/>
    <m/>
    <d v="1942-10-02T00:00:00"/>
    <m/>
    <x v="241"/>
  </r>
  <r>
    <s v="Marcos"/>
    <s v="Muñoz"/>
    <s v="Marta"/>
    <x v="894"/>
    <x v="379"/>
    <n v="2.5930000000000002E-2"/>
    <m/>
    <m/>
    <m/>
    <m/>
    <m/>
    <m/>
    <m/>
    <m/>
    <m/>
    <m/>
    <d v="1992-10-07T00:00:00"/>
    <m/>
    <x v="191"/>
  </r>
  <r>
    <s v="Molins"/>
    <s v="Salcedo"/>
    <s v="Vicente Tomas"/>
    <x v="895"/>
    <x v="379"/>
    <n v="0.27953"/>
    <m/>
    <m/>
    <m/>
    <m/>
    <m/>
    <m/>
    <m/>
    <m/>
    <m/>
    <m/>
    <d v="1968-03-22T00:00:00"/>
    <m/>
    <x v="257"/>
  </r>
  <r>
    <s v="Molins"/>
    <s v="Salcedo"/>
    <s v="Vicente Tomas"/>
    <x v="895"/>
    <x v="379"/>
    <n v="0.34099000000000002"/>
    <m/>
    <m/>
    <m/>
    <m/>
    <m/>
    <m/>
    <m/>
    <m/>
    <m/>
    <m/>
    <d v="1968-03-22T00:00:00"/>
    <m/>
    <x v="21"/>
  </r>
  <r>
    <s v="Simon"/>
    <s v="Giner"/>
    <s v="Rafael"/>
    <x v="896"/>
    <x v="379"/>
    <n v="4.4659999999999998E-2"/>
    <m/>
    <m/>
    <m/>
    <m/>
    <m/>
    <m/>
    <m/>
    <m/>
    <m/>
    <m/>
    <d v="1939-05-09T00:00:00"/>
    <m/>
    <x v="143"/>
  </r>
  <r>
    <s v="Gonzalez"/>
    <s v="Pardo"/>
    <s v="M Desamparados"/>
    <x v="897"/>
    <x v="379"/>
    <n v="0.25790000000000002"/>
    <m/>
    <m/>
    <m/>
    <m/>
    <m/>
    <m/>
    <m/>
    <m/>
    <m/>
    <m/>
    <d v="1957-09-23T00:00:00"/>
    <m/>
    <x v="23"/>
  </r>
  <r>
    <s v="Navarro"/>
    <s v="Alcañiz"/>
    <s v="Concepción"/>
    <x v="898"/>
    <x v="379"/>
    <n v="0.18453"/>
    <m/>
    <m/>
    <m/>
    <m/>
    <m/>
    <m/>
    <m/>
    <m/>
    <m/>
    <m/>
    <d v="1972-11-23T00:00:00"/>
    <m/>
    <x v="177"/>
  </r>
  <r>
    <s v="Alemany"/>
    <s v="Ferrer"/>
    <s v="Vicente"/>
    <x v="899"/>
    <x v="379"/>
    <n v="0.11035"/>
    <m/>
    <m/>
    <m/>
    <m/>
    <m/>
    <m/>
    <m/>
    <m/>
    <m/>
    <m/>
    <d v="1940-01-06T00:00:00"/>
    <m/>
    <x v="258"/>
  </r>
  <r>
    <s v="Barrios"/>
    <s v="Trujillo"/>
    <s v="Maria Dolores"/>
    <x v="900"/>
    <x v="379"/>
    <n v="0.10949"/>
    <m/>
    <m/>
    <m/>
    <m/>
    <m/>
    <m/>
    <m/>
    <m/>
    <m/>
    <m/>
    <d v="1962-05-20T00:00:00"/>
    <m/>
    <x v="2"/>
  </r>
  <r>
    <s v="Rapado"/>
    <s v="Toro"/>
    <s v="Leonides"/>
    <x v="901"/>
    <x v="379"/>
    <n v="0.12157"/>
    <m/>
    <m/>
    <m/>
    <m/>
    <m/>
    <m/>
    <m/>
    <m/>
    <m/>
    <m/>
    <d v="1932-11-02T00:00:00"/>
    <m/>
    <x v="2"/>
  </r>
  <r>
    <s v="Rodriguez"/>
    <s v="Garcia"/>
    <s v="Amalia"/>
    <x v="902"/>
    <x v="379"/>
    <n v="0.29620000000000002"/>
    <m/>
    <m/>
    <m/>
    <m/>
    <m/>
    <m/>
    <m/>
    <m/>
    <m/>
    <m/>
    <d v="1933-05-03T00:00:00"/>
    <m/>
    <x v="2"/>
  </r>
  <r>
    <s v="Latorre"/>
    <s v="Guillem"/>
    <s v="Carlos Fernando"/>
    <x v="903"/>
    <x v="379"/>
    <n v="0.47100999999999998"/>
    <m/>
    <m/>
    <m/>
    <m/>
    <m/>
    <m/>
    <m/>
    <m/>
    <m/>
    <m/>
    <d v="1964-12-01T00:00:00"/>
    <m/>
    <x v="2"/>
  </r>
  <r>
    <s v="Lopez"/>
    <s v="alfaro"/>
    <s v="Nicolas Francisco"/>
    <x v="904"/>
    <x v="379"/>
    <n v="7.4429999999999996E-2"/>
    <m/>
    <m/>
    <m/>
    <m/>
    <m/>
    <m/>
    <m/>
    <m/>
    <m/>
    <m/>
    <d v="1962-02-03T00:00:00"/>
    <m/>
    <x v="259"/>
  </r>
  <r>
    <s v="Pardal"/>
    <s v="Martinez"/>
    <s v="Francsico Javier"/>
    <x v="905"/>
    <x v="379"/>
    <n v="0.1356"/>
    <m/>
    <m/>
    <m/>
    <m/>
    <m/>
    <m/>
    <m/>
    <m/>
    <m/>
    <m/>
    <d v="1955-04-20T00:00:00"/>
    <m/>
    <x v="259"/>
  </r>
  <r>
    <s v="Navarro"/>
    <s v="Martinez"/>
    <s v="Jose"/>
    <x v="906"/>
    <x v="379"/>
    <n v="7.3260000000000006E-2"/>
    <m/>
    <m/>
    <m/>
    <m/>
    <m/>
    <m/>
    <m/>
    <m/>
    <m/>
    <m/>
    <d v="1955-04-28T00:00:00"/>
    <m/>
    <x v="259"/>
  </r>
  <r>
    <s v="Pacheco"/>
    <s v="Martinez"/>
    <s v="Pilar"/>
    <x v="907"/>
    <x v="379"/>
    <n v="8.6269999999999999E-2"/>
    <m/>
    <m/>
    <m/>
    <m/>
    <m/>
    <m/>
    <m/>
    <m/>
    <m/>
    <m/>
    <d v="1973-04-29T00:00:00"/>
    <m/>
    <x v="259"/>
  </r>
  <r>
    <s v="Martinez"/>
    <s v="Alvarez"/>
    <s v="Dulse"/>
    <x v="908"/>
    <x v="379"/>
    <n v="2.5899999999999999E-3"/>
    <m/>
    <m/>
    <m/>
    <m/>
    <m/>
    <m/>
    <m/>
    <m/>
    <m/>
    <m/>
    <d v="1957-04-01T00:00:00"/>
    <m/>
    <x v="243"/>
  </r>
  <r>
    <s v="Bas"/>
    <s v="Garcia"/>
    <s v="Jose Antonio"/>
    <x v="909"/>
    <x v="379"/>
    <n v="2.4150000000000001E-2"/>
    <m/>
    <m/>
    <m/>
    <m/>
    <m/>
    <m/>
    <m/>
    <m/>
    <m/>
    <m/>
    <d v="1947-06-23T00:00:00"/>
    <m/>
    <x v="243"/>
  </r>
  <r>
    <s v="Gomez"/>
    <s v="Hernández"/>
    <s v="Valero"/>
    <x v="910"/>
    <x v="379"/>
    <n v="0.10872"/>
    <m/>
    <m/>
    <m/>
    <m/>
    <m/>
    <m/>
    <m/>
    <m/>
    <m/>
    <m/>
    <d v="1940-09-02T00:00:00"/>
    <m/>
    <x v="243"/>
  </r>
  <r>
    <s v="Jiménez "/>
    <s v="Fernández"/>
    <s v="Maria"/>
    <x v="911"/>
    <x v="379"/>
    <n v="2.0719999999999999E-2"/>
    <m/>
    <m/>
    <m/>
    <m/>
    <m/>
    <m/>
    <m/>
    <m/>
    <m/>
    <m/>
    <d v="1993-01-23T00:00:00"/>
    <m/>
    <x v="241"/>
  </r>
  <r>
    <s v="Cominches"/>
    <s v="Jorda"/>
    <s v="Vicente"/>
    <x v="870"/>
    <x v="380"/>
    <n v="0.55564999999999998"/>
    <m/>
    <m/>
    <m/>
    <m/>
    <m/>
    <m/>
    <m/>
    <m/>
    <m/>
    <m/>
    <d v="1955-02-21T00:00:00"/>
    <m/>
    <x v="154"/>
  </r>
  <r>
    <s v="Gil"/>
    <s v="Fabra"/>
    <s v="Ricardo"/>
    <x v="912"/>
    <x v="380"/>
    <n v="0.26719999999999999"/>
    <m/>
    <m/>
    <m/>
    <m/>
    <m/>
    <m/>
    <m/>
    <m/>
    <m/>
    <m/>
    <d v="1957-07-11T00:00:00"/>
    <m/>
    <x v="260"/>
  </r>
  <r>
    <s v="Marti"/>
    <s v="Moya"/>
    <s v="Bautista"/>
    <x v="412"/>
    <x v="380"/>
    <n v="0.34584999999999999"/>
    <m/>
    <m/>
    <m/>
    <m/>
    <m/>
    <m/>
    <m/>
    <m/>
    <m/>
    <m/>
    <d v="1946-02-04T00:00:00"/>
    <m/>
    <x v="171"/>
  </r>
  <r>
    <s v="Carretero"/>
    <s v="Collado"/>
    <s v="Maria Carmen"/>
    <x v="913"/>
    <x v="380"/>
    <n v="3.8999999999999998E-3"/>
    <m/>
    <m/>
    <m/>
    <m/>
    <m/>
    <m/>
    <m/>
    <m/>
    <m/>
    <m/>
    <d v="1959-03-29T00:00:00"/>
    <m/>
    <x v="260"/>
  </r>
  <r>
    <s v="Sierchio"/>
    <m/>
    <s v="Ronald"/>
    <x v="914"/>
    <x v="380"/>
    <n v="1.6920000000000001E-2"/>
    <m/>
    <m/>
    <m/>
    <m/>
    <m/>
    <m/>
    <m/>
    <m/>
    <m/>
    <m/>
    <d v="1979-09-23T00:00:00"/>
    <m/>
    <x v="234"/>
  </r>
  <r>
    <s v="Hernández"/>
    <s v="Venegas"/>
    <s v="Rosa Bonifacia"/>
    <x v="915"/>
    <x v="380"/>
    <n v="9.0870000000000006E-2"/>
    <m/>
    <m/>
    <m/>
    <m/>
    <m/>
    <m/>
    <m/>
    <m/>
    <m/>
    <m/>
    <d v="1949-08-28T00:00:00"/>
    <m/>
    <x v="2"/>
  </r>
  <r>
    <s v="Marques"/>
    <s v="Ricos"/>
    <s v="Amparo"/>
    <x v="916"/>
    <x v="380"/>
    <n v="0.13824"/>
    <m/>
    <m/>
    <m/>
    <m/>
    <m/>
    <m/>
    <m/>
    <m/>
    <m/>
    <m/>
    <d v="1935-08-06T00:00:00"/>
    <m/>
    <x v="2"/>
  </r>
  <r>
    <s v="Gimeno"/>
    <s v="San Andres"/>
    <s v="Elena"/>
    <x v="917"/>
    <x v="380"/>
    <n v="0.27583999999999997"/>
    <m/>
    <m/>
    <m/>
    <m/>
    <m/>
    <m/>
    <m/>
    <m/>
    <m/>
    <m/>
    <d v="1956-06-04T00:00:00"/>
    <m/>
    <x v="2"/>
  </r>
  <r>
    <s v="Martinez"/>
    <s v="Martinez"/>
    <s v="Jose Juan"/>
    <x v="918"/>
    <x v="380"/>
    <n v="0.84341999999999995"/>
    <m/>
    <m/>
    <m/>
    <m/>
    <m/>
    <m/>
    <m/>
    <m/>
    <m/>
    <m/>
    <d v="1953-10-12T00:00:00"/>
    <m/>
    <x v="259"/>
  </r>
  <r>
    <s v="Martinez"/>
    <s v="Dominguez"/>
    <s v="Francisco"/>
    <x v="919"/>
    <x v="380"/>
    <n v="4.4466700000000001"/>
    <m/>
    <m/>
    <m/>
    <m/>
    <m/>
    <m/>
    <m/>
    <m/>
    <m/>
    <m/>
    <d v="1966-06-22T00:00:00"/>
    <m/>
    <x v="259"/>
  </r>
  <r>
    <s v="Moreno"/>
    <s v="Alandes"/>
    <s v="Salvador"/>
    <x v="920"/>
    <x v="380"/>
    <n v="2.6981899999999999"/>
    <m/>
    <m/>
    <m/>
    <m/>
    <m/>
    <m/>
    <m/>
    <m/>
    <m/>
    <m/>
    <d v="1958-09-19T00:00:00"/>
    <m/>
    <x v="259"/>
  </r>
  <r>
    <s v="Perez"/>
    <s v="Gallego"/>
    <s v="Maximino"/>
    <x v="921"/>
    <x v="381"/>
    <n v="5.7389999999999997E-2"/>
    <m/>
    <m/>
    <m/>
    <m/>
    <m/>
    <m/>
    <m/>
    <m/>
    <m/>
    <m/>
    <d v="1957-03-07T00:00:00"/>
    <m/>
    <x v="171"/>
  </r>
  <r>
    <s v="Gimenez"/>
    <s v="Rubio"/>
    <s v="Jose Luis"/>
    <x v="922"/>
    <x v="381"/>
    <n v="0.39363999999999999"/>
    <m/>
    <m/>
    <m/>
    <m/>
    <m/>
    <m/>
    <m/>
    <m/>
    <m/>
    <m/>
    <d v="1949-07-19T00:00:00"/>
    <m/>
    <x v="259"/>
  </r>
  <r>
    <s v="Ferrairo"/>
    <s v="Signes"/>
    <s v="Francisco"/>
    <x v="923"/>
    <x v="381"/>
    <n v="0.56613999999999998"/>
    <m/>
    <m/>
    <m/>
    <m/>
    <m/>
    <m/>
    <m/>
    <m/>
    <m/>
    <m/>
    <d v="1940-01-19T00:00:00"/>
    <m/>
    <x v="259"/>
  </r>
  <r>
    <s v="Iglesias"/>
    <s v="Colon"/>
    <s v="Valentin"/>
    <x v="924"/>
    <x v="382"/>
    <n v="1.71343"/>
    <m/>
    <m/>
    <m/>
    <m/>
    <m/>
    <m/>
    <m/>
    <m/>
    <m/>
    <m/>
    <d v="1954-05-06T00:00:00"/>
    <m/>
    <x v="222"/>
  </r>
  <r>
    <s v="Cabanilles"/>
    <s v="Vercher"/>
    <s v="Juana M"/>
    <x v="925"/>
    <x v="382"/>
    <n v="0.18768000000000001"/>
    <m/>
    <m/>
    <m/>
    <m/>
    <m/>
    <m/>
    <m/>
    <m/>
    <m/>
    <m/>
    <d v="1955-09-12T00:00:00"/>
    <m/>
    <x v="259"/>
  </r>
  <r>
    <s v="Castellanos"/>
    <s v="Varela"/>
    <s v="Enrique"/>
    <x v="926"/>
    <x v="382"/>
    <n v="0.33716000000000002"/>
    <m/>
    <m/>
    <m/>
    <m/>
    <m/>
    <m/>
    <m/>
    <m/>
    <m/>
    <m/>
    <d v="1949-09-14T00:00:00"/>
    <m/>
    <x v="259"/>
  </r>
  <r>
    <s v="Albiach"/>
    <s v="Roca"/>
    <s v="Rosa"/>
    <x v="927"/>
    <x v="383"/>
    <n v="0.20236000000000001"/>
    <m/>
    <m/>
    <m/>
    <m/>
    <m/>
    <m/>
    <m/>
    <m/>
    <m/>
    <m/>
    <d v="1945-12-02T00:00:00"/>
    <m/>
    <x v="14"/>
  </r>
  <r>
    <s v="Gil"/>
    <s v="Peris"/>
    <s v="Candela"/>
    <x v="928"/>
    <x v="383"/>
    <n v="3.8760000000000003E-2"/>
    <m/>
    <m/>
    <m/>
    <m/>
    <m/>
    <m/>
    <m/>
    <m/>
    <m/>
    <m/>
    <d v="2002-07-16T00:00:00"/>
    <m/>
    <x v="148"/>
  </r>
  <r>
    <s v="Moliner"/>
    <s v="Bernat"/>
    <s v="Vicente"/>
    <x v="929"/>
    <x v="383"/>
    <n v="4.4099999999999999E-3"/>
    <m/>
    <m/>
    <m/>
    <m/>
    <m/>
    <m/>
    <m/>
    <m/>
    <m/>
    <m/>
    <d v="1938-06-16T00:00:00"/>
    <m/>
    <x v="144"/>
  </r>
  <r>
    <s v="Montero"/>
    <s v="Lopez"/>
    <s v="Elena"/>
    <x v="930"/>
    <x v="383"/>
    <n v="1.5810000000000001E-2"/>
    <m/>
    <m/>
    <m/>
    <m/>
    <m/>
    <m/>
    <m/>
    <m/>
    <m/>
    <m/>
    <d v="1946-07-12T00:00:00"/>
    <m/>
    <x v="261"/>
  </r>
  <r>
    <s v="Bosch"/>
    <s v="Fornas"/>
    <s v="Eduardo Jose"/>
    <x v="268"/>
    <x v="383"/>
    <n v="0.60065000000000002"/>
    <m/>
    <m/>
    <m/>
    <m/>
    <m/>
    <m/>
    <m/>
    <m/>
    <m/>
    <m/>
    <d v="1963-02-15T00:00:00"/>
    <m/>
    <x v="138"/>
  </r>
  <r>
    <s v="Garzon"/>
    <s v="Salas"/>
    <s v="Maria"/>
    <x v="931"/>
    <x v="383"/>
    <n v="9.0319999999999998E-2"/>
    <m/>
    <m/>
    <m/>
    <m/>
    <m/>
    <m/>
    <m/>
    <m/>
    <m/>
    <m/>
    <d v="1957-02-08T00:00:00"/>
    <m/>
    <x v="2"/>
  </r>
  <r>
    <s v="Perez"/>
    <s v="Bermudez"/>
    <s v="Isabel"/>
    <x v="932"/>
    <x v="383"/>
    <n v="0.10664"/>
    <m/>
    <m/>
    <m/>
    <m/>
    <m/>
    <m/>
    <m/>
    <m/>
    <m/>
    <m/>
    <d v="1940-04-29T00:00:00"/>
    <m/>
    <x v="2"/>
  </r>
  <r>
    <s v="Visier"/>
    <s v="Vizarraga"/>
    <s v="Aurora"/>
    <x v="933"/>
    <x v="383"/>
    <n v="0.14843000000000001"/>
    <m/>
    <m/>
    <m/>
    <m/>
    <m/>
    <m/>
    <m/>
    <m/>
    <m/>
    <m/>
    <d v="1947-10-14T00:00:00"/>
    <m/>
    <x v="2"/>
  </r>
  <r>
    <s v="Belda"/>
    <s v="Serrano"/>
    <s v="Josefina"/>
    <x v="934"/>
    <x v="383"/>
    <n v="0.20458999999999999"/>
    <m/>
    <m/>
    <m/>
    <m/>
    <m/>
    <m/>
    <m/>
    <m/>
    <m/>
    <m/>
    <d v="1958-04-02T00:00:00"/>
    <m/>
    <x v="2"/>
  </r>
  <r>
    <s v="Menchon"/>
    <s v="Aliaga"/>
    <s v="Manuel Jose"/>
    <x v="935"/>
    <x v="383"/>
    <n v="9.5990000000000006E-2"/>
    <m/>
    <m/>
    <m/>
    <m/>
    <m/>
    <m/>
    <m/>
    <m/>
    <m/>
    <m/>
    <d v="1988-09-17T00:00:00"/>
    <m/>
    <x v="2"/>
  </r>
  <r>
    <s v="Granero"/>
    <s v="Olmos"/>
    <s v="Daniel"/>
    <x v="936"/>
    <x v="383"/>
    <n v="0.27836"/>
    <m/>
    <m/>
    <m/>
    <m/>
    <m/>
    <m/>
    <m/>
    <m/>
    <m/>
    <m/>
    <d v="1948-03-06T00:00:00"/>
    <m/>
    <x v="259"/>
  </r>
  <r>
    <s v="Guillen"/>
    <s v="Lorente"/>
    <s v="Antonio"/>
    <x v="937"/>
    <x v="383"/>
    <n v="0.22828999999999999"/>
    <m/>
    <m/>
    <m/>
    <m/>
    <m/>
    <m/>
    <m/>
    <m/>
    <m/>
    <m/>
    <d v="1962-01-08T00:00:00"/>
    <m/>
    <x v="259"/>
  </r>
  <r>
    <s v="Bataller"/>
    <s v="Garrido"/>
    <s v="M Jesus"/>
    <x v="938"/>
    <x v="383"/>
    <n v="0.14901"/>
    <m/>
    <m/>
    <m/>
    <m/>
    <m/>
    <m/>
    <m/>
    <m/>
    <m/>
    <m/>
    <d v="1965-07-15T00:00:00"/>
    <m/>
    <x v="259"/>
  </r>
  <r>
    <s v="Aslikyan"/>
    <m/>
    <s v="Ararat"/>
    <x v="939"/>
    <x v="383"/>
    <n v="0.18756"/>
    <m/>
    <m/>
    <m/>
    <m/>
    <m/>
    <m/>
    <m/>
    <m/>
    <m/>
    <m/>
    <d v="1960-05-02T00:00:00"/>
    <m/>
    <x v="259"/>
  </r>
  <r>
    <s v="almendros"/>
    <s v="Gonzales"/>
    <s v="Miguel"/>
    <x v="940"/>
    <x v="383"/>
    <n v="0.10496"/>
    <m/>
    <m/>
    <m/>
    <m/>
    <m/>
    <m/>
    <m/>
    <m/>
    <m/>
    <m/>
    <d v="1952-03-02T00:00:00"/>
    <m/>
    <x v="259"/>
  </r>
  <r>
    <s v="Jabeen"/>
    <m/>
    <s v="Zohra"/>
    <x v="941"/>
    <x v="383"/>
    <n v="0.46661000000000002"/>
    <m/>
    <m/>
    <m/>
    <m/>
    <m/>
    <m/>
    <m/>
    <m/>
    <m/>
    <m/>
    <d v="1966-02-10T00:00:00"/>
    <m/>
    <x v="259"/>
  </r>
  <r>
    <s v="Jiménez "/>
    <s v="Aguado"/>
    <s v="Jesus"/>
    <x v="942"/>
    <x v="384"/>
    <n v="2.1721599999999999"/>
    <m/>
    <m/>
    <m/>
    <m/>
    <m/>
    <m/>
    <m/>
    <m/>
    <m/>
    <m/>
    <d v="1965-03-19T00:00:00"/>
    <m/>
    <x v="222"/>
  </r>
  <r>
    <s v="Cano"/>
    <s v="Jimenez"/>
    <s v="Jose"/>
    <x v="684"/>
    <x v="384"/>
    <n v="1.7023999999999999"/>
    <m/>
    <m/>
    <m/>
    <m/>
    <m/>
    <m/>
    <m/>
    <m/>
    <m/>
    <m/>
    <d v="1964-11-15T00:00:00"/>
    <m/>
    <x v="262"/>
  </r>
  <r>
    <s v="Romero"/>
    <s v="Ruiz"/>
    <s v="Maria"/>
    <x v="852"/>
    <x v="384"/>
    <n v="1.03871"/>
    <m/>
    <m/>
    <m/>
    <m/>
    <m/>
    <m/>
    <m/>
    <m/>
    <m/>
    <m/>
    <d v="1954-09-26T00:00:00"/>
    <m/>
    <x v="14"/>
  </r>
  <r>
    <s v="Gimeno"/>
    <s v="Latre"/>
    <s v="Vicenta"/>
    <x v="943"/>
    <x v="384"/>
    <n v="1.37557"/>
    <m/>
    <m/>
    <m/>
    <m/>
    <m/>
    <m/>
    <m/>
    <m/>
    <m/>
    <m/>
    <d v="1948-01-18T00:00:00"/>
    <m/>
    <x v="2"/>
  </r>
  <r>
    <s v="Herraiz"/>
    <s v="Garcia"/>
    <s v="Carmen"/>
    <x v="944"/>
    <x v="384"/>
    <n v="1.4747600000000001"/>
    <m/>
    <m/>
    <m/>
    <m/>
    <m/>
    <m/>
    <m/>
    <m/>
    <m/>
    <m/>
    <d v="1936-11-02T00:00:00"/>
    <m/>
    <x v="2"/>
  </r>
  <r>
    <s v="Martinez"/>
    <s v="Escriva"/>
    <s v="Enrique"/>
    <x v="945"/>
    <x v="384"/>
    <n v="0.90610999999999997"/>
    <m/>
    <m/>
    <m/>
    <m/>
    <m/>
    <m/>
    <m/>
    <m/>
    <m/>
    <m/>
    <d v="1952-01-07T00:00:00"/>
    <m/>
    <x v="2"/>
  </r>
  <r>
    <s v="Peña"/>
    <s v="Quesada"/>
    <s v="Antonia"/>
    <x v="946"/>
    <x v="384"/>
    <n v="8.7419999999999998E-2"/>
    <m/>
    <m/>
    <m/>
    <m/>
    <m/>
    <m/>
    <m/>
    <m/>
    <m/>
    <m/>
    <d v="1947-03-16T00:00:00"/>
    <m/>
    <x v="2"/>
  </r>
  <r>
    <s v="Ferrer"/>
    <s v="Navarro"/>
    <s v="Jose Vicente"/>
    <x v="947"/>
    <x v="384"/>
    <n v="0.15135000000000001"/>
    <m/>
    <m/>
    <m/>
    <m/>
    <m/>
    <m/>
    <m/>
    <m/>
    <m/>
    <m/>
    <d v="1949-09-12T00:00:00"/>
    <m/>
    <x v="263"/>
  </r>
  <r>
    <s v="Coll"/>
    <s v="Moscardo"/>
    <s v="Jose Luis"/>
    <x v="464"/>
    <x v="385"/>
    <n v="1.33327"/>
    <m/>
    <m/>
    <m/>
    <m/>
    <m/>
    <m/>
    <m/>
    <m/>
    <m/>
    <m/>
    <d v="1952-03-09T00:00:00"/>
    <m/>
    <x v="205"/>
  </r>
  <r>
    <s v="Trinidad"/>
    <s v="Domenech"/>
    <s v="Carlos"/>
    <x v="948"/>
    <x v="385"/>
    <m/>
    <m/>
    <m/>
    <m/>
    <m/>
    <m/>
    <m/>
    <m/>
    <m/>
    <m/>
    <m/>
    <d v="1976-11-06T00:00:00"/>
    <m/>
    <x v="23"/>
  </r>
  <r>
    <s v="Garrido"/>
    <s v="Villodre"/>
    <s v="Anastasio"/>
    <x v="949"/>
    <x v="385"/>
    <n v="0.11761000000000001"/>
    <m/>
    <m/>
    <m/>
    <m/>
    <m/>
    <m/>
    <m/>
    <m/>
    <m/>
    <m/>
    <d v="1938-07-08T00:00:00"/>
    <m/>
    <x v="50"/>
  </r>
  <r>
    <s v="Garcia"/>
    <s v="Castello"/>
    <s v="Jesus"/>
    <x v="950"/>
    <x v="385"/>
    <n v="0.52317000000000002"/>
    <m/>
    <m/>
    <m/>
    <m/>
    <m/>
    <m/>
    <m/>
    <m/>
    <m/>
    <m/>
    <d v="1948-07-12T00:00:00"/>
    <m/>
    <x v="58"/>
  </r>
  <r>
    <s v="Elvira"/>
    <s v="Villares"/>
    <s v="Juan Jose"/>
    <x v="802"/>
    <x v="385"/>
    <n v="0.44420999999999999"/>
    <m/>
    <m/>
    <m/>
    <m/>
    <m/>
    <m/>
    <m/>
    <m/>
    <m/>
    <m/>
    <d v="1955-03-08T00:00:00"/>
    <m/>
    <x v="166"/>
  </r>
  <r>
    <s v="Garcia"/>
    <s v="Alon"/>
    <s v="Sergio"/>
    <x v="951"/>
    <x v="385"/>
    <n v="0.44161"/>
    <m/>
    <m/>
    <m/>
    <m/>
    <m/>
    <m/>
    <m/>
    <m/>
    <m/>
    <m/>
    <d v="1968-05-05T00:00:00"/>
    <m/>
    <x v="2"/>
  </r>
  <r>
    <s v="Juan"/>
    <s v="Bueno"/>
    <s v="Enrique"/>
    <x v="952"/>
    <x v="385"/>
    <n v="0.29359000000000002"/>
    <m/>
    <m/>
    <m/>
    <m/>
    <m/>
    <m/>
    <m/>
    <m/>
    <m/>
    <m/>
    <d v="1962-05-30T00:00:00"/>
    <m/>
    <x v="2"/>
  </r>
  <r>
    <s v="Torres"/>
    <s v="Gil"/>
    <s v="Salvador"/>
    <x v="953"/>
    <x v="385"/>
    <n v="0.72919"/>
    <m/>
    <m/>
    <m/>
    <m/>
    <m/>
    <m/>
    <m/>
    <m/>
    <m/>
    <m/>
    <d v="1960-09-09T00:00:00"/>
    <m/>
    <x v="2"/>
  </r>
  <r>
    <s v="Garcia"/>
    <s v="Arias"/>
    <s v="Felicitacion"/>
    <x v="954"/>
    <x v="385"/>
    <n v="9.4189999999999996E-2"/>
    <m/>
    <m/>
    <m/>
    <m/>
    <m/>
    <m/>
    <m/>
    <m/>
    <m/>
    <m/>
    <d v="1960-02-26T00:00:00"/>
    <m/>
    <x v="2"/>
  </r>
  <r>
    <s v="Jimenez"/>
    <s v="Cardenas"/>
    <s v="Francisco"/>
    <x v="955"/>
    <x v="385"/>
    <n v="0.13042000000000001"/>
    <m/>
    <m/>
    <m/>
    <m/>
    <m/>
    <m/>
    <m/>
    <m/>
    <m/>
    <m/>
    <d v="1969-07-07T00:00:00"/>
    <m/>
    <x v="2"/>
  </r>
  <r>
    <s v="Sandroma"/>
    <s v="Garcia"/>
    <s v="Emilio"/>
    <x v="956"/>
    <x v="385"/>
    <n v="4.3118499999999997"/>
    <m/>
    <m/>
    <m/>
    <m/>
    <m/>
    <m/>
    <m/>
    <m/>
    <m/>
    <m/>
    <d v="1953-05-16T00:00:00"/>
    <m/>
    <x v="2"/>
  </r>
  <r>
    <s v="Paya"/>
    <s v="Morant"/>
    <s v="Jose Vicente"/>
    <x v="957"/>
    <x v="385"/>
    <n v="0.52529999999999999"/>
    <m/>
    <m/>
    <m/>
    <m/>
    <m/>
    <m/>
    <m/>
    <m/>
    <m/>
    <m/>
    <d v="1970-06-06T00:00:00"/>
    <m/>
    <x v="2"/>
  </r>
  <r>
    <s v="Palazon"/>
    <s v="Martinez"/>
    <s v="Cristina"/>
    <x v="958"/>
    <x v="385"/>
    <n v="2.8209999999999999E-2"/>
    <m/>
    <m/>
    <m/>
    <m/>
    <m/>
    <m/>
    <m/>
    <m/>
    <m/>
    <m/>
    <d v="1986-10-12T00:00:00"/>
    <m/>
    <x v="241"/>
  </r>
  <r>
    <s v="Alacreu"/>
    <s v="Cervera"/>
    <s v="Javier"/>
    <x v="253"/>
    <x v="386"/>
    <n v="0.12993399999999999"/>
    <m/>
    <m/>
    <m/>
    <m/>
    <m/>
    <m/>
    <m/>
    <m/>
    <m/>
    <m/>
    <d v="1985-09-07T00:00:00"/>
    <m/>
    <x v="215"/>
  </r>
  <r>
    <s v="Hens "/>
    <s v="Aguayo"/>
    <s v="Aurora"/>
    <x v="959"/>
    <x v="386"/>
    <n v="6.0699999999999999E-3"/>
    <m/>
    <m/>
    <m/>
    <m/>
    <m/>
    <m/>
    <m/>
    <m/>
    <m/>
    <m/>
    <d v="1961-09-27T00:00:00"/>
    <m/>
    <x v="43"/>
  </r>
  <r>
    <s v="Aiteur"/>
    <s v="Rodirguez"/>
    <s v="Alain"/>
    <x v="960"/>
    <x v="386"/>
    <n v="6.3400000000000001E-3"/>
    <m/>
    <m/>
    <m/>
    <m/>
    <m/>
    <m/>
    <m/>
    <m/>
    <m/>
    <m/>
    <d v="1967-10-29T00:00:00"/>
    <m/>
    <x v="264"/>
  </r>
  <r>
    <s v="Soto"/>
    <s v="Arnau"/>
    <s v="Maria Remedios"/>
    <x v="961"/>
    <x v="386"/>
    <n v="5.2199999999999998E-3"/>
    <m/>
    <m/>
    <m/>
    <m/>
    <m/>
    <m/>
    <m/>
    <m/>
    <m/>
    <m/>
    <d v="1976-10-08T00:00:00"/>
    <m/>
    <x v="215"/>
  </r>
  <r>
    <s v="Trinidad"/>
    <s v="Domenech"/>
    <s v="Carlos"/>
    <x v="948"/>
    <x v="386"/>
    <n v="1.7222900000000001"/>
    <m/>
    <m/>
    <m/>
    <m/>
    <m/>
    <m/>
    <m/>
    <m/>
    <m/>
    <m/>
    <d v="1976-11-06T00:00:00"/>
    <m/>
    <x v="23"/>
  </r>
  <r>
    <s v="Calderon"/>
    <s v="Perez"/>
    <s v="Julio Augustin"/>
    <x v="962"/>
    <x v="386"/>
    <n v="3.4070000000000003E-2"/>
    <m/>
    <m/>
    <m/>
    <m/>
    <m/>
    <m/>
    <m/>
    <m/>
    <m/>
    <m/>
    <d v="1962-10-12T00:00:00"/>
    <m/>
    <x v="2"/>
  </r>
  <r>
    <s v="Lopez"/>
    <s v="Villaplana"/>
    <s v="Jose Alberto"/>
    <x v="963"/>
    <x v="386"/>
    <n v="0.4209"/>
    <m/>
    <m/>
    <m/>
    <m/>
    <m/>
    <m/>
    <m/>
    <m/>
    <m/>
    <m/>
    <d v="1955-06-02T00:00:00"/>
    <m/>
    <x v="2"/>
  </r>
  <r>
    <s v="Ripull"/>
    <s v="Montañana"/>
    <s v="Jose Tomas"/>
    <x v="964"/>
    <x v="386"/>
    <n v="1.3805700000000001"/>
    <m/>
    <m/>
    <m/>
    <m/>
    <m/>
    <m/>
    <m/>
    <m/>
    <m/>
    <m/>
    <d v="1956-06-19T00:00:00"/>
    <m/>
    <x v="2"/>
  </r>
  <r>
    <s v="Zamora"/>
    <s v="Campillo"/>
    <s v="Noelia"/>
    <x v="221"/>
    <x v="386"/>
    <n v="5.7709999999999997E-2"/>
    <m/>
    <m/>
    <m/>
    <m/>
    <m/>
    <m/>
    <m/>
    <m/>
    <m/>
    <m/>
    <d v="1976-02-14T00:00:00"/>
    <m/>
    <x v="2"/>
  </r>
  <r>
    <s v="Tormo"/>
    <s v="Vidal"/>
    <s v="Ricardo"/>
    <x v="965"/>
    <x v="386"/>
    <n v="0.19400000000000001"/>
    <m/>
    <m/>
    <m/>
    <m/>
    <m/>
    <m/>
    <m/>
    <m/>
    <m/>
    <m/>
    <d v="1948-05-01T00:00:00"/>
    <m/>
    <x v="2"/>
  </r>
  <r>
    <s v="Coloma"/>
    <s v="Sanchis"/>
    <s v="Maria Carmen"/>
    <x v="966"/>
    <x v="386"/>
    <m/>
    <m/>
    <m/>
    <m/>
    <m/>
    <m/>
    <m/>
    <m/>
    <m/>
    <m/>
    <m/>
    <d v="1968-08-29T00:00:00"/>
    <m/>
    <x v="2"/>
  </r>
  <r>
    <s v="Zamora"/>
    <s v="Sabadin"/>
    <s v="Hugo Ricardo"/>
    <x v="967"/>
    <x v="386"/>
    <m/>
    <m/>
    <m/>
    <m/>
    <m/>
    <m/>
    <m/>
    <m/>
    <m/>
    <m/>
    <m/>
    <d v="1961-07-15T00:00:00"/>
    <m/>
    <x v="2"/>
  </r>
  <r>
    <s v="Cocenpcion"/>
    <s v="De Ajenjo"/>
    <s v="Ricardo"/>
    <x v="968"/>
    <x v="386"/>
    <n v="0.26823999999999998"/>
    <m/>
    <m/>
    <m/>
    <m/>
    <m/>
    <m/>
    <m/>
    <m/>
    <m/>
    <m/>
    <d v="1949-09-27T00:00:00"/>
    <m/>
    <x v="2"/>
  </r>
  <r>
    <s v="Concepción "/>
    <s v="De Asensio"/>
    <s v="Ricardo"/>
    <x v="968"/>
    <x v="386"/>
    <n v="0.26823999999999998"/>
    <m/>
    <m/>
    <m/>
    <m/>
    <m/>
    <m/>
    <m/>
    <m/>
    <m/>
    <m/>
    <d v="1939-09-27T00:00:00"/>
    <m/>
    <x v="2"/>
  </r>
  <r>
    <s v="Zanon"/>
    <s v="Marz"/>
    <s v="Dolores"/>
    <x v="969"/>
    <x v="386"/>
    <n v="0.13447000000000001"/>
    <m/>
    <m/>
    <m/>
    <m/>
    <m/>
    <m/>
    <m/>
    <m/>
    <m/>
    <m/>
    <d v="1940-07-30T00:00:00"/>
    <m/>
    <x v="2"/>
  </r>
  <r>
    <s v="Nuñez"/>
    <s v="Alcantara"/>
    <s v="Daniel"/>
    <x v="970"/>
    <x v="386"/>
    <n v="5.4429999999999999E-2"/>
    <m/>
    <m/>
    <m/>
    <m/>
    <m/>
    <m/>
    <m/>
    <m/>
    <m/>
    <m/>
    <d v="2000-05-05T00:00:00"/>
    <m/>
    <x v="243"/>
  </r>
  <r>
    <s v="Anselmo"/>
    <s v="Serrano"/>
    <s v="Jose Luis"/>
    <x v="971"/>
    <x v="386"/>
    <n v="0.10176"/>
    <m/>
    <m/>
    <m/>
    <m/>
    <m/>
    <m/>
    <m/>
    <m/>
    <m/>
    <m/>
    <d v="1970-08-19T00:00:00"/>
    <m/>
    <x v="243"/>
  </r>
  <r>
    <s v="Ripoll"/>
    <s v="Feliu"/>
    <s v="Francisco Javier"/>
    <x v="972"/>
    <x v="386"/>
    <n v="2.1800000000000001E-3"/>
    <m/>
    <m/>
    <m/>
    <m/>
    <m/>
    <m/>
    <m/>
    <m/>
    <m/>
    <m/>
    <d v="1955-11-04T00:00:00"/>
    <m/>
    <x v="265"/>
  </r>
  <r>
    <s v="Pascual"/>
    <s v="Miro"/>
    <s v="Jose"/>
    <x v="973"/>
    <x v="387"/>
    <n v="0.11848"/>
    <m/>
    <m/>
    <m/>
    <m/>
    <m/>
    <m/>
    <m/>
    <m/>
    <m/>
    <m/>
    <d v="1985-05-08T00:00:00"/>
    <m/>
    <x v="171"/>
  </r>
  <r>
    <s v="Rosero"/>
    <s v="Murcia"/>
    <s v="Luz Marina"/>
    <x v="974"/>
    <x v="387"/>
    <n v="9.5299999999999996E-2"/>
    <m/>
    <m/>
    <m/>
    <m/>
    <m/>
    <m/>
    <m/>
    <m/>
    <m/>
    <m/>
    <d v="1966-04-08T00:00:00"/>
    <m/>
    <x v="251"/>
  </r>
  <r>
    <s v="Vidiella"/>
    <s v="Sanchez"/>
    <s v="Nereida"/>
    <x v="975"/>
    <x v="387"/>
    <n v="0.68398999999999999"/>
    <m/>
    <m/>
    <m/>
    <m/>
    <m/>
    <m/>
    <m/>
    <m/>
    <m/>
    <m/>
    <d v="1989-06-29T00:00:00"/>
    <m/>
    <x v="251"/>
  </r>
  <r>
    <s v="Elez-Villarroel"/>
    <s v="Sanchis"/>
    <s v="Juan"/>
    <x v="976"/>
    <x v="387"/>
    <n v="0.15683"/>
    <m/>
    <m/>
    <m/>
    <m/>
    <m/>
    <m/>
    <m/>
    <m/>
    <m/>
    <m/>
    <d v="1970-04-02T00:00:00"/>
    <m/>
    <x v="143"/>
  </r>
  <r>
    <s v="Gonzalez"/>
    <s v="Cubel"/>
    <s v="Maria Laura"/>
    <x v="977"/>
    <x v="387"/>
    <n v="6.28E-3"/>
    <m/>
    <m/>
    <m/>
    <m/>
    <m/>
    <m/>
    <m/>
    <m/>
    <m/>
    <m/>
    <d v="1962-05-01T00:00:00"/>
    <m/>
    <x v="234"/>
  </r>
  <r>
    <s v="Perez"/>
    <s v="Miron"/>
    <s v="Lucia"/>
    <x v="978"/>
    <x v="387"/>
    <n v="0.11476"/>
    <m/>
    <m/>
    <m/>
    <m/>
    <m/>
    <m/>
    <m/>
    <m/>
    <m/>
    <m/>
    <d v="1976-12-13T00:00:00"/>
    <m/>
    <x v="2"/>
  </r>
  <r>
    <s v="Segarra"/>
    <s v="Crespo"/>
    <s v="Vicenta Rosario"/>
    <x v="979"/>
    <x v="387"/>
    <n v="0.28310999999999997"/>
    <m/>
    <m/>
    <m/>
    <m/>
    <m/>
    <m/>
    <m/>
    <m/>
    <m/>
    <m/>
    <d v="1957-08-24T00:00:00"/>
    <m/>
    <x v="2"/>
  </r>
  <r>
    <s v="Bleda"/>
    <s v="Martinez"/>
    <s v="Jose"/>
    <x v="980"/>
    <x v="387"/>
    <n v="0.58350000000000002"/>
    <m/>
    <m/>
    <m/>
    <m/>
    <m/>
    <m/>
    <m/>
    <m/>
    <m/>
    <m/>
    <d v="1946-02-21T00:00:00"/>
    <m/>
    <x v="2"/>
  </r>
  <r>
    <s v="Viu"/>
    <s v="Nohales"/>
    <s v="Francisco"/>
    <x v="981"/>
    <x v="387"/>
    <n v="0.42057"/>
    <m/>
    <m/>
    <m/>
    <m/>
    <m/>
    <m/>
    <m/>
    <m/>
    <m/>
    <m/>
    <d v="1969-07-02T00:00:00"/>
    <m/>
    <x v="2"/>
  </r>
  <r>
    <s v="Jimenez"/>
    <s v="Garcia"/>
    <s v="Maria"/>
    <x v="982"/>
    <x v="387"/>
    <n v="0.25683"/>
    <m/>
    <m/>
    <m/>
    <m/>
    <m/>
    <m/>
    <m/>
    <m/>
    <m/>
    <m/>
    <d v="1967-06-04T00:00:00"/>
    <m/>
    <x v="2"/>
  </r>
  <r>
    <s v="Domingo"/>
    <s v="Navarro"/>
    <s v="Jose"/>
    <x v="983"/>
    <x v="387"/>
    <n v="1.2169300000000001"/>
    <m/>
    <m/>
    <m/>
    <m/>
    <m/>
    <m/>
    <m/>
    <m/>
    <m/>
    <m/>
    <d v="1963-10-23T00:00:00"/>
    <m/>
    <x v="2"/>
  </r>
  <r>
    <s v="Barbero"/>
    <s v="Flores"/>
    <s v="Antonia"/>
    <x v="984"/>
    <x v="387"/>
    <n v="0.30323"/>
    <m/>
    <m/>
    <m/>
    <m/>
    <m/>
    <m/>
    <m/>
    <m/>
    <m/>
    <m/>
    <d v="1939-09-04T00:00:00"/>
    <m/>
    <x v="2"/>
  </r>
  <r>
    <s v="Lozano"/>
    <s v="Hernandez"/>
    <s v="Jorge"/>
    <x v="985"/>
    <x v="387"/>
    <n v="0.69182999999999995"/>
    <m/>
    <m/>
    <m/>
    <m/>
    <m/>
    <m/>
    <m/>
    <m/>
    <m/>
    <m/>
    <d v="1972-07-20T00:00:00"/>
    <m/>
    <x v="2"/>
  </r>
  <r>
    <s v="Turdera"/>
    <s v="Vilar"/>
    <s v="Arturo"/>
    <x v="986"/>
    <x v="388"/>
    <n v="0.45338000000000001"/>
    <m/>
    <m/>
    <m/>
    <m/>
    <m/>
    <m/>
    <m/>
    <m/>
    <m/>
    <m/>
    <d v="1963-04-14T00:00:00"/>
    <m/>
    <x v="2"/>
  </r>
  <r>
    <s v="Cuquerella"/>
    <s v="Alemany"/>
    <s v="Fernando"/>
    <x v="987"/>
    <x v="388"/>
    <n v="0.95001000000000002"/>
    <m/>
    <m/>
    <m/>
    <m/>
    <m/>
    <m/>
    <m/>
    <m/>
    <m/>
    <m/>
    <d v="1939-10-16T00:00:00"/>
    <m/>
    <x v="2"/>
  </r>
  <r>
    <s v="Fernandez"/>
    <s v="Cortez"/>
    <s v="Pedro"/>
    <x v="988"/>
    <x v="388"/>
    <n v="1.2438899999999999"/>
    <m/>
    <m/>
    <m/>
    <m/>
    <m/>
    <m/>
    <m/>
    <m/>
    <m/>
    <m/>
    <d v="1983-07-21T00:00:00"/>
    <m/>
    <x v="2"/>
  </r>
  <r>
    <s v="Lopez"/>
    <s v="Exposito"/>
    <s v="Antonio"/>
    <x v="989"/>
    <x v="389"/>
    <n v="0.28278999999999999"/>
    <m/>
    <m/>
    <m/>
    <m/>
    <m/>
    <m/>
    <m/>
    <m/>
    <m/>
    <m/>
    <d v="1960-12-07T00:00:00"/>
    <m/>
    <x v="2"/>
  </r>
  <r>
    <s v="Ramos"/>
    <s v="Lopez"/>
    <s v="Juan"/>
    <x v="990"/>
    <x v="390"/>
    <n v="5.9859999999999997E-2"/>
    <m/>
    <m/>
    <m/>
    <m/>
    <m/>
    <m/>
    <m/>
    <m/>
    <m/>
    <m/>
    <d v="1965-05-05T00:00:00"/>
    <m/>
    <x v="82"/>
  </r>
  <r>
    <s v="Nacher"/>
    <s v="Ferrer"/>
    <s v="Emilia"/>
    <x v="991"/>
    <x v="390"/>
    <n v="0.91749999999999998"/>
    <m/>
    <m/>
    <m/>
    <m/>
    <m/>
    <m/>
    <m/>
    <m/>
    <m/>
    <m/>
    <d v="1953-05-20T00:00:00"/>
    <m/>
    <x v="177"/>
  </r>
  <r>
    <s v="Serrano"/>
    <s v="Martinez"/>
    <s v="Lorenzo"/>
    <x v="992"/>
    <x v="390"/>
    <n v="0.41299999999999998"/>
    <m/>
    <m/>
    <m/>
    <m/>
    <m/>
    <m/>
    <m/>
    <m/>
    <m/>
    <m/>
    <d v="1956-04-11T00:00:00"/>
    <m/>
    <x v="2"/>
  </r>
  <r>
    <s v="Herranz"/>
    <s v="Valero"/>
    <s v="Jacinto"/>
    <x v="993"/>
    <x v="390"/>
    <n v="1.08379"/>
    <m/>
    <m/>
    <m/>
    <m/>
    <m/>
    <m/>
    <m/>
    <m/>
    <m/>
    <m/>
    <d v="1945-08-17T00:00:00"/>
    <m/>
    <x v="2"/>
  </r>
  <r>
    <s v="Yusa"/>
    <s v="Gomez"/>
    <s v="Francisco"/>
    <x v="994"/>
    <x v="390"/>
    <n v="0.30031000000000002"/>
    <m/>
    <m/>
    <m/>
    <m/>
    <m/>
    <m/>
    <m/>
    <m/>
    <m/>
    <m/>
    <d v="1957-05-21T00:00:00"/>
    <m/>
    <x v="2"/>
  </r>
  <r>
    <s v="Jackson"/>
    <m/>
    <s v="Cristopher"/>
    <x v="995"/>
    <x v="390"/>
    <n v="0.13757"/>
    <m/>
    <m/>
    <m/>
    <m/>
    <m/>
    <m/>
    <m/>
    <m/>
    <m/>
    <m/>
    <d v="1971-04-23T00:00:00"/>
    <m/>
    <x v="2"/>
  </r>
  <r>
    <s v="Navarro"/>
    <s v="Romaguera"/>
    <s v="Martin"/>
    <x v="996"/>
    <x v="390"/>
    <n v="0.32507999999999998"/>
    <m/>
    <m/>
    <m/>
    <m/>
    <m/>
    <m/>
    <m/>
    <m/>
    <m/>
    <m/>
    <d v="1941-08-05T00:00:00"/>
    <m/>
    <x v="2"/>
  </r>
  <r>
    <s v="Koupliakov"/>
    <m/>
    <s v="Vladimir"/>
    <x v="890"/>
    <x v="390"/>
    <n v="1.0930299999999999"/>
    <m/>
    <m/>
    <m/>
    <m/>
    <m/>
    <m/>
    <m/>
    <m/>
    <m/>
    <m/>
    <d v="1957-05-20T00:00:00"/>
    <m/>
    <x v="2"/>
  </r>
  <r>
    <s v="Martinez"/>
    <s v="Mayo"/>
    <s v="Aurelio"/>
    <x v="997"/>
    <x v="390"/>
    <n v="0.11137"/>
    <m/>
    <m/>
    <m/>
    <m/>
    <m/>
    <m/>
    <m/>
    <m/>
    <m/>
    <m/>
    <d v="1946-08-25T00:00:00"/>
    <m/>
    <x v="253"/>
  </r>
  <r>
    <s v="Bernabe"/>
    <s v="Perez"/>
    <s v="Jose Antonio"/>
    <x v="998"/>
    <x v="391"/>
    <n v="1.2634700000000001"/>
    <m/>
    <m/>
    <m/>
    <m/>
    <m/>
    <m/>
    <m/>
    <m/>
    <m/>
    <m/>
    <d v="1952-06-10T00:00:00"/>
    <m/>
    <x v="143"/>
  </r>
  <r>
    <s v="Pastor"/>
    <s v="Sansaloni"/>
    <s v="Carla"/>
    <x v="999"/>
    <x v="391"/>
    <n v="5.2900000000000003E-2"/>
    <m/>
    <m/>
    <m/>
    <m/>
    <m/>
    <m/>
    <m/>
    <m/>
    <m/>
    <m/>
    <d v="1996-05-28T00:00:00"/>
    <m/>
    <x v="148"/>
  </r>
  <r>
    <s v="Alarcon"/>
    <s v="Garcia"/>
    <s v="Hortensia Alicia"/>
    <x v="1000"/>
    <x v="391"/>
    <n v="0.29949999999999999"/>
    <m/>
    <m/>
    <m/>
    <m/>
    <m/>
    <m/>
    <m/>
    <m/>
    <m/>
    <m/>
    <d v="1977-05-28T00:00:00"/>
    <m/>
    <x v="23"/>
  </r>
  <r>
    <s v="Neculai"/>
    <m/>
    <s v="Anasa"/>
    <x v="1001"/>
    <x v="391"/>
    <n v="8.8700000000000001E-2"/>
    <m/>
    <m/>
    <m/>
    <m/>
    <m/>
    <m/>
    <m/>
    <m/>
    <m/>
    <m/>
    <d v="1979-08-17T00:00:00"/>
    <m/>
    <x v="2"/>
  </r>
  <r>
    <s v="Marco"/>
    <s v="Barai"/>
    <s v="Juan"/>
    <x v="1002"/>
    <x v="391"/>
    <n v="0.27296999999999999"/>
    <m/>
    <m/>
    <m/>
    <m/>
    <m/>
    <m/>
    <m/>
    <m/>
    <m/>
    <m/>
    <d v="1944-01-06T00:00:00"/>
    <m/>
    <x v="2"/>
  </r>
  <r>
    <s v="Cabrera"/>
    <s v="Ramirez"/>
    <s v="Victor"/>
    <x v="1003"/>
    <x v="391"/>
    <n v="0.13755999999999999"/>
    <m/>
    <m/>
    <m/>
    <m/>
    <m/>
    <m/>
    <m/>
    <m/>
    <m/>
    <m/>
    <d v="1949-05-22T00:00:00"/>
    <m/>
    <x v="2"/>
  </r>
  <r>
    <s v="Lozano"/>
    <s v="Hernandez"/>
    <s v="Jorge"/>
    <x v="985"/>
    <x v="391"/>
    <n v="0.98865999999999998"/>
    <m/>
    <m/>
    <m/>
    <m/>
    <m/>
    <m/>
    <m/>
    <m/>
    <m/>
    <m/>
    <d v="2022-07-20T00:00:00"/>
    <m/>
    <x v="2"/>
  </r>
  <r>
    <s v="Illueca"/>
    <s v="Rodenas"/>
    <s v="Joaquin Salvador"/>
    <x v="1004"/>
    <x v="391"/>
    <n v="0.55074999999999996"/>
    <m/>
    <m/>
    <m/>
    <m/>
    <m/>
    <m/>
    <m/>
    <m/>
    <m/>
    <m/>
    <d v="1955-06-25T00:00:00"/>
    <m/>
    <x v="2"/>
  </r>
  <r>
    <s v="De la Fuente"/>
    <s v="Bautista"/>
    <s v="Tiburcio"/>
    <x v="1005"/>
    <x v="391"/>
    <n v="0.24723000000000001"/>
    <m/>
    <m/>
    <m/>
    <m/>
    <m/>
    <m/>
    <m/>
    <m/>
    <m/>
    <m/>
    <d v="1954-02-16T00:00:00"/>
    <m/>
    <x v="2"/>
  </r>
  <r>
    <s v="Aparicio"/>
    <s v="Garrigos"/>
    <s v="Amparo"/>
    <x v="1006"/>
    <x v="391"/>
    <m/>
    <m/>
    <m/>
    <m/>
    <m/>
    <m/>
    <m/>
    <m/>
    <m/>
    <m/>
    <m/>
    <d v="1937-12-11T00:00:00"/>
    <m/>
    <x v="2"/>
  </r>
  <r>
    <s v="Alvarez"/>
    <s v="Almarza"/>
    <s v="Maria Isabel"/>
    <x v="1007"/>
    <x v="391"/>
    <n v="2.0160000000000001E-2"/>
    <m/>
    <m/>
    <m/>
    <m/>
    <m/>
    <m/>
    <m/>
    <m/>
    <m/>
    <m/>
    <d v="1980-05-01T00:00:00"/>
    <m/>
    <x v="2"/>
  </r>
  <r>
    <s v="Romero"/>
    <s v="Simo"/>
    <s v="Juan Ramon"/>
    <x v="1008"/>
    <x v="391"/>
    <n v="2.4519799999999998"/>
    <m/>
    <m/>
    <m/>
    <m/>
    <m/>
    <m/>
    <m/>
    <m/>
    <m/>
    <m/>
    <d v="1950-02-05T00:00:00"/>
    <m/>
    <x v="2"/>
  </r>
  <r>
    <s v="Solaz"/>
    <s v="Alepuz"/>
    <s v="Vicente"/>
    <x v="1009"/>
    <x v="391"/>
    <n v="1.2019999999999999E-2"/>
    <m/>
    <m/>
    <m/>
    <m/>
    <m/>
    <m/>
    <m/>
    <m/>
    <m/>
    <m/>
    <d v="1941-07-02T00:00:00"/>
    <m/>
    <x v="243"/>
  </r>
  <r>
    <s v="Cortes"/>
    <s v="Garcia"/>
    <s v="M Jose"/>
    <x v="1010"/>
    <x v="392"/>
    <n v="0.26658999999999999"/>
    <m/>
    <m/>
    <m/>
    <m/>
    <m/>
    <m/>
    <m/>
    <m/>
    <m/>
    <m/>
    <d v="1972-11-10T00:00:00"/>
    <m/>
    <x v="251"/>
  </r>
  <r>
    <s v="Martinez"/>
    <s v="Davia"/>
    <s v="Jose Manuel"/>
    <x v="1011"/>
    <x v="392"/>
    <n v="0.19641"/>
    <m/>
    <m/>
    <m/>
    <m/>
    <m/>
    <m/>
    <m/>
    <m/>
    <m/>
    <m/>
    <d v="1961-04-11T00:00:00"/>
    <m/>
    <x v="266"/>
  </r>
  <r>
    <s v="Pastor "/>
    <s v="Sansaloni"/>
    <s v="Carla"/>
    <x v="999"/>
    <x v="392"/>
    <n v="3.9510000000000003E-2"/>
    <m/>
    <m/>
    <m/>
    <m/>
    <m/>
    <m/>
    <m/>
    <m/>
    <m/>
    <m/>
    <d v="1986-05-28T00:00:00"/>
    <m/>
    <x v="148"/>
  </r>
  <r>
    <s v="Mañas"/>
    <s v="Fernandez"/>
    <s v="Jose Maria"/>
    <x v="1012"/>
    <x v="392"/>
    <n v="1.0811500000000001"/>
    <m/>
    <m/>
    <m/>
    <m/>
    <m/>
    <m/>
    <m/>
    <m/>
    <m/>
    <m/>
    <d v="1952-08-05T00:00:00"/>
    <m/>
    <x v="166"/>
  </r>
  <r>
    <s v="Torrecilla"/>
    <s v="Alcantara"/>
    <s v="Rosa"/>
    <x v="1013"/>
    <x v="392"/>
    <n v="0.57523000000000002"/>
    <m/>
    <m/>
    <m/>
    <m/>
    <m/>
    <m/>
    <m/>
    <m/>
    <m/>
    <m/>
    <d v="1939-07-21T00:00:00"/>
    <m/>
    <x v="2"/>
  </r>
  <r>
    <s v="Moya"/>
    <s v="Dastis"/>
    <s v="Francisco J"/>
    <x v="1014"/>
    <x v="392"/>
    <n v="0.17685000000000001"/>
    <m/>
    <m/>
    <m/>
    <m/>
    <m/>
    <m/>
    <m/>
    <m/>
    <m/>
    <m/>
    <d v="1959-10-04T00:00:00"/>
    <m/>
    <x v="2"/>
  </r>
  <r>
    <s v="Blasco "/>
    <s v="Bosch"/>
    <s v="Encarnación"/>
    <x v="1015"/>
    <x v="392"/>
    <n v="1.37808"/>
    <m/>
    <m/>
    <m/>
    <m/>
    <m/>
    <m/>
    <m/>
    <m/>
    <m/>
    <m/>
    <d v="1957-07-20T00:00:00"/>
    <m/>
    <x v="2"/>
  </r>
  <r>
    <s v="Agusti"/>
    <s v="Navarro"/>
    <s v="Arturo"/>
    <x v="1016"/>
    <x v="392"/>
    <n v="0.12103999999999999"/>
    <m/>
    <m/>
    <m/>
    <m/>
    <m/>
    <m/>
    <m/>
    <m/>
    <m/>
    <m/>
    <d v="1951-06-04T00:00:00"/>
    <m/>
    <x v="2"/>
  </r>
  <r>
    <s v="Camarasa"/>
    <s v="Diranzo"/>
    <s v="Maria"/>
    <x v="1017"/>
    <x v="392"/>
    <n v="5.7700000000000001E-2"/>
    <m/>
    <m/>
    <m/>
    <m/>
    <m/>
    <m/>
    <m/>
    <m/>
    <m/>
    <m/>
    <d v="1965-05-25T00:00:00"/>
    <m/>
    <x v="2"/>
  </r>
  <r>
    <s v="Lopez"/>
    <s v="Bravo"/>
    <s v="Julian"/>
    <x v="1018"/>
    <x v="392"/>
    <n v="0.30861"/>
    <m/>
    <m/>
    <m/>
    <m/>
    <m/>
    <m/>
    <m/>
    <m/>
    <m/>
    <m/>
    <d v="1951-12-03T00:00:00"/>
    <m/>
    <x v="2"/>
  </r>
  <r>
    <s v="Traves"/>
    <s v="Ribes"/>
    <s v="M Carmen"/>
    <x v="1019"/>
    <x v="392"/>
    <n v="2.232E-2"/>
    <m/>
    <m/>
    <m/>
    <m/>
    <m/>
    <m/>
    <m/>
    <m/>
    <m/>
    <m/>
    <d v="1964-01-01T00:00:00"/>
    <m/>
    <x v="2"/>
  </r>
  <r>
    <s v="Rioja"/>
    <s v="García"/>
    <s v="Vicente"/>
    <x v="1020"/>
    <x v="392"/>
    <n v="9.9419999999999994E-2"/>
    <m/>
    <m/>
    <m/>
    <m/>
    <m/>
    <m/>
    <m/>
    <m/>
    <m/>
    <m/>
    <d v="1934-09-11T00:00:00"/>
    <m/>
    <x v="2"/>
  </r>
  <r>
    <s v="Pardo"/>
    <s v="Teruel"/>
    <s v="Trinidad"/>
    <x v="1021"/>
    <x v="392"/>
    <n v="0.22244"/>
    <m/>
    <m/>
    <m/>
    <m/>
    <m/>
    <m/>
    <m/>
    <m/>
    <m/>
    <m/>
    <d v="1934-05-21T00:00:00"/>
    <m/>
    <x v="2"/>
  </r>
  <r>
    <s v="Mares"/>
    <s v="Tejeda"/>
    <s v="Jesus"/>
    <x v="1022"/>
    <x v="392"/>
    <n v="0.18062"/>
    <m/>
    <m/>
    <m/>
    <m/>
    <m/>
    <m/>
    <m/>
    <m/>
    <m/>
    <m/>
    <d v="1959-08-25T00:00:00"/>
    <m/>
    <x v="2"/>
  </r>
  <r>
    <s v="Legaz"/>
    <s v="Escribano"/>
    <s v="Francisco Javier"/>
    <x v="1023"/>
    <x v="392"/>
    <n v="0.16092000000000001"/>
    <m/>
    <m/>
    <m/>
    <m/>
    <m/>
    <m/>
    <m/>
    <m/>
    <m/>
    <m/>
    <d v="1975-10-02T00:00:00"/>
    <m/>
    <x v="2"/>
  </r>
  <r>
    <s v="Candel"/>
    <s v="Alemany"/>
    <s v="Joan Vicent"/>
    <x v="1024"/>
    <x v="392"/>
    <n v="0.21412999999999999"/>
    <m/>
    <m/>
    <m/>
    <m/>
    <m/>
    <m/>
    <m/>
    <m/>
    <m/>
    <m/>
    <d v="1955-08-16T00:00:00"/>
    <m/>
    <x v="2"/>
  </r>
  <r>
    <s v="Martinez"/>
    <s v="Gomez"/>
    <s v="Pilar"/>
    <x v="1025"/>
    <x v="392"/>
    <n v="0.51407000000000003"/>
    <m/>
    <m/>
    <m/>
    <m/>
    <m/>
    <m/>
    <m/>
    <m/>
    <m/>
    <m/>
    <d v="1943-01-18T00:00:00"/>
    <m/>
    <x v="2"/>
  </r>
  <r>
    <s v="Mor"/>
    <s v="Galve"/>
    <s v="Jose Maria"/>
    <x v="1026"/>
    <x v="392"/>
    <n v="3.3300000000000001E-3"/>
    <m/>
    <m/>
    <m/>
    <m/>
    <m/>
    <m/>
    <m/>
    <m/>
    <m/>
    <m/>
    <d v="1951-05-20T00:00:00"/>
    <m/>
    <x v="265"/>
  </r>
  <r>
    <s v="Sifontes"/>
    <m/>
    <s v="David Antonio"/>
    <x v="1027"/>
    <x v="393"/>
    <n v="3.4290000000000001E-2"/>
    <m/>
    <m/>
    <m/>
    <m/>
    <m/>
    <m/>
    <m/>
    <m/>
    <m/>
    <m/>
    <d v="1951-03-25T00:00:00"/>
    <m/>
    <x v="50"/>
  </r>
  <r>
    <s v="Selma"/>
    <s v="Bort"/>
    <s v="Antonio"/>
    <x v="1028"/>
    <x v="393"/>
    <n v="0.17044000000000001"/>
    <m/>
    <m/>
    <m/>
    <m/>
    <m/>
    <m/>
    <m/>
    <m/>
    <m/>
    <m/>
    <d v="1937-09-14T00:00:00"/>
    <m/>
    <x v="9"/>
  </r>
  <r>
    <s v="Guillem"/>
    <s v="Estarelles"/>
    <s v="Francisco"/>
    <x v="1029"/>
    <x v="393"/>
    <n v="0.67439000000000004"/>
    <m/>
    <m/>
    <m/>
    <m/>
    <m/>
    <m/>
    <m/>
    <m/>
    <m/>
    <m/>
    <d v="1951-01-07T00:00:00"/>
    <m/>
    <x v="177"/>
  </r>
  <r>
    <s v="Pastor"/>
    <s v="Sansaloni"/>
    <s v="Carla"/>
    <x v="999"/>
    <x v="393"/>
    <n v="1.085E-2"/>
    <m/>
    <m/>
    <m/>
    <m/>
    <m/>
    <m/>
    <m/>
    <m/>
    <m/>
    <m/>
    <d v="1996-05-02T00:00:00"/>
    <m/>
    <x v="148"/>
  </r>
  <r>
    <s v="Dobon"/>
    <s v="Hernandez"/>
    <s v="Purificación"/>
    <x v="1030"/>
    <x v="393"/>
    <n v="4.4249999999999998E-2"/>
    <m/>
    <m/>
    <m/>
    <m/>
    <m/>
    <m/>
    <m/>
    <m/>
    <m/>
    <m/>
    <d v="1934-02-02T00:00:00"/>
    <m/>
    <x v="159"/>
  </r>
  <r>
    <s v="Pop"/>
    <m/>
    <s v="Luminita"/>
    <x v="1031"/>
    <x v="393"/>
    <n v="6.6879999999999995E-2"/>
    <m/>
    <m/>
    <m/>
    <m/>
    <m/>
    <m/>
    <m/>
    <m/>
    <m/>
    <m/>
    <d v="1970-05-18T00:00:00"/>
    <m/>
    <x v="82"/>
  </r>
  <r>
    <s v="Leal"/>
    <s v="Vidal"/>
    <s v="M Pilar"/>
    <x v="1032"/>
    <x v="393"/>
    <n v="7.1819999999999995E-2"/>
    <m/>
    <m/>
    <m/>
    <m/>
    <m/>
    <m/>
    <m/>
    <m/>
    <m/>
    <m/>
    <d v="1960-04-08T00:00:00"/>
    <m/>
    <x v="267"/>
  </r>
  <r>
    <s v="Roger"/>
    <s v="Perez"/>
    <s v="Margarita"/>
    <x v="1033"/>
    <x v="393"/>
    <n v="0.16785"/>
    <m/>
    <m/>
    <m/>
    <m/>
    <m/>
    <m/>
    <m/>
    <m/>
    <m/>
    <m/>
    <d v="1936-12-14T00:00:00"/>
    <m/>
    <x v="267"/>
  </r>
  <r>
    <s v="Oviedo"/>
    <s v="De Freire"/>
    <s v="Beatriz Elena"/>
    <x v="1034"/>
    <x v="393"/>
    <n v="1.1184700000000001"/>
    <m/>
    <m/>
    <m/>
    <m/>
    <m/>
    <m/>
    <m/>
    <m/>
    <m/>
    <m/>
    <d v="1952-08-18T00:00:00"/>
    <m/>
    <x v="2"/>
  </r>
  <r>
    <s v="Jimenez"/>
    <s v="Lujan"/>
    <s v="Miguel"/>
    <x v="1035"/>
    <x v="393"/>
    <n v="7.689E-2"/>
    <m/>
    <m/>
    <m/>
    <m/>
    <m/>
    <m/>
    <m/>
    <m/>
    <m/>
    <m/>
    <d v="1957-07-28T00:00:00"/>
    <m/>
    <x v="2"/>
  </r>
  <r>
    <s v="Cebolla"/>
    <s v="Alberola"/>
    <s v="Carlos Jose"/>
    <x v="1036"/>
    <x v="393"/>
    <m/>
    <m/>
    <m/>
    <m/>
    <m/>
    <m/>
    <m/>
    <m/>
    <m/>
    <m/>
    <m/>
    <d v="1948-12-24T00:00:00"/>
    <m/>
    <x v="2"/>
  </r>
  <r>
    <s v="Martinez"/>
    <s v="Valiente"/>
    <s v="Maria Carmen"/>
    <x v="1037"/>
    <x v="393"/>
    <n v="0.32044"/>
    <m/>
    <m/>
    <m/>
    <m/>
    <m/>
    <m/>
    <m/>
    <m/>
    <m/>
    <m/>
    <d v="1970-01-18T00:00:00"/>
    <m/>
    <x v="2"/>
  </r>
  <r>
    <s v="Verdeguer"/>
    <s v="Vidal"/>
    <s v="Vicente"/>
    <x v="1038"/>
    <x v="393"/>
    <n v="0.34797"/>
    <m/>
    <m/>
    <m/>
    <m/>
    <m/>
    <m/>
    <m/>
    <m/>
    <m/>
    <m/>
    <d v="1946-12-17T00:00:00"/>
    <m/>
    <x v="2"/>
  </r>
  <r>
    <s v="Campillo"/>
    <s v="Araez"/>
    <s v="Encarnación"/>
    <x v="1039"/>
    <x v="393"/>
    <n v="0.41664000000000001"/>
    <m/>
    <m/>
    <m/>
    <m/>
    <m/>
    <m/>
    <m/>
    <m/>
    <m/>
    <m/>
    <d v="1941-11-17T00:00:00"/>
    <m/>
    <x v="2"/>
  </r>
  <r>
    <s v="Soria"/>
    <s v="Cuevas"/>
    <s v="M del Carmen"/>
    <x v="1040"/>
    <x v="393"/>
    <n v="0.18446000000000001"/>
    <m/>
    <m/>
    <m/>
    <m/>
    <m/>
    <m/>
    <m/>
    <m/>
    <m/>
    <m/>
    <d v="1940-10-04T00:00:00"/>
    <m/>
    <x v="2"/>
  </r>
  <r>
    <s v="Calderon"/>
    <s v="Perez"/>
    <s v="Julio augustin"/>
    <x v="962"/>
    <x v="393"/>
    <n v="3.9960000000000002E-2"/>
    <m/>
    <m/>
    <m/>
    <m/>
    <m/>
    <m/>
    <m/>
    <m/>
    <m/>
    <m/>
    <d v="1962-10-12T00:00:00"/>
    <m/>
    <x v="243"/>
  </r>
  <r>
    <s v="Sevillano"/>
    <s v="Bouhard"/>
    <s v="Marco"/>
    <x v="1041"/>
    <x v="393"/>
    <n v="2.0000000000000001E-4"/>
    <m/>
    <m/>
    <m/>
    <m/>
    <m/>
    <m/>
    <m/>
    <m/>
    <m/>
    <m/>
    <d v="1991-08-16T00:00:00"/>
    <m/>
    <x v="253"/>
  </r>
  <r>
    <s v="Montañes"/>
    <s v="Castello"/>
    <s v="Jose Vicente"/>
    <x v="1042"/>
    <x v="393"/>
    <n v="1.56E-3"/>
    <m/>
    <m/>
    <m/>
    <m/>
    <m/>
    <m/>
    <m/>
    <m/>
    <m/>
    <m/>
    <d v="1955-06-30T00:00:00"/>
    <m/>
    <x v="241"/>
  </r>
  <r>
    <s v="Bautista"/>
    <s v="Peula"/>
    <s v="Carmen"/>
    <x v="1043"/>
    <x v="394"/>
    <n v="4.1790000000000001E-2"/>
    <m/>
    <m/>
    <m/>
    <m/>
    <m/>
    <m/>
    <m/>
    <m/>
    <m/>
    <m/>
    <d v="1962-04-18T00:00:00"/>
    <m/>
    <x v="268"/>
  </r>
  <r>
    <s v="Rodriguez"/>
    <s v="Tarrega"/>
    <s v="Antonio Jose"/>
    <x v="1044"/>
    <x v="394"/>
    <n v="8.4570000000000006E-2"/>
    <m/>
    <m/>
    <m/>
    <m/>
    <m/>
    <m/>
    <m/>
    <m/>
    <m/>
    <m/>
    <d v="1961-02-11T00:00:00"/>
    <m/>
    <x v="54"/>
  </r>
  <r>
    <s v="Cebrian"/>
    <s v="Llatas"/>
    <s v="Julian"/>
    <x v="1045"/>
    <x v="394"/>
    <n v="5.11E-2"/>
    <m/>
    <m/>
    <m/>
    <m/>
    <m/>
    <m/>
    <m/>
    <m/>
    <m/>
    <m/>
    <d v="1938-11-27T00:00:00"/>
    <m/>
    <x v="180"/>
  </r>
  <r>
    <s v="Garcia"/>
    <s v="Lopez"/>
    <s v="Jose Vicente"/>
    <x v="1046"/>
    <x v="394"/>
    <n v="2.6131099999999998"/>
    <m/>
    <m/>
    <m/>
    <m/>
    <m/>
    <m/>
    <m/>
    <m/>
    <m/>
    <m/>
    <d v="1954-06-30T00:00:00"/>
    <m/>
    <x v="205"/>
  </r>
  <r>
    <s v="Martinez"/>
    <s v="Cortina"/>
    <s v="Fabian"/>
    <x v="1047"/>
    <x v="394"/>
    <n v="0.20898"/>
    <m/>
    <m/>
    <m/>
    <m/>
    <m/>
    <m/>
    <m/>
    <m/>
    <m/>
    <m/>
    <d v="1946-01-16T00:00:00"/>
    <m/>
    <x v="2"/>
  </r>
  <r>
    <s v="Anton"/>
    <s v="Robledo"/>
    <s v="Teresa"/>
    <x v="1048"/>
    <x v="394"/>
    <n v="0.13295999999999999"/>
    <m/>
    <m/>
    <m/>
    <m/>
    <m/>
    <m/>
    <m/>
    <m/>
    <m/>
    <m/>
    <d v="1956-05-11T00:00:00"/>
    <m/>
    <x v="2"/>
  </r>
  <r>
    <s v="Rosell"/>
    <s v="Sanchis"/>
    <s v="Francisco Jose"/>
    <x v="1049"/>
    <x v="394"/>
    <n v="0.73275999999999997"/>
    <m/>
    <m/>
    <m/>
    <m/>
    <m/>
    <m/>
    <m/>
    <m/>
    <m/>
    <m/>
    <d v="1966-10-04T00:00:00"/>
    <m/>
    <x v="2"/>
  </r>
  <r>
    <s v="Aranda"/>
    <s v="Ramos"/>
    <s v="Mar"/>
    <x v="1050"/>
    <x v="394"/>
    <n v="0.29071999999999998"/>
    <m/>
    <m/>
    <m/>
    <m/>
    <m/>
    <m/>
    <m/>
    <m/>
    <m/>
    <m/>
    <d v="1977-10-02T00:00:00"/>
    <m/>
    <x v="2"/>
  </r>
  <r>
    <s v="Peris"/>
    <s v="Orero"/>
    <s v="M Desamparados"/>
    <x v="1051"/>
    <x v="394"/>
    <n v="4.0009999999999997E-2"/>
    <m/>
    <m/>
    <m/>
    <m/>
    <m/>
    <m/>
    <m/>
    <m/>
    <m/>
    <m/>
    <d v="1940-07-23T00:00:00"/>
    <m/>
    <x v="2"/>
  </r>
  <r>
    <s v="Navarro"/>
    <s v="Navarro"/>
    <s v="M Mar"/>
    <x v="1052"/>
    <x v="394"/>
    <n v="4.8070000000000002E-2"/>
    <m/>
    <m/>
    <m/>
    <m/>
    <m/>
    <m/>
    <m/>
    <m/>
    <m/>
    <m/>
    <d v="1973-01-29T00:00:00"/>
    <m/>
    <x v="2"/>
  </r>
  <r>
    <s v="Cuenca"/>
    <s v="Dominguez"/>
    <s v="Tomas"/>
    <x v="1053"/>
    <x v="394"/>
    <n v="0.26526"/>
    <m/>
    <m/>
    <m/>
    <m/>
    <m/>
    <m/>
    <m/>
    <m/>
    <m/>
    <m/>
    <d v="1942-07-30T00:00:00"/>
    <m/>
    <x v="2"/>
  </r>
  <r>
    <s v="Peñalver"/>
    <s v="Villar"/>
    <s v="Francisca"/>
    <x v="1054"/>
    <x v="394"/>
    <n v="3.0999999999999999E-3"/>
    <m/>
    <m/>
    <m/>
    <m/>
    <m/>
    <m/>
    <m/>
    <m/>
    <m/>
    <m/>
    <d v="1942-04-08T00:00:00"/>
    <m/>
    <x v="243"/>
  </r>
  <r>
    <s v="Rubio"/>
    <s v="Perez"/>
    <s v="Ramon"/>
    <x v="1055"/>
    <x v="395"/>
    <n v="0.17038"/>
    <m/>
    <m/>
    <m/>
    <m/>
    <m/>
    <m/>
    <m/>
    <m/>
    <m/>
    <m/>
    <d v="1958-10-02T00:00:00"/>
    <m/>
    <x v="2"/>
  </r>
  <r>
    <s v="Gheorghiu"/>
    <m/>
    <s v="Elguja"/>
    <x v="1056"/>
    <x v="395"/>
    <n v="0.33811000000000002"/>
    <m/>
    <m/>
    <m/>
    <m/>
    <m/>
    <m/>
    <m/>
    <m/>
    <m/>
    <m/>
    <d v="1996-09-09T00:00:00"/>
    <m/>
    <x v="2"/>
  </r>
  <r>
    <s v="Pascual"/>
    <s v="Miro"/>
    <s v="Jose"/>
    <x v="973"/>
    <x v="396"/>
    <n v="0.23178000000000001"/>
    <m/>
    <m/>
    <m/>
    <m/>
    <m/>
    <m/>
    <m/>
    <m/>
    <m/>
    <m/>
    <d v="1985-05-08T00:00:00"/>
    <m/>
    <x v="171"/>
  </r>
  <r>
    <s v="Lozano"/>
    <s v="Redondo"/>
    <s v="Jose Felix"/>
    <x v="1057"/>
    <x v="397"/>
    <n v="0.73980000000000001"/>
    <m/>
    <m/>
    <m/>
    <m/>
    <m/>
    <m/>
    <m/>
    <m/>
    <m/>
    <m/>
    <d v="1956-07-28T00:00:00"/>
    <m/>
    <x v="248"/>
  </r>
  <r>
    <s v="Mor"/>
    <s v="Galve"/>
    <s v="Jose Maria"/>
    <x v="1026"/>
    <x v="397"/>
    <n v="0.21099999999999999"/>
    <m/>
    <m/>
    <m/>
    <m/>
    <m/>
    <m/>
    <m/>
    <m/>
    <m/>
    <m/>
    <d v="1951-05-20T00:00:00"/>
    <m/>
    <x v="2"/>
  </r>
  <r>
    <s v="Lin"/>
    <m/>
    <s v="Jianhui"/>
    <x v="1058"/>
    <x v="397"/>
    <n v="0.75468999999999997"/>
    <m/>
    <m/>
    <m/>
    <m/>
    <m/>
    <m/>
    <m/>
    <m/>
    <m/>
    <m/>
    <d v="1970-02-23T00:00:00"/>
    <m/>
    <x v="2"/>
  </r>
  <r>
    <s v="Ramon"/>
    <s v="Campillo"/>
    <s v="Vicente"/>
    <x v="1059"/>
    <x v="397"/>
    <n v="8.3210000000000006E-2"/>
    <m/>
    <m/>
    <m/>
    <m/>
    <m/>
    <m/>
    <m/>
    <m/>
    <m/>
    <m/>
    <d v="1961-06-19T00:00:00"/>
    <m/>
    <x v="2"/>
  </r>
  <r>
    <s v="Muñoz"/>
    <s v="Casañ"/>
    <s v="Barbara"/>
    <x v="1060"/>
    <x v="397"/>
    <n v="0.42484"/>
    <m/>
    <m/>
    <m/>
    <m/>
    <m/>
    <m/>
    <m/>
    <m/>
    <m/>
    <m/>
    <d v="1940-03-01T00:00:00"/>
    <m/>
    <x v="2"/>
  </r>
  <r>
    <s v="Sauri"/>
    <s v="Perez"/>
    <s v="Jose"/>
    <x v="1061"/>
    <x v="397"/>
    <n v="0.14116999999999999"/>
    <m/>
    <m/>
    <m/>
    <m/>
    <m/>
    <m/>
    <m/>
    <m/>
    <m/>
    <m/>
    <d v="1954-05-26T00:00:00"/>
    <m/>
    <x v="2"/>
  </r>
  <r>
    <s v="Martinez"/>
    <s v="Otalo"/>
    <s v="M Carmen"/>
    <x v="1062"/>
    <x v="397"/>
    <n v="0.35276000000000002"/>
    <m/>
    <m/>
    <m/>
    <m/>
    <m/>
    <m/>
    <m/>
    <m/>
    <m/>
    <m/>
    <d v="1938-02-02T00:00:00"/>
    <m/>
    <x v="2"/>
  </r>
  <r>
    <s v="Andujar"/>
    <s v="Galiana"/>
    <s v="M Teresa"/>
    <x v="1063"/>
    <x v="397"/>
    <m/>
    <m/>
    <m/>
    <m/>
    <m/>
    <m/>
    <m/>
    <m/>
    <m/>
    <m/>
    <m/>
    <d v="1938-02-11T00:00:00"/>
    <m/>
    <x v="2"/>
  </r>
  <r>
    <s v="Gil"/>
    <s v="Cabo"/>
    <s v="Miguel"/>
    <x v="1064"/>
    <x v="397"/>
    <n v="0.13250000000000001"/>
    <m/>
    <m/>
    <m/>
    <m/>
    <m/>
    <m/>
    <m/>
    <m/>
    <m/>
    <m/>
    <d v="1953-10-08T00:00:00"/>
    <m/>
    <x v="2"/>
  </r>
  <r>
    <s v="Rodriguez"/>
    <s v="Gonzalez"/>
    <s v="Marcelino"/>
    <x v="1065"/>
    <x v="397"/>
    <n v="7.1220000000000006E-2"/>
    <m/>
    <m/>
    <m/>
    <m/>
    <m/>
    <m/>
    <m/>
    <m/>
    <m/>
    <m/>
    <d v="1942-05-03T00:00:00"/>
    <m/>
    <x v="2"/>
  </r>
  <r>
    <s v="Ribes"/>
    <s v="Sampedro"/>
    <s v="Daniel"/>
    <x v="1066"/>
    <x v="397"/>
    <m/>
    <m/>
    <m/>
    <m/>
    <m/>
    <m/>
    <m/>
    <m/>
    <m/>
    <m/>
    <m/>
    <d v="1970-04-08T00:00:00"/>
    <m/>
    <x v="2"/>
  </r>
  <r>
    <s v="Cuenca"/>
    <s v="Gabaldun"/>
    <s v="Salvador"/>
    <x v="1067"/>
    <x v="397"/>
    <n v="1.57605"/>
    <m/>
    <m/>
    <m/>
    <m/>
    <m/>
    <m/>
    <m/>
    <m/>
    <m/>
    <m/>
    <d v="1961-05-08T00:00:00"/>
    <m/>
    <x v="2"/>
  </r>
  <r>
    <s v="Espiago"/>
    <s v="Castillo"/>
    <s v="Josefa"/>
    <x v="1068"/>
    <x v="397"/>
    <n v="0.58248999999999995"/>
    <m/>
    <m/>
    <m/>
    <m/>
    <m/>
    <m/>
    <m/>
    <m/>
    <m/>
    <m/>
    <d v="1937-08-07T00:00:00"/>
    <m/>
    <x v="2"/>
  </r>
  <r>
    <s v="Pardo"/>
    <s v="Teruel"/>
    <s v="Trinidad"/>
    <x v="1021"/>
    <x v="397"/>
    <n v="2.0539999999999999E-2"/>
    <m/>
    <m/>
    <m/>
    <m/>
    <m/>
    <m/>
    <m/>
    <m/>
    <m/>
    <m/>
    <d v="1934-05-31T00:00:00"/>
    <m/>
    <x v="269"/>
  </r>
  <r>
    <s v="Arrue"/>
    <s v="Mora"/>
    <s v="Enrique"/>
    <x v="1069"/>
    <x v="397"/>
    <n v="6.8599999999999998E-3"/>
    <m/>
    <m/>
    <m/>
    <m/>
    <m/>
    <m/>
    <m/>
    <m/>
    <m/>
    <m/>
    <d v="1949-07-12T00:00:00"/>
    <m/>
    <x v="241"/>
  </r>
  <r>
    <s v="Cervera"/>
    <s v="Dura"/>
    <s v="Francisco"/>
    <x v="1070"/>
    <x v="398"/>
    <n v="8.5999999999999993E-2"/>
    <m/>
    <m/>
    <m/>
    <m/>
    <m/>
    <m/>
    <m/>
    <m/>
    <m/>
    <m/>
    <d v="1959-05-10T00:00:00"/>
    <m/>
    <x v="177"/>
  </r>
  <r>
    <s v="Barbancho"/>
    <s v="Mota"/>
    <s v="Vicente"/>
    <x v="1071"/>
    <x v="398"/>
    <n v="0.28038999999999997"/>
    <m/>
    <m/>
    <m/>
    <m/>
    <m/>
    <m/>
    <m/>
    <m/>
    <m/>
    <m/>
    <d v="1965-01-04T00:00:00"/>
    <m/>
    <x v="177"/>
  </r>
  <r>
    <s v="Lahuerta"/>
    <s v="Embuena"/>
    <s v="Jose Vicente"/>
    <x v="1072"/>
    <x v="398"/>
    <n v="0.38934999999999997"/>
    <m/>
    <m/>
    <m/>
    <m/>
    <m/>
    <m/>
    <m/>
    <m/>
    <m/>
    <m/>
    <d v="1948-09-09T00:00:00"/>
    <m/>
    <x v="9"/>
  </r>
  <r>
    <s v="Domenech"/>
    <s v="Lleo"/>
    <s v="Guadalupe"/>
    <x v="876"/>
    <x v="398"/>
    <n v="8.3000000000000001E-4"/>
    <m/>
    <m/>
    <m/>
    <m/>
    <m/>
    <m/>
    <m/>
    <m/>
    <m/>
    <m/>
    <d v="1969-11-18T00:00:00"/>
    <m/>
    <x v="154"/>
  </r>
  <r>
    <s v="Ribelles"/>
    <s v="Llobregat"/>
    <s v="Leticia"/>
    <x v="1073"/>
    <x v="398"/>
    <n v="5.8369999999999998E-2"/>
    <m/>
    <m/>
    <m/>
    <m/>
    <m/>
    <m/>
    <m/>
    <m/>
    <m/>
    <m/>
    <d v="1981-07-30T00:00:00"/>
    <m/>
    <x v="270"/>
  </r>
  <r>
    <s v="Sebastian"/>
    <s v="Caudet"/>
    <s v="Julian"/>
    <x v="1074"/>
    <x v="398"/>
    <n v="0.48096"/>
    <m/>
    <m/>
    <m/>
    <m/>
    <m/>
    <m/>
    <m/>
    <m/>
    <m/>
    <m/>
    <d v="1936-05-26T00:00:00"/>
    <m/>
    <x v="267"/>
  </r>
  <r>
    <s v="Rey"/>
    <s v="Fernandez"/>
    <s v="Natividad J"/>
    <x v="1075"/>
    <x v="398"/>
    <n v="0.15914"/>
    <m/>
    <m/>
    <m/>
    <m/>
    <m/>
    <m/>
    <m/>
    <m/>
    <m/>
    <m/>
    <d v="1940-12-25T00:00:00"/>
    <m/>
    <x v="2"/>
  </r>
  <r>
    <s v="Perez"/>
    <s v="Galdon"/>
    <s v="M Luisa"/>
    <x v="1076"/>
    <x v="398"/>
    <n v="0.10846"/>
    <m/>
    <m/>
    <m/>
    <m/>
    <m/>
    <m/>
    <m/>
    <m/>
    <m/>
    <m/>
    <d v="1944-10-06T00:00:00"/>
    <m/>
    <x v="2"/>
  </r>
  <r>
    <s v="Lopez"/>
    <s v="Tercero Garcia Muñoz"/>
    <s v="Jose"/>
    <x v="1077"/>
    <x v="398"/>
    <n v="0.45923000000000003"/>
    <m/>
    <m/>
    <m/>
    <m/>
    <m/>
    <m/>
    <m/>
    <m/>
    <m/>
    <m/>
    <d v="1965-07-24T00:00:00"/>
    <m/>
    <x v="2"/>
  </r>
  <r>
    <s v="Martin"/>
    <s v="Castro"/>
    <s v="Yon"/>
    <x v="1078"/>
    <x v="398"/>
    <n v="0.11864"/>
    <m/>
    <m/>
    <m/>
    <m/>
    <m/>
    <m/>
    <m/>
    <m/>
    <m/>
    <m/>
    <d v="1985-06-24T00:00:00"/>
    <m/>
    <x v="2"/>
  </r>
  <r>
    <s v="Monrabal"/>
    <s v="Bas"/>
    <s v="Juan"/>
    <x v="1079"/>
    <x v="398"/>
    <n v="0.19436"/>
    <m/>
    <m/>
    <m/>
    <m/>
    <m/>
    <m/>
    <m/>
    <m/>
    <m/>
    <m/>
    <d v="1951-09-26T00:00:00"/>
    <m/>
    <x v="2"/>
  </r>
  <r>
    <s v="Otalora"/>
    <s v="Ruiperez"/>
    <s v="Andres"/>
    <x v="1080"/>
    <x v="398"/>
    <n v="0.25547999999999998"/>
    <m/>
    <m/>
    <m/>
    <m/>
    <m/>
    <m/>
    <m/>
    <m/>
    <m/>
    <m/>
    <d v="1948-07-04T00:00:00"/>
    <m/>
    <x v="2"/>
  </r>
  <r>
    <s v="Saiz"/>
    <s v="Escribano"/>
    <s v="Josep"/>
    <x v="1081"/>
    <x v="398"/>
    <n v="1.55338"/>
    <m/>
    <m/>
    <m/>
    <m/>
    <m/>
    <m/>
    <m/>
    <m/>
    <m/>
    <m/>
    <d v="1970-11-01T00:00:00"/>
    <m/>
    <x v="2"/>
  </r>
  <r>
    <s v="Jimenez"/>
    <s v="Valero"/>
    <s v="Jose"/>
    <x v="1082"/>
    <x v="398"/>
    <n v="0.62104999999999999"/>
    <m/>
    <m/>
    <m/>
    <m/>
    <m/>
    <m/>
    <m/>
    <m/>
    <m/>
    <m/>
    <d v="1942-08-25T00:00:00"/>
    <m/>
    <x v="2"/>
  </r>
  <r>
    <s v="Barrera"/>
    <s v="Molero"/>
    <s v="Ana Rosa"/>
    <x v="1083"/>
    <x v="398"/>
    <n v="1.3500000000000001E-3"/>
    <m/>
    <m/>
    <m/>
    <m/>
    <m/>
    <m/>
    <m/>
    <m/>
    <m/>
    <m/>
    <d v="1980-05-05T00:00:00"/>
    <m/>
    <x v="241"/>
  </r>
  <r>
    <s v="Pomer"/>
    <s v="Dus"/>
    <s v="Enrique"/>
    <x v="1084"/>
    <x v="399"/>
    <n v="0.22559000000000001"/>
    <m/>
    <m/>
    <m/>
    <m/>
    <m/>
    <m/>
    <m/>
    <m/>
    <m/>
    <m/>
    <d v="1963-04-17T00:00:00"/>
    <m/>
    <x v="237"/>
  </r>
  <r>
    <s v="Belda"/>
    <s v="Dominguez"/>
    <s v="Vicente"/>
    <x v="706"/>
    <x v="399"/>
    <n v="0.83362999999999998"/>
    <m/>
    <m/>
    <m/>
    <m/>
    <m/>
    <m/>
    <m/>
    <m/>
    <m/>
    <m/>
    <d v="1962-04-22T00:00:00"/>
    <m/>
    <x v="9"/>
  </r>
  <r>
    <s v="Amer"/>
    <s v="Llopis"/>
    <s v="Ana"/>
    <x v="801"/>
    <x v="399"/>
    <n v="5.47E-3"/>
    <m/>
    <m/>
    <m/>
    <m/>
    <m/>
    <m/>
    <m/>
    <m/>
    <m/>
    <m/>
    <d v="1944-08-27T00:00:00"/>
    <m/>
    <x v="154"/>
  </r>
  <r>
    <s v="Gimeno"/>
    <s v="Exposito"/>
    <s v="Cristina"/>
    <x v="1085"/>
    <x v="399"/>
    <n v="1.685E-2"/>
    <m/>
    <m/>
    <m/>
    <m/>
    <m/>
    <m/>
    <m/>
    <m/>
    <m/>
    <m/>
    <d v="1970-09-30T00:00:00"/>
    <m/>
    <x v="271"/>
  </r>
  <r>
    <s v="Samet"/>
    <s v="Castellet"/>
    <s v="Patricia"/>
    <x v="605"/>
    <x v="399"/>
    <n v="2.9579999999999999E-2"/>
    <m/>
    <m/>
    <m/>
    <m/>
    <m/>
    <m/>
    <m/>
    <m/>
    <m/>
    <m/>
    <d v="1984-08-06T00:00:00"/>
    <m/>
    <x v="134"/>
  </r>
  <r>
    <s v="Salvador"/>
    <s v="Gadalon"/>
    <s v="Francisco"/>
    <x v="1086"/>
    <x v="399"/>
    <n v="0.16309000000000001"/>
    <m/>
    <m/>
    <m/>
    <m/>
    <m/>
    <m/>
    <m/>
    <m/>
    <m/>
    <m/>
    <d v="1942-04-03T00:00:00"/>
    <m/>
    <x v="2"/>
  </r>
  <r>
    <s v="Labrada"/>
    <s v="Santos"/>
    <s v="Cipriano"/>
    <x v="1087"/>
    <x v="399"/>
    <n v="1.40232"/>
    <m/>
    <m/>
    <m/>
    <m/>
    <m/>
    <m/>
    <m/>
    <m/>
    <m/>
    <m/>
    <d v="1957-01-28T00:00:00"/>
    <m/>
    <x v="2"/>
  </r>
  <r>
    <s v="Sanchez"/>
    <s v="Jover"/>
    <s v="Jose Luis"/>
    <x v="1088"/>
    <x v="399"/>
    <n v="8.8539999999999994E-2"/>
    <m/>
    <m/>
    <m/>
    <m/>
    <m/>
    <m/>
    <m/>
    <m/>
    <m/>
    <m/>
    <d v="1956-03-23T00:00:00"/>
    <m/>
    <x v="2"/>
  </r>
  <r>
    <s v="Mor"/>
    <s v="Galve"/>
    <s v="Jose Maria"/>
    <x v="1026"/>
    <x v="399"/>
    <n v="1.60955"/>
    <m/>
    <m/>
    <m/>
    <m/>
    <m/>
    <m/>
    <m/>
    <m/>
    <m/>
    <m/>
    <d v="1951-05-20T00:00:00"/>
    <m/>
    <x v="2"/>
  </r>
  <r>
    <s v="Martinez"/>
    <s v="Zapata"/>
    <s v="Ana Belen"/>
    <x v="1089"/>
    <x v="399"/>
    <m/>
    <m/>
    <m/>
    <m/>
    <m/>
    <m/>
    <m/>
    <m/>
    <m/>
    <m/>
    <m/>
    <d v="1951-05-20T00:00:00"/>
    <m/>
    <x v="2"/>
  </r>
  <r>
    <s v="Luz"/>
    <s v="Del Saz"/>
    <s v="Carlos Javier"/>
    <x v="1090"/>
    <x v="399"/>
    <n v="0.19126000000000001"/>
    <m/>
    <m/>
    <m/>
    <m/>
    <m/>
    <m/>
    <m/>
    <m/>
    <m/>
    <m/>
    <d v="1975-03-08T00:00:00"/>
    <m/>
    <x v="2"/>
  </r>
  <r>
    <s v="Barrera"/>
    <s v="Molero"/>
    <s v="Ana Rosa"/>
    <x v="1083"/>
    <x v="399"/>
    <n v="2.504E-2"/>
    <m/>
    <m/>
    <m/>
    <m/>
    <m/>
    <m/>
    <m/>
    <m/>
    <m/>
    <m/>
    <d v="1982-05-05T00:00:00"/>
    <m/>
    <x v="243"/>
  </r>
  <r>
    <s v="Serrano "/>
    <s v="Martinez"/>
    <s v="Lorenzo"/>
    <x v="992"/>
    <x v="399"/>
    <n v="5.1909999999999998E-2"/>
    <m/>
    <m/>
    <m/>
    <m/>
    <m/>
    <m/>
    <m/>
    <m/>
    <m/>
    <m/>
    <d v="1956-04-11T00:00:00"/>
    <m/>
    <x v="256"/>
  </r>
  <r>
    <s v="Arnal"/>
    <s v="Torres"/>
    <s v="augustin"/>
    <x v="1091"/>
    <x v="400"/>
    <m/>
    <m/>
    <m/>
    <m/>
    <m/>
    <m/>
    <m/>
    <m/>
    <m/>
    <m/>
    <m/>
    <d v="1944-11-26T00:00:00"/>
    <m/>
    <x v="2"/>
  </r>
  <r>
    <s v="Kostapinov"/>
    <s v="Georgiev"/>
    <s v="Parashkev"/>
    <x v="1092"/>
    <x v="400"/>
    <n v="0.55861000000000005"/>
    <m/>
    <m/>
    <m/>
    <m/>
    <m/>
    <m/>
    <m/>
    <m/>
    <m/>
    <m/>
    <d v="1964-06-22T00:00:00"/>
    <m/>
    <x v="2"/>
  </r>
  <r>
    <s v="Duan"/>
    <s v="Mangraner"/>
    <s v="Jose Ramon"/>
    <x v="1093"/>
    <x v="401"/>
    <n v="1.02006"/>
    <m/>
    <m/>
    <m/>
    <m/>
    <m/>
    <m/>
    <m/>
    <m/>
    <m/>
    <m/>
    <d v="1958-05-20T00:00:00"/>
    <m/>
    <x v="2"/>
  </r>
  <r>
    <s v="Osorio"/>
    <s v="Daurte Dias"/>
    <s v="Carlos Alberto"/>
    <x v="1094"/>
    <x v="401"/>
    <n v="0.18024999999999999"/>
    <m/>
    <m/>
    <m/>
    <m/>
    <m/>
    <m/>
    <m/>
    <m/>
    <m/>
    <m/>
    <d v="1974-03-26T00:00:00"/>
    <m/>
    <x v="2"/>
  </r>
  <r>
    <s v="Aranega"/>
    <s v="Martinez"/>
    <s v="Herminia"/>
    <x v="1095"/>
    <x v="402"/>
    <n v="0.34444999999999998"/>
    <m/>
    <m/>
    <m/>
    <m/>
    <m/>
    <m/>
    <m/>
    <m/>
    <m/>
    <m/>
    <d v="1931-06-27T00:00:00"/>
    <m/>
    <x v="9"/>
  </r>
  <r>
    <s v="Botella"/>
    <s v="Martinez"/>
    <s v="Jose Ignacio"/>
    <x v="1096"/>
    <x v="402"/>
    <n v="0.71243999999999996"/>
    <m/>
    <m/>
    <m/>
    <m/>
    <m/>
    <m/>
    <m/>
    <m/>
    <m/>
    <m/>
    <d v="1962-03-10T00:00:00"/>
    <m/>
    <x v="2"/>
  </r>
  <r>
    <s v="Ortega"/>
    <s v="Espinosa"/>
    <s v="Juan Jose"/>
    <x v="1097"/>
    <x v="402"/>
    <m/>
    <m/>
    <m/>
    <m/>
    <m/>
    <m/>
    <m/>
    <m/>
    <m/>
    <m/>
    <m/>
    <d v="1937-02-19T00:00:00"/>
    <m/>
    <x v="2"/>
  </r>
  <r>
    <s v="Jorques"/>
    <s v="Fernandez"/>
    <s v="Elvira"/>
    <x v="1098"/>
    <x v="403"/>
    <n v="0.58892999999999995"/>
    <m/>
    <m/>
    <m/>
    <m/>
    <m/>
    <m/>
    <m/>
    <m/>
    <m/>
    <m/>
    <d v="1930-12-22T00:00:00"/>
    <m/>
    <x v="2"/>
  </r>
  <r>
    <s v="Luque"/>
    <s v="Rivert"/>
    <s v="Manuel Antonio"/>
    <x v="1099"/>
    <x v="403"/>
    <n v="0.39473999999999998"/>
    <m/>
    <m/>
    <m/>
    <m/>
    <m/>
    <m/>
    <m/>
    <m/>
    <m/>
    <m/>
    <d v="1964-11-08T00:00:00"/>
    <m/>
    <x v="2"/>
  </r>
  <r>
    <s v="Sanso"/>
    <s v="Gonzalez"/>
    <s v="Juan Jesus"/>
    <x v="1100"/>
    <x v="403"/>
    <n v="0.21997"/>
    <m/>
    <m/>
    <m/>
    <m/>
    <m/>
    <m/>
    <m/>
    <m/>
    <m/>
    <m/>
    <d v="1967-09-20T00:00:00"/>
    <m/>
    <x v="2"/>
  </r>
  <r>
    <s v="Sancasto"/>
    <s v="Colecha"/>
    <s v="Felix"/>
    <x v="1101"/>
    <x v="404"/>
    <n v="0.32569999999999999"/>
    <m/>
    <m/>
    <m/>
    <m/>
    <m/>
    <m/>
    <m/>
    <m/>
    <m/>
    <m/>
    <d v="2022-04-18T00:00:00"/>
    <m/>
    <x v="2"/>
  </r>
  <r>
    <s v="Sanchez"/>
    <s v="Navalon"/>
    <s v="Francisco"/>
    <x v="1102"/>
    <x v="404"/>
    <n v="0.13286000000000001"/>
    <m/>
    <m/>
    <m/>
    <m/>
    <m/>
    <m/>
    <m/>
    <m/>
    <m/>
    <m/>
    <d v="1964-01-24T00:00:00"/>
    <m/>
    <x v="2"/>
  </r>
  <r>
    <s v="Muñoz"/>
    <s v="Perez"/>
    <s v="Maria del Pilar"/>
    <x v="1103"/>
    <x v="404"/>
    <n v="0.21526000000000001"/>
    <m/>
    <m/>
    <m/>
    <m/>
    <m/>
    <m/>
    <m/>
    <m/>
    <m/>
    <m/>
    <d v="1951-05-08T00:00:00"/>
    <m/>
    <x v="2"/>
  </r>
  <r>
    <s v="Ibar"/>
    <s v="Franco"/>
    <s v="Encarnación"/>
    <x v="1104"/>
    <x v="405"/>
    <n v="8.3400000000000002E-3"/>
    <m/>
    <m/>
    <m/>
    <m/>
    <m/>
    <m/>
    <m/>
    <m/>
    <m/>
    <m/>
    <d v="1963-04-19T00:00:00"/>
    <m/>
    <x v="154"/>
  </r>
  <r>
    <s v="Muñoz"/>
    <s v="Gaulia"/>
    <s v="Amelia Maria"/>
    <x v="1105"/>
    <x v="405"/>
    <n v="2.0119999999999999E-2"/>
    <m/>
    <m/>
    <m/>
    <m/>
    <m/>
    <m/>
    <m/>
    <m/>
    <m/>
    <m/>
    <d v="1945-09-25T00:00:00"/>
    <m/>
    <x v="158"/>
  </r>
  <r>
    <s v="Huesca"/>
    <s v="Castello"/>
    <s v="Pascual"/>
    <x v="409"/>
    <x v="405"/>
    <n v="0.127"/>
    <m/>
    <m/>
    <m/>
    <m/>
    <m/>
    <m/>
    <m/>
    <m/>
    <m/>
    <m/>
    <d v="1952-05-21T00:00:00"/>
    <m/>
    <x v="59"/>
  </r>
  <r>
    <s v="Dobon"/>
    <s v="Hernandez"/>
    <s v="Purificación"/>
    <x v="1030"/>
    <x v="405"/>
    <n v="0.83021999999999996"/>
    <m/>
    <m/>
    <m/>
    <m/>
    <m/>
    <m/>
    <m/>
    <m/>
    <m/>
    <m/>
    <d v="1934-02-02T00:00:00"/>
    <m/>
    <x v="138"/>
  </r>
  <r>
    <s v="Plaza"/>
    <s v="Ramal"/>
    <s v="Guillermina"/>
    <x v="1106"/>
    <x v="405"/>
    <n v="0.34605000000000002"/>
    <m/>
    <m/>
    <m/>
    <m/>
    <m/>
    <m/>
    <m/>
    <m/>
    <m/>
    <m/>
    <d v="1958-03-18T00:00:00"/>
    <m/>
    <x v="143"/>
  </r>
  <r>
    <s v="Gomez"/>
    <s v="Ciborro"/>
    <s v="Jose"/>
    <x v="1107"/>
    <x v="405"/>
    <m/>
    <m/>
    <m/>
    <m/>
    <m/>
    <m/>
    <m/>
    <m/>
    <m/>
    <m/>
    <m/>
    <d v="1942-07-20T00:00:00"/>
    <m/>
    <x v="2"/>
  </r>
  <r>
    <s v="Millet"/>
    <s v="Millet"/>
    <s v="Salvador"/>
    <x v="1108"/>
    <x v="405"/>
    <n v="0.16106000000000001"/>
    <m/>
    <m/>
    <m/>
    <m/>
    <m/>
    <m/>
    <m/>
    <m/>
    <m/>
    <m/>
    <d v="1940-01-17T00:00:00"/>
    <m/>
    <x v="2"/>
  </r>
  <r>
    <s v="Mata"/>
    <s v="Rubio"/>
    <s v="Antonio"/>
    <x v="1109"/>
    <x v="405"/>
    <m/>
    <m/>
    <m/>
    <m/>
    <m/>
    <m/>
    <m/>
    <m/>
    <m/>
    <m/>
    <m/>
    <d v="1968-12-03T00:00:00"/>
    <m/>
    <x v="2"/>
  </r>
  <r>
    <s v="Chamarro"/>
    <s v="Martinez"/>
    <s v="Jhony"/>
    <x v="1110"/>
    <x v="405"/>
    <m/>
    <m/>
    <m/>
    <m/>
    <m/>
    <m/>
    <m/>
    <m/>
    <m/>
    <m/>
    <m/>
    <d v="1970-08-08T00:00:00"/>
    <m/>
    <x v="2"/>
  </r>
  <r>
    <s v="Salvador"/>
    <s v="Gabaldon"/>
    <s v="Francisco"/>
    <x v="1086"/>
    <x v="405"/>
    <n v="1.7011700000000001"/>
    <m/>
    <m/>
    <m/>
    <m/>
    <m/>
    <m/>
    <m/>
    <m/>
    <m/>
    <m/>
    <d v="1970-04-03T00:00:00"/>
    <m/>
    <x v="2"/>
  </r>
  <r>
    <s v="Andreu"/>
    <s v="Marti"/>
    <s v="Encarnación"/>
    <x v="1111"/>
    <x v="405"/>
    <n v="1.9300000000000001E-3"/>
    <m/>
    <m/>
    <m/>
    <m/>
    <m/>
    <m/>
    <m/>
    <m/>
    <m/>
    <m/>
    <d v="1936-07-07T00:00:00"/>
    <m/>
    <x v="243"/>
  </r>
  <r>
    <s v="Angel"/>
    <s v="Perez"/>
    <s v="Vanessa"/>
    <x v="1112"/>
    <x v="406"/>
    <n v="1.7700000000000001E-3"/>
    <m/>
    <m/>
    <m/>
    <m/>
    <m/>
    <m/>
    <m/>
    <m/>
    <m/>
    <m/>
    <d v="1979-10-03T00:00:00"/>
    <m/>
    <x v="154"/>
  </r>
  <r>
    <s v="Regalado"/>
    <m/>
    <s v="Maria Lourdes"/>
    <x v="1113"/>
    <x v="406"/>
    <n v="6.8000000000000005E-4"/>
    <m/>
    <m/>
    <m/>
    <m/>
    <m/>
    <m/>
    <m/>
    <m/>
    <m/>
    <m/>
    <d v="1992-01-13T00:00:00"/>
    <m/>
    <x v="144"/>
  </r>
  <r>
    <s v="Garcia"/>
    <s v="Castellanos"/>
    <s v="Wendy Yandira"/>
    <x v="1114"/>
    <x v="406"/>
    <n v="0.10063999999999999"/>
    <m/>
    <m/>
    <m/>
    <m/>
    <m/>
    <m/>
    <m/>
    <m/>
    <m/>
    <m/>
    <d v="1982-11-21T00:00:00"/>
    <m/>
    <x v="2"/>
  </r>
  <r>
    <s v="Lozano"/>
    <s v="Gallego"/>
    <s v="Manuel"/>
    <x v="1115"/>
    <x v="406"/>
    <n v="0.99582000000000004"/>
    <m/>
    <m/>
    <m/>
    <m/>
    <m/>
    <m/>
    <m/>
    <m/>
    <m/>
    <m/>
    <d v="1953-12-26T00:00:00"/>
    <m/>
    <x v="2"/>
  </r>
  <r>
    <s v="Requena"/>
    <s v="Fernandez"/>
    <s v="Francisco"/>
    <x v="1116"/>
    <x v="406"/>
    <n v="0.27994999999999998"/>
    <m/>
    <m/>
    <m/>
    <m/>
    <m/>
    <m/>
    <m/>
    <m/>
    <m/>
    <m/>
    <d v="1934-06-20T00:00:00"/>
    <m/>
    <x v="2"/>
  </r>
  <r>
    <s v="Hidalgo"/>
    <s v="Porras"/>
    <s v="Maria Isabel"/>
    <x v="879"/>
    <x v="406"/>
    <n v="1.0109999999999999E-2"/>
    <m/>
    <m/>
    <m/>
    <m/>
    <m/>
    <m/>
    <m/>
    <m/>
    <m/>
    <m/>
    <d v="1972-02-02T00:00:00"/>
    <m/>
    <x v="2"/>
  </r>
  <r>
    <s v="Medina"/>
    <s v="Hernandez"/>
    <s v="Yorgui"/>
    <x v="1117"/>
    <x v="406"/>
    <n v="0.35914000000000001"/>
    <m/>
    <m/>
    <m/>
    <m/>
    <m/>
    <m/>
    <m/>
    <m/>
    <m/>
    <m/>
    <d v="1977-12-10T00:00:00"/>
    <m/>
    <x v="2"/>
  </r>
  <r>
    <s v="Marco"/>
    <s v="Barat"/>
    <s v="Juan"/>
    <x v="1002"/>
    <x v="406"/>
    <n v="8.4640000000000007E-2"/>
    <m/>
    <m/>
    <m/>
    <m/>
    <m/>
    <m/>
    <m/>
    <m/>
    <m/>
    <m/>
    <d v="1944-01-06T00:00:00"/>
    <m/>
    <x v="243"/>
  </r>
  <r>
    <s v="Sales"/>
    <s v="Clemente"/>
    <s v="Salvador"/>
    <x v="1118"/>
    <x v="406"/>
    <n v="0.44447999999999999"/>
    <m/>
    <m/>
    <m/>
    <m/>
    <m/>
    <m/>
    <m/>
    <m/>
    <m/>
    <m/>
    <d v="1973-08-19T00:00:00"/>
    <m/>
    <x v="243"/>
  </r>
  <r>
    <s v="Tomas"/>
    <s v="Ureña"/>
    <s v="Sandra"/>
    <x v="1119"/>
    <x v="407"/>
    <n v="1.6800000000000001E-3"/>
    <m/>
    <m/>
    <m/>
    <m/>
    <m/>
    <m/>
    <m/>
    <m/>
    <m/>
    <m/>
    <d v="1995-10-03T00:00:00"/>
    <m/>
    <x v="157"/>
  </r>
  <r>
    <s v="Mejia"/>
    <s v="Donayre de Bartra"/>
    <s v="Judith Alina"/>
    <x v="1120"/>
    <x v="407"/>
    <n v="0.23891999999999999"/>
    <m/>
    <m/>
    <m/>
    <m/>
    <m/>
    <m/>
    <m/>
    <m/>
    <m/>
    <m/>
    <d v="1951-03-09T00:00:00"/>
    <m/>
    <x v="23"/>
  </r>
  <r>
    <s v="Garcia"/>
    <s v="Lorenzana"/>
    <s v="Emilio Ernesto"/>
    <x v="330"/>
    <x v="407"/>
    <n v="0.26107999999999998"/>
    <m/>
    <m/>
    <m/>
    <m/>
    <m/>
    <m/>
    <m/>
    <m/>
    <m/>
    <m/>
    <d v="1947-11-07T00:00:00"/>
    <m/>
    <x v="9"/>
  </r>
  <r>
    <s v="Garcia"/>
    <s v="Lorenzana"/>
    <s v="Emilio Ernesto"/>
    <x v="330"/>
    <x v="407"/>
    <n v="0.69981000000000004"/>
    <m/>
    <m/>
    <m/>
    <m/>
    <m/>
    <m/>
    <m/>
    <m/>
    <m/>
    <m/>
    <d v="1947-11-07T00:00:00"/>
    <m/>
    <x v="57"/>
  </r>
  <r>
    <s v="Romero"/>
    <s v="Sanchez"/>
    <s v="Manuel"/>
    <x v="1121"/>
    <x v="407"/>
    <m/>
    <m/>
    <m/>
    <m/>
    <m/>
    <m/>
    <m/>
    <m/>
    <m/>
    <m/>
    <m/>
    <d v="1977-03-18T00:00:00"/>
    <m/>
    <x v="2"/>
  </r>
  <r>
    <s v="Galvez"/>
    <s v="Pradas"/>
    <s v="Manuel"/>
    <x v="1122"/>
    <x v="407"/>
    <m/>
    <m/>
    <m/>
    <m/>
    <m/>
    <m/>
    <m/>
    <m/>
    <m/>
    <m/>
    <m/>
    <d v="1953-07-01T00:00:00"/>
    <m/>
    <x v="2"/>
  </r>
  <r>
    <s v="Inductivo"/>
    <s v="Abuyan"/>
    <s v="Alvin"/>
    <x v="1123"/>
    <x v="407"/>
    <n v="0.17041999999999999"/>
    <m/>
    <m/>
    <m/>
    <m/>
    <m/>
    <m/>
    <m/>
    <m/>
    <m/>
    <m/>
    <d v="1976-03-06T00:00:00"/>
    <m/>
    <x v="2"/>
  </r>
  <r>
    <s v="Gomez"/>
    <s v="Sierra"/>
    <s v="Elena"/>
    <x v="1124"/>
    <x v="407"/>
    <n v="0.21659"/>
    <m/>
    <m/>
    <m/>
    <m/>
    <m/>
    <m/>
    <m/>
    <m/>
    <m/>
    <m/>
    <d v="1982-10-08T00:00:00"/>
    <m/>
    <x v="2"/>
  </r>
  <r>
    <s v="Castro"/>
    <s v="Herrera"/>
    <s v="Domingo"/>
    <x v="1125"/>
    <x v="407"/>
    <n v="0.14033999999999999"/>
    <m/>
    <m/>
    <m/>
    <m/>
    <m/>
    <m/>
    <m/>
    <m/>
    <m/>
    <m/>
    <d v="1945-09-16T00:00:00"/>
    <m/>
    <x v="2"/>
  </r>
  <r>
    <s v="Rossetti"/>
    <m/>
    <s v="Maria Isabel"/>
    <x v="1126"/>
    <x v="407"/>
    <n v="8.1670000000000006E-2"/>
    <m/>
    <m/>
    <m/>
    <m/>
    <m/>
    <m/>
    <m/>
    <m/>
    <m/>
    <m/>
    <d v="1964-03-21T00:00:00"/>
    <m/>
    <x v="2"/>
  </r>
  <r>
    <s v="Toledano"/>
    <s v="Burgos"/>
    <s v="Pilar"/>
    <x v="1127"/>
    <x v="407"/>
    <n v="0.10101"/>
    <m/>
    <m/>
    <m/>
    <m/>
    <m/>
    <m/>
    <m/>
    <m/>
    <m/>
    <m/>
    <d v="1940-03-21T00:00:00"/>
    <m/>
    <x v="2"/>
  </r>
  <r>
    <s v="Hernandez"/>
    <s v="Gonzales"/>
    <s v="Patrocinio"/>
    <x v="1128"/>
    <x v="407"/>
    <n v="3.7499999999999999E-3"/>
    <m/>
    <m/>
    <m/>
    <m/>
    <m/>
    <m/>
    <m/>
    <m/>
    <m/>
    <m/>
    <d v="1948-02-27T00:00:00"/>
    <m/>
    <x v="253"/>
  </r>
  <r>
    <s v="Cañizares"/>
    <s v="Espejo"/>
    <s v="Eufemio"/>
    <x v="1129"/>
    <x v="407"/>
    <n v="2.3470000000000001E-2"/>
    <m/>
    <m/>
    <m/>
    <m/>
    <m/>
    <m/>
    <m/>
    <m/>
    <m/>
    <m/>
    <d v="1940-03-20T00:00:00"/>
    <m/>
    <x v="272"/>
  </r>
  <r>
    <s v="Plaza"/>
    <s v="Ramal"/>
    <s v="Guillermina"/>
    <x v="1106"/>
    <x v="408"/>
    <n v="0.37653999999999999"/>
    <m/>
    <m/>
    <m/>
    <m/>
    <m/>
    <m/>
    <m/>
    <m/>
    <m/>
    <m/>
    <d v="1958-03-18T00:00:00"/>
    <m/>
    <x v="138"/>
  </r>
  <r>
    <s v="Dominguez"/>
    <s v="Arguello"/>
    <s v="Fernando A"/>
    <x v="1130"/>
    <x v="408"/>
    <n v="0.37335000000000002"/>
    <m/>
    <m/>
    <m/>
    <m/>
    <m/>
    <m/>
    <m/>
    <m/>
    <m/>
    <m/>
    <d v="1957-11-17T00:00:00"/>
    <m/>
    <x v="154"/>
  </r>
  <r>
    <s v="Teruel"/>
    <s v="Olmedo"/>
    <s v="Laura"/>
    <x v="1131"/>
    <x v="408"/>
    <n v="2.3E-3"/>
    <m/>
    <m/>
    <m/>
    <m/>
    <m/>
    <m/>
    <m/>
    <m/>
    <m/>
    <m/>
    <d v="1992-08-14T00:00:00"/>
    <m/>
    <x v="171"/>
  </r>
  <r>
    <s v="Marti"/>
    <s v="Moya"/>
    <s v="Bautista"/>
    <x v="412"/>
    <x v="408"/>
    <m/>
    <m/>
    <m/>
    <m/>
    <m/>
    <m/>
    <m/>
    <m/>
    <m/>
    <m/>
    <m/>
    <d v="1946-02-04T00:00:00"/>
    <m/>
    <x v="273"/>
  </r>
  <r>
    <s v="Portales"/>
    <s v="Llop"/>
    <s v="Enric"/>
    <x v="630"/>
    <x v="408"/>
    <n v="0.20136000000000001"/>
    <m/>
    <m/>
    <m/>
    <m/>
    <m/>
    <m/>
    <m/>
    <m/>
    <m/>
    <m/>
    <d v="1961-12-26T00:00:00"/>
    <m/>
    <x v="59"/>
  </r>
  <r>
    <s v="Ferrando"/>
    <s v="Pallares"/>
    <s v="Jose Rafael"/>
    <x v="1132"/>
    <x v="408"/>
    <m/>
    <m/>
    <m/>
    <m/>
    <m/>
    <m/>
    <m/>
    <m/>
    <m/>
    <m/>
    <m/>
    <d v="1952-06-22T00:00:00"/>
    <m/>
    <x v="2"/>
  </r>
  <r>
    <s v="Sanso"/>
    <s v="Gonzales"/>
    <s v="Juan Jesus"/>
    <x v="1100"/>
    <x v="408"/>
    <n v="0.16070000000000001"/>
    <m/>
    <m/>
    <m/>
    <m/>
    <m/>
    <m/>
    <m/>
    <m/>
    <m/>
    <m/>
    <d v="1967-09-20T00:00:00"/>
    <m/>
    <x v="2"/>
  </r>
  <r>
    <s v="Morales"/>
    <s v="Gomez"/>
    <s v="Ana Maria"/>
    <x v="1133"/>
    <x v="408"/>
    <n v="0.11699"/>
    <m/>
    <m/>
    <m/>
    <m/>
    <m/>
    <m/>
    <m/>
    <m/>
    <m/>
    <m/>
    <d v="1947-05-25T00:00:00"/>
    <m/>
    <x v="2"/>
  </r>
  <r>
    <s v="Estelles"/>
    <s v="Palanca"/>
    <s v="Vicente Manuel"/>
    <x v="1134"/>
    <x v="408"/>
    <n v="0.16641"/>
    <m/>
    <m/>
    <m/>
    <m/>
    <m/>
    <m/>
    <m/>
    <m/>
    <m/>
    <m/>
    <d v="1963-05-02T00:00:00"/>
    <m/>
    <x v="2"/>
  </r>
  <r>
    <s v="Yelamo"/>
    <s v="Rosell"/>
    <s v="M Angeles"/>
    <x v="1135"/>
    <x v="408"/>
    <m/>
    <m/>
    <m/>
    <m/>
    <m/>
    <m/>
    <m/>
    <m/>
    <m/>
    <m/>
    <m/>
    <d v="1953-01-05T00:00:00"/>
    <m/>
    <x v="2"/>
  </r>
  <r>
    <s v="Bruccheri"/>
    <m/>
    <s v="Antonio"/>
    <x v="1136"/>
    <x v="408"/>
    <m/>
    <m/>
    <m/>
    <m/>
    <m/>
    <m/>
    <m/>
    <m/>
    <m/>
    <m/>
    <m/>
    <d v="1948-06-03T00:00:00"/>
    <m/>
    <x v="2"/>
  </r>
  <r>
    <s v="Leiva"/>
    <s v="Molinero"/>
    <s v="Esteban"/>
    <x v="1137"/>
    <x v="408"/>
    <m/>
    <m/>
    <m/>
    <m/>
    <m/>
    <m/>
    <m/>
    <m/>
    <m/>
    <m/>
    <m/>
    <d v="1940-04-07T00:00:00"/>
    <m/>
    <x v="2"/>
  </r>
  <r>
    <s v="Cabello"/>
    <s v="Rosi"/>
    <s v="Antonio"/>
    <x v="1138"/>
    <x v="408"/>
    <n v="0.47105000000000002"/>
    <m/>
    <m/>
    <m/>
    <m/>
    <m/>
    <m/>
    <m/>
    <m/>
    <m/>
    <m/>
    <d v="1959-04-15T00:00:00"/>
    <m/>
    <x v="241"/>
  </r>
  <r>
    <s v="Reyes"/>
    <s v="Pimienta"/>
    <s v="M Amparo"/>
    <x v="1139"/>
    <x v="409"/>
    <n v="0.80874000000000001"/>
    <m/>
    <m/>
    <m/>
    <m/>
    <m/>
    <m/>
    <m/>
    <m/>
    <m/>
    <m/>
    <d v="1952-08-22T00:00:00"/>
    <m/>
    <x v="274"/>
  </r>
  <r>
    <s v="Sabater"/>
    <s v="Ortiz"/>
    <s v="Vicente"/>
    <x v="1140"/>
    <x v="409"/>
    <m/>
    <m/>
    <m/>
    <m/>
    <m/>
    <m/>
    <m/>
    <m/>
    <m/>
    <m/>
    <m/>
    <d v="1955-11-08T00:00:00"/>
    <m/>
    <x v="2"/>
  </r>
  <r>
    <s v="Estevez"/>
    <s v="Martin"/>
    <s v="Manuela"/>
    <x v="1141"/>
    <x v="409"/>
    <m/>
    <m/>
    <m/>
    <m/>
    <m/>
    <m/>
    <m/>
    <m/>
    <m/>
    <m/>
    <m/>
    <d v="1947-12-22T00:00:00"/>
    <m/>
    <x v="2"/>
  </r>
  <r>
    <s v="Ariza"/>
    <s v="Lopez"/>
    <s v="Rafael"/>
    <x v="1142"/>
    <x v="410"/>
    <n v="0.45241999999999999"/>
    <m/>
    <m/>
    <m/>
    <m/>
    <m/>
    <m/>
    <m/>
    <m/>
    <m/>
    <m/>
    <d v="1957-07-14T00:00:00"/>
    <m/>
    <x v="23"/>
  </r>
  <r>
    <s v="Calero"/>
    <s v="Rodrigo"/>
    <s v="Francisco"/>
    <x v="1143"/>
    <x v="410"/>
    <n v="0.60367000000000004"/>
    <m/>
    <m/>
    <m/>
    <m/>
    <m/>
    <m/>
    <m/>
    <m/>
    <m/>
    <m/>
    <d v="1941-10-16T00:00:00"/>
    <m/>
    <x v="159"/>
  </r>
  <r>
    <s v="Hinarejos"/>
    <s v="Abril"/>
    <s v="Gabriel"/>
    <x v="1144"/>
    <x v="410"/>
    <n v="0.90564999999999996"/>
    <m/>
    <m/>
    <m/>
    <m/>
    <m/>
    <m/>
    <m/>
    <m/>
    <m/>
    <m/>
    <d v="1932-03-24T00:00:00"/>
    <m/>
    <x v="14"/>
  </r>
  <r>
    <s v="Fernandez"/>
    <s v="Vilela"/>
    <s v="Consuelo Mercedes"/>
    <x v="1145"/>
    <x v="410"/>
    <n v="0.13899"/>
    <m/>
    <m/>
    <m/>
    <m/>
    <m/>
    <m/>
    <m/>
    <m/>
    <m/>
    <m/>
    <d v="1950-09-08T00:00:00"/>
    <m/>
    <x v="2"/>
  </r>
  <r>
    <s v="Giron"/>
    <s v="Gascon"/>
    <s v="Raul"/>
    <x v="1146"/>
    <x v="410"/>
    <n v="0.21412999999999999"/>
    <m/>
    <m/>
    <m/>
    <m/>
    <m/>
    <m/>
    <m/>
    <m/>
    <m/>
    <m/>
    <d v="1980-05-22T00:00:00"/>
    <m/>
    <x v="2"/>
  </r>
  <r>
    <s v="Fabeiro"/>
    <s v="Cortes"/>
    <s v="Victoria"/>
    <x v="1147"/>
    <x v="410"/>
    <n v="8.7900000000000006E-2"/>
    <m/>
    <m/>
    <m/>
    <m/>
    <m/>
    <m/>
    <m/>
    <m/>
    <m/>
    <m/>
    <d v="1954-07-18T00:00:00"/>
    <m/>
    <x v="2"/>
  </r>
  <r>
    <s v="Ros"/>
    <s v="Perez"/>
    <s v="Bernardo"/>
    <x v="1148"/>
    <x v="410"/>
    <n v="0.20394999999999999"/>
    <m/>
    <m/>
    <m/>
    <m/>
    <m/>
    <m/>
    <m/>
    <m/>
    <m/>
    <m/>
    <d v="1971-03-08T00:00:00"/>
    <m/>
    <x v="2"/>
  </r>
  <r>
    <s v="Lozano"/>
    <s v="Antoñero"/>
    <s v="Francisco"/>
    <x v="1149"/>
    <x v="410"/>
    <n v="0.18822"/>
    <m/>
    <m/>
    <m/>
    <m/>
    <m/>
    <m/>
    <m/>
    <m/>
    <m/>
    <m/>
    <d v="1941-06-04T00:00:00"/>
    <m/>
    <x v="2"/>
  </r>
  <r>
    <s v="Vila"/>
    <s v="Marti"/>
    <s v="M Carmen"/>
    <x v="1150"/>
    <x v="410"/>
    <n v="6.9970000000000004E-2"/>
    <m/>
    <m/>
    <m/>
    <m/>
    <m/>
    <m/>
    <m/>
    <m/>
    <m/>
    <m/>
    <d v="1947-10-06T00:00:00"/>
    <m/>
    <x v="2"/>
  </r>
  <r>
    <s v="Fabuel"/>
    <s v="Ibañez"/>
    <s v="Manuel"/>
    <x v="1151"/>
    <x v="410"/>
    <n v="0.53652999999999995"/>
    <m/>
    <m/>
    <m/>
    <m/>
    <m/>
    <m/>
    <m/>
    <m/>
    <m/>
    <m/>
    <d v="1929-04-04T00:00:00"/>
    <m/>
    <x v="2"/>
  </r>
  <r>
    <s v="Galbach"/>
    <s v="Gomez"/>
    <s v="Rosa"/>
    <x v="1152"/>
    <x v="410"/>
    <n v="6.8019999999999997E-2"/>
    <m/>
    <m/>
    <m/>
    <m/>
    <m/>
    <m/>
    <m/>
    <m/>
    <m/>
    <m/>
    <d v="1950-05-06T00:00:00"/>
    <m/>
    <x v="2"/>
  </r>
  <r>
    <s v="Torres"/>
    <s v="Garcia"/>
    <s v="Ivan"/>
    <x v="1153"/>
    <x v="410"/>
    <n v="0.85404000000000002"/>
    <m/>
    <m/>
    <m/>
    <m/>
    <m/>
    <m/>
    <m/>
    <m/>
    <m/>
    <m/>
    <d v="1992-11-29T00:00:00"/>
    <m/>
    <x v="2"/>
  </r>
  <r>
    <s v="Peñalver"/>
    <s v="Del rey"/>
    <s v="Cristina"/>
    <x v="1154"/>
    <x v="410"/>
    <m/>
    <m/>
    <m/>
    <m/>
    <m/>
    <m/>
    <m/>
    <m/>
    <m/>
    <m/>
    <m/>
    <d v="1966-09-01T00:00:00"/>
    <m/>
    <x v="2"/>
  </r>
  <r>
    <s v="Fresneda"/>
    <s v="Garcia"/>
    <s v="Isisdro"/>
    <x v="1155"/>
    <x v="410"/>
    <n v="0.70716000000000001"/>
    <m/>
    <m/>
    <m/>
    <m/>
    <m/>
    <m/>
    <m/>
    <m/>
    <m/>
    <m/>
    <d v="1946-05-31T00:00:00"/>
    <m/>
    <x v="2"/>
  </r>
  <r>
    <s v="Gil"/>
    <s v="Diez"/>
    <s v="Vicente Antonio"/>
    <x v="1156"/>
    <x v="410"/>
    <n v="0.13854"/>
    <m/>
    <m/>
    <m/>
    <m/>
    <m/>
    <m/>
    <m/>
    <m/>
    <m/>
    <m/>
    <d v="1965-11-03T00:00:00"/>
    <m/>
    <x v="2"/>
  </r>
  <r>
    <s v="Frodas"/>
    <s v="Cordon"/>
    <s v="Eva"/>
    <x v="1157"/>
    <x v="410"/>
    <n v="4.2590000000000003E-2"/>
    <m/>
    <m/>
    <m/>
    <m/>
    <m/>
    <m/>
    <m/>
    <m/>
    <m/>
    <m/>
    <d v="1971-10-03T00:00:00"/>
    <m/>
    <x v="2"/>
  </r>
  <r>
    <s v="Antelo"/>
    <s v="Lopez"/>
    <s v="Maria"/>
    <x v="1158"/>
    <x v="410"/>
    <n v="7.0720000000000005E-2"/>
    <m/>
    <m/>
    <m/>
    <m/>
    <m/>
    <m/>
    <m/>
    <m/>
    <m/>
    <m/>
    <d v="1951-12-11T00:00:00"/>
    <m/>
    <x v="2"/>
  </r>
  <r>
    <s v="Pascual"/>
    <s v="Lopez"/>
    <s v="Jesus"/>
    <x v="1159"/>
    <x v="410"/>
    <n v="0.19575999999999999"/>
    <m/>
    <m/>
    <m/>
    <m/>
    <m/>
    <m/>
    <m/>
    <m/>
    <m/>
    <m/>
    <d v="1948-10-02T00:00:00"/>
    <m/>
    <x v="2"/>
  </r>
  <r>
    <s v="Botica"/>
    <s v="Gomez"/>
    <s v="Gabriel"/>
    <x v="1160"/>
    <x v="410"/>
    <n v="5.4400000000000004E-3"/>
    <m/>
    <m/>
    <m/>
    <m/>
    <m/>
    <m/>
    <m/>
    <m/>
    <m/>
    <m/>
    <d v="1963-05-12T00:00:00"/>
    <m/>
    <x v="253"/>
  </r>
  <r>
    <s v="Stoykov"/>
    <m/>
    <s v="Viktor Stoynev"/>
    <x v="311"/>
    <x v="410"/>
    <n v="1.299E-2"/>
    <m/>
    <m/>
    <m/>
    <m/>
    <m/>
    <m/>
    <m/>
    <m/>
    <m/>
    <m/>
    <d v="1940-02-16T00:00:00"/>
    <m/>
    <x v="253"/>
  </r>
  <r>
    <s v="Lechuga"/>
    <s v="Perez"/>
    <s v="Juan Antonio"/>
    <x v="1161"/>
    <x v="411"/>
    <n v="2.3400000000000001E-2"/>
    <m/>
    <m/>
    <m/>
    <m/>
    <m/>
    <m/>
    <m/>
    <m/>
    <m/>
    <m/>
    <d v="1957-09-15T00:00:00"/>
    <m/>
    <x v="275"/>
  </r>
  <r>
    <s v="Copado"/>
    <s v="Carbonell"/>
    <s v="Ivan"/>
    <x v="593"/>
    <x v="411"/>
    <n v="3.6940000000000001E-2"/>
    <m/>
    <m/>
    <m/>
    <m/>
    <m/>
    <m/>
    <m/>
    <m/>
    <m/>
    <m/>
    <d v="1977-06-04T00:00:00"/>
    <m/>
    <x v="171"/>
  </r>
  <r>
    <s v="Ibañez"/>
    <s v="Cortes"/>
    <s v="M Angeles"/>
    <x v="283"/>
    <x v="411"/>
    <n v="0.27643000000000001"/>
    <m/>
    <m/>
    <m/>
    <m/>
    <m/>
    <m/>
    <m/>
    <m/>
    <m/>
    <m/>
    <d v="1972-09-04T00:00:00"/>
    <m/>
    <x v="228"/>
  </r>
  <r>
    <s v="Gomez"/>
    <s v="Santiago"/>
    <s v="Juan"/>
    <x v="1162"/>
    <x v="411"/>
    <n v="0.15084"/>
    <m/>
    <m/>
    <m/>
    <m/>
    <m/>
    <m/>
    <m/>
    <m/>
    <m/>
    <m/>
    <d v="1950-02-04T00:00:00"/>
    <m/>
    <x v="2"/>
  </r>
  <r>
    <s v="Gil"/>
    <s v="Diez"/>
    <s v="Vicente Antonio"/>
    <x v="1156"/>
    <x v="411"/>
    <n v="2.6295000000000002"/>
    <m/>
    <m/>
    <m/>
    <m/>
    <m/>
    <m/>
    <m/>
    <m/>
    <m/>
    <m/>
    <d v="1965-11-03T00:00:00"/>
    <m/>
    <x v="2"/>
  </r>
  <r>
    <s v="Garcia"/>
    <s v="Rubio"/>
    <s v="Enrique Manuel"/>
    <x v="1163"/>
    <x v="411"/>
    <n v="9.5250000000000001E-2"/>
    <m/>
    <m/>
    <m/>
    <m/>
    <m/>
    <m/>
    <m/>
    <m/>
    <m/>
    <m/>
    <d v="1964-09-22T00:00:00"/>
    <m/>
    <x v="2"/>
  </r>
  <r>
    <s v="Valero"/>
    <s v="Sampedro"/>
    <s v="Manuel"/>
    <x v="1164"/>
    <x v="411"/>
    <n v="2.665E-2"/>
    <m/>
    <m/>
    <m/>
    <m/>
    <m/>
    <m/>
    <m/>
    <m/>
    <m/>
    <m/>
    <d v="1955-05-31T00:00:00"/>
    <m/>
    <x v="2"/>
  </r>
  <r>
    <s v="Gonzalez"/>
    <s v="Catala"/>
    <s v="Maria"/>
    <x v="1165"/>
    <x v="411"/>
    <n v="0.56462999999999997"/>
    <m/>
    <m/>
    <m/>
    <m/>
    <m/>
    <m/>
    <m/>
    <m/>
    <m/>
    <m/>
    <d v="1941-10-24T00:00:00"/>
    <m/>
    <x v="2"/>
  </r>
  <r>
    <s v="Sanchiz"/>
    <s v="Perriz"/>
    <s v="Petra"/>
    <x v="1166"/>
    <x v="411"/>
    <n v="0.26069999999999999"/>
    <m/>
    <m/>
    <m/>
    <m/>
    <m/>
    <m/>
    <m/>
    <m/>
    <m/>
    <m/>
    <d v="1930-04-11T00:00:00"/>
    <m/>
    <x v="2"/>
  </r>
  <r>
    <s v="Muñoz"/>
    <s v="Ruiz"/>
    <s v="Julio"/>
    <x v="1167"/>
    <x v="411"/>
    <n v="0.12451"/>
    <m/>
    <m/>
    <m/>
    <m/>
    <m/>
    <m/>
    <m/>
    <m/>
    <m/>
    <m/>
    <d v="1958-02-22T00:00:00"/>
    <m/>
    <x v="2"/>
  </r>
  <r>
    <s v="Miron"/>
    <s v="Perez"/>
    <s v="Antonio"/>
    <x v="1168"/>
    <x v="411"/>
    <n v="1.41957"/>
    <m/>
    <m/>
    <m/>
    <m/>
    <m/>
    <m/>
    <m/>
    <m/>
    <m/>
    <m/>
    <d v="1937-08-16T00:00:00"/>
    <m/>
    <x v="2"/>
  </r>
  <r>
    <s v="Peñalver"/>
    <s v="Oro"/>
    <s v="Miguel"/>
    <x v="1169"/>
    <x v="411"/>
    <n v="3.4979999999999997E-2"/>
    <m/>
    <m/>
    <m/>
    <m/>
    <m/>
    <m/>
    <m/>
    <m/>
    <m/>
    <m/>
    <d v="1943-04-23T00:00:00"/>
    <m/>
    <x v="241"/>
  </r>
  <r>
    <s v="Enriquez"/>
    <s v="Salort"/>
    <s v="Antonio"/>
    <x v="1170"/>
    <x v="412"/>
    <n v="4.7879999999999999E-2"/>
    <m/>
    <m/>
    <m/>
    <m/>
    <m/>
    <m/>
    <m/>
    <m/>
    <m/>
    <m/>
    <d v="1947-02-08T00:00:00"/>
    <m/>
    <x v="58"/>
  </r>
  <r>
    <s v="Cominches"/>
    <s v="Jorda"/>
    <s v="Vicente"/>
    <x v="870"/>
    <x v="412"/>
    <n v="4.6999999999999999E-4"/>
    <m/>
    <m/>
    <m/>
    <m/>
    <m/>
    <m/>
    <m/>
    <m/>
    <m/>
    <m/>
    <d v="1955-02-21T00:00:00"/>
    <m/>
    <x v="102"/>
  </r>
  <r>
    <s v="Perez"/>
    <s v="Icaran"/>
    <s v="Sara"/>
    <x v="577"/>
    <x v="412"/>
    <n v="9.7729999999999997E-2"/>
    <m/>
    <m/>
    <m/>
    <m/>
    <m/>
    <m/>
    <m/>
    <m/>
    <m/>
    <m/>
    <d v="1962-11-30T00:00:00"/>
    <m/>
    <x v="175"/>
  </r>
  <r>
    <s v="Ruiz"/>
    <s v="Espinosa"/>
    <s v="Jose Antonio"/>
    <x v="1171"/>
    <x v="412"/>
    <n v="0.17308000000000001"/>
    <m/>
    <m/>
    <m/>
    <m/>
    <m/>
    <m/>
    <m/>
    <m/>
    <m/>
    <m/>
    <d v="1947-02-19T00:00:00"/>
    <m/>
    <x v="227"/>
  </r>
  <r>
    <s v="Gimenez"/>
    <s v="Santiago"/>
    <s v="Jose Maria"/>
    <x v="1172"/>
    <x v="412"/>
    <n v="0.27110000000000001"/>
    <m/>
    <m/>
    <m/>
    <m/>
    <m/>
    <m/>
    <m/>
    <m/>
    <m/>
    <m/>
    <d v="1953-11-09T00:00:00"/>
    <m/>
    <x v="2"/>
  </r>
  <r>
    <s v="Marco"/>
    <s v="Chilet"/>
    <s v="Francisca"/>
    <x v="1173"/>
    <x v="412"/>
    <n v="9.987E-2"/>
    <m/>
    <m/>
    <m/>
    <m/>
    <m/>
    <m/>
    <m/>
    <m/>
    <m/>
    <m/>
    <d v="1939-05-03T00:00:00"/>
    <m/>
    <x v="2"/>
  </r>
  <r>
    <s v="Martinez"/>
    <s v="Corcoles"/>
    <s v="Sagrario"/>
    <x v="1174"/>
    <x v="412"/>
    <n v="0.21947"/>
    <m/>
    <m/>
    <m/>
    <m/>
    <m/>
    <m/>
    <m/>
    <m/>
    <m/>
    <m/>
    <d v="1935-04-27T00:00:00"/>
    <m/>
    <x v="2"/>
  </r>
  <r>
    <s v="Moyano"/>
    <s v="Rodriguez"/>
    <s v="Pedro"/>
    <x v="1175"/>
    <x v="412"/>
    <n v="0.30558999999999997"/>
    <m/>
    <m/>
    <m/>
    <m/>
    <m/>
    <m/>
    <m/>
    <m/>
    <m/>
    <m/>
    <d v="1949-02-02T00:00:00"/>
    <m/>
    <x v="2"/>
  </r>
  <r>
    <s v="Garringa"/>
    <s v="Pons"/>
    <s v="Jose"/>
    <x v="1176"/>
    <x v="412"/>
    <n v="0.15014"/>
    <m/>
    <m/>
    <m/>
    <m/>
    <m/>
    <m/>
    <m/>
    <m/>
    <m/>
    <m/>
    <d v="1942-03-09T00:00:00"/>
    <m/>
    <x v="2"/>
  </r>
  <r>
    <s v="Lamallem"/>
    <m/>
    <s v="Jamil"/>
    <x v="130"/>
    <x v="412"/>
    <n v="1.5350000000000001E-2"/>
    <m/>
    <m/>
    <m/>
    <m/>
    <m/>
    <m/>
    <m/>
    <m/>
    <m/>
    <m/>
    <d v="1972-05-23T00:00:00"/>
    <m/>
    <x v="2"/>
  </r>
  <r>
    <s v="Yuste"/>
    <s v="Polz"/>
    <s v="Vicente"/>
    <x v="1177"/>
    <x v="412"/>
    <n v="0.32634000000000002"/>
    <m/>
    <m/>
    <m/>
    <m/>
    <m/>
    <m/>
    <m/>
    <m/>
    <m/>
    <m/>
    <d v="1954-07-12T00:00:00"/>
    <m/>
    <x v="2"/>
  </r>
  <r>
    <s v="Motalban"/>
    <s v="Perez"/>
    <s v="Francisca"/>
    <x v="1178"/>
    <x v="412"/>
    <n v="7.1959999999999996E-2"/>
    <m/>
    <m/>
    <m/>
    <m/>
    <m/>
    <m/>
    <m/>
    <m/>
    <m/>
    <m/>
    <d v="1960-06-08T00:00:00"/>
    <m/>
    <x v="2"/>
  </r>
  <r>
    <s v="Mensua"/>
    <s v="Calzado"/>
    <s v="Francisco"/>
    <x v="1179"/>
    <x v="412"/>
    <n v="0.18984000000000001"/>
    <m/>
    <m/>
    <m/>
    <m/>
    <m/>
    <m/>
    <m/>
    <m/>
    <m/>
    <m/>
    <d v="1960-08-10T00:00:00"/>
    <m/>
    <x v="2"/>
  </r>
  <r>
    <s v="Muñoz"/>
    <s v="Rivera"/>
    <s v="Pedro"/>
    <x v="1180"/>
    <x v="412"/>
    <n v="0.20474999999999999"/>
    <m/>
    <m/>
    <m/>
    <m/>
    <m/>
    <m/>
    <m/>
    <m/>
    <m/>
    <m/>
    <d v="1960-05-13T00:00:00"/>
    <m/>
    <x v="2"/>
  </r>
  <r>
    <s v="Fortun"/>
    <s v="Catalan"/>
    <s v="Jesus Pedro"/>
    <x v="1181"/>
    <x v="413"/>
    <n v="1.15781"/>
    <m/>
    <m/>
    <m/>
    <m/>
    <m/>
    <m/>
    <m/>
    <m/>
    <m/>
    <m/>
    <d v="1944-12-28T00:00:00"/>
    <m/>
    <x v="13"/>
  </r>
  <r>
    <s v="Lopez"/>
    <s v="Araujo"/>
    <s v="Nicolas Avelino"/>
    <x v="1182"/>
    <x v="413"/>
    <n v="0.19633"/>
    <m/>
    <m/>
    <m/>
    <m/>
    <m/>
    <m/>
    <m/>
    <m/>
    <m/>
    <m/>
    <d v="1985-10-10T00:00:00"/>
    <m/>
    <x v="276"/>
  </r>
  <r>
    <s v="Cominches"/>
    <s v="Jorda"/>
    <s v="Vicente"/>
    <x v="870"/>
    <x v="413"/>
    <n v="0.23204"/>
    <m/>
    <m/>
    <m/>
    <m/>
    <m/>
    <m/>
    <m/>
    <m/>
    <m/>
    <m/>
    <d v="1955-02-21T00:00:00"/>
    <m/>
    <x v="147"/>
  </r>
  <r>
    <s v="Blanch"/>
    <s v="Juan"/>
    <s v="Luis"/>
    <x v="1183"/>
    <x v="413"/>
    <n v="1.25901"/>
    <m/>
    <m/>
    <m/>
    <m/>
    <m/>
    <m/>
    <m/>
    <m/>
    <m/>
    <m/>
    <d v="1934-10-21T00:00:00"/>
    <m/>
    <x v="2"/>
  </r>
  <r>
    <s v="Oviedo de"/>
    <s v="Freire"/>
    <s v="Beatriz Elena"/>
    <x v="1034"/>
    <x v="413"/>
    <n v="0.69501000000000002"/>
    <m/>
    <m/>
    <m/>
    <m/>
    <m/>
    <m/>
    <m/>
    <m/>
    <m/>
    <m/>
    <d v="1952-08-18T00:00:00"/>
    <m/>
    <x v="2"/>
  </r>
  <r>
    <s v="Romero"/>
    <s v="Garcia"/>
    <s v="Consuelo"/>
    <x v="1184"/>
    <x v="413"/>
    <n v="0.19869000000000001"/>
    <m/>
    <m/>
    <m/>
    <m/>
    <m/>
    <m/>
    <m/>
    <m/>
    <m/>
    <m/>
    <d v="1943-02-14T00:00:00"/>
    <m/>
    <x v="2"/>
  </r>
  <r>
    <s v="Blanquez"/>
    <s v="Parreño"/>
    <s v="Francisco"/>
    <x v="1185"/>
    <x v="413"/>
    <n v="0.21947"/>
    <m/>
    <m/>
    <m/>
    <m/>
    <m/>
    <m/>
    <m/>
    <m/>
    <m/>
    <m/>
    <d v="1965-07-24T00:00:00"/>
    <m/>
    <x v="2"/>
  </r>
  <r>
    <s v="Garcia"/>
    <s v="Martinez"/>
    <s v="Pedro"/>
    <x v="1186"/>
    <x v="413"/>
    <n v="3.3320000000000002E-2"/>
    <m/>
    <m/>
    <m/>
    <m/>
    <m/>
    <m/>
    <m/>
    <m/>
    <m/>
    <m/>
    <d v="1955-02-19T00:00:00"/>
    <m/>
    <x v="243"/>
  </r>
  <r>
    <s v="Balaguer"/>
    <s v="Lopez"/>
    <s v="Antonio Rafael"/>
    <x v="1187"/>
    <x v="413"/>
    <n v="1.8370000000000001E-2"/>
    <m/>
    <m/>
    <m/>
    <m/>
    <m/>
    <m/>
    <m/>
    <m/>
    <m/>
    <m/>
    <d v="1962-10-24T00:00:00"/>
    <m/>
    <x v="243"/>
  </r>
  <r>
    <s v="Lluch"/>
    <s v="Gomez"/>
    <s v="Salvador"/>
    <x v="1188"/>
    <x v="414"/>
    <n v="0.61831000000000003"/>
    <m/>
    <m/>
    <m/>
    <m/>
    <m/>
    <m/>
    <m/>
    <m/>
    <m/>
    <m/>
    <d v="1974-10-06T00:00:00"/>
    <m/>
    <x v="2"/>
  </r>
  <r>
    <s v="Martinez"/>
    <s v="Mauri"/>
    <s v="Maria"/>
    <x v="1189"/>
    <x v="414"/>
    <n v="0.84889000000000003"/>
    <m/>
    <m/>
    <m/>
    <m/>
    <m/>
    <m/>
    <m/>
    <m/>
    <m/>
    <m/>
    <d v="1959-01-14T00:00:00"/>
    <m/>
    <x v="2"/>
  </r>
  <r>
    <s v="Cozar"/>
    <s v="Pleguezuelos"/>
    <s v="Abraham"/>
    <x v="1190"/>
    <x v="415"/>
    <n v="0.17644000000000001"/>
    <m/>
    <m/>
    <m/>
    <m/>
    <m/>
    <m/>
    <m/>
    <m/>
    <m/>
    <m/>
    <d v="1960-01-25T00:00:00"/>
    <m/>
    <x v="2"/>
  </r>
  <r>
    <s v="Jimenez"/>
    <s v="Ponce"/>
    <s v="Vicente"/>
    <x v="1191"/>
    <x v="415"/>
    <n v="0.51470000000000005"/>
    <m/>
    <m/>
    <m/>
    <m/>
    <m/>
    <m/>
    <m/>
    <m/>
    <m/>
    <m/>
    <d v="1954-08-09T00:00:00"/>
    <m/>
    <x v="2"/>
  </r>
  <r>
    <s v="Rubert"/>
    <s v="Cardona"/>
    <s v="Vicente"/>
    <x v="1192"/>
    <x v="415"/>
    <n v="0.14249999999999999"/>
    <m/>
    <m/>
    <m/>
    <m/>
    <m/>
    <m/>
    <m/>
    <m/>
    <m/>
    <m/>
    <d v="1957-06-29T00:00:00"/>
    <m/>
    <x v="2"/>
  </r>
  <r>
    <s v="Peralta"/>
    <s v="Gonzales"/>
    <s v="Manuel"/>
    <x v="1193"/>
    <x v="416"/>
    <n v="2.3120000000000002E-2"/>
    <m/>
    <m/>
    <m/>
    <m/>
    <m/>
    <m/>
    <m/>
    <m/>
    <m/>
    <m/>
    <d v="1958-01-14T00:00:00"/>
    <m/>
    <x v="134"/>
  </r>
  <r>
    <s v="Aparisi"/>
    <s v="Ramirez"/>
    <s v="Enrique"/>
    <x v="1194"/>
    <x v="416"/>
    <n v="0.27428999999999998"/>
    <m/>
    <m/>
    <m/>
    <m/>
    <m/>
    <m/>
    <m/>
    <m/>
    <m/>
    <m/>
    <d v="1972-06-12T00:00:00"/>
    <m/>
    <x v="277"/>
  </r>
  <r>
    <s v="Aparisi"/>
    <s v="Rodriguez"/>
    <s v="Francisco"/>
    <x v="1195"/>
    <x v="416"/>
    <n v="1.9109999999999999E-2"/>
    <m/>
    <m/>
    <m/>
    <m/>
    <m/>
    <m/>
    <m/>
    <m/>
    <m/>
    <m/>
    <d v="1956-02-22T00:00:00"/>
    <m/>
    <x v="278"/>
  </r>
  <r>
    <s v="Gomez"/>
    <s v="Castillo"/>
    <s v="Hilaria"/>
    <x v="1196"/>
    <x v="416"/>
    <n v="0.20963000000000001"/>
    <m/>
    <m/>
    <m/>
    <m/>
    <m/>
    <m/>
    <m/>
    <m/>
    <m/>
    <m/>
    <d v="1961-11-19T00:00:00"/>
    <m/>
    <x v="57"/>
  </r>
  <r>
    <s v="Pernias"/>
    <s v="Villanueva"/>
    <s v="Manuela"/>
    <x v="1197"/>
    <x v="416"/>
    <n v="0.44563999999999998"/>
    <m/>
    <m/>
    <m/>
    <m/>
    <m/>
    <m/>
    <m/>
    <m/>
    <m/>
    <m/>
    <d v="1937-05-17T00:00:00"/>
    <m/>
    <x v="2"/>
  </r>
  <r>
    <s v="Galvez"/>
    <s v="Pradas"/>
    <s v="Manuel"/>
    <x v="1122"/>
    <x v="416"/>
    <n v="0.21847"/>
    <m/>
    <m/>
    <m/>
    <m/>
    <m/>
    <m/>
    <m/>
    <m/>
    <m/>
    <m/>
    <d v="1953-07-01T00:00:00"/>
    <m/>
    <x v="2"/>
  </r>
  <r>
    <s v="San Bautista"/>
    <s v="Carbonell"/>
    <s v="Getulio"/>
    <x v="1198"/>
    <x v="416"/>
    <n v="0.29400999999999999"/>
    <m/>
    <m/>
    <m/>
    <m/>
    <m/>
    <m/>
    <m/>
    <m/>
    <m/>
    <m/>
    <d v="1939-02-04T00:00:00"/>
    <m/>
    <x v="2"/>
  </r>
  <r>
    <s v="Lleusma"/>
    <s v="MArtinez"/>
    <s v="Jose"/>
    <x v="1199"/>
    <x v="416"/>
    <n v="0.33451999999999998"/>
    <m/>
    <m/>
    <m/>
    <m/>
    <m/>
    <m/>
    <m/>
    <m/>
    <m/>
    <m/>
    <d v="1947-03-04T00:00:00"/>
    <m/>
    <x v="2"/>
  </r>
  <r>
    <s v="Gomez"/>
    <s v="Amat"/>
    <s v="Jorge Arturo"/>
    <x v="1200"/>
    <x v="416"/>
    <n v="0.34034999999999999"/>
    <m/>
    <m/>
    <m/>
    <m/>
    <m/>
    <m/>
    <m/>
    <m/>
    <m/>
    <m/>
    <d v="1979-09-25T00:00:00"/>
    <m/>
    <x v="2"/>
  </r>
  <r>
    <s v="Vega"/>
    <s v="Garcia"/>
    <s v="Miguel"/>
    <x v="1201"/>
    <x v="416"/>
    <n v="0.94869000000000003"/>
    <m/>
    <m/>
    <m/>
    <m/>
    <m/>
    <m/>
    <m/>
    <m/>
    <m/>
    <m/>
    <d v="1968-04-27T00:00:00"/>
    <m/>
    <x v="2"/>
  </r>
  <r>
    <s v="Martinez"/>
    <s v="Hernandez"/>
    <s v="Maria Josefa"/>
    <x v="1202"/>
    <x v="416"/>
    <n v="8.251E-2"/>
    <m/>
    <m/>
    <m/>
    <m/>
    <m/>
    <m/>
    <m/>
    <m/>
    <m/>
    <m/>
    <d v="1954-05-26T00:00:00"/>
    <m/>
    <x v="2"/>
  </r>
  <r>
    <s v="Meagher"/>
    <m/>
    <s v="Janet Lynn"/>
    <x v="1203"/>
    <x v="416"/>
    <n v="0.42343999999999998"/>
    <m/>
    <m/>
    <m/>
    <m/>
    <m/>
    <m/>
    <m/>
    <m/>
    <m/>
    <m/>
    <d v="1962-06-26T00:00:00"/>
    <m/>
    <x v="2"/>
  </r>
  <r>
    <s v="Picon"/>
    <s v="Martinez"/>
    <s v="Jose Domingo"/>
    <x v="1204"/>
    <x v="416"/>
    <n v="0.12922"/>
    <m/>
    <m/>
    <m/>
    <m/>
    <m/>
    <m/>
    <m/>
    <m/>
    <m/>
    <m/>
    <d v="1945-05-21T00:00:00"/>
    <m/>
    <x v="2"/>
  </r>
  <r>
    <s v="Plaza"/>
    <s v="Valero"/>
    <s v="Juan Jose"/>
    <x v="1205"/>
    <x v="416"/>
    <n v="2.0379999999999999E-2"/>
    <m/>
    <m/>
    <m/>
    <m/>
    <m/>
    <m/>
    <m/>
    <m/>
    <m/>
    <m/>
    <d v="1938-04-24T00:00:00"/>
    <m/>
    <x v="243"/>
  </r>
  <r>
    <s v="Terriza"/>
    <s v="Adame"/>
    <s v="Benito"/>
    <x v="1206"/>
    <x v="416"/>
    <n v="1.4500000000000001E-2"/>
    <m/>
    <m/>
    <m/>
    <m/>
    <m/>
    <m/>
    <m/>
    <m/>
    <m/>
    <m/>
    <d v="1946-10-22T00:00:00"/>
    <m/>
    <x v="243"/>
  </r>
  <r>
    <s v="Portales"/>
    <s v="Llop"/>
    <s v="Enric"/>
    <x v="630"/>
    <x v="417"/>
    <n v="2.4289999999999999E-2"/>
    <m/>
    <m/>
    <m/>
    <m/>
    <m/>
    <m/>
    <m/>
    <m/>
    <m/>
    <m/>
    <d v="1961-12-26T00:00:00"/>
    <m/>
    <x v="59"/>
  </r>
  <r>
    <s v="Acebedo"/>
    <s v="Romacho"/>
    <s v="Francisco"/>
    <x v="831"/>
    <x v="417"/>
    <n v="2.9760000000000002E-2"/>
    <m/>
    <m/>
    <m/>
    <m/>
    <m/>
    <m/>
    <m/>
    <m/>
    <m/>
    <m/>
    <d v="1937-11-05T00:00:00"/>
    <m/>
    <x v="180"/>
  </r>
  <r>
    <s v="Aparisi"/>
    <s v="Ramirez"/>
    <s v="Enrique"/>
    <x v="1194"/>
    <x v="417"/>
    <n v="6.6400000000000001E-2"/>
    <m/>
    <m/>
    <m/>
    <m/>
    <m/>
    <m/>
    <m/>
    <m/>
    <m/>
    <m/>
    <d v="1972-06-22T00:00:00"/>
    <m/>
    <x v="279"/>
  </r>
  <r>
    <s v="Dominguez"/>
    <s v="Arguello"/>
    <s v="Fernando A"/>
    <x v="1130"/>
    <x v="417"/>
    <n v="2.0029999999999999E-2"/>
    <m/>
    <m/>
    <m/>
    <m/>
    <m/>
    <m/>
    <m/>
    <m/>
    <m/>
    <m/>
    <d v="1957-11-17T00:00:00"/>
    <m/>
    <x v="154"/>
  </r>
  <r>
    <s v="Vila"/>
    <s v="Torres"/>
    <s v="Vanesa"/>
    <x v="1207"/>
    <x v="417"/>
    <n v="0.13769000000000001"/>
    <m/>
    <m/>
    <m/>
    <m/>
    <m/>
    <m/>
    <m/>
    <m/>
    <m/>
    <m/>
    <d v="1982-02-26T00:00:00"/>
    <m/>
    <x v="280"/>
  </r>
  <r>
    <s v="Ruiz"/>
    <s v="Garrido"/>
    <s v="Encarnación"/>
    <x v="202"/>
    <x v="417"/>
    <n v="5.6959999999999997E-2"/>
    <m/>
    <m/>
    <m/>
    <m/>
    <m/>
    <m/>
    <m/>
    <m/>
    <m/>
    <m/>
    <d v="1964-08-06T00:00:00"/>
    <m/>
    <x v="143"/>
  </r>
  <r>
    <s v="Soler"/>
    <s v="Gonzalez"/>
    <s v="Maria Luisa"/>
    <x v="1208"/>
    <x v="417"/>
    <n v="0.16991999999999999"/>
    <m/>
    <m/>
    <m/>
    <m/>
    <m/>
    <m/>
    <m/>
    <m/>
    <m/>
    <m/>
    <d v="1971-04-22T00:00:00"/>
    <m/>
    <x v="2"/>
  </r>
  <r>
    <s v="Gerique"/>
    <s v="Alcaraz"/>
    <s v="Jose Luis"/>
    <x v="1209"/>
    <x v="417"/>
    <n v="2.094E-2"/>
    <m/>
    <m/>
    <m/>
    <m/>
    <m/>
    <m/>
    <m/>
    <m/>
    <m/>
    <m/>
    <d v="1963-03-02T00:00:00"/>
    <m/>
    <x v="241"/>
  </r>
  <r>
    <s v="Vila"/>
    <s v="Real"/>
    <s v="Maria Victoria"/>
    <x v="1210"/>
    <x v="418"/>
    <n v="8.1900000000000001E-2"/>
    <m/>
    <m/>
    <m/>
    <m/>
    <m/>
    <m/>
    <m/>
    <m/>
    <m/>
    <m/>
    <d v="1980-09-02T00:00:00"/>
    <m/>
    <x v="4"/>
  </r>
  <r>
    <s v="Berna"/>
    <s v="Lizan"/>
    <s v="Inmaculada"/>
    <x v="1211"/>
    <x v="418"/>
    <n v="0.1133"/>
    <m/>
    <m/>
    <m/>
    <m/>
    <m/>
    <m/>
    <m/>
    <m/>
    <m/>
    <m/>
    <d v="1980-08-17T00:00:00"/>
    <m/>
    <x v="4"/>
  </r>
  <r>
    <s v="Massi"/>
    <m/>
    <s v="Flavio"/>
    <x v="1212"/>
    <x v="418"/>
    <n v="3.227E-2"/>
    <m/>
    <m/>
    <m/>
    <m/>
    <m/>
    <m/>
    <m/>
    <m/>
    <m/>
    <m/>
    <d v="1962-12-31T00:00:00"/>
    <m/>
    <x v="58"/>
  </r>
  <r>
    <s v="Soria"/>
    <s v="Valero"/>
    <s v="Jose"/>
    <x v="1213"/>
    <x v="418"/>
    <n v="1.1752199999999999"/>
    <m/>
    <m/>
    <m/>
    <m/>
    <m/>
    <m/>
    <m/>
    <m/>
    <m/>
    <m/>
    <d v="1941-12-05T00:00:00"/>
    <m/>
    <x v="281"/>
  </r>
  <r>
    <s v="Pardo"/>
    <s v="Gil"/>
    <s v="Vicente"/>
    <x v="1214"/>
    <x v="418"/>
    <n v="0.28394999999999998"/>
    <m/>
    <m/>
    <m/>
    <m/>
    <m/>
    <m/>
    <m/>
    <m/>
    <m/>
    <m/>
    <d v="1962-02-18T00:00:00"/>
    <m/>
    <x v="2"/>
  </r>
  <r>
    <s v="Martinez"/>
    <s v="Acebron"/>
    <s v="Miguel Angel"/>
    <x v="1215"/>
    <x v="418"/>
    <n v="1.22336"/>
    <m/>
    <m/>
    <m/>
    <m/>
    <m/>
    <m/>
    <m/>
    <m/>
    <m/>
    <m/>
    <d v="1970-08-28T00:00:00"/>
    <m/>
    <x v="2"/>
  </r>
  <r>
    <s v="Muñoz"/>
    <s v="Albal"/>
    <s v="Ramon"/>
    <x v="1216"/>
    <x v="418"/>
    <m/>
    <m/>
    <m/>
    <m/>
    <m/>
    <m/>
    <m/>
    <m/>
    <m/>
    <m/>
    <m/>
    <d v="1949-09-11T00:00:00"/>
    <m/>
    <x v="2"/>
  </r>
  <r>
    <s v="Bayena"/>
    <s v="Breso"/>
    <s v="Rafael"/>
    <x v="1217"/>
    <x v="418"/>
    <n v="0.23061999999999999"/>
    <m/>
    <m/>
    <m/>
    <m/>
    <m/>
    <m/>
    <m/>
    <m/>
    <m/>
    <m/>
    <d v="1936-08-03T00:00:00"/>
    <m/>
    <x v="2"/>
  </r>
  <r>
    <s v="Carrion"/>
    <s v="Rico"/>
    <s v="Maria"/>
    <x v="1218"/>
    <x v="418"/>
    <n v="0.24253"/>
    <m/>
    <m/>
    <m/>
    <m/>
    <m/>
    <m/>
    <m/>
    <m/>
    <m/>
    <m/>
    <d v="1936-05-13T00:00:00"/>
    <m/>
    <x v="2"/>
  </r>
  <r>
    <s v="Martinez"/>
    <s v="Adsuara"/>
    <s v="Maria Carmen"/>
    <x v="1219"/>
    <x v="418"/>
    <n v="0.30532999999999999"/>
    <m/>
    <m/>
    <m/>
    <m/>
    <m/>
    <m/>
    <m/>
    <m/>
    <m/>
    <m/>
    <d v="1951-04-25T00:00:00"/>
    <m/>
    <x v="2"/>
  </r>
  <r>
    <s v="Moya"/>
    <s v="Rodriguez"/>
    <s v="Pedro"/>
    <x v="1175"/>
    <x v="418"/>
    <n v="0.66959999999999997"/>
    <m/>
    <m/>
    <m/>
    <m/>
    <m/>
    <m/>
    <m/>
    <m/>
    <m/>
    <m/>
    <d v="1949-02-02T00:00:00"/>
    <m/>
    <x v="2"/>
  </r>
  <r>
    <s v="Martinez"/>
    <s v="Lopez"/>
    <s v="Pablo"/>
    <x v="1220"/>
    <x v="418"/>
    <n v="0.45434000000000002"/>
    <m/>
    <m/>
    <m/>
    <m/>
    <m/>
    <m/>
    <m/>
    <m/>
    <m/>
    <m/>
    <d v="1984-10-05T00:00:00"/>
    <m/>
    <x v="2"/>
  </r>
  <r>
    <s v="Sanchez"/>
    <s v="Lluch"/>
    <s v="Juan Gabriel"/>
    <x v="1221"/>
    <x v="418"/>
    <n v="0.17502000000000001"/>
    <m/>
    <m/>
    <m/>
    <m/>
    <m/>
    <m/>
    <m/>
    <m/>
    <m/>
    <m/>
    <d v="1980-03-21T00:00:00"/>
    <m/>
    <x v="241"/>
  </r>
  <r>
    <s v="Ponce"/>
    <s v="Aranda"/>
    <s v="Carlos"/>
    <x v="260"/>
    <x v="419"/>
    <n v="0.96150999999999998"/>
    <m/>
    <m/>
    <m/>
    <m/>
    <m/>
    <m/>
    <m/>
    <m/>
    <m/>
    <m/>
    <d v="2022-04-24T00:00:00"/>
    <m/>
    <x v="57"/>
  </r>
  <r>
    <s v="Ridolles"/>
    <s v="Sanz"/>
    <s v="Vicente"/>
    <x v="1222"/>
    <x v="419"/>
    <n v="4.2099999999999999E-2"/>
    <m/>
    <m/>
    <m/>
    <m/>
    <m/>
    <m/>
    <m/>
    <m/>
    <m/>
    <m/>
    <d v="1966-07-19T00:00:00"/>
    <m/>
    <x v="61"/>
  </r>
  <r>
    <s v="Marti"/>
    <s v="Moya"/>
    <s v="Bautista"/>
    <x v="412"/>
    <x v="419"/>
    <n v="2.0080000000000001E-2"/>
    <m/>
    <m/>
    <m/>
    <m/>
    <m/>
    <m/>
    <m/>
    <m/>
    <m/>
    <m/>
    <d v="1946-02-04T00:00:00"/>
    <m/>
    <x v="138"/>
  </r>
  <r>
    <s v="Cominches"/>
    <s v="Jorda"/>
    <s v="Vicente"/>
    <x v="870"/>
    <x v="419"/>
    <n v="8.652E-2"/>
    <m/>
    <m/>
    <m/>
    <m/>
    <m/>
    <m/>
    <m/>
    <m/>
    <m/>
    <m/>
    <d v="1955-02-21T00:00:00"/>
    <m/>
    <x v="59"/>
  </r>
  <r>
    <s v="Rosa"/>
    <s v="Asensi"/>
    <s v="Miguel"/>
    <x v="1223"/>
    <x v="419"/>
    <n v="0.43711"/>
    <m/>
    <m/>
    <m/>
    <m/>
    <m/>
    <m/>
    <m/>
    <m/>
    <m/>
    <m/>
    <d v="1930-11-21T00:00:00"/>
    <m/>
    <x v="2"/>
  </r>
  <r>
    <s v="Camarero"/>
    <s v="Martinez"/>
    <s v="Faustina"/>
    <x v="1224"/>
    <x v="419"/>
    <n v="5.2310000000000002E-2"/>
    <m/>
    <m/>
    <m/>
    <m/>
    <m/>
    <m/>
    <m/>
    <m/>
    <m/>
    <m/>
    <d v="1944-06-26T00:00:00"/>
    <m/>
    <x v="2"/>
  </r>
  <r>
    <s v="Campos"/>
    <s v="Alfaro"/>
    <s v="Guido"/>
    <x v="1225"/>
    <x v="419"/>
    <n v="5.5789999999999999E-2"/>
    <m/>
    <m/>
    <m/>
    <m/>
    <m/>
    <m/>
    <m/>
    <m/>
    <m/>
    <m/>
    <d v="1959-09-27T00:00:00"/>
    <m/>
    <x v="2"/>
  </r>
  <r>
    <s v="Llanos "/>
    <s v="Vila"/>
    <s v="Jose Mauricio"/>
    <x v="1226"/>
    <x v="419"/>
    <n v="0.14496000000000001"/>
    <m/>
    <m/>
    <m/>
    <m/>
    <m/>
    <m/>
    <m/>
    <m/>
    <m/>
    <m/>
    <d v="1978-08-15T00:00:00"/>
    <m/>
    <x v="2"/>
  </r>
  <r>
    <s v="Jimenez"/>
    <s v="Siurana"/>
    <s v="Francisco"/>
    <x v="1227"/>
    <x v="419"/>
    <n v="1.05935"/>
    <m/>
    <m/>
    <m/>
    <m/>
    <m/>
    <m/>
    <m/>
    <m/>
    <m/>
    <m/>
    <d v="1959-12-10T00:00:00"/>
    <m/>
    <x v="2"/>
  </r>
  <r>
    <s v="Sanchez"/>
    <s v="Rubio"/>
    <s v="Josefa"/>
    <x v="1228"/>
    <x v="419"/>
    <n v="0.67801"/>
    <m/>
    <m/>
    <m/>
    <m/>
    <m/>
    <m/>
    <m/>
    <m/>
    <m/>
    <m/>
    <d v="1935-10-03T00:00:00"/>
    <m/>
    <x v="2"/>
  </r>
  <r>
    <s v="Riquelme"/>
    <s v="Valderas"/>
    <s v="Ginesa"/>
    <x v="1229"/>
    <x v="419"/>
    <n v="0.23991999999999999"/>
    <m/>
    <m/>
    <m/>
    <m/>
    <m/>
    <m/>
    <m/>
    <m/>
    <m/>
    <m/>
    <d v="1949-04-09T00:00:00"/>
    <m/>
    <x v="2"/>
  </r>
  <r>
    <s v="Tormos"/>
    <s v="Zarzo"/>
    <s v="Alfredo"/>
    <x v="1230"/>
    <x v="420"/>
    <n v="1.277E-2"/>
    <m/>
    <m/>
    <m/>
    <m/>
    <m/>
    <m/>
    <m/>
    <m/>
    <m/>
    <m/>
    <d v="1960-01-09T00:00:00"/>
    <m/>
    <x v="144"/>
  </r>
  <r>
    <s v="Calero"/>
    <s v="Rodrigo"/>
    <s v="Francisco"/>
    <x v="1143"/>
    <x v="420"/>
    <n v="0.18293000000000001"/>
    <m/>
    <m/>
    <m/>
    <m/>
    <m/>
    <m/>
    <m/>
    <m/>
    <m/>
    <m/>
    <d v="1941-10-16T00:00:00"/>
    <m/>
    <x v="138"/>
  </r>
  <r>
    <s v="Navarro"/>
    <s v="Caseres"/>
    <s v="Vicente"/>
    <x v="1231"/>
    <x v="420"/>
    <n v="0.12512000000000001"/>
    <m/>
    <m/>
    <m/>
    <m/>
    <m/>
    <m/>
    <m/>
    <m/>
    <m/>
    <m/>
    <d v="1955-06-01T00:00:00"/>
    <m/>
    <x v="2"/>
  </r>
  <r>
    <s v="Alberola"/>
    <s v="Pradas"/>
    <s v="Rafael"/>
    <x v="1232"/>
    <x v="420"/>
    <n v="0.68098000000000003"/>
    <m/>
    <m/>
    <m/>
    <m/>
    <m/>
    <m/>
    <m/>
    <m/>
    <m/>
    <m/>
    <d v="1960-09-04T00:00:00"/>
    <m/>
    <x v="2"/>
  </r>
  <r>
    <s v="Martinez"/>
    <s v="Trotosa"/>
    <s v="Alfredo"/>
    <x v="1233"/>
    <x v="420"/>
    <n v="0.35026000000000002"/>
    <m/>
    <m/>
    <m/>
    <m/>
    <m/>
    <m/>
    <m/>
    <m/>
    <m/>
    <m/>
    <d v="1957-12-08T00:00:00"/>
    <m/>
    <x v="2"/>
  </r>
  <r>
    <s v="Plaza"/>
    <s v="Segarra"/>
    <s v="Vicenta Matilde"/>
    <x v="1234"/>
    <x v="420"/>
    <n v="0.23143"/>
    <m/>
    <m/>
    <m/>
    <m/>
    <m/>
    <m/>
    <m/>
    <m/>
    <m/>
    <m/>
    <d v="2022-05-06T00:00:00"/>
    <m/>
    <x v="2"/>
  </r>
  <r>
    <s v="Navarro"/>
    <s v="Ballester"/>
    <s v="Josefa"/>
    <x v="1235"/>
    <x v="420"/>
    <n v="0.32063999999999998"/>
    <m/>
    <m/>
    <m/>
    <m/>
    <m/>
    <m/>
    <m/>
    <m/>
    <m/>
    <m/>
    <d v="1944-03-16T00:00:00"/>
    <m/>
    <x v="2"/>
  </r>
  <r>
    <s v="Gutierrez"/>
    <s v="Oviedo"/>
    <s v="Aristototeles Irineo"/>
    <x v="1236"/>
    <x v="420"/>
    <n v="0.44307999999999997"/>
    <m/>
    <m/>
    <m/>
    <m/>
    <m/>
    <m/>
    <m/>
    <m/>
    <m/>
    <m/>
    <d v="1970-06-10T00:00:00"/>
    <m/>
    <x v="2"/>
  </r>
  <r>
    <s v="Baquero"/>
    <s v="Valdelomar"/>
    <s v="Ricardo"/>
    <x v="1237"/>
    <x v="420"/>
    <n v="4.3400000000000001E-3"/>
    <m/>
    <m/>
    <m/>
    <m/>
    <m/>
    <m/>
    <m/>
    <m/>
    <m/>
    <m/>
    <d v="1939-10-21T00:00:00"/>
    <m/>
    <x v="243"/>
  </r>
  <r>
    <s v="Sanchis"/>
    <s v="Calatayud"/>
    <s v="Manuel"/>
    <x v="1238"/>
    <x v="421"/>
    <n v="0.10402"/>
    <m/>
    <m/>
    <m/>
    <m/>
    <m/>
    <m/>
    <m/>
    <m/>
    <m/>
    <m/>
    <d v="1949-07-20T00:00:00"/>
    <m/>
    <x v="2"/>
  </r>
  <r>
    <s v="Ortiz"/>
    <s v="Gomez"/>
    <s v="Antonio"/>
    <x v="1239"/>
    <x v="421"/>
    <n v="0.39613999999999999"/>
    <m/>
    <m/>
    <m/>
    <m/>
    <m/>
    <m/>
    <m/>
    <m/>
    <m/>
    <m/>
    <d v="1943-04-26T00:00:00"/>
    <m/>
    <x v="2"/>
  </r>
  <r>
    <s v="Lledo "/>
    <s v="Garcia"/>
    <s v="Antonio Sebastian"/>
    <x v="1240"/>
    <x v="421"/>
    <n v="0.17174"/>
    <m/>
    <m/>
    <m/>
    <m/>
    <m/>
    <m/>
    <m/>
    <m/>
    <m/>
    <m/>
    <d v="1958-02-16T00:00:00"/>
    <m/>
    <x v="2"/>
  </r>
  <r>
    <s v="Funfria"/>
    <s v="Sanchez"/>
    <s v="Raquel"/>
    <x v="1241"/>
    <x v="422"/>
    <n v="5.7959999999999998E-2"/>
    <m/>
    <m/>
    <m/>
    <m/>
    <m/>
    <m/>
    <m/>
    <m/>
    <m/>
    <m/>
    <d v="1976-04-13T00:00:00"/>
    <m/>
    <x v="2"/>
  </r>
  <r>
    <s v="Trapero"/>
    <s v="Aliaga"/>
    <s v="Josefa"/>
    <x v="1242"/>
    <x v="422"/>
    <n v="0.12923999999999999"/>
    <m/>
    <m/>
    <m/>
    <m/>
    <m/>
    <m/>
    <m/>
    <m/>
    <m/>
    <m/>
    <d v="1944-08-08T00:00:00"/>
    <m/>
    <x v="2"/>
  </r>
  <r>
    <s v="Ballesteros"/>
    <s v="Soriano"/>
    <s v="Ana Maria"/>
    <x v="1243"/>
    <x v="422"/>
    <n v="8.5720000000000005E-2"/>
    <m/>
    <m/>
    <m/>
    <m/>
    <m/>
    <m/>
    <m/>
    <m/>
    <m/>
    <m/>
    <d v="1976-03-01T00:00:00"/>
    <m/>
    <x v="2"/>
  </r>
  <r>
    <s v="Lafuente"/>
    <s v="Gomez"/>
    <s v="Jose Joaquin"/>
    <x v="1244"/>
    <x v="423"/>
    <n v="1.1209999999999999E-2"/>
    <m/>
    <m/>
    <m/>
    <m/>
    <m/>
    <m/>
    <m/>
    <m/>
    <m/>
    <m/>
    <d v="1947-04-07T00:00:00"/>
    <m/>
    <x v="213"/>
  </r>
  <r>
    <s v="Sanchez"/>
    <s v="Gutierrez"/>
    <s v="Rafael"/>
    <x v="736"/>
    <x v="423"/>
    <n v="0.28985"/>
    <m/>
    <m/>
    <m/>
    <m/>
    <m/>
    <m/>
    <m/>
    <m/>
    <m/>
    <m/>
    <d v="1940-05-08T00:00:00"/>
    <m/>
    <x v="59"/>
  </r>
  <r>
    <s v="Medrano"/>
    <s v="Atienzar"/>
    <s v="Ana"/>
    <x v="1245"/>
    <x v="423"/>
    <n v="0.10872999999999999"/>
    <m/>
    <m/>
    <m/>
    <m/>
    <m/>
    <m/>
    <m/>
    <m/>
    <m/>
    <m/>
    <d v="1957-09-26T00:00:00"/>
    <m/>
    <x v="16"/>
  </r>
  <r>
    <s v="Breva"/>
    <s v="Sanchis"/>
    <s v="Jose Maria"/>
    <x v="1246"/>
    <x v="423"/>
    <n v="1.12598"/>
    <m/>
    <m/>
    <m/>
    <m/>
    <m/>
    <m/>
    <m/>
    <m/>
    <m/>
    <m/>
    <d v="1957-08-16T00:00:00"/>
    <m/>
    <x v="9"/>
  </r>
  <r>
    <s v="Dominguez"/>
    <s v="Montes"/>
    <s v="Juan"/>
    <x v="1247"/>
    <x v="423"/>
    <n v="0.10677"/>
    <m/>
    <m/>
    <m/>
    <m/>
    <m/>
    <m/>
    <m/>
    <m/>
    <m/>
    <m/>
    <d v="2004-05-10T00:00:00"/>
    <m/>
    <x v="2"/>
  </r>
  <r>
    <s v="Valero"/>
    <s v="Perez"/>
    <s v="Fernando"/>
    <x v="1248"/>
    <x v="423"/>
    <n v="1.0334300000000001"/>
    <m/>
    <m/>
    <m/>
    <m/>
    <m/>
    <m/>
    <m/>
    <m/>
    <m/>
    <m/>
    <d v="1953-05-14T00:00:00"/>
    <m/>
    <x v="2"/>
  </r>
  <r>
    <s v="Maya"/>
    <s v="Campos"/>
    <s v="Encarnacion"/>
    <x v="1249"/>
    <x v="423"/>
    <n v="1.2237199999999999"/>
    <m/>
    <m/>
    <m/>
    <m/>
    <m/>
    <m/>
    <m/>
    <m/>
    <m/>
    <m/>
    <d v="1947-04-30T00:00:00"/>
    <m/>
    <x v="2"/>
  </r>
  <r>
    <s v="Alba"/>
    <s v="Cases"/>
    <s v="Joaquin"/>
    <x v="1250"/>
    <x v="423"/>
    <n v="0.26479999999999998"/>
    <m/>
    <m/>
    <m/>
    <m/>
    <m/>
    <m/>
    <m/>
    <m/>
    <m/>
    <m/>
    <d v="1944-09-26T00:00:00"/>
    <m/>
    <x v="2"/>
  </r>
  <r>
    <s v="Mocholi"/>
    <s v="Bayuna"/>
    <s v="Jose Manuel"/>
    <x v="1251"/>
    <x v="423"/>
    <n v="0.21687999999999999"/>
    <m/>
    <m/>
    <m/>
    <m/>
    <m/>
    <m/>
    <m/>
    <m/>
    <m/>
    <m/>
    <d v="1962-10-05T00:00:00"/>
    <m/>
    <x v="2"/>
  </r>
  <r>
    <s v="Renales"/>
    <s v="Marin"/>
    <s v="Miguel"/>
    <x v="1252"/>
    <x v="423"/>
    <n v="0.1201"/>
    <m/>
    <m/>
    <m/>
    <m/>
    <m/>
    <m/>
    <m/>
    <m/>
    <m/>
    <m/>
    <d v="1966-09-11T00:00:00"/>
    <m/>
    <x v="2"/>
  </r>
  <r>
    <s v="Ruiz"/>
    <s v="Lleo"/>
    <s v="Ana Maria"/>
    <x v="1253"/>
    <x v="423"/>
    <n v="0.19871"/>
    <m/>
    <m/>
    <m/>
    <m/>
    <m/>
    <m/>
    <m/>
    <m/>
    <m/>
    <m/>
    <d v="1960-10-04T00:00:00"/>
    <m/>
    <x v="2"/>
  </r>
  <r>
    <s v="Rivera"/>
    <s v="Paricio"/>
    <s v="Jose Nestor"/>
    <x v="1254"/>
    <x v="423"/>
    <n v="3.3562099999999999"/>
    <m/>
    <m/>
    <m/>
    <m/>
    <m/>
    <m/>
    <m/>
    <m/>
    <m/>
    <m/>
    <d v="1942-08-15T00:00:00"/>
    <m/>
    <x v="2"/>
  </r>
  <r>
    <s v="Cases"/>
    <s v="Palacios"/>
    <s v="Jesus"/>
    <x v="1255"/>
    <x v="423"/>
    <n v="1.5464899999999999"/>
    <m/>
    <m/>
    <m/>
    <m/>
    <m/>
    <m/>
    <m/>
    <m/>
    <m/>
    <m/>
    <d v="1976-04-25T00:00:00"/>
    <m/>
    <x v="2"/>
  </r>
  <r>
    <s v="Mulet"/>
    <s v="Balbestre"/>
    <s v="Daniel"/>
    <x v="1256"/>
    <x v="424"/>
    <n v="0.80223999999999995"/>
    <m/>
    <m/>
    <m/>
    <m/>
    <m/>
    <m/>
    <m/>
    <m/>
    <m/>
    <m/>
    <d v="1950-01-25T00:00:00"/>
    <m/>
    <x v="1"/>
  </r>
  <r>
    <s v="Martinez"/>
    <s v="Puchades"/>
    <s v="Juan Carlos"/>
    <x v="1257"/>
    <x v="424"/>
    <n v="0.12947"/>
    <m/>
    <m/>
    <m/>
    <m/>
    <m/>
    <m/>
    <m/>
    <m/>
    <m/>
    <m/>
    <d v="1969-07-08T00:00:00"/>
    <m/>
    <x v="13"/>
  </r>
  <r>
    <s v="Lazaro"/>
    <s v="Bori"/>
    <s v="Jose Vicente"/>
    <x v="1258"/>
    <x v="424"/>
    <n v="4.4920000000000002E-2"/>
    <m/>
    <m/>
    <m/>
    <m/>
    <m/>
    <m/>
    <m/>
    <m/>
    <m/>
    <m/>
    <d v="1961-06-10T00:00:00"/>
    <m/>
    <x v="54"/>
  </r>
  <r>
    <s v="Bernabe"/>
    <s v="Perez"/>
    <s v="Jose Antonio"/>
    <x v="998"/>
    <x v="424"/>
    <n v="7.3209999999999997E-2"/>
    <m/>
    <m/>
    <m/>
    <m/>
    <m/>
    <m/>
    <m/>
    <m/>
    <m/>
    <m/>
    <d v="1952-06-10T00:00:00"/>
    <m/>
    <x v="59"/>
  </r>
  <r>
    <s v="Rehman"/>
    <m/>
    <s v="Abdul"/>
    <x v="1259"/>
    <x v="424"/>
    <n v="0.69006000000000001"/>
    <m/>
    <m/>
    <m/>
    <m/>
    <m/>
    <m/>
    <m/>
    <m/>
    <m/>
    <m/>
    <d v="1973-12-15T00:00:00"/>
    <m/>
    <x v="2"/>
  </r>
  <r>
    <s v="Chen "/>
    <m/>
    <s v="Xu"/>
    <x v="1260"/>
    <x v="424"/>
    <n v="0.10828"/>
    <m/>
    <m/>
    <m/>
    <m/>
    <m/>
    <m/>
    <m/>
    <m/>
    <m/>
    <m/>
    <d v="1970-11-23T00:00:00"/>
    <m/>
    <x v="2"/>
  </r>
  <r>
    <s v="Hermida"/>
    <s v="Arevalos"/>
    <s v="Osmar Nicolas"/>
    <x v="1261"/>
    <x v="424"/>
    <n v="0.32458999999999999"/>
    <m/>
    <m/>
    <m/>
    <m/>
    <m/>
    <m/>
    <m/>
    <m/>
    <m/>
    <m/>
    <d v="1972-08-17T00:00:00"/>
    <m/>
    <x v="2"/>
  </r>
  <r>
    <s v="Ribes"/>
    <s v="Sebastia"/>
    <s v="Alejandro"/>
    <x v="1262"/>
    <x v="424"/>
    <n v="0.131989"/>
    <m/>
    <m/>
    <m/>
    <m/>
    <m/>
    <m/>
    <m/>
    <m/>
    <m/>
    <m/>
    <d v="1955-05-26T00:00:00"/>
    <m/>
    <x v="2"/>
  </r>
  <r>
    <s v="Puche"/>
    <s v="Hernandez"/>
    <s v="Jose"/>
    <x v="1263"/>
    <x v="424"/>
    <n v="4.1700000000000001E-2"/>
    <m/>
    <m/>
    <m/>
    <m/>
    <m/>
    <m/>
    <m/>
    <m/>
    <m/>
    <m/>
    <d v="1947-10-10T00:00:00"/>
    <m/>
    <x v="241"/>
  </r>
  <r>
    <s v="Sanchez"/>
    <s v="Rozalen"/>
    <s v="Liberto"/>
    <x v="1264"/>
    <x v="425"/>
    <n v="5.1399999999999996E-3"/>
    <m/>
    <m/>
    <m/>
    <m/>
    <m/>
    <m/>
    <m/>
    <m/>
    <m/>
    <m/>
    <d v="1940-12-30T00:00:00"/>
    <m/>
    <x v="43"/>
  </r>
  <r>
    <s v="Bernabe"/>
    <s v="Perez"/>
    <s v="Jose Antonio"/>
    <x v="998"/>
    <x v="425"/>
    <n v="1.2999999999999999E-3"/>
    <m/>
    <m/>
    <m/>
    <m/>
    <m/>
    <m/>
    <m/>
    <m/>
    <m/>
    <m/>
    <d v="1952-06-10T00:00:00"/>
    <m/>
    <x v="154"/>
  </r>
  <r>
    <s v="Dobon"/>
    <s v="Hernandez"/>
    <s v="Purificacion"/>
    <x v="1030"/>
    <x v="425"/>
    <n v="0.71128000000000002"/>
    <m/>
    <m/>
    <m/>
    <m/>
    <m/>
    <m/>
    <m/>
    <m/>
    <m/>
    <m/>
    <d v="1934-02-02T00:00:00"/>
    <m/>
    <x v="138"/>
  </r>
  <r>
    <s v="Luz"/>
    <s v="Chanza"/>
    <s v="Ramon"/>
    <x v="1265"/>
    <x v="425"/>
    <n v="5.2339999999999998E-2"/>
    <m/>
    <m/>
    <m/>
    <m/>
    <m/>
    <m/>
    <m/>
    <m/>
    <m/>
    <m/>
    <d v="1939-09-01T00:00:00"/>
    <m/>
    <x v="50"/>
  </r>
  <r>
    <s v="Exposito"/>
    <s v="Ruiz"/>
    <s v="M Mercedes"/>
    <x v="1266"/>
    <x v="425"/>
    <n v="1.00149"/>
    <m/>
    <m/>
    <m/>
    <m/>
    <m/>
    <m/>
    <m/>
    <m/>
    <m/>
    <m/>
    <d v="1949-10-10T00:00:00"/>
    <m/>
    <x v="26"/>
  </r>
  <r>
    <s v="Gabarre"/>
    <s v="Santiago"/>
    <s v="Alberto"/>
    <x v="1267"/>
    <x v="425"/>
    <n v="0.27305000000000001"/>
    <m/>
    <m/>
    <m/>
    <m/>
    <m/>
    <m/>
    <m/>
    <m/>
    <m/>
    <m/>
    <d v="1961-03-20T00:00:00"/>
    <m/>
    <x v="2"/>
  </r>
  <r>
    <s v="Ortega"/>
    <s v="Modrego"/>
    <s v="Juana"/>
    <x v="1268"/>
    <x v="425"/>
    <n v="0.37123"/>
    <m/>
    <m/>
    <m/>
    <m/>
    <m/>
    <m/>
    <m/>
    <m/>
    <m/>
    <m/>
    <d v="1944-10-12T00:00:00"/>
    <m/>
    <x v="2"/>
  </r>
  <r>
    <s v="Caldetey"/>
    <s v="MArtinez"/>
    <s v="Miguel Fernando"/>
    <x v="1269"/>
    <x v="425"/>
    <n v="0.35219"/>
    <m/>
    <m/>
    <m/>
    <m/>
    <m/>
    <m/>
    <m/>
    <m/>
    <m/>
    <m/>
    <d v="1954-12-13T00:00:00"/>
    <m/>
    <x v="2"/>
  </r>
  <r>
    <s v="Martin"/>
    <s v="Montorio"/>
    <s v="Pilar"/>
    <x v="1270"/>
    <x v="425"/>
    <n v="0.27923999999999999"/>
    <m/>
    <m/>
    <m/>
    <m/>
    <m/>
    <m/>
    <m/>
    <m/>
    <m/>
    <m/>
    <d v="1938-07-09T00:00:00"/>
    <m/>
    <x v="2"/>
  </r>
  <r>
    <s v="Cotillas"/>
    <s v="Gonzalez"/>
    <s v="J Enrique"/>
    <x v="1271"/>
    <x v="425"/>
    <n v="0.50780999999999998"/>
    <m/>
    <m/>
    <m/>
    <m/>
    <m/>
    <m/>
    <m/>
    <m/>
    <m/>
    <m/>
    <d v="1952-04-01T00:00:00"/>
    <m/>
    <x v="2"/>
  </r>
  <r>
    <s v="Bronchal"/>
    <s v="Rodriguez"/>
    <s v="M Pilar"/>
    <x v="1272"/>
    <x v="425"/>
    <n v="0.13478000000000001"/>
    <m/>
    <m/>
    <m/>
    <m/>
    <m/>
    <m/>
    <m/>
    <m/>
    <m/>
    <m/>
    <d v="1950-07-23T00:00:00"/>
    <m/>
    <x v="2"/>
  </r>
  <r>
    <s v="Ruiz"/>
    <s v="Gimenez"/>
    <s v="Martina"/>
    <x v="1273"/>
    <x v="425"/>
    <n v="8.2780999999999993E-2"/>
    <m/>
    <m/>
    <m/>
    <m/>
    <m/>
    <m/>
    <m/>
    <m/>
    <m/>
    <m/>
    <d v="1964-02-08T00:00:00"/>
    <m/>
    <x v="2"/>
  </r>
  <r>
    <s v="Gimenez"/>
    <s v="Gonzalez"/>
    <s v="Manuel"/>
    <x v="1274"/>
    <x v="425"/>
    <n v="1.6108"/>
    <m/>
    <m/>
    <m/>
    <m/>
    <m/>
    <m/>
    <m/>
    <m/>
    <m/>
    <m/>
    <d v="1956-03-28T00:00:00"/>
    <m/>
    <x v="2"/>
  </r>
  <r>
    <s v="Miklosi"/>
    <s v="Betrik"/>
    <s v="Violeta Kristzi"/>
    <x v="1275"/>
    <x v="425"/>
    <n v="3.13E-3"/>
    <m/>
    <m/>
    <m/>
    <m/>
    <m/>
    <m/>
    <m/>
    <m/>
    <m/>
    <m/>
    <d v="2009-10-01T00:00:00"/>
    <m/>
    <x v="241"/>
  </r>
  <r>
    <s v="Requena"/>
    <s v="Centellas"/>
    <s v="Ascension"/>
    <x v="495"/>
    <x v="426"/>
    <n v="5.1560000000000002E-2"/>
    <m/>
    <m/>
    <m/>
    <m/>
    <m/>
    <m/>
    <m/>
    <m/>
    <m/>
    <m/>
    <d v="1936-05-30T00:00:00"/>
    <m/>
    <x v="205"/>
  </r>
  <r>
    <s v="Andreo"/>
    <s v="Serrano"/>
    <s v="Manuel"/>
    <x v="705"/>
    <x v="426"/>
    <n v="0.15017"/>
    <m/>
    <m/>
    <m/>
    <m/>
    <m/>
    <m/>
    <m/>
    <m/>
    <m/>
    <m/>
    <d v="1935-08-28T00:00:00"/>
    <m/>
    <x v="9"/>
  </r>
  <r>
    <s v="Marti "/>
    <s v="Moya"/>
    <s v="Bautista"/>
    <x v="412"/>
    <x v="426"/>
    <n v="0.10508000000000001"/>
    <m/>
    <m/>
    <m/>
    <m/>
    <m/>
    <m/>
    <m/>
    <m/>
    <m/>
    <m/>
    <d v="1946-02-04T00:00:00"/>
    <m/>
    <x v="138"/>
  </r>
  <r>
    <s v="Vicente"/>
    <s v="Jimenez"/>
    <s v="Agustin"/>
    <x v="727"/>
    <x v="426"/>
    <n v="5.8799999999999998E-2"/>
    <m/>
    <m/>
    <m/>
    <m/>
    <m/>
    <m/>
    <m/>
    <m/>
    <m/>
    <m/>
    <d v="1985-07-01T00:00:00"/>
    <m/>
    <x v="282"/>
  </r>
  <r>
    <s v="Jimenez"/>
    <s v="Ruiz"/>
    <s v="Jose Luis"/>
    <x v="1276"/>
    <x v="426"/>
    <n v="2.5999999999999998E-4"/>
    <m/>
    <m/>
    <m/>
    <m/>
    <m/>
    <m/>
    <m/>
    <m/>
    <m/>
    <m/>
    <d v="1947-07-02T00:00:00"/>
    <m/>
    <x v="157"/>
  </r>
  <r>
    <s v="Pascual"/>
    <s v="Miro"/>
    <s v="Jose"/>
    <x v="973"/>
    <x v="426"/>
    <n v="0.16880999999999999"/>
    <m/>
    <m/>
    <m/>
    <m/>
    <m/>
    <m/>
    <m/>
    <m/>
    <m/>
    <m/>
    <d v="1985-05-08T00:00:00"/>
    <m/>
    <x v="137"/>
  </r>
  <r>
    <s v="Cruz"/>
    <s v="Rodriguez"/>
    <s v="Carmen"/>
    <x v="1277"/>
    <x v="426"/>
    <n v="1.541E-2"/>
    <m/>
    <m/>
    <m/>
    <m/>
    <m/>
    <m/>
    <m/>
    <m/>
    <m/>
    <m/>
    <d v="1938-07-01T00:00:00"/>
    <m/>
    <x v="283"/>
  </r>
  <r>
    <s v="Franco"/>
    <s v="Invernon"/>
    <s v="Francisco Javier"/>
    <x v="1278"/>
    <x v="426"/>
    <n v="1.06376"/>
    <m/>
    <m/>
    <m/>
    <m/>
    <m/>
    <m/>
    <m/>
    <m/>
    <m/>
    <m/>
    <d v="1973-07-07T00:00:00"/>
    <m/>
    <x v="2"/>
  </r>
  <r>
    <s v="Lluesma"/>
    <s v="Martinez"/>
    <s v="Jose"/>
    <x v="1199"/>
    <x v="426"/>
    <n v="0.76851000000000003"/>
    <m/>
    <m/>
    <m/>
    <m/>
    <m/>
    <m/>
    <m/>
    <m/>
    <m/>
    <m/>
    <d v="1947-03-04T00:00:00"/>
    <m/>
    <x v="2"/>
  </r>
  <r>
    <s v="Miralles"/>
    <s v="MArtinez"/>
    <s v="Juan Ramon"/>
    <x v="1279"/>
    <x v="426"/>
    <n v="0.18104999999999999"/>
    <m/>
    <m/>
    <m/>
    <m/>
    <m/>
    <m/>
    <m/>
    <m/>
    <m/>
    <m/>
    <d v="1964-02-19T00:00:00"/>
    <m/>
    <x v="2"/>
  </r>
  <r>
    <s v="Grancha"/>
    <s v="Verdeguer"/>
    <s v="Josefa"/>
    <x v="1280"/>
    <x v="426"/>
    <n v="0.27198"/>
    <m/>
    <m/>
    <m/>
    <m/>
    <m/>
    <m/>
    <m/>
    <m/>
    <m/>
    <m/>
    <d v="1938-12-22T00:00:00"/>
    <m/>
    <x v="2"/>
  </r>
  <r>
    <s v="Alabau"/>
    <s v="Perpiña"/>
    <s v="Rosa"/>
    <x v="1281"/>
    <x v="426"/>
    <n v="0.49118000000000001"/>
    <m/>
    <m/>
    <m/>
    <m/>
    <m/>
    <m/>
    <m/>
    <m/>
    <m/>
    <m/>
    <d v="1938-12-19T00:00:00"/>
    <m/>
    <x v="2"/>
  </r>
  <r>
    <s v="Mondajer"/>
    <s v="Murales"/>
    <s v="Marco Antonio"/>
    <x v="1282"/>
    <x v="426"/>
    <n v="4.9599999999999998E-2"/>
    <m/>
    <m/>
    <m/>
    <m/>
    <m/>
    <m/>
    <m/>
    <m/>
    <m/>
    <m/>
    <d v="1977-02-01T00:00:00"/>
    <m/>
    <x v="272"/>
  </r>
  <r>
    <s v="Ben "/>
    <s v="Abdallah"/>
    <s v="Safia"/>
    <x v="1283"/>
    <x v="426"/>
    <n v="0.26615"/>
    <m/>
    <m/>
    <m/>
    <m/>
    <m/>
    <m/>
    <m/>
    <m/>
    <m/>
    <m/>
    <d v="1947-01-01T00:00:00"/>
    <m/>
    <x v="243"/>
  </r>
  <r>
    <s v="Trull"/>
    <s v="Dominguez"/>
    <s v="Alejandra"/>
    <x v="1284"/>
    <x v="427"/>
    <n v="1.323E-2"/>
    <m/>
    <m/>
    <m/>
    <m/>
    <m/>
    <m/>
    <m/>
    <m/>
    <m/>
    <m/>
    <d v="1977-05-16T00:00:00"/>
    <m/>
    <x v="171"/>
  </r>
  <r>
    <s v="Rodriguez"/>
    <s v="Slimani"/>
    <s v="Ismael"/>
    <x v="1285"/>
    <x v="427"/>
    <n v="7.9900000000000006E-3"/>
    <m/>
    <m/>
    <m/>
    <m/>
    <m/>
    <m/>
    <m/>
    <m/>
    <m/>
    <m/>
    <d v="1996-02-09T00:00:00"/>
    <m/>
    <x v="268"/>
  </r>
  <r>
    <s v="Perez"/>
    <s v="Diaz"/>
    <s v="M Barbara"/>
    <x v="1286"/>
    <x v="427"/>
    <n v="1.2175100000000001"/>
    <m/>
    <m/>
    <m/>
    <m/>
    <m/>
    <m/>
    <m/>
    <m/>
    <m/>
    <m/>
    <d v="1951-07-04T00:00:00"/>
    <m/>
    <x v="2"/>
  </r>
  <r>
    <s v="Garcia"/>
    <s v="Caler"/>
    <s v="Alejandro"/>
    <x v="1287"/>
    <x v="427"/>
    <n v="0.2707"/>
    <m/>
    <m/>
    <m/>
    <m/>
    <m/>
    <m/>
    <m/>
    <m/>
    <m/>
    <m/>
    <d v="1958-05-20T00:00:00"/>
    <m/>
    <x v="2"/>
  </r>
  <r>
    <s v="Hernandez"/>
    <s v="Torro"/>
    <s v="Vicente"/>
    <x v="1288"/>
    <x v="427"/>
    <n v="0.29652000000000001"/>
    <m/>
    <m/>
    <m/>
    <m/>
    <m/>
    <m/>
    <m/>
    <m/>
    <m/>
    <m/>
    <d v="1941-01-21T00:00:00"/>
    <m/>
    <x v="2"/>
  </r>
  <r>
    <s v="Gosalbez"/>
    <s v="Dominguez"/>
    <s v="Carmen"/>
    <x v="1289"/>
    <x v="427"/>
    <n v="0.32496000000000003"/>
    <m/>
    <m/>
    <m/>
    <m/>
    <m/>
    <m/>
    <m/>
    <m/>
    <m/>
    <m/>
    <d v="1948-05-20T00:00:00"/>
    <m/>
    <x v="2"/>
  </r>
  <r>
    <s v="Silva"/>
    <s v="Moreno"/>
    <s v="Francisco Jose"/>
    <x v="1290"/>
    <x v="427"/>
    <n v="0.45393"/>
    <m/>
    <m/>
    <m/>
    <m/>
    <m/>
    <m/>
    <m/>
    <m/>
    <m/>
    <m/>
    <d v="1957-11-16T00:00:00"/>
    <m/>
    <x v="2"/>
  </r>
  <r>
    <s v="Gamez"/>
    <s v="Ferrer"/>
    <s v="Manuel"/>
    <x v="1291"/>
    <x v="427"/>
    <n v="0.19275"/>
    <m/>
    <m/>
    <m/>
    <m/>
    <m/>
    <m/>
    <m/>
    <m/>
    <m/>
    <m/>
    <d v="1947-03-02T00:00:00"/>
    <m/>
    <x v="2"/>
  </r>
  <r>
    <s v="Arsova"/>
    <s v="Geogieva"/>
    <s v="Erka"/>
    <x v="1292"/>
    <x v="427"/>
    <n v="7.3810000000000001E-2"/>
    <m/>
    <m/>
    <m/>
    <m/>
    <m/>
    <m/>
    <m/>
    <m/>
    <m/>
    <m/>
    <d v="1959-11-16T00:00:00"/>
    <m/>
    <x v="2"/>
  </r>
  <r>
    <s v="Antonja"/>
    <s v="Muñoz"/>
    <s v="Inmaculada"/>
    <x v="1293"/>
    <x v="427"/>
    <n v="0.14971999999999999"/>
    <m/>
    <m/>
    <m/>
    <m/>
    <m/>
    <m/>
    <m/>
    <m/>
    <m/>
    <m/>
    <d v="1971-12-25T00:00:00"/>
    <m/>
    <x v="2"/>
  </r>
  <r>
    <s v="Estrela"/>
    <s v="Guzalbes"/>
    <s v="Francisco"/>
    <x v="1294"/>
    <x v="427"/>
    <n v="1.966E-2"/>
    <m/>
    <m/>
    <m/>
    <m/>
    <m/>
    <m/>
    <m/>
    <m/>
    <m/>
    <m/>
    <d v="1956-10-17T00:00:00"/>
    <m/>
    <x v="272"/>
  </r>
  <r>
    <s v="Moreno"/>
    <s v="Jimenez"/>
    <s v="Jose Antonio"/>
    <x v="1295"/>
    <x v="428"/>
    <n v="1.3396300000000001"/>
    <m/>
    <m/>
    <m/>
    <m/>
    <m/>
    <m/>
    <m/>
    <m/>
    <m/>
    <m/>
    <d v="1947-10-06T00:00:00"/>
    <m/>
    <x v="222"/>
  </r>
  <r>
    <s v="Martinez"/>
    <s v="Rubio"/>
    <s v="Francisca"/>
    <x v="1296"/>
    <x v="429"/>
    <n v="0.35846"/>
    <m/>
    <m/>
    <m/>
    <m/>
    <m/>
    <m/>
    <m/>
    <m/>
    <m/>
    <m/>
    <d v="1936-12-17T00:00:00"/>
    <m/>
    <x v="2"/>
  </r>
  <r>
    <s v="Guillamon"/>
    <s v="Beltran"/>
    <s v="Esteban"/>
    <x v="1297"/>
    <x v="430"/>
    <n v="2.53776"/>
    <m/>
    <m/>
    <m/>
    <m/>
    <m/>
    <m/>
    <m/>
    <m/>
    <m/>
    <m/>
    <d v="1953-09-25T00:00:00"/>
    <m/>
    <x v="20"/>
  </r>
  <r>
    <s v="Centelles"/>
    <s v="MArtinez"/>
    <s v="Juan"/>
    <x v="1298"/>
    <x v="430"/>
    <n v="0.22212000000000001"/>
    <m/>
    <m/>
    <m/>
    <m/>
    <m/>
    <m/>
    <m/>
    <m/>
    <m/>
    <m/>
    <d v="1955-04-21T00:00:00"/>
    <m/>
    <x v="193"/>
  </r>
  <r>
    <s v="Montero"/>
    <s v="Cuellar"/>
    <s v="Percy"/>
    <x v="1299"/>
    <x v="430"/>
    <n v="1.2620800000000001"/>
    <m/>
    <m/>
    <m/>
    <m/>
    <m/>
    <m/>
    <m/>
    <m/>
    <m/>
    <m/>
    <d v="1949-03-03T00:00:00"/>
    <m/>
    <x v="2"/>
  </r>
  <r>
    <s v="Soria"/>
    <s v="Beyte"/>
    <s v="Tomas"/>
    <x v="1300"/>
    <x v="430"/>
    <n v="0.74216000000000004"/>
    <m/>
    <m/>
    <m/>
    <m/>
    <m/>
    <m/>
    <m/>
    <m/>
    <m/>
    <m/>
    <d v="1958-07-05T00:00:00"/>
    <m/>
    <x v="2"/>
  </r>
  <r>
    <s v="Ortega"/>
    <s v="Flores"/>
    <s v="Juan Jose"/>
    <x v="1301"/>
    <x v="430"/>
    <n v="0.11269999999999999"/>
    <m/>
    <m/>
    <m/>
    <m/>
    <m/>
    <m/>
    <m/>
    <m/>
    <m/>
    <m/>
    <d v="1964-09-02T00:00:00"/>
    <m/>
    <x v="2"/>
  </r>
  <r>
    <s v="Lopez"/>
    <s v="Ordinez"/>
    <s v="Enrique"/>
    <x v="1302"/>
    <x v="430"/>
    <n v="0.58243999999999996"/>
    <m/>
    <m/>
    <m/>
    <m/>
    <m/>
    <m/>
    <m/>
    <m/>
    <m/>
    <m/>
    <d v="1943-06-07T00:00:00"/>
    <m/>
    <x v="2"/>
  </r>
  <r>
    <s v="Fuentes"/>
    <s v="Vazquez"/>
    <s v="Jose Ramon"/>
    <x v="1303"/>
    <x v="430"/>
    <n v="0.85568"/>
    <m/>
    <m/>
    <m/>
    <m/>
    <m/>
    <m/>
    <m/>
    <m/>
    <m/>
    <m/>
    <d v="1952-08-19T00:00:00"/>
    <m/>
    <x v="2"/>
  </r>
  <r>
    <s v="Juarez"/>
    <s v="Ruiz"/>
    <s v="Miguel"/>
    <x v="1304"/>
    <x v="430"/>
    <n v="0.29653000000000002"/>
    <m/>
    <m/>
    <m/>
    <m/>
    <m/>
    <m/>
    <m/>
    <m/>
    <m/>
    <m/>
    <d v="1960-10-08T00:00:00"/>
    <m/>
    <x v="2"/>
  </r>
  <r>
    <s v="Dios de "/>
    <s v="Diaz"/>
    <s v="Victoriano"/>
    <x v="1305"/>
    <x v="430"/>
    <n v="0.42346"/>
    <m/>
    <m/>
    <m/>
    <m/>
    <m/>
    <m/>
    <m/>
    <m/>
    <m/>
    <m/>
    <d v="1957-12-03T00:00:00"/>
    <m/>
    <x v="2"/>
  </r>
  <r>
    <s v="Fuster"/>
    <s v="Gomez"/>
    <s v="Esteban"/>
    <x v="1306"/>
    <x v="430"/>
    <n v="0.22098000000000001"/>
    <m/>
    <m/>
    <m/>
    <m/>
    <m/>
    <m/>
    <m/>
    <m/>
    <m/>
    <m/>
    <d v="1934-12-28T00:00:00"/>
    <m/>
    <x v="2"/>
  </r>
  <r>
    <s v="Ibañez"/>
    <s v="Toran"/>
    <s v="Miguel"/>
    <x v="1307"/>
    <x v="430"/>
    <n v="0.43917"/>
    <m/>
    <m/>
    <m/>
    <m/>
    <m/>
    <m/>
    <m/>
    <m/>
    <m/>
    <m/>
    <d v="1967-08-15T00:00:00"/>
    <m/>
    <x v="2"/>
  </r>
  <r>
    <s v="Talaverano"/>
    <s v="Ruiz"/>
    <s v="Jose"/>
    <x v="1308"/>
    <x v="430"/>
    <n v="2.5579999999999999E-2"/>
    <m/>
    <m/>
    <m/>
    <m/>
    <m/>
    <m/>
    <m/>
    <m/>
    <m/>
    <m/>
    <d v="1953-01-10T00:00:00"/>
    <m/>
    <x v="2"/>
  </r>
  <r>
    <s v="Ibañez"/>
    <s v="Buj"/>
    <s v="Jesus"/>
    <x v="1309"/>
    <x v="430"/>
    <n v="1.7287999999999999"/>
    <m/>
    <m/>
    <m/>
    <m/>
    <m/>
    <m/>
    <m/>
    <m/>
    <m/>
    <m/>
    <d v="1962-04-21T00:00:00"/>
    <m/>
    <x v="243"/>
  </r>
  <r>
    <s v="Pasi "/>
    <s v="Duart"/>
    <s v="Miguel"/>
    <x v="1310"/>
    <x v="431"/>
    <n v="0.24787000000000001"/>
    <m/>
    <m/>
    <m/>
    <m/>
    <m/>
    <m/>
    <m/>
    <m/>
    <m/>
    <m/>
    <d v="1945-11-06T00:00:00"/>
    <m/>
    <x v="20"/>
  </r>
  <r>
    <s v="Hernandez"/>
    <s v="Ponce"/>
    <s v="Juliana"/>
    <x v="1311"/>
    <x v="431"/>
    <n v="0.29372999999999999"/>
    <m/>
    <m/>
    <m/>
    <m/>
    <m/>
    <m/>
    <m/>
    <m/>
    <m/>
    <m/>
    <d v="1960-08-08T00:00:00"/>
    <m/>
    <x v="66"/>
  </r>
  <r>
    <s v="Torres"/>
    <s v="Quintana"/>
    <s v="Jose Joaquin"/>
    <x v="1312"/>
    <x v="431"/>
    <n v="0.43867"/>
    <m/>
    <m/>
    <m/>
    <m/>
    <m/>
    <m/>
    <m/>
    <m/>
    <m/>
    <m/>
    <d v="1970-12-07T00:00:00"/>
    <m/>
    <x v="14"/>
  </r>
  <r>
    <s v="Vidal"/>
    <s v="Pellicer"/>
    <s v="Francisco"/>
    <x v="1313"/>
    <x v="431"/>
    <n v="0.60255000000000003"/>
    <m/>
    <m/>
    <m/>
    <m/>
    <m/>
    <m/>
    <m/>
    <m/>
    <m/>
    <m/>
    <d v="1946-06-03T00:00:00"/>
    <m/>
    <x v="2"/>
  </r>
  <r>
    <s v="Ayang"/>
    <s v="Nguema"/>
    <s v="Asunción"/>
    <x v="1314"/>
    <x v="431"/>
    <n v="0.25269000000000003"/>
    <m/>
    <m/>
    <m/>
    <m/>
    <m/>
    <m/>
    <m/>
    <m/>
    <m/>
    <m/>
    <d v="1955-08-15T00:00:00"/>
    <m/>
    <x v="2"/>
  </r>
  <r>
    <s v="Nuñez"/>
    <s v="Clemente"/>
    <s v="Vicente"/>
    <x v="1315"/>
    <x v="431"/>
    <n v="0.10101"/>
    <m/>
    <m/>
    <m/>
    <m/>
    <m/>
    <m/>
    <m/>
    <m/>
    <m/>
    <m/>
    <d v="1966-12-04T00:00:00"/>
    <m/>
    <x v="2"/>
  </r>
  <r>
    <s v="Lido"/>
    <s v="Rodenas"/>
    <s v="Manuel"/>
    <x v="1316"/>
    <x v="431"/>
    <n v="1.11717"/>
    <m/>
    <m/>
    <m/>
    <m/>
    <m/>
    <m/>
    <m/>
    <m/>
    <m/>
    <m/>
    <d v="1934-09-11T00:00:00"/>
    <m/>
    <x v="2"/>
  </r>
  <r>
    <s v="Rodrigo del"/>
    <s v="Amorós"/>
    <s v="Consuelo"/>
    <x v="1317"/>
    <x v="431"/>
    <n v="0.46154000000000001"/>
    <m/>
    <m/>
    <m/>
    <m/>
    <m/>
    <m/>
    <m/>
    <m/>
    <m/>
    <m/>
    <d v="1933-11-20T00:00:00"/>
    <m/>
    <x v="2"/>
  </r>
  <r>
    <s v="Araque"/>
    <s v="Rodriguez"/>
    <s v="Sonia"/>
    <x v="1318"/>
    <x v="431"/>
    <n v="7.5310000000000002E-2"/>
    <m/>
    <m/>
    <m/>
    <m/>
    <m/>
    <m/>
    <m/>
    <m/>
    <m/>
    <m/>
    <d v="1978-10-30T00:00:00"/>
    <m/>
    <x v="2"/>
  </r>
  <r>
    <s v="Palacios"/>
    <s v="Aleixandre"/>
    <s v="Juan"/>
    <x v="1319"/>
    <x v="431"/>
    <n v="0.14083999999999999"/>
    <m/>
    <m/>
    <m/>
    <m/>
    <m/>
    <m/>
    <m/>
    <m/>
    <m/>
    <m/>
    <d v="1937-12-05T00:00:00"/>
    <m/>
    <x v="2"/>
  </r>
  <r>
    <s v="Fito"/>
    <s v="Tarazona"/>
    <s v="Valentin"/>
    <x v="1320"/>
    <x v="431"/>
    <n v="0.29687000000000002"/>
    <m/>
    <m/>
    <m/>
    <m/>
    <m/>
    <m/>
    <m/>
    <m/>
    <m/>
    <m/>
    <d v="1952-06-07T00:00:00"/>
    <m/>
    <x v="2"/>
  </r>
  <r>
    <s v="Bayona"/>
    <s v="Breso"/>
    <s v="Rafael"/>
    <x v="1217"/>
    <x v="431"/>
    <n v="0.22040999999999999"/>
    <m/>
    <m/>
    <m/>
    <m/>
    <m/>
    <m/>
    <m/>
    <m/>
    <m/>
    <m/>
    <d v="1936-08-03T00:00:00"/>
    <m/>
    <x v="2"/>
  </r>
  <r>
    <s v="Monton"/>
    <s v="Gurrea"/>
    <s v="M Carmen"/>
    <x v="1321"/>
    <x v="432"/>
    <n v="0.48505999999999999"/>
    <m/>
    <m/>
    <m/>
    <m/>
    <m/>
    <m/>
    <m/>
    <m/>
    <m/>
    <m/>
    <d v="1961-07-15T00:00:00"/>
    <m/>
    <x v="148"/>
  </r>
  <r>
    <s v="Comes"/>
    <s v="Ramon"/>
    <s v="Agustin"/>
    <x v="1322"/>
    <x v="432"/>
    <n v="7.9560000000000006E-2"/>
    <m/>
    <m/>
    <m/>
    <m/>
    <m/>
    <m/>
    <m/>
    <m/>
    <m/>
    <m/>
    <d v="1955-02-27T00:00:00"/>
    <m/>
    <x v="143"/>
  </r>
  <r>
    <s v="Fuster"/>
    <s v="Tarrazo"/>
    <s v="Rosa Maria"/>
    <x v="98"/>
    <x v="432"/>
    <n v="0.64817000000000002"/>
    <m/>
    <m/>
    <m/>
    <m/>
    <m/>
    <m/>
    <m/>
    <m/>
    <m/>
    <m/>
    <d v="1944-10-24T00:00:00"/>
    <m/>
    <x v="35"/>
  </r>
  <r>
    <s v="Tellez"/>
    <s v="Ramiro"/>
    <s v="Angel"/>
    <x v="1323"/>
    <x v="432"/>
    <n v="1.4840000000000001E-2"/>
    <m/>
    <m/>
    <m/>
    <m/>
    <m/>
    <m/>
    <m/>
    <m/>
    <m/>
    <m/>
    <d v="1977-02-27T00:00:00"/>
    <m/>
    <x v="2"/>
  </r>
  <r>
    <s v="Pardo"/>
    <s v="Alvarez"/>
    <s v="Benjamin"/>
    <x v="1324"/>
    <x v="432"/>
    <n v="6.8440000000000001E-2"/>
    <m/>
    <m/>
    <m/>
    <m/>
    <m/>
    <m/>
    <m/>
    <m/>
    <m/>
    <m/>
    <d v="1955-09-11T00:00:00"/>
    <m/>
    <x v="2"/>
  </r>
  <r>
    <s v="Arias"/>
    <s v="Tristante"/>
    <s v="Juan"/>
    <x v="1325"/>
    <x v="432"/>
    <n v="0.20025000000000001"/>
    <m/>
    <m/>
    <m/>
    <m/>
    <m/>
    <m/>
    <m/>
    <m/>
    <m/>
    <m/>
    <d v="1945-01-17T00:00:00"/>
    <m/>
    <x v="2"/>
  </r>
  <r>
    <s v="Sanchez"/>
    <s v="Sanchez"/>
    <s v="Ivan"/>
    <x v="1326"/>
    <x v="432"/>
    <n v="0.28702"/>
    <m/>
    <m/>
    <m/>
    <m/>
    <m/>
    <m/>
    <m/>
    <m/>
    <m/>
    <m/>
    <d v="1955-09-23T00:00:00"/>
    <m/>
    <x v="2"/>
  </r>
  <r>
    <s v="Davila"/>
    <s v="Loayza"/>
    <s v="Mervin Jose"/>
    <x v="1327"/>
    <x v="432"/>
    <n v="0.24915999999999999"/>
    <m/>
    <m/>
    <m/>
    <m/>
    <m/>
    <m/>
    <m/>
    <m/>
    <m/>
    <m/>
    <d v="1970-06-14T00:00:00"/>
    <m/>
    <x v="2"/>
  </r>
  <r>
    <s v="Canchingre"/>
    <s v="Alava"/>
    <s v="Juan Fernando"/>
    <x v="1328"/>
    <x v="432"/>
    <n v="0.20605999999999999"/>
    <m/>
    <m/>
    <m/>
    <m/>
    <m/>
    <m/>
    <m/>
    <m/>
    <m/>
    <m/>
    <d v="1975-11-15T00:00:00"/>
    <m/>
    <x v="2"/>
  </r>
  <r>
    <s v="Ruiz"/>
    <s v="Ortiz"/>
    <s v="Andres"/>
    <x v="1329"/>
    <x v="432"/>
    <n v="0.15171000000000001"/>
    <m/>
    <m/>
    <m/>
    <m/>
    <m/>
    <m/>
    <m/>
    <m/>
    <m/>
    <m/>
    <d v="1966-11-24T00:00:00"/>
    <m/>
    <x v="2"/>
  </r>
  <r>
    <s v="Garcia"/>
    <s v="Pardo"/>
    <s v="Loro Emilio"/>
    <x v="1330"/>
    <x v="432"/>
    <n v="0.34129999999999999"/>
    <m/>
    <m/>
    <m/>
    <m/>
    <m/>
    <m/>
    <m/>
    <m/>
    <m/>
    <m/>
    <d v="1968-06-01T00:00:00"/>
    <m/>
    <x v="2"/>
  </r>
  <r>
    <s v="Sanchez"/>
    <s v="Real"/>
    <s v="Joaquin Vicente"/>
    <x v="1331"/>
    <x v="432"/>
    <n v="0.10508000000000001"/>
    <m/>
    <m/>
    <m/>
    <m/>
    <m/>
    <m/>
    <m/>
    <m/>
    <m/>
    <m/>
    <d v="1963-08-15T00:00:00"/>
    <m/>
    <x v="2"/>
  </r>
  <r>
    <s v="Garcia"/>
    <s v="Murgui"/>
    <s v="Francisco"/>
    <x v="1332"/>
    <x v="432"/>
    <n v="0.33753"/>
    <m/>
    <m/>
    <m/>
    <m/>
    <m/>
    <m/>
    <m/>
    <m/>
    <m/>
    <m/>
    <d v="1964-05-13T00:00:00"/>
    <m/>
    <x v="2"/>
  </r>
  <r>
    <s v="Garcia"/>
    <s v="Turnero"/>
    <s v="Bernabea"/>
    <x v="1333"/>
    <x v="432"/>
    <n v="9.6780000000000005E-2"/>
    <m/>
    <m/>
    <m/>
    <m/>
    <m/>
    <m/>
    <m/>
    <m/>
    <m/>
    <m/>
    <d v="1934-03-29T00:00:00"/>
    <m/>
    <x v="2"/>
  </r>
  <r>
    <s v="Sanchez"/>
    <s v="Gomez"/>
    <s v="Eloy"/>
    <x v="1334"/>
    <x v="432"/>
    <n v="6.8989999999999996E-2"/>
    <m/>
    <m/>
    <m/>
    <m/>
    <m/>
    <m/>
    <m/>
    <m/>
    <m/>
    <m/>
    <d v="1974-07-10T00:00:00"/>
    <m/>
    <x v="253"/>
  </r>
  <r>
    <s v="Narvaez"/>
    <s v="Rodriguez"/>
    <s v="Cristobal"/>
    <x v="1335"/>
    <x v="433"/>
    <n v="1.7579999999999998E-2"/>
    <m/>
    <m/>
    <m/>
    <m/>
    <m/>
    <m/>
    <m/>
    <m/>
    <m/>
    <m/>
    <d v="1963-04-18T00:00:00"/>
    <m/>
    <x v="58"/>
  </r>
  <r>
    <s v="Mushimi"/>
    <s v="Kanyengwe"/>
    <s v="Yvette"/>
    <x v="519"/>
    <x v="433"/>
    <n v="5.6320000000000002E-2"/>
    <m/>
    <m/>
    <m/>
    <m/>
    <m/>
    <m/>
    <m/>
    <m/>
    <m/>
    <m/>
    <d v="1972-11-28T00:00:00"/>
    <m/>
    <x v="242"/>
  </r>
  <r>
    <s v="Andreu"/>
    <s v="Delgado"/>
    <s v="Ana Vanesa"/>
    <x v="1336"/>
    <x v="433"/>
    <n v="0.12242"/>
    <m/>
    <m/>
    <m/>
    <m/>
    <m/>
    <m/>
    <m/>
    <m/>
    <m/>
    <m/>
    <d v="1980-11-14T00:00:00"/>
    <m/>
    <x v="237"/>
  </r>
  <r>
    <s v="Copado"/>
    <s v="Carbonell"/>
    <s v="Ivan"/>
    <x v="593"/>
    <x v="433"/>
    <n v="2.068E-2"/>
    <m/>
    <m/>
    <m/>
    <m/>
    <m/>
    <m/>
    <m/>
    <m/>
    <m/>
    <m/>
    <d v="1977-06-04T00:00:00"/>
    <m/>
    <x v="159"/>
  </r>
  <r>
    <s v="Recaj"/>
    <s v="Padilla"/>
    <s v="Mariano"/>
    <x v="1337"/>
    <x v="433"/>
    <n v="5.2920000000000002E-2"/>
    <m/>
    <m/>
    <m/>
    <m/>
    <m/>
    <m/>
    <m/>
    <m/>
    <m/>
    <m/>
    <d v="1954-05-01T00:00:00"/>
    <m/>
    <x v="4"/>
  </r>
  <r>
    <s v="Avargues"/>
    <s v="Avargues"/>
    <s v="Ramon"/>
    <x v="1338"/>
    <x v="433"/>
    <n v="0.80313000000000001"/>
    <m/>
    <m/>
    <m/>
    <m/>
    <m/>
    <m/>
    <m/>
    <m/>
    <m/>
    <m/>
    <d v="1960-01-16T00:00:00"/>
    <m/>
    <x v="2"/>
  </r>
  <r>
    <s v="Gimenez"/>
    <s v="Gomez"/>
    <s v="Isabel"/>
    <x v="1339"/>
    <x v="433"/>
    <n v="0.53022000000000002"/>
    <m/>
    <m/>
    <m/>
    <m/>
    <m/>
    <m/>
    <m/>
    <m/>
    <m/>
    <m/>
    <d v="1959-11-16T00:00:00"/>
    <m/>
    <x v="2"/>
  </r>
  <r>
    <s v="Mulio"/>
    <s v="Lopez"/>
    <s v="Salvador"/>
    <x v="1340"/>
    <x v="433"/>
    <n v="8.1100000000000005E-2"/>
    <m/>
    <m/>
    <m/>
    <m/>
    <m/>
    <m/>
    <m/>
    <m/>
    <m/>
    <m/>
    <d v="1968-10-05T00:00:00"/>
    <m/>
    <x v="2"/>
  </r>
  <r>
    <s v="Guerra"/>
    <s v="Ramirez"/>
    <s v="Francisco"/>
    <x v="1341"/>
    <x v="433"/>
    <n v="0.55698999999999999"/>
    <m/>
    <m/>
    <m/>
    <m/>
    <m/>
    <m/>
    <m/>
    <m/>
    <m/>
    <m/>
    <d v="1941-12-23T00:00:00"/>
    <m/>
    <x v="2"/>
  </r>
  <r>
    <s v="Marco "/>
    <s v="Chilet"/>
    <s v="Francisca"/>
    <x v="1173"/>
    <x v="433"/>
    <n v="0.28606999999999999"/>
    <m/>
    <m/>
    <m/>
    <m/>
    <m/>
    <m/>
    <m/>
    <m/>
    <m/>
    <m/>
    <d v="1939-05-03T00:00:00"/>
    <m/>
    <x v="2"/>
  </r>
  <r>
    <s v="Soriano"/>
    <s v="Lopez"/>
    <s v="Javier"/>
    <x v="1342"/>
    <x v="433"/>
    <n v="4.0600000000000002E-3"/>
    <m/>
    <m/>
    <m/>
    <m/>
    <m/>
    <m/>
    <m/>
    <m/>
    <m/>
    <m/>
    <d v="1978-11-28T00:00:00"/>
    <m/>
    <x v="241"/>
  </r>
  <r>
    <s v="Carchano"/>
    <s v="Jimenez"/>
    <s v="Remigio"/>
    <x v="1343"/>
    <x v="434"/>
    <n v="1.261E-2"/>
    <m/>
    <m/>
    <m/>
    <m/>
    <m/>
    <m/>
    <m/>
    <m/>
    <m/>
    <m/>
    <d v="1941-11-24T00:00:00"/>
    <m/>
    <x v="159"/>
  </r>
  <r>
    <s v="Martinez"/>
    <s v="Garcia"/>
    <s v="Rafael"/>
    <x v="791"/>
    <x v="434"/>
    <n v="0.49620999999999998"/>
    <m/>
    <m/>
    <m/>
    <m/>
    <m/>
    <m/>
    <m/>
    <m/>
    <m/>
    <m/>
    <d v="1959-03-14T00:00:00"/>
    <m/>
    <x v="148"/>
  </r>
  <r>
    <s v="Franco"/>
    <s v="Ivernon"/>
    <s v="Francisco Javier"/>
    <x v="1278"/>
    <x v="434"/>
    <n v="0.45630999999999999"/>
    <m/>
    <m/>
    <m/>
    <m/>
    <m/>
    <m/>
    <m/>
    <m/>
    <m/>
    <m/>
    <d v="1973-07-07T00:00:00"/>
    <m/>
    <x v="2"/>
  </r>
  <r>
    <s v="Hernandez de "/>
    <s v="la Calle"/>
    <s v="Antonio"/>
    <x v="1344"/>
    <x v="434"/>
    <n v="0.35871999999999998"/>
    <m/>
    <m/>
    <m/>
    <m/>
    <m/>
    <m/>
    <m/>
    <m/>
    <m/>
    <m/>
    <d v="1948-07-30T00:00:00"/>
    <m/>
    <x v="2"/>
  </r>
  <r>
    <s v="Barrero"/>
    <s v="Torralbo"/>
    <s v="Ana Maria"/>
    <x v="1345"/>
    <x v="434"/>
    <n v="0.36470999999999998"/>
    <m/>
    <m/>
    <m/>
    <m/>
    <m/>
    <m/>
    <m/>
    <m/>
    <m/>
    <m/>
    <d v="1972-05-14T00:00:00"/>
    <m/>
    <x v="2"/>
  </r>
  <r>
    <s v="Guillen"/>
    <s v="Garcia"/>
    <s v="Maria Isabel"/>
    <x v="1346"/>
    <x v="434"/>
    <n v="1.0857699999999999"/>
    <m/>
    <m/>
    <m/>
    <m/>
    <m/>
    <m/>
    <m/>
    <m/>
    <m/>
    <m/>
    <d v="1980-11-20T00:00:00"/>
    <m/>
    <x v="2"/>
  </r>
  <r>
    <s v="Martinez"/>
    <s v="Adsuara"/>
    <s v="Maria Carmen"/>
    <x v="1219"/>
    <x v="434"/>
    <n v="0.56150999999999995"/>
    <m/>
    <m/>
    <m/>
    <m/>
    <m/>
    <m/>
    <m/>
    <m/>
    <m/>
    <m/>
    <d v="1951-04-25T00:00:00"/>
    <m/>
    <x v="243"/>
  </r>
  <r>
    <s v="Miranda"/>
    <s v="Castro"/>
    <s v="Andres Mauricio"/>
    <x v="290"/>
    <x v="435"/>
    <n v="2.5600000000000001E-2"/>
    <m/>
    <m/>
    <m/>
    <m/>
    <m/>
    <m/>
    <m/>
    <m/>
    <m/>
    <m/>
    <d v="1984-09-27T00:00:00"/>
    <m/>
    <x v="188"/>
  </r>
  <r>
    <s v="Macias"/>
    <s v="Castaño"/>
    <s v="Angel"/>
    <x v="1347"/>
    <x v="435"/>
    <n v="0.28044999999999998"/>
    <m/>
    <m/>
    <m/>
    <m/>
    <m/>
    <m/>
    <m/>
    <m/>
    <m/>
    <m/>
    <d v="1946-07-09T00:00:00"/>
    <m/>
    <x v="2"/>
  </r>
  <r>
    <s v="Rubio"/>
    <s v="Martinez"/>
    <s v="Cesar"/>
    <x v="1348"/>
    <x v="436"/>
    <n v="0.29704000000000003"/>
    <m/>
    <m/>
    <m/>
    <m/>
    <m/>
    <m/>
    <m/>
    <m/>
    <m/>
    <m/>
    <d v="1942-09-23T00:00:00"/>
    <m/>
    <x v="2"/>
  </r>
  <r>
    <s v="Miranda"/>
    <s v="Castro"/>
    <s v="Andres Mauricio"/>
    <x v="290"/>
    <x v="437"/>
    <n v="5.6120000000000003E-2"/>
    <m/>
    <m/>
    <m/>
    <m/>
    <m/>
    <m/>
    <m/>
    <m/>
    <m/>
    <m/>
    <d v="1984-09-27T00:00:00"/>
    <m/>
    <x v="180"/>
  </r>
  <r>
    <s v="Teruel"/>
    <s v="Olmedo"/>
    <s v="Laura"/>
    <x v="1131"/>
    <x v="437"/>
    <n v="3.6549999999999999E-2"/>
    <m/>
    <m/>
    <m/>
    <m/>
    <m/>
    <m/>
    <m/>
    <m/>
    <m/>
    <m/>
    <d v="1992-08-14T00:00:00"/>
    <m/>
    <x v="137"/>
  </r>
  <r>
    <s v="Marin"/>
    <s v="Simon"/>
    <s v="Maria Carmen"/>
    <x v="1349"/>
    <x v="437"/>
    <n v="0.36224000000000001"/>
    <m/>
    <m/>
    <m/>
    <m/>
    <m/>
    <m/>
    <m/>
    <m/>
    <m/>
    <m/>
    <d v="1947-05-10T00:00:00"/>
    <m/>
    <x v="1"/>
  </r>
  <r>
    <s v="Ombuena"/>
    <s v="Segarra"/>
    <s v="Francisco"/>
    <x v="1350"/>
    <x v="437"/>
    <n v="0.43769999999999998"/>
    <m/>
    <m/>
    <m/>
    <m/>
    <m/>
    <m/>
    <m/>
    <m/>
    <m/>
    <m/>
    <d v="1946-02-21T00:00:00"/>
    <m/>
    <x v="193"/>
  </r>
  <r>
    <s v="Vanaclocha"/>
    <s v="Ibañez"/>
    <s v="Maria"/>
    <x v="1351"/>
    <x v="437"/>
    <n v="0.27123999999999998"/>
    <m/>
    <m/>
    <m/>
    <m/>
    <m/>
    <m/>
    <m/>
    <m/>
    <m/>
    <m/>
    <d v="1938-01-09T00:00:00"/>
    <m/>
    <x v="2"/>
  </r>
  <r>
    <s v="Llorca"/>
    <s v="Llido"/>
    <s v="Vicente"/>
    <x v="1352"/>
    <x v="437"/>
    <n v="0.13603999999999999"/>
    <m/>
    <m/>
    <m/>
    <m/>
    <m/>
    <m/>
    <m/>
    <m/>
    <m/>
    <m/>
    <d v="1958-02-02T00:00:00"/>
    <m/>
    <x v="2"/>
  </r>
  <r>
    <s v="Serran"/>
    <s v="Gonzalez"/>
    <s v="Juan"/>
    <x v="1353"/>
    <x v="437"/>
    <n v="0.63168999999999997"/>
    <m/>
    <m/>
    <m/>
    <m/>
    <m/>
    <m/>
    <m/>
    <m/>
    <m/>
    <m/>
    <d v="1949-06-28T00:00:00"/>
    <m/>
    <x v="2"/>
  </r>
  <r>
    <s v="Cebrian"/>
    <s v="Nolasco"/>
    <s v="Pedro"/>
    <x v="1354"/>
    <x v="437"/>
    <n v="9.9720000000000003E-2"/>
    <m/>
    <m/>
    <m/>
    <m/>
    <m/>
    <m/>
    <m/>
    <m/>
    <m/>
    <m/>
    <d v="1968-08-29T00:00:00"/>
    <m/>
    <x v="2"/>
  </r>
  <r>
    <s v="Ballester"/>
    <s v="Orts"/>
    <s v="Jose"/>
    <x v="1355"/>
    <x v="437"/>
    <n v="0.19334000000000001"/>
    <m/>
    <m/>
    <m/>
    <m/>
    <m/>
    <m/>
    <m/>
    <m/>
    <m/>
    <m/>
    <d v="1949-04-02T00:00:00"/>
    <m/>
    <x v="2"/>
  </r>
  <r>
    <s v="Moreno"/>
    <s v="Martinez"/>
    <s v="Angeles Vicenta"/>
    <x v="1356"/>
    <x v="437"/>
    <n v="0.28578999999999999"/>
    <m/>
    <m/>
    <m/>
    <m/>
    <m/>
    <m/>
    <m/>
    <m/>
    <m/>
    <m/>
    <d v="1940-10-02T00:00:00"/>
    <m/>
    <x v="2"/>
  </r>
  <r>
    <s v="De Paz"/>
    <s v="Roca"/>
    <s v="Manuela"/>
    <x v="1357"/>
    <x v="437"/>
    <n v="0.11822000000000001"/>
    <m/>
    <m/>
    <m/>
    <m/>
    <m/>
    <m/>
    <m/>
    <m/>
    <m/>
    <m/>
    <d v="1970-10-27T00:00:00"/>
    <m/>
    <x v="2"/>
  </r>
  <r>
    <s v="Monllor"/>
    <s v="Aguilar"/>
    <s v="Francisco"/>
    <x v="1358"/>
    <x v="437"/>
    <n v="6.6439999999999999E-2"/>
    <m/>
    <m/>
    <m/>
    <m/>
    <m/>
    <m/>
    <m/>
    <m/>
    <m/>
    <m/>
    <d v="1948-04-16T00:00:00"/>
    <m/>
    <x v="243"/>
  </r>
  <r>
    <s v="Hita"/>
    <s v="Gimenez"/>
    <s v="Juana"/>
    <x v="1359"/>
    <x v="437"/>
    <n v="2.3609999999999999E-2"/>
    <m/>
    <m/>
    <m/>
    <m/>
    <m/>
    <m/>
    <m/>
    <m/>
    <m/>
    <m/>
    <d v="1958-03-28T00:00:00"/>
    <m/>
    <x v="241"/>
  </r>
  <r>
    <s v="Gomez"/>
    <s v="Castillo"/>
    <s v="Hilaria"/>
    <x v="1196"/>
    <x v="438"/>
    <n v="0.12934000000000001"/>
    <m/>
    <m/>
    <m/>
    <m/>
    <m/>
    <m/>
    <m/>
    <m/>
    <m/>
    <m/>
    <d v="1961-11-19T00:00:00"/>
    <m/>
    <x v="21"/>
  </r>
  <r>
    <s v="Candelario"/>
    <s v="Gomez"/>
    <s v="Iris Isabel"/>
    <x v="1360"/>
    <x v="438"/>
    <n v="1.0066980000000001"/>
    <m/>
    <m/>
    <m/>
    <m/>
    <m/>
    <m/>
    <m/>
    <m/>
    <m/>
    <m/>
    <d v="1956-11-19T00:00:00"/>
    <m/>
    <x v="266"/>
  </r>
  <r>
    <s v="Clemente"/>
    <s v="Diaz"/>
    <s v="Jose"/>
    <x v="314"/>
    <x v="438"/>
    <n v="0.62516000000000005"/>
    <m/>
    <m/>
    <m/>
    <m/>
    <m/>
    <m/>
    <m/>
    <m/>
    <m/>
    <m/>
    <d v="1940-11-14T00:00:00"/>
    <m/>
    <x v="35"/>
  </r>
  <r>
    <s v="El Mateb"/>
    <s v="Meligy"/>
    <s v="Khaleb"/>
    <x v="1361"/>
    <x v="438"/>
    <n v="7.6469999999999996E-2"/>
    <m/>
    <m/>
    <m/>
    <m/>
    <m/>
    <m/>
    <m/>
    <m/>
    <m/>
    <m/>
    <d v="1962-12-09T00:00:00"/>
    <m/>
    <x v="151"/>
  </r>
  <r>
    <s v="Navarro"/>
    <s v="Torrome "/>
    <s v="Juan Angel"/>
    <x v="1362"/>
    <x v="438"/>
    <n v="0.64437"/>
    <m/>
    <m/>
    <m/>
    <m/>
    <m/>
    <m/>
    <m/>
    <m/>
    <m/>
    <m/>
    <d v="1964-01-29T00:00:00"/>
    <m/>
    <x v="2"/>
  </r>
  <r>
    <s v="Portoles"/>
    <s v="Villanueva"/>
    <s v="Cristobal"/>
    <x v="1363"/>
    <x v="438"/>
    <n v="0.91527000000000003"/>
    <m/>
    <m/>
    <m/>
    <m/>
    <m/>
    <m/>
    <m/>
    <m/>
    <m/>
    <m/>
    <d v="1944-05-22T00:00:00"/>
    <m/>
    <x v="2"/>
  </r>
  <r>
    <s v="Sebastia"/>
    <s v="Fabra"/>
    <s v="Agustin"/>
    <x v="1364"/>
    <x v="438"/>
    <n v="0.35193999999999998"/>
    <m/>
    <m/>
    <m/>
    <m/>
    <m/>
    <m/>
    <m/>
    <m/>
    <m/>
    <m/>
    <d v="1940-08-10T00:00:00"/>
    <m/>
    <x v="2"/>
  </r>
  <r>
    <s v="Saura"/>
    <s v="Tomas"/>
    <s v="Juana"/>
    <x v="1365"/>
    <x v="438"/>
    <n v="4.7989999999999998E-2"/>
    <m/>
    <m/>
    <m/>
    <m/>
    <m/>
    <m/>
    <m/>
    <m/>
    <m/>
    <m/>
    <d v="1962-04-08T00:00:00"/>
    <m/>
    <x v="2"/>
  </r>
  <r>
    <s v="Perez"/>
    <s v="Rodriguez"/>
    <s v="Alberto"/>
    <x v="1366"/>
    <x v="438"/>
    <n v="0.15884999999999999"/>
    <m/>
    <m/>
    <m/>
    <m/>
    <m/>
    <m/>
    <m/>
    <m/>
    <m/>
    <m/>
    <d v="1977-07-08T00:00:00"/>
    <m/>
    <x v="2"/>
  </r>
  <r>
    <s v="Mortalla"/>
    <s v="Yubero"/>
    <s v="Francisco"/>
    <x v="1367"/>
    <x v="438"/>
    <n v="0.17660999999999999"/>
    <m/>
    <m/>
    <m/>
    <m/>
    <m/>
    <m/>
    <m/>
    <m/>
    <m/>
    <m/>
    <d v="1959-06-04T00:00:00"/>
    <m/>
    <x v="2"/>
  </r>
  <r>
    <s v="Pons"/>
    <s v="Sanchis"/>
    <s v="Herminia Vicenta"/>
    <x v="1368"/>
    <x v="438"/>
    <n v="0.29366999999999999"/>
    <m/>
    <m/>
    <m/>
    <m/>
    <m/>
    <m/>
    <m/>
    <m/>
    <m/>
    <m/>
    <d v="1956-04-05T00:00:00"/>
    <m/>
    <x v="2"/>
  </r>
  <r>
    <s v="Alvaro"/>
    <s v="Laureano"/>
    <s v="Encarnacion"/>
    <x v="1369"/>
    <x v="438"/>
    <n v="0.75938000000000005"/>
    <m/>
    <m/>
    <m/>
    <m/>
    <m/>
    <m/>
    <m/>
    <m/>
    <m/>
    <m/>
    <d v="1937-02-04T00:00:00"/>
    <m/>
    <x v="2"/>
  </r>
  <r>
    <s v="Dushchenko"/>
    <m/>
    <s v="Oleksandr"/>
    <x v="1370"/>
    <x v="438"/>
    <n v="9.0370000000000006E-2"/>
    <m/>
    <m/>
    <m/>
    <m/>
    <m/>
    <m/>
    <m/>
    <m/>
    <m/>
    <m/>
    <d v="1982-07-15T00:00:00"/>
    <m/>
    <x v="2"/>
  </r>
  <r>
    <s v="Diez"/>
    <s v="Albero"/>
    <s v="Javier"/>
    <x v="1371"/>
    <x v="438"/>
    <n v="0.88639000000000001"/>
    <m/>
    <m/>
    <m/>
    <m/>
    <m/>
    <m/>
    <m/>
    <m/>
    <m/>
    <m/>
    <d v="1974-09-24T00:00:00"/>
    <m/>
    <x v="2"/>
  </r>
  <r>
    <s v="Massi"/>
    <m/>
    <s v="Flavio"/>
    <x v="1212"/>
    <x v="438"/>
    <n v="9.9720000000000003E-2"/>
    <m/>
    <m/>
    <m/>
    <m/>
    <m/>
    <m/>
    <m/>
    <m/>
    <m/>
    <m/>
    <d v="1962-12-31T00:00:00"/>
    <m/>
    <x v="2"/>
  </r>
  <r>
    <s v="Doña"/>
    <s v="Rodriguez"/>
    <s v="Miguel"/>
    <x v="1372"/>
    <x v="438"/>
    <n v="4.5199999999999997E-3"/>
    <m/>
    <m/>
    <m/>
    <m/>
    <m/>
    <m/>
    <m/>
    <m/>
    <m/>
    <m/>
    <d v="1960-06-12T00:00:00"/>
    <m/>
    <x v="284"/>
  </r>
  <r>
    <s v="Caso"/>
    <s v="Sanchis"/>
    <s v="Remigio"/>
    <x v="1373"/>
    <x v="438"/>
    <n v="1.2319999999999999E-2"/>
    <m/>
    <m/>
    <m/>
    <m/>
    <m/>
    <m/>
    <m/>
    <m/>
    <m/>
    <m/>
    <d v="1947-03-03T00:00:00"/>
    <m/>
    <x v="241"/>
  </r>
  <r>
    <s v="Escamilla"/>
    <s v="Whitbread"/>
    <s v="Fabian"/>
    <x v="1374"/>
    <x v="439"/>
    <n v="5.2880000000000003E-2"/>
    <m/>
    <m/>
    <m/>
    <m/>
    <m/>
    <m/>
    <m/>
    <m/>
    <m/>
    <m/>
    <d v="2006-11-01T00:00:00"/>
    <m/>
    <x v="158"/>
  </r>
  <r>
    <s v="Ciscar"/>
    <s v="Vilanova"/>
    <s v="Francisca"/>
    <x v="695"/>
    <x v="439"/>
    <n v="6.1129999999999997E-2"/>
    <m/>
    <m/>
    <m/>
    <m/>
    <m/>
    <m/>
    <m/>
    <m/>
    <m/>
    <m/>
    <d v="1940-06-27T00:00:00"/>
    <m/>
    <x v="193"/>
  </r>
  <r>
    <s v="Solaz"/>
    <s v="Garzon"/>
    <s v="Angel"/>
    <x v="1375"/>
    <x v="439"/>
    <n v="0.11842999999999999"/>
    <m/>
    <m/>
    <m/>
    <m/>
    <m/>
    <m/>
    <m/>
    <m/>
    <m/>
    <m/>
    <d v="1953-05-19T00:00:00"/>
    <m/>
    <x v="58"/>
  </r>
  <r>
    <s v="Llisto"/>
    <s v="Rodriguez"/>
    <s v="Jose Antonio"/>
    <x v="1376"/>
    <x v="439"/>
    <n v="0.56988000000000005"/>
    <m/>
    <m/>
    <m/>
    <m/>
    <m/>
    <m/>
    <m/>
    <m/>
    <m/>
    <m/>
    <d v="1940-03-28T00:00:00"/>
    <m/>
    <x v="227"/>
  </r>
  <r>
    <s v="Muñoz de Morales"/>
    <s v="Gomez del Moral"/>
    <s v="Juan V"/>
    <x v="1377"/>
    <x v="439"/>
    <n v="0.48505999999999999"/>
    <m/>
    <m/>
    <m/>
    <m/>
    <m/>
    <m/>
    <m/>
    <m/>
    <m/>
    <m/>
    <d v="1963-02-27T00:00:00"/>
    <m/>
    <x v="2"/>
  </r>
  <r>
    <s v="Alcover"/>
    <s v="Sauri"/>
    <s v="Jose"/>
    <x v="1378"/>
    <x v="439"/>
    <n v="0.49785000000000001"/>
    <m/>
    <m/>
    <m/>
    <m/>
    <m/>
    <m/>
    <m/>
    <m/>
    <m/>
    <m/>
    <d v="1953-01-07T00:00:00"/>
    <m/>
    <x v="2"/>
  </r>
  <r>
    <s v="Cases"/>
    <s v="Crespo"/>
    <s v="Jesus"/>
    <x v="1379"/>
    <x v="439"/>
    <n v="0.23425000000000001"/>
    <m/>
    <m/>
    <m/>
    <m/>
    <m/>
    <m/>
    <m/>
    <m/>
    <m/>
    <m/>
    <d v="1947-01-10T00:00:00"/>
    <m/>
    <x v="2"/>
  </r>
  <r>
    <s v="Llorente"/>
    <s v="Garcia"/>
    <s v="Isabel"/>
    <x v="1380"/>
    <x v="439"/>
    <n v="7.8399999999999997E-2"/>
    <m/>
    <m/>
    <m/>
    <m/>
    <m/>
    <m/>
    <m/>
    <m/>
    <m/>
    <m/>
    <d v="1958-10-28T00:00:00"/>
    <m/>
    <x v="2"/>
  </r>
  <r>
    <s v="Rodriguez"/>
    <s v="Ferrera"/>
    <s v="Sergio"/>
    <x v="1381"/>
    <x v="439"/>
    <n v="0.52102999999999999"/>
    <m/>
    <m/>
    <m/>
    <m/>
    <m/>
    <m/>
    <m/>
    <m/>
    <m/>
    <m/>
    <d v="1933-02-24T00:00:00"/>
    <m/>
    <x v="2"/>
  </r>
  <r>
    <s v="Traves"/>
    <s v="Ribes"/>
    <s v="M Carmen"/>
    <x v="1019"/>
    <x v="439"/>
    <n v="0.32174000000000003"/>
    <m/>
    <m/>
    <m/>
    <m/>
    <m/>
    <m/>
    <m/>
    <m/>
    <m/>
    <m/>
    <d v="1964-01-01T00:00:00"/>
    <m/>
    <x v="2"/>
  </r>
  <r>
    <s v="Nogues"/>
    <s v="Martinez"/>
    <s v="Fidel"/>
    <x v="1382"/>
    <x v="439"/>
    <n v="0.18779000000000001"/>
    <m/>
    <m/>
    <m/>
    <m/>
    <m/>
    <m/>
    <m/>
    <m/>
    <m/>
    <m/>
    <d v="1936-04-05T00:00:00"/>
    <m/>
    <x v="2"/>
  </r>
  <r>
    <s v="Alaez"/>
    <s v="Cabrera"/>
    <s v="Felipe"/>
    <x v="1383"/>
    <x v="439"/>
    <n v="0.47726000000000002"/>
    <m/>
    <m/>
    <m/>
    <m/>
    <m/>
    <m/>
    <m/>
    <m/>
    <m/>
    <m/>
    <d v="1959-05-03T00:00:00"/>
    <m/>
    <x v="2"/>
  </r>
  <r>
    <s v="Myluha"/>
    <s v="Myluha"/>
    <s v="Hanna"/>
    <x v="1384"/>
    <x v="439"/>
    <n v="3.6069999999999998E-2"/>
    <m/>
    <m/>
    <m/>
    <m/>
    <m/>
    <m/>
    <m/>
    <m/>
    <m/>
    <m/>
    <d v="1945-06-13T00:00:00"/>
    <m/>
    <x v="2"/>
  </r>
  <r>
    <s v="Milla"/>
    <s v="Huesa"/>
    <s v="Vicente Jesus"/>
    <x v="1385"/>
    <x v="439"/>
    <n v="0.11658"/>
    <m/>
    <m/>
    <m/>
    <m/>
    <m/>
    <m/>
    <m/>
    <m/>
    <m/>
    <m/>
    <d v="1966-01-23T00:00:00"/>
    <m/>
    <x v="2"/>
  </r>
  <r>
    <s v="Martin"/>
    <s v="Navarro"/>
    <s v="Juan Emiliano"/>
    <x v="1386"/>
    <x v="439"/>
    <n v="7.2730000000000003E-2"/>
    <m/>
    <m/>
    <m/>
    <m/>
    <m/>
    <m/>
    <m/>
    <m/>
    <m/>
    <m/>
    <d v="1935-06-12T00:00:00"/>
    <m/>
    <x v="284"/>
  </r>
  <r>
    <s v="Conesa"/>
    <s v="Triviño"/>
    <s v="Jose Antonio"/>
    <x v="1387"/>
    <x v="439"/>
    <n v="4.5199999999999997E-3"/>
    <m/>
    <m/>
    <m/>
    <m/>
    <m/>
    <m/>
    <m/>
    <m/>
    <m/>
    <m/>
    <d v="1985-06-12T00:00:00"/>
    <m/>
    <x v="241"/>
  </r>
  <r>
    <s v="Planes"/>
    <s v="Bolea"/>
    <s v="Lluis"/>
    <x v="1388"/>
    <x v="440"/>
    <n v="1.213E-2"/>
    <m/>
    <m/>
    <m/>
    <m/>
    <m/>
    <m/>
    <m/>
    <m/>
    <m/>
    <m/>
    <d v="1993-12-01T00:00:00"/>
    <m/>
    <x v="89"/>
  </r>
  <r>
    <s v="Josa"/>
    <s v="Bayo"/>
    <s v="Clemente"/>
    <x v="1389"/>
    <x v="440"/>
    <n v="8.3699999999999997E-2"/>
    <m/>
    <m/>
    <m/>
    <m/>
    <m/>
    <m/>
    <m/>
    <m/>
    <m/>
    <m/>
    <d v="1944-11-21T00:00:00"/>
    <m/>
    <x v="285"/>
  </r>
  <r>
    <s v="Yuste"/>
    <s v="Mislata"/>
    <s v="Marcelino"/>
    <x v="1390"/>
    <x v="440"/>
    <n v="0.19950000000000001"/>
    <m/>
    <m/>
    <m/>
    <m/>
    <m/>
    <m/>
    <m/>
    <m/>
    <m/>
    <m/>
    <d v="1937-01-19T00:00:00"/>
    <m/>
    <x v="177"/>
  </r>
  <r>
    <s v="Tortajada"/>
    <s v="Martinez"/>
    <s v="Juan"/>
    <x v="1391"/>
    <x v="440"/>
    <n v="0.52759999999999996"/>
    <m/>
    <m/>
    <m/>
    <m/>
    <m/>
    <m/>
    <m/>
    <m/>
    <m/>
    <m/>
    <d v="1959-11-30T00:00:00"/>
    <m/>
    <x v="1"/>
  </r>
  <r>
    <s v="Martinez"/>
    <s v="Puchades"/>
    <s v="Juan Carlos"/>
    <x v="1257"/>
    <x v="440"/>
    <n v="1.2464500000000001"/>
    <m/>
    <m/>
    <m/>
    <m/>
    <m/>
    <m/>
    <m/>
    <m/>
    <m/>
    <m/>
    <d v="1949-07-08T00:00:00"/>
    <m/>
    <x v="242"/>
  </r>
  <r>
    <s v="Pascual"/>
    <s v="Miro"/>
    <s v="Jose"/>
    <x v="1392"/>
    <x v="440"/>
    <n v="2.018E-2"/>
    <m/>
    <m/>
    <m/>
    <m/>
    <m/>
    <m/>
    <m/>
    <m/>
    <m/>
    <m/>
    <d v="1985-05-08T00:00:00"/>
    <m/>
    <x v="171"/>
  </r>
  <r>
    <s v="Olcina"/>
    <s v="Carchano"/>
    <s v="Francisco"/>
    <x v="1393"/>
    <x v="440"/>
    <n v="9.0000000000000006E-5"/>
    <m/>
    <m/>
    <m/>
    <m/>
    <m/>
    <m/>
    <m/>
    <m/>
    <m/>
    <m/>
    <d v="1949-01-30T00:00:00"/>
    <m/>
    <x v="180"/>
  </r>
  <r>
    <s v="Romaguera"/>
    <s v="Albert"/>
    <s v="Mariano"/>
    <x v="1394"/>
    <x v="440"/>
    <n v="8.6919999999999997E-2"/>
    <m/>
    <m/>
    <m/>
    <m/>
    <m/>
    <m/>
    <m/>
    <m/>
    <m/>
    <m/>
    <d v="1966-06-23T00:00:00"/>
    <m/>
    <x v="242"/>
  </r>
  <r>
    <s v="Ceba"/>
    <s v="Paez"/>
    <s v="Maria del Mar"/>
    <x v="1395"/>
    <x v="440"/>
    <n v="0.45961999999999997"/>
    <m/>
    <m/>
    <m/>
    <m/>
    <m/>
    <m/>
    <m/>
    <m/>
    <m/>
    <m/>
    <d v="1940-05-26T00:00:00"/>
    <m/>
    <x v="242"/>
  </r>
  <r>
    <s v="Pardo"/>
    <s v="Centeno"/>
    <s v="Eva"/>
    <x v="1396"/>
    <x v="440"/>
    <n v="3.4439999999999998E-2"/>
    <m/>
    <m/>
    <m/>
    <m/>
    <m/>
    <m/>
    <m/>
    <m/>
    <m/>
    <m/>
    <d v="1972-09-02T00:00:00"/>
    <m/>
    <x v="2"/>
  </r>
  <r>
    <s v="Llorens"/>
    <s v="Ferrer"/>
    <s v="Manuel Eduardo"/>
    <x v="1397"/>
    <x v="440"/>
    <n v="0.11380999999999999"/>
    <m/>
    <m/>
    <m/>
    <m/>
    <m/>
    <m/>
    <m/>
    <m/>
    <m/>
    <m/>
    <d v="1935-01-01T00:00:00"/>
    <m/>
    <x v="2"/>
  </r>
  <r>
    <s v="Garcia"/>
    <s v="Hirsch"/>
    <s v="Domingo Daniel"/>
    <x v="1398"/>
    <x v="440"/>
    <n v="0.14834"/>
    <m/>
    <m/>
    <m/>
    <m/>
    <m/>
    <m/>
    <m/>
    <m/>
    <m/>
    <m/>
    <d v="1963-05-16T00:00:00"/>
    <m/>
    <x v="2"/>
  </r>
  <r>
    <s v="Bueno"/>
    <s v="Fayos"/>
    <s v="Vicente"/>
    <x v="1399"/>
    <x v="440"/>
    <n v="0.85721000000000003"/>
    <m/>
    <m/>
    <m/>
    <m/>
    <m/>
    <m/>
    <m/>
    <m/>
    <m/>
    <m/>
    <d v="1959-07-30T00:00:00"/>
    <m/>
    <x v="2"/>
  </r>
  <r>
    <s v="Evangelio"/>
    <s v="Navarro"/>
    <s v="Angel"/>
    <x v="1400"/>
    <x v="440"/>
    <n v="0.22836999999999999"/>
    <m/>
    <m/>
    <m/>
    <m/>
    <m/>
    <m/>
    <m/>
    <m/>
    <m/>
    <m/>
    <d v="1977-02-18T00:00:00"/>
    <m/>
    <x v="2"/>
  </r>
  <r>
    <s v="Romero"/>
    <s v="Sanchez"/>
    <s v="Manuel"/>
    <x v="1121"/>
    <x v="440"/>
    <n v="0.35753000000000001"/>
    <m/>
    <m/>
    <m/>
    <m/>
    <m/>
    <m/>
    <m/>
    <m/>
    <m/>
    <m/>
    <d v="1977-03-18T00:00:00"/>
    <m/>
    <x v="2"/>
  </r>
  <r>
    <s v="Alfonso"/>
    <s v="Zamorano"/>
    <s v="Salvador"/>
    <x v="1401"/>
    <x v="440"/>
    <n v="0.54408000000000001"/>
    <m/>
    <m/>
    <m/>
    <m/>
    <m/>
    <m/>
    <m/>
    <m/>
    <m/>
    <m/>
    <d v="1949-05-14T00:00:00"/>
    <m/>
    <x v="2"/>
  </r>
  <r>
    <s v="Garrido"/>
    <s v="Vila"/>
    <s v="Eric"/>
    <x v="1402"/>
    <x v="440"/>
    <n v="1.0800700000000001"/>
    <m/>
    <m/>
    <m/>
    <m/>
    <m/>
    <m/>
    <m/>
    <m/>
    <m/>
    <m/>
    <d v="1990-10-07T00:00:00"/>
    <m/>
    <x v="2"/>
  </r>
  <r>
    <s v="Ibañez"/>
    <s v="Bayarri"/>
    <s v="Milagros"/>
    <x v="1403"/>
    <x v="440"/>
    <n v="1.1350000000000001E-2"/>
    <m/>
    <m/>
    <m/>
    <m/>
    <m/>
    <m/>
    <m/>
    <m/>
    <m/>
    <m/>
    <d v="1939-09-06T00:00:00"/>
    <m/>
    <x v="284"/>
  </r>
  <r>
    <s v="Marco"/>
    <s v="Chilet"/>
    <s v="Francisca"/>
    <x v="1173"/>
    <x v="440"/>
    <n v="6.7949999999999997E-2"/>
    <m/>
    <m/>
    <m/>
    <m/>
    <m/>
    <m/>
    <m/>
    <m/>
    <m/>
    <m/>
    <d v="1939-05-03T00:00:00"/>
    <m/>
    <x v="284"/>
  </r>
  <r>
    <s v="Cosin"/>
    <s v="Martinez"/>
    <s v="Marta"/>
    <x v="1404"/>
    <x v="441"/>
    <n v="1.431E-2"/>
    <m/>
    <m/>
    <m/>
    <m/>
    <m/>
    <m/>
    <m/>
    <m/>
    <m/>
    <m/>
    <d v="1986-02-28T00:00:00"/>
    <m/>
    <x v="56"/>
  </r>
  <r>
    <s v="Gil"/>
    <s v="Fabra"/>
    <s v="Ricardo"/>
    <x v="912"/>
    <x v="441"/>
    <n v="1.008E-2"/>
    <m/>
    <m/>
    <m/>
    <m/>
    <m/>
    <m/>
    <m/>
    <m/>
    <m/>
    <m/>
    <d v="1957-07-11T00:00:00"/>
    <m/>
    <x v="234"/>
  </r>
  <r>
    <s v="Sierchio"/>
    <m/>
    <s v="Ronald"/>
    <x v="914"/>
    <x v="441"/>
    <n v="1.8409999999999999E-2"/>
    <m/>
    <m/>
    <m/>
    <m/>
    <m/>
    <m/>
    <m/>
    <m/>
    <m/>
    <m/>
    <d v="1979-09-23T00:00:00"/>
    <m/>
    <x v="234"/>
  </r>
  <r>
    <s v="Bataller"/>
    <s v="Garcia"/>
    <s v="Jose"/>
    <x v="1405"/>
    <x v="441"/>
    <n v="0.29553000000000001"/>
    <m/>
    <m/>
    <m/>
    <m/>
    <m/>
    <m/>
    <m/>
    <m/>
    <m/>
    <m/>
    <d v="1948-12-23T00:00:00"/>
    <m/>
    <x v="2"/>
  </r>
  <r>
    <s v="Carmona"/>
    <s v="Galiano"/>
    <s v="Dolores"/>
    <x v="1406"/>
    <x v="441"/>
    <n v="0.70115000000000005"/>
    <m/>
    <m/>
    <m/>
    <m/>
    <m/>
    <m/>
    <m/>
    <m/>
    <m/>
    <m/>
    <d v="1942-05-12T00:00:00"/>
    <m/>
    <x v="2"/>
  </r>
  <r>
    <s v="Valle"/>
    <s v="Garcia"/>
    <s v="Maria Eugenia"/>
    <x v="1407"/>
    <x v="441"/>
    <n v="9.4229999999999994E-2"/>
    <m/>
    <m/>
    <m/>
    <m/>
    <m/>
    <m/>
    <m/>
    <m/>
    <m/>
    <m/>
    <d v="1959-02-15T00:00:00"/>
    <m/>
    <x v="2"/>
  </r>
  <r>
    <s v="Fuster"/>
    <s v="Gomez"/>
    <s v="Esteban"/>
    <x v="1306"/>
    <x v="441"/>
    <n v="0.94154000000000004"/>
    <m/>
    <m/>
    <m/>
    <m/>
    <m/>
    <m/>
    <m/>
    <m/>
    <m/>
    <m/>
    <d v="1934-12-28T00:00:00"/>
    <m/>
    <x v="2"/>
  </r>
  <r>
    <s v="Serrano"/>
    <s v="Navalom"/>
    <s v="Yeray"/>
    <x v="1408"/>
    <x v="441"/>
    <n v="0.41575000000000001"/>
    <m/>
    <m/>
    <m/>
    <m/>
    <m/>
    <m/>
    <m/>
    <m/>
    <m/>
    <m/>
    <d v="2005-01-31T00:00:00"/>
    <m/>
    <x v="2"/>
  </r>
  <r>
    <s v="Borras"/>
    <s v="Muñoz"/>
    <s v="Vicente"/>
    <x v="1409"/>
    <x v="442"/>
    <n v="1.0053399999999999"/>
    <m/>
    <m/>
    <m/>
    <m/>
    <m/>
    <m/>
    <m/>
    <m/>
    <m/>
    <m/>
    <d v="1930-03-27T00:00:00"/>
    <m/>
    <x v="2"/>
  </r>
  <r>
    <s v="Ivars"/>
    <s v="Donet"/>
    <s v="Matilde"/>
    <x v="1410"/>
    <x v="442"/>
    <n v="0.19697000000000001"/>
    <m/>
    <m/>
    <m/>
    <m/>
    <m/>
    <m/>
    <m/>
    <m/>
    <m/>
    <m/>
    <d v="1964-02-05T00:00:00"/>
    <m/>
    <x v="2"/>
  </r>
  <r>
    <s v="Parra"/>
    <s v="del Castillo"/>
    <s v="M Jesus"/>
    <x v="1411"/>
    <x v="443"/>
    <n v="0.12526000000000001"/>
    <m/>
    <m/>
    <m/>
    <m/>
    <m/>
    <m/>
    <m/>
    <m/>
    <m/>
    <m/>
    <d v="1946-09-16T00:00:00"/>
    <m/>
    <x v="284"/>
  </r>
  <r>
    <s v="Ordoñez"/>
    <s v="Muriel"/>
    <s v="Abundio"/>
    <x v="1412"/>
    <x v="443"/>
    <n v="0.19311"/>
    <m/>
    <m/>
    <m/>
    <m/>
    <m/>
    <m/>
    <m/>
    <m/>
    <m/>
    <m/>
    <d v="1945-06-20T00:00:00"/>
    <m/>
    <x v="2"/>
  </r>
  <r>
    <s v="Moreno"/>
    <s v="Martinez"/>
    <s v="Jose"/>
    <x v="1413"/>
    <x v="443"/>
    <n v="0.48857"/>
    <m/>
    <m/>
    <m/>
    <m/>
    <m/>
    <m/>
    <m/>
    <m/>
    <m/>
    <m/>
    <d v="1943-07-14T00:00:00"/>
    <m/>
    <x v="2"/>
  </r>
  <r>
    <s v="Zuriaga"/>
    <s v="Sayas"/>
    <s v="Vicente"/>
    <x v="1414"/>
    <x v="443"/>
    <n v="0.29010999999999998"/>
    <m/>
    <m/>
    <m/>
    <m/>
    <m/>
    <m/>
    <m/>
    <m/>
    <m/>
    <m/>
    <d v="1963-07-30T00:00:00"/>
    <m/>
    <x v="2"/>
  </r>
  <r>
    <s v="Camps"/>
    <s v="Colomar"/>
    <s v="Maria"/>
    <x v="1415"/>
    <x v="443"/>
    <n v="0.42864999999999998"/>
    <m/>
    <m/>
    <m/>
    <m/>
    <m/>
    <m/>
    <m/>
    <m/>
    <m/>
    <m/>
    <d v="1942-03-12T00:00:00"/>
    <m/>
    <x v="2"/>
  </r>
  <r>
    <s v="Ahullana"/>
    <s v="Giner"/>
    <s v="Vicente"/>
    <x v="1416"/>
    <x v="443"/>
    <n v="0.25191000000000002"/>
    <m/>
    <m/>
    <m/>
    <m/>
    <m/>
    <m/>
    <m/>
    <m/>
    <m/>
    <m/>
    <d v="1963-09-18T00:00:00"/>
    <m/>
    <x v="2"/>
  </r>
  <r>
    <s v="Moris"/>
    <s v="Cervera"/>
    <s v="Amalia Trinida"/>
    <x v="1417"/>
    <x v="443"/>
    <n v="0.25652000000000003"/>
    <m/>
    <m/>
    <m/>
    <m/>
    <m/>
    <m/>
    <m/>
    <m/>
    <m/>
    <m/>
    <d v="1955-12-10T00:00:00"/>
    <m/>
    <x v="2"/>
  </r>
  <r>
    <s v="Roca"/>
    <s v="Asensi"/>
    <s v="Miguel"/>
    <x v="1223"/>
    <x v="443"/>
    <n v="0.13735"/>
    <m/>
    <m/>
    <m/>
    <m/>
    <m/>
    <m/>
    <m/>
    <m/>
    <m/>
    <m/>
    <d v="1939-11-21T00:00:00"/>
    <m/>
    <x v="2"/>
  </r>
  <r>
    <s v="Casanova"/>
    <s v="Civera"/>
    <s v="Juan"/>
    <x v="1418"/>
    <x v="443"/>
    <n v="0.28821000000000002"/>
    <m/>
    <m/>
    <m/>
    <m/>
    <m/>
    <m/>
    <m/>
    <m/>
    <m/>
    <m/>
    <d v="1931-08-24T00:00:00"/>
    <m/>
    <x v="2"/>
  </r>
  <r>
    <s v="Stefanescu"/>
    <m/>
    <s v="Artimiza"/>
    <x v="1419"/>
    <x v="443"/>
    <n v="0.15"/>
    <m/>
    <m/>
    <m/>
    <m/>
    <m/>
    <m/>
    <m/>
    <m/>
    <m/>
    <m/>
    <d v="1958-10-19T00:00:00"/>
    <m/>
    <x v="2"/>
  </r>
  <r>
    <s v="Juncosa"/>
    <s v="Colomer"/>
    <s v="Francisco"/>
    <x v="1420"/>
    <x v="443"/>
    <n v="7.5149999999999995E-2"/>
    <m/>
    <m/>
    <m/>
    <m/>
    <m/>
    <m/>
    <m/>
    <m/>
    <m/>
    <m/>
    <d v="1941-10-16T00:00:00"/>
    <m/>
    <x v="2"/>
  </r>
  <r>
    <s v="Garcia"/>
    <s v="Garcia"/>
    <s v="Francisca"/>
    <x v="1421"/>
    <x v="443"/>
    <n v="6.7129999999999995E-2"/>
    <m/>
    <m/>
    <m/>
    <m/>
    <m/>
    <m/>
    <m/>
    <m/>
    <m/>
    <m/>
    <d v="1949-02-03T00:00:00"/>
    <m/>
    <x v="2"/>
  </r>
  <r>
    <s v="Garcia"/>
    <s v="Solaz"/>
    <s v="Salvador"/>
    <x v="1422"/>
    <x v="443"/>
    <n v="0.60558000000000001"/>
    <m/>
    <m/>
    <m/>
    <m/>
    <m/>
    <m/>
    <m/>
    <m/>
    <m/>
    <m/>
    <d v="1953-06-23T00:00:00"/>
    <m/>
    <x v="2"/>
  </r>
  <r>
    <s v="Andres"/>
    <s v="Huguet"/>
    <s v="Francisco"/>
    <x v="1423"/>
    <x v="443"/>
    <n v="1.07328"/>
    <m/>
    <m/>
    <m/>
    <m/>
    <m/>
    <m/>
    <m/>
    <m/>
    <m/>
    <m/>
    <d v="1940-03-14T00:00:00"/>
    <m/>
    <x v="2"/>
  </r>
  <r>
    <s v="Ruiz Galan"/>
    <s v="Martinez"/>
    <s v="Jose Manuel"/>
    <x v="1424"/>
    <x v="443"/>
    <n v="0.27346999999999999"/>
    <m/>
    <m/>
    <m/>
    <m/>
    <m/>
    <m/>
    <m/>
    <m/>
    <m/>
    <m/>
    <d v="1947-08-16T00:00:00"/>
    <m/>
    <x v="1"/>
  </r>
  <r>
    <s v="Lluch"/>
    <s v="Prats"/>
    <s v="Marta Pilar"/>
    <x v="1425"/>
    <x v="443"/>
    <n v="0.17938999999999999"/>
    <m/>
    <m/>
    <m/>
    <m/>
    <m/>
    <m/>
    <m/>
    <m/>
    <m/>
    <m/>
    <d v="1976-10-31T00:00:00"/>
    <m/>
    <x v="164"/>
  </r>
  <r>
    <s v="Marques"/>
    <s v="Fernández"/>
    <s v="Vicente Jose"/>
    <x v="1426"/>
    <x v="443"/>
    <n v="6.5280000000000005E-2"/>
    <m/>
    <m/>
    <m/>
    <m/>
    <m/>
    <m/>
    <m/>
    <m/>
    <m/>
    <m/>
    <d v="1955-07-11T00:00:00"/>
    <m/>
    <x v="58"/>
  </r>
  <r>
    <s v="Serrano"/>
    <s v="Monforte"/>
    <s v="Higinio"/>
    <x v="1427"/>
    <x v="443"/>
    <n v="4.7750000000000001E-2"/>
    <m/>
    <m/>
    <m/>
    <m/>
    <m/>
    <m/>
    <m/>
    <m/>
    <m/>
    <m/>
    <d v="1929-09-10T00:00:00"/>
    <m/>
    <x v="50"/>
  </r>
  <r>
    <s v="Teruel"/>
    <s v="Olmedo"/>
    <s v="Laura"/>
    <x v="1131"/>
    <x v="443"/>
    <n v="8.3599999999999994E-3"/>
    <m/>
    <m/>
    <m/>
    <m/>
    <m/>
    <m/>
    <m/>
    <m/>
    <m/>
    <m/>
    <d v="1992-08-04T00:00:00"/>
    <m/>
    <x v="107"/>
  </r>
  <r>
    <s v="Fernández"/>
    <s v="Bautista"/>
    <s v="Andrés"/>
    <x v="296"/>
    <x v="443"/>
    <n v="1.3968100000000001"/>
    <m/>
    <m/>
    <m/>
    <m/>
    <m/>
    <m/>
    <m/>
    <m/>
    <m/>
    <m/>
    <d v="1960-07-24T00:00:00"/>
    <m/>
    <x v="1"/>
  </r>
  <r>
    <s v="Guardiola"/>
    <s v="García"/>
    <s v="Rubén"/>
    <x v="1428"/>
    <x v="443"/>
    <n v="8.165E-2"/>
    <m/>
    <m/>
    <m/>
    <m/>
    <m/>
    <m/>
    <m/>
    <m/>
    <m/>
    <m/>
    <d v="1973-11-02T00:00:00"/>
    <m/>
    <x v="54"/>
  </r>
  <r>
    <s v="Campoy"/>
    <s v="Martinez"/>
    <s v="Isabel"/>
    <x v="1429"/>
    <x v="444"/>
    <n v="1.2789999999999999E-2"/>
    <m/>
    <m/>
    <m/>
    <m/>
    <m/>
    <m/>
    <m/>
    <m/>
    <m/>
    <m/>
    <d v="1933-08-10T00:00:00"/>
    <m/>
    <x v="284"/>
  </r>
  <r>
    <s v="Gil"/>
    <s v="Alonson"/>
    <s v="Jesus Vicente"/>
    <x v="1430"/>
    <x v="444"/>
    <n v="0.42810999999999999"/>
    <m/>
    <m/>
    <m/>
    <m/>
    <m/>
    <m/>
    <m/>
    <m/>
    <m/>
    <m/>
    <d v="1952-12-18T00:00:00"/>
    <m/>
    <x v="284"/>
  </r>
  <r>
    <s v="Perez"/>
    <s v="Torrejon"/>
    <s v="Francisco"/>
    <x v="1431"/>
    <x v="444"/>
    <n v="9.0399999999999994E-3"/>
    <m/>
    <m/>
    <m/>
    <m/>
    <m/>
    <m/>
    <m/>
    <m/>
    <m/>
    <m/>
    <d v="1962-10-14T00:00:00"/>
    <m/>
    <x v="241"/>
  </r>
  <r>
    <s v="Cervera"/>
    <s v="Aliaga"/>
    <s v="M del Carmen"/>
    <x v="1432"/>
    <x v="444"/>
    <n v="0.10552"/>
    <m/>
    <m/>
    <m/>
    <m/>
    <m/>
    <m/>
    <m/>
    <m/>
    <m/>
    <m/>
    <d v="1952-12-19T00:00:00"/>
    <m/>
    <x v="2"/>
  </r>
  <r>
    <s v="Garcia"/>
    <s v="Costa"/>
    <s v="Victoria"/>
    <x v="1433"/>
    <x v="444"/>
    <n v="0.18265999999999999"/>
    <m/>
    <m/>
    <m/>
    <m/>
    <m/>
    <m/>
    <m/>
    <m/>
    <m/>
    <m/>
    <d v="1934-08-03T00:00:00"/>
    <m/>
    <x v="2"/>
  </r>
  <r>
    <s v="Gil"/>
    <s v="Burgos"/>
    <s v="Concepcion"/>
    <x v="1434"/>
    <x v="444"/>
    <n v="0.94610000000000005"/>
    <m/>
    <m/>
    <m/>
    <m/>
    <m/>
    <m/>
    <m/>
    <m/>
    <m/>
    <m/>
    <d v="1948-07-27T00:00:00"/>
    <m/>
    <x v="2"/>
  </r>
  <r>
    <s v="Tuñi"/>
    <s v="Vancells"/>
    <s v="Carlos"/>
    <x v="1435"/>
    <x v="444"/>
    <n v="0.21393999999999999"/>
    <m/>
    <m/>
    <m/>
    <m/>
    <m/>
    <m/>
    <m/>
    <m/>
    <m/>
    <m/>
    <d v="1953-08-19T00:00:00"/>
    <m/>
    <x v="2"/>
  </r>
  <r>
    <s v="Castillo"/>
    <s v="Rus"/>
    <s v="Ramon Carlos"/>
    <x v="1436"/>
    <x v="444"/>
    <n v="0.21259"/>
    <m/>
    <m/>
    <m/>
    <m/>
    <m/>
    <m/>
    <m/>
    <m/>
    <m/>
    <m/>
    <d v="1967-12-14T00:00:00"/>
    <m/>
    <x v="2"/>
  </r>
  <r>
    <s v="Cardona"/>
    <s v="Banacloche"/>
    <s v="Adrian"/>
    <x v="1437"/>
    <x v="444"/>
    <n v="0.37030000000000002"/>
    <m/>
    <m/>
    <m/>
    <m/>
    <m/>
    <m/>
    <m/>
    <m/>
    <m/>
    <m/>
    <d v="1981-11-02T00:00:00"/>
    <m/>
    <x v="2"/>
  </r>
  <r>
    <s v="Fons"/>
    <s v="Mahiques"/>
    <s v="Vicente"/>
    <x v="1438"/>
    <x v="444"/>
    <n v="0.62994000000000006"/>
    <m/>
    <m/>
    <m/>
    <m/>
    <m/>
    <m/>
    <m/>
    <m/>
    <m/>
    <m/>
    <d v="1954-05-05T00:00:00"/>
    <m/>
    <x v="2"/>
  </r>
  <r>
    <s v="Tort "/>
    <s v="Garcia"/>
    <s v="Jorge"/>
    <x v="1439"/>
    <x v="444"/>
    <n v="0.32754"/>
    <m/>
    <m/>
    <m/>
    <m/>
    <m/>
    <m/>
    <m/>
    <m/>
    <m/>
    <m/>
    <d v="1941-09-05T00:00:00"/>
    <m/>
    <x v="2"/>
  </r>
  <r>
    <s v="Herraiz"/>
    <s v="Herraiz"/>
    <s v="Concepcion"/>
    <x v="627"/>
    <x v="444"/>
    <n v="8.6120000000000002E-2"/>
    <m/>
    <m/>
    <m/>
    <m/>
    <m/>
    <m/>
    <m/>
    <m/>
    <m/>
    <m/>
    <d v="1948-12-01T00:00:00"/>
    <m/>
    <x v="286"/>
  </r>
  <r>
    <s v="Benedito"/>
    <s v="Pedros"/>
    <s v="Maria"/>
    <x v="1440"/>
    <x v="445"/>
    <n v="0.46435999999999999"/>
    <m/>
    <m/>
    <m/>
    <m/>
    <m/>
    <m/>
    <m/>
    <m/>
    <m/>
    <m/>
    <d v="1931-09-07T00:00:00"/>
    <m/>
    <x v="2"/>
  </r>
  <r>
    <s v="Bon"/>
    <s v="Tarazona"/>
    <s v="Rafael"/>
    <x v="1441"/>
    <x v="445"/>
    <n v="0.22389000000000001"/>
    <m/>
    <m/>
    <m/>
    <m/>
    <m/>
    <m/>
    <m/>
    <m/>
    <m/>
    <m/>
    <d v="1958-03-21T00:00:00"/>
    <m/>
    <x v="2"/>
  </r>
  <r>
    <s v="Diaz"/>
    <s v="Morote"/>
    <s v="Victor Manuel"/>
    <x v="1442"/>
    <x v="445"/>
    <n v="1.18767"/>
    <m/>
    <m/>
    <m/>
    <m/>
    <m/>
    <m/>
    <m/>
    <m/>
    <m/>
    <m/>
    <d v="1946-11-22T00:00:00"/>
    <m/>
    <x v="2"/>
  </r>
  <r>
    <s v="Esteve"/>
    <s v="Vidal"/>
    <s v="Joaquin"/>
    <x v="1443"/>
    <x v="445"/>
    <n v="0.69572000000000001"/>
    <m/>
    <m/>
    <m/>
    <m/>
    <m/>
    <m/>
    <m/>
    <m/>
    <m/>
    <m/>
    <d v="1949-10-04T00:00:00"/>
    <m/>
    <x v="2"/>
  </r>
  <r>
    <s v="Daoud"/>
    <m/>
    <s v="Mohamed"/>
    <x v="1444"/>
    <x v="445"/>
    <n v="0.13211999999999999"/>
    <m/>
    <m/>
    <m/>
    <m/>
    <m/>
    <m/>
    <m/>
    <m/>
    <m/>
    <m/>
    <d v="1964-07-07T00:00:00"/>
    <m/>
    <x v="2"/>
  </r>
  <r>
    <s v="Solaz"/>
    <s v="Duchenne"/>
    <s v="Rosa Maria"/>
    <x v="1445"/>
    <x v="445"/>
    <n v="0.26584000000000002"/>
    <m/>
    <m/>
    <m/>
    <m/>
    <m/>
    <m/>
    <m/>
    <m/>
    <m/>
    <m/>
    <d v="1955-06-18T00:00:00"/>
    <m/>
    <x v="2"/>
  </r>
  <r>
    <s v="Casanova"/>
    <s v="Civera"/>
    <s v="Juan"/>
    <x v="1418"/>
    <x v="445"/>
    <n v="1.42255"/>
    <m/>
    <m/>
    <m/>
    <m/>
    <m/>
    <m/>
    <m/>
    <m/>
    <m/>
    <m/>
    <d v="1931-08-24T00:00:00"/>
    <m/>
    <x v="2"/>
  </r>
  <r>
    <s v="Sandemetrio"/>
    <s v="Garrido"/>
    <s v="Adelia"/>
    <x v="879"/>
    <x v="445"/>
    <n v="0.41121000000000002"/>
    <m/>
    <m/>
    <m/>
    <m/>
    <m/>
    <m/>
    <m/>
    <m/>
    <m/>
    <m/>
    <d v="1951-01-05T00:00:00"/>
    <m/>
    <x v="2"/>
  </r>
  <r>
    <s v="Hidalgo"/>
    <s v="Porras"/>
    <s v="Maria Isabel"/>
    <x v="879"/>
    <x v="445"/>
    <n v="0.20150999999999999"/>
    <m/>
    <m/>
    <m/>
    <m/>
    <m/>
    <m/>
    <m/>
    <m/>
    <m/>
    <m/>
    <d v="1972-02-02T00:00:00"/>
    <m/>
    <x v="2"/>
  </r>
  <r>
    <s v="Morell"/>
    <s v="Capellino"/>
    <s v="Jose Antonio"/>
    <x v="195"/>
    <x v="445"/>
    <n v="8.4559999999999996E-2"/>
    <m/>
    <m/>
    <m/>
    <m/>
    <m/>
    <m/>
    <m/>
    <m/>
    <m/>
    <m/>
    <d v="1977-12-23T00:00:00"/>
    <m/>
    <x v="66"/>
  </r>
  <r>
    <s v="Muñoz"/>
    <s v="Pareja"/>
    <s v="Maria Jesus"/>
    <x v="1446"/>
    <x v="445"/>
    <n v="6.0650000000000003E-2"/>
    <m/>
    <m/>
    <m/>
    <m/>
    <m/>
    <m/>
    <m/>
    <m/>
    <m/>
    <m/>
    <d v="1959-01-05T00:00:00"/>
    <m/>
    <x v="110"/>
  </r>
  <r>
    <s v="Albert"/>
    <s v="Ureña"/>
    <s v="Miguel Angel"/>
    <x v="1447"/>
    <x v="445"/>
    <n v="3.6099999999999999E-3"/>
    <m/>
    <m/>
    <m/>
    <m/>
    <m/>
    <m/>
    <m/>
    <m/>
    <m/>
    <m/>
    <d v="1968-02-22T00:00:00"/>
    <m/>
    <x v="158"/>
  </r>
  <r>
    <s v="Pagan"/>
    <s v="Moreno"/>
    <s v="M Jesus"/>
    <x v="1447"/>
    <x v="445"/>
    <n v="9.8180000000000003E-2"/>
    <m/>
    <m/>
    <m/>
    <m/>
    <m/>
    <m/>
    <m/>
    <m/>
    <m/>
    <m/>
    <d v="1961-08-23T00:00:00"/>
    <m/>
    <x v="286"/>
  </r>
  <r>
    <s v="Phlangpraphan"/>
    <m/>
    <s v="Siwat"/>
    <x v="1448"/>
    <x v="446"/>
    <n v="1.9300000000000001E-3"/>
    <m/>
    <m/>
    <m/>
    <m/>
    <m/>
    <m/>
    <m/>
    <m/>
    <m/>
    <m/>
    <d v="1968-08-17T00:00:00"/>
    <m/>
    <x v="287"/>
  </r>
  <r>
    <s v="Mesado"/>
    <s v="Albiñana"/>
    <s v="Manuel"/>
    <x v="1449"/>
    <x v="446"/>
    <n v="6.5100000000000002E-3"/>
    <m/>
    <m/>
    <m/>
    <m/>
    <m/>
    <m/>
    <m/>
    <m/>
    <m/>
    <m/>
    <d v="1944-01-19T00:00:00"/>
    <m/>
    <x v="284"/>
  </r>
  <r>
    <s v="Perez"/>
    <s v="Monzon"/>
    <s v="Inmaculada"/>
    <x v="1450"/>
    <x v="446"/>
    <n v="7.5609999999999997E-2"/>
    <m/>
    <m/>
    <m/>
    <m/>
    <m/>
    <m/>
    <m/>
    <m/>
    <m/>
    <m/>
    <d v="1989-07-10T00:00:00"/>
    <m/>
    <x v="256"/>
  </r>
  <r>
    <s v="Genis"/>
    <s v="Albert"/>
    <s v="Alfredo"/>
    <x v="1451"/>
    <x v="446"/>
    <n v="6.2839999999999993E-2"/>
    <m/>
    <m/>
    <m/>
    <m/>
    <m/>
    <m/>
    <m/>
    <m/>
    <m/>
    <m/>
    <d v="1958-05-15T00:00:00"/>
    <m/>
    <x v="259"/>
  </r>
  <r>
    <s v="Fuentes"/>
    <s v="Ruiz"/>
    <s v="Jose Manuel"/>
    <x v="1452"/>
    <x v="446"/>
    <n v="2.0081500000000001"/>
    <m/>
    <m/>
    <m/>
    <m/>
    <m/>
    <m/>
    <m/>
    <m/>
    <m/>
    <m/>
    <d v="1974-01-13T00:00:00"/>
    <m/>
    <x v="259"/>
  </r>
  <r>
    <s v="Pino"/>
    <s v="Leon"/>
    <s v="Enrique"/>
    <x v="1453"/>
    <x v="446"/>
    <n v="0.52002000000000004"/>
    <m/>
    <m/>
    <m/>
    <m/>
    <m/>
    <m/>
    <m/>
    <m/>
    <m/>
    <m/>
    <d v="1943-02-24T00:00:00"/>
    <m/>
    <x v="259"/>
  </r>
  <r>
    <s v="Salavert"/>
    <s v="Guillot"/>
    <s v="Jose Ramon"/>
    <x v="1454"/>
    <x v="446"/>
    <n v="3.0030000000000001E-2"/>
    <m/>
    <m/>
    <m/>
    <m/>
    <m/>
    <m/>
    <m/>
    <m/>
    <m/>
    <m/>
    <d v="1968-09-25T00:00:00"/>
    <m/>
    <x v="259"/>
  </r>
  <r>
    <s v="Romaguera"/>
    <s v="Ambrosio"/>
    <s v="Vicente Carlos"/>
    <x v="1455"/>
    <x v="446"/>
    <n v="1.0090300000000001"/>
    <m/>
    <m/>
    <m/>
    <m/>
    <m/>
    <m/>
    <m/>
    <m/>
    <m/>
    <m/>
    <d v="1954-03-05T00:00:00"/>
    <m/>
    <x v="259"/>
  </r>
  <r>
    <s v="Viguer"/>
    <s v="Cuñat"/>
    <s v="Vicente"/>
    <x v="1456"/>
    <x v="446"/>
    <n v="0.21007999999999999"/>
    <m/>
    <m/>
    <m/>
    <m/>
    <m/>
    <m/>
    <m/>
    <m/>
    <m/>
    <m/>
    <d v="1947-01-18T00:00:00"/>
    <m/>
    <x v="259"/>
  </r>
  <r>
    <s v="Castello"/>
    <s v="Marco"/>
    <s v="Martin"/>
    <x v="1457"/>
    <x v="446"/>
    <n v="0.17021"/>
    <m/>
    <m/>
    <m/>
    <m/>
    <m/>
    <m/>
    <m/>
    <m/>
    <m/>
    <m/>
    <d v="1936-07-29T00:00:00"/>
    <m/>
    <x v="259"/>
  </r>
  <r>
    <s v="Lopez"/>
    <s v="Ortiz"/>
    <s v="Jose"/>
    <x v="1458"/>
    <x v="446"/>
    <n v="0.12148"/>
    <m/>
    <m/>
    <m/>
    <m/>
    <m/>
    <m/>
    <m/>
    <m/>
    <m/>
    <m/>
    <d v="1958-10-16T00:00:00"/>
    <m/>
    <x v="259"/>
  </r>
  <r>
    <s v="Prades"/>
    <s v="Guillot"/>
    <s v="Josefa"/>
    <x v="1459"/>
    <x v="446"/>
    <n v="0.12944"/>
    <m/>
    <m/>
    <m/>
    <m/>
    <m/>
    <m/>
    <m/>
    <m/>
    <m/>
    <m/>
    <d v="1943-02-06T00:00:00"/>
    <m/>
    <x v="259"/>
  </r>
  <r>
    <s v="Molina"/>
    <s v="Gomez"/>
    <s v="Pedro Antonio"/>
    <x v="1460"/>
    <x v="446"/>
    <n v="0.20709"/>
    <m/>
    <m/>
    <m/>
    <m/>
    <m/>
    <m/>
    <m/>
    <m/>
    <m/>
    <m/>
    <d v="1954-05-09T00:00:00"/>
    <m/>
    <x v="259"/>
  </r>
  <r>
    <s v="Navarro"/>
    <s v="Garcia"/>
    <s v="Vicente"/>
    <x v="1461"/>
    <x v="446"/>
    <n v="2.6522600000000001"/>
    <m/>
    <m/>
    <m/>
    <m/>
    <m/>
    <m/>
    <m/>
    <m/>
    <m/>
    <m/>
    <d v="1957-05-31T00:00:00"/>
    <m/>
    <x v="41"/>
  </r>
  <r>
    <s v="Angel"/>
    <s v="Perez"/>
    <s v="Vanessa"/>
    <x v="1112"/>
    <x v="446"/>
    <n v="3.39E-2"/>
    <m/>
    <m/>
    <m/>
    <m/>
    <m/>
    <m/>
    <m/>
    <m/>
    <m/>
    <m/>
    <d v="1979-10-03T00:00:00"/>
    <m/>
    <x v="158"/>
  </r>
  <r>
    <s v="Amer"/>
    <s v="Llopis"/>
    <s v="Ana"/>
    <x v="801"/>
    <x v="446"/>
    <n v="0.77617000000000003"/>
    <m/>
    <m/>
    <m/>
    <m/>
    <m/>
    <m/>
    <m/>
    <m/>
    <m/>
    <m/>
    <d v="1944-08-27T00:00:00"/>
    <m/>
    <x v="42"/>
  </r>
  <r>
    <s v="Gallego"/>
    <s v="Caballero"/>
    <s v="Antonio"/>
    <x v="1462"/>
    <x v="446"/>
    <n v="0.43264000000000002"/>
    <m/>
    <m/>
    <m/>
    <m/>
    <m/>
    <m/>
    <m/>
    <m/>
    <m/>
    <m/>
    <d v="1950-12-24T00:00:00"/>
    <m/>
    <x v="41"/>
  </r>
  <r>
    <s v="Izquierdo"/>
    <s v="Mata"/>
    <s v="Carmen"/>
    <x v="1463"/>
    <x v="446"/>
    <n v="5.509E-2"/>
    <m/>
    <m/>
    <m/>
    <m/>
    <m/>
    <m/>
    <m/>
    <m/>
    <m/>
    <m/>
    <d v="1946-07-29T00:00:00"/>
    <m/>
    <x v="89"/>
  </r>
  <r>
    <s v="Cuadros"/>
    <s v="Martinez"/>
    <s v="Isabel"/>
    <x v="1464"/>
    <x v="446"/>
    <n v="1.371E-2"/>
    <m/>
    <m/>
    <m/>
    <m/>
    <m/>
    <m/>
    <m/>
    <m/>
    <m/>
    <m/>
    <d v="1947-02-17T00:00:00"/>
    <m/>
    <x v="149"/>
  </r>
  <r>
    <s v="Mendez"/>
    <s v="Cordobes"/>
    <s v="Juan Jose"/>
    <x v="1465"/>
    <x v="446"/>
    <n v="0.10390000000000001"/>
    <m/>
    <m/>
    <m/>
    <m/>
    <m/>
    <m/>
    <m/>
    <m/>
    <m/>
    <m/>
    <d v="1949-01-19T00:00:00"/>
    <m/>
    <x v="205"/>
  </r>
  <r>
    <s v="Alemany"/>
    <s v="Ferrer"/>
    <s v="Vicente"/>
    <x v="899"/>
    <x v="446"/>
    <n v="1.153E-2"/>
    <m/>
    <m/>
    <m/>
    <m/>
    <m/>
    <m/>
    <m/>
    <m/>
    <m/>
    <m/>
    <d v="1940-01-06T00:00:00"/>
    <m/>
    <x v="288"/>
  </r>
  <r>
    <s v="Serra"/>
    <s v="Gomez"/>
    <s v="Blas"/>
    <x v="1466"/>
    <x v="447"/>
    <n v="6.1550000000000001E-2"/>
    <m/>
    <m/>
    <m/>
    <m/>
    <m/>
    <m/>
    <m/>
    <m/>
    <m/>
    <m/>
    <d v="1943-05-04T00:00:00"/>
    <m/>
    <x v="284"/>
  </r>
  <r>
    <s v="Barrachina"/>
    <s v="Rosell"/>
    <s v="Maria del Carmen"/>
    <x v="1467"/>
    <x v="447"/>
    <n v="5.0160000000000003E-2"/>
    <m/>
    <m/>
    <m/>
    <m/>
    <m/>
    <m/>
    <m/>
    <m/>
    <m/>
    <m/>
    <d v="1972-03-10T00:00:00"/>
    <m/>
    <x v="289"/>
  </r>
  <r>
    <s v="Miralles"/>
    <s v="Martinez"/>
    <s v="Juan Ramon"/>
    <x v="1279"/>
    <x v="447"/>
    <n v="1.2119"/>
    <m/>
    <m/>
    <m/>
    <m/>
    <m/>
    <m/>
    <m/>
    <m/>
    <m/>
    <m/>
    <d v="1964-02-19T00:00:00"/>
    <m/>
    <x v="259"/>
  </r>
  <r>
    <s v="Gomez"/>
    <s v="Gomez"/>
    <s v="Luis"/>
    <x v="1468"/>
    <x v="447"/>
    <n v="0.44286999999999999"/>
    <m/>
    <m/>
    <m/>
    <m/>
    <m/>
    <m/>
    <m/>
    <m/>
    <m/>
    <m/>
    <d v="1967-08-13T00:00:00"/>
    <m/>
    <x v="259"/>
  </r>
  <r>
    <s v="Garcia"/>
    <s v="Tornero"/>
    <s v="Bernabea"/>
    <x v="1333"/>
    <x v="447"/>
    <n v="0.21743999999999999"/>
    <m/>
    <m/>
    <m/>
    <m/>
    <m/>
    <m/>
    <m/>
    <m/>
    <m/>
    <m/>
    <d v="1934-03-29T00:00:00"/>
    <m/>
    <x v="259"/>
  </r>
  <r>
    <s v="Mbow"/>
    <m/>
    <s v="Fatim"/>
    <x v="1469"/>
    <x v="447"/>
    <n v="0.18278"/>
    <m/>
    <m/>
    <m/>
    <m/>
    <m/>
    <m/>
    <m/>
    <m/>
    <m/>
    <m/>
    <d v="1973-05-31T00:00:00"/>
    <m/>
    <x v="259"/>
  </r>
  <r>
    <s v="Enguidanos"/>
    <s v="Portoles"/>
    <s v="Antonio"/>
    <x v="1470"/>
    <x v="447"/>
    <n v="0.28488000000000002"/>
    <m/>
    <m/>
    <m/>
    <m/>
    <m/>
    <m/>
    <m/>
    <m/>
    <m/>
    <m/>
    <d v="1942-06-04T00:00:00"/>
    <m/>
    <x v="259"/>
  </r>
  <r>
    <s v="Gil"/>
    <s v="Almenar"/>
    <s v="Emilia"/>
    <x v="1471"/>
    <x v="447"/>
    <n v="0.69184000000000001"/>
    <m/>
    <m/>
    <m/>
    <m/>
    <m/>
    <m/>
    <m/>
    <m/>
    <m/>
    <m/>
    <d v="1949-04-07T00:00:00"/>
    <m/>
    <x v="259"/>
  </r>
  <r>
    <s v="Robles"/>
    <s v="Moreno"/>
    <s v="Ramon"/>
    <x v="1472"/>
    <x v="447"/>
    <n v="0.19470999999999999"/>
    <m/>
    <m/>
    <m/>
    <m/>
    <m/>
    <m/>
    <m/>
    <m/>
    <m/>
    <m/>
    <d v="1959-11-29T00:00:00"/>
    <m/>
    <x v="259"/>
  </r>
  <r>
    <s v="Mujica"/>
    <s v="Bermudez"/>
    <s v="Jesus Guillermo"/>
    <x v="1473"/>
    <x v="447"/>
    <n v="0.41947000000000001"/>
    <m/>
    <m/>
    <m/>
    <m/>
    <m/>
    <m/>
    <m/>
    <m/>
    <m/>
    <m/>
    <d v="1945-12-24T00:00:00"/>
    <m/>
    <x v="248"/>
  </r>
  <r>
    <s v="Cuadros"/>
    <s v="Martinez"/>
    <s v="Isabel"/>
    <x v="1464"/>
    <x v="447"/>
    <n v="2.65E-3"/>
    <m/>
    <m/>
    <m/>
    <m/>
    <m/>
    <m/>
    <m/>
    <m/>
    <m/>
    <m/>
    <d v="1947-02-17T00:00:00"/>
    <m/>
    <x v="290"/>
  </r>
  <r>
    <s v="Fita"/>
    <s v="Leon"/>
    <s v="Monica"/>
    <x v="1474"/>
    <x v="447"/>
    <n v="1.7569999999999999E-2"/>
    <m/>
    <m/>
    <m/>
    <m/>
    <m/>
    <m/>
    <m/>
    <m/>
    <m/>
    <m/>
    <d v="1977-08-27T00:00:00"/>
    <m/>
    <x v="58"/>
  </r>
  <r>
    <s v="Diaz"/>
    <s v="Portales"/>
    <s v="Alfonso"/>
    <x v="1475"/>
    <x v="448"/>
    <n v="0.11504"/>
    <m/>
    <m/>
    <m/>
    <m/>
    <m/>
    <m/>
    <m/>
    <m/>
    <m/>
    <m/>
    <d v="1970-02-13T00:00:00"/>
    <m/>
    <x v="259"/>
  </r>
  <r>
    <s v="Terpea"/>
    <m/>
    <s v="Emil"/>
    <x v="1476"/>
    <x v="448"/>
    <n v="0.56723999999999997"/>
    <m/>
    <m/>
    <m/>
    <m/>
    <m/>
    <m/>
    <m/>
    <m/>
    <m/>
    <m/>
    <d v="1968-05-24T00:00:00"/>
    <m/>
    <x v="259"/>
  </r>
  <r>
    <s v="Adsuara"/>
    <s v="Magraner"/>
    <s v="Emilia"/>
    <x v="1477"/>
    <x v="449"/>
    <n v="0.19508"/>
    <m/>
    <m/>
    <m/>
    <m/>
    <m/>
    <m/>
    <m/>
    <m/>
    <m/>
    <m/>
    <d v="1945-07-18T00:00:00"/>
    <m/>
    <x v="259"/>
  </r>
  <r>
    <s v="Carretero"/>
    <s v="Carretero"/>
    <s v="Felix"/>
    <x v="1478"/>
    <x v="449"/>
    <n v="1.2829600000000001"/>
    <m/>
    <m/>
    <m/>
    <m/>
    <m/>
    <m/>
    <m/>
    <m/>
    <m/>
    <m/>
    <d v="1929-03-06T00:00:00"/>
    <m/>
    <x v="259"/>
  </r>
  <r>
    <s v="Vega"/>
    <s v="Valdivia"/>
    <s v="J Jose Maria"/>
    <x v="1479"/>
    <x v="450"/>
    <n v="0.31379000000000001"/>
    <m/>
    <m/>
    <m/>
    <m/>
    <m/>
    <m/>
    <m/>
    <m/>
    <m/>
    <m/>
    <d v="1950-08-07T00:00:00"/>
    <m/>
    <x v="259"/>
  </r>
  <r>
    <s v="Cotes"/>
    <s v="Cano"/>
    <s v="Juan Jose"/>
    <x v="1480"/>
    <x v="450"/>
    <n v="0.13023999999999999"/>
    <m/>
    <m/>
    <m/>
    <m/>
    <m/>
    <m/>
    <m/>
    <m/>
    <m/>
    <m/>
    <d v="1946-03-06T00:00:00"/>
    <m/>
    <x v="259"/>
  </r>
  <r>
    <s v="Muñoz"/>
    <s v="Ruiz"/>
    <s v="Julio"/>
    <x v="1167"/>
    <x v="450"/>
    <n v="0.31380999999999998"/>
    <m/>
    <m/>
    <m/>
    <m/>
    <m/>
    <m/>
    <m/>
    <m/>
    <m/>
    <m/>
    <d v="1958-02-22T00:00:00"/>
    <m/>
    <x v="259"/>
  </r>
  <r>
    <s v="Vidal"/>
    <s v="Riñon"/>
    <s v="Jose Maria"/>
    <x v="1481"/>
    <x v="450"/>
    <n v="0.35543999999999998"/>
    <m/>
    <m/>
    <m/>
    <m/>
    <m/>
    <m/>
    <m/>
    <m/>
    <m/>
    <m/>
    <d v="1942-03-11T00:00:00"/>
    <m/>
    <x v="259"/>
  </r>
  <r>
    <s v="Sakalauskiene"/>
    <m/>
    <s v="Virginija"/>
    <x v="1482"/>
    <x v="450"/>
    <n v="0.19903999999999999"/>
    <m/>
    <m/>
    <m/>
    <m/>
    <m/>
    <m/>
    <m/>
    <m/>
    <m/>
    <m/>
    <d v="1959-12-02T00:00:00"/>
    <m/>
    <x v="259"/>
  </r>
  <r>
    <s v="Galvez"/>
    <s v="Guillen"/>
    <s v="Agustin"/>
    <x v="389"/>
    <x v="450"/>
    <n v="0.10248"/>
    <m/>
    <m/>
    <m/>
    <m/>
    <m/>
    <m/>
    <m/>
    <m/>
    <m/>
    <m/>
    <d v="1949-07-24T00:00:00"/>
    <m/>
    <x v="259"/>
  </r>
  <r>
    <s v="Maza"/>
    <s v="Higueras"/>
    <s v="Rosario"/>
    <x v="1483"/>
    <x v="450"/>
    <n v="0.27350000000000002"/>
    <m/>
    <m/>
    <m/>
    <m/>
    <m/>
    <m/>
    <m/>
    <m/>
    <m/>
    <m/>
    <d v="1955-01-29T00:00:00"/>
    <m/>
    <x v="259"/>
  </r>
  <r>
    <s v="Santiago"/>
    <s v="Mora"/>
    <s v="Inocencia"/>
    <x v="1484"/>
    <x v="450"/>
    <n v="7.424E-2"/>
    <m/>
    <m/>
    <m/>
    <m/>
    <m/>
    <m/>
    <m/>
    <m/>
    <m/>
    <m/>
    <d v="1942-09-16T00:00:00"/>
    <m/>
    <x v="259"/>
  </r>
  <r>
    <s v="Peñaranda"/>
    <s v="Bohigues"/>
    <s v="M Desamparados"/>
    <x v="1485"/>
    <x v="450"/>
    <n v="0.22419"/>
    <m/>
    <m/>
    <m/>
    <m/>
    <m/>
    <m/>
    <m/>
    <m/>
    <m/>
    <m/>
    <d v="1948-04-25T00:00:00"/>
    <m/>
    <x v="259"/>
  </r>
  <r>
    <s v="Alarcon"/>
    <s v="Sanchez"/>
    <s v="Fernando"/>
    <x v="1486"/>
    <x v="450"/>
    <n v="0.13508000000000001"/>
    <m/>
    <m/>
    <m/>
    <m/>
    <m/>
    <m/>
    <m/>
    <m/>
    <m/>
    <m/>
    <d v="1966-05-30T00:00:00"/>
    <m/>
    <x v="259"/>
  </r>
  <r>
    <s v="Gonzalez"/>
    <s v="Moreno"/>
    <s v="Juan Jose"/>
    <x v="1487"/>
    <x v="450"/>
    <n v="1.44546"/>
    <m/>
    <m/>
    <m/>
    <m/>
    <m/>
    <m/>
    <m/>
    <m/>
    <m/>
    <m/>
    <d v="1956-10-11T00:00:00"/>
    <m/>
    <x v="259"/>
  </r>
  <r>
    <s v="Martinez"/>
    <s v="Nieto"/>
    <s v="Jose"/>
    <x v="1488"/>
    <x v="450"/>
    <n v="7.0610000000000006E-2"/>
    <m/>
    <m/>
    <m/>
    <m/>
    <m/>
    <m/>
    <m/>
    <m/>
    <m/>
    <m/>
    <d v="1937-02-07T00:00:00"/>
    <m/>
    <x v="291"/>
  </r>
  <r>
    <s v="Magro"/>
    <s v="Bimbarra"/>
    <s v="Jose Candido"/>
    <x v="774"/>
    <x v="450"/>
    <n v="2.401E-2"/>
    <m/>
    <m/>
    <m/>
    <m/>
    <m/>
    <m/>
    <m/>
    <m/>
    <m/>
    <m/>
    <d v="1953-02-13T00:00:00"/>
    <m/>
    <x v="292"/>
  </r>
  <r>
    <s v="Matoses"/>
    <s v="Vilache"/>
    <s v="Antonio"/>
    <x v="1489"/>
    <x v="450"/>
    <n v="1.14751"/>
    <m/>
    <m/>
    <m/>
    <m/>
    <m/>
    <m/>
    <m/>
    <m/>
    <m/>
    <m/>
    <d v="1948-12-30T00:00:00"/>
    <m/>
    <x v="1"/>
  </r>
  <r>
    <s v="Navarro"/>
    <s v="Marco"/>
    <s v="Antonio"/>
    <x v="1490"/>
    <x v="450"/>
    <n v="0.44762000000000002"/>
    <m/>
    <m/>
    <m/>
    <m/>
    <m/>
    <m/>
    <m/>
    <m/>
    <m/>
    <m/>
    <d v="1963-01-17T00:00:00"/>
    <m/>
    <x v="150"/>
  </r>
  <r>
    <s v="Fenollosa"/>
    <s v="Domenech"/>
    <s v="Enrique"/>
    <x v="1491"/>
    <x v="451"/>
    <n v="3.4499999999999999E-3"/>
    <m/>
    <m/>
    <m/>
    <m/>
    <m/>
    <m/>
    <m/>
    <m/>
    <m/>
    <m/>
    <d v="1948-11-11T00:00:00"/>
    <m/>
    <x v="289"/>
  </r>
  <r>
    <s v="Centelles"/>
    <s v="Forner"/>
    <s v="Rosalia Teresa"/>
    <x v="1492"/>
    <x v="451"/>
    <n v="8.43E-3"/>
    <m/>
    <m/>
    <m/>
    <m/>
    <m/>
    <m/>
    <m/>
    <m/>
    <m/>
    <m/>
    <d v="1959-11-02T00:00:00"/>
    <m/>
    <x v="293"/>
  </r>
  <r>
    <s v="Brugada"/>
    <s v="Magide"/>
    <s v="M Luisa"/>
    <x v="1493"/>
    <x v="451"/>
    <n v="4.3749999999999997E-2"/>
    <m/>
    <m/>
    <m/>
    <m/>
    <m/>
    <m/>
    <m/>
    <m/>
    <m/>
    <m/>
    <d v="1935-10-10T00:00:00"/>
    <m/>
    <x v="259"/>
  </r>
  <r>
    <s v="Cobos"/>
    <s v="Garcia"/>
    <s v="Ana"/>
    <x v="1494"/>
    <x v="451"/>
    <n v="7.7380000000000004E-2"/>
    <m/>
    <m/>
    <m/>
    <m/>
    <m/>
    <m/>
    <m/>
    <m/>
    <m/>
    <m/>
    <d v="1948-06-06T00:00:00"/>
    <m/>
    <x v="259"/>
  </r>
  <r>
    <s v="Santiago"/>
    <s v="Maya"/>
    <s v="Juana"/>
    <x v="1495"/>
    <x v="451"/>
    <n v="0.22905"/>
    <m/>
    <m/>
    <m/>
    <m/>
    <m/>
    <m/>
    <m/>
    <m/>
    <m/>
    <m/>
    <d v="1951-02-21T00:00:00"/>
    <m/>
    <x v="259"/>
  </r>
  <r>
    <s v="Lopez"/>
    <s v="Cordoba"/>
    <s v="Josefa Maria Angele"/>
    <x v="1496"/>
    <x v="451"/>
    <n v="0.15762999999999999"/>
    <m/>
    <m/>
    <m/>
    <m/>
    <m/>
    <m/>
    <m/>
    <m/>
    <m/>
    <m/>
    <d v="1958-04-11T00:00:00"/>
    <m/>
    <x v="259"/>
  </r>
  <r>
    <s v="Molina"/>
    <s v="Flores"/>
    <s v="Holger"/>
    <x v="1497"/>
    <x v="451"/>
    <n v="0.40609000000000001"/>
    <m/>
    <m/>
    <m/>
    <m/>
    <m/>
    <m/>
    <m/>
    <m/>
    <m/>
    <m/>
    <d v="1970-05-11T00:00:00"/>
    <m/>
    <x v="259"/>
  </r>
  <r>
    <s v="Parra"/>
    <s v="del Castillo"/>
    <s v="M Jesus"/>
    <x v="1411"/>
    <x v="451"/>
    <n v="0.11352"/>
    <m/>
    <m/>
    <m/>
    <m/>
    <m/>
    <m/>
    <m/>
    <m/>
    <m/>
    <m/>
    <d v="1946-09-16T00:00:00"/>
    <m/>
    <x v="259"/>
  </r>
  <r>
    <s v="Fernandez"/>
    <s v="Lozano"/>
    <s v="Angeles"/>
    <x v="1498"/>
    <x v="451"/>
    <d v="1899-12-30T07:15:59"/>
    <m/>
    <m/>
    <m/>
    <m/>
    <m/>
    <m/>
    <m/>
    <m/>
    <m/>
    <m/>
    <d v="1966-05-26T00:00:00"/>
    <m/>
    <x v="259"/>
  </r>
  <r>
    <s v="Carbayo"/>
    <s v="Iglesias"/>
    <s v="Baltasar"/>
    <x v="1499"/>
    <x v="451"/>
    <n v="0.17638000000000001"/>
    <m/>
    <m/>
    <m/>
    <m/>
    <m/>
    <m/>
    <m/>
    <m/>
    <m/>
    <m/>
    <d v="1941-10-11T00:00:00"/>
    <m/>
    <x v="259"/>
  </r>
  <r>
    <s v="Lorente"/>
    <s v="Villanueva"/>
    <s v="Luis"/>
    <x v="1500"/>
    <x v="451"/>
    <n v="0.20352000000000001"/>
    <m/>
    <m/>
    <m/>
    <m/>
    <m/>
    <m/>
    <m/>
    <m/>
    <m/>
    <m/>
    <d v="1958-05-11T00:00:00"/>
    <m/>
    <x v="259"/>
  </r>
  <r>
    <s v="Montagud"/>
    <s v="Andres"/>
    <s v="Rafael"/>
    <x v="1501"/>
    <x v="451"/>
    <n v="0.33262999999999998"/>
    <m/>
    <m/>
    <m/>
    <m/>
    <m/>
    <m/>
    <m/>
    <m/>
    <m/>
    <m/>
    <d v="1962-11-24T00:00:00"/>
    <m/>
    <x v="259"/>
  </r>
  <r>
    <s v="Sanchez"/>
    <s v="Nievas"/>
    <s v="Maria Llanos"/>
    <x v="1502"/>
    <x v="451"/>
    <n v="3.1510000000000003E-2"/>
    <m/>
    <m/>
    <m/>
    <m/>
    <m/>
    <m/>
    <m/>
    <m/>
    <m/>
    <m/>
    <d v="1969-03-25T00:00:00"/>
    <m/>
    <x v="259"/>
  </r>
  <r>
    <s v="Lopez"/>
    <s v="de Fez"/>
    <s v="Adrian"/>
    <x v="1503"/>
    <x v="451"/>
    <n v="1.2999999999999999E-3"/>
    <m/>
    <m/>
    <m/>
    <m/>
    <m/>
    <m/>
    <m/>
    <m/>
    <m/>
    <m/>
    <d v="2003-10-18T00:00:00"/>
    <m/>
    <x v="111"/>
  </r>
  <r>
    <s v="Vera"/>
    <s v="Fernandez"/>
    <s v="M Carmen"/>
    <x v="1504"/>
    <x v="451"/>
    <n v="9.7699999999999992E-3"/>
    <m/>
    <m/>
    <m/>
    <m/>
    <m/>
    <m/>
    <m/>
    <m/>
    <m/>
    <m/>
    <d v="1961-11-10T00:00:00"/>
    <m/>
    <x v="114"/>
  </r>
  <r>
    <s v="Calisaya"/>
    <s v="Intriago"/>
    <s v="Alexia Niurka"/>
    <x v="1505"/>
    <x v="451"/>
    <n v="2.793E-2"/>
    <m/>
    <m/>
    <m/>
    <m/>
    <m/>
    <m/>
    <m/>
    <m/>
    <m/>
    <m/>
    <d v="2004-07-07T00:00:00"/>
    <m/>
    <x v="201"/>
  </r>
  <r>
    <s v="Monrabal"/>
    <s v="Bas"/>
    <s v="Juan"/>
    <x v="1079"/>
    <x v="452"/>
    <n v="1.107E-2"/>
    <m/>
    <m/>
    <m/>
    <m/>
    <m/>
    <m/>
    <m/>
    <m/>
    <m/>
    <m/>
    <d v="1951-09-26T00:00:00"/>
    <m/>
    <x v="253"/>
  </r>
  <r>
    <s v="Navarro"/>
    <s v="Cervera"/>
    <s v="Francisco"/>
    <x v="1506"/>
    <x v="452"/>
    <n v="2.06E-2"/>
    <m/>
    <m/>
    <m/>
    <m/>
    <m/>
    <m/>
    <m/>
    <m/>
    <m/>
    <m/>
    <d v="1939-02-15T00:00:00"/>
    <m/>
    <x v="293"/>
  </r>
  <r>
    <s v="Gomez"/>
    <s v="Garrido"/>
    <s v="Manuela"/>
    <x v="1507"/>
    <x v="452"/>
    <n v="0.10603"/>
    <m/>
    <m/>
    <m/>
    <m/>
    <m/>
    <m/>
    <m/>
    <m/>
    <m/>
    <m/>
    <d v="1943-04-01T00:00:00"/>
    <m/>
    <x v="259"/>
  </r>
  <r>
    <s v="Sanchis"/>
    <s v="Fresquet"/>
    <s v="Amalia"/>
    <x v="1508"/>
    <x v="452"/>
    <n v="0.19111"/>
    <m/>
    <m/>
    <m/>
    <m/>
    <m/>
    <m/>
    <m/>
    <m/>
    <m/>
    <m/>
    <d v="1936-11-24T00:00:00"/>
    <m/>
    <x v="259"/>
  </r>
  <r>
    <s v="Lindner"/>
    <m/>
    <s v="Elsbe"/>
    <x v="1509"/>
    <x v="452"/>
    <n v="4.9349999999999998E-2"/>
    <m/>
    <m/>
    <m/>
    <m/>
    <m/>
    <m/>
    <m/>
    <m/>
    <m/>
    <m/>
    <d v="1948-02-16T00:00:00"/>
    <m/>
    <x v="259"/>
  </r>
  <r>
    <s v="Pico"/>
    <s v="Garcia"/>
    <s v="Juan Jose"/>
    <x v="1510"/>
    <x v="452"/>
    <n v="0.67095000000000005"/>
    <m/>
    <m/>
    <m/>
    <m/>
    <m/>
    <m/>
    <m/>
    <m/>
    <m/>
    <m/>
    <d v="1943-05-30T00:00:00"/>
    <m/>
    <x v="259"/>
  </r>
  <r>
    <s v="Ballester"/>
    <s v="Orts"/>
    <s v="Jose"/>
    <x v="1355"/>
    <x v="452"/>
    <n v="1.6131200000000001"/>
    <m/>
    <m/>
    <m/>
    <m/>
    <m/>
    <m/>
    <m/>
    <m/>
    <m/>
    <m/>
    <d v="1949-04-02T00:00:00"/>
    <m/>
    <x v="259"/>
  </r>
  <r>
    <s v="Costa"/>
    <s v="Montiel"/>
    <s v="Francisco"/>
    <x v="1511"/>
    <x v="452"/>
    <n v="0.14258000000000001"/>
    <m/>
    <m/>
    <m/>
    <m/>
    <m/>
    <m/>
    <m/>
    <m/>
    <m/>
    <m/>
    <d v="1951-05-10T00:00:00"/>
    <m/>
    <x v="259"/>
  </r>
  <r>
    <s v="Torres"/>
    <s v="Muñoz"/>
    <s v="Manuel"/>
    <x v="1512"/>
    <x v="452"/>
    <n v="0.31163000000000002"/>
    <m/>
    <m/>
    <m/>
    <m/>
    <m/>
    <m/>
    <m/>
    <m/>
    <m/>
    <m/>
    <d v="1964-02-19T00:00:00"/>
    <m/>
    <x v="259"/>
  </r>
  <r>
    <s v="Sahuquillo"/>
    <s v="Roberto"/>
    <s v="M Angeles"/>
    <x v="1513"/>
    <x v="452"/>
    <n v="0.95221999999999996"/>
    <m/>
    <m/>
    <m/>
    <m/>
    <m/>
    <m/>
    <m/>
    <m/>
    <m/>
    <m/>
    <d v="1964-08-02T00:00:00"/>
    <m/>
    <x v="259"/>
  </r>
  <r>
    <s v="Dauden"/>
    <s v="Sancho"/>
    <s v="Santiago"/>
    <x v="1514"/>
    <x v="452"/>
    <n v="0.60475000000000001"/>
    <m/>
    <m/>
    <m/>
    <m/>
    <m/>
    <m/>
    <m/>
    <m/>
    <m/>
    <m/>
    <d v="1973-07-12T00:00:00"/>
    <m/>
    <x v="259"/>
  </r>
  <r>
    <s v="Vidal"/>
    <s v="Guillem"/>
    <s v="Maria Pilar"/>
    <x v="1515"/>
    <x v="452"/>
    <n v="0.14130000000000001"/>
    <m/>
    <m/>
    <m/>
    <m/>
    <m/>
    <m/>
    <m/>
    <m/>
    <m/>
    <m/>
    <d v="1956-06-10T00:00:00"/>
    <m/>
    <x v="259"/>
  </r>
  <r>
    <s v="Cosin"/>
    <s v="Aguilar"/>
    <s v="Juan"/>
    <x v="1516"/>
    <x v="452"/>
    <n v="0.64234999999999998"/>
    <m/>
    <m/>
    <m/>
    <m/>
    <m/>
    <m/>
    <m/>
    <m/>
    <m/>
    <m/>
    <d v="1943-10-25T00:00:00"/>
    <m/>
    <x v="259"/>
  </r>
  <r>
    <s v="Khouyoudi"/>
    <m/>
    <s v="Assaad"/>
    <x v="1517"/>
    <x v="452"/>
    <n v="0.30281000000000002"/>
    <m/>
    <m/>
    <m/>
    <m/>
    <m/>
    <m/>
    <m/>
    <m/>
    <m/>
    <m/>
    <d v="1976-12-10T00:00:00"/>
    <m/>
    <x v="259"/>
  </r>
  <r>
    <s v="Baron"/>
    <s v="Lopez"/>
    <s v="M Pilar"/>
    <x v="1518"/>
    <x v="452"/>
    <n v="0.83587"/>
    <m/>
    <m/>
    <m/>
    <m/>
    <m/>
    <m/>
    <m/>
    <m/>
    <m/>
    <m/>
    <d v="1951-03-29T00:00:00"/>
    <m/>
    <x v="41"/>
  </r>
  <r>
    <s v="Garcia"/>
    <s v="Piqueras"/>
    <s v="Casimiro"/>
    <x v="1519"/>
    <x v="452"/>
    <n v="8.0189999999999997E-2"/>
    <m/>
    <m/>
    <m/>
    <m/>
    <m/>
    <m/>
    <m/>
    <m/>
    <m/>
    <m/>
    <d v="1966-09-01T00:00:00"/>
    <m/>
    <x v="130"/>
  </r>
  <r>
    <s v="Huesca"/>
    <s v="Castello"/>
    <s v="Pascual"/>
    <x v="409"/>
    <x v="452"/>
    <n v="4.8430000000000001E-2"/>
    <m/>
    <m/>
    <m/>
    <m/>
    <m/>
    <m/>
    <m/>
    <m/>
    <m/>
    <m/>
    <d v="1952-05-21T00:00:00"/>
    <m/>
    <x v="245"/>
  </r>
  <r>
    <s v="Salazar"/>
    <s v="Fraile"/>
    <s v="Jose Maria"/>
    <x v="1520"/>
    <x v="453"/>
    <n v="1.265E-2"/>
    <m/>
    <m/>
    <m/>
    <m/>
    <m/>
    <m/>
    <m/>
    <m/>
    <m/>
    <m/>
    <d v="1956-11-09T00:00:00"/>
    <m/>
    <x v="293"/>
  </r>
  <r>
    <s v="Castello"/>
    <s v="Marco"/>
    <s v="Martin"/>
    <x v="1457"/>
    <x v="453"/>
    <n v="5.6779999999999997E-2"/>
    <m/>
    <m/>
    <m/>
    <m/>
    <m/>
    <m/>
    <m/>
    <m/>
    <m/>
    <m/>
    <d v="1936-07-29T00:00:00"/>
    <m/>
    <x v="253"/>
  </r>
  <r>
    <s v="Garcia"/>
    <s v="Linde"/>
    <s v="Encarnacion"/>
    <x v="1521"/>
    <x v="453"/>
    <n v="0.18179999999999999"/>
    <m/>
    <m/>
    <m/>
    <m/>
    <m/>
    <m/>
    <m/>
    <m/>
    <m/>
    <m/>
    <d v="1950-05-08T00:00:00"/>
    <m/>
    <x v="284"/>
  </r>
  <r>
    <s v="Sanchez"/>
    <s v="Gonzalez"/>
    <s v="Laura"/>
    <x v="1522"/>
    <x v="453"/>
    <n v="3.9219999999999998E-2"/>
    <m/>
    <m/>
    <m/>
    <m/>
    <m/>
    <m/>
    <m/>
    <m/>
    <m/>
    <m/>
    <d v="1987-04-22T00:00:00"/>
    <m/>
    <x v="259"/>
  </r>
  <r>
    <s v="Nuñez"/>
    <s v="Borja"/>
    <s v="Guadalupe"/>
    <x v="1523"/>
    <x v="453"/>
    <n v="0.63812999999999998"/>
    <m/>
    <m/>
    <m/>
    <m/>
    <m/>
    <m/>
    <m/>
    <m/>
    <m/>
    <m/>
    <d v="1956-01-31T00:00:00"/>
    <m/>
    <x v="259"/>
  </r>
  <r>
    <s v="Baiget"/>
    <s v="Marigo"/>
    <s v="Isabel"/>
    <x v="1524"/>
    <x v="453"/>
    <n v="0.65895000000000004"/>
    <m/>
    <m/>
    <m/>
    <m/>
    <m/>
    <m/>
    <m/>
    <m/>
    <m/>
    <m/>
    <d v="1931-06-13T00:00:00"/>
    <m/>
    <x v="259"/>
  </r>
  <r>
    <s v="Sanchez"/>
    <s v="Moliner"/>
    <s v="Mariano"/>
    <x v="1525"/>
    <x v="453"/>
    <n v="0.15795999999999999"/>
    <m/>
    <m/>
    <m/>
    <m/>
    <m/>
    <m/>
    <m/>
    <m/>
    <m/>
    <m/>
    <d v="1959-01-13T00:00:00"/>
    <m/>
    <x v="259"/>
  </r>
  <r>
    <s v="Gomez"/>
    <s v="Garcia"/>
    <s v="Agustin"/>
    <x v="1526"/>
    <x v="453"/>
    <n v="6.4250000000000002E-2"/>
    <m/>
    <m/>
    <m/>
    <m/>
    <m/>
    <m/>
    <m/>
    <m/>
    <m/>
    <m/>
    <d v="1959-12-17T00:00:00"/>
    <m/>
    <x v="259"/>
  </r>
  <r>
    <s v="Montalvo"/>
    <s v="Carrillo"/>
    <s v="Jose"/>
    <x v="1527"/>
    <x v="453"/>
    <n v="9.6009999999999998E-2"/>
    <m/>
    <m/>
    <m/>
    <m/>
    <m/>
    <m/>
    <m/>
    <m/>
    <m/>
    <m/>
    <d v="1955-02-07T00:00:00"/>
    <m/>
    <x v="259"/>
  </r>
  <r>
    <s v="Villarreal"/>
    <s v="Bautista"/>
    <s v="Vicente Jose"/>
    <x v="1528"/>
    <x v="453"/>
    <n v="0.14471999999999999"/>
    <m/>
    <m/>
    <m/>
    <m/>
    <m/>
    <m/>
    <m/>
    <m/>
    <m/>
    <m/>
    <d v="1962-07-19T00:00:00"/>
    <m/>
    <x v="259"/>
  </r>
  <r>
    <s v="Moncho"/>
    <s v="Moncho"/>
    <s v="Jose Vicente"/>
    <x v="1529"/>
    <x v="453"/>
    <n v="1.7479999999999999E-2"/>
    <m/>
    <m/>
    <m/>
    <m/>
    <m/>
    <m/>
    <m/>
    <m/>
    <m/>
    <m/>
    <d v="1968-12-08T00:00:00"/>
    <m/>
    <x v="259"/>
  </r>
  <r>
    <s v="Chicote"/>
    <s v="Gavidia"/>
    <s v="Maria Mercedes"/>
    <x v="1530"/>
    <x v="453"/>
    <n v="0.30370000000000003"/>
    <m/>
    <m/>
    <m/>
    <m/>
    <m/>
    <m/>
    <m/>
    <m/>
    <m/>
    <m/>
    <d v="1940-02-15T00:00:00"/>
    <m/>
    <x v="113"/>
  </r>
  <r>
    <s v="Aranda"/>
    <s v="Cantos"/>
    <s v="Juan"/>
    <x v="1531"/>
    <x v="453"/>
    <n v="2.724E-2"/>
    <m/>
    <m/>
    <m/>
    <m/>
    <m/>
    <m/>
    <m/>
    <m/>
    <m/>
    <m/>
    <d v="1964-12-16T00:00:00"/>
    <m/>
    <x v="285"/>
  </r>
  <r>
    <s v="Hernandez"/>
    <s v="Ruiz"/>
    <s v="Victor"/>
    <x v="1532"/>
    <x v="453"/>
    <n v="0.22491"/>
    <m/>
    <m/>
    <m/>
    <m/>
    <m/>
    <m/>
    <m/>
    <m/>
    <m/>
    <m/>
    <d v="1978-04-15T00:00:00"/>
    <m/>
    <x v="215"/>
  </r>
  <r>
    <s v="Fernandez"/>
    <s v="Dominguez"/>
    <s v="Ana"/>
    <x v="1533"/>
    <x v="453"/>
    <n v="3.6740000000000002E-2"/>
    <m/>
    <m/>
    <m/>
    <m/>
    <m/>
    <m/>
    <m/>
    <m/>
    <m/>
    <m/>
    <d v="1951-05-09T00:00:00"/>
    <m/>
    <x v="267"/>
  </r>
  <r>
    <s v="Medrano"/>
    <s v="Atienzar "/>
    <s v="Fernando"/>
    <x v="1534"/>
    <x v="453"/>
    <n v="1.115E-2"/>
    <m/>
    <m/>
    <m/>
    <m/>
    <m/>
    <m/>
    <m/>
    <m/>
    <m/>
    <m/>
    <d v="1952-05-10T00:00:00"/>
    <m/>
    <x v="111"/>
  </r>
  <r>
    <s v="Rock"/>
    <m/>
    <s v="Roland Peter"/>
    <x v="1535"/>
    <x v="453"/>
    <n v="0.12218"/>
    <m/>
    <m/>
    <m/>
    <m/>
    <m/>
    <m/>
    <m/>
    <m/>
    <m/>
    <m/>
    <d v="1954-07-01T00:00:00"/>
    <m/>
    <x v="294"/>
  </r>
  <r>
    <s v="Garcia"/>
    <s v="Dolz"/>
    <s v="Vicente Salvador"/>
    <x v="1536"/>
    <x v="454"/>
    <n v="3.3930000000000002E-2"/>
    <m/>
    <m/>
    <m/>
    <m/>
    <m/>
    <m/>
    <m/>
    <m/>
    <m/>
    <m/>
    <d v="1955-01-20T00:00:00"/>
    <m/>
    <x v="284"/>
  </r>
  <r>
    <s v="Sanmartin"/>
    <s v="Nacher"/>
    <s v="Juan Antonio"/>
    <x v="1537"/>
    <x v="454"/>
    <n v="0.1009"/>
    <m/>
    <m/>
    <m/>
    <m/>
    <m/>
    <m/>
    <m/>
    <m/>
    <m/>
    <m/>
    <d v="1963-06-13T00:00:00"/>
    <m/>
    <x v="259"/>
  </r>
  <r>
    <s v="Cozar"/>
    <s v="Pleguezuelos"/>
    <s v="Abraham"/>
    <x v="1190"/>
    <x v="454"/>
    <n v="0.50278999999999996"/>
    <m/>
    <m/>
    <m/>
    <m/>
    <m/>
    <m/>
    <m/>
    <m/>
    <m/>
    <m/>
    <d v="1960-01-25T00:00:00"/>
    <m/>
    <x v="259"/>
  </r>
  <r>
    <s v="Gimenez"/>
    <s v="Santiago"/>
    <s v="Jose Maria"/>
    <x v="1172"/>
    <x v="454"/>
    <n v="0.66547000000000001"/>
    <m/>
    <m/>
    <m/>
    <m/>
    <m/>
    <m/>
    <m/>
    <m/>
    <m/>
    <m/>
    <d v="1953-11-09T00:00:00"/>
    <m/>
    <x v="259"/>
  </r>
  <r>
    <s v="Conde"/>
    <s v="Zamora"/>
    <s v="Lucia"/>
    <x v="1538"/>
    <x v="454"/>
    <n v="0.16617999999999999"/>
    <m/>
    <m/>
    <m/>
    <m/>
    <m/>
    <m/>
    <m/>
    <m/>
    <m/>
    <m/>
    <d v="1986-01-08T00:00:00"/>
    <m/>
    <x v="259"/>
  </r>
  <r>
    <s v="Molero"/>
    <s v="Ratia"/>
    <s v="Juan Antonio"/>
    <x v="1539"/>
    <x v="454"/>
    <n v="0.53000999999999998"/>
    <m/>
    <m/>
    <m/>
    <m/>
    <m/>
    <m/>
    <m/>
    <m/>
    <m/>
    <m/>
    <d v="1965-06-24T00:00:00"/>
    <m/>
    <x v="259"/>
  </r>
  <r>
    <s v="Pitarch"/>
    <s v="Huguet"/>
    <s v="Jose"/>
    <x v="1540"/>
    <x v="454"/>
    <n v="0.22747000000000001"/>
    <m/>
    <m/>
    <m/>
    <m/>
    <m/>
    <m/>
    <m/>
    <m/>
    <m/>
    <m/>
    <d v="1970-06-18T00:00:00"/>
    <m/>
    <x v="259"/>
  </r>
  <r>
    <s v="Caldito"/>
    <s v="Gomez"/>
    <s v="Maga"/>
    <x v="1541"/>
    <x v="454"/>
    <n v="1.2880000000000001E-2"/>
    <m/>
    <m/>
    <m/>
    <m/>
    <m/>
    <m/>
    <m/>
    <m/>
    <m/>
    <m/>
    <d v="2006-10-19T00:00:00"/>
    <m/>
    <x v="295"/>
  </r>
  <r>
    <s v="Arastey"/>
    <s v="Alis"/>
    <s v="Jose"/>
    <x v="1542"/>
    <x v="454"/>
    <n v="7.4230000000000004E-2"/>
    <m/>
    <m/>
    <m/>
    <m/>
    <m/>
    <m/>
    <m/>
    <m/>
    <m/>
    <m/>
    <d v="1940-05-03T00:00:00"/>
    <m/>
    <x v="175"/>
  </r>
  <r>
    <s v="Boyer"/>
    <s v="Lopez"/>
    <s v="Andrea"/>
    <x v="749"/>
    <x v="454"/>
    <n v="6.4000000000000005E-4"/>
    <m/>
    <m/>
    <m/>
    <m/>
    <m/>
    <m/>
    <m/>
    <m/>
    <m/>
    <m/>
    <d v="1996-10-09T00:00:00"/>
    <m/>
    <x v="184"/>
  </r>
  <r>
    <s v="Lladosa"/>
    <s v="Torro"/>
    <s v="Fernando"/>
    <x v="1543"/>
    <x v="455"/>
    <n v="2.1503100000000002"/>
    <m/>
    <m/>
    <m/>
    <m/>
    <m/>
    <m/>
    <m/>
    <m/>
    <m/>
    <m/>
    <d v="1961-02-13T00:00:00"/>
    <m/>
    <x v="292"/>
  </r>
  <r>
    <s v="Lopez"/>
    <s v="Lopez"/>
    <s v="Jose Carlos"/>
    <x v="1544"/>
    <x v="455"/>
    <n v="3.3026200000000001"/>
    <m/>
    <m/>
    <m/>
    <m/>
    <m/>
    <m/>
    <m/>
    <m/>
    <m/>
    <m/>
    <d v="1958-06-06T00:00:00"/>
    <m/>
    <x v="248"/>
  </r>
  <r>
    <s v="Navalon"/>
    <s v="Cuesta"/>
    <s v="Miguel"/>
    <x v="1545"/>
    <x v="456"/>
    <n v="0.55013999999999996"/>
    <m/>
    <m/>
    <m/>
    <m/>
    <m/>
    <m/>
    <m/>
    <m/>
    <m/>
    <m/>
    <d v="1959-01-11T00:00:00"/>
    <m/>
    <x v="259"/>
  </r>
  <r>
    <s v="Mercader"/>
    <s v="Hervas"/>
    <s v="Emilio"/>
    <x v="1546"/>
    <x v="456"/>
    <n v="0.25322"/>
    <m/>
    <m/>
    <m/>
    <m/>
    <m/>
    <m/>
    <m/>
    <m/>
    <m/>
    <m/>
    <d v="1933-08-05T00:00:00"/>
    <m/>
    <x v="259"/>
  </r>
  <r>
    <s v="Gay"/>
    <s v="Villalba"/>
    <s v="Jose Andres"/>
    <x v="1547"/>
    <x v="456"/>
    <n v="0.53937000000000002"/>
    <m/>
    <m/>
    <m/>
    <m/>
    <m/>
    <m/>
    <m/>
    <m/>
    <m/>
    <m/>
    <d v="1954-02-27T00:00:00"/>
    <m/>
    <x v="259"/>
  </r>
  <r>
    <s v="Cabezas"/>
    <s v="Diaz"/>
    <s v="Sonsoles"/>
    <x v="1548"/>
    <x v="456"/>
    <n v="1.2137899999999999"/>
    <m/>
    <m/>
    <m/>
    <m/>
    <m/>
    <m/>
    <m/>
    <m/>
    <m/>
    <m/>
    <d v="1935-11-17T00:00:00"/>
    <m/>
    <x v="41"/>
  </r>
  <r>
    <s v="Abad"/>
    <s v="Chafer"/>
    <s v="Jose"/>
    <x v="1549"/>
    <x v="457"/>
    <n v="1.41E-3"/>
    <m/>
    <m/>
    <m/>
    <m/>
    <m/>
    <m/>
    <m/>
    <m/>
    <m/>
    <m/>
    <d v="1945-02-16T00:00:00"/>
    <m/>
    <x v="284"/>
  </r>
  <r>
    <s v="Mendez"/>
    <s v="Cordobes"/>
    <s v="Juan Jose"/>
    <x v="1465"/>
    <x v="457"/>
    <n v="4.8999999999999998E-4"/>
    <m/>
    <m/>
    <m/>
    <m/>
    <m/>
    <m/>
    <m/>
    <m/>
    <m/>
    <m/>
    <d v="1949-01-19T00:00:00"/>
    <m/>
    <x v="284"/>
  </r>
  <r>
    <s v="Robles"/>
    <s v="Moreno"/>
    <s v="Ramon"/>
    <x v="1472"/>
    <x v="457"/>
    <n v="0.25125999999999998"/>
    <m/>
    <m/>
    <m/>
    <m/>
    <m/>
    <m/>
    <m/>
    <m/>
    <m/>
    <m/>
    <d v="1959-11-29T00:00:00"/>
    <m/>
    <x v="284"/>
  </r>
  <r>
    <s v="Peñarrubia"/>
    <s v="del Valle"/>
    <s v="Jose Maria"/>
    <x v="1550"/>
    <x v="457"/>
    <n v="2.5940000000000001E-2"/>
    <m/>
    <m/>
    <m/>
    <m/>
    <m/>
    <m/>
    <m/>
    <m/>
    <m/>
    <m/>
    <d v="1997-02-27T00:00:00"/>
    <m/>
    <x v="259"/>
  </r>
  <r>
    <s v="Gomez"/>
    <s v="Asins"/>
    <s v="Francisco"/>
    <x v="1551"/>
    <x v="457"/>
    <n v="8.0839999999999995E-2"/>
    <m/>
    <m/>
    <m/>
    <m/>
    <m/>
    <m/>
    <m/>
    <m/>
    <m/>
    <m/>
    <d v="1943-03-07T00:00:00"/>
    <m/>
    <x v="259"/>
  </r>
  <r>
    <s v="Antequera"/>
    <s v="Balaguer"/>
    <s v="Victoria"/>
    <x v="1552"/>
    <x v="457"/>
    <n v="0.12769"/>
    <m/>
    <m/>
    <m/>
    <m/>
    <m/>
    <m/>
    <m/>
    <m/>
    <m/>
    <m/>
    <d v="1977-01-07T00:00:00"/>
    <m/>
    <x v="259"/>
  </r>
  <r>
    <s v="Valverde"/>
    <s v="Molinero"/>
    <s v="Jose Ramon"/>
    <x v="1553"/>
    <x v="457"/>
    <n v="0.25375999999999999"/>
    <m/>
    <m/>
    <m/>
    <m/>
    <m/>
    <m/>
    <m/>
    <m/>
    <m/>
    <m/>
    <d v="1964-11-28T00:00:00"/>
    <m/>
    <x v="259"/>
  </r>
  <r>
    <s v="Molina"/>
    <s v="Flores"/>
    <s v="Holger"/>
    <x v="1497"/>
    <x v="457"/>
    <n v="0.46427000000000002"/>
    <m/>
    <m/>
    <m/>
    <m/>
    <m/>
    <m/>
    <m/>
    <m/>
    <m/>
    <m/>
    <d v="1970-05-11T00:00:00"/>
    <m/>
    <x v="259"/>
  </r>
  <r>
    <s v="Lopez"/>
    <s v="Cordoba"/>
    <s v="Josefa Maria Angele"/>
    <x v="1496"/>
    <x v="457"/>
    <n v="0.72765999999999997"/>
    <m/>
    <m/>
    <m/>
    <m/>
    <m/>
    <m/>
    <m/>
    <m/>
    <m/>
    <m/>
    <d v="1958-04-11T00:00:00"/>
    <m/>
    <x v="259"/>
  </r>
  <r>
    <s v="Compañy"/>
    <s v="Fuste"/>
    <s v="Amparo"/>
    <x v="1554"/>
    <x v="457"/>
    <n v="9.6900000000000007E-3"/>
    <m/>
    <m/>
    <m/>
    <m/>
    <m/>
    <m/>
    <m/>
    <m/>
    <m/>
    <m/>
    <d v="1952-05-28T00:00:00"/>
    <m/>
    <x v="259"/>
  </r>
  <r>
    <s v="Ibañez"/>
    <s v="Buj"/>
    <s v="Jesus"/>
    <x v="1309"/>
    <x v="457"/>
    <n v="0.26527999999999996"/>
    <m/>
    <m/>
    <m/>
    <m/>
    <m/>
    <m/>
    <m/>
    <m/>
    <m/>
    <m/>
    <d v="1962-04-21T00:00:00"/>
    <m/>
    <x v="259"/>
  </r>
  <r>
    <s v="Monteagudo"/>
    <s v="Suarez"/>
    <s v="Juan Jose"/>
    <x v="1555"/>
    <x v="457"/>
    <n v="8.9569999999999997E-2"/>
    <m/>
    <m/>
    <m/>
    <m/>
    <m/>
    <m/>
    <m/>
    <m/>
    <m/>
    <m/>
    <d v="1954-10-21T00:00:00"/>
    <m/>
    <x v="114"/>
  </r>
  <r>
    <s v="Medina"/>
    <s v="Rodrigo"/>
    <s v="Josep"/>
    <x v="556"/>
    <x v="457"/>
    <n v="0.75468999999999997"/>
    <m/>
    <m/>
    <m/>
    <m/>
    <m/>
    <m/>
    <m/>
    <m/>
    <m/>
    <m/>
    <d v="1944-10-24T00:00:00"/>
    <m/>
    <x v="1"/>
  </r>
  <r>
    <s v="Martos"/>
    <s v="Peiro"/>
    <s v="Esteban"/>
    <x v="1556"/>
    <x v="457"/>
    <n v="0.73129"/>
    <m/>
    <m/>
    <m/>
    <m/>
    <m/>
    <m/>
    <m/>
    <m/>
    <m/>
    <m/>
    <d v="1949-09-28T00:00:00"/>
    <m/>
    <x v="205"/>
  </r>
  <r>
    <s v="Lloret"/>
    <s v="Llorens"/>
    <s v="Rafael Maximi"/>
    <x v="1557"/>
    <x v="457"/>
    <n v="0.93145999999999995"/>
    <m/>
    <m/>
    <m/>
    <m/>
    <m/>
    <m/>
    <m/>
    <m/>
    <m/>
    <m/>
    <d v="1942-10-24T00:00:00"/>
    <m/>
    <x v="9"/>
  </r>
  <r>
    <s v="Ramirez"/>
    <s v="de la Torre"/>
    <s v="Teresa"/>
    <x v="1558"/>
    <x v="458"/>
    <n v="0.14101"/>
    <m/>
    <m/>
    <m/>
    <m/>
    <m/>
    <m/>
    <m/>
    <m/>
    <m/>
    <m/>
    <d v="1947-12-11T00:00:00"/>
    <m/>
    <x v="284"/>
  </r>
  <r>
    <s v="Baeza"/>
    <s v="Blanco"/>
    <s v="Juan Luis"/>
    <x v="1559"/>
    <x v="458"/>
    <n v="6.5420000000000006E-2"/>
    <m/>
    <m/>
    <m/>
    <m/>
    <m/>
    <m/>
    <m/>
    <m/>
    <m/>
    <m/>
    <d v="1958-04-09T00:00:00"/>
    <m/>
    <x v="284"/>
  </r>
  <r>
    <s v="Garcia"/>
    <s v="Tornero"/>
    <s v="Bernabea"/>
    <x v="1333"/>
    <x v="458"/>
    <n v="0.49730999999999997"/>
    <m/>
    <m/>
    <m/>
    <m/>
    <m/>
    <m/>
    <m/>
    <m/>
    <m/>
    <m/>
    <d v="1934-03-29T00:00:00"/>
    <m/>
    <x v="259"/>
  </r>
  <r>
    <s v="Muñoz"/>
    <s v="Ruz"/>
    <s v="Julio"/>
    <x v="1167"/>
    <x v="458"/>
    <n v="0.83618999999999999"/>
    <m/>
    <m/>
    <m/>
    <m/>
    <m/>
    <m/>
    <m/>
    <m/>
    <m/>
    <m/>
    <d v="1958-02-22T00:00:00"/>
    <m/>
    <x v="259"/>
  </r>
  <r>
    <s v="Mitev"/>
    <s v="Iliev"/>
    <s v="Iliya"/>
    <x v="1560"/>
    <x v="458"/>
    <n v="0.29132000000000002"/>
    <m/>
    <m/>
    <m/>
    <m/>
    <m/>
    <m/>
    <m/>
    <m/>
    <m/>
    <m/>
    <d v="1965-07-08T00:00:00"/>
    <m/>
    <x v="259"/>
  </r>
  <r>
    <s v="Roa"/>
    <s v="Mercado"/>
    <s v="Ana Maria"/>
    <x v="1561"/>
    <x v="458"/>
    <n v="5.4539999999999998E-2"/>
    <m/>
    <m/>
    <m/>
    <m/>
    <m/>
    <m/>
    <m/>
    <m/>
    <m/>
    <m/>
    <d v="1944-06-14T00:00:00"/>
    <m/>
    <x v="259"/>
  </r>
  <r>
    <s v="Barranco"/>
    <s v="Sapiña"/>
    <s v="Carolina"/>
    <x v="1562"/>
    <x v="458"/>
    <n v="1.3949999999999999E-2"/>
    <m/>
    <m/>
    <m/>
    <m/>
    <m/>
    <m/>
    <m/>
    <m/>
    <m/>
    <m/>
    <d v="1976-06-05T00:00:00"/>
    <m/>
    <x v="259"/>
  </r>
  <r>
    <s v="Garcia"/>
    <s v="Rausell"/>
    <s v="Daniel"/>
    <x v="1563"/>
    <x v="458"/>
    <n v="5.0639999999999998E-2"/>
    <m/>
    <m/>
    <m/>
    <m/>
    <m/>
    <m/>
    <m/>
    <m/>
    <m/>
    <m/>
    <d v="1970-08-17T00:00:00"/>
    <m/>
    <x v="259"/>
  </r>
  <r>
    <s v="Santana"/>
    <s v="Aradilla"/>
    <s v="Francisca"/>
    <x v="1564"/>
    <x v="458"/>
    <n v="0.13031000000000001"/>
    <m/>
    <m/>
    <m/>
    <m/>
    <m/>
    <m/>
    <m/>
    <m/>
    <m/>
    <m/>
    <d v="1964-05-08T00:00:00"/>
    <m/>
    <x v="259"/>
  </r>
  <r>
    <s v="Mendez"/>
    <s v="Roca"/>
    <s v="Luisa"/>
    <x v="622"/>
    <x v="458"/>
    <n v="0.13213"/>
    <m/>
    <m/>
    <m/>
    <m/>
    <m/>
    <m/>
    <m/>
    <m/>
    <m/>
    <m/>
    <d v="1973-10-11T00:00:00"/>
    <m/>
    <x v="114"/>
  </r>
  <r>
    <s v="Martos"/>
    <s v="Peiro"/>
    <s v="Esteban"/>
    <x v="1556"/>
    <x v="458"/>
    <n v="1.14114"/>
    <m/>
    <m/>
    <m/>
    <m/>
    <m/>
    <m/>
    <m/>
    <m/>
    <m/>
    <m/>
    <d v="1949-09-28T00:00:00"/>
    <m/>
    <x v="296"/>
  </r>
  <r>
    <s v="Font"/>
    <s v="Catala"/>
    <s v="Antonio"/>
    <x v="1565"/>
    <x v="458"/>
    <n v="0.87931999999999999"/>
    <m/>
    <m/>
    <m/>
    <m/>
    <m/>
    <m/>
    <m/>
    <m/>
    <m/>
    <m/>
    <d v="1949-04-04T00:00:00"/>
    <m/>
    <x v="177"/>
  </r>
  <r>
    <s v="Campillo"/>
    <s v="Sola"/>
    <s v="Nadia"/>
    <x v="1566"/>
    <x v="458"/>
    <n v="1.469E-2"/>
    <m/>
    <m/>
    <m/>
    <m/>
    <m/>
    <m/>
    <m/>
    <m/>
    <m/>
    <m/>
    <d v="2000-10-23T00:00:00"/>
    <m/>
    <x v="297"/>
  </r>
  <r>
    <s v="Montalvo"/>
    <s v="Carrillo"/>
    <s v="Jose"/>
    <x v="1527"/>
    <x v="459"/>
    <n v="1.014E-2"/>
    <m/>
    <m/>
    <m/>
    <m/>
    <m/>
    <m/>
    <m/>
    <m/>
    <m/>
    <m/>
    <d v="1955-02-07T00:00:00"/>
    <m/>
    <x v="293"/>
  </r>
  <r>
    <s v="Perales"/>
    <s v="Grifol"/>
    <s v="Vicente Luis"/>
    <x v="1567"/>
    <x v="459"/>
    <n v="0.50975999999999999"/>
    <m/>
    <m/>
    <m/>
    <m/>
    <m/>
    <m/>
    <m/>
    <m/>
    <m/>
    <m/>
    <d v="1955-02-10T00:00:00"/>
    <m/>
    <x v="259"/>
  </r>
  <r>
    <s v="Serra"/>
    <s v="Mateo"/>
    <s v="Enrique"/>
    <x v="1568"/>
    <x v="459"/>
    <n v="0.93913000000000002"/>
    <m/>
    <m/>
    <m/>
    <m/>
    <m/>
    <m/>
    <m/>
    <m/>
    <m/>
    <m/>
    <d v="1941-06-10T00:00:00"/>
    <m/>
    <x v="259"/>
  </r>
  <r>
    <s v="Gimeno"/>
    <s v="Tatay"/>
    <s v="Manuel"/>
    <x v="1569"/>
    <x v="459"/>
    <n v="0.53671000000000002"/>
    <m/>
    <m/>
    <m/>
    <m/>
    <m/>
    <m/>
    <m/>
    <m/>
    <m/>
    <m/>
    <d v="1938-10-08T00:00:00"/>
    <m/>
    <x v="259"/>
  </r>
  <r>
    <s v="Aguayo"/>
    <s v="Guiterrez"/>
    <s v="Josue"/>
    <x v="861"/>
    <x v="459"/>
    <n v="139.47999999999999"/>
    <m/>
    <m/>
    <m/>
    <m/>
    <m/>
    <m/>
    <m/>
    <m/>
    <m/>
    <m/>
    <d v="2005-03-08T00:00:00"/>
    <m/>
    <x v="259"/>
  </r>
  <r>
    <s v="Campillos"/>
    <s v="Gimenez Galanes"/>
    <s v="Jesus"/>
    <x v="1570"/>
    <x v="459"/>
    <n v="0.11569"/>
    <m/>
    <m/>
    <m/>
    <m/>
    <m/>
    <m/>
    <m/>
    <m/>
    <m/>
    <m/>
    <d v="1960-02-28T00:00:00"/>
    <m/>
    <x v="259"/>
  </r>
  <r>
    <s v="Abolafio"/>
    <s v="Sanchez"/>
    <s v="Dolores"/>
    <x v="1571"/>
    <x v="459"/>
    <n v="0.50229999999999997"/>
    <m/>
    <m/>
    <m/>
    <m/>
    <m/>
    <m/>
    <m/>
    <m/>
    <m/>
    <m/>
    <d v="1969-07-03T00:00:00"/>
    <m/>
    <x v="259"/>
  </r>
  <r>
    <s v="Costa"/>
    <s v="Marti"/>
    <s v="Miguel"/>
    <x v="1572"/>
    <x v="459"/>
    <n v="0.57662999999999998"/>
    <m/>
    <m/>
    <m/>
    <m/>
    <m/>
    <m/>
    <m/>
    <m/>
    <m/>
    <m/>
    <d v="1936-04-21T00:00:00"/>
    <m/>
    <x v="259"/>
  </r>
  <r>
    <s v="Mata"/>
    <s v="Cabo"/>
    <s v="Jose"/>
    <x v="1573"/>
    <x v="459"/>
    <n v="0.27088000000000001"/>
    <m/>
    <m/>
    <m/>
    <m/>
    <m/>
    <m/>
    <m/>
    <m/>
    <m/>
    <m/>
    <d v="1951-05-09T00:00:00"/>
    <m/>
    <x v="150"/>
  </r>
  <r>
    <s v="Valero"/>
    <s v="Ruiz"/>
    <s v="Francisca"/>
    <x v="1574"/>
    <x v="459"/>
    <n v="0.26262000000000002"/>
    <m/>
    <m/>
    <m/>
    <m/>
    <m/>
    <m/>
    <m/>
    <m/>
    <m/>
    <m/>
    <d v="1956-03-18T00:00:00"/>
    <m/>
    <x v="9"/>
  </r>
  <r>
    <s v="Montalvo"/>
    <s v="Carrillo"/>
    <s v="Jose"/>
    <x v="1527"/>
    <x v="460"/>
    <n v="1.7059999999999999E-2"/>
    <m/>
    <m/>
    <m/>
    <m/>
    <m/>
    <m/>
    <m/>
    <m/>
    <m/>
    <m/>
    <d v="1955-02-07T00:00:00"/>
    <m/>
    <x v="293"/>
  </r>
  <r>
    <s v="Bañon"/>
    <s v="Estevan"/>
    <s v="Juan"/>
    <x v="1575"/>
    <x v="460"/>
    <n v="0.11569"/>
    <m/>
    <m/>
    <m/>
    <m/>
    <m/>
    <m/>
    <m/>
    <m/>
    <m/>
    <m/>
    <d v="1975-01-26T00:00:00"/>
    <m/>
    <x v="259"/>
  </r>
  <r>
    <s v="Castello"/>
    <s v="Marco"/>
    <s v="Martin"/>
    <x v="1457"/>
    <x v="460"/>
    <n v="0.66574"/>
    <m/>
    <m/>
    <m/>
    <m/>
    <m/>
    <m/>
    <m/>
    <m/>
    <m/>
    <m/>
    <d v="1936-07-29T00:00:00"/>
    <m/>
    <x v="259"/>
  </r>
  <r>
    <s v="Mensua"/>
    <s v="Calzado"/>
    <s v="Francisco"/>
    <x v="1179"/>
    <x v="460"/>
    <n v="0.24972"/>
    <m/>
    <m/>
    <m/>
    <m/>
    <m/>
    <m/>
    <m/>
    <m/>
    <m/>
    <m/>
    <d v="1960-08-10T00:00:00"/>
    <m/>
    <x v="259"/>
  </r>
  <r>
    <s v="Martinez"/>
    <s v="Merino"/>
    <s v="Maria Desamparados"/>
    <x v="1576"/>
    <x v="460"/>
    <n v="0.20199"/>
    <m/>
    <m/>
    <m/>
    <m/>
    <m/>
    <m/>
    <m/>
    <m/>
    <m/>
    <m/>
    <d v="1958-03-17T00:00:00"/>
    <m/>
    <x v="259"/>
  </r>
  <r>
    <s v="Perez"/>
    <s v="Lafuente"/>
    <s v="Mariano"/>
    <x v="1577"/>
    <x v="460"/>
    <n v="0.19591"/>
    <m/>
    <m/>
    <m/>
    <m/>
    <m/>
    <m/>
    <m/>
    <m/>
    <m/>
    <m/>
    <d v="1950-04-20T00:00:00"/>
    <m/>
    <x v="259"/>
  </r>
  <r>
    <s v="Portales"/>
    <s v="Ruiz"/>
    <s v="Jose Manuel"/>
    <x v="1578"/>
    <x v="460"/>
    <n v="0.2447"/>
    <m/>
    <m/>
    <m/>
    <m/>
    <m/>
    <m/>
    <m/>
    <m/>
    <m/>
    <m/>
    <d v="1966-11-09T00:00:00"/>
    <m/>
    <x v="259"/>
  </r>
  <r>
    <s v="Punter"/>
    <s v="Martinez"/>
    <s v="Pilar"/>
    <x v="1579"/>
    <x v="460"/>
    <n v="0.15423000000000001"/>
    <m/>
    <m/>
    <m/>
    <m/>
    <m/>
    <m/>
    <m/>
    <m/>
    <m/>
    <m/>
    <d v="1945-12-16T00:00:00"/>
    <m/>
    <x v="259"/>
  </r>
  <r>
    <s v="Sanchez"/>
    <s v="Moliner"/>
    <s v="Mariano"/>
    <x v="1525"/>
    <x v="460"/>
    <n v="1.3804799999999999"/>
    <m/>
    <m/>
    <m/>
    <m/>
    <m/>
    <m/>
    <m/>
    <m/>
    <m/>
    <m/>
    <d v="1959-01-13T00:00:00"/>
    <m/>
    <x v="259"/>
  </r>
  <r>
    <s v="Benlloch"/>
    <s v="Balaguer"/>
    <s v="Maria Vicenta"/>
    <x v="1580"/>
    <x v="460"/>
    <n v="3.6749999999999998E-2"/>
    <m/>
    <m/>
    <m/>
    <m/>
    <m/>
    <m/>
    <m/>
    <m/>
    <m/>
    <m/>
    <d v="1962-02-04T00:00:00"/>
    <m/>
    <x v="259"/>
  </r>
  <r>
    <s v="Reina"/>
    <s v="Perez"/>
    <s v="Carlos"/>
    <x v="587"/>
    <x v="460"/>
    <n v="4.7550000000000002E-2"/>
    <m/>
    <m/>
    <m/>
    <m/>
    <m/>
    <m/>
    <m/>
    <m/>
    <m/>
    <m/>
    <d v="1979-05-08T00:00:00"/>
    <m/>
    <x v="134"/>
  </r>
  <r>
    <s v="Marqueño"/>
    <s v="Lopez"/>
    <s v="Filomena"/>
    <x v="1581"/>
    <x v="460"/>
    <n v="9.7030000000000005E-2"/>
    <m/>
    <m/>
    <m/>
    <m/>
    <m/>
    <m/>
    <m/>
    <m/>
    <m/>
    <m/>
    <d v="1952-09-04T00:00:00"/>
    <m/>
    <x v="215"/>
  </r>
  <r>
    <s v="Comes"/>
    <s v="Ramon"/>
    <s v="Agustin"/>
    <x v="1322"/>
    <x v="460"/>
    <n v="0.2329"/>
    <m/>
    <m/>
    <m/>
    <m/>
    <m/>
    <m/>
    <m/>
    <m/>
    <m/>
    <m/>
    <d v="1955-02-27T00:00:00"/>
    <m/>
    <x v="114"/>
  </r>
  <r>
    <s v="Portales"/>
    <s v="Llop"/>
    <s v="Enric"/>
    <x v="630"/>
    <x v="460"/>
    <n v="3.4189999999999998E-2"/>
    <m/>
    <m/>
    <m/>
    <m/>
    <m/>
    <m/>
    <m/>
    <m/>
    <m/>
    <m/>
    <d v="1961-12-26T00:00:00"/>
    <m/>
    <x v="298"/>
  </r>
  <r>
    <s v="Nuñez"/>
    <s v="Moreno"/>
    <s v="Isabel"/>
    <x v="1582"/>
    <x v="460"/>
    <n v="5.4460000000000001E-2"/>
    <m/>
    <m/>
    <m/>
    <m/>
    <m/>
    <m/>
    <m/>
    <m/>
    <m/>
    <m/>
    <d v="1960-12-19T00:00:00"/>
    <m/>
    <x v="286"/>
  </r>
  <r>
    <s v="Verdeguer"/>
    <s v="Vidal"/>
    <s v="Vicente"/>
    <x v="1038"/>
    <x v="461"/>
    <n v="1.7030700000000001"/>
    <m/>
    <m/>
    <m/>
    <m/>
    <m/>
    <m/>
    <m/>
    <m/>
    <m/>
    <m/>
    <d v="1946-12-17T00:00:00"/>
    <m/>
    <x v="259"/>
  </r>
  <r>
    <s v="Julve"/>
    <s v="Sorolla"/>
    <s v="Palmira"/>
    <x v="1583"/>
    <x v="461"/>
    <n v="0.36020999999999997"/>
    <m/>
    <m/>
    <m/>
    <m/>
    <m/>
    <m/>
    <m/>
    <m/>
    <m/>
    <m/>
    <d v="1948-01-23T00:00:00"/>
    <m/>
    <x v="259"/>
  </r>
  <r>
    <s v="Cebolla"/>
    <s v="Torres"/>
    <s v="Josefa"/>
    <x v="1584"/>
    <x v="461"/>
    <n v="0.14610000000000001"/>
    <m/>
    <m/>
    <m/>
    <m/>
    <m/>
    <m/>
    <m/>
    <m/>
    <m/>
    <m/>
    <d v="1938-01-10T00:00:00"/>
    <m/>
    <x v="259"/>
  </r>
  <r>
    <s v="Sirvent"/>
    <s v="Miralles"/>
    <s v="Juan Vicente"/>
    <x v="1585"/>
    <x v="461"/>
    <n v="0.12584999999999999"/>
    <m/>
    <m/>
    <m/>
    <m/>
    <m/>
    <m/>
    <m/>
    <m/>
    <m/>
    <m/>
    <d v="1971-06-24T00:00:00"/>
    <m/>
    <x v="259"/>
  </r>
  <r>
    <s v="Lopez"/>
    <s v="Sabido"/>
    <s v="M Antonia"/>
    <x v="1586"/>
    <x v="461"/>
    <n v="3.8309999999999997E-2"/>
    <m/>
    <m/>
    <m/>
    <m/>
    <m/>
    <m/>
    <m/>
    <m/>
    <m/>
    <m/>
    <d v="1968-06-26T00:00:00"/>
    <m/>
    <x v="259"/>
  </r>
  <r>
    <s v="Castello"/>
    <s v="Fornas"/>
    <s v="Amadeo"/>
    <x v="1587"/>
    <x v="461"/>
    <n v="0.19367000000000001"/>
    <m/>
    <m/>
    <m/>
    <m/>
    <m/>
    <m/>
    <m/>
    <m/>
    <m/>
    <m/>
    <d v="1946-11-23T00:00:00"/>
    <m/>
    <x v="259"/>
  </r>
  <r>
    <s v="Montaner"/>
    <s v="Barranca"/>
    <s v="Maria"/>
    <x v="1588"/>
    <x v="461"/>
    <n v="0.15770000000000001"/>
    <m/>
    <m/>
    <m/>
    <m/>
    <m/>
    <m/>
    <m/>
    <m/>
    <m/>
    <m/>
    <d v="1937-12-08T00:00:00"/>
    <m/>
    <x v="259"/>
  </r>
  <r>
    <s v="Aparisi"/>
    <s v="Rodriguez"/>
    <s v="Francisco"/>
    <x v="1195"/>
    <x v="461"/>
    <n v="6.0000000000000001E-3"/>
    <m/>
    <m/>
    <m/>
    <m/>
    <m/>
    <m/>
    <m/>
    <m/>
    <m/>
    <m/>
    <d v="1950-02-22T00:00:00"/>
    <m/>
    <x v="264"/>
  </r>
  <r>
    <s v="Sanchez"/>
    <s v="Racionero"/>
    <s v="Sergio"/>
    <x v="1589"/>
    <x v="461"/>
    <n v="1.99E-3"/>
    <m/>
    <m/>
    <m/>
    <m/>
    <m/>
    <m/>
    <m/>
    <m/>
    <m/>
    <m/>
    <d v="2001-06-24T00:00:00"/>
    <m/>
    <x v="230"/>
  </r>
  <r>
    <s v="Izquierdo"/>
    <s v="Mata"/>
    <s v="Carmen"/>
    <x v="1463"/>
    <x v="461"/>
    <n v="6.8199999999999997E-2"/>
    <m/>
    <m/>
    <m/>
    <m/>
    <m/>
    <m/>
    <m/>
    <m/>
    <m/>
    <m/>
    <d v="1946-07-29T00:00:00"/>
    <m/>
    <x v="89"/>
  </r>
  <r>
    <s v="Cuadros"/>
    <s v="Martinez"/>
    <s v="Isabel"/>
    <x v="1464"/>
    <x v="461"/>
    <n v="1.89E-3"/>
    <m/>
    <m/>
    <m/>
    <m/>
    <m/>
    <m/>
    <m/>
    <m/>
    <m/>
    <m/>
    <d v="1947-02-17T00:00:00"/>
    <m/>
    <x v="111"/>
  </r>
  <r>
    <s v="Espinola"/>
    <s v="Valero"/>
    <s v="Eugenia"/>
    <x v="1590"/>
    <x v="462"/>
    <n v="0.98395999999999995"/>
    <m/>
    <m/>
    <m/>
    <m/>
    <m/>
    <m/>
    <m/>
    <m/>
    <m/>
    <m/>
    <d v="1975-10-24T00:00:00"/>
    <m/>
    <x v="259"/>
  </r>
  <r>
    <s v="Lopez"/>
    <s v="Tomas"/>
    <s v="Francisco Javier"/>
    <x v="1591"/>
    <x v="462"/>
    <n v="0.24970999999999999"/>
    <m/>
    <m/>
    <m/>
    <m/>
    <m/>
    <m/>
    <m/>
    <m/>
    <m/>
    <m/>
    <d v="1965-02-28T00:00:00"/>
    <m/>
    <x v="259"/>
  </r>
  <r>
    <s v="Royo"/>
    <s v="Kringe"/>
    <s v="Enrique"/>
    <x v="1592"/>
    <x v="463"/>
    <n v="1.3003800000000001"/>
    <m/>
    <m/>
    <m/>
    <m/>
    <m/>
    <m/>
    <m/>
    <m/>
    <m/>
    <m/>
    <d v="1957-06-13T00:00:00"/>
    <m/>
    <x v="259"/>
  </r>
  <r>
    <s v="Cervera"/>
    <s v="Devis"/>
    <s v="Rafael"/>
    <x v="1593"/>
    <x v="463"/>
    <n v="0.46031"/>
    <m/>
    <m/>
    <m/>
    <m/>
    <m/>
    <m/>
    <m/>
    <m/>
    <m/>
    <m/>
    <d v="1973-05-18T00:00:00"/>
    <m/>
    <x v="259"/>
  </r>
  <r>
    <s v="Diaz"/>
    <s v="Tapiador"/>
    <s v="Feliciano"/>
    <x v="1594"/>
    <x v="463"/>
    <n v="1.0830200000000001"/>
    <m/>
    <m/>
    <m/>
    <m/>
    <m/>
    <m/>
    <m/>
    <m/>
    <m/>
    <m/>
    <d v="1962-10-04T00:00:00"/>
    <m/>
    <x v="259"/>
  </r>
  <r>
    <s v="Villoslada"/>
    <s v="Aguado"/>
    <s v="Jose Luis Manu"/>
    <x v="1595"/>
    <x v="464"/>
    <n v="2.47E-3"/>
    <m/>
    <m/>
    <m/>
    <m/>
    <m/>
    <m/>
    <m/>
    <m/>
    <m/>
    <m/>
    <d v="1947-12-19T00:00:00"/>
    <m/>
    <x v="253"/>
  </r>
  <r>
    <s v="Sadovskij"/>
    <m/>
    <s v="Alexej"/>
    <x v="1596"/>
    <x v="464"/>
    <n v="8.9539999999999995E-2"/>
    <m/>
    <m/>
    <m/>
    <m/>
    <m/>
    <m/>
    <m/>
    <m/>
    <m/>
    <m/>
    <d v="1941-07-26T00:00:00"/>
    <m/>
    <x v="253"/>
  </r>
  <r>
    <s v="Garcia"/>
    <s v="Lizcano"/>
    <s v="Benjamin"/>
    <x v="1597"/>
    <x v="464"/>
    <n v="2.2190000000000001E-2"/>
    <m/>
    <m/>
    <m/>
    <m/>
    <m/>
    <m/>
    <m/>
    <m/>
    <m/>
    <m/>
    <d v="1943-03-31T00:00:00"/>
    <m/>
    <x v="287"/>
  </r>
  <r>
    <s v="Novejarque"/>
    <s v="Peñarrocha"/>
    <s v="Vicente"/>
    <x v="1598"/>
    <x v="464"/>
    <n v="0.13372999999999999"/>
    <m/>
    <m/>
    <m/>
    <m/>
    <m/>
    <m/>
    <m/>
    <m/>
    <m/>
    <m/>
    <d v="1965-10-17T00:00:00"/>
    <m/>
    <x v="259"/>
  </r>
  <r>
    <s v="Crespo"/>
    <s v="Valls"/>
    <s v="Consuelo"/>
    <x v="1599"/>
    <x v="464"/>
    <n v="0.68284"/>
    <m/>
    <m/>
    <m/>
    <m/>
    <m/>
    <m/>
    <m/>
    <m/>
    <m/>
    <m/>
    <d v="1947-05-28T00:00:00"/>
    <m/>
    <x v="259"/>
  </r>
  <r>
    <s v="Martinez"/>
    <s v="Castillo"/>
    <s v="Maria del Carmen"/>
    <x v="1600"/>
    <x v="464"/>
    <n v="0.21690999999999999"/>
    <m/>
    <m/>
    <m/>
    <m/>
    <m/>
    <m/>
    <m/>
    <m/>
    <m/>
    <m/>
    <d v="1957-12-09T00:00:00"/>
    <m/>
    <x v="259"/>
  </r>
  <r>
    <s v="Izquierdo"/>
    <s v="Fuster"/>
    <s v="Jose"/>
    <x v="1601"/>
    <x v="464"/>
    <n v="0.187"/>
    <m/>
    <m/>
    <m/>
    <m/>
    <m/>
    <m/>
    <m/>
    <m/>
    <m/>
    <m/>
    <d v="1943-10-19T00:00:00"/>
    <m/>
    <x v="259"/>
  </r>
  <r>
    <s v="Espejo"/>
    <s v="Moreno"/>
    <s v="Gloria"/>
    <x v="1602"/>
    <x v="464"/>
    <n v="0.11058"/>
    <m/>
    <m/>
    <m/>
    <m/>
    <m/>
    <m/>
    <m/>
    <m/>
    <m/>
    <m/>
    <d v="1951-04-04T00:00:00"/>
    <m/>
    <x v="259"/>
  </r>
  <r>
    <s v="Salcedo"/>
    <s v="Escobar"/>
    <s v="Antonio"/>
    <x v="1603"/>
    <x v="464"/>
    <n v="0.14721000000000001"/>
    <m/>
    <m/>
    <m/>
    <m/>
    <m/>
    <m/>
    <m/>
    <m/>
    <m/>
    <m/>
    <d v="1962-02-07T00:00:00"/>
    <m/>
    <x v="259"/>
  </r>
  <r>
    <s v="Romero"/>
    <s v="Coronado"/>
    <s v="Jose"/>
    <x v="1604"/>
    <x v="464"/>
    <n v="0.95916000000000001"/>
    <m/>
    <m/>
    <m/>
    <m/>
    <m/>
    <m/>
    <m/>
    <m/>
    <m/>
    <m/>
    <d v="1953-12-13T00:00:00"/>
    <m/>
    <x v="259"/>
  </r>
  <r>
    <s v="Romero"/>
    <s v="Mejia"/>
    <s v="Francisco"/>
    <x v="1605"/>
    <x v="464"/>
    <n v="0.28758"/>
    <m/>
    <m/>
    <m/>
    <m/>
    <m/>
    <m/>
    <m/>
    <m/>
    <m/>
    <m/>
    <d v="1952-02-26T00:00:00"/>
    <m/>
    <x v="259"/>
  </r>
  <r>
    <s v="Carmona"/>
    <s v="Jimenez"/>
    <s v="Diego"/>
    <x v="1606"/>
    <x v="464"/>
    <n v="0.16569999999999999"/>
    <m/>
    <m/>
    <m/>
    <m/>
    <m/>
    <m/>
    <m/>
    <m/>
    <m/>
    <m/>
    <d v="1947-07-08T00:00:00"/>
    <m/>
    <x v="259"/>
  </r>
  <r>
    <s v="Moncho"/>
    <s v="Mezquida"/>
    <s v="Francisco Salva"/>
    <x v="1607"/>
    <x v="464"/>
    <n v="0.61623000000000006"/>
    <m/>
    <m/>
    <m/>
    <m/>
    <m/>
    <m/>
    <m/>
    <m/>
    <m/>
    <m/>
    <d v="1960-08-12T00:00:00"/>
    <m/>
    <x v="42"/>
  </r>
  <r>
    <s v="Amer"/>
    <s v="Llopis"/>
    <s v="Ana"/>
    <x v="801"/>
    <x v="464"/>
    <n v="5.6329999999999998E-2"/>
    <m/>
    <m/>
    <m/>
    <m/>
    <m/>
    <m/>
    <m/>
    <m/>
    <m/>
    <m/>
    <d v="1944-08-27T00:00:00"/>
    <m/>
    <x v="107"/>
  </r>
  <r>
    <s v="Sanchez"/>
    <s v="Garcia"/>
    <s v="Juana"/>
    <x v="1608"/>
    <x v="464"/>
    <n v="7.45E-3"/>
    <m/>
    <m/>
    <m/>
    <m/>
    <m/>
    <m/>
    <m/>
    <m/>
    <m/>
    <m/>
    <d v="1939-01-13T00:00:00"/>
    <m/>
    <x v="149"/>
  </r>
  <r>
    <s v="Rozalen"/>
    <s v="Gil"/>
    <s v="M Teresa"/>
    <x v="1609"/>
    <x v="464"/>
    <n v="6.8930000000000005E-2"/>
    <m/>
    <m/>
    <m/>
    <m/>
    <m/>
    <m/>
    <m/>
    <m/>
    <m/>
    <m/>
    <d v="1984-01-04T00:00:00"/>
    <m/>
    <x v="286"/>
  </r>
  <r>
    <s v="Galvez"/>
    <s v="Vazquez"/>
    <s v="Salvador"/>
    <x v="1610"/>
    <x v="464"/>
    <n v="0.33082"/>
    <m/>
    <m/>
    <m/>
    <m/>
    <m/>
    <m/>
    <m/>
    <m/>
    <m/>
    <m/>
    <d v="1938-03-02T00:00:00"/>
    <m/>
    <x v="177"/>
  </r>
  <r>
    <s v="Aranda"/>
    <s v="Torres"/>
    <s v="Rafael"/>
    <x v="1611"/>
    <x v="465"/>
    <s v="NO"/>
    <m/>
    <m/>
    <m/>
    <m/>
    <m/>
    <m/>
    <m/>
    <m/>
    <m/>
    <m/>
    <d v="1954-06-22T00:00:00"/>
    <m/>
    <x v="259"/>
  </r>
  <r>
    <s v="Cerrillo"/>
    <s v="Campos"/>
    <s v="Vicente"/>
    <x v="1612"/>
    <x v="465"/>
    <n v="0.42360999999999999"/>
    <m/>
    <m/>
    <m/>
    <m/>
    <m/>
    <m/>
    <m/>
    <m/>
    <m/>
    <m/>
    <d v="1974-05-10T00:00:00"/>
    <m/>
    <x v="259"/>
  </r>
  <r>
    <s v="Alonso"/>
    <s v="Casado"/>
    <s v="M Dolores"/>
    <x v="1613"/>
    <x v="465"/>
    <n v="0.12598999999999999"/>
    <m/>
    <m/>
    <m/>
    <m/>
    <m/>
    <m/>
    <m/>
    <m/>
    <m/>
    <m/>
    <d v="1951-11-12T00:00:00"/>
    <m/>
    <x v="259"/>
  </r>
  <r>
    <s v="Muñoz"/>
    <s v="Barbera"/>
    <s v="M Dolores"/>
    <x v="1614"/>
    <x v="465"/>
    <n v="0.13227"/>
    <m/>
    <m/>
    <m/>
    <m/>
    <m/>
    <m/>
    <m/>
    <m/>
    <m/>
    <m/>
    <d v="1946-07-08T00:00:00"/>
    <m/>
    <x v="259"/>
  </r>
  <r>
    <s v="Guerra"/>
    <s v="Ramirez"/>
    <s v="Francisco"/>
    <x v="1341"/>
    <x v="465"/>
    <n v="0.19835"/>
    <m/>
    <m/>
    <m/>
    <m/>
    <m/>
    <m/>
    <m/>
    <m/>
    <m/>
    <m/>
    <d v="1941-12-23T00:00:00"/>
    <m/>
    <x v="259"/>
  </r>
  <r>
    <s v="Espejo"/>
    <s v="Rodriguez"/>
    <s v="Antonio"/>
    <x v="1615"/>
    <x v="465"/>
    <n v="7.5150000000000008E-2"/>
    <m/>
    <m/>
    <m/>
    <m/>
    <m/>
    <m/>
    <m/>
    <m/>
    <m/>
    <m/>
    <d v="1945-10-03T00:00:00"/>
    <m/>
    <x v="259"/>
  </r>
  <r>
    <s v="Gil"/>
    <s v="Almenar"/>
    <s v="Emilia"/>
    <x v="1471"/>
    <x v="465"/>
    <n v="8.6260000000000003E-2"/>
    <m/>
    <m/>
    <m/>
    <m/>
    <m/>
    <m/>
    <m/>
    <m/>
    <m/>
    <m/>
    <d v="1949-04-07T00:00:00"/>
    <m/>
    <x v="259"/>
  </r>
  <r>
    <s v="Sahuquillo"/>
    <s v="Roberto"/>
    <s v="M Angeles"/>
    <x v="1513"/>
    <x v="465"/>
    <n v="0.27705999999999997"/>
    <m/>
    <m/>
    <m/>
    <m/>
    <m/>
    <m/>
    <m/>
    <m/>
    <m/>
    <m/>
    <d v="1964-08-02T00:00:00"/>
    <m/>
    <x v="259"/>
  </r>
  <r>
    <s v="Rubio"/>
    <s v="Marco"/>
    <s v="Dolores"/>
    <x v="1616"/>
    <x v="465"/>
    <n v="0.16728000000000001"/>
    <m/>
    <m/>
    <m/>
    <m/>
    <m/>
    <m/>
    <m/>
    <m/>
    <m/>
    <m/>
    <d v="1951-12-01T00:00:00"/>
    <m/>
    <x v="259"/>
  </r>
  <r>
    <s v="Lopez"/>
    <s v="Sola"/>
    <s v="Jose"/>
    <x v="1617"/>
    <x v="465"/>
    <n v="9.9860000000000004E-2"/>
    <m/>
    <m/>
    <m/>
    <m/>
    <m/>
    <m/>
    <m/>
    <m/>
    <m/>
    <m/>
    <d v="1963-12-27T00:00:00"/>
    <m/>
    <x v="259"/>
  </r>
  <r>
    <s v="Perez"/>
    <s v="Batista"/>
    <s v="Ramona Clotilde"/>
    <x v="1618"/>
    <x v="465"/>
    <n v="0.71155999999999997"/>
    <m/>
    <m/>
    <m/>
    <m/>
    <m/>
    <m/>
    <m/>
    <m/>
    <m/>
    <m/>
    <d v="1964-11-24T00:00:00"/>
    <m/>
    <x v="259"/>
  </r>
  <r>
    <s v="Palacios"/>
    <s v="Rodilla"/>
    <s v="Valentin"/>
    <x v="1619"/>
    <x v="465"/>
    <n v="0.30545"/>
    <m/>
    <m/>
    <m/>
    <m/>
    <m/>
    <m/>
    <m/>
    <m/>
    <m/>
    <m/>
    <d v="1949-09-11T00:00:00"/>
    <m/>
    <x v="259"/>
  </r>
  <r>
    <s v="Serrano"/>
    <s v="Victoria"/>
    <s v="Laura"/>
    <x v="1620"/>
    <x v="465"/>
    <n v="0.80718999999999996"/>
    <m/>
    <m/>
    <m/>
    <m/>
    <m/>
    <m/>
    <m/>
    <m/>
    <m/>
    <m/>
    <d v="1984-05-18T00:00:00"/>
    <m/>
    <x v="299"/>
  </r>
  <r>
    <s v="Lacruz"/>
    <s v="Hermoso"/>
    <s v="Carmen"/>
    <x v="1621"/>
    <x v="465"/>
    <s v="NO"/>
    <m/>
    <m/>
    <m/>
    <m/>
    <m/>
    <m/>
    <m/>
    <m/>
    <m/>
    <m/>
    <d v="1957-11-08T00:00:00"/>
    <m/>
    <x v="180"/>
  </r>
  <r>
    <s v="Andujar"/>
    <s v="Vivancos"/>
    <s v="Angeles"/>
    <x v="1622"/>
    <x v="465"/>
    <n v="0.14432"/>
    <m/>
    <m/>
    <m/>
    <m/>
    <m/>
    <m/>
    <m/>
    <m/>
    <m/>
    <m/>
    <d v="1955-04-04T00:00:00"/>
    <m/>
    <x v="286"/>
  </r>
  <r>
    <s v="Merino"/>
    <s v="Segovia"/>
    <s v="Luis"/>
    <x v="1623"/>
    <x v="465"/>
    <n v="0.18612999999999999"/>
    <m/>
    <m/>
    <m/>
    <m/>
    <m/>
    <m/>
    <m/>
    <m/>
    <m/>
    <m/>
    <d v="1953-08-20T00:00:00"/>
    <m/>
    <x v="150"/>
  </r>
  <r>
    <s v="Salinas"/>
    <s v="Mellado"/>
    <s v="Maria"/>
    <x v="1624"/>
    <x v="466"/>
    <n v="1.4999999999999999E-4"/>
    <m/>
    <m/>
    <m/>
    <m/>
    <m/>
    <m/>
    <m/>
    <m/>
    <m/>
    <m/>
    <d v="2017-04-12T00:00:00"/>
    <m/>
    <x v="293"/>
  </r>
  <r>
    <s v="Gomez"/>
    <s v="Medina"/>
    <s v="Carmen"/>
    <x v="1625"/>
    <x v="466"/>
    <n v="2.0299999999999999E-2"/>
    <m/>
    <m/>
    <m/>
    <m/>
    <m/>
    <m/>
    <m/>
    <m/>
    <m/>
    <m/>
    <d v="1943-02-28T00:00:00"/>
    <m/>
    <x v="284"/>
  </r>
  <r>
    <s v="Santiago"/>
    <s v="Fernandez"/>
    <s v="Antonio"/>
    <x v="889"/>
    <x v="466"/>
    <n v="0.25263999999999998"/>
    <m/>
    <m/>
    <m/>
    <m/>
    <m/>
    <m/>
    <m/>
    <m/>
    <m/>
    <m/>
    <d v="1948-09-12T00:00:00"/>
    <m/>
    <x v="259"/>
  </r>
  <r>
    <s v="Agea"/>
    <s v="Dominguez"/>
    <s v="Fuensanta"/>
    <x v="1626"/>
    <x v="466"/>
    <n v="0.17788999999999999"/>
    <m/>
    <m/>
    <m/>
    <m/>
    <m/>
    <m/>
    <m/>
    <m/>
    <m/>
    <m/>
    <d v="1945-09-18T00:00:00"/>
    <m/>
    <x v="259"/>
  </r>
  <r>
    <s v="Aliaga"/>
    <s v="Palanca"/>
    <s v="Marcos"/>
    <x v="1627"/>
    <x v="466"/>
    <n v="0.15007999999999999"/>
    <m/>
    <m/>
    <m/>
    <m/>
    <m/>
    <m/>
    <m/>
    <m/>
    <m/>
    <m/>
    <d v="1976-06-15T00:00:00"/>
    <m/>
    <x v="259"/>
  </r>
  <r>
    <s v="Legaspi"/>
    <s v="Abelleira"/>
    <s v="Olegario Vicente"/>
    <x v="1628"/>
    <x v="466"/>
    <n v="0.16843"/>
    <m/>
    <m/>
    <m/>
    <m/>
    <m/>
    <m/>
    <m/>
    <m/>
    <m/>
    <m/>
    <d v="1944-01-29T00:00:00"/>
    <m/>
    <x v="259"/>
  </r>
  <r>
    <s v="Martin"/>
    <s v="Brines"/>
    <s v="Fernando"/>
    <x v="1629"/>
    <x v="466"/>
    <n v="0.56440000000000001"/>
    <m/>
    <m/>
    <m/>
    <m/>
    <m/>
    <m/>
    <m/>
    <m/>
    <m/>
    <m/>
    <d v="1941-01-13T00:00:00"/>
    <m/>
    <x v="259"/>
  </r>
  <r>
    <s v="Millet"/>
    <s v="Millet"/>
    <s v="Salvador"/>
    <x v="1108"/>
    <x v="466"/>
    <n v="0.58206999999999998"/>
    <m/>
    <m/>
    <m/>
    <m/>
    <m/>
    <m/>
    <m/>
    <m/>
    <m/>
    <m/>
    <d v="1940-01-17T00:00:00"/>
    <m/>
    <x v="259"/>
  </r>
  <r>
    <s v="Punter"/>
    <s v="Martinez"/>
    <s v="Pilar"/>
    <x v="1579"/>
    <x v="466"/>
    <n v="0.31263999999999997"/>
    <m/>
    <m/>
    <m/>
    <m/>
    <m/>
    <m/>
    <m/>
    <m/>
    <m/>
    <m/>
    <d v="1945-12-16T00:00:00"/>
    <m/>
    <x v="259"/>
  </r>
  <r>
    <s v="Boria"/>
    <m/>
    <s v="Walter Pablo"/>
    <x v="1630"/>
    <x v="466"/>
    <n v="8.9910000000000004E-2"/>
    <m/>
    <m/>
    <m/>
    <m/>
    <m/>
    <m/>
    <m/>
    <m/>
    <m/>
    <m/>
    <d v="1967-01-11T00:00:00"/>
    <m/>
    <x v="259"/>
  </r>
  <r>
    <s v="Navarro"/>
    <s v="Ramirez"/>
    <s v="M Dolores"/>
    <x v="1631"/>
    <x v="466"/>
    <n v="7.3590000000000003E-2"/>
    <m/>
    <m/>
    <m/>
    <m/>
    <m/>
    <m/>
    <m/>
    <m/>
    <m/>
    <m/>
    <d v="1945-02-23T00:00:00"/>
    <m/>
    <x v="259"/>
  </r>
  <r>
    <s v="Alvarado"/>
    <s v="Rodriguez"/>
    <s v="Hugo Alexis"/>
    <x v="1632"/>
    <x v="466"/>
    <n v="0.29993000000000003"/>
    <m/>
    <m/>
    <m/>
    <m/>
    <m/>
    <m/>
    <m/>
    <m/>
    <m/>
    <m/>
    <d v="1970-08-01T00:00:00"/>
    <m/>
    <x v="259"/>
  </r>
  <r>
    <s v="Prieto"/>
    <s v="Bernabe"/>
    <s v="Antonio"/>
    <x v="1633"/>
    <x v="466"/>
    <n v="0.30502999999999997"/>
    <m/>
    <m/>
    <m/>
    <m/>
    <m/>
    <m/>
    <m/>
    <m/>
    <m/>
    <m/>
    <d v="1933-07-18T00:00:00"/>
    <m/>
    <x v="259"/>
  </r>
  <r>
    <s v="Garcia"/>
    <s v="Mañez"/>
    <s v="Jose Manuel"/>
    <x v="1634"/>
    <x v="466"/>
    <n v="2.2700200000000001"/>
    <m/>
    <m/>
    <m/>
    <m/>
    <m/>
    <m/>
    <m/>
    <m/>
    <m/>
    <m/>
    <d v="1961-04-09T00:00:00"/>
    <m/>
    <x v="259"/>
  </r>
  <r>
    <s v="Reyes"/>
    <s v="Tudela"/>
    <s v="Vicente"/>
    <x v="439"/>
    <x v="466"/>
    <n v="8.6800000000000002E-2"/>
    <m/>
    <m/>
    <m/>
    <m/>
    <m/>
    <m/>
    <m/>
    <m/>
    <m/>
    <m/>
    <d v="1952-04-21T00:00:00"/>
    <m/>
    <x v="130"/>
  </r>
  <r>
    <s v="Caballer"/>
    <s v="Vila"/>
    <s v="Francisca"/>
    <x v="680"/>
    <x v="466"/>
    <n v="0.24873999999999999"/>
    <m/>
    <m/>
    <m/>
    <m/>
    <m/>
    <m/>
    <m/>
    <m/>
    <m/>
    <m/>
    <d v="1951-12-04T00:00:00"/>
    <m/>
    <x v="292"/>
  </r>
  <r>
    <s v="Gomez"/>
    <m/>
    <s v="Carole Margaret"/>
    <x v="1635"/>
    <x v="466"/>
    <n v="0.31467000000000001"/>
    <m/>
    <m/>
    <m/>
    <m/>
    <m/>
    <m/>
    <m/>
    <m/>
    <m/>
    <m/>
    <d v="1956-01-05T00:00:00"/>
    <m/>
    <x v="167"/>
  </r>
  <r>
    <s v="Juan"/>
    <s v="Gonzalez"/>
    <s v="Monica"/>
    <x v="1636"/>
    <x v="466"/>
    <n v="1.81E-3"/>
    <m/>
    <m/>
    <m/>
    <m/>
    <m/>
    <m/>
    <m/>
    <m/>
    <m/>
    <m/>
    <d v="1986-11-28T00:00:00"/>
    <m/>
    <x v="178"/>
  </r>
  <r>
    <s v="Hervas"/>
    <s v="Nieto"/>
    <s v="Maria del Carmen"/>
    <x v="1637"/>
    <x v="466"/>
    <n v="0.21360999999999999"/>
    <m/>
    <m/>
    <m/>
    <m/>
    <m/>
    <m/>
    <m/>
    <m/>
    <m/>
    <m/>
    <d v="1956-11-11T00:00:00"/>
    <m/>
    <x v="286"/>
  </r>
  <r>
    <s v="Jimenez"/>
    <s v="Martinez"/>
    <s v="Jose"/>
    <x v="1638"/>
    <x v="466"/>
    <n v="0.23153000000000001"/>
    <m/>
    <m/>
    <m/>
    <m/>
    <m/>
    <m/>
    <m/>
    <m/>
    <m/>
    <m/>
    <d v="1941-08-25T00:00:00"/>
    <m/>
    <x v="201"/>
  </r>
  <r>
    <s v="Alarcon"/>
    <s v="Lozano"/>
    <s v="Vicente"/>
    <x v="1639"/>
    <x v="467"/>
    <n v="2.3990000000000001E-2"/>
    <m/>
    <m/>
    <m/>
    <m/>
    <m/>
    <m/>
    <m/>
    <m/>
    <m/>
    <m/>
    <d v="1964-11-29T00:00:00"/>
    <m/>
    <x v="293"/>
  </r>
  <r>
    <s v="Guerra"/>
    <s v="Ramirez"/>
    <s v="Francisco"/>
    <x v="1341"/>
    <x v="467"/>
    <n v="1.512E-2"/>
    <m/>
    <m/>
    <m/>
    <m/>
    <m/>
    <m/>
    <m/>
    <m/>
    <m/>
    <m/>
    <d v="1941-12-23T00:00:00"/>
    <m/>
    <x v="253"/>
  </r>
  <r>
    <s v="Pato"/>
    <s v="Iglesias"/>
    <s v="Felipe"/>
    <x v="1640"/>
    <x v="467"/>
    <n v="0.85323000000000004"/>
    <m/>
    <m/>
    <m/>
    <m/>
    <m/>
    <m/>
    <m/>
    <m/>
    <m/>
    <m/>
    <d v="1940-04-11T00:00:00"/>
    <m/>
    <x v="259"/>
  </r>
  <r>
    <s v="Esteve"/>
    <s v="Perez"/>
    <s v="Jeannete Pilar"/>
    <x v="1641"/>
    <x v="467"/>
    <n v="0.40154000000000001"/>
    <m/>
    <m/>
    <m/>
    <m/>
    <m/>
    <m/>
    <m/>
    <m/>
    <m/>
    <m/>
    <d v="1943-03-25T00:00:00"/>
    <m/>
    <x v="259"/>
  </r>
  <r>
    <s v="Bautista"/>
    <s v="Herrero"/>
    <s v="Vicente Jose"/>
    <x v="1642"/>
    <x v="467"/>
    <n v="0.21312999999999999"/>
    <m/>
    <m/>
    <m/>
    <m/>
    <m/>
    <m/>
    <m/>
    <m/>
    <m/>
    <m/>
    <d v="1951-01-22T00:00:00"/>
    <m/>
    <x v="259"/>
  </r>
  <r>
    <s v="Mocholi"/>
    <s v="Chisvert"/>
    <s v="Amparo"/>
    <x v="1643"/>
    <x v="467"/>
    <n v="1.28609"/>
    <m/>
    <m/>
    <m/>
    <m/>
    <m/>
    <m/>
    <m/>
    <m/>
    <m/>
    <m/>
    <d v="1932-02-02T00:00:00"/>
    <m/>
    <x v="259"/>
  </r>
  <r>
    <s v="Lamallem"/>
    <m/>
    <s v="Jamil"/>
    <x v="130"/>
    <x v="467"/>
    <n v="3.9300000000000002E-2"/>
    <m/>
    <m/>
    <m/>
    <m/>
    <m/>
    <m/>
    <m/>
    <m/>
    <m/>
    <m/>
    <d v="1972-05-23T00:00:00"/>
    <m/>
    <x v="259"/>
  </r>
  <r>
    <s v="Cebolla"/>
    <s v="Torres"/>
    <s v="Josefa"/>
    <x v="1584"/>
    <x v="467"/>
    <n v="0.14610000000000001"/>
    <m/>
    <m/>
    <m/>
    <m/>
    <m/>
    <m/>
    <m/>
    <m/>
    <m/>
    <m/>
    <d v="1938-01-10T00:00:00"/>
    <m/>
    <x v="259"/>
  </r>
  <r>
    <s v="Casillas"/>
    <s v="Gutierrez"/>
    <s v="Pablo"/>
    <x v="1644"/>
    <x v="467"/>
    <n v="0.11885999999999999"/>
    <m/>
    <m/>
    <m/>
    <m/>
    <m/>
    <m/>
    <m/>
    <m/>
    <m/>
    <m/>
    <d v="1959-02-22T00:00:00"/>
    <m/>
    <x v="259"/>
  </r>
  <r>
    <s v="Ramos"/>
    <s v="Compañ "/>
    <s v="Maria Amparo"/>
    <x v="1645"/>
    <x v="467"/>
    <n v="7.6800000000000002E-3"/>
    <m/>
    <m/>
    <m/>
    <m/>
    <m/>
    <m/>
    <m/>
    <m/>
    <m/>
    <m/>
    <d v="1968-06-24T00:00:00"/>
    <m/>
    <x v="259"/>
  </r>
  <r>
    <s v="Comes"/>
    <s v="Ramon"/>
    <s v="Agustin"/>
    <x v="1322"/>
    <x v="467"/>
    <n v="0.11985"/>
    <m/>
    <m/>
    <m/>
    <m/>
    <m/>
    <m/>
    <m/>
    <m/>
    <m/>
    <m/>
    <d v="1955-02-27T00:00:00"/>
    <m/>
    <x v="114"/>
  </r>
  <r>
    <s v="Sanchez"/>
    <s v="Ramirez"/>
    <s v="Jesus Maria"/>
    <x v="1646"/>
    <x v="467"/>
    <n v="1.0719700000000001"/>
    <m/>
    <m/>
    <m/>
    <m/>
    <m/>
    <m/>
    <m/>
    <m/>
    <m/>
    <m/>
    <d v="1956-09-12T00:00:00"/>
    <m/>
    <x v="286"/>
  </r>
  <r>
    <s v="Aleman"/>
    <s v="Argudo"/>
    <s v="Jaime"/>
    <x v="1647"/>
    <x v="467"/>
    <n v="5.0680000000000003E-2"/>
    <m/>
    <m/>
    <m/>
    <m/>
    <m/>
    <m/>
    <m/>
    <m/>
    <m/>
    <m/>
    <d v="1932-07-25T00:00:00"/>
    <m/>
    <x v="50"/>
  </r>
  <r>
    <s v="Coronado"/>
    <s v="Macias"/>
    <s v="Antonia"/>
    <x v="1648"/>
    <x v="467"/>
    <n v="6.2100000000000002E-2"/>
    <m/>
    <m/>
    <m/>
    <m/>
    <m/>
    <m/>
    <m/>
    <m/>
    <m/>
    <m/>
    <d v="1964-12-14T00:00:00"/>
    <m/>
    <x v="291"/>
  </r>
  <r>
    <s v="Gowers"/>
    <m/>
    <s v="Christine Patricia"/>
    <x v="1649"/>
    <x v="468"/>
    <n v="9.8559999999999995E-2"/>
    <m/>
    <m/>
    <m/>
    <m/>
    <m/>
    <m/>
    <m/>
    <m/>
    <m/>
    <m/>
    <d v="1949-06-29T00:00:00"/>
    <m/>
    <x v="259"/>
  </r>
  <r>
    <s v="Boulanger"/>
    <m/>
    <s v="Evan Alan Emile"/>
    <x v="1650"/>
    <x v="468"/>
    <n v="0.80845999999999996"/>
    <m/>
    <m/>
    <m/>
    <m/>
    <m/>
    <m/>
    <m/>
    <m/>
    <m/>
    <m/>
    <d v="2002-07-10T00:00:00"/>
    <m/>
    <x v="9"/>
  </r>
  <r>
    <s v="Khan"/>
    <m/>
    <s v="Tasawar Ali"/>
    <x v="1651"/>
    <x v="469"/>
    <n v="0.22412000000000001"/>
    <m/>
    <m/>
    <m/>
    <m/>
    <m/>
    <m/>
    <m/>
    <m/>
    <m/>
    <m/>
    <d v="1976-06-15T00:00:00"/>
    <m/>
    <x v="259"/>
  </r>
  <r>
    <s v="Fort"/>
    <s v="Valverde"/>
    <s v="Luis"/>
    <x v="1652"/>
    <x v="469"/>
    <n v="0.29322999999999999"/>
    <m/>
    <m/>
    <m/>
    <m/>
    <m/>
    <m/>
    <m/>
    <m/>
    <m/>
    <m/>
    <d v="1960-06-24T00:00:00"/>
    <m/>
    <x v="259"/>
  </r>
  <r>
    <s v="Isipato"/>
    <m/>
    <s v="Angelo"/>
    <x v="1653"/>
    <x v="470"/>
    <n v="0.51836000000000004"/>
    <m/>
    <m/>
    <m/>
    <m/>
    <m/>
    <m/>
    <m/>
    <m/>
    <m/>
    <m/>
    <d v="1975-03-22T00:00:00"/>
    <m/>
    <x v="259"/>
  </r>
  <r>
    <s v="Karapetyan"/>
    <m/>
    <s v="Artur"/>
    <x v="1654"/>
    <x v="470"/>
    <n v="0.59377999999999997"/>
    <m/>
    <m/>
    <m/>
    <m/>
    <m/>
    <m/>
    <m/>
    <m/>
    <m/>
    <m/>
    <d v="1974-10-30T00:00:00"/>
    <m/>
    <x v="259"/>
  </r>
  <r>
    <s v="Yuste"/>
    <s v="Sebastian"/>
    <s v="Jose Luis"/>
    <x v="1655"/>
    <x v="470"/>
    <n v="0.60892000000000002"/>
    <m/>
    <m/>
    <m/>
    <m/>
    <m/>
    <m/>
    <m/>
    <m/>
    <m/>
    <m/>
    <d v="1969-04-19T00:00:00"/>
    <m/>
    <x v="259"/>
  </r>
  <r>
    <s v="Riaz"/>
    <s v="Miamap"/>
    <s v="Mohamed"/>
    <x v="1656"/>
    <x v="470"/>
    <n v="0.20555999999999999"/>
    <m/>
    <m/>
    <m/>
    <m/>
    <m/>
    <m/>
    <m/>
    <m/>
    <m/>
    <m/>
    <d v="1969-01-01T00:00:00"/>
    <m/>
    <x v="259"/>
  </r>
  <r>
    <s v="Zamora"/>
    <s v="Sabadin"/>
    <s v="Hugo Ricardo"/>
    <x v="967"/>
    <x v="470"/>
    <n v="0.57110000000000005"/>
    <m/>
    <m/>
    <m/>
    <m/>
    <m/>
    <m/>
    <m/>
    <m/>
    <m/>
    <m/>
    <d v="1961-07-15T00:00:00"/>
    <m/>
    <x v="300"/>
  </r>
  <r>
    <s v="Navarro"/>
    <s v="Navarro"/>
    <s v="Encarnacion"/>
    <x v="1657"/>
    <x v="470"/>
    <n v="0.61392000000000002"/>
    <m/>
    <m/>
    <m/>
    <m/>
    <m/>
    <m/>
    <m/>
    <m/>
    <m/>
    <m/>
    <d v="1944-03-25T00:00:00"/>
    <m/>
    <x v="291"/>
  </r>
  <r>
    <s v="Vega"/>
    <s v="Llorente"/>
    <s v="Jose Maria"/>
    <x v="1658"/>
    <x v="471"/>
    <n v="2.094E-2"/>
    <m/>
    <m/>
    <m/>
    <m/>
    <m/>
    <m/>
    <m/>
    <m/>
    <m/>
    <m/>
    <d v="1953-07-05T00:00:00"/>
    <m/>
    <x v="253"/>
  </r>
  <r>
    <s v="Vicent"/>
    <s v="Pradillas"/>
    <s v="Vicente"/>
    <x v="1659"/>
    <x v="471"/>
    <n v="0.46887000000000001"/>
    <m/>
    <m/>
    <m/>
    <m/>
    <m/>
    <m/>
    <m/>
    <m/>
    <m/>
    <m/>
    <d v="1945-07-10T00:00:00"/>
    <m/>
    <x v="253"/>
  </r>
  <r>
    <s v="Cuenca"/>
    <s v="Dominguez"/>
    <s v="Tomas"/>
    <x v="1053"/>
    <x v="471"/>
    <n v="3.3574600000000001"/>
    <m/>
    <m/>
    <m/>
    <m/>
    <m/>
    <m/>
    <m/>
    <m/>
    <m/>
    <m/>
    <d v="1942-07-30T00:00:00"/>
    <m/>
    <x v="259"/>
  </r>
  <r>
    <s v="Alvarado"/>
    <s v="Rodriguez"/>
    <s v="Hugo Alexis"/>
    <x v="1632"/>
    <x v="471"/>
    <n v="2.5406399999999998"/>
    <m/>
    <m/>
    <m/>
    <m/>
    <m/>
    <m/>
    <m/>
    <m/>
    <m/>
    <m/>
    <d v="1970-08-01T00:00:00"/>
    <m/>
    <x v="259"/>
  </r>
  <r>
    <s v="Chisvert"/>
    <s v="Ferrer"/>
    <s v="Emilia"/>
    <x v="1660"/>
    <x v="471"/>
    <n v="1.15235"/>
    <m/>
    <m/>
    <m/>
    <m/>
    <m/>
    <m/>
    <m/>
    <m/>
    <m/>
    <m/>
    <d v="1954-12-17T00:00:00"/>
    <m/>
    <x v="259"/>
  </r>
  <r>
    <s v="Segura"/>
    <s v="Serra"/>
    <s v="Desamparados"/>
    <x v="1661"/>
    <x v="471"/>
    <n v="0.12792000000000001"/>
    <m/>
    <m/>
    <m/>
    <m/>
    <m/>
    <m/>
    <m/>
    <m/>
    <m/>
    <m/>
    <d v="1945-08-20T00:00:00"/>
    <m/>
    <x v="259"/>
  </r>
  <r>
    <s v="Valls"/>
    <s v="Sangeronimo"/>
    <s v="Manuel"/>
    <x v="1662"/>
    <x v="471"/>
    <n v="0.90246999999999999"/>
    <m/>
    <m/>
    <m/>
    <m/>
    <m/>
    <m/>
    <m/>
    <m/>
    <m/>
    <m/>
    <d v="1961-02-15T00:00:00"/>
    <m/>
    <x v="259"/>
  </r>
  <r>
    <s v="Diaz"/>
    <s v="Tapiador"/>
    <s v="Feliciano"/>
    <x v="1594"/>
    <x v="471"/>
    <n v="0.53720999999999997"/>
    <m/>
    <m/>
    <m/>
    <m/>
    <m/>
    <m/>
    <m/>
    <m/>
    <m/>
    <m/>
    <d v="1962-10-04T00:00:00"/>
    <m/>
    <x v="259"/>
  </r>
  <r>
    <s v="Lopez"/>
    <s v="Olmos"/>
    <s v="Vicente Javier"/>
    <x v="1663"/>
    <x v="471"/>
    <n v="0.14052000000000001"/>
    <m/>
    <m/>
    <m/>
    <m/>
    <m/>
    <m/>
    <m/>
    <m/>
    <m/>
    <m/>
    <d v="1968-07-18T00:00:00"/>
    <m/>
    <x v="259"/>
  </r>
  <r>
    <s v="Forner"/>
    <s v="Flores"/>
    <s v="Maria"/>
    <x v="1664"/>
    <x v="471"/>
    <n v="0.13888"/>
    <m/>
    <m/>
    <m/>
    <m/>
    <m/>
    <m/>
    <m/>
    <m/>
    <m/>
    <m/>
    <d v="1930-12-11T00:00:00"/>
    <m/>
    <x v="259"/>
  </r>
  <r>
    <s v="Motes"/>
    <s v="Mulet"/>
    <s v="Alfonso Coran"/>
    <x v="1665"/>
    <x v="471"/>
    <n v="0.11372"/>
    <m/>
    <m/>
    <m/>
    <m/>
    <m/>
    <m/>
    <m/>
    <m/>
    <m/>
    <m/>
    <d v="1953-09-15T00:00:00"/>
    <m/>
    <x v="259"/>
  </r>
  <r>
    <s v="Plaza"/>
    <s v="Ocaña"/>
    <s v="Maria Jesus"/>
    <x v="1666"/>
    <x v="471"/>
    <n v="0.94111999999999996"/>
    <m/>
    <m/>
    <m/>
    <m/>
    <m/>
    <m/>
    <m/>
    <m/>
    <m/>
    <m/>
    <d v="1959-05-09T00:00:00"/>
    <m/>
    <x v="42"/>
  </r>
  <r>
    <s v="Tormos"/>
    <s v="Zarzo"/>
    <s v="Alfredo"/>
    <x v="1230"/>
    <x v="471"/>
    <n v="1.137E-2"/>
    <m/>
    <m/>
    <m/>
    <m/>
    <m/>
    <m/>
    <m/>
    <m/>
    <m/>
    <m/>
    <d v="1960-01-09T00:00:00"/>
    <m/>
    <x v="111"/>
  </r>
  <r>
    <s v="Soriano"/>
    <s v="Barquero"/>
    <s v="Enrique"/>
    <x v="1667"/>
    <x v="471"/>
    <n v="0.24983"/>
    <m/>
    <m/>
    <m/>
    <m/>
    <m/>
    <m/>
    <m/>
    <m/>
    <m/>
    <m/>
    <d v="1955-09-13T00:00:00"/>
    <m/>
    <x v="286"/>
  </r>
  <r>
    <s v="Cruz "/>
    <s v="Jimenez"/>
    <s v="Regina Angelica"/>
    <x v="1668"/>
    <x v="471"/>
    <n v="0.12386999999999999"/>
    <m/>
    <m/>
    <m/>
    <m/>
    <m/>
    <m/>
    <m/>
    <m/>
    <m/>
    <m/>
    <d v="1989-09-26T00:00:00"/>
    <m/>
    <x v="286"/>
  </r>
  <r>
    <s v="Sanchez"/>
    <s v="Ramirez"/>
    <s v="Jesus Maria"/>
    <x v="1646"/>
    <x v="471"/>
    <n v="0.74795999999999996"/>
    <m/>
    <m/>
    <m/>
    <m/>
    <m/>
    <m/>
    <m/>
    <m/>
    <m/>
    <m/>
    <d v="1956-09-12T00:00:00"/>
    <m/>
    <x v="301"/>
  </r>
  <r>
    <s v="Vidal"/>
    <s v="Vila"/>
    <s v="Jose Pascual"/>
    <x v="1669"/>
    <x v="471"/>
    <n v="0.31272"/>
    <m/>
    <m/>
    <m/>
    <m/>
    <m/>
    <m/>
    <m/>
    <m/>
    <m/>
    <m/>
    <d v="1967-07-25T00:00:00"/>
    <m/>
    <x v="302"/>
  </r>
  <r>
    <s v="Ferrer"/>
    <s v="Escriba"/>
    <s v="Carmen"/>
    <x v="1670"/>
    <x v="472"/>
    <n v="2.3E-2"/>
    <m/>
    <m/>
    <m/>
    <m/>
    <m/>
    <m/>
    <m/>
    <m/>
    <m/>
    <m/>
    <d v="1938-03-31T00:00:00"/>
    <m/>
    <x v="284"/>
  </r>
  <r>
    <s v="Calabuig"/>
    <s v="Moreno"/>
    <s v="M Carmen"/>
    <x v="1671"/>
    <x v="472"/>
    <n v="0.10557999999999999"/>
    <m/>
    <m/>
    <m/>
    <m/>
    <m/>
    <m/>
    <m/>
    <m/>
    <m/>
    <m/>
    <d v="1943-07-24T00:00:00"/>
    <m/>
    <x v="284"/>
  </r>
  <r>
    <s v="Guardiola"/>
    <s v="Belenguer"/>
    <s v="Enrique"/>
    <x v="1672"/>
    <x v="472"/>
    <n v="0.53930999999999996"/>
    <m/>
    <m/>
    <m/>
    <m/>
    <m/>
    <m/>
    <m/>
    <m/>
    <m/>
    <m/>
    <d v="1957-05-28T00:00:00"/>
    <m/>
    <x v="259"/>
  </r>
  <r>
    <s v="Acosta"/>
    <s v="Cuadrado"/>
    <s v="Petrona Arasi"/>
    <x v="1673"/>
    <x v="472"/>
    <n v="1.5271699999999999"/>
    <m/>
    <m/>
    <m/>
    <m/>
    <m/>
    <m/>
    <m/>
    <m/>
    <m/>
    <m/>
    <d v="1941-01-31T00:00:00"/>
    <m/>
    <x v="259"/>
  </r>
  <r>
    <s v="Viñas"/>
    <s v="Solano"/>
    <s v="Miguel Angel"/>
    <x v="1674"/>
    <x v="472"/>
    <n v="0.19617999999999999"/>
    <m/>
    <m/>
    <m/>
    <m/>
    <m/>
    <m/>
    <m/>
    <m/>
    <m/>
    <m/>
    <d v="1970-12-06T00:00:00"/>
    <m/>
    <x v="259"/>
  </r>
  <r>
    <s v="Goerlich"/>
    <s v="Tio"/>
    <s v="Manuel"/>
    <x v="1675"/>
    <x v="472"/>
    <n v="6.6659999999999997E-2"/>
    <m/>
    <m/>
    <m/>
    <m/>
    <m/>
    <m/>
    <m/>
    <m/>
    <m/>
    <m/>
    <d v="1960-04-17T00:00:00"/>
    <m/>
    <x v="259"/>
  </r>
  <r>
    <s v="Sarrion"/>
    <s v="Font"/>
    <s v="Alejandro"/>
    <x v="1676"/>
    <x v="472"/>
    <n v="0.33482000000000001"/>
    <m/>
    <m/>
    <m/>
    <m/>
    <m/>
    <m/>
    <m/>
    <m/>
    <m/>
    <m/>
    <d v="1959-02-04T00:00:00"/>
    <m/>
    <x v="259"/>
  </r>
  <r>
    <s v="Lopez"/>
    <s v="Idañez"/>
    <s v="Juan Antonio"/>
    <x v="1677"/>
    <x v="472"/>
    <n v="0.42898999999999998"/>
    <m/>
    <m/>
    <m/>
    <m/>
    <m/>
    <m/>
    <m/>
    <m/>
    <m/>
    <m/>
    <d v="1953-06-13T00:00:00"/>
    <m/>
    <x v="259"/>
  </r>
  <r>
    <s v="Vela"/>
    <s v="Castilla"/>
    <s v="Juan Jose"/>
    <x v="1678"/>
    <x v="472"/>
    <n v="0.22140000000000001"/>
    <m/>
    <m/>
    <m/>
    <m/>
    <m/>
    <m/>
    <m/>
    <m/>
    <m/>
    <m/>
    <d v="1951-11-03T00:00:00"/>
    <m/>
    <x v="259"/>
  </r>
  <r>
    <s v="Gonzalez"/>
    <s v="Garcia"/>
    <s v="Oscar Luis"/>
    <x v="1679"/>
    <x v="472"/>
    <n v="0.44728000000000001"/>
    <m/>
    <m/>
    <m/>
    <m/>
    <m/>
    <m/>
    <m/>
    <m/>
    <m/>
    <m/>
    <d v="1971-05-25T00:00:00"/>
    <m/>
    <x v="259"/>
  </r>
  <r>
    <s v="Del Val"/>
    <s v="Garcia"/>
    <s v="Rafael"/>
    <x v="1680"/>
    <x v="472"/>
    <n v="2.6644100000000002"/>
    <m/>
    <m/>
    <m/>
    <m/>
    <m/>
    <m/>
    <m/>
    <m/>
    <m/>
    <m/>
    <d v="1965-02-26T00:00:00"/>
    <m/>
    <x v="303"/>
  </r>
  <r>
    <s v="Mendez"/>
    <s v="Roca"/>
    <s v="Luisa"/>
    <x v="622"/>
    <x v="472"/>
    <n v="1.3939999999999999E-2"/>
    <m/>
    <m/>
    <m/>
    <m/>
    <m/>
    <m/>
    <m/>
    <m/>
    <m/>
    <m/>
    <d v="1973-10-11T00:00:00"/>
    <m/>
    <x v="122"/>
  </r>
  <r>
    <s v="Berga"/>
    <s v="Martinez"/>
    <s v="Vicente Eduard"/>
    <x v="1681"/>
    <x v="472"/>
    <n v="0.27087"/>
    <m/>
    <m/>
    <m/>
    <m/>
    <m/>
    <m/>
    <m/>
    <m/>
    <m/>
    <m/>
    <d v="1957-03-04T00:00:00"/>
    <m/>
    <x v="286"/>
  </r>
  <r>
    <s v="Solanas"/>
    <s v="Prats"/>
    <s v="Jose Vicente"/>
    <x v="1682"/>
    <x v="472"/>
    <n v="0.30579000000000001"/>
    <m/>
    <m/>
    <m/>
    <m/>
    <m/>
    <m/>
    <m/>
    <m/>
    <m/>
    <m/>
    <d v="1960-01-03T00:00:00"/>
    <m/>
    <x v="286"/>
  </r>
  <r>
    <s v="Garcia"/>
    <s v="Bayer"/>
    <s v="Antonio"/>
    <x v="1683"/>
    <x v="472"/>
    <n v="0.29865999999999998"/>
    <m/>
    <m/>
    <m/>
    <m/>
    <m/>
    <m/>
    <m/>
    <m/>
    <m/>
    <m/>
    <d v="1949-03-02T00:00:00"/>
    <m/>
    <x v="177"/>
  </r>
  <r>
    <s v="Lorente"/>
    <s v="Boluda"/>
    <s v="Juan Antonio"/>
    <x v="1684"/>
    <x v="473"/>
    <n v="0.21562000000000001"/>
    <m/>
    <m/>
    <m/>
    <m/>
    <m/>
    <m/>
    <m/>
    <m/>
    <m/>
    <m/>
    <d v="1962-05-07T00:00:00"/>
    <m/>
    <x v="293"/>
  </r>
  <r>
    <s v="Zamora"/>
    <s v="Estudillo"/>
    <s v="Carmen"/>
    <x v="1685"/>
    <x v="473"/>
    <n v="5.2650000000000002E-2"/>
    <m/>
    <m/>
    <m/>
    <m/>
    <m/>
    <m/>
    <m/>
    <m/>
    <m/>
    <m/>
    <d v="1944-03-27T00:00:00"/>
    <m/>
    <x v="293"/>
  </r>
  <r>
    <s v="Espinosa"/>
    <s v="Gallardo"/>
    <s v="Juan Antonio"/>
    <x v="1686"/>
    <x v="473"/>
    <n v="0.59797999999999996"/>
    <m/>
    <m/>
    <m/>
    <m/>
    <m/>
    <m/>
    <m/>
    <m/>
    <m/>
    <m/>
    <d v="1967-01-08T00:00:00"/>
    <m/>
    <x v="259"/>
  </r>
  <r>
    <s v="Miralles"/>
    <s v="Perez"/>
    <s v="Juan Francisco"/>
    <x v="1687"/>
    <x v="473"/>
    <n v="0.46793000000000001"/>
    <m/>
    <m/>
    <m/>
    <m/>
    <m/>
    <m/>
    <m/>
    <m/>
    <m/>
    <m/>
    <d v="1949-04-12T00:00:00"/>
    <m/>
    <x v="259"/>
  </r>
  <r>
    <s v="Kahrel"/>
    <m/>
    <s v="Pieter Johannus"/>
    <x v="1688"/>
    <x v="473"/>
    <n v="0.19253999999999999"/>
    <m/>
    <m/>
    <m/>
    <m/>
    <m/>
    <m/>
    <m/>
    <m/>
    <m/>
    <m/>
    <d v="1953-05-01T00:00:00"/>
    <m/>
    <x v="259"/>
  </r>
  <r>
    <s v="Contreras"/>
    <s v="Pescador"/>
    <s v="Gregorio"/>
    <x v="1689"/>
    <x v="473"/>
    <n v="0.14657000000000001"/>
    <m/>
    <m/>
    <m/>
    <m/>
    <m/>
    <m/>
    <m/>
    <m/>
    <m/>
    <m/>
    <d v="1943-03-12T00:00:00"/>
    <m/>
    <x v="259"/>
  </r>
  <r>
    <s v="Escribano"/>
    <s v="Chumillas"/>
    <s v="Antonio"/>
    <x v="1690"/>
    <x v="473"/>
    <n v="0.66644000000000003"/>
    <m/>
    <m/>
    <m/>
    <m/>
    <m/>
    <m/>
    <m/>
    <m/>
    <m/>
    <m/>
    <d v="1943-05-01T00:00:00"/>
    <m/>
    <x v="259"/>
  </r>
  <r>
    <s v="Dasi"/>
    <s v="Aloy"/>
    <s v="Francisco"/>
    <x v="1691"/>
    <x v="473"/>
    <n v="0.84066399999999997"/>
    <m/>
    <m/>
    <m/>
    <m/>
    <m/>
    <m/>
    <m/>
    <m/>
    <m/>
    <m/>
    <d v="1939-07-17T00:00:00"/>
    <m/>
    <x v="259"/>
  </r>
  <r>
    <s v="Herrero"/>
    <s v="Martin"/>
    <s v="Jose Luis"/>
    <x v="1692"/>
    <x v="473"/>
    <n v="0.22866"/>
    <m/>
    <m/>
    <m/>
    <m/>
    <m/>
    <m/>
    <m/>
    <m/>
    <m/>
    <m/>
    <d v="1967-05-13T00:00:00"/>
    <m/>
    <x v="259"/>
  </r>
  <r>
    <s v="Barrero"/>
    <s v="Ramos"/>
    <s v="Carmen"/>
    <x v="1693"/>
    <x v="473"/>
    <n v="0.57757999999999998"/>
    <m/>
    <m/>
    <m/>
    <m/>
    <m/>
    <m/>
    <m/>
    <m/>
    <m/>
    <m/>
    <d v="1937-01-27T00:00:00"/>
    <m/>
    <x v="259"/>
  </r>
  <r>
    <s v="Morilla"/>
    <s v="Castañeda"/>
    <s v="Jose"/>
    <x v="1694"/>
    <x v="473"/>
    <n v="0.20301"/>
    <m/>
    <m/>
    <m/>
    <m/>
    <m/>
    <m/>
    <m/>
    <m/>
    <m/>
    <m/>
    <d v="1960-02-17T00:00:00"/>
    <m/>
    <x v="259"/>
  </r>
  <r>
    <s v="Fuster"/>
    <s v="Real"/>
    <s v="Manuel"/>
    <x v="1695"/>
    <x v="473"/>
    <n v="0.251"/>
    <m/>
    <m/>
    <m/>
    <m/>
    <m/>
    <m/>
    <m/>
    <m/>
    <m/>
    <m/>
    <d v="1967-03-24T00:00:00"/>
    <m/>
    <x v="259"/>
  </r>
  <r>
    <s v="Andres"/>
    <s v="Escrivano"/>
    <s v="Jose Luis"/>
    <x v="1696"/>
    <x v="473"/>
    <n v="0.13746"/>
    <m/>
    <m/>
    <m/>
    <m/>
    <m/>
    <m/>
    <m/>
    <m/>
    <m/>
    <m/>
    <d v="1948-11-16T00:00:00"/>
    <m/>
    <x v="259"/>
  </r>
  <r>
    <s v="Lopez"/>
    <s v="Soriano"/>
    <s v="Purificacion"/>
    <x v="1697"/>
    <x v="473"/>
    <n v="0.11486"/>
    <m/>
    <m/>
    <m/>
    <m/>
    <m/>
    <m/>
    <m/>
    <m/>
    <m/>
    <m/>
    <d v="1939-02-27T00:00:00"/>
    <m/>
    <x v="259"/>
  </r>
  <r>
    <s v="Marco"/>
    <s v="Desco"/>
    <s v="Dolores"/>
    <x v="1698"/>
    <x v="473"/>
    <n v="0.69260999999999995"/>
    <m/>
    <m/>
    <m/>
    <m/>
    <m/>
    <m/>
    <m/>
    <m/>
    <m/>
    <m/>
    <d v="1944-01-16T00:00:00"/>
    <m/>
    <x v="259"/>
  </r>
  <r>
    <s v="Kahrel"/>
    <m/>
    <s v="Pieter Johannus"/>
    <x v="1688"/>
    <x v="473"/>
    <n v="0.38873999999999997"/>
    <m/>
    <m/>
    <m/>
    <m/>
    <m/>
    <m/>
    <m/>
    <m/>
    <m/>
    <m/>
    <d v="1953-05-01T00:00:00"/>
    <m/>
    <x v="259"/>
  </r>
  <r>
    <s v="Gonzalez"/>
    <s v="Estarlich"/>
    <s v="Conrado Valentin"/>
    <x v="1699"/>
    <x v="473"/>
    <n v="9.1340000000000005E-2"/>
    <m/>
    <m/>
    <m/>
    <m/>
    <m/>
    <m/>
    <m/>
    <m/>
    <m/>
    <m/>
    <d v="1969-11-03T00:00:00"/>
    <m/>
    <x v="259"/>
  </r>
  <r>
    <s v="Ballesteros"/>
    <s v="Medina"/>
    <s v="Joaquin"/>
    <x v="1700"/>
    <x v="473"/>
    <n v="0.20558999999999999"/>
    <m/>
    <m/>
    <m/>
    <m/>
    <m/>
    <m/>
    <m/>
    <m/>
    <m/>
    <m/>
    <d v="1963-07-03T00:00:00"/>
    <m/>
    <x v="248"/>
  </r>
  <r>
    <s v="Ros"/>
    <s v="Martinez"/>
    <s v="Francisca"/>
    <x v="1701"/>
    <x v="473"/>
    <n v="3.0300000000000001E-3"/>
    <m/>
    <m/>
    <m/>
    <m/>
    <m/>
    <m/>
    <m/>
    <m/>
    <m/>
    <m/>
    <d v="1947-01-31T00:00:00"/>
    <m/>
    <x v="112"/>
  </r>
  <r>
    <s v="Pedros"/>
    <s v="Sales"/>
    <s v="Jose"/>
    <x v="1702"/>
    <x v="473"/>
    <n v="0.41237000000000001"/>
    <m/>
    <m/>
    <m/>
    <m/>
    <m/>
    <m/>
    <m/>
    <m/>
    <m/>
    <m/>
    <d v="1960-08-30T00:00:00"/>
    <m/>
    <x v="248"/>
  </r>
  <r>
    <s v="Rodriguez"/>
    <s v="del Campo"/>
    <s v="Teresa"/>
    <x v="1703"/>
    <x v="473"/>
    <n v="0.10871"/>
    <m/>
    <m/>
    <m/>
    <m/>
    <m/>
    <m/>
    <m/>
    <m/>
    <m/>
    <m/>
    <d v="1946-11-10T00:00:00"/>
    <m/>
    <x v="300"/>
  </r>
  <r>
    <s v="Ortiz"/>
    <s v="Alonso"/>
    <s v="Enrique"/>
    <x v="1704"/>
    <x v="473"/>
    <n v="5.8869999999999999E-2"/>
    <m/>
    <m/>
    <m/>
    <m/>
    <m/>
    <m/>
    <m/>
    <m/>
    <m/>
    <m/>
    <d v="1958-09-14T00:00:00"/>
    <m/>
    <x v="304"/>
  </r>
  <r>
    <s v="Castillo"/>
    <s v="Navarro"/>
    <s v="Maria"/>
    <x v="1705"/>
    <x v="474"/>
    <n v="7.6139999999999999E-2"/>
    <m/>
    <m/>
    <m/>
    <m/>
    <m/>
    <m/>
    <m/>
    <m/>
    <m/>
    <m/>
    <d v="1954-08-08T00:00:00"/>
    <m/>
    <x v="253"/>
  </r>
  <r>
    <s v="Graner"/>
    <s v="Carbona"/>
    <s v="Vicente Angel"/>
    <x v="1706"/>
    <x v="474"/>
    <n v="0.36487999999999998"/>
    <m/>
    <m/>
    <m/>
    <m/>
    <m/>
    <m/>
    <m/>
    <m/>
    <m/>
    <m/>
    <d v="1956-07-30T00:00:00"/>
    <m/>
    <x v="259"/>
  </r>
  <r>
    <s v="Sierra"/>
    <s v="Andres"/>
    <s v="Natividad"/>
    <x v="1707"/>
    <x v="474"/>
    <n v="0.67820999999999998"/>
    <m/>
    <m/>
    <m/>
    <m/>
    <m/>
    <m/>
    <m/>
    <m/>
    <m/>
    <m/>
    <d v="1936-12-25T00:00:00"/>
    <m/>
    <x v="259"/>
  </r>
  <r>
    <s v="Alandes"/>
    <s v="Domenech"/>
    <s v="Rosalia"/>
    <x v="1708"/>
    <x v="474"/>
    <n v="7.6550000000000007E-2"/>
    <m/>
    <m/>
    <m/>
    <m/>
    <m/>
    <m/>
    <m/>
    <m/>
    <m/>
    <m/>
    <d v="1933-06-24T00:00:00"/>
    <m/>
    <x v="259"/>
  </r>
  <r>
    <s v="Lopez"/>
    <s v="Alonso"/>
    <s v="Antonio"/>
    <x v="1709"/>
    <x v="474"/>
    <n v="0.13599"/>
    <m/>
    <m/>
    <m/>
    <m/>
    <m/>
    <m/>
    <m/>
    <m/>
    <m/>
    <m/>
    <d v="1961-08-29T00:00:00"/>
    <m/>
    <x v="259"/>
  </r>
  <r>
    <s v="Peñalver"/>
    <s v="Villar"/>
    <s v="Carmen"/>
    <x v="1710"/>
    <x v="474"/>
    <n v="3.7199999999999997E-2"/>
    <m/>
    <m/>
    <m/>
    <m/>
    <m/>
    <m/>
    <m/>
    <m/>
    <m/>
    <m/>
    <d v="1938-08-29T00:00:00"/>
    <m/>
    <x v="259"/>
  </r>
  <r>
    <s v="Gonzalez"/>
    <s v="Egido"/>
    <s v="M Carmen"/>
    <x v="1711"/>
    <x v="474"/>
    <n v="6.0810000000000003E-2"/>
    <m/>
    <m/>
    <m/>
    <m/>
    <m/>
    <m/>
    <m/>
    <m/>
    <m/>
    <m/>
    <d v="1954-05-21T00:00:00"/>
    <m/>
    <x v="259"/>
  </r>
  <r>
    <s v="Vaño"/>
    <s v="Fuster"/>
    <s v="Alvaro"/>
    <x v="1712"/>
    <x v="474"/>
    <n v="4.4769999999999997E-2"/>
    <m/>
    <m/>
    <m/>
    <m/>
    <m/>
    <m/>
    <m/>
    <m/>
    <m/>
    <m/>
    <d v="1969-12-11T00:00:00"/>
    <m/>
    <x v="259"/>
  </r>
  <r>
    <s v="Cambronero"/>
    <s v="Berbel"/>
    <s v="Concepcion"/>
    <x v="1713"/>
    <x v="474"/>
    <n v="4.5690000000000001E-2"/>
    <m/>
    <m/>
    <m/>
    <m/>
    <m/>
    <m/>
    <m/>
    <m/>
    <m/>
    <m/>
    <d v="1961-08-16T00:00:00"/>
    <m/>
    <x v="259"/>
  </r>
  <r>
    <s v="Delgado"/>
    <s v="Martinez"/>
    <s v="Julian"/>
    <x v="1714"/>
    <x v="474"/>
    <n v="9.7750000000000004E-2"/>
    <m/>
    <m/>
    <m/>
    <m/>
    <m/>
    <m/>
    <m/>
    <m/>
    <m/>
    <m/>
    <d v="1951-03-20T00:00:00"/>
    <m/>
    <x v="259"/>
  </r>
  <r>
    <s v="Perez"/>
    <s v="Rubio"/>
    <s v="Manuel"/>
    <x v="1715"/>
    <x v="474"/>
    <n v="0.52861000000000002"/>
    <m/>
    <m/>
    <m/>
    <m/>
    <m/>
    <m/>
    <m/>
    <m/>
    <m/>
    <m/>
    <d v="1965-09-28T00:00:00"/>
    <m/>
    <x v="259"/>
  </r>
  <r>
    <s v="Blanch"/>
    <s v="Gomez"/>
    <s v="Hilario"/>
    <x v="1716"/>
    <x v="474"/>
    <n v="0.65678000000000003"/>
    <m/>
    <m/>
    <m/>
    <m/>
    <m/>
    <m/>
    <m/>
    <m/>
    <m/>
    <m/>
    <d v="1962-09-05T00:00:00"/>
    <m/>
    <x v="259"/>
  </r>
  <r>
    <s v="Pallo"/>
    <s v="Pallo"/>
    <s v="Luis Rosalino"/>
    <x v="1717"/>
    <x v="474"/>
    <n v="1.188E-2"/>
    <m/>
    <m/>
    <m/>
    <m/>
    <m/>
    <m/>
    <m/>
    <m/>
    <m/>
    <m/>
    <d v="1964-11-20T00:00:00"/>
    <m/>
    <x v="285"/>
  </r>
  <r>
    <s v="Parrales"/>
    <s v="Palacios"/>
    <s v="Cecilia Judith"/>
    <x v="1718"/>
    <x v="474"/>
    <n v="5.9899999999999997E-3"/>
    <m/>
    <m/>
    <m/>
    <m/>
    <m/>
    <m/>
    <m/>
    <m/>
    <m/>
    <m/>
    <d v="1966-09-25T00:00:00"/>
    <m/>
    <x v="112"/>
  </r>
  <r>
    <s v="Paraschiv"/>
    <m/>
    <s v="Mihaela Florentina"/>
    <x v="54"/>
    <x v="474"/>
    <n v="4.4999999999999999E-4"/>
    <m/>
    <m/>
    <m/>
    <m/>
    <m/>
    <m/>
    <m/>
    <m/>
    <m/>
    <m/>
    <d v="1986-03-27T00:00:00"/>
    <m/>
    <x v="112"/>
  </r>
  <r>
    <s v="Del Val"/>
    <s v="Garcia"/>
    <s v="Rafael"/>
    <x v="1680"/>
    <x v="474"/>
    <n v="4.8500000000000001E-3"/>
    <m/>
    <m/>
    <m/>
    <m/>
    <m/>
    <m/>
    <m/>
    <m/>
    <m/>
    <m/>
    <d v="1965-02-26T00:00:00"/>
    <m/>
    <x v="303"/>
  </r>
  <r>
    <s v="Goncalves"/>
    <s v="do Estreito"/>
    <s v="Antonio Dionicio"/>
    <x v="1719"/>
    <x v="475"/>
    <n v="4.82E-2"/>
    <m/>
    <m/>
    <m/>
    <m/>
    <m/>
    <m/>
    <m/>
    <m/>
    <m/>
    <m/>
    <d v="1970-09-18T00:00:00"/>
    <m/>
    <x v="293"/>
  </r>
  <r>
    <s v="Catala"/>
    <s v="Sanchez"/>
    <s v="Salvador"/>
    <x v="1720"/>
    <x v="475"/>
    <n v="7.2160000000000002E-2"/>
    <m/>
    <m/>
    <m/>
    <m/>
    <m/>
    <m/>
    <m/>
    <m/>
    <m/>
    <m/>
    <d v="1941-12-19T00:00:00"/>
    <m/>
    <x v="253"/>
  </r>
  <r>
    <s v="Toader"/>
    <m/>
    <s v="Liviu"/>
    <x v="1721"/>
    <x v="475"/>
    <n v="0.12103999999999999"/>
    <m/>
    <m/>
    <m/>
    <m/>
    <m/>
    <m/>
    <m/>
    <m/>
    <m/>
    <m/>
    <d v="1968-04-16T00:00:00"/>
    <m/>
    <x v="259"/>
  </r>
  <r>
    <s v="Almudever"/>
    <s v="Moret"/>
    <s v="Vicente"/>
    <x v="1722"/>
    <x v="475"/>
    <n v="0.19431000000000001"/>
    <m/>
    <m/>
    <m/>
    <m/>
    <m/>
    <m/>
    <m/>
    <m/>
    <m/>
    <m/>
    <d v="1946-05-27T00:00:00"/>
    <m/>
    <x v="259"/>
  </r>
  <r>
    <s v="Naharro"/>
    <s v="Alfonso"/>
    <s v="Francisco Jose"/>
    <x v="1723"/>
    <x v="475"/>
    <n v="0.17405999999999999"/>
    <m/>
    <m/>
    <m/>
    <m/>
    <m/>
    <m/>
    <m/>
    <m/>
    <m/>
    <m/>
    <d v="1959-03-30T00:00:00"/>
    <m/>
    <x v="259"/>
  </r>
  <r>
    <s v="Vaño"/>
    <s v="Santonja"/>
    <s v="Francisco"/>
    <x v="1724"/>
    <x v="475"/>
    <n v="0.15418999999999999"/>
    <m/>
    <m/>
    <m/>
    <m/>
    <m/>
    <m/>
    <m/>
    <m/>
    <m/>
    <m/>
    <d v="1944-01-04T00:00:00"/>
    <m/>
    <x v="259"/>
  </r>
  <r>
    <s v="Rodriguez"/>
    <s v="Morales"/>
    <s v="Amalia"/>
    <x v="1725"/>
    <x v="475"/>
    <n v="0.27793000000000001"/>
    <m/>
    <m/>
    <m/>
    <m/>
    <m/>
    <m/>
    <m/>
    <m/>
    <m/>
    <m/>
    <d v="1948-11-04T00:00:00"/>
    <m/>
    <x v="259"/>
  </r>
  <r>
    <s v="Simon"/>
    <s v="Carricondo"/>
    <s v="Isabel"/>
    <x v="1726"/>
    <x v="475"/>
    <n v="0.11609999999999999"/>
    <m/>
    <m/>
    <m/>
    <m/>
    <m/>
    <m/>
    <m/>
    <m/>
    <m/>
    <m/>
    <d v="1952-08-10T00:00:00"/>
    <m/>
    <x v="259"/>
  </r>
  <r>
    <s v="Atienza"/>
    <s v="Ruiz"/>
    <s v="Vicente"/>
    <x v="1727"/>
    <x v="475"/>
    <n v="0.15553"/>
    <m/>
    <m/>
    <m/>
    <m/>
    <m/>
    <m/>
    <m/>
    <m/>
    <m/>
    <m/>
    <d v="1951-07-25T00:00:00"/>
    <m/>
    <x v="259"/>
  </r>
  <r>
    <s v="Valterra"/>
    <s v="Musoles"/>
    <s v="M Julia"/>
    <x v="1727"/>
    <x v="475"/>
    <n v="0.15204999999999999"/>
    <m/>
    <m/>
    <m/>
    <m/>
    <m/>
    <m/>
    <m/>
    <m/>
    <m/>
    <m/>
    <d v="1944-05-10T00:00:00"/>
    <m/>
    <x v="259"/>
  </r>
  <r>
    <s v="Lopez"/>
    <s v="Carbonell"/>
    <s v="Samuel"/>
    <x v="1728"/>
    <x v="475"/>
    <n v="3.058E-2"/>
    <m/>
    <m/>
    <m/>
    <m/>
    <m/>
    <m/>
    <m/>
    <m/>
    <m/>
    <m/>
    <d v="1972-01-06T00:00:00"/>
    <m/>
    <x v="126"/>
  </r>
  <r>
    <s v="Rio"/>
    <s v="del Alba"/>
    <s v="M Carmen"/>
    <x v="1729"/>
    <x v="475"/>
    <n v="0.59601000000000004"/>
    <m/>
    <m/>
    <m/>
    <m/>
    <m/>
    <m/>
    <m/>
    <m/>
    <m/>
    <m/>
    <d v="1950-02-03T00:00:00"/>
    <m/>
    <x v="41"/>
  </r>
  <r>
    <s v="Coll"/>
    <s v="Moscardo"/>
    <s v="Jose Luis"/>
    <x v="464"/>
    <x v="475"/>
    <n v="1.3699999999999999E-3"/>
    <m/>
    <m/>
    <m/>
    <m/>
    <m/>
    <m/>
    <m/>
    <m/>
    <m/>
    <m/>
    <d v="1952-03-09T00:00:00"/>
    <m/>
    <x v="111"/>
  </r>
  <r>
    <s v="Gallardo"/>
    <s v="Llorens"/>
    <s v="Jordi Joan"/>
    <x v="1730"/>
    <x v="476"/>
    <n v="1.5165599999999999"/>
    <m/>
    <m/>
    <m/>
    <m/>
    <m/>
    <m/>
    <m/>
    <m/>
    <m/>
    <m/>
    <d v="1977-06-24T00:00:00"/>
    <m/>
    <x v="259"/>
  </r>
  <r>
    <s v="Sanchez"/>
    <s v="Biel"/>
    <s v="Carmen"/>
    <x v="1731"/>
    <x v="476"/>
    <n v="0.42004999999999998"/>
    <m/>
    <m/>
    <m/>
    <m/>
    <m/>
    <m/>
    <m/>
    <m/>
    <m/>
    <m/>
    <d v="1952-01-28T00:00:00"/>
    <m/>
    <x v="9"/>
  </r>
  <r>
    <s v="Chahboub"/>
    <m/>
    <s v="Abdelfattah"/>
    <x v="1732"/>
    <x v="477"/>
    <n v="0.72719999999999996"/>
    <m/>
    <m/>
    <m/>
    <m/>
    <m/>
    <m/>
    <m/>
    <m/>
    <m/>
    <m/>
    <d v="1983-04-12T00:00:00"/>
    <m/>
    <x v="259"/>
  </r>
  <r>
    <s v="Domenech"/>
    <s v="Torres"/>
    <s v="Ramon"/>
    <x v="1733"/>
    <x v="478"/>
    <n v="7.0499999999999998E-3"/>
    <m/>
    <m/>
    <m/>
    <m/>
    <m/>
    <m/>
    <m/>
    <m/>
    <m/>
    <m/>
    <d v="1933-09-02T00:00:00"/>
    <m/>
    <x v="284"/>
  </r>
  <r>
    <s v="de la Concepcion"/>
    <s v="Solera"/>
    <s v="Jose"/>
    <x v="1734"/>
    <x v="478"/>
    <n v="4.5420999999999996"/>
    <m/>
    <m/>
    <m/>
    <m/>
    <m/>
    <m/>
    <m/>
    <m/>
    <m/>
    <m/>
    <d v="1939-07-27T00:00:00"/>
    <m/>
    <x v="259"/>
  </r>
  <r>
    <s v="Egea"/>
    <s v="Gonzalez"/>
    <s v="Mirta"/>
    <x v="1735"/>
    <x v="478"/>
    <n v="0.15140000000000001"/>
    <m/>
    <m/>
    <m/>
    <m/>
    <m/>
    <m/>
    <m/>
    <m/>
    <m/>
    <m/>
    <d v="1992-03-20T00:00:00"/>
    <m/>
    <x v="259"/>
  </r>
  <r>
    <s v="Sanchez"/>
    <s v="del Burgo"/>
    <s v="Felipe"/>
    <x v="1736"/>
    <x v="478"/>
    <n v="0.61960000000000004"/>
    <m/>
    <m/>
    <m/>
    <m/>
    <m/>
    <m/>
    <m/>
    <m/>
    <m/>
    <m/>
    <d v="1941-01-22T00:00:00"/>
    <m/>
    <x v="259"/>
  </r>
  <r>
    <s v="Sanchez"/>
    <s v="Rozalen"/>
    <s v="Liberto"/>
    <x v="1264"/>
    <x v="478"/>
    <n v="1.431E-2"/>
    <m/>
    <m/>
    <m/>
    <m/>
    <m/>
    <m/>
    <m/>
    <m/>
    <m/>
    <m/>
    <d v="1940-12-30T00:00:00"/>
    <m/>
    <x v="305"/>
  </r>
  <r>
    <s v="Perez-Sanchis"/>
    <s v="Estal"/>
    <s v="Antonio Ramon"/>
    <x v="740"/>
    <x v="478"/>
    <n v="4.4990000000000002E-2"/>
    <m/>
    <m/>
    <m/>
    <m/>
    <m/>
    <m/>
    <m/>
    <m/>
    <m/>
    <m/>
    <d v="1973-01-22T00:00:00"/>
    <m/>
    <x v="292"/>
  </r>
  <r>
    <s v="Casasempere"/>
    <s v="Torres"/>
    <s v="Maria Luisa"/>
    <x v="1737"/>
    <x v="478"/>
    <n v="1.0970000000000001E-2"/>
    <m/>
    <m/>
    <m/>
    <m/>
    <m/>
    <m/>
    <m/>
    <m/>
    <m/>
    <m/>
    <d v="1994-02-03T00:00:00"/>
    <m/>
    <x v="130"/>
  </r>
  <r>
    <s v="Gramaje"/>
    <s v="Juesas"/>
    <s v="Jose"/>
    <x v="1738"/>
    <x v="478"/>
    <n v="3.9440000000000003E-2"/>
    <m/>
    <m/>
    <m/>
    <m/>
    <m/>
    <m/>
    <m/>
    <m/>
    <m/>
    <m/>
    <d v="1950-09-24T00:00:00"/>
    <m/>
    <x v="196"/>
  </r>
  <r>
    <s v="Quesada"/>
    <s v="Bayona"/>
    <s v="Fernando"/>
    <x v="1739"/>
    <x v="478"/>
    <n v="0.12520999999999999"/>
    <m/>
    <m/>
    <m/>
    <m/>
    <m/>
    <m/>
    <m/>
    <m/>
    <m/>
    <m/>
    <d v="1952-10-11T00:00:00"/>
    <m/>
    <x v="58"/>
  </r>
  <r>
    <s v="Gradoli"/>
    <s v="Marti"/>
    <s v="Pilar Josefa"/>
    <x v="1740"/>
    <x v="479"/>
    <n v="0.30070000000000002"/>
    <m/>
    <m/>
    <m/>
    <m/>
    <m/>
    <m/>
    <m/>
    <m/>
    <m/>
    <m/>
    <d v="1962-03-18T00:00:00"/>
    <m/>
    <x v="293"/>
  </r>
  <r>
    <s v="Alegre"/>
    <s v="Nuñez"/>
    <s v="Jose"/>
    <x v="1741"/>
    <x v="479"/>
    <n v="0.32625999999999999"/>
    <m/>
    <m/>
    <m/>
    <m/>
    <m/>
    <m/>
    <m/>
    <m/>
    <m/>
    <m/>
    <d v="1960-11-06T00:00:00"/>
    <m/>
    <x v="293"/>
  </r>
  <r>
    <s v="Senent"/>
    <s v="Andres"/>
    <s v="Jesus"/>
    <x v="1742"/>
    <x v="479"/>
    <n v="0.27062000000000003"/>
    <m/>
    <m/>
    <m/>
    <m/>
    <m/>
    <m/>
    <m/>
    <m/>
    <m/>
    <m/>
    <d v="1964-05-16T00:00:00"/>
    <m/>
    <x v="259"/>
  </r>
  <r>
    <s v="Vicent"/>
    <s v="Beneyto"/>
    <s v="Inmaculada"/>
    <x v="1743"/>
    <x v="479"/>
    <n v="0.15296999999999999"/>
    <m/>
    <m/>
    <m/>
    <m/>
    <m/>
    <m/>
    <m/>
    <m/>
    <m/>
    <m/>
    <d v="1958-02-14T00:00:00"/>
    <m/>
    <x v="259"/>
  </r>
  <r>
    <s v="Soriano"/>
    <s v="Calvo"/>
    <s v="Francisco"/>
    <x v="1744"/>
    <x v="479"/>
    <n v="0.46827999999999997"/>
    <m/>
    <m/>
    <m/>
    <m/>
    <m/>
    <m/>
    <m/>
    <m/>
    <m/>
    <m/>
    <d v="1938-02-10T00:00:00"/>
    <m/>
    <x v="259"/>
  </r>
  <r>
    <s v="Jurado"/>
    <s v="Salinas"/>
    <s v="Begoña"/>
    <x v="1745"/>
    <x v="479"/>
    <n v="7.4090000000000003E-2"/>
    <m/>
    <m/>
    <m/>
    <m/>
    <m/>
    <m/>
    <m/>
    <m/>
    <m/>
    <m/>
    <d v="1955-10-06T00:00:00"/>
    <m/>
    <x v="259"/>
  </r>
  <r>
    <s v="Andreu"/>
    <s v="Soñer"/>
    <s v="Paloma"/>
    <x v="33"/>
    <x v="479"/>
    <n v="9.3450000000000005E-2"/>
    <m/>
    <m/>
    <m/>
    <m/>
    <m/>
    <m/>
    <m/>
    <m/>
    <m/>
    <m/>
    <d v="1967-11-06T00:00:00"/>
    <m/>
    <x v="259"/>
  </r>
  <r>
    <s v="Serrano"/>
    <s v="Marti"/>
    <s v="Belen"/>
    <x v="1746"/>
    <x v="479"/>
    <n v="0.24354999999999999"/>
    <m/>
    <m/>
    <m/>
    <m/>
    <m/>
    <m/>
    <m/>
    <m/>
    <m/>
    <m/>
    <d v="1963-12-21T00:00:00"/>
    <m/>
    <x v="259"/>
  </r>
  <r>
    <s v="Alcoy"/>
    <s v="Gordon"/>
    <s v="Vicente"/>
    <x v="1747"/>
    <x v="479"/>
    <n v="0.51639999999999997"/>
    <m/>
    <m/>
    <m/>
    <m/>
    <m/>
    <m/>
    <m/>
    <m/>
    <m/>
    <m/>
    <d v="1951-10-26T00:00:00"/>
    <m/>
    <x v="259"/>
  </r>
  <r>
    <s v="Montesinos"/>
    <s v="Garcia"/>
    <s v="Javier"/>
    <x v="1748"/>
    <x v="479"/>
    <n v="0.72628000000000004"/>
    <m/>
    <m/>
    <m/>
    <m/>
    <m/>
    <m/>
    <m/>
    <m/>
    <m/>
    <m/>
    <d v="1968-10-02T00:00:00"/>
    <m/>
    <x v="259"/>
  </r>
  <r>
    <s v="Calisaya"/>
    <s v="Intriago"/>
    <s v="Alexia Niurka"/>
    <x v="1505"/>
    <x v="479"/>
    <n v="8.3599999999999994E-3"/>
    <m/>
    <m/>
    <m/>
    <m/>
    <m/>
    <m/>
    <m/>
    <m/>
    <m/>
    <m/>
    <d v="2004-07-07T00:00:00"/>
    <m/>
    <x v="201"/>
  </r>
  <r>
    <s v="Bustamante"/>
    <s v="Cerrillo"/>
    <s v="Amparo"/>
    <x v="1749"/>
    <x v="479"/>
    <n v="0.1457"/>
    <m/>
    <m/>
    <m/>
    <m/>
    <m/>
    <m/>
    <m/>
    <m/>
    <m/>
    <m/>
    <d v="1965-08-14T00:00:00"/>
    <m/>
    <x v="9"/>
  </r>
  <r>
    <s v="Such"/>
    <s v="Albiñana"/>
    <s v="Teresa"/>
    <x v="1750"/>
    <x v="480"/>
    <n v="1.9980000000000001E-2"/>
    <m/>
    <m/>
    <m/>
    <m/>
    <m/>
    <m/>
    <m/>
    <m/>
    <m/>
    <m/>
    <d v="1956-07-19T00:00:00"/>
    <m/>
    <x v="293"/>
  </r>
  <r>
    <s v="Castro"/>
    <s v="Docampo"/>
    <s v="Ricardo"/>
    <x v="1751"/>
    <x v="480"/>
    <n v="0.11931"/>
    <m/>
    <m/>
    <m/>
    <m/>
    <m/>
    <m/>
    <m/>
    <m/>
    <m/>
    <m/>
    <d v="1963-09-24T00:00:00"/>
    <m/>
    <x v="293"/>
  </r>
  <r>
    <s v="Crespo"/>
    <s v="Garcia"/>
    <s v="Ramon Vicente"/>
    <x v="1752"/>
    <x v="480"/>
    <n v="0.55742999999999998"/>
    <m/>
    <m/>
    <m/>
    <m/>
    <m/>
    <m/>
    <m/>
    <m/>
    <m/>
    <m/>
    <d v="1966-06-18T00:00:00"/>
    <m/>
    <x v="259"/>
  </r>
  <r>
    <s v="Torres"/>
    <s v="Martos"/>
    <s v="Gil"/>
    <x v="1753"/>
    <x v="480"/>
    <n v="0.16019"/>
    <m/>
    <m/>
    <m/>
    <m/>
    <m/>
    <m/>
    <m/>
    <m/>
    <m/>
    <m/>
    <d v="1943-02-18T00:00:00"/>
    <m/>
    <x v="259"/>
  </r>
  <r>
    <s v="Dios"/>
    <s v="de Diaz"/>
    <s v="Victoriano"/>
    <x v="1305"/>
    <x v="480"/>
    <n v="0.12642999999999999"/>
    <m/>
    <m/>
    <m/>
    <m/>
    <m/>
    <m/>
    <m/>
    <m/>
    <m/>
    <m/>
    <d v="1957-12-03T00:00:00"/>
    <m/>
    <x v="259"/>
  </r>
  <r>
    <s v="Lopez"/>
    <s v="Murcia"/>
    <s v="Isabel"/>
    <x v="1754"/>
    <x v="480"/>
    <n v="0.41532999999999998"/>
    <m/>
    <m/>
    <m/>
    <m/>
    <m/>
    <m/>
    <m/>
    <m/>
    <m/>
    <m/>
    <d v="1940-07-30T00:00:00"/>
    <m/>
    <x v="259"/>
  </r>
  <r>
    <s v="Moreno"/>
    <s v="Martinez"/>
    <s v="Alicia"/>
    <x v="1755"/>
    <x v="480"/>
    <n v="0.39723999999999998"/>
    <m/>
    <m/>
    <m/>
    <m/>
    <m/>
    <m/>
    <m/>
    <m/>
    <m/>
    <m/>
    <d v="1959-09-20T00:00:00"/>
    <m/>
    <x v="259"/>
  </r>
  <r>
    <s v="Pastor"/>
    <s v="Mateu"/>
    <s v="Salvador"/>
    <x v="1756"/>
    <x v="480"/>
    <n v="0.12409000000000001"/>
    <m/>
    <m/>
    <m/>
    <m/>
    <m/>
    <m/>
    <m/>
    <m/>
    <m/>
    <m/>
    <d v="1976-06-23T00:00:00"/>
    <m/>
    <x v="259"/>
  </r>
  <r>
    <s v="Garcia"/>
    <s v="Piqueras"/>
    <s v="Casimiro"/>
    <x v="1519"/>
    <x v="480"/>
    <n v="7.5929999999999997E-2"/>
    <m/>
    <m/>
    <m/>
    <m/>
    <m/>
    <m/>
    <m/>
    <m/>
    <m/>
    <m/>
    <d v="1966-09-01T00:00:00"/>
    <m/>
    <x v="130"/>
  </r>
  <r>
    <s v="Romero"/>
    <s v="Catala"/>
    <s v="Miguel Vicente"/>
    <x v="1757"/>
    <x v="480"/>
    <n v="1.98E-3"/>
    <m/>
    <m/>
    <m/>
    <m/>
    <m/>
    <m/>
    <m/>
    <m/>
    <m/>
    <m/>
    <d v="1966-04-18T00:00:00"/>
    <m/>
    <x v="111"/>
  </r>
  <r>
    <s v="Garcia"/>
    <s v="Arocas"/>
    <s v="Jose"/>
    <x v="1758"/>
    <x v="481"/>
    <n v="1.392E-2"/>
    <m/>
    <m/>
    <m/>
    <m/>
    <m/>
    <m/>
    <m/>
    <m/>
    <m/>
    <m/>
    <d v="1958-05-17T00:00:00"/>
    <m/>
    <x v="293"/>
  </r>
  <r>
    <s v="Rapado"/>
    <s v="Toro"/>
    <s v="Leonides"/>
    <x v="901"/>
    <x v="481"/>
    <n v="0.50824000000000003"/>
    <m/>
    <m/>
    <m/>
    <m/>
    <m/>
    <m/>
    <m/>
    <m/>
    <m/>
    <m/>
    <d v="1932-11-02T00:00:00"/>
    <m/>
    <x v="259"/>
  </r>
  <r>
    <s v="Gimeno"/>
    <s v="Tatay"/>
    <s v="Manuel"/>
    <x v="1569"/>
    <x v="481"/>
    <n v="0.51975000000000005"/>
    <m/>
    <m/>
    <m/>
    <m/>
    <m/>
    <m/>
    <m/>
    <m/>
    <m/>
    <m/>
    <d v="1938-10-08T00:00:00"/>
    <m/>
    <x v="259"/>
  </r>
  <r>
    <s v="Gallardo"/>
    <s v="Llorens"/>
    <s v="Jordi Joan"/>
    <x v="1730"/>
    <x v="481"/>
    <n v="0.13358"/>
    <m/>
    <m/>
    <m/>
    <m/>
    <m/>
    <m/>
    <m/>
    <m/>
    <m/>
    <m/>
    <d v="1977-06-24T00:00:00"/>
    <m/>
    <x v="259"/>
  </r>
  <r>
    <s v="Bono"/>
    <s v="Altalaguerri"/>
    <s v="Jorge"/>
    <x v="1759"/>
    <x v="481"/>
    <n v="0.25892999999999999"/>
    <m/>
    <m/>
    <m/>
    <m/>
    <m/>
    <m/>
    <m/>
    <m/>
    <m/>
    <m/>
    <d v="1969-01-24T00:00:00"/>
    <m/>
    <x v="259"/>
  </r>
  <r>
    <s v="Domenech"/>
    <s v="Lluesma"/>
    <s v="Francisca"/>
    <x v="1760"/>
    <x v="481"/>
    <n v="0.30581999999999998"/>
    <m/>
    <m/>
    <m/>
    <m/>
    <m/>
    <m/>
    <m/>
    <m/>
    <m/>
    <m/>
    <d v="1955-10-04T00:00:00"/>
    <m/>
    <x v="259"/>
  </r>
  <r>
    <s v="Aiteur"/>
    <s v="Rodriguez"/>
    <s v="Alain"/>
    <x v="960"/>
    <x v="481"/>
    <n v="4.6299999999999996E-3"/>
    <m/>
    <m/>
    <m/>
    <m/>
    <m/>
    <m/>
    <m/>
    <m/>
    <m/>
    <m/>
    <d v="1967-10-29T00:00:00"/>
    <m/>
    <x v="264"/>
  </r>
  <r>
    <s v="Zacares"/>
    <s v="Real"/>
    <s v="M Amparo"/>
    <x v="284"/>
    <x v="481"/>
    <n v="3.9879999999999999E-2"/>
    <m/>
    <m/>
    <m/>
    <m/>
    <m/>
    <m/>
    <m/>
    <m/>
    <m/>
    <m/>
    <d v="1976-10-15T00:00:00"/>
    <m/>
    <x v="306"/>
  </r>
  <r>
    <s v="Samit"/>
    <s v="Castellet"/>
    <s v="Patricia"/>
    <x v="605"/>
    <x v="481"/>
    <n v="1.1209999999999999E-2"/>
    <m/>
    <m/>
    <m/>
    <m/>
    <m/>
    <m/>
    <m/>
    <m/>
    <m/>
    <m/>
    <d v="1984-08-06T00:00:00"/>
    <m/>
    <x v="206"/>
  </r>
  <r>
    <s v="Muñoz"/>
    <s v="Valero"/>
    <s v="Jose Vicente"/>
    <x v="1761"/>
    <x v="482"/>
    <n v="4.8300000000000001E-3"/>
    <m/>
    <m/>
    <m/>
    <m/>
    <m/>
    <m/>
    <m/>
    <m/>
    <m/>
    <m/>
    <d v="1954-11-24T00:00:00"/>
    <m/>
    <x v="253"/>
  </r>
  <r>
    <s v="Cebrian"/>
    <s v="Navarro"/>
    <s v="Maria Dolores"/>
    <x v="1762"/>
    <x v="482"/>
    <n v="0.12388"/>
    <m/>
    <m/>
    <m/>
    <m/>
    <m/>
    <m/>
    <m/>
    <m/>
    <m/>
    <m/>
    <d v="1952-06-18T00:00:00"/>
    <m/>
    <x v="253"/>
  </r>
  <r>
    <s v="Costa"/>
    <s v="Mompo"/>
    <s v="Mario"/>
    <x v="1763"/>
    <x v="482"/>
    <n v="0.44491999999999998"/>
    <m/>
    <m/>
    <m/>
    <m/>
    <m/>
    <m/>
    <m/>
    <m/>
    <m/>
    <m/>
    <d v="1955-08-01T00:00:00"/>
    <m/>
    <x v="259"/>
  </r>
  <r>
    <s v="Martinez"/>
    <s v="Valls"/>
    <s v="Antonio F"/>
    <x v="1764"/>
    <x v="482"/>
    <n v="0.28316999999999998"/>
    <m/>
    <m/>
    <m/>
    <m/>
    <m/>
    <m/>
    <m/>
    <m/>
    <m/>
    <m/>
    <d v="1969-05-05T00:00:00"/>
    <m/>
    <x v="259"/>
  </r>
  <r>
    <s v="Martinez"/>
    <s v="Andreu"/>
    <s v="Francisco"/>
    <x v="1765"/>
    <x v="482"/>
    <n v="1.17963"/>
    <m/>
    <m/>
    <m/>
    <m/>
    <m/>
    <m/>
    <m/>
    <m/>
    <m/>
    <m/>
    <d v="1958-03-15T00:00:00"/>
    <m/>
    <x v="259"/>
  </r>
  <r>
    <s v="Lazaro"/>
    <s v="Gabarda"/>
    <s v="Salvador"/>
    <x v="1766"/>
    <x v="482"/>
    <n v="0.81747000000000003"/>
    <m/>
    <m/>
    <m/>
    <m/>
    <m/>
    <m/>
    <m/>
    <m/>
    <m/>
    <m/>
    <d v="1941-12-22T00:00:00"/>
    <m/>
    <x v="259"/>
  </r>
  <r>
    <s v="Orellano"/>
    <s v="Moreno"/>
    <s v="Francisco"/>
    <x v="1767"/>
    <x v="482"/>
    <n v="0.26967999999999998"/>
    <m/>
    <m/>
    <m/>
    <m/>
    <m/>
    <m/>
    <m/>
    <m/>
    <m/>
    <m/>
    <d v="1951-08-05T00:00:00"/>
    <m/>
    <x v="259"/>
  </r>
  <r>
    <s v="Blanch"/>
    <s v="Domenech"/>
    <s v="Elena"/>
    <x v="1768"/>
    <x v="482"/>
    <n v="6.0099999999999997E-3"/>
    <m/>
    <m/>
    <m/>
    <m/>
    <m/>
    <m/>
    <m/>
    <m/>
    <m/>
    <m/>
    <d v="2005-09-05T00:00:00"/>
    <m/>
    <x v="191"/>
  </r>
  <r>
    <s v="Garcia"/>
    <s v="Herranz"/>
    <s v="Luisa"/>
    <x v="784"/>
    <x v="482"/>
    <n v="1.7559999999999999E-2"/>
    <m/>
    <m/>
    <m/>
    <m/>
    <m/>
    <m/>
    <m/>
    <m/>
    <m/>
    <m/>
    <d v="1951-06-05T00:00:00"/>
    <m/>
    <x v="184"/>
  </r>
  <r>
    <s v="Monteagudo"/>
    <s v="Suarez"/>
    <s v="Juan Jose"/>
    <x v="1555"/>
    <x v="482"/>
    <n v="3.8010000000000002E-2"/>
    <m/>
    <m/>
    <m/>
    <m/>
    <m/>
    <m/>
    <m/>
    <m/>
    <m/>
    <m/>
    <d v="1954-10-21T00:00:00"/>
    <m/>
    <x v="114"/>
  </r>
  <r>
    <s v="Mesa"/>
    <s v="Mendez"/>
    <s v="Placido"/>
    <x v="1769"/>
    <x v="482"/>
    <n v="1.9359999999999999E-2"/>
    <m/>
    <m/>
    <m/>
    <m/>
    <m/>
    <m/>
    <m/>
    <m/>
    <m/>
    <m/>
    <d v="1950-07-10T00:00:00"/>
    <m/>
    <x v="184"/>
  </r>
  <r>
    <s v="Llinares"/>
    <s v="Molto"/>
    <s v="Enrique"/>
    <x v="1770"/>
    <x v="482"/>
    <n v="8.5000000000000006E-3"/>
    <m/>
    <m/>
    <m/>
    <m/>
    <m/>
    <m/>
    <m/>
    <m/>
    <m/>
    <m/>
    <d v="1979-11-03T00:00:00"/>
    <m/>
    <x v="134"/>
  </r>
  <r>
    <s v="Rodriguez"/>
    <s v="Slimani"/>
    <s v="Ismael"/>
    <x v="1285"/>
    <x v="482"/>
    <n v="1.0869999999999999E-2"/>
    <m/>
    <m/>
    <m/>
    <m/>
    <m/>
    <m/>
    <m/>
    <m/>
    <m/>
    <m/>
    <d v="1966-02-09T00:00:00"/>
    <m/>
    <x v="184"/>
  </r>
  <r>
    <s v="Equiza"/>
    <s v="Castell"/>
    <s v="M Carmen"/>
    <x v="1771"/>
    <x v="482"/>
    <n v="0.69357999999999997"/>
    <m/>
    <m/>
    <m/>
    <m/>
    <m/>
    <m/>
    <m/>
    <m/>
    <m/>
    <m/>
    <d v="1973-07-15T00:00:00"/>
    <m/>
    <x v="41"/>
  </r>
  <r>
    <s v="Sanjuan"/>
    <s v="Pastor"/>
    <s v="Jose Vicente"/>
    <x v="1772"/>
    <x v="483"/>
    <n v="0.31313000000000002"/>
    <m/>
    <m/>
    <m/>
    <m/>
    <m/>
    <m/>
    <m/>
    <m/>
    <m/>
    <m/>
    <d v="1972-09-27T00:00:00"/>
    <m/>
    <x v="259"/>
  </r>
  <r>
    <s v="Marti"/>
    <s v="Jordan"/>
    <s v="Juan Carlos"/>
    <x v="1773"/>
    <x v="484"/>
    <n v="1.0376399999999999"/>
    <m/>
    <m/>
    <m/>
    <m/>
    <m/>
    <m/>
    <m/>
    <m/>
    <m/>
    <m/>
    <d v="1956-08-05T00:00:00"/>
    <m/>
    <x v="300"/>
  </r>
  <r>
    <s v="Revuelto"/>
    <s v="Munera"/>
    <s v="Luis"/>
    <x v="1774"/>
    <x v="485"/>
    <n v="3.5090000000000003E-2"/>
    <m/>
    <m/>
    <m/>
    <m/>
    <m/>
    <m/>
    <m/>
    <m/>
    <m/>
    <m/>
    <d v="1943-09-03T00:00:00"/>
    <m/>
    <x v="284"/>
  </r>
  <r>
    <s v="Coronado"/>
    <s v="Yagüe"/>
    <s v="Amadeo"/>
    <x v="1775"/>
    <x v="485"/>
    <n v="0.24873999999999999"/>
    <m/>
    <m/>
    <m/>
    <m/>
    <m/>
    <m/>
    <m/>
    <m/>
    <m/>
    <m/>
    <d v="1945-10-22T00:00:00"/>
    <m/>
    <x v="293"/>
  </r>
  <r>
    <s v="Mesa"/>
    <s v="de la Torre"/>
    <s v="M Antonia"/>
    <x v="1776"/>
    <x v="485"/>
    <n v="4.9175399999999998"/>
    <m/>
    <m/>
    <m/>
    <m/>
    <m/>
    <m/>
    <m/>
    <m/>
    <m/>
    <m/>
    <d v="1959-12-29T00:00:00"/>
    <m/>
    <x v="259"/>
  </r>
  <r>
    <s v="Sanchez"/>
    <s v="Faubell"/>
    <s v="Jose Luis"/>
    <x v="1777"/>
    <x v="485"/>
    <n v="0.26216"/>
    <m/>
    <m/>
    <m/>
    <m/>
    <m/>
    <m/>
    <m/>
    <m/>
    <m/>
    <m/>
    <d v="1973-03-31T00:00:00"/>
    <m/>
    <x v="259"/>
  </r>
  <r>
    <s v="Diaz"/>
    <s v="Dominguez"/>
    <s v="Rafael"/>
    <x v="1778"/>
    <x v="485"/>
    <n v="0.38042999999999999"/>
    <m/>
    <m/>
    <m/>
    <m/>
    <m/>
    <m/>
    <m/>
    <m/>
    <m/>
    <m/>
    <d v="1939-01-11T00:00:00"/>
    <m/>
    <x v="259"/>
  </r>
  <r>
    <s v="Stropus"/>
    <m/>
    <s v="Bronius"/>
    <x v="1779"/>
    <x v="485"/>
    <n v="0.72392999999999996"/>
    <m/>
    <m/>
    <m/>
    <m/>
    <m/>
    <m/>
    <m/>
    <m/>
    <m/>
    <m/>
    <d v="1981-02-08T00:00:00"/>
    <m/>
    <x v="259"/>
  </r>
  <r>
    <s v="Llopes"/>
    <s v="Castillo"/>
    <s v="Sofia"/>
    <x v="1780"/>
    <x v="485"/>
    <n v="0.60975000000000001"/>
    <m/>
    <m/>
    <m/>
    <m/>
    <m/>
    <m/>
    <m/>
    <m/>
    <m/>
    <m/>
    <d v="1982-08-24T00:00:00"/>
    <m/>
    <x v="259"/>
  </r>
  <r>
    <s v="Nogueira"/>
    <s v="Lamas"/>
    <s v="Arturo"/>
    <x v="1781"/>
    <x v="485"/>
    <n v="0.16714999999999999"/>
    <m/>
    <m/>
    <m/>
    <m/>
    <m/>
    <m/>
    <m/>
    <m/>
    <m/>
    <m/>
    <d v="1935-01-28T00:00:00"/>
    <m/>
    <x v="259"/>
  </r>
  <r>
    <s v="Martinez"/>
    <s v="Garcia"/>
    <s v="Rafael"/>
    <x v="791"/>
    <x v="485"/>
    <s v="XA_02"/>
    <m/>
    <m/>
    <m/>
    <m/>
    <m/>
    <m/>
    <m/>
    <m/>
    <m/>
    <m/>
    <d v="1959-03-14T00:00:00"/>
    <m/>
    <x v="130"/>
  </r>
  <r>
    <s v="Olivas"/>
    <s v="Martinez"/>
    <s v="Eustaquio"/>
    <x v="1782"/>
    <x v="485"/>
    <n v="7.5490000000000002E-2"/>
    <m/>
    <m/>
    <m/>
    <m/>
    <m/>
    <m/>
    <m/>
    <m/>
    <m/>
    <m/>
    <d v="1944-11-30T00:00:00"/>
    <m/>
    <x v="130"/>
  </r>
  <r>
    <s v="Gomez"/>
    <s v="Perez"/>
    <s v="Felipe"/>
    <x v="1783"/>
    <x v="485"/>
    <n v="8.5540000000000005E-2"/>
    <m/>
    <m/>
    <m/>
    <m/>
    <m/>
    <m/>
    <m/>
    <m/>
    <m/>
    <m/>
    <d v="1951-06-17T00:00:00"/>
    <m/>
    <x v="126"/>
  </r>
  <r>
    <s v="Corrales"/>
    <s v="Garcia"/>
    <s v="Remedios"/>
    <x v="1784"/>
    <x v="486"/>
    <n v="3.9890000000000002E-2"/>
    <m/>
    <m/>
    <m/>
    <m/>
    <m/>
    <m/>
    <m/>
    <m/>
    <m/>
    <m/>
    <d v="1975-12-22T00:00:00"/>
    <m/>
    <x v="293"/>
  </r>
  <r>
    <s v="Perez"/>
    <s v="Miron"/>
    <s v="Lucia"/>
    <x v="978"/>
    <x v="486"/>
    <n v="5.7509999999999999E-2"/>
    <m/>
    <m/>
    <m/>
    <m/>
    <m/>
    <m/>
    <m/>
    <m/>
    <m/>
    <m/>
    <d v="1945-12-13T00:00:00"/>
    <m/>
    <x v="253"/>
  </r>
  <r>
    <s v="Requena"/>
    <s v="Sanchez"/>
    <s v="Antonio Gabriel"/>
    <x v="1785"/>
    <x v="486"/>
    <n v="0.41400999999999999"/>
    <m/>
    <m/>
    <m/>
    <m/>
    <m/>
    <m/>
    <m/>
    <m/>
    <m/>
    <m/>
    <d v="1958-03-24T00:00:00"/>
    <m/>
    <x v="259"/>
  </r>
  <r>
    <s v="Fuster"/>
    <s v="Vidal"/>
    <s v="David"/>
    <x v="1786"/>
    <x v="486"/>
    <n v="0.20408000000000001"/>
    <m/>
    <m/>
    <m/>
    <m/>
    <m/>
    <m/>
    <m/>
    <m/>
    <m/>
    <m/>
    <d v="2000-12-11T00:00:00"/>
    <m/>
    <x v="259"/>
  </r>
  <r>
    <s v="Bernardo"/>
    <s v="Herranz"/>
    <s v="Gregorio Javier"/>
    <x v="1787"/>
    <x v="486"/>
    <n v="0.17873"/>
    <m/>
    <m/>
    <m/>
    <m/>
    <m/>
    <m/>
    <m/>
    <m/>
    <m/>
    <m/>
    <d v="1952-06-01T00:00:00"/>
    <m/>
    <x v="259"/>
  </r>
  <r>
    <s v="Molina"/>
    <s v="Mosquera"/>
    <s v="Fredy"/>
    <x v="1788"/>
    <x v="486"/>
    <n v="0.57457000000000003"/>
    <m/>
    <m/>
    <m/>
    <m/>
    <m/>
    <m/>
    <m/>
    <m/>
    <m/>
    <m/>
    <d v="1967-02-03T00:00:00"/>
    <m/>
    <x v="259"/>
  </r>
  <r>
    <s v="Egea"/>
    <s v="Fabuel"/>
    <s v="Luis"/>
    <x v="1789"/>
    <x v="486"/>
    <n v="0.26382"/>
    <m/>
    <m/>
    <m/>
    <m/>
    <m/>
    <m/>
    <m/>
    <m/>
    <m/>
    <m/>
    <d v="1958-01-24T00:00:00"/>
    <m/>
    <x v="259"/>
  </r>
  <r>
    <s v="Candel"/>
    <s v="Martinez"/>
    <s v="Juan Francisco"/>
    <x v="1790"/>
    <x v="486"/>
    <n v="1.38001"/>
    <m/>
    <m/>
    <m/>
    <m/>
    <m/>
    <m/>
    <m/>
    <m/>
    <m/>
    <m/>
    <d v="1945-06-03T00:00:00"/>
    <m/>
    <x v="259"/>
  </r>
  <r>
    <s v="Guillen"/>
    <s v="Barrionuevo"/>
    <s v="Sergio Gustavo"/>
    <x v="1791"/>
    <x v="486"/>
    <n v="0.55103999999999997"/>
    <m/>
    <m/>
    <m/>
    <m/>
    <m/>
    <m/>
    <m/>
    <m/>
    <m/>
    <m/>
    <d v="1951-05-18T00:00:00"/>
    <m/>
    <x v="259"/>
  </r>
  <r>
    <s v="Sanlorenzo"/>
    <s v="Alaver"/>
    <s v="Jose"/>
    <x v="1792"/>
    <x v="486"/>
    <n v="4.0280000000000003E-2"/>
    <m/>
    <m/>
    <m/>
    <m/>
    <m/>
    <m/>
    <m/>
    <m/>
    <m/>
    <m/>
    <d v="1943-05-23T00:00:00"/>
    <m/>
    <x v="201"/>
  </r>
  <r>
    <s v="Boronat"/>
    <s v="Rivera"/>
    <s v="Maria"/>
    <x v="1793"/>
    <x v="486"/>
    <n v="6.9989999999999997E-2"/>
    <m/>
    <m/>
    <m/>
    <m/>
    <m/>
    <m/>
    <m/>
    <m/>
    <m/>
    <m/>
    <d v="2006-05-25T00:00:00"/>
    <m/>
    <x v="229"/>
  </r>
  <r>
    <s v="Gallego"/>
    <s v="Fornes"/>
    <s v="Maria del Carmen"/>
    <x v="1794"/>
    <x v="486"/>
    <n v="4.7759999999999997E-2"/>
    <m/>
    <m/>
    <m/>
    <m/>
    <m/>
    <m/>
    <m/>
    <m/>
    <m/>
    <m/>
    <d v="1942-03-11T00:00:00"/>
    <m/>
    <x v="134"/>
  </r>
  <r>
    <s v="Bardisa"/>
    <s v="Fraces"/>
    <s v="Vicente"/>
    <x v="1795"/>
    <x v="486"/>
    <n v="1.1242099999999999"/>
    <m/>
    <m/>
    <m/>
    <m/>
    <m/>
    <m/>
    <m/>
    <m/>
    <m/>
    <m/>
    <d v="1952-03-08T00:00:00"/>
    <m/>
    <x v="307"/>
  </r>
  <r>
    <s v="Romero"/>
    <s v="Segura"/>
    <s v="M Carmen"/>
    <x v="1796"/>
    <x v="487"/>
    <n v="0.11385000000000001"/>
    <m/>
    <m/>
    <m/>
    <m/>
    <m/>
    <m/>
    <m/>
    <m/>
    <m/>
    <m/>
    <d v="1954-08-03T00:00:00"/>
    <m/>
    <x v="293"/>
  </r>
  <r>
    <s v="Gonzalez"/>
    <s v="Garcia"/>
    <s v="Oscar Luis"/>
    <x v="1679"/>
    <x v="487"/>
    <n v="3.8858899999999998"/>
    <m/>
    <m/>
    <m/>
    <m/>
    <m/>
    <m/>
    <m/>
    <m/>
    <m/>
    <m/>
    <d v="1971-05-25T00:00:00"/>
    <m/>
    <x v="259"/>
  </r>
  <r>
    <s v="Agea"/>
    <s v="Dominguez"/>
    <s v="Fuensanta"/>
    <x v="1626"/>
    <x v="487"/>
    <n v="0.33511999999999997"/>
    <m/>
    <m/>
    <m/>
    <m/>
    <m/>
    <m/>
    <m/>
    <m/>
    <m/>
    <m/>
    <d v="1945-09-18T00:00:00"/>
    <m/>
    <x v="259"/>
  </r>
  <r>
    <s v="Duato"/>
    <s v="Vila"/>
    <s v="Francisco"/>
    <x v="1797"/>
    <x v="487"/>
    <n v="0.89083000000000001"/>
    <m/>
    <m/>
    <m/>
    <m/>
    <m/>
    <m/>
    <m/>
    <m/>
    <m/>
    <m/>
    <d v="1946-02-02T00:00:00"/>
    <m/>
    <x v="259"/>
  </r>
  <r>
    <s v="Gutierrez"/>
    <s v="Perez"/>
    <s v="Juan Jose"/>
    <x v="1798"/>
    <x v="487"/>
    <n v="0.28115000000000001"/>
    <m/>
    <m/>
    <m/>
    <m/>
    <m/>
    <m/>
    <m/>
    <m/>
    <m/>
    <m/>
    <d v="1959-12-20T00:00:00"/>
    <m/>
    <x v="259"/>
  </r>
  <r>
    <s v="Pereira"/>
    <s v="da Costa Ginja"/>
    <s v="Maria Alice"/>
    <x v="1799"/>
    <x v="487"/>
    <n v="0.23710999999999999"/>
    <m/>
    <m/>
    <m/>
    <m/>
    <m/>
    <m/>
    <m/>
    <m/>
    <m/>
    <m/>
    <d v="1965-12-30T00:00:00"/>
    <m/>
    <x v="259"/>
  </r>
  <r>
    <s v="Lopez"/>
    <s v="Rodriguez"/>
    <s v="Maria Luz"/>
    <x v="1800"/>
    <x v="487"/>
    <n v="0.39816000000000001"/>
    <m/>
    <m/>
    <m/>
    <m/>
    <m/>
    <m/>
    <m/>
    <m/>
    <m/>
    <m/>
    <d v="1951-05-19T00:00:00"/>
    <m/>
    <x v="259"/>
  </r>
  <r>
    <s v="Plaza"/>
    <s v="Vidal"/>
    <s v="Jose"/>
    <x v="1801"/>
    <x v="487"/>
    <n v="0.158"/>
    <m/>
    <m/>
    <m/>
    <m/>
    <m/>
    <m/>
    <m/>
    <m/>
    <m/>
    <m/>
    <d v="1945-03-19T00:00:00"/>
    <m/>
    <x v="259"/>
  </r>
  <r>
    <s v="Mendez"/>
    <s v="Roca"/>
    <s v="Luisa"/>
    <x v="622"/>
    <x v="487"/>
    <n v="1.2319999999999999E-2"/>
    <m/>
    <m/>
    <m/>
    <m/>
    <m/>
    <m/>
    <m/>
    <m/>
    <m/>
    <m/>
    <d v="1973-10-11T00:00:00"/>
    <m/>
    <x v="298"/>
  </r>
  <r>
    <s v="Martin"/>
    <s v="Requeni"/>
    <s v="Concepcion"/>
    <x v="1802"/>
    <x v="487"/>
    <n v="1.9E-3"/>
    <m/>
    <m/>
    <m/>
    <m/>
    <m/>
    <m/>
    <m/>
    <m/>
    <m/>
    <m/>
    <d v="1961-06-21T00:00:00"/>
    <m/>
    <x v="112"/>
  </r>
  <r>
    <s v="Perez"/>
    <s v="Cerveron"/>
    <s v="Manuel"/>
    <x v="1803"/>
    <x v="487"/>
    <n v="4.6000000000000001E-4"/>
    <m/>
    <m/>
    <m/>
    <m/>
    <m/>
    <m/>
    <m/>
    <m/>
    <m/>
    <m/>
    <d v="1957-12-17T00:00:00"/>
    <m/>
    <x v="112"/>
  </r>
  <r>
    <s v="Pardo"/>
    <s v="Dominguez"/>
    <s v="Gonzalo"/>
    <x v="1804"/>
    <x v="487"/>
    <n v="0.22331000000000001"/>
    <m/>
    <m/>
    <m/>
    <m/>
    <m/>
    <m/>
    <m/>
    <m/>
    <m/>
    <m/>
    <d v="1961-11-20T00:00:00"/>
    <m/>
    <x v="177"/>
  </r>
  <r>
    <s v="Monteagudo"/>
    <s v="Suarez"/>
    <s v="Juan Jose"/>
    <x v="1555"/>
    <x v="487"/>
    <n v="1.14E-3"/>
    <m/>
    <m/>
    <m/>
    <m/>
    <m/>
    <m/>
    <m/>
    <m/>
    <m/>
    <m/>
    <d v="1954-10-21T00:00:00"/>
    <m/>
    <x v="112"/>
  </r>
  <r>
    <s v="Villarejo"/>
    <s v="Nieto"/>
    <s v="Felipa"/>
    <x v="1805"/>
    <x v="487"/>
    <n v="0.16508"/>
    <m/>
    <m/>
    <m/>
    <m/>
    <m/>
    <m/>
    <m/>
    <m/>
    <m/>
    <m/>
    <d v="1937-05-18T00:00:00"/>
    <m/>
    <x v="177"/>
  </r>
  <r>
    <s v="de Rueda"/>
    <s v="Lopez"/>
    <s v="Juan"/>
    <x v="1806"/>
    <x v="488"/>
    <n v="0.71287999999999996"/>
    <m/>
    <m/>
    <m/>
    <m/>
    <m/>
    <m/>
    <m/>
    <m/>
    <m/>
    <m/>
    <d v="1959-05-09T00:00:00"/>
    <m/>
    <x v="259"/>
  </r>
  <r>
    <s v="Forner"/>
    <s v="Flores"/>
    <s v="Maria"/>
    <x v="1664"/>
    <x v="488"/>
    <n v="0.59233000000000002"/>
    <m/>
    <m/>
    <m/>
    <m/>
    <m/>
    <m/>
    <m/>
    <m/>
    <m/>
    <m/>
    <d v="1930-12-11T00:00:00"/>
    <m/>
    <x v="259"/>
  </r>
  <r>
    <s v="Hernandez"/>
    <s v="Martinez"/>
    <s v="Antonio Vte"/>
    <x v="1807"/>
    <x v="488"/>
    <n v="0.54354000000000002"/>
    <m/>
    <m/>
    <m/>
    <m/>
    <m/>
    <m/>
    <m/>
    <m/>
    <m/>
    <m/>
    <d v="1968-07-29T00:00:00"/>
    <m/>
    <x v="259"/>
  </r>
  <r>
    <s v="Camacho"/>
    <s v="Sinisterra"/>
    <s v="Amparo"/>
    <x v="1808"/>
    <x v="488"/>
    <n v="0.40792"/>
    <m/>
    <m/>
    <m/>
    <m/>
    <m/>
    <m/>
    <m/>
    <m/>
    <m/>
    <m/>
    <d v="1956-03-11T00:00:00"/>
    <m/>
    <x v="259"/>
  </r>
  <r>
    <s v="El Aouny"/>
    <m/>
    <s v="Hamid"/>
    <x v="1809"/>
    <x v="488"/>
    <n v="0.19053999999999999"/>
    <m/>
    <m/>
    <m/>
    <m/>
    <m/>
    <m/>
    <m/>
    <m/>
    <m/>
    <m/>
    <d v="1977-01-01T00:00:00"/>
    <m/>
    <x v="259"/>
  </r>
  <r>
    <s v="Martinez"/>
    <s v="Carrera"/>
    <s v="Aroha Pamela"/>
    <x v="1810"/>
    <x v="488"/>
    <n v="0.17247999999999999"/>
    <m/>
    <m/>
    <m/>
    <m/>
    <m/>
    <m/>
    <m/>
    <m/>
    <m/>
    <m/>
    <d v="2004-12-11T00:00:00"/>
    <m/>
    <x v="119"/>
  </r>
  <r>
    <s v="Sanchez"/>
    <s v="Garcia"/>
    <s v="Juana"/>
    <x v="1608"/>
    <x v="488"/>
    <n v="3.0839999999999999E-2"/>
    <m/>
    <m/>
    <m/>
    <m/>
    <m/>
    <m/>
    <m/>
    <m/>
    <m/>
    <m/>
    <d v="1939-01-13T00:00:00"/>
    <m/>
    <x v="180"/>
  </r>
  <r>
    <s v="Mancebo"/>
    <s v="Arnedo"/>
    <s v="Antonio"/>
    <x v="1811"/>
    <x v="488"/>
    <n v="9.5560000000000006E-2"/>
    <m/>
    <m/>
    <m/>
    <m/>
    <m/>
    <m/>
    <m/>
    <m/>
    <m/>
    <m/>
    <d v="1940-12-04T00:00:00"/>
    <m/>
    <x v="211"/>
  </r>
  <r>
    <s v="Santafosa"/>
    <s v="Ibañez"/>
    <s v="Enrique"/>
    <x v="1812"/>
    <x v="489"/>
    <n v="6.0449999999999997E-2"/>
    <m/>
    <m/>
    <m/>
    <m/>
    <m/>
    <m/>
    <m/>
    <m/>
    <m/>
    <m/>
    <d v="1942-11-30T00:00:00"/>
    <m/>
    <x v="293"/>
  </r>
  <r>
    <s v="Galera"/>
    <s v="Navalon"/>
    <s v="Juan Carlos"/>
    <x v="1813"/>
    <x v="489"/>
    <n v="0.24940000000000001"/>
    <m/>
    <m/>
    <m/>
    <m/>
    <m/>
    <m/>
    <m/>
    <m/>
    <m/>
    <m/>
    <d v="1971-08-09T00:00:00"/>
    <m/>
    <x v="259"/>
  </r>
  <r>
    <s v="Vaño"/>
    <s v="Domenech"/>
    <s v="Elvira"/>
    <x v="1814"/>
    <x v="489"/>
    <n v="0.97599000000000002"/>
    <m/>
    <m/>
    <m/>
    <m/>
    <m/>
    <m/>
    <m/>
    <m/>
    <m/>
    <m/>
    <d v="1955-06-26T00:00:00"/>
    <m/>
    <x v="259"/>
  </r>
  <r>
    <s v="Sevov"/>
    <m/>
    <s v="Sevo Dimitrov"/>
    <x v="1815"/>
    <x v="489"/>
    <n v="0.24689"/>
    <m/>
    <m/>
    <m/>
    <m/>
    <m/>
    <m/>
    <m/>
    <m/>
    <m/>
    <m/>
    <d v="1975-01-05T00:00:00"/>
    <m/>
    <x v="259"/>
  </r>
  <r>
    <s v="Rueda"/>
    <s v="Yuste"/>
    <s v="Ricardo"/>
    <x v="1816"/>
    <x v="489"/>
    <n v="7.0069999999999993E-2"/>
    <m/>
    <m/>
    <m/>
    <m/>
    <m/>
    <m/>
    <m/>
    <m/>
    <m/>
    <m/>
    <d v="1950-04-03T00:00:00"/>
    <m/>
    <x v="259"/>
  </r>
  <r>
    <s v="Yordanov"/>
    <m/>
    <s v="Georgi Yordanov"/>
    <x v="1817"/>
    <x v="489"/>
    <n v="0.1026"/>
    <m/>
    <m/>
    <m/>
    <m/>
    <m/>
    <m/>
    <m/>
    <m/>
    <m/>
    <m/>
    <d v="1962-04-09T00:00:00"/>
    <m/>
    <x v="259"/>
  </r>
  <r>
    <s v="Lopez"/>
    <s v="Mucia"/>
    <s v="Isabel"/>
    <x v="1754"/>
    <x v="489"/>
    <n v="0.96140999999999999"/>
    <m/>
    <m/>
    <m/>
    <m/>
    <m/>
    <m/>
    <m/>
    <m/>
    <m/>
    <m/>
    <d v="1940-07-30T00:00:00"/>
    <m/>
    <x v="259"/>
  </r>
  <r>
    <s v="Llimera"/>
    <s v="Serra"/>
    <s v="Maria Jesus"/>
    <x v="1818"/>
    <x v="489"/>
    <n v="0.24990999999999999"/>
    <m/>
    <m/>
    <m/>
    <m/>
    <m/>
    <m/>
    <m/>
    <m/>
    <m/>
    <m/>
    <d v="1934-10-23T00:00:00"/>
    <m/>
    <x v="259"/>
  </r>
  <r>
    <s v="Monterde"/>
    <s v="Saurina"/>
    <s v="Roberto Carlos"/>
    <x v="1819"/>
    <x v="489"/>
    <n v="4.0000000000000002E-4"/>
    <m/>
    <m/>
    <m/>
    <m/>
    <m/>
    <m/>
    <m/>
    <m/>
    <m/>
    <m/>
    <d v="1975-05-13T00:00:00"/>
    <m/>
    <x v="230"/>
  </r>
  <r>
    <s v="Silla"/>
    <s v="Martorell"/>
    <s v="Alexia Niurka"/>
    <x v="1820"/>
    <x v="489"/>
    <n v="6.0999999999999997E-4"/>
    <m/>
    <m/>
    <m/>
    <m/>
    <m/>
    <m/>
    <m/>
    <m/>
    <m/>
    <m/>
    <d v="1985-04-03T00:00:00"/>
    <m/>
    <x v="112"/>
  </r>
  <r>
    <s v="Comendador"/>
    <s v="Lomas"/>
    <s v="Felisa"/>
    <x v="739"/>
    <x v="489"/>
    <n v="6.3460000000000003E-2"/>
    <m/>
    <m/>
    <m/>
    <m/>
    <m/>
    <m/>
    <m/>
    <m/>
    <m/>
    <m/>
    <d v="1964-05-27T00:00:00"/>
    <m/>
    <x v="290"/>
  </r>
  <r>
    <s v="Santafe"/>
    <s v="Galindo"/>
    <s v="Ramiro"/>
    <x v="362"/>
    <x v="489"/>
    <n v="1.7780000000000001E-2"/>
    <m/>
    <m/>
    <m/>
    <m/>
    <m/>
    <m/>
    <m/>
    <m/>
    <m/>
    <m/>
    <d v="1943-08-10T00:00:00"/>
    <m/>
    <x v="50"/>
  </r>
  <r>
    <s v="Martinez"/>
    <s v="Rodriguez"/>
    <s v="Luis Eduardo"/>
    <x v="1821"/>
    <x v="490"/>
    <n v="9.9290000000000003E-2"/>
    <m/>
    <m/>
    <m/>
    <m/>
    <m/>
    <m/>
    <m/>
    <m/>
    <m/>
    <m/>
    <d v="1972-11-28T00:00:00"/>
    <m/>
    <x v="259"/>
  </r>
  <r>
    <s v="Castillo"/>
    <s v="Minguez"/>
    <s v="Manuel Fernando"/>
    <x v="1822"/>
    <x v="490"/>
    <n v="0.86775999999999998"/>
    <m/>
    <m/>
    <m/>
    <m/>
    <m/>
    <m/>
    <m/>
    <m/>
    <m/>
    <m/>
    <d v="1966-11-26T00:00:00"/>
    <m/>
    <x v="259"/>
  </r>
  <r>
    <s v="Lazar"/>
    <m/>
    <s v="Gabriel"/>
    <x v="1823"/>
    <x v="491"/>
    <n v="0.23430999999999999"/>
    <m/>
    <m/>
    <m/>
    <m/>
    <m/>
    <m/>
    <m/>
    <m/>
    <m/>
    <m/>
    <d v="1977-04-06T00:00:00"/>
    <m/>
    <x v="259"/>
  </r>
  <r>
    <s v="Londoño"/>
    <s v="Quiroz"/>
    <s v="Javier de Jesus"/>
    <x v="1824"/>
    <x v="492"/>
    <n v="8.6989999999999998E-2"/>
    <m/>
    <m/>
    <m/>
    <m/>
    <m/>
    <m/>
    <m/>
    <m/>
    <m/>
    <m/>
    <d v="1962-02-12T00:00:00"/>
    <m/>
    <x v="256"/>
  </r>
  <r>
    <s v="Alfaro"/>
    <s v="Saez"/>
    <s v="Juan"/>
    <x v="1825"/>
    <x v="492"/>
    <n v="4.4240000000000002E-2"/>
    <m/>
    <m/>
    <m/>
    <m/>
    <m/>
    <m/>
    <m/>
    <m/>
    <m/>
    <m/>
    <d v="1949-08-02T00:00:00"/>
    <m/>
    <x v="253"/>
  </r>
  <r>
    <s v="Clemente"/>
    <s v="Gento"/>
    <s v="Francisco"/>
    <x v="1826"/>
    <x v="492"/>
    <n v="1.5789999999999998E-2"/>
    <m/>
    <m/>
    <m/>
    <m/>
    <m/>
    <m/>
    <m/>
    <m/>
    <m/>
    <m/>
    <d v="1934-04-15T00:00:00"/>
    <m/>
    <x v="256"/>
  </r>
  <r>
    <s v="Exposito"/>
    <s v="Martin"/>
    <s v="Feliz"/>
    <x v="1827"/>
    <x v="492"/>
    <n v="6.0350000000000001E-2"/>
    <m/>
    <m/>
    <m/>
    <m/>
    <m/>
    <m/>
    <m/>
    <m/>
    <m/>
    <m/>
    <d v="1959-05-11T00:00:00"/>
    <m/>
    <x v="259"/>
  </r>
  <r>
    <s v="Molla"/>
    <s v="Morales"/>
    <s v="Juan Bautista"/>
    <x v="1828"/>
    <x v="492"/>
    <n v="0.30531999999999998"/>
    <m/>
    <m/>
    <m/>
    <m/>
    <m/>
    <m/>
    <m/>
    <m/>
    <m/>
    <m/>
    <d v="1972-02-19T00:00:00"/>
    <m/>
    <x v="259"/>
  </r>
  <r>
    <s v="Moral"/>
    <s v="Godoy"/>
    <s v="Agustin"/>
    <x v="1829"/>
    <x v="492"/>
    <n v="0.62461"/>
    <m/>
    <m/>
    <m/>
    <m/>
    <m/>
    <m/>
    <m/>
    <m/>
    <m/>
    <m/>
    <d v="1963-11-16T00:00:00"/>
    <m/>
    <x v="259"/>
  </r>
  <r>
    <s v="Lahoz"/>
    <s v="San Pedro"/>
    <s v="Roberto"/>
    <x v="1830"/>
    <x v="492"/>
    <n v="0.31151000000000001"/>
    <m/>
    <m/>
    <m/>
    <m/>
    <m/>
    <m/>
    <m/>
    <m/>
    <m/>
    <m/>
    <d v="1940-11-29T00:00:00"/>
    <m/>
    <x v="259"/>
  </r>
  <r>
    <s v="Rubio"/>
    <s v="Villareal"/>
    <s v="Antonio"/>
    <x v="1831"/>
    <x v="492"/>
    <n v="0.59418000000000004"/>
    <m/>
    <m/>
    <m/>
    <m/>
    <m/>
    <m/>
    <m/>
    <m/>
    <m/>
    <m/>
    <d v="1937-04-03T00:00:00"/>
    <m/>
    <x v="259"/>
  </r>
  <r>
    <s v="Guzman"/>
    <s v="Zaragoza"/>
    <s v="Jorge Joaquin"/>
    <x v="1832"/>
    <x v="492"/>
    <n v="1.79033"/>
    <m/>
    <m/>
    <m/>
    <m/>
    <m/>
    <m/>
    <m/>
    <m/>
    <m/>
    <m/>
    <d v="1962-08-26T00:00:00"/>
    <m/>
    <x v="259"/>
  </r>
  <r>
    <s v="Bascuñana"/>
    <s v="Saiz"/>
    <s v="Jose Maria"/>
    <x v="1833"/>
    <x v="492"/>
    <n v="0.10549"/>
    <m/>
    <m/>
    <m/>
    <m/>
    <m/>
    <m/>
    <m/>
    <m/>
    <m/>
    <m/>
    <d v="1951-04-15T00:00:00"/>
    <m/>
    <x v="259"/>
  </r>
  <r>
    <s v="Vila"/>
    <s v="Soria"/>
    <s v="Juan Jose"/>
    <x v="1834"/>
    <x v="492"/>
    <n v="0.52788999999999997"/>
    <m/>
    <m/>
    <m/>
    <m/>
    <m/>
    <m/>
    <m/>
    <m/>
    <m/>
    <m/>
    <d v="1964-04-18T00:00:00"/>
    <m/>
    <x v="259"/>
  </r>
  <r>
    <s v="Martinez"/>
    <s v="Garcia"/>
    <s v="Rafael"/>
    <x v="791"/>
    <x v="492"/>
    <n v="1.1379999999999999E-2"/>
    <m/>
    <m/>
    <m/>
    <m/>
    <m/>
    <m/>
    <m/>
    <m/>
    <m/>
    <m/>
    <d v="1959-03-14T00:00:00"/>
    <m/>
    <x v="130"/>
  </r>
  <r>
    <s v="Gomez"/>
    <s v="Perez"/>
    <s v="Felipe"/>
    <x v="1783"/>
    <x v="492"/>
    <n v="0.30852000000000002"/>
    <m/>
    <m/>
    <m/>
    <m/>
    <m/>
    <m/>
    <m/>
    <m/>
    <m/>
    <m/>
    <d v="1951-06-17T00:00:00"/>
    <m/>
    <x v="126"/>
  </r>
  <r>
    <s v="Plaza"/>
    <s v="Ocaña"/>
    <s v="Maria Jesus"/>
    <x v="1666"/>
    <x v="492"/>
    <n v="0.53878999999999999"/>
    <m/>
    <m/>
    <m/>
    <m/>
    <m/>
    <m/>
    <m/>
    <m/>
    <m/>
    <m/>
    <d v="1959-05-09T00:00:00"/>
    <m/>
    <x v="42"/>
  </r>
  <r>
    <s v="Navarro"/>
    <s v="Valero"/>
    <s v="Emilia"/>
    <x v="1835"/>
    <x v="493"/>
    <n v="0.40759000000000001"/>
    <m/>
    <m/>
    <m/>
    <m/>
    <m/>
    <m/>
    <m/>
    <m/>
    <m/>
    <m/>
    <d v="1957-04-20T00:00:00"/>
    <m/>
    <x v="253"/>
  </r>
  <r>
    <s v="Escolano"/>
    <s v="Gorris"/>
    <s v="Amparo"/>
    <x v="1836"/>
    <x v="493"/>
    <n v="4.546E-2"/>
    <m/>
    <m/>
    <m/>
    <m/>
    <m/>
    <m/>
    <m/>
    <m/>
    <m/>
    <m/>
    <d v="1976-07-17T00:00:00"/>
    <m/>
    <x v="253"/>
  </r>
  <r>
    <s v="Montero"/>
    <s v="Cuellar"/>
    <s v="Percy"/>
    <x v="1299"/>
    <x v="493"/>
    <n v="1.5820000000000001E-2"/>
    <m/>
    <m/>
    <m/>
    <m/>
    <m/>
    <m/>
    <m/>
    <m/>
    <m/>
    <m/>
    <d v="1959-03-03T00:00:00"/>
    <m/>
    <x v="253"/>
  </r>
  <r>
    <s v="Casalta"/>
    <s v="Marti"/>
    <s v="Remedios"/>
    <x v="1837"/>
    <x v="493"/>
    <n v="1.106E-2"/>
    <m/>
    <m/>
    <m/>
    <m/>
    <m/>
    <m/>
    <m/>
    <m/>
    <m/>
    <m/>
    <d v="1961-07-26T00:00:00"/>
    <m/>
    <x v="259"/>
  </r>
  <r>
    <s v="Raga"/>
    <s v="Perez"/>
    <s v="Francisco Jose"/>
    <x v="1838"/>
    <x v="493"/>
    <n v="8.3879999999999996E-2"/>
    <m/>
    <m/>
    <m/>
    <m/>
    <m/>
    <m/>
    <m/>
    <m/>
    <m/>
    <m/>
    <d v="1966-10-13T00:00:00"/>
    <m/>
    <x v="259"/>
  </r>
  <r>
    <s v="del Olmo"/>
    <s v="Garcia"/>
    <s v="Inmaculada"/>
    <x v="1839"/>
    <x v="493"/>
    <n v="0.14818999999999999"/>
    <m/>
    <m/>
    <m/>
    <m/>
    <m/>
    <m/>
    <m/>
    <m/>
    <m/>
    <m/>
    <d v="1975-04-03T00:00:00"/>
    <m/>
    <x v="259"/>
  </r>
  <r>
    <s v="Real"/>
    <s v="Romero"/>
    <s v="Agustin"/>
    <x v="658"/>
    <x v="493"/>
    <n v="5.9080000000000001E-2"/>
    <m/>
    <m/>
    <m/>
    <m/>
    <m/>
    <m/>
    <m/>
    <m/>
    <m/>
    <m/>
    <d v="1960-01-23T00:00:00"/>
    <m/>
    <x v="259"/>
  </r>
  <r>
    <s v="Gonzalez"/>
    <s v="Adrian"/>
    <s v="Martin"/>
    <x v="1840"/>
    <x v="493"/>
    <n v="0.14136000000000001"/>
    <m/>
    <m/>
    <m/>
    <m/>
    <m/>
    <m/>
    <m/>
    <m/>
    <m/>
    <m/>
    <d v="1951-12-18T00:00:00"/>
    <m/>
    <x v="259"/>
  </r>
  <r>
    <s v="Chengzong"/>
    <m/>
    <s v="Zhu"/>
    <x v="1841"/>
    <x v="493"/>
    <n v="0.36125000000000002"/>
    <m/>
    <m/>
    <m/>
    <m/>
    <m/>
    <m/>
    <m/>
    <m/>
    <m/>
    <m/>
    <d v="1960-07-28T00:00:00"/>
    <m/>
    <x v="259"/>
  </r>
  <r>
    <s v="Tort"/>
    <s v="Flores"/>
    <s v="M Luisa"/>
    <x v="1842"/>
    <x v="493"/>
    <n v="2.0366599999999999"/>
    <m/>
    <m/>
    <m/>
    <m/>
    <m/>
    <m/>
    <m/>
    <m/>
    <m/>
    <m/>
    <d v="1941-10-15T00:00:00"/>
    <m/>
    <x v="259"/>
  </r>
  <r>
    <s v="Prieto"/>
    <s v="Bernabe"/>
    <s v="Antonio"/>
    <x v="1633"/>
    <x v="493"/>
    <n v="0.22203999999999999"/>
    <m/>
    <m/>
    <m/>
    <m/>
    <m/>
    <m/>
    <m/>
    <m/>
    <m/>
    <m/>
    <d v="1933-07-18T00:00:00"/>
    <m/>
    <x v="259"/>
  </r>
  <r>
    <s v="Vallterra"/>
    <s v="Musoles"/>
    <s v="M Julia"/>
    <x v="1843"/>
    <x v="493"/>
    <n v="0.92793999999999999"/>
    <m/>
    <m/>
    <m/>
    <m/>
    <m/>
    <m/>
    <m/>
    <m/>
    <m/>
    <m/>
    <d v="1944-05-10T00:00:00"/>
    <m/>
    <x v="308"/>
  </r>
  <r>
    <s v="Gualde"/>
    <s v="Sellens"/>
    <s v="Rafael"/>
    <x v="1844"/>
    <x v="493"/>
    <n v="0.14793000000000001"/>
    <m/>
    <m/>
    <m/>
    <m/>
    <m/>
    <m/>
    <m/>
    <m/>
    <m/>
    <m/>
    <d v="1965-11-05T00:00:00"/>
    <m/>
    <x v="126"/>
  </r>
  <r>
    <s v="Roca"/>
    <s v="Llopis"/>
    <s v="Pedro"/>
    <x v="1845"/>
    <x v="493"/>
    <n v="0.82660999999999996"/>
    <m/>
    <m/>
    <m/>
    <m/>
    <m/>
    <m/>
    <m/>
    <m/>
    <m/>
    <m/>
    <d v="1957-11-17T00:00:00"/>
    <m/>
    <x v="42"/>
  </r>
  <r>
    <s v="Miguel"/>
    <s v="Fernandez"/>
    <s v="Agustin"/>
    <x v="1846"/>
    <x v="493"/>
    <n v="2.2669999999999999E-2"/>
    <m/>
    <m/>
    <m/>
    <m/>
    <m/>
    <m/>
    <m/>
    <m/>
    <m/>
    <m/>
    <d v="1944-05-11T00:00:00"/>
    <m/>
    <x v="167"/>
  </r>
  <r>
    <s v="Falaguera"/>
    <s v="Herraiz"/>
    <s v="Salvador Vicente"/>
    <x v="1847"/>
    <x v="493"/>
    <n v="6.9599999999999995E-2"/>
    <m/>
    <m/>
    <m/>
    <m/>
    <m/>
    <m/>
    <m/>
    <m/>
    <m/>
    <m/>
    <d v="1955-11-02T00:00:00"/>
    <m/>
    <x v="107"/>
  </r>
  <r>
    <s v="Rizo"/>
    <s v="Valero"/>
    <s v="Alfredo Elias"/>
    <x v="1848"/>
    <x v="494"/>
    <n v="2.8340000000000001E-2"/>
    <m/>
    <m/>
    <m/>
    <m/>
    <m/>
    <m/>
    <m/>
    <m/>
    <m/>
    <m/>
    <d v="1963-06-17T00:00:00"/>
    <m/>
    <x v="293"/>
  </r>
  <r>
    <s v="Estors"/>
    <s v="Guillot"/>
    <s v="Vicente"/>
    <x v="1849"/>
    <x v="494"/>
    <n v="1.214E-2"/>
    <m/>
    <m/>
    <m/>
    <m/>
    <m/>
    <m/>
    <m/>
    <m/>
    <m/>
    <m/>
    <d v="1944-09-16T00:00:00"/>
    <m/>
    <x v="253"/>
  </r>
  <r>
    <s v="Sanchez"/>
    <s v="Parra"/>
    <s v="Antonio Francisco"/>
    <x v="1850"/>
    <x v="494"/>
    <n v="0.11698"/>
    <m/>
    <m/>
    <m/>
    <m/>
    <m/>
    <m/>
    <m/>
    <m/>
    <m/>
    <m/>
    <d v="1966-05-14T00:00:00"/>
    <m/>
    <x v="259"/>
  </r>
  <r>
    <s v="Consuegra"/>
    <s v="Garcia"/>
    <s v="Antonia"/>
    <x v="1851"/>
    <x v="494"/>
    <n v="0.27338000000000001"/>
    <m/>
    <m/>
    <m/>
    <m/>
    <m/>
    <m/>
    <m/>
    <m/>
    <m/>
    <m/>
    <d v="1959-05-18T00:00:00"/>
    <m/>
    <x v="259"/>
  </r>
  <r>
    <s v="Molina"/>
    <s v="Ramirez"/>
    <s v="Paz"/>
    <x v="1852"/>
    <x v="494"/>
    <n v="6.5960000000000005E-2"/>
    <m/>
    <m/>
    <m/>
    <m/>
    <m/>
    <m/>
    <m/>
    <m/>
    <m/>
    <m/>
    <d v="1943-01-25T00:00:00"/>
    <m/>
    <x v="259"/>
  </r>
  <r>
    <s v="Ballester"/>
    <s v="Alonso"/>
    <s v="Francisco Ramon"/>
    <x v="1853"/>
    <x v="494"/>
    <n v="7.4579999999999994E-2"/>
    <m/>
    <m/>
    <m/>
    <m/>
    <m/>
    <m/>
    <m/>
    <m/>
    <m/>
    <m/>
    <d v="1966-04-19T00:00:00"/>
    <m/>
    <x v="259"/>
  </r>
  <r>
    <s v="Lopez"/>
    <s v="Ruiz"/>
    <s v="Juan Jose"/>
    <x v="1854"/>
    <x v="494"/>
    <n v="1.06938"/>
    <m/>
    <m/>
    <m/>
    <m/>
    <m/>
    <m/>
    <m/>
    <m/>
    <m/>
    <m/>
    <d v="1958-04-01T00:00:00"/>
    <m/>
    <x v="259"/>
  </r>
  <r>
    <s v="Navarro"/>
    <s v="Marco"/>
    <s v="Antonio"/>
    <x v="1490"/>
    <x v="494"/>
    <n v="0.37731999999999999"/>
    <m/>
    <m/>
    <m/>
    <m/>
    <m/>
    <m/>
    <m/>
    <m/>
    <m/>
    <m/>
    <d v="1963-01-17T00:00:00"/>
    <m/>
    <x v="259"/>
  </r>
  <r>
    <s v="Guendoul"/>
    <m/>
    <s v="Laid"/>
    <x v="1855"/>
    <x v="494"/>
    <n v="0.22017999999999999"/>
    <m/>
    <m/>
    <m/>
    <m/>
    <m/>
    <m/>
    <m/>
    <m/>
    <m/>
    <m/>
    <d v="1967-01-01T00:00:00"/>
    <m/>
    <x v="259"/>
  </r>
  <r>
    <s v="Pelayo"/>
    <s v="Machancoses"/>
    <s v="Francisco J"/>
    <x v="1856"/>
    <x v="494"/>
    <n v="0.18953999999999999"/>
    <m/>
    <m/>
    <m/>
    <m/>
    <m/>
    <m/>
    <m/>
    <m/>
    <m/>
    <m/>
    <d v="1953-12-26T00:00:00"/>
    <m/>
    <x v="259"/>
  </r>
  <r>
    <s v="Sevilla"/>
    <s v="Illana"/>
    <s v="Angel"/>
    <x v="765"/>
    <x v="494"/>
    <n v="3.2419999999999997E-2"/>
    <m/>
    <m/>
    <m/>
    <m/>
    <m/>
    <m/>
    <m/>
    <m/>
    <m/>
    <m/>
    <d v="1945-10-02T00:00:00"/>
    <m/>
    <x v="130"/>
  </r>
  <r>
    <s v="Gualde"/>
    <s v="Sellens"/>
    <s v="Rafael"/>
    <x v="1844"/>
    <x v="494"/>
    <n v="5.3120000000000001E-2"/>
    <m/>
    <m/>
    <m/>
    <m/>
    <m/>
    <m/>
    <m/>
    <m/>
    <m/>
    <m/>
    <d v="1965-11-05T00:00:00"/>
    <m/>
    <x v="126"/>
  </r>
  <r>
    <s v="Molins"/>
    <s v="Pastor"/>
    <s v="Dolores M"/>
    <x v="1857"/>
    <x v="494"/>
    <n v="6.6E-4"/>
    <m/>
    <m/>
    <m/>
    <m/>
    <m/>
    <m/>
    <m/>
    <m/>
    <m/>
    <m/>
    <d v="1970-02-11T00:00:00"/>
    <m/>
    <x v="112"/>
  </r>
  <r>
    <s v="Peris"/>
    <s v="Climent"/>
    <s v="Jose"/>
    <x v="1858"/>
    <x v="494"/>
    <n v="8.4100000000000008E-3"/>
    <m/>
    <m/>
    <m/>
    <m/>
    <m/>
    <m/>
    <m/>
    <m/>
    <m/>
    <m/>
    <d v="1951-09-17T00:00:00"/>
    <m/>
    <x v="107"/>
  </r>
  <r>
    <s v="Romero"/>
    <s v="Mayor"/>
    <s v="Joaquin"/>
    <x v="1859"/>
    <x v="494"/>
    <n v="1.225E-2"/>
    <m/>
    <m/>
    <m/>
    <m/>
    <m/>
    <m/>
    <m/>
    <m/>
    <m/>
    <m/>
    <d v="1985-01-02T00:00:00"/>
    <m/>
    <x v="107"/>
  </r>
  <r>
    <s v="Piña"/>
    <s v="Cardona"/>
    <s v="Empar"/>
    <x v="1860"/>
    <x v="495"/>
    <n v="3.7100000000000002E-3"/>
    <m/>
    <m/>
    <m/>
    <m/>
    <m/>
    <m/>
    <m/>
    <m/>
    <m/>
    <m/>
    <d v="2010-04-04T00:00:00"/>
    <m/>
    <x v="293"/>
  </r>
  <r>
    <s v="Nicolau"/>
    <s v="Greses"/>
    <s v="Jose"/>
    <x v="1861"/>
    <x v="495"/>
    <n v="2.6720000000000001E-2"/>
    <m/>
    <m/>
    <m/>
    <m/>
    <m/>
    <m/>
    <m/>
    <m/>
    <m/>
    <m/>
    <d v="1952-03-01T00:00:00"/>
    <m/>
    <x v="284"/>
  </r>
  <r>
    <s v="Egea"/>
    <s v="Fabuel"/>
    <s v="Luis"/>
    <x v="1789"/>
    <x v="495"/>
    <n v="2.9409999999999999E-2"/>
    <m/>
    <m/>
    <m/>
    <m/>
    <m/>
    <m/>
    <m/>
    <m/>
    <m/>
    <m/>
    <d v="1958-01-24T00:00:00"/>
    <m/>
    <x v="284"/>
  </r>
  <r>
    <s v="Vergara"/>
    <s v="Palau"/>
    <s v="Concepcion"/>
    <x v="1862"/>
    <x v="495"/>
    <n v="0.44291000000000003"/>
    <m/>
    <m/>
    <m/>
    <m/>
    <m/>
    <m/>
    <m/>
    <m/>
    <m/>
    <m/>
    <d v="1941-09-25T00:00:00"/>
    <m/>
    <x v="259"/>
  </r>
  <r>
    <s v="Gamon"/>
    <s v="Ortega"/>
    <s v="Antonio Jose"/>
    <x v="1863"/>
    <x v="495"/>
    <n v="1.6746000000000001"/>
    <m/>
    <m/>
    <m/>
    <m/>
    <m/>
    <m/>
    <m/>
    <m/>
    <m/>
    <m/>
    <d v="1962-12-03T00:00:00"/>
    <m/>
    <x v="259"/>
  </r>
  <r>
    <s v="Lopez"/>
    <s v="Saez"/>
    <s v="Rosa Maria"/>
    <x v="1864"/>
    <x v="495"/>
    <n v="7.7609999999999998E-2"/>
    <m/>
    <m/>
    <m/>
    <m/>
    <m/>
    <m/>
    <m/>
    <m/>
    <m/>
    <m/>
    <d v="1963-06-12T00:00:00"/>
    <m/>
    <x v="259"/>
  </r>
  <r>
    <s v="Lozano"/>
    <s v="Defez"/>
    <s v="Felipe"/>
    <x v="1865"/>
    <x v="495"/>
    <n v="0.40337000000000001"/>
    <m/>
    <m/>
    <m/>
    <m/>
    <m/>
    <m/>
    <m/>
    <m/>
    <m/>
    <m/>
    <d v="1935-07-21T00:00:00"/>
    <m/>
    <x v="259"/>
  </r>
  <r>
    <s v="Gualde"/>
    <s v="Sellens"/>
    <s v="Rafael"/>
    <x v="1844"/>
    <x v="495"/>
    <n v="1.4829999999999999E-2"/>
    <m/>
    <m/>
    <m/>
    <m/>
    <m/>
    <m/>
    <m/>
    <m/>
    <m/>
    <m/>
    <d v="1965-11-05T00:00:00"/>
    <m/>
    <x v="126"/>
  </r>
  <r>
    <s v="Francisco"/>
    <s v="de Cordero"/>
    <s v="M Teresa"/>
    <x v="1866"/>
    <x v="495"/>
    <n v="4.4400000000000004E-3"/>
    <m/>
    <m/>
    <m/>
    <m/>
    <m/>
    <m/>
    <m/>
    <m/>
    <m/>
    <m/>
    <d v="1949-11-19T00:00:00"/>
    <m/>
    <x v="264"/>
  </r>
  <r>
    <s v="Araya"/>
    <s v="Alarcon"/>
    <s v="Eladia de la Cruz"/>
    <x v="822"/>
    <x v="495"/>
    <n v="1.6979999999999999E-2"/>
    <m/>
    <m/>
    <m/>
    <m/>
    <m/>
    <m/>
    <m/>
    <m/>
    <m/>
    <m/>
    <d v="1949-11-25T00:00:00"/>
    <m/>
    <x v="107"/>
  </r>
  <r>
    <s v="Solaz"/>
    <s v="Jimenez"/>
    <s v="Isabel"/>
    <x v="1867"/>
    <x v="495"/>
    <n v="3.0999999999999999E-3"/>
    <m/>
    <m/>
    <m/>
    <m/>
    <m/>
    <m/>
    <m/>
    <m/>
    <m/>
    <m/>
    <d v="1956-03-30T00:00:00"/>
    <m/>
    <x v="111"/>
  </r>
  <r>
    <s v="Ibar"/>
    <s v="Franco"/>
    <s v="Encarnacion"/>
    <x v="1104"/>
    <x v="496"/>
    <n v="4.8399999999999997E-3"/>
    <m/>
    <m/>
    <m/>
    <m/>
    <m/>
    <m/>
    <m/>
    <m/>
    <m/>
    <m/>
    <d v="1963-04-19T00:00:00"/>
    <m/>
    <x v="167"/>
  </r>
  <r>
    <s v="Gualde"/>
    <s v="Sellens"/>
    <s v="Rafael"/>
    <x v="1844"/>
    <x v="496"/>
    <n v="0.15923999999999999"/>
    <m/>
    <m/>
    <m/>
    <m/>
    <m/>
    <m/>
    <m/>
    <m/>
    <m/>
    <m/>
    <d v="1965-11-05T00:00:00"/>
    <m/>
    <x v="130"/>
  </r>
  <r>
    <s v="Irurzun"/>
    <s v="Lopez"/>
    <s v="Francisco Javier"/>
    <x v="1868"/>
    <x v="496"/>
    <n v="3.1700000000000001E-3"/>
    <m/>
    <m/>
    <m/>
    <m/>
    <m/>
    <m/>
    <m/>
    <m/>
    <m/>
    <m/>
    <d v="1970-05-28T00:00:00"/>
    <m/>
    <x v="134"/>
  </r>
  <r>
    <s v="Carmona"/>
    <s v="Sanchez"/>
    <s v="Vicente Antonio"/>
    <x v="1869"/>
    <x v="496"/>
    <n v="6.9999999999999999E-4"/>
    <m/>
    <m/>
    <m/>
    <m/>
    <m/>
    <m/>
    <m/>
    <m/>
    <m/>
    <m/>
    <d v="1970-06-03T00:00:00"/>
    <m/>
    <x v="107"/>
  </r>
  <r>
    <s v="Esteban"/>
    <s v="Selva"/>
    <s v="Encarnacion Maria"/>
    <x v="1870"/>
    <x v="496"/>
    <n v="3.2219999999999999E-2"/>
    <m/>
    <m/>
    <m/>
    <m/>
    <m/>
    <m/>
    <m/>
    <m/>
    <m/>
    <m/>
    <d v="1971-08-17T00:00:00"/>
    <m/>
    <x v="167"/>
  </r>
  <r>
    <s v="Giner"/>
    <s v="Sanchis"/>
    <s v="Mari Carmen"/>
    <x v="1871"/>
    <x v="496"/>
    <n v="0.12628"/>
    <m/>
    <m/>
    <m/>
    <m/>
    <m/>
    <m/>
    <m/>
    <m/>
    <m/>
    <m/>
    <d v="1962-11-08T00:00:00"/>
    <m/>
    <x v="114"/>
  </r>
  <r>
    <s v="Izquierdo"/>
    <s v="Mulet"/>
    <s v="Jose"/>
    <x v="1872"/>
    <x v="496"/>
    <s v="XA_04"/>
    <m/>
    <m/>
    <m/>
    <m/>
    <m/>
    <m/>
    <m/>
    <m/>
    <m/>
    <m/>
    <d v="1938-01-11T00:00:00"/>
    <m/>
    <x v="259"/>
  </r>
  <r>
    <s v="Herbosa"/>
    <s v="Gonzalez"/>
    <s v="Joaquin"/>
    <x v="1873"/>
    <x v="496"/>
    <n v="0.42914999999999998"/>
    <m/>
    <m/>
    <m/>
    <m/>
    <m/>
    <m/>
    <m/>
    <m/>
    <m/>
    <m/>
    <d v="1955-05-24T00:00:00"/>
    <m/>
    <x v="259"/>
  </r>
  <r>
    <s v="Requena"/>
    <s v="Centellas"/>
    <s v="Ascension"/>
    <x v="495"/>
    <x v="496"/>
    <n v="0.10299"/>
    <m/>
    <m/>
    <m/>
    <m/>
    <m/>
    <m/>
    <m/>
    <m/>
    <m/>
    <m/>
    <d v="1946-05-30T00:00:00"/>
    <m/>
    <x v="259"/>
  </r>
  <r>
    <s v="Montull"/>
    <s v="Aguaron"/>
    <s v="Francisco Javier"/>
    <x v="1874"/>
    <x v="496"/>
    <n v="0.17942"/>
    <m/>
    <m/>
    <m/>
    <m/>
    <m/>
    <m/>
    <m/>
    <m/>
    <m/>
    <m/>
    <d v="1946-09-07T00:00:00"/>
    <m/>
    <x v="259"/>
  </r>
  <r>
    <s v="Osorio"/>
    <s v="Parra"/>
    <s v="Carlos Hector"/>
    <x v="1875"/>
    <x v="496"/>
    <n v="0.11305999999999999"/>
    <m/>
    <m/>
    <m/>
    <m/>
    <m/>
    <m/>
    <m/>
    <m/>
    <m/>
    <m/>
    <d v="1965-03-01T00:00:00"/>
    <m/>
    <x v="259"/>
  </r>
  <r>
    <s v="Selma"/>
    <s v="Costa"/>
    <s v="Pelegrin Antoni"/>
    <x v="1876"/>
    <x v="496"/>
    <n v="0.21471999999999999"/>
    <m/>
    <m/>
    <m/>
    <m/>
    <m/>
    <m/>
    <m/>
    <m/>
    <m/>
    <m/>
    <d v="1961-07-19T00:00:00"/>
    <m/>
    <x v="259"/>
  </r>
  <r>
    <s v="Gonzalez"/>
    <s v="Adrian"/>
    <s v="Martin"/>
    <x v="1840"/>
    <x v="496"/>
    <n v="0.11037"/>
    <m/>
    <m/>
    <m/>
    <m/>
    <m/>
    <m/>
    <m/>
    <m/>
    <m/>
    <m/>
    <d v="1951-12-18T00:00:00"/>
    <m/>
    <x v="284"/>
  </r>
  <r>
    <s v="Galindo"/>
    <s v="Blasco"/>
    <s v="Milagros"/>
    <x v="1877"/>
    <x v="496"/>
    <n v="1.3699999999999999E-3"/>
    <m/>
    <m/>
    <m/>
    <m/>
    <m/>
    <m/>
    <m/>
    <m/>
    <m/>
    <m/>
    <d v="1925-07-11T00:00:00"/>
    <m/>
    <x v="284"/>
  </r>
  <r>
    <s v="Winbolt"/>
    <m/>
    <s v="Leonard Sunley"/>
    <x v="1878"/>
    <x v="497"/>
    <n v="1.19641"/>
    <m/>
    <m/>
    <m/>
    <m/>
    <m/>
    <m/>
    <m/>
    <m/>
    <m/>
    <m/>
    <d v="1940-10-22T00:00:00"/>
    <m/>
    <x v="259"/>
  </r>
  <r>
    <s v="Montero"/>
    <s v="Cobo de Guzman"/>
    <s v="Alvaro"/>
    <x v="1879"/>
    <x v="498"/>
    <n v="8.3820000000000006E-2"/>
    <m/>
    <m/>
    <m/>
    <m/>
    <m/>
    <m/>
    <m/>
    <m/>
    <m/>
    <m/>
    <d v="1986-12-30T00:00:00"/>
    <m/>
    <x v="259"/>
  </r>
  <r>
    <s v="Lopez"/>
    <s v="Doval"/>
    <s v="Jose Manuel"/>
    <x v="1880"/>
    <x v="498"/>
    <n v="0.15229999999999999"/>
    <m/>
    <m/>
    <m/>
    <m/>
    <m/>
    <m/>
    <m/>
    <m/>
    <m/>
    <m/>
    <d v="1970-05-14T00:00:00"/>
    <m/>
    <x v="259"/>
  </r>
  <r>
    <s v="Santamaria"/>
    <s v="Antonio"/>
    <s v="Jose Manuel"/>
    <x v="1881"/>
    <x v="498"/>
    <n v="0.11280999999999999"/>
    <m/>
    <m/>
    <m/>
    <m/>
    <m/>
    <m/>
    <m/>
    <m/>
    <m/>
    <m/>
    <d v="1958-11-01T00:00:00"/>
    <m/>
    <x v="259"/>
  </r>
  <r>
    <s v="Montero"/>
    <s v="Cobo de Guzman"/>
    <s v="Alvaro"/>
    <x v="1879"/>
    <x v="498"/>
    <n v="0.28277999999999998"/>
    <m/>
    <m/>
    <m/>
    <m/>
    <m/>
    <m/>
    <m/>
    <m/>
    <m/>
    <m/>
    <d v="1986-12-30T00:00:00"/>
    <m/>
    <x v="259"/>
  </r>
  <r>
    <s v="Cervera"/>
    <s v="Cadalas"/>
    <s v="Carlos"/>
    <x v="1882"/>
    <x v="499"/>
    <n v="0.6421"/>
    <m/>
    <m/>
    <m/>
    <m/>
    <m/>
    <m/>
    <m/>
    <m/>
    <m/>
    <m/>
    <d v="1955-12-21T00:00:00"/>
    <m/>
    <x v="126"/>
  </r>
  <r>
    <s v="Ibañez"/>
    <s v="Calleja"/>
    <s v="M Carmen"/>
    <x v="1883"/>
    <x v="499"/>
    <n v="2.4399999999999999E-3"/>
    <m/>
    <m/>
    <m/>
    <m/>
    <m/>
    <m/>
    <m/>
    <m/>
    <m/>
    <m/>
    <d v="1952-04-12T00:00:00"/>
    <m/>
    <x v="111"/>
  </r>
  <r>
    <s v="Ombuena"/>
    <s v="Segarra"/>
    <s v="Francisco"/>
    <x v="1350"/>
    <x v="499"/>
    <n v="0.20788999999999999"/>
    <m/>
    <m/>
    <m/>
    <m/>
    <m/>
    <m/>
    <m/>
    <m/>
    <m/>
    <m/>
    <d v="1946-02-21T00:00:00"/>
    <m/>
    <x v="213"/>
  </r>
  <r>
    <s v="Villar"/>
    <s v="Pastor"/>
    <s v="Teresa"/>
    <x v="1884"/>
    <x v="499"/>
    <n v="7.306E-2"/>
    <m/>
    <m/>
    <m/>
    <m/>
    <m/>
    <m/>
    <m/>
    <m/>
    <m/>
    <m/>
    <d v="1968-08-18T00:00:00"/>
    <m/>
    <x v="119"/>
  </r>
  <r>
    <s v="Puchades"/>
    <s v="Dolz"/>
    <s v="Sergio"/>
    <x v="1885"/>
    <x v="499"/>
    <n v="0.17552999999999999"/>
    <m/>
    <m/>
    <m/>
    <m/>
    <m/>
    <m/>
    <m/>
    <m/>
    <m/>
    <m/>
    <d v="1978-06-15T00:00:00"/>
    <m/>
    <x v="150"/>
  </r>
  <r>
    <s v="Contelles"/>
    <s v="Pons"/>
    <s v="Juan"/>
    <x v="1886"/>
    <x v="499"/>
    <s v="XA_04"/>
    <m/>
    <m/>
    <m/>
    <m/>
    <m/>
    <m/>
    <m/>
    <m/>
    <m/>
    <m/>
    <d v="1933-12-04T00:00:00"/>
    <m/>
    <x v="259"/>
  </r>
  <r>
    <s v="Ramirez"/>
    <s v="Ruescas"/>
    <s v="Jose Enrique"/>
    <x v="1887"/>
    <x v="499"/>
    <n v="9.0740000000000001E-2"/>
    <m/>
    <m/>
    <m/>
    <m/>
    <m/>
    <m/>
    <m/>
    <m/>
    <m/>
    <m/>
    <d v="1948-08-10T00:00:00"/>
    <m/>
    <x v="259"/>
  </r>
  <r>
    <s v="Gil"/>
    <s v="Willemsz"/>
    <s v="Vicente"/>
    <x v="1888"/>
    <x v="499"/>
    <n v="0.76102000000000003"/>
    <m/>
    <m/>
    <m/>
    <m/>
    <m/>
    <m/>
    <m/>
    <m/>
    <m/>
    <m/>
    <d v="1966-12-21T00:00:00"/>
    <m/>
    <x v="259"/>
  </r>
  <r>
    <s v="Minguez"/>
    <s v="Sayas"/>
    <s v="Jose"/>
    <x v="1889"/>
    <x v="499"/>
    <s v="XA_05"/>
    <m/>
    <m/>
    <m/>
    <m/>
    <m/>
    <m/>
    <m/>
    <m/>
    <m/>
    <m/>
    <d v="1948-04-14T00:00:00"/>
    <m/>
    <x v="259"/>
  </r>
  <r>
    <s v="Rodriguez"/>
    <s v="Gomez"/>
    <s v="Federico"/>
    <x v="1890"/>
    <x v="499"/>
    <n v="0.52683999999999997"/>
    <m/>
    <m/>
    <m/>
    <m/>
    <m/>
    <m/>
    <m/>
    <m/>
    <m/>
    <m/>
    <d v="1968-11-11T00:00:00"/>
    <m/>
    <x v="259"/>
  </r>
  <r>
    <s v="Gimeno"/>
    <s v="Puchal"/>
    <s v="Manuel"/>
    <x v="1891"/>
    <x v="499"/>
    <n v="0.23072000000000001"/>
    <m/>
    <m/>
    <m/>
    <m/>
    <m/>
    <m/>
    <m/>
    <m/>
    <m/>
    <m/>
    <d v="1946-09-11T00:00:00"/>
    <m/>
    <x v="259"/>
  </r>
  <r>
    <s v="Arnau"/>
    <s v="Marco"/>
    <s v="Maria Carmen"/>
    <x v="1892"/>
    <x v="499"/>
    <n v="9.196E-2"/>
    <m/>
    <m/>
    <m/>
    <m/>
    <m/>
    <m/>
    <m/>
    <m/>
    <m/>
    <m/>
    <d v="1959-03-24T00:00:00"/>
    <m/>
    <x v="259"/>
  </r>
  <r>
    <s v="Lozano"/>
    <s v="Lozano"/>
    <s v="Juan"/>
    <x v="1893"/>
    <x v="499"/>
    <n v="0.61324999999999996"/>
    <m/>
    <m/>
    <m/>
    <m/>
    <m/>
    <m/>
    <m/>
    <m/>
    <m/>
    <m/>
    <d v="2029-07-04T00:00:00"/>
    <m/>
    <x v="259"/>
  </r>
  <r>
    <s v="Campos"/>
    <s v="Bermejo"/>
    <s v="Jose"/>
    <x v="1894"/>
    <x v="499"/>
    <n v="0.17166000000000001"/>
    <m/>
    <m/>
    <m/>
    <m/>
    <m/>
    <m/>
    <m/>
    <m/>
    <m/>
    <m/>
    <d v="1952-07-29T00:00:00"/>
    <m/>
    <x v="259"/>
  </r>
  <r>
    <s v="Pelayo"/>
    <s v="Machancoses"/>
    <s v="Francisco J"/>
    <x v="1856"/>
    <x v="499"/>
    <n v="0.29550999999999999"/>
    <m/>
    <m/>
    <m/>
    <m/>
    <m/>
    <m/>
    <m/>
    <m/>
    <m/>
    <m/>
    <d v="1953-12-26T00:00:00"/>
    <m/>
    <x v="259"/>
  </r>
  <r>
    <s v="Gregori"/>
    <s v="Ramon"/>
    <s v="Vicenta"/>
    <x v="1895"/>
    <x v="499"/>
    <n v="7.2199999999999999E-3"/>
    <m/>
    <m/>
    <m/>
    <m/>
    <m/>
    <m/>
    <m/>
    <m/>
    <m/>
    <m/>
    <d v="1936-07-27T00:00:00"/>
    <m/>
    <x v="284"/>
  </r>
  <r>
    <s v="Verduga"/>
    <s v="Salazar"/>
    <s v="Mayra Cristina"/>
    <x v="1896"/>
    <x v="500"/>
    <n v="4.861E-2"/>
    <m/>
    <m/>
    <m/>
    <m/>
    <m/>
    <m/>
    <m/>
    <m/>
    <m/>
    <m/>
    <d v="1987-08-04T00:00:00"/>
    <m/>
    <x v="114"/>
  </r>
  <r>
    <s v="Martinez"/>
    <s v="Orea"/>
    <s v="Alejandro"/>
    <x v="1897"/>
    <x v="500"/>
    <n v="5.1429999999999997E-2"/>
    <m/>
    <m/>
    <m/>
    <m/>
    <m/>
    <m/>
    <m/>
    <m/>
    <m/>
    <m/>
    <d v="1958-02-26T00:00:00"/>
    <m/>
    <x v="309"/>
  </r>
  <r>
    <s v="Benito"/>
    <s v="Ballester"/>
    <s v="Jose"/>
    <x v="1898"/>
    <x v="500"/>
    <n v="0.30570000000000003"/>
    <m/>
    <m/>
    <m/>
    <m/>
    <m/>
    <m/>
    <m/>
    <m/>
    <m/>
    <m/>
    <d v="1940-02-18T00:00:00"/>
    <m/>
    <x v="1"/>
  </r>
  <r>
    <s v="Cascales"/>
    <s v="Peñafiel"/>
    <s v="Antonio"/>
    <x v="1899"/>
    <x v="500"/>
    <n v="1.2082599999999999"/>
    <m/>
    <m/>
    <m/>
    <m/>
    <m/>
    <m/>
    <m/>
    <m/>
    <m/>
    <m/>
    <d v="1955-11-12T00:00:00"/>
    <m/>
    <x v="1"/>
  </r>
  <r>
    <s v="Llacer"/>
    <s v="Llacer"/>
    <s v="Alberto"/>
    <x v="1900"/>
    <x v="500"/>
    <n v="0.65347"/>
    <m/>
    <m/>
    <m/>
    <m/>
    <m/>
    <m/>
    <m/>
    <m/>
    <m/>
    <m/>
    <d v="1941-04-26T00:00:00"/>
    <m/>
    <x v="259"/>
  </r>
  <r>
    <s v="Liebana"/>
    <s v="Vencesla"/>
    <s v="Juana"/>
    <x v="1901"/>
    <x v="500"/>
    <n v="0.11382"/>
    <m/>
    <m/>
    <m/>
    <m/>
    <m/>
    <m/>
    <m/>
    <m/>
    <m/>
    <m/>
    <d v="1955-05-08T00:00:00"/>
    <m/>
    <x v="259"/>
  </r>
  <r>
    <s v="Raga"/>
    <s v="Chardi"/>
    <s v="Francisca"/>
    <x v="1902"/>
    <x v="500"/>
    <n v="4.6100000000000002E-2"/>
    <m/>
    <m/>
    <m/>
    <m/>
    <m/>
    <m/>
    <m/>
    <m/>
    <m/>
    <m/>
    <d v="1940-03-07T00:00:00"/>
    <m/>
    <x v="259"/>
  </r>
  <r>
    <s v="Gil"/>
    <s v="Diez"/>
    <s v="Vicente Antonio"/>
    <x v="1156"/>
    <x v="500"/>
    <n v="5.2109999999999997E-2"/>
    <m/>
    <m/>
    <m/>
    <m/>
    <m/>
    <m/>
    <m/>
    <m/>
    <m/>
    <m/>
    <d v="1965-11-03T00:00:00"/>
    <m/>
    <x v="259"/>
  </r>
  <r>
    <s v="Ortiz"/>
    <s v="Jacinto"/>
    <s v="Alejandro"/>
    <x v="1903"/>
    <x v="500"/>
    <n v="0.50146000000000002"/>
    <m/>
    <m/>
    <m/>
    <m/>
    <m/>
    <m/>
    <m/>
    <m/>
    <m/>
    <m/>
    <d v="1987-02-24T00:00:00"/>
    <m/>
    <x v="259"/>
  </r>
  <r>
    <s v="Gurrea"/>
    <s v="Anton"/>
    <s v="Francisco Cayetano"/>
    <x v="1904"/>
    <x v="500"/>
    <n v="0.15375"/>
    <m/>
    <m/>
    <m/>
    <m/>
    <m/>
    <m/>
    <m/>
    <m/>
    <m/>
    <m/>
    <d v="1949-11-05T00:00:00"/>
    <m/>
    <x v="259"/>
  </r>
  <r>
    <s v="Cabo"/>
    <s v="Perez"/>
    <s v="Jorge Angel"/>
    <x v="1905"/>
    <x v="500"/>
    <n v="0.34459000000000001"/>
    <m/>
    <m/>
    <m/>
    <m/>
    <m/>
    <m/>
    <m/>
    <m/>
    <m/>
    <m/>
    <d v="1964-04-17T00:00:00"/>
    <m/>
    <x v="259"/>
  </r>
  <r>
    <s v="Gutierrez"/>
    <s v="Perez"/>
    <s v="Yvonne"/>
    <x v="1906"/>
    <x v="500"/>
    <n v="0.11994"/>
    <m/>
    <m/>
    <m/>
    <m/>
    <m/>
    <m/>
    <m/>
    <m/>
    <m/>
    <m/>
    <d v="1963-05-14T00:00:00"/>
    <m/>
    <x v="259"/>
  </r>
  <r>
    <s v="Gimeno"/>
    <s v="Navarro"/>
    <s v="Ramon"/>
    <x v="1907"/>
    <x v="500"/>
    <n v="0.15103"/>
    <m/>
    <m/>
    <m/>
    <m/>
    <m/>
    <m/>
    <m/>
    <m/>
    <m/>
    <m/>
    <d v="1951-07-31T00:00:00"/>
    <m/>
    <x v="259"/>
  </r>
  <r>
    <s v="Asensi"/>
    <s v="Osca"/>
    <s v="Blas"/>
    <x v="1908"/>
    <x v="500"/>
    <n v="0.13555"/>
    <m/>
    <m/>
    <m/>
    <m/>
    <m/>
    <m/>
    <m/>
    <m/>
    <m/>
    <m/>
    <d v="1949-04-26T00:00:00"/>
    <m/>
    <x v="259"/>
  </r>
  <r>
    <s v="Ceron"/>
    <s v="Lopez"/>
    <s v="Jose"/>
    <x v="891"/>
    <x v="500"/>
    <n v="6.0130000000000003E-2"/>
    <m/>
    <m/>
    <m/>
    <m/>
    <m/>
    <m/>
    <m/>
    <m/>
    <m/>
    <m/>
    <d v="1953-05-22T00:00:00"/>
    <m/>
    <x v="293"/>
  </r>
  <r>
    <s v="Guaita"/>
    <s v="Piles"/>
    <s v="Juan F"/>
    <x v="1909"/>
    <x v="500"/>
    <n v="0.21725"/>
    <m/>
    <m/>
    <m/>
    <m/>
    <m/>
    <m/>
    <m/>
    <m/>
    <m/>
    <m/>
    <d v="1942-05-15T00:00:00"/>
    <m/>
    <x v="293"/>
  </r>
  <r>
    <s v="Yeste"/>
    <s v="Gomez"/>
    <s v="M Blanca"/>
    <x v="361"/>
    <x v="501"/>
    <n v="2.4580000000000001E-2"/>
    <m/>
    <m/>
    <m/>
    <m/>
    <m/>
    <m/>
    <m/>
    <m/>
    <m/>
    <m/>
    <d v="1959-07-22T00:00:00"/>
    <m/>
    <x v="167"/>
  </r>
  <r>
    <s v="Liñan"/>
    <s v="Garcia"/>
    <s v="Esther"/>
    <x v="1910"/>
    <x v="501"/>
    <n v="4.4299999999999999E-3"/>
    <m/>
    <m/>
    <m/>
    <m/>
    <m/>
    <m/>
    <m/>
    <m/>
    <m/>
    <m/>
    <d v="1971-08-06T00:00:00"/>
    <m/>
    <x v="309"/>
  </r>
  <r>
    <s v="Higueras"/>
    <s v="Ortiz"/>
    <s v="Adolfo"/>
    <x v="1911"/>
    <x v="501"/>
    <n v="0.10034999999999999"/>
    <m/>
    <m/>
    <m/>
    <m/>
    <m/>
    <m/>
    <m/>
    <m/>
    <m/>
    <m/>
    <d v="1951-06-11T00:00:00"/>
    <m/>
    <x v="310"/>
  </r>
  <r>
    <s v="Ruiz"/>
    <s v="Villar"/>
    <s v="Aranzazu"/>
    <x v="1912"/>
    <x v="501"/>
    <n v="5.9330000000000001E-2"/>
    <m/>
    <m/>
    <m/>
    <m/>
    <m/>
    <m/>
    <m/>
    <m/>
    <m/>
    <m/>
    <d v="1982-02-01T00:00:00"/>
    <m/>
    <x v="259"/>
  </r>
  <r>
    <s v="Garcia"/>
    <s v="Garcia"/>
    <s v="Angel"/>
    <x v="1913"/>
    <x v="501"/>
    <n v="0.45373000000000002"/>
    <m/>
    <m/>
    <m/>
    <m/>
    <m/>
    <m/>
    <m/>
    <m/>
    <m/>
    <m/>
    <d v="1940-02-03T00:00:00"/>
    <m/>
    <x v="259"/>
  </r>
  <r>
    <s v="Piña"/>
    <s v="Jimenez"/>
    <s v="Jose Luis"/>
    <x v="1914"/>
    <x v="501"/>
    <n v="0.17607999999999999"/>
    <m/>
    <m/>
    <m/>
    <m/>
    <m/>
    <m/>
    <m/>
    <m/>
    <m/>
    <m/>
    <d v="1965-03-06T00:00:00"/>
    <m/>
    <x v="259"/>
  </r>
  <r>
    <s v="Galan"/>
    <s v="Rincon"/>
    <s v="Manuel"/>
    <x v="1915"/>
    <x v="501"/>
    <n v="0.77132000000000001"/>
    <m/>
    <m/>
    <m/>
    <m/>
    <m/>
    <m/>
    <m/>
    <m/>
    <m/>
    <m/>
    <d v="1937-07-01T00:00:00"/>
    <m/>
    <x v="259"/>
  </r>
  <r>
    <s v="Jimenez"/>
    <s v="Martin"/>
    <s v="Mateo"/>
    <x v="1916"/>
    <x v="501"/>
    <n v="0.41152"/>
    <m/>
    <m/>
    <m/>
    <m/>
    <m/>
    <m/>
    <m/>
    <m/>
    <m/>
    <m/>
    <d v="1961-08-27T00:00:00"/>
    <m/>
    <x v="259"/>
  </r>
  <r>
    <s v="Gil"/>
    <s v="Perez"/>
    <s v="Emerano"/>
    <x v="1917"/>
    <x v="501"/>
    <n v="0.78605999999999998"/>
    <m/>
    <m/>
    <m/>
    <m/>
    <m/>
    <m/>
    <m/>
    <m/>
    <m/>
    <m/>
    <d v="1965-06-17T00:00:00"/>
    <m/>
    <x v="253"/>
  </r>
  <r>
    <s v="Herbosa"/>
    <s v="Gonzalez"/>
    <s v="Joaquin"/>
    <x v="1873"/>
    <x v="501"/>
    <n v="1.4749999999999999E-2"/>
    <m/>
    <m/>
    <m/>
    <m/>
    <m/>
    <m/>
    <m/>
    <m/>
    <m/>
    <m/>
    <d v="1955-05-24T00:00:00"/>
    <m/>
    <x v="284"/>
  </r>
  <r>
    <s v="Garzon"/>
    <s v="Calomarde"/>
    <s v="Joaquin"/>
    <x v="1918"/>
    <x v="501"/>
    <n v="3.2770000000000001E-2"/>
    <m/>
    <m/>
    <m/>
    <m/>
    <m/>
    <m/>
    <m/>
    <m/>
    <m/>
    <m/>
    <d v="1963-01-16T00:00:00"/>
    <m/>
    <x v="293"/>
  </r>
  <r>
    <s v="Albert"/>
    <s v="Guerola"/>
    <s v="Jose Rafael"/>
    <x v="1919"/>
    <x v="502"/>
    <n v="0.30486999999999997"/>
    <m/>
    <m/>
    <m/>
    <m/>
    <m/>
    <m/>
    <m/>
    <m/>
    <m/>
    <m/>
    <d v="1975-12-27T00:00:00"/>
    <m/>
    <x v="113"/>
  </r>
  <r>
    <s v="Torres"/>
    <s v="Caraballo"/>
    <s v="Julian"/>
    <x v="1920"/>
    <x v="502"/>
    <n v="5.6999999999999998E-4"/>
    <m/>
    <m/>
    <m/>
    <m/>
    <m/>
    <m/>
    <m/>
    <m/>
    <m/>
    <m/>
    <d v="1955-03-27T00:00:00"/>
    <m/>
    <x v="202"/>
  </r>
  <r>
    <s v="Sanchez de Toca"/>
    <s v="Catalan"/>
    <s v="Maria Pilar"/>
    <x v="1921"/>
    <x v="502"/>
    <n v="4.6000000000000001E-4"/>
    <m/>
    <m/>
    <m/>
    <m/>
    <m/>
    <m/>
    <m/>
    <m/>
    <m/>
    <m/>
    <d v="1934-10-09T00:00:00"/>
    <m/>
    <x v="202"/>
  </r>
  <r>
    <s v="Moreno"/>
    <s v="Albiach"/>
    <s v="Enrique"/>
    <x v="1922"/>
    <x v="502"/>
    <n v="0.37833"/>
    <m/>
    <m/>
    <m/>
    <m/>
    <m/>
    <m/>
    <m/>
    <m/>
    <m/>
    <m/>
    <d v="1963-01-18T00:00:00"/>
    <m/>
    <x v="9"/>
  </r>
  <r>
    <s v="Vallterra"/>
    <s v="Musoles"/>
    <s v="M Julia"/>
    <x v="1843"/>
    <x v="502"/>
    <n v="0.38868000000000003"/>
    <m/>
    <m/>
    <m/>
    <m/>
    <m/>
    <m/>
    <m/>
    <m/>
    <m/>
    <m/>
    <d v="1944-05-10T00:00:00"/>
    <m/>
    <x v="166"/>
  </r>
  <r>
    <s v="del Cerro"/>
    <s v="Latre"/>
    <s v="Agustin"/>
    <x v="1923"/>
    <x v="502"/>
    <n v="0.14054"/>
    <m/>
    <m/>
    <m/>
    <m/>
    <m/>
    <m/>
    <m/>
    <m/>
    <m/>
    <m/>
    <d v="1955-08-01T00:00:00"/>
    <m/>
    <x v="259"/>
  </r>
  <r>
    <s v="Montull"/>
    <s v="Aguaron"/>
    <s v="Francisco Javier"/>
    <x v="1874"/>
    <x v="502"/>
    <n v="9.9519999999999997E-2"/>
    <m/>
    <m/>
    <m/>
    <m/>
    <m/>
    <m/>
    <m/>
    <m/>
    <m/>
    <m/>
    <d v="1946-09-07T00:00:00"/>
    <m/>
    <x v="259"/>
  </r>
  <r>
    <s v="Jackson"/>
    <m/>
    <s v="Christopher"/>
    <x v="995"/>
    <x v="502"/>
    <n v="5.0380000000000001E-2"/>
    <m/>
    <m/>
    <m/>
    <m/>
    <m/>
    <m/>
    <m/>
    <m/>
    <m/>
    <m/>
    <d v="1971-04-23T00:00:00"/>
    <m/>
    <x v="259"/>
  </r>
  <r>
    <s v="Caudet"/>
    <s v="Garcia"/>
    <s v="Vicente"/>
    <x v="1924"/>
    <x v="502"/>
    <n v="0.14019999999999999"/>
    <m/>
    <m/>
    <m/>
    <m/>
    <m/>
    <m/>
    <m/>
    <m/>
    <m/>
    <m/>
    <d v="1952-08-23T00:00:00"/>
    <m/>
    <x v="259"/>
  </r>
  <r>
    <s v="Gimeno"/>
    <s v="Aliaga"/>
    <s v="Manuel"/>
    <x v="1925"/>
    <x v="502"/>
    <n v="0.25720999999999999"/>
    <m/>
    <m/>
    <m/>
    <m/>
    <m/>
    <m/>
    <m/>
    <m/>
    <m/>
    <m/>
    <d v="1932-01-06T00:00:00"/>
    <m/>
    <x v="259"/>
  </r>
  <r>
    <s v="Garcia"/>
    <s v="Alcala"/>
    <s v="Maria del Carmen"/>
    <x v="1926"/>
    <x v="502"/>
    <n v="0.78571999999999997"/>
    <m/>
    <m/>
    <m/>
    <m/>
    <m/>
    <m/>
    <m/>
    <m/>
    <m/>
    <m/>
    <d v="1940-03-15T00:00:00"/>
    <m/>
    <x v="259"/>
  </r>
  <r>
    <s v="Lladosa"/>
    <s v="Torro"/>
    <s v="Fernando"/>
    <x v="1543"/>
    <x v="502"/>
    <n v="1.0149999999999999E-2"/>
    <m/>
    <m/>
    <m/>
    <m/>
    <m/>
    <m/>
    <m/>
    <m/>
    <m/>
    <m/>
    <d v="1961-02-13T00:00:00"/>
    <m/>
    <x v="284"/>
  </r>
  <r>
    <s v="Pelecha"/>
    <s v="Llopis"/>
    <s v="Jesus"/>
    <x v="1927"/>
    <x v="502"/>
    <n v="1.0449999999999999E-2"/>
    <m/>
    <m/>
    <m/>
    <m/>
    <m/>
    <m/>
    <m/>
    <m/>
    <m/>
    <m/>
    <d v="1974-06-19T00:00:00"/>
    <m/>
    <x v="253"/>
  </r>
  <r>
    <s v="Puchades"/>
    <s v="Peiro"/>
    <s v="Ramon"/>
    <x v="1928"/>
    <x v="502"/>
    <n v="3.4410000000000003E-2"/>
    <m/>
    <m/>
    <m/>
    <m/>
    <m/>
    <m/>
    <m/>
    <m/>
    <m/>
    <m/>
    <d v="1945-02-28T00:00:00"/>
    <m/>
    <x v="253"/>
  </r>
  <r>
    <s v="Depraetere"/>
    <m/>
    <s v="Johan"/>
    <x v="1929"/>
    <x v="502"/>
    <n v="2.4680000000000001E-2"/>
    <m/>
    <m/>
    <m/>
    <m/>
    <m/>
    <m/>
    <m/>
    <m/>
    <m/>
    <m/>
    <d v="1961-02-15T00:00:00"/>
    <m/>
    <x v="253"/>
  </r>
  <r>
    <s v="Marco"/>
    <s v="Torres"/>
    <s v="Hugo"/>
    <x v="1930"/>
    <x v="502"/>
    <n v="3.5400000000000002E-3"/>
    <m/>
    <m/>
    <m/>
    <m/>
    <m/>
    <m/>
    <m/>
    <m/>
    <m/>
    <m/>
    <d v="2006-05-23T00:00:00"/>
    <m/>
    <x v="253"/>
  </r>
  <r>
    <s v="Gandia"/>
    <s v="Aliaga"/>
    <s v="Herminia Amparo"/>
    <x v="1931"/>
    <x v="503"/>
    <n v="1.42E-3"/>
    <m/>
    <m/>
    <m/>
    <m/>
    <m/>
    <m/>
    <m/>
    <m/>
    <m/>
    <m/>
    <d v="1957-08-11T00:00:00"/>
    <m/>
    <x v="309"/>
  </r>
  <r>
    <s v="Amoros"/>
    <s v="Serena"/>
    <s v="Ramon"/>
    <x v="1932"/>
    <x v="503"/>
    <n v="7.4389999999999998E-2"/>
    <m/>
    <m/>
    <m/>
    <m/>
    <m/>
    <m/>
    <m/>
    <m/>
    <m/>
    <m/>
    <d v="1971-05-27T00:00:00"/>
    <m/>
    <x v="311"/>
  </r>
  <r>
    <s v="Martinez"/>
    <s v="Hurtado"/>
    <s v="Jacobo"/>
    <x v="1933"/>
    <x v="503"/>
    <n v="9.7999999999999997E-4"/>
    <m/>
    <m/>
    <m/>
    <m/>
    <m/>
    <m/>
    <m/>
    <m/>
    <m/>
    <m/>
    <d v="1974-12-07T00:00:00"/>
    <m/>
    <x v="202"/>
  </r>
  <r>
    <s v="Bañuls"/>
    <s v="Bataller"/>
    <s v="Vicente"/>
    <x v="1934"/>
    <x v="503"/>
    <n v="0.24073"/>
    <m/>
    <m/>
    <m/>
    <m/>
    <m/>
    <m/>
    <m/>
    <m/>
    <m/>
    <m/>
    <d v="1953-07-20T00:00:00"/>
    <m/>
    <x v="259"/>
  </r>
  <r>
    <s v="Zaragoza"/>
    <s v="Martinez"/>
    <s v="Ismael"/>
    <x v="1935"/>
    <x v="503"/>
    <n v="0.33704000000000001"/>
    <m/>
    <m/>
    <m/>
    <m/>
    <m/>
    <m/>
    <m/>
    <m/>
    <m/>
    <m/>
    <d v="1953-10-24T00:00:00"/>
    <m/>
    <x v="259"/>
  </r>
  <r>
    <s v="Diaz"/>
    <s v="Alvarez"/>
    <s v="Eladio"/>
    <x v="1936"/>
    <x v="503"/>
    <n v="0.61109000000000002"/>
    <m/>
    <m/>
    <m/>
    <m/>
    <m/>
    <m/>
    <m/>
    <m/>
    <m/>
    <m/>
    <d v="1938-04-24T00:00:00"/>
    <m/>
    <x v="259"/>
  </r>
  <r>
    <s v="Rel"/>
    <s v="Ribes"/>
    <s v="Amparo"/>
    <x v="1937"/>
    <x v="503"/>
    <n v="8.2530000000000006E-2"/>
    <m/>
    <m/>
    <m/>
    <m/>
    <m/>
    <m/>
    <m/>
    <m/>
    <m/>
    <m/>
    <d v="1942-03-10T00:00:00"/>
    <m/>
    <x v="259"/>
  </r>
  <r>
    <s v="Malnati"/>
    <m/>
    <s v="Herve"/>
    <x v="1938"/>
    <x v="503"/>
    <n v="7.8710000000000002E-2"/>
    <m/>
    <m/>
    <m/>
    <m/>
    <m/>
    <m/>
    <m/>
    <m/>
    <m/>
    <m/>
    <d v="1963-02-14T00:00:00"/>
    <m/>
    <x v="259"/>
  </r>
  <r>
    <s v="Gomez Cambronero"/>
    <s v="Carranza"/>
    <s v="Miguel Angel"/>
    <x v="1939"/>
    <x v="503"/>
    <n v="0.20330999999999999"/>
    <m/>
    <m/>
    <m/>
    <m/>
    <m/>
    <m/>
    <m/>
    <m/>
    <m/>
    <m/>
    <d v="1955-07-06T00:00:00"/>
    <m/>
    <x v="259"/>
  </r>
  <r>
    <s v="Todorova"/>
    <m/>
    <s v="Mariyka"/>
    <x v="1940"/>
    <x v="503"/>
    <n v="1.055E-2"/>
    <m/>
    <m/>
    <m/>
    <m/>
    <m/>
    <m/>
    <m/>
    <m/>
    <m/>
    <m/>
    <d v="1934-03-08T00:00:00"/>
    <m/>
    <x v="284"/>
  </r>
  <r>
    <s v="Torres"/>
    <s v="Martin"/>
    <s v="Juan Manuel"/>
    <x v="1941"/>
    <x v="504"/>
    <n v="0.40418999999999999"/>
    <m/>
    <m/>
    <m/>
    <m/>
    <m/>
    <m/>
    <m/>
    <m/>
    <m/>
    <m/>
    <d v="1968-01-08T00:00:00"/>
    <m/>
    <x v="259"/>
  </r>
  <r>
    <s v="Garcia"/>
    <s v="Avivar"/>
    <s v="Josefa"/>
    <x v="1942"/>
    <x v="504"/>
    <n v="0.49329000000000001"/>
    <m/>
    <m/>
    <m/>
    <m/>
    <m/>
    <m/>
    <m/>
    <m/>
    <m/>
    <m/>
    <d v="1952-06-04T00:00:00"/>
    <m/>
    <x v="259"/>
  </r>
  <r>
    <s v="Arago"/>
    <s v="Montañana"/>
    <s v="Juan"/>
    <x v="1943"/>
    <x v="505"/>
    <n v="0.59804000000000002"/>
    <m/>
    <m/>
    <m/>
    <m/>
    <m/>
    <m/>
    <m/>
    <m/>
    <m/>
    <m/>
    <d v="1932-07-07T00:00:00"/>
    <m/>
    <x v="312"/>
  </r>
  <r>
    <s v="Pascual"/>
    <s v="Sales"/>
    <s v="Salvador"/>
    <x v="1944"/>
    <x v="505"/>
    <n v="1.34588"/>
    <m/>
    <m/>
    <m/>
    <m/>
    <m/>
    <m/>
    <m/>
    <m/>
    <m/>
    <m/>
    <d v="1946-01-07T00:00:00"/>
    <m/>
    <x v="259"/>
  </r>
  <r>
    <s v="Mohamad"/>
    <s v="Ibrahim"/>
    <s v="Mahgool"/>
    <x v="1945"/>
    <x v="505"/>
    <n v="0.53512000000000004"/>
    <m/>
    <m/>
    <m/>
    <m/>
    <m/>
    <m/>
    <m/>
    <m/>
    <m/>
    <m/>
    <d v="1947-10-01T00:00:00"/>
    <m/>
    <x v="259"/>
  </r>
  <r>
    <s v="Garcia"/>
    <s v="Esteban"/>
    <s v="Oscar Javier"/>
    <x v="1946"/>
    <x v="505"/>
    <n v="0.78556000000000004"/>
    <m/>
    <m/>
    <m/>
    <m/>
    <m/>
    <m/>
    <m/>
    <m/>
    <m/>
    <m/>
    <d v="1967-02-21T00:00:00"/>
    <m/>
    <x v="259"/>
  </r>
  <r>
    <s v="Poveda"/>
    <s v="Serrano"/>
    <s v="Agustin"/>
    <x v="1947"/>
    <x v="505"/>
    <n v="0.29465999999999998"/>
    <m/>
    <m/>
    <m/>
    <m/>
    <m/>
    <m/>
    <m/>
    <m/>
    <m/>
    <m/>
    <d v="1953-10-31T00:00:00"/>
    <m/>
    <x v="259"/>
  </r>
  <r>
    <m/>
    <m/>
    <m/>
    <x v="1948"/>
    <x v="506"/>
    <m/>
    <m/>
    <m/>
    <m/>
    <m/>
    <m/>
    <m/>
    <m/>
    <m/>
    <m/>
    <m/>
    <m/>
    <m/>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Tabla dinámica1" cacheId="9" applyNumberFormats="0" applyBorderFormats="0" applyFontFormats="0" applyPatternFormats="0" applyAlignmentFormats="0" applyWidthHeightFormats="1" dataCaption="Valores" updatedVersion="4" minRefreshableVersion="3" useAutoFormatting="1" itemPrintTitles="1" createdVersion="4" indent="0" outline="1" outlineData="1" chartFormat="1">
  <location ref="G6:G9206" firstHeaderRow="1" firstDataRow="1" firstDataCol="1"/>
  <pivotFields count="19">
    <pivotField showAll="0" insertBlankRow="1"/>
    <pivotField showAll="0" insertBlankRow="1"/>
    <pivotField showAll="0" insertBlankRow="1"/>
    <pivotField axis="axisRow" showAll="0" insertBlankRow="1" sortType="ascending">
      <items count="1951">
        <item x="672"/>
        <item x="524"/>
        <item x="1162"/>
        <item x="563"/>
        <item x="46"/>
        <item x="1049"/>
        <item x="1102"/>
        <item x="1862"/>
        <item x="1702"/>
        <item x="1714"/>
        <item x="945"/>
        <item x="688"/>
        <item x="216"/>
        <item x="755"/>
        <item x="1042"/>
        <item x="32"/>
        <item x="972"/>
        <item x="1391"/>
        <item x="504"/>
        <item x="350"/>
        <item x="645"/>
        <item x="150"/>
        <item x="1610"/>
        <item x="66"/>
        <item x="1362"/>
        <item x="182"/>
        <item x="1093"/>
        <item x="1410"/>
        <item x="936"/>
        <item x="1438"/>
        <item x="938"/>
        <item x="19"/>
        <item x="1240"/>
        <item x="957"/>
        <item x="1340"/>
        <item x="1101"/>
        <item x="327"/>
        <item x="1926"/>
        <item x="227"/>
        <item x="761"/>
        <item x="1641"/>
        <item x="925"/>
        <item x="1228"/>
        <item x="880"/>
        <item x="1312"/>
        <item x="1145"/>
        <item x="1189"/>
        <item x="1908"/>
        <item x="1804"/>
        <item x="1546"/>
        <item x="1944"/>
        <item x="60"/>
        <item x="1036"/>
        <item x="1568"/>
        <item x="683"/>
        <item x="252"/>
        <item x="1558"/>
        <item x="1256"/>
        <item x="987"/>
        <item x="737"/>
        <item x="118"/>
        <item x="1020"/>
        <item x="1396"/>
        <item x="988"/>
        <item x="1293"/>
        <item x="1478"/>
        <item x="1112"/>
        <item x="246"/>
        <item x="124"/>
        <item x="1191"/>
        <item x="1338"/>
        <item x="134"/>
        <item x="1141"/>
        <item x="23"/>
        <item x="1652"/>
        <item x="1352"/>
        <item x="799"/>
        <item x="894"/>
        <item x="606"/>
        <item x="21"/>
        <item x="729"/>
        <item x="923"/>
        <item x="1207"/>
        <item x="601"/>
        <item x="955"/>
        <item x="1844"/>
        <item x="834"/>
        <item x="1477"/>
        <item x="199"/>
        <item x="81"/>
        <item x="1752"/>
        <item x="523"/>
        <item x="1724"/>
        <item x="706"/>
        <item x="1773"/>
        <item x="966"/>
        <item x="980"/>
        <item x="801"/>
        <item x="643"/>
        <item x="410"/>
        <item x="47"/>
        <item x="550"/>
        <item x="709"/>
        <item x="1233"/>
        <item x="1898"/>
        <item x="1214"/>
        <item x="1442"/>
        <item x="786"/>
        <item x="1545"/>
        <item x="950"/>
        <item x="603"/>
        <item x="1549"/>
        <item x="1772"/>
        <item x="1770"/>
        <item x="1096"/>
        <item x="1712"/>
        <item x="870"/>
        <item x="934"/>
        <item x="1344"/>
        <item x="1282"/>
        <item x="321"/>
        <item x="1793"/>
        <item x="1645"/>
        <item x="612"/>
        <item x="1795"/>
        <item m="1" x="1949"/>
        <item x="1868"/>
        <item x="101"/>
        <item x="579"/>
        <item x="500"/>
        <item x="539"/>
        <item x="536"/>
        <item x="1501"/>
        <item x="1170"/>
        <item x="1873"/>
        <item x="436"/>
        <item x="422"/>
        <item x="1573"/>
        <item x="576"/>
        <item x="239"/>
        <item x="122"/>
        <item x="1749"/>
        <item x="726"/>
        <item x="480"/>
        <item x="1490"/>
        <item x="690"/>
        <item x="221"/>
        <item x="352"/>
        <item x="1132"/>
        <item x="634"/>
        <item x="911"/>
        <item x="1140"/>
        <item x="1642"/>
        <item x="1347"/>
        <item x="296"/>
        <item x="1133"/>
        <item x="530"/>
        <item x="917"/>
        <item x="1783"/>
        <item x="1160"/>
        <item x="1813"/>
        <item x="392"/>
        <item x="1046"/>
        <item x="414"/>
        <item x="1556"/>
        <item x="1735"/>
        <item x="913"/>
        <item x="367"/>
        <item x="1853"/>
        <item x="1523"/>
        <item x="1626"/>
        <item x="1640"/>
        <item x="620"/>
        <item x="1849"/>
        <item x="440"/>
        <item x="1473"/>
        <item x="1295"/>
        <item x="123"/>
        <item x="526"/>
        <item x="653"/>
        <item x="132"/>
        <item x="760"/>
        <item x="510"/>
        <item x="1680"/>
        <item x="1570"/>
        <item x="1574"/>
        <item x="15"/>
        <item x="143"/>
        <item x="1387"/>
        <item x="827"/>
        <item x="1342"/>
        <item x="764"/>
        <item x="426"/>
        <item x="1480"/>
        <item x="1550"/>
        <item x="958"/>
        <item x="998"/>
        <item x="1819"/>
        <item x="421"/>
        <item x="11"/>
        <item x="750"/>
        <item x="388"/>
        <item x="850"/>
        <item x="266"/>
        <item x="680"/>
        <item x="285"/>
        <item x="1364"/>
        <item x="1540"/>
        <item x="26"/>
        <item x="306"/>
        <item x="1467"/>
        <item x="280"/>
        <item x="832"/>
        <item x="242"/>
        <item x="1297"/>
        <item x="403"/>
        <item x="1219"/>
        <item x="275"/>
        <item x="517"/>
        <item x="1870"/>
        <item x="1298"/>
        <item x="459"/>
        <item x="833"/>
        <item x="69"/>
        <item x="1837"/>
        <item x="454"/>
        <item x="615"/>
        <item x="617"/>
        <item x="1455"/>
        <item x="99"/>
        <item x="654"/>
        <item x="863"/>
        <item x="1511"/>
        <item x="163"/>
        <item x="1775"/>
        <item x="578"/>
        <item x="855"/>
        <item x="1830"/>
        <item x="146"/>
        <item x="1611"/>
        <item x="1234"/>
        <item x="891"/>
        <item x="1253"/>
        <item x="673"/>
        <item x="412"/>
        <item x="1016"/>
        <item x="1539"/>
        <item x="905"/>
        <item x="1265"/>
        <item x="1871"/>
        <item x="1763"/>
        <item x="1198"/>
        <item x="584"/>
        <item x="14"/>
        <item x="1792"/>
        <item x="206"/>
        <item x="534"/>
        <item x="1911"/>
        <item x="829"/>
        <item x="1519"/>
        <item x="1665"/>
        <item x="12"/>
        <item x="372"/>
        <item x="1306"/>
        <item x="1028"/>
        <item x="767"/>
        <item x="1551"/>
        <item x="1038"/>
        <item x="1057"/>
        <item x="1280"/>
        <item x="937"/>
        <item x="952"/>
        <item x="1090"/>
        <item x="722"/>
        <item x="1320"/>
        <item x="544"/>
        <item x="1308"/>
        <item x="59"/>
        <item x="520"/>
        <item x="348"/>
        <item x="1014"/>
        <item x="1567"/>
        <item x="1382"/>
        <item x="471"/>
        <item x="1863"/>
        <item x="986"/>
        <item x="1838"/>
        <item x="1037"/>
        <item x="679"/>
        <item x="245"/>
        <item x="595"/>
        <item x="1934"/>
        <item x="1743"/>
        <item x="36"/>
        <item x="437"/>
        <item x="195"/>
        <item x="782"/>
        <item x="1335"/>
        <item x="1919"/>
        <item x="628"/>
        <item x="630"/>
        <item x="453"/>
        <item x="1385"/>
        <item x="633"/>
        <item x="448"/>
        <item x="1740"/>
        <item x="1515"/>
        <item x="1858"/>
        <item x="848"/>
        <item x="671"/>
        <item x="1692"/>
        <item x="1532"/>
        <item x="316"/>
        <item x="951"/>
        <item x="1891"/>
        <item x="5"/>
        <item x="293"/>
        <item x="551"/>
        <item x="1851"/>
        <item x="383"/>
        <item x="224"/>
        <item x="830"/>
        <item x="1395"/>
        <item x="396"/>
        <item x="854"/>
        <item x="1912"/>
        <item x="648"/>
        <item x="408"/>
        <item x="250"/>
        <item x="666"/>
        <item x="249"/>
        <item x="1697"/>
        <item x="1040"/>
        <item x="1713"/>
        <item x="1661"/>
        <item x="570"/>
        <item x="879"/>
        <item x="1085"/>
        <item x="814"/>
        <item x="751"/>
        <item x="842"/>
        <item x="374"/>
        <item x="1521"/>
        <item x="386"/>
        <item x="538"/>
        <item x="1498"/>
        <item x="1436"/>
        <item x="826"/>
        <item x="496"/>
        <item x="738"/>
        <item x="1892"/>
        <item x="785"/>
        <item x="179"/>
        <item x="1421"/>
        <item x="1018"/>
        <item x="1565"/>
        <item x="1831"/>
        <item x="794"/>
        <item x="790"/>
        <item x="959"/>
        <item x="1318"/>
        <item x="209"/>
        <item x="1464"/>
        <item x="373"/>
        <item x="873"/>
        <item x="864"/>
        <item x="1406"/>
        <item x="901"/>
        <item x="1095"/>
        <item x="433"/>
        <item x="287"/>
        <item x="1138"/>
        <item x="1920"/>
        <item x="1890"/>
        <item x="1761"/>
        <item x="478"/>
        <item x="419"/>
        <item x="385"/>
        <item x="594"/>
        <item x="247"/>
        <item x="1148"/>
        <item x="1915"/>
        <item x="435"/>
        <item x="1886"/>
        <item x="177"/>
        <item x="1108"/>
        <item x="1097"/>
        <item x="699"/>
        <item x="1288"/>
        <item x="1542"/>
        <item x="505"/>
        <item x="1857"/>
        <item x="1223"/>
        <item x="1068"/>
        <item x="1166"/>
        <item x="1152"/>
        <item x="1691"/>
        <item x="229"/>
        <item x="1459"/>
        <item x="899"/>
        <item x="1484"/>
        <item x="1264"/>
        <item x="295"/>
        <item x="984"/>
        <item x="982"/>
        <item x="1424"/>
        <item x="347"/>
        <item x="1522"/>
        <item x="1239"/>
        <item x="1428"/>
        <item x="1470"/>
        <item x="1197"/>
        <item x="943"/>
        <item x="1174"/>
        <item x="835"/>
        <item x="1488"/>
        <item x="1150"/>
        <item x="1009"/>
        <item x="1552"/>
        <item x="495"/>
        <item x="1221"/>
        <item x="1463"/>
        <item x="1135"/>
        <item x="1726"/>
        <item x="1687"/>
        <item x="463"/>
        <item x="1086"/>
        <item x="831"/>
        <item x="754"/>
        <item x="1443"/>
        <item x="501"/>
        <item x="1379"/>
        <item x="1683"/>
        <item x="1175"/>
        <item x="1491"/>
        <item x="1839"/>
        <item x="394"/>
        <item x="1405"/>
        <item x="1249"/>
        <item x="946"/>
        <item x="1483"/>
        <item x="1601"/>
        <item x="1825"/>
        <item x="1065"/>
        <item x="1924"/>
        <item x="1199"/>
        <item x="1705"/>
        <item x="464"/>
        <item x="1204"/>
        <item x="1255"/>
        <item x="1605"/>
        <item x="167"/>
        <item x="1894"/>
        <item x="1766"/>
        <item x="1648"/>
        <item x="1422"/>
        <item x="257"/>
        <item x="125"/>
        <item x="1460"/>
        <item x="1177"/>
        <item x="1600"/>
        <item x="1139"/>
        <item x="1289"/>
        <item x="725"/>
        <item x="215"/>
        <item x="1935"/>
        <item x="1604"/>
        <item x="1291"/>
        <item x="1164"/>
        <item x="1303"/>
        <item x="1590"/>
        <item x="49"/>
        <item x="922"/>
        <item x="714"/>
        <item x="820"/>
        <item x="935"/>
        <item x="1835"/>
        <item x="466"/>
        <item x="875"/>
        <item x="954"/>
        <item x="824"/>
        <item x="1906"/>
        <item x="1087"/>
        <item x="113"/>
        <item x="1142"/>
        <item x="1250"/>
        <item x="1172"/>
        <item x="336"/>
        <item x="886"/>
        <item x="1048"/>
        <item x="1161"/>
        <item x="1017"/>
        <item x="297"/>
        <item x="1676"/>
        <item x="1248"/>
        <item x="1119"/>
        <item x="920"/>
        <item x="401"/>
        <item x="1178"/>
        <item x="1489"/>
        <item x="1487"/>
        <item x="1043"/>
        <item x="1003"/>
        <item x="1741"/>
        <item x="214"/>
        <item x="1079"/>
        <item x="1015"/>
        <item x="994"/>
        <item x="181"/>
        <item x="92"/>
        <item x="413"/>
        <item x="1907"/>
        <item x="853"/>
        <item x="1694"/>
        <item x="1785"/>
        <item x="724"/>
        <item x="1383"/>
        <item x="1525"/>
        <item x="887"/>
        <item x="35"/>
        <item x="1076"/>
        <item x="1776"/>
        <item x="1375"/>
        <item x="1404"/>
        <item x="1277"/>
        <item x="1437"/>
        <item x="621"/>
        <item x="1700"/>
        <item x="979"/>
        <item x="1317"/>
        <item x="822"/>
        <item x="1415"/>
        <item x="882"/>
        <item x="554"/>
        <item x="1413"/>
        <item x="1918"/>
        <item x="1084"/>
        <item x="1355"/>
        <item x="1446"/>
        <item x="872"/>
        <item x="809"/>
        <item x="8"/>
        <item x="739"/>
        <item x="312"/>
        <item x="859"/>
        <item x="813"/>
        <item x="862"/>
        <item x="1185"/>
        <item x="1533"/>
        <item x="1077"/>
        <item x="1757"/>
        <item x="1044"/>
        <item x="72"/>
        <item x="1070"/>
        <item x="1888"/>
        <item x="1715"/>
        <item x="778"/>
        <item x="1695"/>
        <item x="851"/>
        <item x="1494"/>
        <item x="328"/>
        <item x="1598"/>
        <item x="1307"/>
        <item x="895"/>
        <item x="462"/>
        <item x="17"/>
        <item x="1784"/>
        <item x="610"/>
        <item x="1686"/>
        <item x="1163"/>
        <item x="1332"/>
        <item x="1468"/>
        <item x="1118"/>
        <item x="283"/>
        <item x="446"/>
        <item x="803"/>
        <item x="1514"/>
        <item x="1703"/>
        <item x="944"/>
        <item x="562"/>
        <item x="985"/>
        <item x="1627"/>
        <item x="1304"/>
        <item x="263"/>
        <item x="279"/>
        <item x="1729"/>
        <item x="1745"/>
        <item x="222"/>
        <item x="1213"/>
        <item x="1794"/>
        <item x="1363"/>
        <item x="1341"/>
        <item x="20"/>
        <item x="893"/>
        <item x="1125"/>
        <item x="468"/>
        <item x="1322"/>
        <item x="1808"/>
        <item x="1376"/>
        <item x="1176"/>
        <item x="1025"/>
        <item x="41"/>
        <item x="1506"/>
        <item x="325"/>
        <item x="217"/>
        <item x="1105"/>
        <item x="1195"/>
        <item x="1088"/>
        <item x="1760"/>
        <item x="555"/>
        <item x="322"/>
        <item x="1922"/>
        <item x="1104"/>
        <item x="574"/>
        <item x="1621"/>
        <item x="121"/>
        <item x="251"/>
        <item x="1273"/>
        <item x="1759"/>
        <item x="1184"/>
        <item x="1244"/>
        <item x="404"/>
        <item x="1619"/>
        <item x="318"/>
        <item x="1767"/>
        <item x="592"/>
        <item x="744"/>
        <item x="607"/>
        <item x="1637"/>
        <item x="399"/>
        <item x="608"/>
        <item x="1445"/>
        <item x="1024"/>
        <item x="1750"/>
        <item x="57"/>
        <item x="1576"/>
        <item x="696"/>
        <item x="900"/>
        <item x="1115"/>
        <item x="1290"/>
        <item x="1022"/>
        <item x="1192"/>
        <item x="903"/>
        <item x="308"/>
        <item x="1932"/>
        <item x="1791"/>
        <item x="1124"/>
        <item x="1903"/>
        <item x="271"/>
        <item x="1513"/>
        <item x="456"/>
        <item x="1069"/>
        <item x="978"/>
        <item x="1194"/>
        <item x="701"/>
        <item x="1202"/>
        <item x="1023"/>
        <item x="752"/>
        <item x="997"/>
        <item x="1593"/>
        <item x="1742"/>
        <item x="406"/>
        <item x="1080"/>
        <item x="718"/>
        <item x="1010"/>
        <item x="1771"/>
        <item x="907"/>
        <item x="154"/>
        <item x="1921"/>
        <item x="586"/>
        <item x="1061"/>
        <item x="1276"/>
        <item x="1300"/>
        <item x="1339"/>
        <item x="1331"/>
        <item x="1657"/>
        <item x="1927"/>
        <item x="571"/>
        <item x="1230"/>
        <item x="1526"/>
        <item x="1639"/>
        <item x="525"/>
        <item x="1721"/>
        <item x="1780"/>
        <item x="749"/>
        <item x="973"/>
        <item x="918"/>
        <item x="1144"/>
        <item x="681"/>
        <item x="9"/>
        <item x="1116"/>
        <item x="730"/>
        <item x="898"/>
        <item x="44"/>
        <item x="1864"/>
        <item x="924"/>
        <item x="152"/>
        <item x="42"/>
        <item x="268"/>
        <item x="582"/>
        <item x="338"/>
        <item x="1388"/>
        <item x="1190"/>
        <item x="1378"/>
        <item x="1682"/>
        <item x="418"/>
        <item x="1867"/>
        <item x="411"/>
        <item x="1802"/>
        <item x="1369"/>
        <item x="1243"/>
        <item x="1746"/>
        <item x="1222"/>
        <item x="1131"/>
        <item x="1147"/>
        <item x="1563"/>
        <item x="1220"/>
        <item x="1850"/>
        <item x="1592"/>
        <item x="1941"/>
        <item x="1109"/>
        <item x="981"/>
        <item x="25"/>
        <item x="1555"/>
        <item x="1325"/>
        <item x="1073"/>
        <item x="1447"/>
        <item x="45"/>
        <item x="772"/>
        <item x="277"/>
        <item x="836"/>
        <item x="253"/>
        <item x="858"/>
        <item x="640"/>
        <item x="1613"/>
        <item x="1737"/>
        <item x="355"/>
        <item x="269"/>
        <item x="521"/>
        <item x="535"/>
        <item x="757"/>
        <item x="787"/>
        <item x="1829"/>
        <item x="1874"/>
        <item x="700"/>
        <item x="354"/>
        <item x="721"/>
        <item x="503"/>
        <item x="1397"/>
        <item x="618"/>
        <item x="1846"/>
        <item x="236"/>
        <item x="1123"/>
        <item x="1433"/>
        <item x="173"/>
        <item x="1569"/>
        <item x="1063"/>
        <item x="1217"/>
        <item x="1351"/>
        <item x="117"/>
        <item x="1744"/>
        <item x="1423"/>
        <item x="1403"/>
        <item x="1872"/>
        <item x="771"/>
        <item x="1633"/>
        <item x="1801"/>
        <item x="213"/>
        <item x="1690"/>
        <item x="397"/>
        <item x="165"/>
        <item x="993"/>
        <item x="1937"/>
        <item x="180"/>
        <item x="1171"/>
        <item x="389"/>
        <item x="1725"/>
        <item x="1081"/>
        <item x="883"/>
        <item x="509"/>
        <item x="956"/>
        <item x="477"/>
        <item x="1861"/>
        <item x="1923"/>
        <item x="667"/>
        <item x="1706"/>
        <item x="1723"/>
        <item x="669"/>
        <item x="1672"/>
        <item x="228"/>
        <item x="874"/>
        <item x="1806"/>
        <item x="1675"/>
        <item x="1603"/>
        <item x="1492"/>
        <item x="819"/>
        <item x="1324"/>
        <item x="1564"/>
        <item x="333"/>
        <item x="1358"/>
        <item x="800"/>
        <item x="1456"/>
        <item x="514"/>
        <item x="1623"/>
        <item x="1579"/>
        <item x="1765"/>
        <item x="343"/>
        <item x="549"/>
        <item x="1531"/>
        <item x="1928"/>
        <item x="557"/>
        <item x="482"/>
        <item x="1155"/>
        <item x="1330"/>
        <item x="1315"/>
        <item x="971"/>
        <item x="211"/>
        <item x="1452"/>
        <item x="896"/>
        <item x="261"/>
        <item x="409"/>
        <item x="491"/>
        <item x="745"/>
        <item x="1508"/>
        <item x="1909"/>
        <item x="461"/>
        <item x="1866"/>
        <item x="623"/>
        <item x="720"/>
        <item x="921"/>
        <item x="876"/>
        <item x="323"/>
        <item x="877"/>
        <item x="237"/>
        <item x="1039"/>
        <item x="1137"/>
        <item x="169"/>
        <item x="76"/>
        <item x="330"/>
        <item x="743"/>
        <item x="494"/>
        <item x="531"/>
        <item x="1159"/>
        <item x="1904"/>
        <item x="231"/>
        <item x="1393"/>
        <item x="1599"/>
        <item x="675"/>
        <item x="766"/>
        <item x="1465"/>
        <item x="1738"/>
        <item x="255"/>
        <item x="1787"/>
        <item x="187"/>
        <item x="698"/>
        <item x="1266"/>
        <item x="1271"/>
        <item x="1947"/>
        <item x="281"/>
        <item x="1646"/>
        <item x="307"/>
        <item x="808"/>
        <item x="402"/>
        <item x="80"/>
        <item x="1897"/>
        <item x="1227"/>
        <item x="702"/>
        <item x="871"/>
        <item x="62"/>
        <item x="1832"/>
        <item x="1528"/>
        <item x="384"/>
        <item x="1365"/>
        <item x="1258"/>
        <item x="104"/>
        <item x="1716"/>
        <item x="1591"/>
        <item x="795"/>
        <item x="1553"/>
        <item x="1663"/>
        <item x="1475"/>
        <item x="1157"/>
        <item x="1188"/>
        <item x="650"/>
        <item x="190"/>
        <item x="1272"/>
        <item x="567"/>
        <item x="663"/>
        <item x="1887"/>
        <item x="430"/>
        <item x="438"/>
        <item x="439"/>
        <item x="1536"/>
        <item x="1231"/>
        <item x="27"/>
        <item x="427"/>
        <item x="13"/>
        <item x="1559"/>
        <item x="674"/>
        <item x="856"/>
        <item x="226"/>
        <item x="710"/>
        <item x="733"/>
        <item x="1245"/>
        <item x="1367"/>
        <item x="1662"/>
        <item x="193"/>
        <item x="1677"/>
        <item x="366"/>
        <item x="686"/>
        <item x="361"/>
        <item x="1758"/>
        <item x="1472"/>
        <item x="1803"/>
        <item x="1305"/>
        <item x="639"/>
        <item x="310"/>
        <item x="1709"/>
        <item x="590"/>
        <item x="953"/>
        <item x="111"/>
        <item x="400"/>
        <item x="942"/>
        <item x="522"/>
        <item x="1917"/>
        <item x="649"/>
        <item x="708"/>
        <item x="693"/>
        <item x="1237"/>
        <item x="1359"/>
        <item x="791"/>
        <item x="282"/>
        <item x="1"/>
        <item x="2"/>
        <item x="897"/>
        <item x="1847"/>
        <item x="1032"/>
        <item x="989"/>
        <item x="1321"/>
        <item x="1594"/>
        <item x="1279"/>
        <item x="1416"/>
        <item x="289"/>
        <item x="1748"/>
        <item x="1881"/>
        <item x="499"/>
        <item x="127"/>
        <item x="1052"/>
        <item x="740"/>
        <item x="262"/>
        <item x="1728"/>
        <item x="1121"/>
        <item x="1380"/>
        <item x="265"/>
        <item x="175"/>
        <item x="1778"/>
        <item x="773"/>
        <item x="715"/>
        <item x="1099"/>
        <item x="225"/>
        <item x="1486"/>
        <item x="315"/>
        <item x="677"/>
        <item x="1100"/>
        <item x="604"/>
        <item x="1612"/>
        <item x="1462"/>
        <item x="1268"/>
        <item x="811"/>
        <item x="10"/>
        <item x="490"/>
        <item x="1106"/>
        <item x="365"/>
        <item x="1206"/>
        <item x="1158"/>
        <item x="498"/>
        <item x="126"/>
        <item x="1252"/>
        <item x="1156"/>
        <item x="407"/>
        <item x="1454"/>
        <item x="155"/>
        <item x="1236"/>
        <item x="513"/>
        <item x="1453"/>
        <item x="425"/>
        <item x="487"/>
        <item x="1615"/>
        <item x="387"/>
        <item x="1798"/>
        <item x="359"/>
        <item x="844"/>
        <item x="1417"/>
        <item x="1518"/>
        <item x="1586"/>
        <item x="382"/>
        <item x="965"/>
        <item x="1153"/>
        <item x="94"/>
        <item x="294"/>
        <item x="1764"/>
        <item x="1232"/>
        <item x="102"/>
        <item x="977"/>
        <item x="1229"/>
        <item x="18"/>
        <item x="256"/>
        <item x="159"/>
        <item x="1200"/>
        <item x="668"/>
        <item x="1889"/>
        <item x="597"/>
        <item x="198"/>
        <item x="284"/>
        <item x="1471"/>
        <item x="561"/>
        <item x="460"/>
        <item x="1730"/>
        <item x="1789"/>
        <item x="558"/>
        <item x="324"/>
        <item x="846"/>
        <item x="1620"/>
        <item x="479"/>
        <item x="288"/>
        <item x="756"/>
        <item x="1434"/>
        <item x="641"/>
        <item x="423"/>
        <item x="1582"/>
        <item x="810"/>
        <item x="1360"/>
        <item x="817"/>
        <item x="405"/>
        <item x="527"/>
        <item x="30"/>
        <item x="1013"/>
        <item x="1412"/>
        <item x="624"/>
        <item x="1736"/>
        <item x="204"/>
        <item x="493"/>
        <item x="1499"/>
        <item x="1877"/>
        <item x="100"/>
        <item x="528"/>
        <item x="472"/>
        <item x="910"/>
        <item x="1664"/>
        <item x="1583"/>
        <item x="1053"/>
        <item x="7"/>
        <item x="515"/>
        <item x="1427"/>
        <item x="1030"/>
        <item x="712"/>
        <item x="1021"/>
        <item x="1733"/>
        <item x="337"/>
        <item x="1074"/>
        <item x="89"/>
        <item x="1865"/>
        <item x="398"/>
        <item x="1168"/>
        <item x="637"/>
        <item x="1270"/>
        <item x="929"/>
        <item x="1111"/>
        <item x="339"/>
        <item x="1925"/>
        <item x="332"/>
        <item x="1045"/>
        <item x="532"/>
        <item x="1805"/>
        <item x="949"/>
        <item x="1098"/>
        <item x="1457"/>
        <item x="314"/>
        <item x="736"/>
        <item x="511"/>
        <item x="705"/>
        <item x="1588"/>
        <item x="1051"/>
        <item x="685"/>
        <item x="189"/>
        <item x="244"/>
        <item x="1439"/>
        <item x="1754"/>
        <item x="1710"/>
        <item x="1812"/>
        <item x="1377"/>
        <item x="1842"/>
        <item x="1708"/>
        <item x="1302"/>
        <item x="1466"/>
        <item x="969"/>
        <item x="1449"/>
        <item x="342"/>
        <item x="1389"/>
        <item x="1659"/>
        <item x="363"/>
        <item x="869"/>
        <item x="1047"/>
        <item x="1134"/>
        <item x="1350"/>
        <item x="777"/>
        <item x="793"/>
        <item x="1143"/>
        <item x="1033"/>
        <item x="28"/>
        <item x="1587"/>
        <item x="1638"/>
        <item x="34"/>
        <item x="933"/>
        <item x="1263"/>
        <item x="1696"/>
        <item x="885"/>
        <item x="657"/>
        <item x="390"/>
        <item x="857"/>
        <item x="1072"/>
        <item x="6"/>
        <item x="940"/>
        <item x="629"/>
        <item x="1064"/>
        <item x="678"/>
        <item x="769"/>
        <item x="443"/>
        <item x="1262"/>
        <item x="1426"/>
        <item x="1186"/>
        <item x="1939"/>
        <item x="992"/>
        <item x="852"/>
        <item x="1169"/>
        <item x="1054"/>
        <item x="556"/>
        <item x="599"/>
        <item x="1843"/>
        <item x="661"/>
        <item x="963"/>
        <item x="1002"/>
        <item x="1671"/>
        <item x="847"/>
        <item x="196"/>
        <item x="43"/>
        <item x="1091"/>
        <item x="371"/>
        <item x="1643"/>
        <item x="1409"/>
        <item x="1215"/>
        <item x="613"/>
        <item x="627"/>
        <item x="335"/>
        <item x="818"/>
        <item x="763"/>
        <item x="4"/>
        <item x="1629"/>
        <item x="98"/>
        <item x="1774"/>
        <item x="254"/>
        <item x="458"/>
        <item x="273"/>
        <item x="1242"/>
        <item x="1373"/>
        <item x="1814"/>
        <item x="1899"/>
        <item x="593"/>
        <item x="802"/>
        <item x="1882"/>
        <item x="24"/>
        <item x="1493"/>
        <item x="449"/>
        <item x="364"/>
        <item x="497"/>
        <item x="1516"/>
        <item x="451"/>
        <item x="502"/>
        <item x="616"/>
        <item x="789"/>
        <item x="719"/>
        <item x="1557"/>
        <item x="614"/>
        <item x="492"/>
        <item x="1485"/>
        <item x="583"/>
        <item x="1343"/>
        <item x="1614"/>
        <item x="665"/>
        <item x="1107"/>
        <item x="1386"/>
        <item x="1008"/>
        <item x="84"/>
        <item x="1534"/>
        <item x="806"/>
        <item x="483"/>
        <item x="1933"/>
        <item x="1241"/>
        <item x="573"/>
        <item x="1609"/>
        <item x="1628"/>
        <item x="779"/>
        <item x="889"/>
        <item x="1435"/>
        <item x="687"/>
        <item x="1753"/>
        <item x="1420"/>
        <item x="351"/>
        <item x="1495"/>
        <item x="1811"/>
        <item x="1527"/>
        <item x="1913"/>
        <item x="746"/>
        <item x="91"/>
        <item x="162"/>
        <item x="131"/>
        <item x="1597"/>
        <item x="1400"/>
        <item x="765"/>
        <item x="1674"/>
        <item x="1411"/>
        <item x="742"/>
        <item x="429"/>
        <item x="1833"/>
        <item x="1284"/>
        <item x="1504"/>
        <item x="784"/>
        <item x="741"/>
        <item x="1296"/>
        <item x="1836"/>
        <item x="395"/>
        <item x="1050"/>
        <item x="1826"/>
        <item x="1333"/>
        <item x="1062"/>
        <item x="609"/>
        <item x="86"/>
        <item x="1082"/>
        <item x="1507"/>
        <item x="393"/>
        <item x="1458"/>
        <item x="1011"/>
        <item x="731"/>
        <item x="1571"/>
        <item x="631"/>
        <item x="1357"/>
        <item x="716"/>
        <item x="1562"/>
        <item x="1796"/>
        <item x="906"/>
        <item x="1067"/>
        <item x="267"/>
        <item x="812"/>
        <item x="476"/>
        <item x="930"/>
        <item x="1595"/>
        <item x="1681"/>
        <item x="331"/>
        <item x="1942"/>
        <item x="381"/>
        <item x="805"/>
        <item x="919"/>
        <item x="1055"/>
        <item x="1931"/>
        <item x="775"/>
        <item x="93"/>
        <item x="1356"/>
        <item x="362"/>
        <item x="762"/>
        <item x="1128"/>
        <item x="652"/>
        <item x="1711"/>
        <item x="927"/>
        <item x="1520"/>
        <item x="300"/>
        <item x="1286"/>
        <item x="838"/>
        <item x="748"/>
        <item x="1543"/>
        <item x="1782"/>
        <item x="1216"/>
        <item x="1479"/>
        <item x="1608"/>
        <item x="1751"/>
        <item x="1075"/>
        <item x="878"/>
        <item x="375"/>
        <item x="902"/>
        <item x="313"/>
        <item x="908"/>
        <item x="40"/>
        <item x="38"/>
        <item x="587"/>
        <item x="1285"/>
        <item x="194"/>
        <item x="758"/>
        <item x="1348"/>
        <item x="467"/>
        <item x="732"/>
        <item x="1820"/>
        <item x="1685"/>
        <item x="434"/>
        <item x="723"/>
        <item x="1756"/>
        <item x="1585"/>
        <item x="1529"/>
        <item x="1173"/>
        <item x="1693"/>
        <item x="1059"/>
        <item x="183"/>
        <item x="1218"/>
        <item x="48"/>
        <item x="16"/>
        <item x="1707"/>
        <item x="632"/>
        <item x="1698"/>
        <item x="112"/>
        <item x="635"/>
        <item x="961"/>
        <item x="1149"/>
        <item x="133"/>
        <item x="1310"/>
        <item x="1883"/>
        <item x="1122"/>
        <item x="1901"/>
        <item x="136"/>
        <item x="553"/>
        <item x="644"/>
        <item x="378"/>
        <item x="1196"/>
        <item x="1634"/>
        <item x="1617"/>
        <item x="379"/>
        <item x="968"/>
        <item x="260"/>
        <item x="774"/>
        <item x="1905"/>
        <item x="1071"/>
        <item x="303"/>
        <item x="240"/>
        <item x="1910"/>
        <item x="1828"/>
        <item x="1004"/>
        <item x="647"/>
        <item x="1334"/>
        <item x="485"/>
        <item x="825"/>
        <item x="1371"/>
        <item x="734"/>
        <item x="717"/>
        <item x="1893"/>
        <item x="1943"/>
        <item x="1720"/>
        <item x="1235"/>
        <item x="1790"/>
        <item x="845"/>
        <item x="1151"/>
        <item x="301"/>
        <item x="107"/>
        <item x="1631"/>
        <item x="1762"/>
        <item x="305"/>
        <item x="1581"/>
        <item x="428"/>
        <item x="1035"/>
        <item x="1257"/>
        <item x="1066"/>
        <item x="1916"/>
        <item x="804"/>
        <item x="796"/>
        <item x="475"/>
        <item x="1402"/>
        <item x="1625"/>
        <item x="1647"/>
        <item x="1689"/>
        <item x="149"/>
        <item x="1902"/>
        <item x="82"/>
        <item x="776"/>
        <item x="619"/>
        <item x="1701"/>
        <item x="1797"/>
        <item x="1181"/>
        <item x="79"/>
        <item x="1769"/>
        <item x="1660"/>
        <item x="626"/>
        <item x="484"/>
        <item x="473"/>
        <item x="735"/>
        <item x="991"/>
        <item x="317"/>
        <item x="1012"/>
        <item x="1840"/>
        <item x="1727"/>
        <item x="1083"/>
        <item x="334"/>
        <item x="1667"/>
        <item x="682"/>
        <item x="370"/>
        <item x="341"/>
        <item x="695"/>
        <item x="1167"/>
        <item x="1845"/>
        <item x="128"/>
        <item x="340"/>
        <item x="1854"/>
        <item x="1430"/>
        <item x="1251"/>
        <item x="88"/>
        <item x="299"/>
        <item x="1834"/>
        <item x="1876"/>
        <item x="1429"/>
        <item x="1537"/>
        <item x="1390"/>
        <item x="1127"/>
        <item x="1578"/>
        <item x="1394"/>
        <item x="1208"/>
        <item x="274"/>
        <item x="488"/>
        <item x="1777"/>
        <item x="230"/>
        <item x="1747"/>
        <item x="585"/>
        <item x="302"/>
        <item x="1267"/>
        <item x="1500"/>
        <item x="1895"/>
        <item x="1368"/>
        <item x="1544"/>
        <item x="1183"/>
        <item x="1372"/>
        <item x="655"/>
        <item x="577"/>
        <item x="235"/>
        <item x="232"/>
        <item x="816"/>
        <item x="713"/>
        <item x="1885"/>
        <item x="1201"/>
        <item x="1311"/>
        <item x="1329"/>
        <item x="860"/>
        <item x="61"/>
        <item x="1165"/>
        <item x="947"/>
        <item x="1349"/>
        <item x="564"/>
        <item x="87"/>
        <item x="659"/>
        <item x="329"/>
        <item x="1575"/>
        <item x="441"/>
        <item x="1636"/>
        <item x="1211"/>
        <item x="33"/>
        <item x="415"/>
        <item x="580"/>
        <item x="1848"/>
        <item x="474"/>
        <item x="1281"/>
        <item x="1655"/>
        <item x="298"/>
        <item x="1029"/>
        <item x="1852"/>
        <item x="1580"/>
        <item x="0"/>
        <item x="420"/>
        <item x="424"/>
        <item x="1414"/>
        <item x="636"/>
        <item x="821"/>
        <item x="1822"/>
        <item x="1884"/>
        <item x="320"/>
        <item x="1474"/>
        <item x="1818"/>
        <item x="1869"/>
        <item x="1644"/>
        <item x="114"/>
        <item x="596"/>
        <item x="692"/>
        <item x="948"/>
        <item x="276"/>
        <item x="970"/>
        <item x="1384"/>
        <item x="1354"/>
        <item x="1502"/>
        <item x="356"/>
        <item x="270"/>
        <item x="259"/>
        <item x="638"/>
        <item x="489"/>
        <item x="542"/>
        <item x="52"/>
        <item x="174"/>
        <item x="1684"/>
        <item x="304"/>
        <item x="552"/>
        <item x="1718"/>
        <item x="1510"/>
        <item x="238"/>
        <item x="377"/>
        <item x="309"/>
        <item x="1622"/>
        <item x="768"/>
        <item x="31"/>
        <item x="1130"/>
        <item x="376"/>
        <item x="1401"/>
        <item x="1496"/>
        <item x="1309"/>
        <item x="1319"/>
        <item x="568"/>
        <item x="1287"/>
        <item x="1345"/>
        <item x="360"/>
        <item x="1246"/>
        <item x="960"/>
        <item x="1418"/>
        <item x="815"/>
        <item x="807"/>
        <item x="1316"/>
        <item x="1179"/>
        <item x="1154"/>
        <item x="995"/>
        <item x="1019"/>
        <item x="605"/>
        <item x="868"/>
        <item x="670"/>
        <item x="1146"/>
        <item x="1561"/>
        <item x="1936"/>
        <item x="867"/>
        <item x="569"/>
        <item x="1180"/>
        <item x="29"/>
        <item x="218"/>
        <item x="1461"/>
        <item x="931"/>
        <item x="1616"/>
        <item x="881"/>
        <item x="447"/>
        <item x="840"/>
        <item x="996"/>
        <item x="1572"/>
        <item x="1224"/>
        <item x="916"/>
        <item x="1900"/>
        <item x="1816"/>
        <item x="1547"/>
        <item x="1432"/>
        <item x="1856"/>
        <item x="547"/>
        <item x="1722"/>
        <item x="380"/>
        <item x="1451"/>
        <item x="1607"/>
        <item x="184"/>
        <item x="691"/>
        <item x="1512"/>
        <item x="912"/>
        <item x="1530"/>
        <item x="50"/>
        <item x="292"/>
        <item x="223"/>
        <item x="3"/>
        <item x="753"/>
        <item x="67"/>
        <item x="703"/>
        <item x="286"/>
        <item x="1060"/>
        <item x="783"/>
        <item x="1274"/>
        <item x="1089"/>
        <item x="1440"/>
        <item x="1699"/>
        <item x="560"/>
        <item x="1361"/>
        <item x="1399"/>
        <item x="1786"/>
        <item x="1653"/>
        <item x="161"/>
        <item x="201"/>
        <item x="391"/>
        <item x="823"/>
        <item x="1497"/>
        <item x="1187"/>
        <item x="770"/>
        <item x="1313"/>
        <item x="1566"/>
        <item x="1606"/>
        <item x="939"/>
        <item x="369"/>
        <item x="598"/>
        <item x="1254"/>
        <item x="1323"/>
        <item x="1407"/>
        <item x="1678"/>
        <item x="1336"/>
        <item x="1006"/>
        <item x="694"/>
        <item x="1668"/>
        <item x="1444"/>
        <item x="319"/>
        <item x="797"/>
        <item x="1880"/>
        <item x="73"/>
        <item x="1283"/>
        <item x="1337"/>
        <item x="1669"/>
        <item x="1269"/>
        <item x="507"/>
        <item x="600"/>
        <item x="1859"/>
        <item x="516"/>
        <item x="909"/>
        <item x="928"/>
        <item x="1875"/>
        <item x="866"/>
        <item x="1328"/>
        <item x="291"/>
        <item x="368"/>
        <item x="1366"/>
        <item x="1717"/>
        <item x="1896"/>
        <item x="1589"/>
        <item x="358"/>
        <item x="1425"/>
        <item x="83"/>
        <item x="1212"/>
        <item x="357"/>
        <item x="1630"/>
        <item x="999"/>
        <item x="1781"/>
        <item x="1441"/>
        <item x="926"/>
        <item x="212"/>
        <item x="1815"/>
        <item x="1807"/>
        <item x="727"/>
        <item x="1209"/>
        <item x="828"/>
        <item x="967"/>
        <item x="964"/>
        <item x="1946"/>
        <item x="1278"/>
        <item x="1841"/>
        <item x="1503"/>
        <item x="77"/>
        <item x="711"/>
        <item x="575"/>
        <item x="839"/>
        <item x="843"/>
        <item x="1878"/>
        <item x="178"/>
        <item x="345"/>
        <item x="1679"/>
        <item x="1026"/>
        <item x="1817"/>
        <item x="780"/>
        <item x="759"/>
        <item x="611"/>
        <item x="1392"/>
        <item x="1000"/>
        <item x="160"/>
        <item x="233"/>
        <item x="1247"/>
        <item x="1673"/>
        <item x="1577"/>
        <item x="1205"/>
        <item x="1666"/>
        <item x="1635"/>
        <item x="914"/>
        <item x="662"/>
        <item x="566"/>
        <item x="976"/>
        <item x="481"/>
        <item x="974"/>
        <item x="234"/>
        <item x="1810"/>
        <item x="432"/>
        <item x="849"/>
        <item x="1408"/>
        <item x="1584"/>
        <item x="1704"/>
        <item x="728"/>
        <item x="541"/>
        <item x="1509"/>
        <item x="642"/>
        <item x="444"/>
        <item x="962"/>
        <item x="417"/>
        <item x="1768"/>
        <item x="1346"/>
        <item x="689"/>
        <item x="646"/>
        <item x="540"/>
        <item x="431"/>
        <item x="1779"/>
        <item x="1261"/>
        <item x="156"/>
        <item x="788"/>
        <item x="1548"/>
        <item x="1450"/>
        <item x="1670"/>
        <item x="545"/>
        <item x="1827"/>
        <item x="1092"/>
        <item x="529"/>
        <item x="798"/>
        <item x="1294"/>
        <item x="63"/>
        <item x="1210"/>
        <item x="22"/>
        <item x="452"/>
        <item x="1731"/>
        <item x="153"/>
        <item x="892"/>
        <item x="747"/>
        <item x="1930"/>
        <item x="591"/>
        <item x="346"/>
        <item x="1734"/>
        <item x="97"/>
        <item x="1541"/>
        <item x="486"/>
        <item x="1374"/>
        <item x="120"/>
        <item x="140"/>
        <item x="861"/>
        <item x="676"/>
        <item x="65"/>
        <item x="96"/>
        <item x="278"/>
        <item x="622"/>
        <item x="1114"/>
        <item x="1299"/>
        <item x="54"/>
        <item x="130"/>
        <item x="1799"/>
        <item x="109"/>
        <item x="884"/>
        <item x="651"/>
        <item x="1259"/>
        <item x="108"/>
        <item x="442"/>
        <item x="290"/>
        <item x="548"/>
        <item x="51"/>
        <item x="1732"/>
        <item x="311"/>
        <item x="932"/>
        <item x="1560"/>
        <item x="1301"/>
        <item x="116"/>
        <item x="185"/>
        <item x="1823"/>
        <item x="841"/>
        <item x="1225"/>
        <item x="68"/>
        <item x="170"/>
        <item x="141"/>
        <item x="1031"/>
        <item x="1398"/>
        <item x="781"/>
        <item x="904"/>
        <item x="1755"/>
        <item x="1879"/>
        <item x="1658"/>
        <item x="58"/>
        <item x="543"/>
        <item x="588"/>
        <item x="90"/>
        <item x="1260"/>
        <item x="1809"/>
        <item x="1535"/>
        <item x="1788"/>
        <item x="1739"/>
        <item x="1651"/>
        <item x="1938"/>
        <item x="445"/>
        <item x="565"/>
        <item x="572"/>
        <item x="890"/>
        <item x="1314"/>
        <item x="64"/>
        <item x="1275"/>
        <item x="157"/>
        <item x="1193"/>
        <item x="1058"/>
        <item x="1005"/>
        <item x="1860"/>
        <item x="142"/>
        <item x="1482"/>
        <item x="1469"/>
        <item x="264"/>
        <item x="658"/>
        <item x="1117"/>
        <item x="168"/>
        <item x="537"/>
        <item x="1007"/>
        <item x="664"/>
        <item x="139"/>
        <item x="1381"/>
        <item x="1914"/>
        <item x="533"/>
        <item x="220"/>
        <item x="1824"/>
        <item x="941"/>
        <item x="137"/>
        <item x="1654"/>
        <item x="172"/>
        <item x="1103"/>
        <item x="186"/>
        <item x="1292"/>
        <item x="71"/>
        <item x="1476"/>
        <item x="1001"/>
        <item x="1448"/>
        <item x="344"/>
        <item x="176"/>
        <item x="145"/>
        <item x="1929"/>
        <item x="506"/>
        <item x="865"/>
        <item x="188"/>
        <item x="792"/>
        <item x="1078"/>
        <item x="1431"/>
        <item x="202"/>
        <item x="74"/>
        <item x="326"/>
        <item x="1505"/>
        <item x="110"/>
        <item x="248"/>
        <item x="1945"/>
        <item x="589"/>
        <item x="164"/>
        <item x="1596"/>
        <item x="704"/>
        <item x="105"/>
        <item x="207"/>
        <item x="1136"/>
        <item x="135"/>
        <item x="684"/>
        <item x="416"/>
        <item x="519"/>
        <item x="192"/>
        <item x="203"/>
        <item x="470"/>
        <item x="1419"/>
        <item x="1624"/>
        <item x="353"/>
        <item x="148"/>
        <item x="1800"/>
        <item x="1554"/>
        <item x="55"/>
        <item x="243"/>
        <item x="1327"/>
        <item x="1538"/>
        <item x="106"/>
        <item x="1113"/>
        <item x="171"/>
        <item x="349"/>
        <item x="85"/>
        <item x="1481"/>
        <item x="39"/>
        <item x="1027"/>
        <item x="1524"/>
        <item x="191"/>
        <item x="915"/>
        <item x="205"/>
        <item x="450"/>
        <item x="1632"/>
        <item x="37"/>
        <item x="990"/>
        <item x="53"/>
        <item x="144"/>
        <item x="208"/>
        <item x="707"/>
        <item x="70"/>
        <item x="1353"/>
        <item x="888"/>
        <item x="1326"/>
        <item x="1041"/>
        <item x="1940"/>
        <item x="625"/>
        <item x="115"/>
        <item x="465"/>
        <item x="1821"/>
        <item x="129"/>
        <item x="1618"/>
        <item x="147"/>
        <item x="469"/>
        <item x="210"/>
        <item x="75"/>
        <item x="1688"/>
        <item x="103"/>
        <item x="197"/>
        <item x="95"/>
        <item x="78"/>
        <item x="138"/>
        <item x="219"/>
        <item x="837"/>
        <item x="1056"/>
        <item x="56"/>
        <item x="581"/>
        <item x="241"/>
        <item x="200"/>
        <item x="166"/>
        <item x="697"/>
        <item x="1126"/>
        <item x="119"/>
        <item x="1226"/>
        <item x="158"/>
        <item x="272"/>
        <item x="151"/>
        <item x="258"/>
        <item x="1855"/>
        <item x="455"/>
        <item x="559"/>
        <item x="518"/>
        <item x="1182"/>
        <item x="457"/>
        <item x="512"/>
        <item x="508"/>
        <item x="546"/>
        <item x="1120"/>
        <item x="1719"/>
        <item x="1034"/>
        <item x="656"/>
        <item x="1517"/>
        <item x="975"/>
        <item x="1370"/>
        <item x="1110"/>
        <item x="1094"/>
        <item x="1203"/>
        <item x="1650"/>
        <item x="1649"/>
        <item x="1656"/>
        <item x="1129"/>
        <item x="1602"/>
        <item x="983"/>
        <item x="602"/>
        <item x="1238"/>
        <item x="660"/>
        <item x="1948"/>
        <item t="default"/>
      </items>
    </pivotField>
    <pivotField axis="axisRow" numFmtId="14" showAll="0" insertBlankRow="1">
      <items count="509">
        <item x="0"/>
        <item x="1"/>
        <item x="3"/>
        <item x="5"/>
        <item x="6"/>
        <item x="7"/>
        <item x="8"/>
        <item x="9"/>
        <item x="10"/>
        <item x="12"/>
        <item x="14"/>
        <item x="15"/>
        <item x="16"/>
        <item x="17"/>
        <item x="19"/>
        <item x="20"/>
        <item x="22"/>
        <item x="23"/>
        <item x="24"/>
        <item x="25"/>
        <item x="26"/>
        <item x="27"/>
        <item x="28"/>
        <item x="29"/>
        <item x="30"/>
        <item x="31"/>
        <item x="32"/>
        <item x="33"/>
        <item x="34"/>
        <item x="35"/>
        <item x="36"/>
        <item x="37"/>
        <item x="38"/>
        <item x="39"/>
        <item x="40"/>
        <item x="42"/>
        <item x="43"/>
        <item x="44"/>
        <item x="45"/>
        <item x="46"/>
        <item x="47"/>
        <item x="48"/>
        <item x="49"/>
        <item x="50"/>
        <item x="51"/>
        <item x="54"/>
        <item x="55"/>
        <item x="60"/>
        <item x="61"/>
        <item m="1" x="507"/>
        <item x="65"/>
        <item x="69"/>
        <item x="70"/>
        <item x="72"/>
        <item x="74"/>
        <item x="76"/>
        <item x="78"/>
        <item x="79"/>
        <item x="80"/>
        <item x="81"/>
        <item x="82"/>
        <item x="84"/>
        <item x="85"/>
        <item x="86"/>
        <item x="87"/>
        <item x="88"/>
        <item x="89"/>
        <item x="90"/>
        <item x="221"/>
        <item x="220"/>
        <item x="219"/>
        <item x="218"/>
        <item x="217"/>
        <item x="216"/>
        <item x="215"/>
        <item x="214"/>
        <item x="213"/>
        <item x="212"/>
        <item x="211"/>
        <item x="210"/>
        <item x="209"/>
        <item x="208"/>
        <item x="207"/>
        <item x="206"/>
        <item x="205"/>
        <item x="204"/>
        <item x="203"/>
        <item x="202"/>
        <item x="201"/>
        <item x="200"/>
        <item x="199"/>
        <item x="198"/>
        <item x="197"/>
        <item x="196"/>
        <item x="195"/>
        <item x="194"/>
        <item x="193"/>
        <item x="192"/>
        <item x="191"/>
        <item x="190"/>
        <item x="189"/>
        <item x="188"/>
        <item x="187"/>
        <item x="186"/>
        <item x="185"/>
        <item x="184"/>
        <item x="183"/>
        <item x="182"/>
        <item x="181"/>
        <item x="180"/>
        <item x="179"/>
        <item x="178"/>
        <item x="177"/>
        <item x="176"/>
        <item x="175"/>
        <item x="174"/>
        <item x="173"/>
        <item x="172"/>
        <item x="171"/>
        <item x="170"/>
        <item x="169"/>
        <item x="168"/>
        <item x="167"/>
        <item x="166"/>
        <item x="165"/>
        <item x="164"/>
        <item x="163"/>
        <item x="162"/>
        <item x="161"/>
        <item x="160"/>
        <item x="159"/>
        <item x="158"/>
        <item x="157"/>
        <item x="156"/>
        <item x="155"/>
        <item x="154"/>
        <item x="153"/>
        <item x="152"/>
        <item x="151"/>
        <item x="150"/>
        <item x="149"/>
        <item x="148"/>
        <item x="147"/>
        <item x="146"/>
        <item x="145"/>
        <item x="144"/>
        <item x="143"/>
        <item x="142"/>
        <item x="141"/>
        <item x="140"/>
        <item x="139"/>
        <item x="138"/>
        <item x="137"/>
        <item x="136"/>
        <item x="135"/>
        <item x="134"/>
        <item x="133"/>
        <item x="132"/>
        <item x="131"/>
        <item x="130"/>
        <item x="129"/>
        <item x="128"/>
        <item x="127"/>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83"/>
        <item x="77"/>
        <item x="75"/>
        <item x="73"/>
        <item x="71"/>
        <item x="68"/>
        <item x="67"/>
        <item x="66"/>
        <item x="64"/>
        <item x="63"/>
        <item x="62"/>
        <item x="59"/>
        <item x="58"/>
        <item x="57"/>
        <item x="56"/>
        <item x="53"/>
        <item x="52"/>
        <item x="41"/>
        <item x="21"/>
        <item x="18"/>
        <item x="13"/>
        <item x="11"/>
        <item x="4"/>
        <item x="2"/>
        <item x="227"/>
        <item x="226"/>
        <item x="225"/>
        <item x="224"/>
        <item x="223"/>
        <item x="222"/>
        <item x="235"/>
        <item x="234"/>
        <item x="233"/>
        <item x="232"/>
        <item x="231"/>
        <item x="228"/>
        <item x="230"/>
        <item x="229"/>
        <item x="240"/>
        <item x="239"/>
        <item x="241"/>
        <item x="238"/>
        <item x="237"/>
        <item x="236"/>
        <item x="257"/>
        <item x="256"/>
        <item x="255"/>
        <item x="254"/>
        <item x="253"/>
        <item x="252"/>
        <item x="251"/>
        <item x="250"/>
        <item x="246"/>
        <item x="245"/>
        <item x="249"/>
        <item x="248"/>
        <item x="247"/>
        <item x="244"/>
        <item x="243"/>
        <item x="242"/>
        <item x="265"/>
        <item x="264"/>
        <item x="263"/>
        <item x="262"/>
        <item x="261"/>
        <item x="260"/>
        <item x="259"/>
        <item x="258"/>
        <item x="274"/>
        <item x="273"/>
        <item x="272"/>
        <item x="271"/>
        <item x="270"/>
        <item x="268"/>
        <item x="266"/>
        <item x="269"/>
        <item x="267"/>
        <item x="278"/>
        <item x="277"/>
        <item x="276"/>
        <item x="275"/>
        <item x="289"/>
        <item x="288"/>
        <item x="287"/>
        <item x="286"/>
        <item x="285"/>
        <item x="284"/>
        <item x="283"/>
        <item x="282"/>
        <item x="281"/>
        <item x="280"/>
        <item x="279"/>
        <item x="294"/>
        <item x="293"/>
        <item x="292"/>
        <item x="291"/>
        <item x="290"/>
        <item x="301"/>
        <item x="300"/>
        <item x="299"/>
        <item x="298"/>
        <item x="297"/>
        <item x="296"/>
        <item x="295"/>
        <item x="307"/>
        <item x="306"/>
        <item x="305"/>
        <item x="304"/>
        <item x="303"/>
        <item x="302"/>
        <item x="314"/>
        <item x="313"/>
        <item x="312"/>
        <item x="311"/>
        <item x="310"/>
        <item x="309"/>
        <item x="308"/>
        <item x="323"/>
        <item x="322"/>
        <item x="321"/>
        <item x="320"/>
        <item x="319"/>
        <item x="318"/>
        <item x="317"/>
        <item x="316"/>
        <item x="332"/>
        <item x="331"/>
        <item x="330"/>
        <item x="329"/>
        <item x="328"/>
        <item x="327"/>
        <item x="326"/>
        <item x="325"/>
        <item x="324"/>
        <item x="315"/>
        <item x="347"/>
        <item x="346"/>
        <item x="345"/>
        <item x="344"/>
        <item x="343"/>
        <item x="342"/>
        <item x="341"/>
        <item x="340"/>
        <item x="339"/>
        <item x="338"/>
        <item x="337"/>
        <item x="336"/>
        <item x="335"/>
        <item x="334"/>
        <item x="333"/>
        <item x="356"/>
        <item x="355"/>
        <item x="354"/>
        <item x="351"/>
        <item x="350"/>
        <item x="349"/>
        <item x="348"/>
        <item x="353"/>
        <item x="352"/>
        <item x="367"/>
        <item x="366"/>
        <item x="365"/>
        <item x="364"/>
        <item x="363"/>
        <item x="362"/>
        <item x="361"/>
        <item x="360"/>
        <item x="359"/>
        <item x="358"/>
        <item x="357"/>
        <item x="376"/>
        <item x="375"/>
        <item x="374"/>
        <item x="373"/>
        <item x="372"/>
        <item x="371"/>
        <item x="370"/>
        <item x="369"/>
        <item x="368"/>
        <item x="383"/>
        <item x="382"/>
        <item x="381"/>
        <item x="380"/>
        <item x="379"/>
        <item x="378"/>
        <item x="377"/>
        <item x="392"/>
        <item x="391"/>
        <item x="390"/>
        <item x="387"/>
        <item x="386"/>
        <item x="385"/>
        <item x="384"/>
        <item x="389"/>
        <item x="388"/>
        <item x="406"/>
        <item x="405"/>
        <item x="404"/>
        <item x="403"/>
        <item x="402"/>
        <item x="401"/>
        <item x="400"/>
        <item x="399"/>
        <item x="398"/>
        <item x="397"/>
        <item x="396"/>
        <item x="395"/>
        <item x="394"/>
        <item x="393"/>
        <item x="411"/>
        <item x="410"/>
        <item x="409"/>
        <item x="408"/>
        <item x="407"/>
        <item x="422"/>
        <item x="421"/>
        <item x="420"/>
        <item x="419"/>
        <item x="418"/>
        <item x="417"/>
        <item x="416"/>
        <item x="415"/>
        <item x="414"/>
        <item x="413"/>
        <item x="412"/>
        <item x="430"/>
        <item x="426"/>
        <item x="425"/>
        <item x="424"/>
        <item x="423"/>
        <item x="429"/>
        <item x="428"/>
        <item x="427"/>
        <item x="442"/>
        <item x="441"/>
        <item x="440"/>
        <item x="439"/>
        <item x="438"/>
        <item x="437"/>
        <item x="436"/>
        <item x="435"/>
        <item x="434"/>
        <item x="433"/>
        <item x="432"/>
        <item x="431"/>
        <item x="456"/>
        <item x="455"/>
        <item x="454"/>
        <item x="453"/>
        <item x="452"/>
        <item x="451"/>
        <item x="450"/>
        <item x="449"/>
        <item x="448"/>
        <item x="447"/>
        <item x="446"/>
        <item x="445"/>
        <item x="444"/>
        <item x="443"/>
        <item x="461"/>
        <item x="460"/>
        <item x="459"/>
        <item x="458"/>
        <item x="457"/>
        <item x="464"/>
        <item x="463"/>
        <item x="462"/>
        <item x="465"/>
        <item x="471"/>
        <item x="470"/>
        <item x="469"/>
        <item x="468"/>
        <item x="467"/>
        <item x="466"/>
        <item x="474"/>
        <item x="473"/>
        <item x="472"/>
        <item x="478"/>
        <item x="477"/>
        <item x="476"/>
        <item x="475"/>
        <item x="479"/>
        <item x="482"/>
        <item x="481"/>
        <item x="480"/>
        <item x="486"/>
        <item x="485"/>
        <item x="484"/>
        <item x="483"/>
        <item x="488"/>
        <item x="487"/>
        <item x="492"/>
        <item x="491"/>
        <item x="490"/>
        <item x="489"/>
        <item x="494"/>
        <item x="493"/>
        <item x="495"/>
        <item x="496"/>
        <item x="497"/>
        <item x="498"/>
        <item x="499"/>
        <item x="500"/>
        <item x="501"/>
        <item x="502"/>
        <item x="503"/>
        <item x="504"/>
        <item x="505"/>
        <item x="506"/>
        <item t="default"/>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defaultSubtotal="0"/>
    <pivotField showAll="0" insertBlankRow="1"/>
    <pivotField showAll="0" defaultSubtotal="0"/>
    <pivotField axis="axisRow" showAll="0" insertBlankRow="1">
      <items count="315">
        <item x="10"/>
        <item x="7"/>
        <item x="16"/>
        <item x="11"/>
        <item x="22"/>
        <item x="4"/>
        <item x="12"/>
        <item x="17"/>
        <item x="27"/>
        <item m="1" x="313"/>
        <item x="8"/>
        <item x="5"/>
        <item x="19"/>
        <item x="15"/>
        <item x="35"/>
        <item x="14"/>
        <item x="13"/>
        <item x="20"/>
        <item x="26"/>
        <item x="21"/>
        <item x="18"/>
        <item x="9"/>
        <item x="1"/>
        <item x="29"/>
        <item x="3"/>
        <item x="0"/>
        <item x="57"/>
        <item x="148"/>
        <item x="157"/>
        <item x="66"/>
        <item x="158"/>
        <item x="59"/>
        <item x="89"/>
        <item x="156"/>
        <item x="153"/>
        <item x="155"/>
        <item x="154"/>
        <item x="113"/>
        <item x="82"/>
        <item x="150"/>
        <item x="43"/>
        <item x="50"/>
        <item x="152"/>
        <item x="133"/>
        <item x="151"/>
        <item x="119"/>
        <item x="149"/>
        <item x="145"/>
        <item x="147"/>
        <item x="146"/>
        <item x="138"/>
        <item x="130"/>
        <item x="143"/>
        <item x="137"/>
        <item x="144"/>
        <item x="126"/>
        <item x="142"/>
        <item x="120"/>
        <item x="141"/>
        <item x="134"/>
        <item x="139"/>
        <item x="129"/>
        <item x="140"/>
        <item x="136"/>
        <item x="135"/>
        <item x="23"/>
        <item x="132"/>
        <item x="131"/>
        <item x="92"/>
        <item x="52"/>
        <item x="128"/>
        <item x="122"/>
        <item x="125"/>
        <item x="127"/>
        <item x="107"/>
        <item x="124"/>
        <item x="111"/>
        <item x="123"/>
        <item x="114"/>
        <item x="121"/>
        <item x="42"/>
        <item x="118"/>
        <item x="117"/>
        <item x="2"/>
        <item x="116"/>
        <item x="115"/>
        <item x="108"/>
        <item x="110"/>
        <item x="109"/>
        <item x="112"/>
        <item x="106"/>
        <item x="97"/>
        <item x="104"/>
        <item x="85"/>
        <item x="99"/>
        <item x="105"/>
        <item x="58"/>
        <item x="93"/>
        <item x="100"/>
        <item x="87"/>
        <item x="60"/>
        <item x="81"/>
        <item x="103"/>
        <item x="102"/>
        <item x="101"/>
        <item x="74"/>
        <item x="98"/>
        <item x="96"/>
        <item x="95"/>
        <item x="94"/>
        <item x="72"/>
        <item x="55"/>
        <item x="40"/>
        <item x="61"/>
        <item x="36"/>
        <item x="91"/>
        <item x="90"/>
        <item x="67"/>
        <item x="88"/>
        <item x="62"/>
        <item x="86"/>
        <item x="84"/>
        <item x="83"/>
        <item x="78"/>
        <item x="80"/>
        <item x="79"/>
        <item x="77"/>
        <item x="75"/>
        <item x="69"/>
        <item x="76"/>
        <item x="73"/>
        <item x="71"/>
        <item x="70"/>
        <item x="68"/>
        <item x="51"/>
        <item x="65"/>
        <item x="64"/>
        <item x="63"/>
        <item x="37"/>
        <item x="56"/>
        <item x="54"/>
        <item x="53"/>
        <item x="49"/>
        <item x="48"/>
        <item x="47"/>
        <item x="46"/>
        <item x="45"/>
        <item x="44"/>
        <item x="41"/>
        <item x="39"/>
        <item x="38"/>
        <item x="34"/>
        <item x="33"/>
        <item x="32"/>
        <item x="31"/>
        <item x="30"/>
        <item x="28"/>
        <item x="25"/>
        <item x="24"/>
        <item x="6"/>
        <item x="161"/>
        <item x="162"/>
        <item x="159"/>
        <item x="160"/>
        <item x="163"/>
        <item x="167"/>
        <item x="165"/>
        <item x="164"/>
        <item x="169"/>
        <item x="166"/>
        <item x="168"/>
        <item x="171"/>
        <item x="174"/>
        <item x="173"/>
        <item x="172"/>
        <item x="170"/>
        <item x="184"/>
        <item x="182"/>
        <item x="177"/>
        <item x="183"/>
        <item x="180"/>
        <item x="179"/>
        <item x="178"/>
        <item x="176"/>
        <item x="175"/>
        <item x="181"/>
        <item x="185"/>
        <item x="188"/>
        <item x="186"/>
        <item x="187"/>
        <item x="195"/>
        <item x="189"/>
        <item x="194"/>
        <item x="193"/>
        <item x="192"/>
        <item x="191"/>
        <item x="190"/>
        <item x="198"/>
        <item x="199"/>
        <item x="197"/>
        <item x="196"/>
        <item x="210"/>
        <item x="211"/>
        <item x="209"/>
        <item x="208"/>
        <item x="206"/>
        <item x="207"/>
        <item x="202"/>
        <item x="203"/>
        <item x="204"/>
        <item x="205"/>
        <item x="201"/>
        <item x="200"/>
        <item x="215"/>
        <item x="214"/>
        <item x="213"/>
        <item x="212"/>
        <item x="218"/>
        <item x="216"/>
        <item x="217"/>
        <item x="220"/>
        <item x="219"/>
        <item x="221"/>
        <item x="233"/>
        <item x="234"/>
        <item x="235"/>
        <item x="232"/>
        <item x="231"/>
        <item x="229"/>
        <item x="230"/>
        <item x="228"/>
        <item x="223"/>
        <item x="227"/>
        <item x="224"/>
        <item x="225"/>
        <item x="226"/>
        <item x="222"/>
        <item x="240"/>
        <item x="237"/>
        <item x="238"/>
        <item x="239"/>
        <item x="236"/>
        <item x="250"/>
        <item x="248"/>
        <item x="249"/>
        <item x="241"/>
        <item x="247"/>
        <item x="246"/>
        <item x="245"/>
        <item x="244"/>
        <item x="243"/>
        <item x="242"/>
        <item x="255"/>
        <item x="253"/>
        <item x="254"/>
        <item x="252"/>
        <item x="251"/>
        <item x="261"/>
        <item x="260"/>
        <item x="257"/>
        <item x="258"/>
        <item x="259"/>
        <item x="256"/>
        <item x="266"/>
        <item x="264"/>
        <item x="262"/>
        <item x="265"/>
        <item x="263"/>
        <item x="271"/>
        <item x="270"/>
        <item x="267"/>
        <item x="269"/>
        <item x="268"/>
        <item x="275"/>
        <item x="274"/>
        <item x="273"/>
        <item x="272"/>
        <item x="281"/>
        <item x="279"/>
        <item x="280"/>
        <item x="277"/>
        <item x="278"/>
        <item x="276"/>
        <item x="282"/>
        <item x="283"/>
        <item x="285"/>
        <item x="284"/>
        <item x="292"/>
        <item x="295"/>
        <item x="293"/>
        <item x="294"/>
        <item x="289"/>
        <item x="291"/>
        <item x="290"/>
        <item x="287"/>
        <item x="288"/>
        <item x="286"/>
        <item x="298"/>
        <item x="296"/>
        <item x="297"/>
        <item x="299"/>
        <item x="301"/>
        <item x="302"/>
        <item x="300"/>
        <item x="303"/>
        <item x="304"/>
        <item x="305"/>
        <item x="306"/>
        <item x="307"/>
        <item x="308"/>
        <item x="309"/>
        <item x="310"/>
        <item x="311"/>
        <item x="312"/>
        <item t="default"/>
      </items>
    </pivotField>
  </pivotFields>
  <rowFields count="3">
    <field x="3"/>
    <field x="4"/>
    <field x="18"/>
  </rowFields>
  <rowItems count="9200">
    <i>
      <x/>
    </i>
    <i r="1">
      <x v="321"/>
    </i>
    <i r="2">
      <x v="171"/>
    </i>
    <i t="blank" r="1">
      <x v="321"/>
    </i>
    <i>
      <x v="1"/>
    </i>
    <i r="1">
      <x v="245"/>
    </i>
    <i r="2">
      <x v="36"/>
    </i>
    <i t="blank" r="1">
      <x v="245"/>
    </i>
    <i>
      <x v="2"/>
    </i>
    <i r="1">
      <x v="408"/>
    </i>
    <i r="2">
      <x v="83"/>
    </i>
    <i t="blank" r="1">
      <x v="408"/>
    </i>
    <i>
      <x v="3"/>
    </i>
    <i r="1">
      <x v="272"/>
    </i>
    <i r="2">
      <x v="15"/>
    </i>
    <i t="blank" r="1">
      <x v="272"/>
    </i>
    <i>
      <x v="4"/>
    </i>
    <i r="1">
      <x v="211"/>
    </i>
    <i r="2">
      <x v="5"/>
    </i>
    <i t="blank" r="1">
      <x v="211"/>
    </i>
    <i>
      <x v="5"/>
    </i>
    <i r="1">
      <x v="406"/>
    </i>
    <i r="2">
      <x v="83"/>
    </i>
    <i t="blank" r="1">
      <x v="406"/>
    </i>
    <i>
      <x v="6"/>
    </i>
    <i r="1">
      <x v="396"/>
    </i>
    <i r="2">
      <x v="83"/>
    </i>
    <i t="blank" r="1">
      <x v="396"/>
    </i>
    <i>
      <x v="7"/>
    </i>
    <i r="1">
      <x v="496"/>
    </i>
    <i r="2">
      <x v="261"/>
    </i>
    <i t="blank" r="1">
      <x v="496"/>
    </i>
    <i>
      <x v="8"/>
    </i>
    <i r="1">
      <x v="474"/>
    </i>
    <i r="2">
      <x v="243"/>
    </i>
    <i t="blank" r="1">
      <x v="474"/>
    </i>
    <i>
      <x v="9"/>
    </i>
    <i r="1">
      <x v="473"/>
    </i>
    <i r="2">
      <x v="261"/>
    </i>
    <i t="blank" r="1">
      <x v="473"/>
    </i>
    <i>
      <x v="10"/>
    </i>
    <i r="1">
      <x v="391"/>
    </i>
    <i r="2">
      <x v="83"/>
    </i>
    <i t="blank" r="1">
      <x v="391"/>
    </i>
    <i>
      <x v="11"/>
    </i>
    <i r="1">
      <x v="331"/>
    </i>
    <i r="2">
      <x v="17"/>
    </i>
    <i t="blank" r="1">
      <x v="331"/>
    </i>
    <i>
      <x v="12"/>
    </i>
    <i r="1">
      <x v="143"/>
    </i>
    <i r="2">
      <x v="83"/>
    </i>
    <i t="blank" r="1">
      <x v="143"/>
    </i>
    <i>
      <x v="13"/>
    </i>
    <i r="1">
      <x v="355"/>
    </i>
    <i r="2">
      <x v="59"/>
    </i>
    <i t="blank" r="1">
      <x v="355"/>
    </i>
    <i>
      <x v="14"/>
    </i>
    <i r="1">
      <x v="407"/>
    </i>
    <i r="2">
      <x v="245"/>
    </i>
    <i t="blank" r="1">
      <x v="407"/>
    </i>
    <i>
      <x v="15"/>
    </i>
    <i r="1">
      <x v="32"/>
    </i>
    <i r="2">
      <x v="12"/>
    </i>
    <i t="blank" r="1">
      <x v="32"/>
    </i>
    <i>
      <x v="16"/>
    </i>
    <i r="1">
      <x v="389"/>
    </i>
    <i r="2">
      <x v="266"/>
    </i>
    <i t="blank" r="1">
      <x v="389"/>
    </i>
    <i>
      <x v="17"/>
    </i>
    <i r="1">
      <x v="434"/>
    </i>
    <i r="2">
      <x v="22"/>
    </i>
    <i t="blank" r="1">
      <x v="434"/>
    </i>
    <i>
      <x v="18"/>
    </i>
    <i r="1">
      <x v="250"/>
    </i>
    <i r="2">
      <x v="52"/>
    </i>
    <i t="blank" r="1">
      <x v="250"/>
    </i>
    <i>
      <x v="19"/>
    </i>
    <i r="1">
      <x v="103"/>
    </i>
    <i r="2">
      <x v="82"/>
    </i>
    <i t="blank" r="1">
      <x v="103"/>
    </i>
    <i>
      <x v="20"/>
    </i>
    <i r="1">
      <x v="306"/>
    </i>
    <i r="2">
      <x v="53"/>
    </i>
    <i t="blank" r="1">
      <x v="306"/>
    </i>
    <i>
      <x v="21"/>
    </i>
    <i r="1">
      <x v="164"/>
    </i>
    <i r="2">
      <x v="83"/>
    </i>
    <i t="blank" r="1">
      <x v="164"/>
    </i>
    <i>
      <x v="22"/>
    </i>
    <i r="1">
      <x v="463"/>
    </i>
    <i r="2">
      <x v="178"/>
    </i>
    <i t="blank" r="1">
      <x v="463"/>
    </i>
    <i>
      <x v="23"/>
    </i>
    <i r="1">
      <x v="58"/>
    </i>
    <i r="2">
      <x v="18"/>
    </i>
    <i t="blank" r="1">
      <x v="58"/>
    </i>
    <i>
      <x v="24"/>
    </i>
    <i r="1">
      <x v="436"/>
    </i>
    <i r="2">
      <x v="83"/>
    </i>
    <i t="blank" r="1">
      <x v="436"/>
    </i>
    <i>
      <x v="25"/>
    </i>
    <i r="1">
      <x v="151"/>
    </i>
    <i r="2">
      <x v="26"/>
    </i>
    <i t="blank" r="1">
      <x v="151"/>
    </i>
    <i>
      <x v="26"/>
    </i>
    <i r="1">
      <x v="399"/>
    </i>
    <i r="2">
      <x v="83"/>
    </i>
    <i t="blank" r="1">
      <x v="399"/>
    </i>
    <i>
      <x v="27"/>
    </i>
    <i r="1">
      <x v="432"/>
    </i>
    <i r="2">
      <x v="83"/>
    </i>
    <i t="blank" r="1">
      <x v="432"/>
    </i>
    <i>
      <x v="28"/>
    </i>
    <i r="1">
      <x v="378"/>
    </i>
    <i r="2">
      <x v="261"/>
    </i>
    <i t="blank" r="1">
      <x v="378"/>
    </i>
    <i>
      <x v="29"/>
    </i>
    <i r="1">
      <x v="456"/>
    </i>
    <i r="2">
      <x v="83"/>
    </i>
    <i t="blank" r="1">
      <x v="456"/>
    </i>
    <i>
      <x v="30"/>
    </i>
    <i r="1">
      <x v="378"/>
    </i>
    <i r="2">
      <x v="261"/>
    </i>
    <i t="blank" r="1">
      <x v="378"/>
    </i>
    <i>
      <x v="31"/>
    </i>
    <i r="1">
      <x v="16"/>
    </i>
    <i r="2">
      <x/>
    </i>
    <i t="blank" r="1">
      <x v="16"/>
    </i>
    <i>
      <x v="32"/>
    </i>
    <i r="1">
      <x v="414"/>
    </i>
    <i r="2">
      <x v="83"/>
    </i>
    <i t="blank" r="1">
      <x v="414"/>
    </i>
    <i>
      <x v="33"/>
    </i>
    <i r="1">
      <x v="390"/>
    </i>
    <i r="2">
      <x v="83"/>
    </i>
    <i t="blank" r="1">
      <x v="390"/>
    </i>
    <i>
      <x v="34"/>
    </i>
    <i r="1">
      <x v="441"/>
    </i>
    <i r="2">
      <x v="83"/>
    </i>
    <i t="blank" r="1">
      <x v="441"/>
    </i>
    <i>
      <x v="35"/>
    </i>
    <i r="1">
      <x v="396"/>
    </i>
    <i r="2">
      <x v="83"/>
    </i>
    <i t="blank" r="1">
      <x v="396"/>
    </i>
    <i>
      <x v="36"/>
    </i>
    <i r="1">
      <x v="80"/>
    </i>
    <i r="2">
      <x v="50"/>
    </i>
    <i t="blank" r="1">
      <x v="80"/>
    </i>
    <i r="1">
      <x v="86"/>
    </i>
    <i r="2">
      <x v="53"/>
    </i>
    <i t="blank" r="1">
      <x v="86"/>
    </i>
    <i r="1">
      <x v="89"/>
    </i>
    <i r="2">
      <x v="50"/>
    </i>
    <i t="blank" r="1">
      <x v="89"/>
    </i>
    <i r="1">
      <x v="92"/>
    </i>
    <i r="2">
      <x v="7"/>
    </i>
    <i t="blank" r="1">
      <x v="92"/>
    </i>
    <i r="1">
      <x v="96"/>
    </i>
    <i r="2">
      <x v="71"/>
    </i>
    <i t="blank" r="1">
      <x v="96"/>
    </i>
    <i r="1">
      <x v="111"/>
    </i>
    <i r="2">
      <x v="93"/>
    </i>
    <i t="blank" r="1">
      <x v="111"/>
    </i>
    <i r="1">
      <x v="260"/>
    </i>
    <i r="2">
      <x v="52"/>
    </i>
    <i t="blank" r="1">
      <x v="260"/>
    </i>
    <i r="1">
      <x v="265"/>
    </i>
    <i r="2">
      <x v="28"/>
    </i>
    <i t="blank" r="1">
      <x v="265"/>
    </i>
    <i r="1">
      <x v="272"/>
    </i>
    <i r="2">
      <x v="7"/>
    </i>
    <i t="blank" r="1">
      <x v="272"/>
    </i>
    <i>
      <x v="37"/>
    </i>
    <i r="1">
      <x v="503"/>
    </i>
    <i r="2">
      <x v="261"/>
    </i>
    <i t="blank" r="1">
      <x v="503"/>
    </i>
    <i>
      <x v="38"/>
    </i>
    <i r="1">
      <x v="76"/>
    </i>
    <i r="2">
      <x v="32"/>
    </i>
    <i t="blank" r="1">
      <x v="76"/>
    </i>
    <i r="1">
      <x v="141"/>
    </i>
    <i r="2">
      <x v="121"/>
    </i>
    <i t="blank" r="1">
      <x v="141"/>
    </i>
    <i r="1">
      <x v="305"/>
    </i>
    <i r="2">
      <x v="180"/>
    </i>
    <i t="blank" r="1">
      <x v="305"/>
    </i>
    <i>
      <x v="39"/>
    </i>
    <i r="1">
      <x v="353"/>
    </i>
    <i r="2">
      <x v="83"/>
    </i>
    <i t="blank" r="1">
      <x v="353"/>
    </i>
    <i>
      <x v="40"/>
    </i>
    <i r="1">
      <x v="471"/>
    </i>
    <i r="2">
      <x v="261"/>
    </i>
    <i t="blank" r="1">
      <x v="471"/>
    </i>
    <i>
      <x v="41"/>
    </i>
    <i r="1">
      <x v="379"/>
    </i>
    <i r="2">
      <x v="261"/>
    </i>
    <i t="blank" r="1">
      <x v="379"/>
    </i>
    <i>
      <x v="42"/>
    </i>
    <i r="1">
      <x v="416"/>
    </i>
    <i r="2">
      <x v="83"/>
    </i>
    <i t="blank" r="1">
      <x v="416"/>
    </i>
    <i>
      <x v="43"/>
    </i>
    <i r="1">
      <x v="384"/>
    </i>
    <i r="2">
      <x v="83"/>
    </i>
    <i t="blank" r="1">
      <x v="384"/>
    </i>
    <i>
      <x v="44"/>
    </i>
    <i r="1">
      <x v="443"/>
    </i>
    <i r="2">
      <x v="15"/>
    </i>
    <i t="blank" r="1">
      <x v="443"/>
    </i>
    <i>
      <x v="45"/>
    </i>
    <i r="1">
      <x v="409"/>
    </i>
    <i r="2">
      <x v="83"/>
    </i>
    <i t="blank" r="1">
      <x v="409"/>
    </i>
    <i>
      <x v="46"/>
    </i>
    <i r="1">
      <x v="421"/>
    </i>
    <i r="2">
      <x v="83"/>
    </i>
    <i t="blank" r="1">
      <x v="421"/>
    </i>
    <i>
      <x v="47"/>
    </i>
    <i r="1">
      <x v="501"/>
    </i>
    <i r="2">
      <x v="261"/>
    </i>
    <i t="blank" r="1">
      <x v="501"/>
    </i>
    <i>
      <x v="48"/>
    </i>
    <i r="1">
      <x v="489"/>
    </i>
    <i r="2">
      <x v="178"/>
    </i>
    <i t="blank" r="1">
      <x v="489"/>
    </i>
    <i>
      <x v="49"/>
    </i>
    <i r="1">
      <x v="444"/>
    </i>
    <i r="2">
      <x v="261"/>
    </i>
    <i t="blank" r="1">
      <x v="444"/>
    </i>
    <i>
      <x v="50"/>
    </i>
    <i r="1">
      <x v="506"/>
    </i>
    <i r="2">
      <x v="261"/>
    </i>
    <i t="blank" r="1">
      <x v="506"/>
    </i>
    <i>
      <x v="51"/>
    </i>
    <i r="1">
      <x v="61"/>
    </i>
    <i r="2">
      <x v="41"/>
    </i>
    <i t="blank" r="1">
      <x v="61"/>
    </i>
    <i r="1">
      <x v="201"/>
    </i>
    <i r="2">
      <x v="147"/>
    </i>
    <i t="blank" r="1">
      <x v="201"/>
    </i>
    <i>
      <x v="52"/>
    </i>
    <i r="1">
      <x v="407"/>
    </i>
    <i r="2">
      <x v="83"/>
    </i>
    <i t="blank" r="1">
      <x v="407"/>
    </i>
    <i>
      <x v="53"/>
    </i>
    <i r="1">
      <x v="460"/>
    </i>
    <i r="2">
      <x v="261"/>
    </i>
    <i t="blank" r="1">
      <x v="460"/>
    </i>
    <i>
      <x v="54"/>
    </i>
    <i r="1">
      <x v="317"/>
    </i>
    <i r="2">
      <x v="178"/>
    </i>
    <i t="blank" r="1">
      <x v="317"/>
    </i>
    <i>
      <x v="55"/>
    </i>
    <i r="1">
      <x v="137"/>
    </i>
    <i r="2">
      <x v="118"/>
    </i>
    <i t="blank" r="1">
      <x v="137"/>
    </i>
    <i>
      <x v="56"/>
    </i>
    <i r="1">
      <x v="461"/>
    </i>
    <i r="2">
      <x v="286"/>
    </i>
    <i t="blank" r="1">
      <x v="461"/>
    </i>
    <i>
      <x v="57"/>
    </i>
    <i r="1">
      <x v="427"/>
    </i>
    <i r="2">
      <x v="22"/>
    </i>
    <i t="blank" r="1">
      <x v="427"/>
    </i>
    <i>
      <x v="58"/>
    </i>
    <i r="1">
      <x v="393"/>
    </i>
    <i r="2">
      <x v="83"/>
    </i>
    <i t="blank" r="1">
      <x v="393"/>
    </i>
    <i>
      <x v="59"/>
    </i>
    <i r="1">
      <x v="338"/>
    </i>
    <i r="2">
      <x v="44"/>
    </i>
    <i t="blank" r="1">
      <x v="338"/>
    </i>
    <i>
      <x v="60"/>
    </i>
    <i r="1">
      <x v="180"/>
    </i>
    <i r="2">
      <x v="14"/>
    </i>
    <i t="blank" r="1">
      <x v="180"/>
    </i>
    <i r="1">
      <x v="341"/>
    </i>
    <i r="2">
      <x v="231"/>
    </i>
    <i t="blank" r="1">
      <x v="341"/>
    </i>
    <i r="1">
      <x v="350"/>
    </i>
    <i r="2">
      <x v="14"/>
    </i>
    <i t="blank" r="1">
      <x v="350"/>
    </i>
    <i>
      <x v="61"/>
    </i>
    <i r="1">
      <x v="385"/>
    </i>
    <i r="2">
      <x v="83"/>
    </i>
    <i t="blank" r="1">
      <x v="385"/>
    </i>
    <i>
      <x v="62"/>
    </i>
    <i r="1">
      <x v="434"/>
    </i>
    <i r="2">
      <x v="83"/>
    </i>
    <i t="blank" r="1">
      <x v="434"/>
    </i>
    <i>
      <x v="63"/>
    </i>
    <i r="1">
      <x v="393"/>
    </i>
    <i r="2">
      <x v="83"/>
    </i>
    <i t="blank" r="1">
      <x v="393"/>
    </i>
    <i>
      <x v="64"/>
    </i>
    <i r="1">
      <x v="431"/>
    </i>
    <i r="2">
      <x v="83"/>
    </i>
    <i t="blank" r="1">
      <x v="431"/>
    </i>
    <i>
      <x v="65"/>
    </i>
    <i r="1">
      <x v="451"/>
    </i>
    <i r="2">
      <x v="261"/>
    </i>
    <i t="blank" r="1">
      <x v="451"/>
    </i>
    <i>
      <x v="66"/>
    </i>
    <i r="1">
      <x v="394"/>
    </i>
    <i r="2">
      <x v="36"/>
    </i>
    <i t="blank" r="1">
      <x v="394"/>
    </i>
    <i r="1">
      <x v="454"/>
    </i>
    <i r="2">
      <x v="30"/>
    </i>
    <i t="blank" r="1">
      <x v="454"/>
    </i>
    <i>
      <x v="67"/>
    </i>
    <i r="1">
      <x v="138"/>
    </i>
    <i r="2">
      <x v="23"/>
    </i>
    <i t="blank" r="1">
      <x v="138"/>
    </i>
    <i r="1">
      <x v="310"/>
    </i>
    <i r="2">
      <x v="37"/>
    </i>
    <i t="blank" r="1">
      <x v="310"/>
    </i>
    <i>
      <x v="68"/>
    </i>
    <i r="1">
      <x v="177"/>
    </i>
    <i r="2">
      <x v="6"/>
    </i>
    <i t="blank" r="1">
      <x v="177"/>
    </i>
    <i>
      <x v="69"/>
    </i>
    <i r="1">
      <x v="420"/>
    </i>
    <i r="2">
      <x v="83"/>
    </i>
    <i t="blank" r="1">
      <x v="420"/>
    </i>
    <i>
      <x v="70"/>
    </i>
    <i r="1">
      <x v="441"/>
    </i>
    <i r="2">
      <x v="83"/>
    </i>
    <i t="blank" r="1">
      <x v="441"/>
    </i>
    <i>
      <x v="71"/>
    </i>
    <i r="1">
      <x v="172"/>
    </i>
    <i r="2">
      <x v="113"/>
    </i>
    <i t="blank" r="1">
      <x v="172"/>
    </i>
    <i>
      <x v="72"/>
    </i>
    <i r="1">
      <x v="410"/>
    </i>
    <i r="2">
      <x v="83"/>
    </i>
    <i t="blank" r="1">
      <x v="410"/>
    </i>
    <i>
      <x v="73"/>
    </i>
    <i r="1">
      <x v="20"/>
    </i>
    <i r="2">
      <x v="6"/>
    </i>
    <i t="blank" r="1">
      <x v="20"/>
    </i>
    <i r="1">
      <x v="29"/>
    </i>
    <i r="2">
      <x v="20"/>
    </i>
    <i t="blank" r="1">
      <x v="29"/>
    </i>
    <i>
      <x v="74"/>
    </i>
    <i r="1">
      <x v="469"/>
    </i>
    <i r="2">
      <x v="261"/>
    </i>
    <i t="blank" r="1">
      <x v="469"/>
    </i>
    <i>
      <x v="75"/>
    </i>
    <i r="1">
      <x v="437"/>
    </i>
    <i r="2">
      <x v="83"/>
    </i>
    <i t="blank" r="1">
      <x v="437"/>
    </i>
    <i>
      <x v="76"/>
    </i>
    <i r="1">
      <x v="363"/>
    </i>
    <i r="2">
      <x v="195"/>
    </i>
    <i t="blank" r="1">
      <x v="363"/>
    </i>
    <i>
      <x v="77"/>
    </i>
    <i r="1">
      <x v="382"/>
    </i>
    <i r="2">
      <x v="195"/>
    </i>
    <i t="blank" r="1">
      <x v="382"/>
    </i>
    <i>
      <x v="78"/>
    </i>
    <i r="1">
      <x v="287"/>
    </i>
    <i r="2">
      <x v="206"/>
    </i>
    <i t="blank" r="1">
      <x v="287"/>
    </i>
    <i>
      <x v="79"/>
    </i>
    <i r="1">
      <x v="18"/>
    </i>
    <i r="2">
      <x v="22"/>
    </i>
    <i t="blank" r="1">
      <x v="18"/>
    </i>
    <i r="1">
      <x v="64"/>
    </i>
    <i r="2">
      <x v="22"/>
    </i>
    <i t="blank" r="1">
      <x v="64"/>
    </i>
    <i>
      <x v="80"/>
    </i>
    <i r="1">
      <x v="340"/>
    </i>
    <i r="2">
      <x v="213"/>
    </i>
    <i t="blank" r="1">
      <x v="340"/>
    </i>
    <i>
      <x v="81"/>
    </i>
    <i r="1">
      <x v="380"/>
    </i>
    <i r="2">
      <x v="261"/>
    </i>
    <i t="blank" r="1">
      <x v="380"/>
    </i>
    <i>
      <x v="82"/>
    </i>
    <i r="1">
      <x v="418"/>
    </i>
    <i r="2">
      <x v="279"/>
    </i>
    <i t="blank" r="1">
      <x v="418"/>
    </i>
    <i>
      <x v="83"/>
    </i>
    <i r="1">
      <x v="288"/>
    </i>
    <i r="2">
      <x v="28"/>
    </i>
    <i t="blank" r="1">
      <x v="288"/>
    </i>
    <i>
      <x v="84"/>
    </i>
    <i r="1">
      <x v="390"/>
    </i>
    <i r="2">
      <x v="83"/>
    </i>
    <i t="blank" r="1">
      <x v="390"/>
    </i>
    <i>
      <x v="85"/>
    </i>
    <i r="1">
      <x v="494"/>
    </i>
    <i r="2">
      <x v="55"/>
    </i>
    <i t="blank" r="1">
      <x v="494"/>
    </i>
    <i r="1">
      <x v="495"/>
    </i>
    <i r="2">
      <x v="55"/>
    </i>
    <i t="blank" r="1">
      <x v="495"/>
    </i>
    <i r="1">
      <x v="496"/>
    </i>
    <i r="2">
      <x v="55"/>
    </i>
    <i t="blank" r="1">
      <x v="496"/>
    </i>
    <i r="1">
      <x v="497"/>
    </i>
    <i r="2">
      <x v="51"/>
    </i>
    <i t="blank" r="1">
      <x v="497"/>
    </i>
    <i>
      <x v="86"/>
    </i>
    <i r="1">
      <x v="374"/>
    </i>
    <i r="2">
      <x v="171"/>
    </i>
    <i t="blank" r="1">
      <x v="374"/>
    </i>
    <i>
      <x v="87"/>
    </i>
    <i r="1">
      <x v="451"/>
    </i>
    <i r="2">
      <x v="261"/>
    </i>
    <i t="blank" r="1">
      <x v="451"/>
    </i>
    <i>
      <x v="88"/>
    </i>
    <i r="1">
      <x v="124"/>
    </i>
    <i r="2">
      <x v="26"/>
    </i>
    <i t="blank" r="1">
      <x v="124"/>
    </i>
    <i r="1">
      <x v="147"/>
    </i>
    <i r="2">
      <x v="6"/>
    </i>
    <i t="blank" r="1">
      <x v="147"/>
    </i>
    <i>
      <x v="89"/>
    </i>
    <i r="1">
      <x v="198"/>
    </i>
    <i r="2">
      <x v="19"/>
    </i>
    <i t="blank" r="1">
      <x v="198"/>
    </i>
    <i>
      <x v="90"/>
    </i>
    <i r="1">
      <x v="483"/>
    </i>
    <i r="2">
      <x v="261"/>
    </i>
    <i t="blank" r="1">
      <x v="483"/>
    </i>
    <i>
      <x v="91"/>
    </i>
    <i r="1">
      <x v="246"/>
    </i>
    <i r="2">
      <x v="34"/>
    </i>
    <i t="blank" r="1">
      <x v="246"/>
    </i>
    <i>
      <x v="92"/>
    </i>
    <i r="1">
      <x v="479"/>
    </i>
    <i r="2">
      <x v="261"/>
    </i>
    <i t="blank" r="1">
      <x v="479"/>
    </i>
    <i>
      <x v="93"/>
    </i>
    <i r="1">
      <x v="339"/>
    </i>
    <i r="2">
      <x v="21"/>
    </i>
    <i t="blank" r="1">
      <x v="339"/>
    </i>
    <i r="1">
      <x v="348"/>
    </i>
    <i r="2">
      <x v="236"/>
    </i>
    <i t="blank" r="1">
      <x v="348"/>
    </i>
    <i r="1">
      <x v="355"/>
    </i>
    <i r="2">
      <x v="241"/>
    </i>
    <i t="blank" r="1">
      <x v="355"/>
    </i>
    <i r="1">
      <x v="401"/>
    </i>
    <i r="2">
      <x v="21"/>
    </i>
    <i t="blank" r="1">
      <x v="401"/>
    </i>
    <i>
      <x v="94"/>
    </i>
    <i r="1">
      <x v="486"/>
    </i>
    <i r="2">
      <x v="303"/>
    </i>
    <i t="blank" r="1">
      <x v="486"/>
    </i>
    <i>
      <x v="95"/>
    </i>
    <i r="1">
      <x v="389"/>
    </i>
    <i r="2">
      <x v="83"/>
    </i>
    <i t="blank" r="1">
      <x v="389"/>
    </i>
    <i>
      <x v="96"/>
    </i>
    <i r="1">
      <x v="388"/>
    </i>
    <i r="2">
      <x v="83"/>
    </i>
    <i t="blank" r="1">
      <x v="388"/>
    </i>
    <i>
      <x v="97"/>
    </i>
    <i r="1">
      <x v="363"/>
    </i>
    <i r="2">
      <x v="248"/>
    </i>
    <i t="blank" r="1">
      <x v="363"/>
    </i>
    <i r="1">
      <x v="369"/>
    </i>
    <i r="2">
      <x v="52"/>
    </i>
    <i t="blank" r="1">
      <x v="369"/>
    </i>
    <i r="1">
      <x v="401"/>
    </i>
    <i r="2">
      <x v="36"/>
    </i>
    <i t="blank" r="1">
      <x v="401"/>
    </i>
    <i r="1">
      <x v="454"/>
    </i>
    <i r="2">
      <x v="80"/>
    </i>
    <i t="blank" r="1">
      <x v="454"/>
    </i>
    <i r="1">
      <x v="463"/>
    </i>
    <i r="2">
      <x v="74"/>
    </i>
    <i t="blank" r="1">
      <x v="463"/>
    </i>
    <i>
      <x v="98"/>
    </i>
    <i r="1">
      <x v="306"/>
    </i>
    <i r="2">
      <x v="22"/>
    </i>
    <i t="blank" r="1">
      <x v="306"/>
    </i>
    <i r="1">
      <x v="359"/>
    </i>
    <i r="2">
      <x v="22"/>
    </i>
    <i t="blank" r="1">
      <x v="359"/>
    </i>
    <i>
      <x v="99"/>
    </i>
    <i r="1">
      <x v="69"/>
    </i>
    <i r="2">
      <x v="30"/>
    </i>
    <i t="blank" r="1">
      <x v="69"/>
    </i>
    <i r="1">
      <x v="80"/>
    </i>
    <i r="2">
      <x v="7"/>
    </i>
    <i t="blank" r="1">
      <x v="80"/>
    </i>
    <i r="1">
      <x v="234"/>
    </i>
    <i r="2">
      <x v="36"/>
    </i>
    <i t="blank" r="1">
      <x v="234"/>
    </i>
    <i>
      <x v="100"/>
    </i>
    <i r="1">
      <x v="210"/>
    </i>
    <i r="2">
      <x v="152"/>
    </i>
    <i t="blank" r="1">
      <x v="210"/>
    </i>
    <i>
      <x v="101"/>
    </i>
    <i r="1">
      <x v="262"/>
    </i>
    <i r="2">
      <x v="180"/>
    </i>
    <i t="blank" r="1">
      <x v="262"/>
    </i>
    <i r="1">
      <x v="292"/>
    </i>
    <i r="2">
      <x v="214"/>
    </i>
    <i t="blank" r="1">
      <x v="292"/>
    </i>
    <i r="1">
      <x v="302"/>
    </i>
    <i r="2">
      <x v="218"/>
    </i>
    <i t="blank" r="1">
      <x v="302"/>
    </i>
    <i>
      <x v="102"/>
    </i>
    <i r="1">
      <x v="346"/>
    </i>
    <i r="2">
      <x v="233"/>
    </i>
    <i t="blank" r="1">
      <x v="346"/>
    </i>
    <i>
      <x v="103"/>
    </i>
    <i r="1">
      <x v="415"/>
    </i>
    <i r="2">
      <x v="83"/>
    </i>
    <i t="blank" r="1">
      <x v="415"/>
    </i>
    <i>
      <x v="104"/>
    </i>
    <i r="1">
      <x v="501"/>
    </i>
    <i r="2">
      <x v="22"/>
    </i>
    <i t="blank" r="1">
      <x v="501"/>
    </i>
    <i>
      <x v="105"/>
    </i>
    <i r="1">
      <x v="417"/>
    </i>
    <i r="2">
      <x v="83"/>
    </i>
    <i t="blank" r="1">
      <x v="417"/>
    </i>
    <i>
      <x v="106"/>
    </i>
    <i r="1">
      <x v="455"/>
    </i>
    <i r="2">
      <x v="83"/>
    </i>
    <i t="blank" r="1">
      <x v="455"/>
    </i>
    <i>
      <x v="107"/>
    </i>
    <i r="1">
      <x v="365"/>
    </i>
    <i r="2">
      <x v="251"/>
    </i>
    <i t="blank" r="1">
      <x v="365"/>
    </i>
    <i>
      <x v="108"/>
    </i>
    <i r="1">
      <x v="444"/>
    </i>
    <i r="2">
      <x v="261"/>
    </i>
    <i t="blank" r="1">
      <x v="444"/>
    </i>
    <i>
      <x v="109"/>
    </i>
    <i r="1">
      <x v="390"/>
    </i>
    <i r="2">
      <x v="96"/>
    </i>
    <i t="blank" r="1">
      <x v="390"/>
    </i>
    <i>
      <x v="110"/>
    </i>
    <i r="1">
      <x v="288"/>
    </i>
    <i r="2">
      <x v="210"/>
    </i>
    <i t="blank" r="1">
      <x v="288"/>
    </i>
    <i>
      <x v="111"/>
    </i>
    <i r="1">
      <x v="462"/>
    </i>
    <i r="2">
      <x v="286"/>
    </i>
    <i t="blank" r="1">
      <x v="462"/>
    </i>
    <i>
      <x v="112"/>
    </i>
    <i r="1">
      <x v="487"/>
    </i>
    <i r="2">
      <x v="261"/>
    </i>
    <i t="blank" r="1">
      <x v="487"/>
    </i>
    <i>
      <x v="113"/>
    </i>
    <i r="1">
      <x v="481"/>
    </i>
    <i r="2">
      <x v="59"/>
    </i>
    <i t="blank" r="1">
      <x v="481"/>
    </i>
    <i>
      <x v="114"/>
    </i>
    <i r="1">
      <x v="398"/>
    </i>
    <i r="2">
      <x v="83"/>
    </i>
    <i t="blank" r="1">
      <x v="398"/>
    </i>
    <i>
      <x v="115"/>
    </i>
    <i r="1">
      <x v="473"/>
    </i>
    <i r="2">
      <x v="261"/>
    </i>
    <i t="blank" r="1">
      <x v="473"/>
    </i>
    <i>
      <x v="116"/>
    </i>
    <i r="1">
      <x v="369"/>
    </i>
    <i r="2">
      <x v="48"/>
    </i>
    <i t="blank" r="1">
      <x v="369"/>
    </i>
    <i r="1">
      <x v="381"/>
    </i>
    <i r="2">
      <x v="36"/>
    </i>
    <i t="blank" r="1">
      <x v="381"/>
    </i>
    <i r="1">
      <x v="416"/>
    </i>
    <i r="2">
      <x v="31"/>
    </i>
    <i t="blank" r="1">
      <x v="416"/>
    </i>
    <i r="1">
      <x v="422"/>
    </i>
    <i r="2">
      <x v="48"/>
    </i>
    <i t="blank" r="1">
      <x v="422"/>
    </i>
    <i r="1">
      <x v="423"/>
    </i>
    <i r="2">
      <x v="103"/>
    </i>
    <i t="blank" r="1">
      <x v="423"/>
    </i>
    <i>
      <x v="117"/>
    </i>
    <i r="1">
      <x v="378"/>
    </i>
    <i r="2">
      <x v="83"/>
    </i>
    <i t="blank" r="1">
      <x v="378"/>
    </i>
    <i>
      <x v="118"/>
    </i>
    <i r="1">
      <x v="440"/>
    </i>
    <i r="2">
      <x v="83"/>
    </i>
    <i t="blank" r="1">
      <x v="440"/>
    </i>
    <i>
      <x v="119"/>
    </i>
    <i r="1">
      <x v="425"/>
    </i>
    <i r="2">
      <x v="276"/>
    </i>
    <i t="blank" r="1">
      <x v="425"/>
    </i>
    <i>
      <x v="120"/>
    </i>
    <i r="1">
      <x v="112"/>
    </i>
    <i r="2">
      <x v="98"/>
    </i>
    <i t="blank" r="1">
      <x v="112"/>
    </i>
    <i r="1">
      <x v="359"/>
    </i>
    <i r="2">
      <x v="98"/>
    </i>
    <i t="blank" r="1">
      <x v="359"/>
    </i>
    <i>
      <x v="121"/>
    </i>
    <i r="1">
      <x v="484"/>
    </i>
    <i r="2">
      <x v="228"/>
    </i>
    <i t="blank" r="1">
      <x v="484"/>
    </i>
    <i>
      <x v="122"/>
    </i>
    <i r="1">
      <x v="471"/>
    </i>
    <i r="2">
      <x v="261"/>
    </i>
    <i t="blank" r="1">
      <x v="471"/>
    </i>
    <i>
      <x v="123"/>
    </i>
    <i r="1">
      <x v="281"/>
    </i>
    <i r="2">
      <x v="41"/>
    </i>
    <i t="blank" r="1">
      <x v="281"/>
    </i>
    <i>
      <x v="124"/>
    </i>
    <i r="1">
      <x v="484"/>
    </i>
    <i r="2">
      <x v="308"/>
    </i>
    <i t="blank" r="1">
      <x v="484"/>
    </i>
    <i>
      <x v="126"/>
    </i>
    <i r="1">
      <x v="497"/>
    </i>
    <i r="2">
      <x v="59"/>
    </i>
    <i t="blank" r="1">
      <x v="497"/>
    </i>
    <i>
      <x v="127"/>
    </i>
    <i r="1">
      <x v="190"/>
    </i>
    <i r="2">
      <x v="83"/>
    </i>
    <i t="blank" r="1">
      <x v="190"/>
    </i>
    <i>
      <x v="128"/>
    </i>
    <i r="1">
      <x v="279"/>
    </i>
    <i r="2">
      <x v="55"/>
    </i>
    <i t="blank" r="1">
      <x v="279"/>
    </i>
    <i>
      <x v="129"/>
    </i>
    <i r="1">
      <x v="252"/>
    </i>
    <i r="2">
      <x v="28"/>
    </i>
    <i t="blank" r="1">
      <x v="252"/>
    </i>
    <i>
      <x v="130"/>
    </i>
    <i r="1">
      <x v="262"/>
    </i>
    <i r="2">
      <x v="28"/>
    </i>
    <i t="blank" r="1">
      <x v="262"/>
    </i>
    <i r="1">
      <x v="266"/>
    </i>
    <i r="2">
      <x v="96"/>
    </i>
    <i t="blank" r="1">
      <x v="266"/>
    </i>
    <i>
      <x v="131"/>
    </i>
    <i r="1">
      <x v="244"/>
    </i>
    <i r="2">
      <x v="179"/>
    </i>
    <i t="blank" r="1">
      <x v="244"/>
    </i>
    <i>
      <x v="132"/>
    </i>
    <i r="1">
      <x v="449"/>
    </i>
    <i r="2">
      <x v="261"/>
    </i>
    <i t="blank" r="1">
      <x v="449"/>
    </i>
    <i>
      <x v="133"/>
    </i>
    <i r="1">
      <x v="423"/>
    </i>
    <i r="2">
      <x v="96"/>
    </i>
    <i t="blank" r="1">
      <x v="423"/>
    </i>
    <i>
      <x v="134"/>
    </i>
    <i r="1">
      <x v="497"/>
    </i>
    <i r="2">
      <x v="261"/>
    </i>
    <i t="blank" r="1">
      <x v="497"/>
    </i>
    <i r="1">
      <x v="502"/>
    </i>
    <i r="2">
      <x v="286"/>
    </i>
    <i t="blank" r="1">
      <x v="502"/>
    </i>
    <i>
      <x v="135"/>
    </i>
    <i r="1">
      <x v="68"/>
    </i>
    <i r="2">
      <x v="26"/>
    </i>
    <i t="blank" r="1">
      <x v="68"/>
    </i>
    <i>
      <x v="136"/>
    </i>
    <i r="1">
      <x v="74"/>
    </i>
    <i r="2">
      <x v="39"/>
    </i>
    <i t="blank" r="1">
      <x v="74"/>
    </i>
    <i>
      <x v="137"/>
    </i>
    <i r="1">
      <x v="460"/>
    </i>
    <i r="2">
      <x v="39"/>
    </i>
    <i t="blank" r="1">
      <x v="460"/>
    </i>
    <i>
      <x v="138"/>
    </i>
    <i r="1">
      <x v="267"/>
    </i>
    <i r="2">
      <x v="190"/>
    </i>
    <i t="blank" r="1">
      <x v="267"/>
    </i>
    <i r="1">
      <x v="279"/>
    </i>
    <i r="2">
      <x v="200"/>
    </i>
    <i t="blank" r="1">
      <x v="279"/>
    </i>
    <i>
      <x v="139"/>
    </i>
    <i r="1">
      <x v="139"/>
    </i>
    <i r="2">
      <x v="21"/>
    </i>
    <i t="blank" r="1">
      <x v="139"/>
    </i>
    <i>
      <x v="140"/>
    </i>
    <i r="1">
      <x v="178"/>
    </i>
    <i r="2">
      <x v="83"/>
    </i>
    <i t="blank" r="1">
      <x v="178"/>
    </i>
    <i>
      <x v="141"/>
    </i>
    <i r="1">
      <x v="480"/>
    </i>
    <i r="2">
      <x v="21"/>
    </i>
    <i t="blank" r="1">
      <x v="480"/>
    </i>
    <i>
      <x v="142"/>
    </i>
    <i r="1">
      <x v="341"/>
    </i>
    <i r="2">
      <x v="26"/>
    </i>
    <i t="blank" r="1">
      <x v="341"/>
    </i>
    <i>
      <x v="143"/>
    </i>
    <i r="1">
      <x v="238"/>
    </i>
    <i r="2">
      <x v="53"/>
    </i>
    <i t="blank" r="1">
      <x v="238"/>
    </i>
    <i>
      <x v="144"/>
    </i>
    <i r="1">
      <x v="450"/>
    </i>
    <i r="2">
      <x v="39"/>
    </i>
    <i t="blank" r="1">
      <x v="450"/>
    </i>
    <i r="1">
      <x v="494"/>
    </i>
    <i r="2">
      <x v="261"/>
    </i>
    <i t="blank" r="1">
      <x v="494"/>
    </i>
    <i>
      <x v="145"/>
    </i>
    <i r="1">
      <x v="329"/>
    </i>
    <i r="2">
      <x v="54"/>
    </i>
    <i t="blank" r="1">
      <x v="329"/>
    </i>
    <i>
      <x v="146"/>
    </i>
    <i r="1">
      <x v="142"/>
    </i>
    <i r="2">
      <x v="83"/>
    </i>
    <i t="blank" r="1">
      <x v="142"/>
    </i>
    <i r="1">
      <x v="389"/>
    </i>
    <i r="2">
      <x v="83"/>
    </i>
    <i t="blank" r="1">
      <x v="389"/>
    </i>
    <i>
      <x v="147"/>
    </i>
    <i r="1">
      <x v="102"/>
    </i>
    <i r="2">
      <x v="80"/>
    </i>
    <i t="blank" r="1">
      <x v="102"/>
    </i>
    <i>
      <x v="148"/>
    </i>
    <i r="1">
      <x v="411"/>
    </i>
    <i r="2">
      <x v="83"/>
    </i>
    <i t="blank" r="1">
      <x v="411"/>
    </i>
    <i>
      <x v="149"/>
    </i>
    <i r="1">
      <x v="300"/>
    </i>
    <i r="2">
      <x v="15"/>
    </i>
    <i t="blank" r="1">
      <x v="300"/>
    </i>
    <i r="1">
      <x v="328"/>
    </i>
    <i r="2">
      <x v="171"/>
    </i>
    <i t="blank" r="1">
      <x v="328"/>
    </i>
    <i r="1">
      <x v="332"/>
    </i>
    <i r="2">
      <x v="68"/>
    </i>
    <i t="blank" r="1">
      <x v="332"/>
    </i>
    <i>
      <x v="150"/>
    </i>
    <i r="1">
      <x v="382"/>
    </i>
    <i r="2">
      <x v="245"/>
    </i>
    <i t="blank" r="1">
      <x v="382"/>
    </i>
    <i>
      <x v="151"/>
    </i>
    <i r="1">
      <x v="410"/>
    </i>
    <i r="2">
      <x v="83"/>
    </i>
    <i t="blank" r="1">
      <x v="410"/>
    </i>
    <i>
      <x v="152"/>
    </i>
    <i r="1">
      <x v="471"/>
    </i>
    <i r="2">
      <x v="261"/>
    </i>
    <i t="blank" r="1">
      <x v="471"/>
    </i>
    <i>
      <x v="153"/>
    </i>
    <i r="1">
      <x v="439"/>
    </i>
    <i r="2">
      <x v="83"/>
    </i>
    <i t="blank" r="1">
      <x v="439"/>
    </i>
    <i>
      <x v="154"/>
    </i>
    <i r="1">
      <x v="121"/>
    </i>
    <i r="2">
      <x v="26"/>
    </i>
    <i t="blank" r="1">
      <x v="121"/>
    </i>
    <i r="1">
      <x v="457"/>
    </i>
    <i r="2">
      <x v="22"/>
    </i>
    <i t="blank" r="1">
      <x v="457"/>
    </i>
    <i>
      <x v="155"/>
    </i>
    <i r="1">
      <x v="411"/>
    </i>
    <i r="2">
      <x v="83"/>
    </i>
    <i t="blank" r="1">
      <x v="411"/>
    </i>
    <i>
      <x v="156"/>
    </i>
    <i r="1">
      <x v="245"/>
    </i>
    <i r="2">
      <x v="28"/>
    </i>
    <i t="blank" r="1">
      <x v="245"/>
    </i>
    <i>
      <x v="157"/>
    </i>
    <i r="1">
      <x v="381"/>
    </i>
    <i r="2">
      <x v="83"/>
    </i>
    <i t="blank" r="1">
      <x v="381"/>
    </i>
    <i>
      <x v="158"/>
    </i>
    <i r="1">
      <x v="485"/>
    </i>
    <i r="2">
      <x v="55"/>
    </i>
    <i t="blank" r="1">
      <x v="485"/>
    </i>
    <i r="1">
      <x v="490"/>
    </i>
    <i r="2">
      <x v="55"/>
    </i>
    <i t="blank" r="1">
      <x v="490"/>
    </i>
    <i>
      <x v="159"/>
    </i>
    <i r="1">
      <x v="409"/>
    </i>
    <i r="2">
      <x v="253"/>
    </i>
    <i t="blank" r="1">
      <x v="409"/>
    </i>
    <i>
      <x v="160"/>
    </i>
    <i r="1">
      <x v="493"/>
    </i>
    <i r="2">
      <x v="261"/>
    </i>
    <i t="blank" r="1">
      <x v="493"/>
    </i>
    <i>
      <x v="161"/>
    </i>
    <i r="1">
      <x v="88"/>
    </i>
    <i r="2">
      <x v="61"/>
    </i>
    <i t="blank" r="1">
      <x v="88"/>
    </i>
    <i>
      <x v="162"/>
    </i>
    <i r="1">
      <x v="406"/>
    </i>
    <i r="2">
      <x v="210"/>
    </i>
    <i t="blank" r="1">
      <x v="406"/>
    </i>
    <i>
      <x v="163"/>
    </i>
    <i r="1">
      <x v="79"/>
    </i>
    <i r="2">
      <x v="22"/>
    </i>
    <i t="blank" r="1">
      <x v="79"/>
    </i>
    <i r="1">
      <x v="306"/>
    </i>
    <i r="2">
      <x v="22"/>
    </i>
    <i t="blank" r="1">
      <x v="306"/>
    </i>
    <i>
      <x v="164"/>
    </i>
    <i r="1">
      <x v="461"/>
    </i>
    <i r="2">
      <x v="298"/>
    </i>
    <i t="blank" r="1">
      <x v="461"/>
    </i>
    <i r="1">
      <x v="462"/>
    </i>
    <i r="2">
      <x v="210"/>
    </i>
    <i t="blank" r="1">
      <x v="462"/>
    </i>
    <i>
      <x v="165"/>
    </i>
    <i r="1">
      <x v="476"/>
    </i>
    <i r="2">
      <x v="261"/>
    </i>
    <i t="blank" r="1">
      <x v="476"/>
    </i>
    <i>
      <x v="166"/>
    </i>
    <i r="1">
      <x v="381"/>
    </i>
    <i r="2">
      <x v="258"/>
    </i>
    <i t="blank" r="1">
      <x v="381"/>
    </i>
    <i>
      <x v="167"/>
    </i>
    <i r="1">
      <x v="95"/>
    </i>
    <i r="2">
      <x v="37"/>
    </i>
    <i t="blank" r="1">
      <x v="95"/>
    </i>
    <i>
      <x v="168"/>
    </i>
    <i r="1">
      <x v="494"/>
    </i>
    <i r="2">
      <x v="261"/>
    </i>
    <i t="blank" r="1">
      <x v="494"/>
    </i>
    <i>
      <x v="169"/>
    </i>
    <i r="1">
      <x v="447"/>
    </i>
    <i r="2">
      <x v="261"/>
    </i>
    <i t="blank" r="1">
      <x v="447"/>
    </i>
    <i>
      <x v="170"/>
    </i>
    <i r="1">
      <x v="472"/>
    </i>
    <i r="2">
      <x v="261"/>
    </i>
    <i t="blank" r="1">
      <x v="472"/>
    </i>
    <i r="1">
      <x v="489"/>
    </i>
    <i r="2">
      <x v="261"/>
    </i>
    <i t="blank" r="1">
      <x v="489"/>
    </i>
    <i>
      <x v="171"/>
    </i>
    <i r="1">
      <x v="471"/>
    </i>
    <i r="2">
      <x v="261"/>
    </i>
    <i t="blank" r="1">
      <x v="471"/>
    </i>
    <i>
      <x v="172"/>
    </i>
    <i r="1">
      <x v="295"/>
    </i>
    <i r="2">
      <x v="171"/>
    </i>
    <i t="blank" r="1">
      <x v="295"/>
    </i>
    <i>
      <x v="173"/>
    </i>
    <i r="1">
      <x v="494"/>
    </i>
    <i r="2">
      <x v="253"/>
    </i>
    <i t="blank" r="1">
      <x v="494"/>
    </i>
    <i>
      <x v="174"/>
    </i>
    <i r="1">
      <x v="226"/>
    </i>
    <i r="2">
      <x v="96"/>
    </i>
    <i t="blank" r="1">
      <x v="226"/>
    </i>
    <i>
      <x v="175"/>
    </i>
    <i r="1">
      <x v="453"/>
    </i>
    <i r="2">
      <x v="243"/>
    </i>
    <i t="blank" r="1">
      <x v="453"/>
    </i>
    <i>
      <x v="176"/>
    </i>
    <i r="1">
      <x v="430"/>
    </i>
    <i r="2">
      <x v="236"/>
    </i>
    <i t="blank" r="1">
      <x v="430"/>
    </i>
    <i>
      <x v="177"/>
    </i>
    <i r="1">
      <x v="177"/>
    </i>
    <i r="2">
      <x v="83"/>
    </i>
    <i t="blank" r="1">
      <x v="177"/>
    </i>
    <i>
      <x v="178"/>
    </i>
    <i r="1">
      <x v="245"/>
    </i>
    <i r="2">
      <x v="54"/>
    </i>
    <i t="blank" r="1">
      <x v="245"/>
    </i>
    <i>
      <x v="179"/>
    </i>
    <i r="1">
      <x v="314"/>
    </i>
    <i r="2">
      <x v="21"/>
    </i>
    <i t="blank" r="1">
      <x v="314"/>
    </i>
    <i>
      <x v="180"/>
    </i>
    <i r="1">
      <x v="173"/>
    </i>
    <i r="2">
      <x v="24"/>
    </i>
    <i t="blank" r="1">
      <x v="173"/>
    </i>
    <i>
      <x v="181"/>
    </i>
    <i r="1">
      <x v="353"/>
    </i>
    <i r="2">
      <x v="18"/>
    </i>
    <i t="blank" r="1">
      <x v="353"/>
    </i>
    <i>
      <x v="182"/>
    </i>
    <i r="1">
      <x v="249"/>
    </i>
    <i r="2">
      <x v="83"/>
    </i>
    <i t="blank" r="1">
      <x v="249"/>
    </i>
    <i>
      <x v="183"/>
    </i>
    <i r="1">
      <x v="473"/>
    </i>
    <i r="2">
      <x v="304"/>
    </i>
    <i t="blank" r="1">
      <x v="473"/>
    </i>
    <i r="1">
      <x v="475"/>
    </i>
    <i r="2">
      <x v="304"/>
    </i>
    <i t="blank" r="1">
      <x v="475"/>
    </i>
    <i>
      <x v="184"/>
    </i>
    <i r="1">
      <x v="460"/>
    </i>
    <i r="2">
      <x v="261"/>
    </i>
    <i t="blank" r="1">
      <x v="460"/>
    </i>
    <i>
      <x v="185"/>
    </i>
    <i r="1">
      <x v="460"/>
    </i>
    <i r="2">
      <x v="21"/>
    </i>
    <i t="blank" r="1">
      <x v="460"/>
    </i>
    <i>
      <x v="186"/>
    </i>
    <i r="1">
      <x v="14"/>
    </i>
    <i r="2">
      <x v="10"/>
    </i>
    <i t="blank" r="1">
      <x v="14"/>
    </i>
    <i r="1">
      <x v="18"/>
    </i>
    <i r="2">
      <x v="3"/>
    </i>
    <i t="blank" r="1">
      <x v="18"/>
    </i>
    <i>
      <x v="187"/>
    </i>
    <i r="1">
      <x v="168"/>
    </i>
    <i r="2">
      <x v="112"/>
    </i>
    <i t="blank" r="1">
      <x v="168"/>
    </i>
    <i>
      <x v="188"/>
    </i>
    <i r="1">
      <x v="435"/>
    </i>
    <i r="2">
      <x v="245"/>
    </i>
    <i t="blank" r="1">
      <x v="435"/>
    </i>
    <i>
      <x v="189"/>
    </i>
    <i r="1">
      <x v="376"/>
    </i>
    <i r="2">
      <x v="245"/>
    </i>
    <i t="blank" r="1">
      <x v="376"/>
    </i>
    <i>
      <x v="190"/>
    </i>
    <i r="1">
      <x v="441"/>
    </i>
    <i r="2">
      <x v="245"/>
    </i>
    <i t="blank" r="1">
      <x v="441"/>
    </i>
    <i>
      <x v="191"/>
    </i>
    <i r="1">
      <x v="352"/>
    </i>
    <i r="2">
      <x v="216"/>
    </i>
    <i t="blank" r="1">
      <x v="352"/>
    </i>
    <i>
      <x v="192"/>
    </i>
    <i r="1">
      <x v="71"/>
    </i>
    <i r="2">
      <x v="34"/>
    </i>
    <i t="blank" r="1">
      <x v="71"/>
    </i>
    <i>
      <x v="193"/>
    </i>
    <i r="1">
      <x v="450"/>
    </i>
    <i r="2">
      <x v="261"/>
    </i>
    <i t="blank" r="1">
      <x v="450"/>
    </i>
    <i>
      <x v="194"/>
    </i>
    <i r="1">
      <x v="462"/>
    </i>
    <i r="2">
      <x v="261"/>
    </i>
    <i t="blank" r="1">
      <x v="462"/>
    </i>
    <i>
      <x v="195"/>
    </i>
    <i r="1">
      <x v="390"/>
    </i>
    <i r="2">
      <x v="245"/>
    </i>
    <i t="blank" r="1">
      <x v="390"/>
    </i>
    <i>
      <x v="196"/>
    </i>
    <i r="1">
      <x v="386"/>
    </i>
    <i r="2">
      <x v="52"/>
    </i>
    <i t="blank" r="1">
      <x v="386"/>
    </i>
    <i r="1">
      <x v="426"/>
    </i>
    <i r="2">
      <x v="36"/>
    </i>
    <i t="blank" r="1">
      <x v="426"/>
    </i>
    <i r="1">
      <x v="427"/>
    </i>
    <i r="2">
      <x v="31"/>
    </i>
    <i t="blank" r="1">
      <x v="427"/>
    </i>
    <i>
      <x v="197"/>
    </i>
    <i r="1">
      <x v="493"/>
    </i>
    <i r="2">
      <x v="229"/>
    </i>
    <i t="blank" r="1">
      <x v="493"/>
    </i>
    <i>
      <x v="198"/>
    </i>
    <i r="1">
      <x v="74"/>
    </i>
    <i r="2">
      <x v="5"/>
    </i>
    <i t="blank" r="1">
      <x v="74"/>
    </i>
    <i>
      <x v="199"/>
    </i>
    <i r="1">
      <x v="11"/>
    </i>
    <i r="2">
      <x v="22"/>
    </i>
    <i t="blank" r="1">
      <x v="11"/>
    </i>
    <i r="1">
      <x v="22"/>
    </i>
    <i r="2">
      <x v="22"/>
    </i>
    <i t="blank" r="1">
      <x v="22"/>
    </i>
    <i r="1">
      <x v="36"/>
    </i>
    <i r="2">
      <x v="22"/>
    </i>
    <i t="blank" r="1">
      <x v="36"/>
    </i>
    <i>
      <x v="200"/>
    </i>
    <i r="1">
      <x v="334"/>
    </i>
    <i r="2">
      <x v="224"/>
    </i>
    <i t="blank" r="1">
      <x v="334"/>
    </i>
    <i>
      <x v="201"/>
    </i>
    <i r="1">
      <x v="78"/>
    </i>
    <i r="2">
      <x v="45"/>
    </i>
    <i t="blank" r="1">
      <x v="78"/>
    </i>
    <i r="1">
      <x v="89"/>
    </i>
    <i r="2">
      <x v="53"/>
    </i>
    <i t="blank" r="1">
      <x v="89"/>
    </i>
    <i>
      <x v="202"/>
    </i>
    <i r="1">
      <x v="371"/>
    </i>
    <i r="2">
      <x v="139"/>
    </i>
    <i t="blank" r="1">
      <x v="371"/>
    </i>
    <i>
      <x v="203"/>
    </i>
    <i r="1">
      <x v="131"/>
    </i>
    <i r="2">
      <x v="115"/>
    </i>
    <i t="blank" r="1">
      <x v="131"/>
    </i>
    <i>
      <x v="204"/>
    </i>
    <i r="1">
      <x v="318"/>
    </i>
    <i r="2">
      <x v="41"/>
    </i>
    <i t="blank" r="1">
      <x v="318"/>
    </i>
    <i r="1">
      <x v="472"/>
    </i>
    <i r="2">
      <x v="287"/>
    </i>
    <i t="blank" r="1">
      <x v="472"/>
    </i>
    <i>
      <x v="205"/>
    </i>
    <i r="1">
      <x v="124"/>
    </i>
    <i r="2">
      <x v="5"/>
    </i>
    <i t="blank" r="1">
      <x v="124"/>
    </i>
    <i>
      <x v="206"/>
    </i>
    <i r="1">
      <x v="436"/>
    </i>
    <i r="2">
      <x v="83"/>
    </i>
    <i t="blank" r="1">
      <x v="436"/>
    </i>
    <i>
      <x v="207"/>
    </i>
    <i r="1">
      <x v="446"/>
    </i>
    <i r="2">
      <x v="261"/>
    </i>
    <i t="blank" r="1">
      <x v="446"/>
    </i>
    <i>
      <x v="208"/>
    </i>
    <i r="1">
      <x v="24"/>
    </i>
    <i r="2">
      <x v="15"/>
    </i>
    <i t="blank" r="1">
      <x v="24"/>
    </i>
    <i>
      <x v="209"/>
    </i>
    <i r="1">
      <x v="117"/>
    </i>
    <i r="2">
      <x v="91"/>
    </i>
    <i t="blank" r="1">
      <x v="117"/>
    </i>
    <i>
      <x v="210"/>
    </i>
    <i r="1">
      <x v="453"/>
    </i>
    <i r="2">
      <x v="291"/>
    </i>
    <i t="blank" r="1">
      <x v="453"/>
    </i>
    <i>
      <x v="211"/>
    </i>
    <i r="1">
      <x v="97"/>
    </i>
    <i r="2">
      <x v="74"/>
    </i>
    <i t="blank" r="1">
      <x v="97"/>
    </i>
    <i r="1">
      <x v="99"/>
    </i>
    <i r="2">
      <x v="71"/>
    </i>
    <i t="blank" r="1">
      <x v="99"/>
    </i>
    <i r="1">
      <x v="117"/>
    </i>
    <i r="2">
      <x v="103"/>
    </i>
    <i t="blank" r="1">
      <x v="117"/>
    </i>
    <i r="1">
      <x v="122"/>
    </i>
    <i r="2">
      <x v="7"/>
    </i>
    <i t="blank" r="1">
      <x v="122"/>
    </i>
    <i r="1">
      <x v="126"/>
    </i>
    <i r="2">
      <x v="31"/>
    </i>
    <i t="blank" r="1">
      <x v="126"/>
    </i>
    <i r="1">
      <x v="245"/>
    </i>
    <i r="2">
      <x v="7"/>
    </i>
    <i t="blank" r="1">
      <x v="245"/>
    </i>
    <i r="1">
      <x v="250"/>
    </i>
    <i r="2">
      <x v="52"/>
    </i>
    <i t="blank" r="1">
      <x v="250"/>
    </i>
    <i r="1">
      <x v="370"/>
    </i>
    <i r="2">
      <x v="52"/>
    </i>
    <i t="blank" r="1">
      <x v="370"/>
    </i>
    <i>
      <x v="212"/>
    </i>
    <i r="1">
      <x v="375"/>
    </i>
    <i r="2">
      <x v="245"/>
    </i>
    <i t="blank" r="1">
      <x v="375"/>
    </i>
    <i>
      <x v="213"/>
    </i>
    <i r="1">
      <x v="139"/>
    </i>
    <i r="2">
      <x v="22"/>
    </i>
    <i t="blank" r="1">
      <x v="139"/>
    </i>
    <i>
      <x v="214"/>
    </i>
    <i r="1">
      <x v="424"/>
    </i>
    <i r="2">
      <x v="17"/>
    </i>
    <i t="blank" r="1">
      <x v="424"/>
    </i>
    <i>
      <x v="215"/>
    </i>
    <i r="1">
      <x v="70"/>
    </i>
    <i r="2">
      <x v="31"/>
    </i>
    <i t="blank" r="1">
      <x v="70"/>
    </i>
    <i r="1">
      <x v="82"/>
    </i>
    <i r="2">
      <x v="31"/>
    </i>
    <i t="blank" r="1">
      <x v="82"/>
    </i>
    <i r="1">
      <x v="257"/>
    </i>
    <i r="2">
      <x v="31"/>
    </i>
    <i t="blank" r="1">
      <x v="257"/>
    </i>
    <i r="1">
      <x v="278"/>
    </i>
    <i r="2">
      <x v="48"/>
    </i>
    <i t="blank" r="1">
      <x v="278"/>
    </i>
    <i>
      <x v="216"/>
    </i>
    <i r="1">
      <x v="417"/>
    </i>
    <i r="2">
      <x v="83"/>
    </i>
    <i t="blank" r="1">
      <x v="417"/>
    </i>
    <i r="1">
      <x v="440"/>
    </i>
    <i r="2">
      <x v="250"/>
    </i>
    <i t="blank" r="1">
      <x v="440"/>
    </i>
    <i>
      <x v="217"/>
    </i>
    <i r="1">
      <x v="129"/>
    </i>
    <i r="2">
      <x v="101"/>
    </i>
    <i t="blank" r="1">
      <x v="129"/>
    </i>
    <i>
      <x v="218"/>
    </i>
    <i r="1">
      <x v="247"/>
    </i>
    <i r="2">
      <x v="2"/>
    </i>
    <i t="blank" r="1">
      <x v="247"/>
    </i>
    <i>
      <x v="219"/>
    </i>
    <i r="1">
      <x v="497"/>
    </i>
    <i r="2">
      <x v="165"/>
    </i>
    <i t="blank" r="1">
      <x v="497"/>
    </i>
    <i>
      <x v="220"/>
    </i>
    <i r="1">
      <x v="424"/>
    </i>
    <i r="2">
      <x v="193"/>
    </i>
    <i t="blank" r="1">
      <x v="424"/>
    </i>
    <i>
      <x v="221"/>
    </i>
    <i r="1">
      <x v="233"/>
    </i>
    <i r="2">
      <x v="160"/>
    </i>
    <i t="blank" r="1">
      <x v="233"/>
    </i>
    <i>
      <x v="222"/>
    </i>
    <i r="1">
      <x v="375"/>
    </i>
    <i r="2">
      <x v="245"/>
    </i>
    <i t="blank" r="1">
      <x v="375"/>
    </i>
    <i>
      <x v="223"/>
    </i>
    <i r="1">
      <x v="60"/>
    </i>
    <i r="2">
      <x v="25"/>
    </i>
    <i t="blank" r="1">
      <x v="60"/>
    </i>
    <i>
      <x v="224"/>
    </i>
    <i r="1">
      <x v="495"/>
    </i>
    <i r="2">
      <x v="261"/>
    </i>
    <i t="blank" r="1">
      <x v="495"/>
    </i>
    <i>
      <x v="225"/>
    </i>
    <i r="1">
      <x v="234"/>
    </i>
    <i r="2">
      <x v="62"/>
    </i>
    <i t="blank" r="1">
      <x v="234"/>
    </i>
    <i>
      <x v="226"/>
    </i>
    <i r="1">
      <x v="280"/>
    </i>
    <i r="2">
      <x v="198"/>
    </i>
    <i t="blank" r="1">
      <x v="280"/>
    </i>
    <i>
      <x v="227"/>
    </i>
    <i r="1">
      <x v="280"/>
    </i>
    <i r="2">
      <x v="202"/>
    </i>
    <i t="blank" r="1">
      <x v="280"/>
    </i>
    <i>
      <x v="228"/>
    </i>
    <i r="1">
      <x v="454"/>
    </i>
    <i r="2">
      <x v="261"/>
    </i>
    <i t="blank" r="1">
      <x v="454"/>
    </i>
    <i>
      <x v="229"/>
    </i>
    <i r="1">
      <x v="191"/>
    </i>
    <i r="2">
      <x v="15"/>
    </i>
    <i t="blank" r="1">
      <x v="191"/>
    </i>
    <i>
      <x v="230"/>
    </i>
    <i r="1">
      <x v="314"/>
    </i>
    <i r="2">
      <x v="26"/>
    </i>
    <i t="blank" r="1">
      <x v="314"/>
    </i>
    <i>
      <x v="231"/>
    </i>
    <i r="1">
      <x v="370"/>
    </i>
    <i r="2">
      <x v="83"/>
    </i>
    <i t="blank" r="1">
      <x v="370"/>
    </i>
    <i>
      <x v="232"/>
    </i>
    <i r="1">
      <x v="448"/>
    </i>
    <i r="2">
      <x v="261"/>
    </i>
    <i t="blank" r="1">
      <x v="448"/>
    </i>
    <i>
      <x v="233"/>
    </i>
    <i r="1">
      <x v="158"/>
    </i>
    <i r="2">
      <x v="83"/>
    </i>
    <i t="blank" r="1">
      <x v="158"/>
    </i>
    <i>
      <x v="234"/>
    </i>
    <i r="1">
      <x v="485"/>
    </i>
    <i r="2">
      <x v="289"/>
    </i>
    <i t="blank" r="1">
      <x v="485"/>
    </i>
    <i>
      <x v="235"/>
    </i>
    <i r="1">
      <x v="267"/>
    </i>
    <i r="2">
      <x v="83"/>
    </i>
    <i t="blank" r="1">
      <x v="267"/>
    </i>
    <i>
      <x v="236"/>
    </i>
    <i r="1">
      <x v="371"/>
    </i>
    <i r="2">
      <x v="83"/>
    </i>
    <i t="blank" r="1">
      <x v="371"/>
    </i>
    <i>
      <x v="237"/>
    </i>
    <i r="1">
      <x v="490"/>
    </i>
    <i r="2">
      <x v="261"/>
    </i>
    <i t="blank" r="1">
      <x v="490"/>
    </i>
    <i>
      <x v="238"/>
    </i>
    <i r="1">
      <x v="165"/>
    </i>
    <i r="2">
      <x v="24"/>
    </i>
    <i t="blank" r="1">
      <x v="165"/>
    </i>
    <i r="1">
      <x v="231"/>
    </i>
    <i r="2">
      <x v="169"/>
    </i>
    <i t="blank" r="1">
      <x v="231"/>
    </i>
    <i r="1">
      <x v="281"/>
    </i>
    <i r="2">
      <x v="203"/>
    </i>
    <i t="blank" r="1">
      <x v="281"/>
    </i>
    <i>
      <x v="239"/>
    </i>
    <i r="1">
      <x v="466"/>
    </i>
    <i r="2">
      <x v="261"/>
    </i>
    <i t="blank" r="1">
      <x v="466"/>
    </i>
    <i>
      <x v="240"/>
    </i>
    <i r="1">
      <x v="415"/>
    </i>
    <i r="2">
      <x v="83"/>
    </i>
    <i t="blank" r="1">
      <x v="415"/>
    </i>
    <i>
      <x v="241"/>
    </i>
    <i r="1">
      <x v="383"/>
    </i>
    <i r="2">
      <x v="83"/>
    </i>
    <i t="blank" r="1">
      <x v="383"/>
    </i>
    <i r="1">
      <x v="501"/>
    </i>
    <i r="2">
      <x v="289"/>
    </i>
    <i t="blank" r="1">
      <x v="501"/>
    </i>
    <i>
      <x v="242"/>
    </i>
    <i r="1">
      <x v="428"/>
    </i>
    <i r="2">
      <x v="83"/>
    </i>
    <i t="blank" r="1">
      <x v="428"/>
    </i>
    <i>
      <x v="243"/>
    </i>
    <i r="1">
      <x v="321"/>
    </i>
    <i r="2">
      <x v="28"/>
    </i>
    <i t="blank" r="1">
      <x v="321"/>
    </i>
    <i>
      <x v="244"/>
    </i>
    <i r="1">
      <x v="79"/>
    </i>
    <i r="2">
      <x v="7"/>
    </i>
    <i t="blank" r="1">
      <x v="79"/>
    </i>
    <i r="1">
      <x v="234"/>
    </i>
    <i r="2">
      <x v="36"/>
    </i>
    <i t="blank" r="1">
      <x v="234"/>
    </i>
    <i r="1">
      <x v="321"/>
    </i>
    <i r="2">
      <x v="53"/>
    </i>
    <i t="blank" r="1">
      <x v="321"/>
    </i>
    <i r="1">
      <x v="381"/>
    </i>
    <i r="2">
      <x v="171"/>
    </i>
    <i t="blank" r="1">
      <x v="381"/>
    </i>
    <i r="1">
      <x v="411"/>
    </i>
    <i r="2">
      <x v="275"/>
    </i>
    <i t="blank" r="1">
      <x v="411"/>
    </i>
    <i r="1">
      <x v="416"/>
    </i>
    <i r="2">
      <x v="50"/>
    </i>
    <i t="blank" r="1">
      <x v="416"/>
    </i>
    <i r="1">
      <x v="425"/>
    </i>
    <i r="2">
      <x v="50"/>
    </i>
    <i t="blank" r="1">
      <x v="425"/>
    </i>
    <i>
      <x v="245"/>
    </i>
    <i r="1">
      <x v="385"/>
    </i>
    <i r="2">
      <x v="83"/>
    </i>
    <i t="blank" r="1">
      <x v="385"/>
    </i>
    <i>
      <x v="246"/>
    </i>
    <i r="1">
      <x v="446"/>
    </i>
    <i r="2">
      <x v="261"/>
    </i>
    <i t="blank" r="1">
      <x v="446"/>
    </i>
    <i>
      <x v="247"/>
    </i>
    <i r="1">
      <x v="382"/>
    </i>
    <i r="2">
      <x v="261"/>
    </i>
    <i t="blank" r="1">
      <x v="382"/>
    </i>
    <i>
      <x v="248"/>
    </i>
    <i r="1">
      <x v="426"/>
    </i>
    <i r="2">
      <x v="41"/>
    </i>
    <i t="blank" r="1">
      <x v="426"/>
    </i>
    <i>
      <x v="249"/>
    </i>
    <i r="1">
      <x v="497"/>
    </i>
    <i r="2">
      <x v="78"/>
    </i>
    <i t="blank" r="1">
      <x v="497"/>
    </i>
    <i>
      <x v="250"/>
    </i>
    <i r="1">
      <x v="481"/>
    </i>
    <i r="2">
      <x v="261"/>
    </i>
    <i t="blank" r="1">
      <x v="481"/>
    </i>
    <i>
      <x v="251"/>
    </i>
    <i r="1">
      <x v="419"/>
    </i>
    <i r="2">
      <x v="83"/>
    </i>
    <i t="blank" r="1">
      <x v="419"/>
    </i>
    <i>
      <x v="252"/>
    </i>
    <i r="1">
      <x v="278"/>
    </i>
    <i r="2">
      <x v="50"/>
    </i>
    <i t="blank" r="1">
      <x v="278"/>
    </i>
    <i r="1">
      <x v="281"/>
    </i>
    <i r="2">
      <x v="50"/>
    </i>
    <i t="blank" r="1">
      <x v="281"/>
    </i>
    <i>
      <x v="253"/>
    </i>
    <i r="1">
      <x v="52"/>
    </i>
    <i r="2">
      <x v="22"/>
    </i>
    <i t="blank" r="1">
      <x v="52"/>
    </i>
    <i r="1">
      <x v="218"/>
    </i>
    <i r="2">
      <x v="22"/>
    </i>
    <i t="blank" r="1">
      <x v="218"/>
    </i>
    <i>
      <x v="254"/>
    </i>
    <i r="1">
      <x v="484"/>
    </i>
    <i r="2">
      <x v="211"/>
    </i>
    <i t="blank" r="1">
      <x v="484"/>
    </i>
    <i>
      <x v="255"/>
    </i>
    <i r="1">
      <x v="145"/>
    </i>
    <i r="2">
      <x v="83"/>
    </i>
    <i t="blank" r="1">
      <x v="145"/>
    </i>
    <i>
      <x v="256"/>
    </i>
    <i r="1">
      <x v="244"/>
    </i>
    <i r="2">
      <x v="177"/>
    </i>
    <i t="blank" r="1">
      <x v="244"/>
    </i>
    <i>
      <x v="257"/>
    </i>
    <i r="1">
      <x v="502"/>
    </i>
    <i r="2">
      <x v="311"/>
    </i>
    <i t="blank" r="1">
      <x v="502"/>
    </i>
    <i>
      <x v="258"/>
    </i>
    <i r="1">
      <x v="376"/>
    </i>
    <i r="2">
      <x v="245"/>
    </i>
    <i t="blank" r="1">
      <x v="376"/>
    </i>
    <i>
      <x v="259"/>
    </i>
    <i r="1">
      <x v="448"/>
    </i>
    <i r="2">
      <x v="51"/>
    </i>
    <i t="blank" r="1">
      <x v="448"/>
    </i>
    <i r="1">
      <x v="483"/>
    </i>
    <i r="2">
      <x v="51"/>
    </i>
    <i t="blank" r="1">
      <x v="483"/>
    </i>
    <i>
      <x v="260"/>
    </i>
    <i r="1">
      <x v="467"/>
    </i>
    <i r="2">
      <x v="261"/>
    </i>
    <i t="blank" r="1">
      <x v="467"/>
    </i>
    <i>
      <x v="261"/>
    </i>
    <i r="1">
      <x v="12"/>
    </i>
    <i r="2">
      <x v="1"/>
    </i>
    <i t="blank" r="1">
      <x v="12"/>
    </i>
    <i>
      <x v="262"/>
    </i>
    <i r="1">
      <x v="93"/>
    </i>
    <i r="2">
      <x v="68"/>
    </i>
    <i t="blank" r="1">
      <x v="93"/>
    </i>
    <i>
      <x v="263"/>
    </i>
    <i r="1">
      <x v="424"/>
    </i>
    <i r="2">
      <x v="83"/>
    </i>
    <i t="blank" r="1">
      <x v="424"/>
    </i>
    <i r="1">
      <x v="433"/>
    </i>
    <i r="2">
      <x v="83"/>
    </i>
    <i t="blank" r="1">
      <x v="433"/>
    </i>
    <i>
      <x v="264"/>
    </i>
    <i r="1">
      <x v="407"/>
    </i>
    <i r="2">
      <x v="21"/>
    </i>
    <i t="blank" r="1">
      <x v="407"/>
    </i>
    <i>
      <x v="265"/>
    </i>
    <i r="1">
      <x v="356"/>
    </i>
    <i r="2">
      <x v="27"/>
    </i>
    <i t="blank" r="1">
      <x v="356"/>
    </i>
    <i r="1">
      <x v="357"/>
    </i>
    <i r="2">
      <x v="193"/>
    </i>
    <i t="blank" r="1">
      <x v="357"/>
    </i>
    <i>
      <x v="266"/>
    </i>
    <i r="1">
      <x v="462"/>
    </i>
    <i r="2">
      <x v="261"/>
    </i>
    <i t="blank" r="1">
      <x v="462"/>
    </i>
    <i>
      <x v="267"/>
    </i>
    <i r="1">
      <x v="407"/>
    </i>
    <i r="2">
      <x v="83"/>
    </i>
    <i t="blank" r="1">
      <x v="407"/>
    </i>
    <i r="1">
      <x v="458"/>
    </i>
    <i r="2">
      <x v="261"/>
    </i>
    <i t="blank" r="1">
      <x v="458"/>
    </i>
    <i>
      <x v="268"/>
    </i>
    <i r="1">
      <x v="403"/>
    </i>
    <i r="2">
      <x v="243"/>
    </i>
    <i t="blank" r="1">
      <x v="403"/>
    </i>
    <i>
      <x v="269"/>
    </i>
    <i r="1">
      <x v="425"/>
    </i>
    <i r="2">
      <x v="83"/>
    </i>
    <i t="blank" r="1">
      <x v="425"/>
    </i>
    <i>
      <x v="270"/>
    </i>
    <i r="1">
      <x v="378"/>
    </i>
    <i r="2">
      <x v="261"/>
    </i>
    <i t="blank" r="1">
      <x v="378"/>
    </i>
    <i>
      <x v="271"/>
    </i>
    <i r="1">
      <x v="390"/>
    </i>
    <i r="2">
      <x v="83"/>
    </i>
    <i t="blank" r="1">
      <x v="390"/>
    </i>
    <i>
      <x v="272"/>
    </i>
    <i r="1">
      <x v="401"/>
    </i>
    <i r="2">
      <x v="83"/>
    </i>
    <i t="blank" r="1">
      <x v="401"/>
    </i>
    <i>
      <x v="273"/>
    </i>
    <i r="1">
      <x v="341"/>
    </i>
    <i r="2">
      <x v="230"/>
    </i>
    <i t="blank" r="1">
      <x v="341"/>
    </i>
    <i r="1">
      <x v="343"/>
    </i>
    <i r="2">
      <x v="230"/>
    </i>
    <i t="blank" r="1">
      <x v="343"/>
    </i>
    <i>
      <x v="274"/>
    </i>
    <i r="1">
      <x v="443"/>
    </i>
    <i r="2">
      <x v="83"/>
    </i>
    <i t="blank" r="1">
      <x v="443"/>
    </i>
    <i>
      <x v="275"/>
    </i>
    <i r="1">
      <x v="264"/>
    </i>
    <i r="2">
      <x v="169"/>
    </i>
    <i t="blank" r="1">
      <x v="264"/>
    </i>
    <i>
      <x v="276"/>
    </i>
    <i r="1">
      <x v="424"/>
    </i>
    <i r="2">
      <x v="83"/>
    </i>
    <i t="blank" r="1">
      <x v="424"/>
    </i>
    <i>
      <x v="277"/>
    </i>
    <i r="1">
      <x v="54"/>
    </i>
    <i r="2">
      <x v="40"/>
    </i>
    <i t="blank" r="1">
      <x v="54"/>
    </i>
    <i>
      <x v="278"/>
    </i>
    <i r="1">
      <x v="246"/>
    </i>
    <i r="2">
      <x v="2"/>
    </i>
    <i t="blank" r="1">
      <x v="246"/>
    </i>
    <i>
      <x v="279"/>
    </i>
    <i r="1">
      <x v="104"/>
    </i>
    <i r="2">
      <x v="41"/>
    </i>
    <i t="blank" r="1">
      <x v="104"/>
    </i>
    <i>
      <x v="280"/>
    </i>
    <i r="1">
      <x v="385"/>
    </i>
    <i r="2">
      <x v="83"/>
    </i>
    <i t="blank" r="1">
      <x v="385"/>
    </i>
    <i>
      <x v="281"/>
    </i>
    <i r="1">
      <x v="460"/>
    </i>
    <i r="2">
      <x v="261"/>
    </i>
    <i t="blank" r="1">
      <x v="460"/>
    </i>
    <i>
      <x v="282"/>
    </i>
    <i r="1">
      <x v="435"/>
    </i>
    <i r="2">
      <x v="83"/>
    </i>
    <i t="blank" r="1">
      <x v="435"/>
    </i>
    <i>
      <x v="283"/>
    </i>
    <i r="1">
      <x v="242"/>
    </i>
    <i r="2">
      <x v="28"/>
    </i>
    <i t="blank" r="1">
      <x v="242"/>
    </i>
    <i>
      <x v="284"/>
    </i>
    <i r="1">
      <x v="496"/>
    </i>
    <i r="2">
      <x v="261"/>
    </i>
    <i t="blank" r="1">
      <x v="496"/>
    </i>
    <i>
      <x v="285"/>
    </i>
    <i r="1">
      <x v="393"/>
    </i>
    <i r="2">
      <x v="83"/>
    </i>
    <i t="blank" r="1">
      <x v="393"/>
    </i>
    <i>
      <x v="286"/>
    </i>
    <i r="1">
      <x v="495"/>
    </i>
    <i r="2">
      <x v="261"/>
    </i>
    <i t="blank" r="1">
      <x v="495"/>
    </i>
    <i>
      <x v="287"/>
    </i>
    <i r="1">
      <x v="407"/>
    </i>
    <i r="2">
      <x v="83"/>
    </i>
    <i t="blank" r="1">
      <x v="407"/>
    </i>
    <i>
      <x v="288"/>
    </i>
    <i r="1">
      <x v="319"/>
    </i>
    <i r="2">
      <x v="14"/>
    </i>
    <i t="blank" r="1">
      <x v="319"/>
    </i>
    <i r="1">
      <x v="348"/>
    </i>
    <i r="2">
      <x v="22"/>
    </i>
    <i t="blank" r="1">
      <x v="348"/>
    </i>
    <i>
      <x v="289"/>
    </i>
    <i r="1">
      <x v="138"/>
    </i>
    <i r="2">
      <x v="99"/>
    </i>
    <i t="blank" r="1">
      <x v="138"/>
    </i>
    <i>
      <x v="290"/>
    </i>
    <i r="1">
      <x v="289"/>
    </i>
    <i r="2">
      <x v="26"/>
    </i>
    <i t="blank" r="1">
      <x v="289"/>
    </i>
    <i>
      <x v="291"/>
    </i>
    <i r="1">
      <x v="504"/>
    </i>
    <i r="2">
      <x v="261"/>
    </i>
    <i t="blank" r="1">
      <x v="504"/>
    </i>
    <i>
      <x v="292"/>
    </i>
    <i r="1">
      <x v="480"/>
    </i>
    <i r="2">
      <x v="261"/>
    </i>
    <i t="blank" r="1">
      <x v="480"/>
    </i>
    <i>
      <x v="293"/>
    </i>
    <i r="1">
      <x v="36"/>
    </i>
    <i r="2">
      <x v="19"/>
    </i>
    <i t="blank" r="1">
      <x v="36"/>
    </i>
    <i r="1">
      <x v="42"/>
    </i>
    <i r="2">
      <x v="20"/>
    </i>
    <i t="blank" r="1">
      <x v="42"/>
    </i>
    <i r="1">
      <x v="143"/>
    </i>
    <i r="2">
      <x v="22"/>
    </i>
    <i t="blank" r="1">
      <x v="143"/>
    </i>
    <i>
      <x v="294"/>
    </i>
    <i r="1">
      <x v="228"/>
    </i>
    <i r="2">
      <x v="52"/>
    </i>
    <i t="blank" r="1">
      <x v="228"/>
    </i>
    <i r="1">
      <x v="256"/>
    </i>
    <i r="2">
      <x v="7"/>
    </i>
    <i t="blank" r="1">
      <x v="256"/>
    </i>
    <i>
      <x v="295"/>
    </i>
    <i r="1">
      <x v="147"/>
    </i>
    <i r="2">
      <x v="15"/>
    </i>
    <i t="blank" r="1">
      <x v="147"/>
    </i>
    <i r="1">
      <x v="455"/>
    </i>
    <i r="2">
      <x v="29"/>
    </i>
    <i t="blank" r="1">
      <x v="455"/>
    </i>
    <i>
      <x v="296"/>
    </i>
    <i r="1">
      <x v="366"/>
    </i>
    <i r="2">
      <x v="171"/>
    </i>
    <i t="blank" r="1">
      <x v="366"/>
    </i>
    <i r="1">
      <x v="367"/>
    </i>
    <i r="2">
      <x v="26"/>
    </i>
    <i t="blank" r="1">
      <x v="367"/>
    </i>
    <i>
      <x v="297"/>
    </i>
    <i r="1">
      <x v="441"/>
    </i>
    <i r="2">
      <x v="96"/>
    </i>
    <i t="blank" r="1">
      <x v="441"/>
    </i>
    <i>
      <x v="298"/>
    </i>
    <i r="1">
      <x v="503"/>
    </i>
    <i r="2">
      <x v="37"/>
    </i>
    <i t="blank" r="1">
      <x v="503"/>
    </i>
    <i>
      <x v="299"/>
    </i>
    <i r="1">
      <x v="291"/>
    </i>
    <i r="2">
      <x v="205"/>
    </i>
    <i t="blank" r="1">
      <x v="291"/>
    </i>
    <i>
      <x v="300"/>
    </i>
    <i r="1">
      <x v="302"/>
    </i>
    <i r="2">
      <x v="48"/>
    </i>
    <i t="blank" r="1">
      <x v="302"/>
    </i>
    <i r="1">
      <x v="411"/>
    </i>
    <i r="2">
      <x v="31"/>
    </i>
    <i t="blank" r="1">
      <x v="411"/>
    </i>
    <i r="1">
      <x v="418"/>
    </i>
    <i r="2">
      <x v="31"/>
    </i>
    <i t="blank" r="1">
      <x v="418"/>
    </i>
    <i r="1">
      <x v="459"/>
    </i>
    <i r="2">
      <x v="297"/>
    </i>
    <i t="blank" r="1">
      <x v="459"/>
    </i>
    <i>
      <x v="301"/>
    </i>
    <i r="1">
      <x v="234"/>
    </i>
    <i r="2">
      <x v="140"/>
    </i>
    <i t="blank" r="1">
      <x v="234"/>
    </i>
    <i>
      <x v="302"/>
    </i>
    <i r="1">
      <x v="435"/>
    </i>
    <i r="2">
      <x v="83"/>
    </i>
    <i t="blank" r="1">
      <x v="435"/>
    </i>
    <i>
      <x v="303"/>
    </i>
    <i r="1">
      <x v="301"/>
    </i>
    <i r="2">
      <x v="171"/>
    </i>
    <i t="blank" r="1">
      <x v="301"/>
    </i>
    <i>
      <x v="304"/>
    </i>
    <i r="1">
      <x v="224"/>
    </i>
    <i r="2">
      <x v="28"/>
    </i>
    <i t="blank" r="1">
      <x v="224"/>
    </i>
    <i>
      <x v="305"/>
    </i>
    <i r="1">
      <x v="480"/>
    </i>
    <i r="2">
      <x v="289"/>
    </i>
    <i t="blank" r="1">
      <x v="480"/>
    </i>
    <i>
      <x v="306"/>
    </i>
    <i r="1">
      <x v="448"/>
    </i>
    <i r="2">
      <x v="261"/>
    </i>
    <i t="blank" r="1">
      <x v="448"/>
    </i>
    <i>
      <x v="307"/>
    </i>
    <i r="1">
      <x v="494"/>
    </i>
    <i r="2">
      <x v="74"/>
    </i>
    <i t="blank" r="1">
      <x v="494"/>
    </i>
    <i>
      <x v="308"/>
    </i>
    <i r="1">
      <x v="372"/>
    </i>
    <i r="2">
      <x v="245"/>
    </i>
    <i t="blank" r="1">
      <x v="372"/>
    </i>
    <i>
      <x v="309"/>
    </i>
    <i r="1">
      <x v="322"/>
    </i>
    <i r="2">
      <x v="140"/>
    </i>
    <i t="blank" r="1">
      <x v="322"/>
    </i>
    <i>
      <x v="310"/>
    </i>
    <i r="1">
      <x v="474"/>
    </i>
    <i r="2">
      <x v="261"/>
    </i>
    <i t="blank" r="1">
      <x v="474"/>
    </i>
    <i>
      <x v="311"/>
    </i>
    <i r="1">
      <x v="447"/>
    </i>
    <i r="2">
      <x v="213"/>
    </i>
    <i t="blank" r="1">
      <x v="447"/>
    </i>
    <i>
      <x v="312"/>
    </i>
    <i r="1">
      <x v="114"/>
    </i>
    <i r="2">
      <x v="7"/>
    </i>
    <i t="blank" r="1">
      <x v="114"/>
    </i>
    <i>
      <x v="313"/>
    </i>
    <i r="1">
      <x v="390"/>
    </i>
    <i r="2">
      <x v="83"/>
    </i>
    <i t="blank" r="1">
      <x v="390"/>
    </i>
    <i>
      <x v="314"/>
    </i>
    <i r="1">
      <x v="500"/>
    </i>
    <i r="2">
      <x v="261"/>
    </i>
    <i t="blank" r="1">
      <x v="500"/>
    </i>
    <i>
      <x v="315"/>
    </i>
    <i r="1">
      <x v="3"/>
    </i>
    <i r="2">
      <x v="24"/>
    </i>
    <i t="blank" r="1">
      <x v="3"/>
    </i>
    <i>
      <x v="316"/>
    </i>
    <i r="1">
      <x v="122"/>
    </i>
    <i r="2">
      <x v="91"/>
    </i>
    <i t="blank" r="1">
      <x v="122"/>
    </i>
    <i>
      <x v="317"/>
    </i>
    <i r="1">
      <x v="262"/>
    </i>
    <i r="2">
      <x v="188"/>
    </i>
    <i t="blank" r="1">
      <x v="262"/>
    </i>
    <i>
      <x v="318"/>
    </i>
    <i r="1">
      <x v="494"/>
    </i>
    <i r="2">
      <x v="261"/>
    </i>
    <i t="blank" r="1">
      <x v="494"/>
    </i>
    <i>
      <x v="319"/>
    </i>
    <i r="1">
      <x v="90"/>
    </i>
    <i r="2">
      <x v="22"/>
    </i>
    <i t="blank" r="1">
      <x v="90"/>
    </i>
    <i>
      <x v="320"/>
    </i>
    <i r="1">
      <x v="142"/>
    </i>
    <i r="2">
      <x v="38"/>
    </i>
    <i t="blank" r="1">
      <x v="142"/>
    </i>
    <i>
      <x v="321"/>
    </i>
    <i r="1">
      <x v="375"/>
    </i>
    <i r="2">
      <x v="224"/>
    </i>
    <i t="blank" r="1">
      <x v="375"/>
    </i>
    <i>
      <x v="322"/>
    </i>
    <i r="1">
      <x v="434"/>
    </i>
    <i r="2">
      <x v="251"/>
    </i>
    <i t="blank" r="1">
      <x v="434"/>
    </i>
    <i>
      <x v="323"/>
    </i>
    <i r="1">
      <x v="87"/>
    </i>
    <i r="2">
      <x v="58"/>
    </i>
    <i t="blank" r="1">
      <x v="87"/>
    </i>
    <i>
      <x v="324"/>
    </i>
    <i r="1">
      <x v="371"/>
    </i>
    <i r="2">
      <x v="83"/>
    </i>
    <i t="blank" r="1">
      <x v="371"/>
    </i>
    <i>
      <x v="325"/>
    </i>
    <i r="1">
      <x v="502"/>
    </i>
    <i r="2">
      <x v="261"/>
    </i>
    <i t="blank" r="1">
      <x v="502"/>
    </i>
    <i>
      <x v="326"/>
    </i>
    <i r="1">
      <x v="303"/>
    </i>
    <i r="2">
      <x v="210"/>
    </i>
    <i t="blank" r="1">
      <x v="303"/>
    </i>
    <i>
      <x v="327"/>
    </i>
    <i r="1">
      <x v="80"/>
    </i>
    <i r="2">
      <x v="49"/>
    </i>
    <i t="blank" r="1">
      <x v="80"/>
    </i>
    <i>
      <x v="328"/>
    </i>
    <i r="1">
      <x v="137"/>
    </i>
    <i r="2">
      <x v="118"/>
    </i>
    <i t="blank" r="1">
      <x v="137"/>
    </i>
    <i>
      <x v="329"/>
    </i>
    <i r="1">
      <x v="323"/>
    </i>
    <i r="2">
      <x v="28"/>
    </i>
    <i t="blank" r="1">
      <x v="323"/>
    </i>
    <i>
      <x v="330"/>
    </i>
    <i r="1">
      <x v="136"/>
    </i>
    <i r="2">
      <x v="117"/>
    </i>
    <i t="blank" r="1">
      <x v="136"/>
    </i>
    <i r="1">
      <x v="137"/>
    </i>
    <i r="2">
      <x v="117"/>
    </i>
    <i t="blank" r="1">
      <x v="137"/>
    </i>
    <i>
      <x v="331"/>
    </i>
    <i r="1">
      <x v="474"/>
    </i>
    <i r="2">
      <x v="261"/>
    </i>
    <i t="blank" r="1">
      <x v="474"/>
    </i>
    <i>
      <x v="332"/>
    </i>
    <i r="1">
      <x v="407"/>
    </i>
    <i r="2">
      <x v="83"/>
    </i>
    <i t="blank" r="1">
      <x v="407"/>
    </i>
    <i>
      <x v="333"/>
    </i>
    <i r="1">
      <x v="473"/>
    </i>
    <i r="2">
      <x v="261"/>
    </i>
    <i t="blank" r="1">
      <x v="473"/>
    </i>
    <i>
      <x v="334"/>
    </i>
    <i r="1">
      <x v="467"/>
    </i>
    <i r="2">
      <x v="261"/>
    </i>
    <i t="blank" r="1">
      <x v="467"/>
    </i>
    <i>
      <x v="335"/>
    </i>
    <i r="1">
      <x v="270"/>
    </i>
    <i r="2">
      <x v="26"/>
    </i>
    <i t="blank" r="1">
      <x v="270"/>
    </i>
    <i>
      <x v="336"/>
    </i>
    <i r="1">
      <x v="384"/>
    </i>
    <i r="2">
      <x v="83"/>
    </i>
    <i t="blank" r="1">
      <x v="384"/>
    </i>
    <i r="1">
      <x v="394"/>
    </i>
    <i r="2">
      <x v="83"/>
    </i>
    <i t="blank" r="1">
      <x v="394"/>
    </i>
    <i r="1">
      <x v="455"/>
    </i>
    <i r="2">
      <x v="83"/>
    </i>
    <i t="blank" r="1">
      <x v="455"/>
    </i>
    <i>
      <x v="337"/>
    </i>
    <i r="1">
      <x v="401"/>
    </i>
    <i r="2">
      <x v="268"/>
    </i>
    <i t="blank" r="1">
      <x v="401"/>
    </i>
    <i>
      <x v="338"/>
    </i>
    <i r="1">
      <x v="358"/>
    </i>
    <i r="2">
      <x v="59"/>
    </i>
    <i t="blank" r="1">
      <x v="358"/>
    </i>
    <i>
      <x v="339"/>
    </i>
    <i r="1">
      <x v="334"/>
    </i>
    <i r="2">
      <x v="225"/>
    </i>
    <i t="blank" r="1">
      <x v="334"/>
    </i>
    <i>
      <x v="340"/>
    </i>
    <i r="1">
      <x v="372"/>
    </i>
    <i r="2">
      <x v="52"/>
    </i>
    <i t="blank" r="1">
      <x v="372"/>
    </i>
    <i>
      <x v="341"/>
    </i>
    <i r="1">
      <x v="92"/>
    </i>
    <i r="2">
      <x v="51"/>
    </i>
    <i t="blank" r="1">
      <x v="92"/>
    </i>
    <i r="1">
      <x v="256"/>
    </i>
    <i r="2">
      <x v="72"/>
    </i>
    <i t="blank" r="1">
      <x v="256"/>
    </i>
    <i>
      <x v="342"/>
    </i>
    <i r="1">
      <x v="447"/>
    </i>
    <i r="2">
      <x v="286"/>
    </i>
    <i t="blank" r="1">
      <x v="447"/>
    </i>
    <i>
      <x v="343"/>
    </i>
    <i r="1">
      <x v="89"/>
    </i>
    <i r="2">
      <x v="61"/>
    </i>
    <i t="blank" r="1">
      <x v="89"/>
    </i>
    <i>
      <x v="344"/>
    </i>
    <i r="1">
      <x v="243"/>
    </i>
    <i r="2">
      <x v="34"/>
    </i>
    <i t="blank" r="1">
      <x v="243"/>
    </i>
    <i r="1">
      <x v="281"/>
    </i>
    <i r="2">
      <x v="171"/>
    </i>
    <i t="blank" r="1">
      <x v="281"/>
    </i>
    <i r="1">
      <x v="314"/>
    </i>
    <i r="2">
      <x v="171"/>
    </i>
    <i t="blank" r="1">
      <x v="314"/>
    </i>
    <i>
      <x v="345"/>
    </i>
    <i r="1">
      <x v="449"/>
    </i>
    <i r="2">
      <x v="261"/>
    </i>
    <i t="blank" r="1">
      <x v="449"/>
    </i>
    <i>
      <x v="346"/>
    </i>
    <i r="1">
      <x v="456"/>
    </i>
    <i r="2">
      <x v="83"/>
    </i>
    <i t="blank" r="1">
      <x v="456"/>
    </i>
    <i>
      <x v="347"/>
    </i>
    <i r="1">
      <x v="376"/>
    </i>
    <i r="2">
      <x v="140"/>
    </i>
    <i t="blank" r="1">
      <x v="376"/>
    </i>
    <i>
      <x v="348"/>
    </i>
    <i r="1">
      <x v="256"/>
    </i>
    <i r="2">
      <x v="63"/>
    </i>
    <i t="blank" r="1">
      <x v="256"/>
    </i>
    <i>
      <x v="349"/>
    </i>
    <i r="1">
      <x v="337"/>
    </i>
    <i r="2">
      <x v="215"/>
    </i>
    <i t="blank" r="1">
      <x v="337"/>
    </i>
    <i>
      <x v="350"/>
    </i>
    <i r="1">
      <x v="500"/>
    </i>
    <i r="2">
      <x v="261"/>
    </i>
    <i t="blank" r="1">
      <x v="500"/>
    </i>
    <i>
      <x v="351"/>
    </i>
    <i r="1">
      <x v="367"/>
    </i>
    <i r="2">
      <x v="245"/>
    </i>
    <i t="blank" r="1">
      <x v="367"/>
    </i>
    <i>
      <x v="352"/>
    </i>
    <i r="1">
      <x v="153"/>
    </i>
    <i r="2">
      <x v="83"/>
    </i>
    <i t="blank" r="1">
      <x v="153"/>
    </i>
    <i>
      <x v="353"/>
    </i>
    <i r="1">
      <x v="457"/>
    </i>
    <i r="2">
      <x v="83"/>
    </i>
    <i t="blank" r="1">
      <x v="457"/>
    </i>
    <i>
      <x v="354"/>
    </i>
    <i r="1">
      <x v="385"/>
    </i>
    <i r="2">
      <x v="83"/>
    </i>
    <i t="blank" r="1">
      <x v="385"/>
    </i>
    <i>
      <x v="355"/>
    </i>
    <i r="1">
      <x v="461"/>
    </i>
    <i r="2">
      <x v="178"/>
    </i>
    <i t="blank" r="1">
      <x v="461"/>
    </i>
    <i>
      <x v="356"/>
    </i>
    <i r="1">
      <x v="490"/>
    </i>
    <i r="2">
      <x v="261"/>
    </i>
    <i t="blank" r="1">
      <x v="490"/>
    </i>
    <i>
      <x v="357"/>
    </i>
    <i r="1">
      <x v="363"/>
    </i>
    <i r="2">
      <x v="178"/>
    </i>
    <i t="blank" r="1">
      <x v="363"/>
    </i>
    <i>
      <x v="358"/>
    </i>
    <i r="1">
      <x v="365"/>
    </i>
    <i r="2">
      <x v="250"/>
    </i>
    <i t="blank" r="1">
      <x v="365"/>
    </i>
    <i>
      <x v="359"/>
    </i>
    <i r="1">
      <x v="389"/>
    </i>
    <i r="2">
      <x v="40"/>
    </i>
    <i t="blank" r="1">
      <x v="389"/>
    </i>
    <i>
      <x v="360"/>
    </i>
    <i r="1">
      <x v="443"/>
    </i>
    <i r="2">
      <x v="83"/>
    </i>
    <i t="blank" r="1">
      <x v="443"/>
    </i>
    <i>
      <x v="361"/>
    </i>
    <i r="1">
      <x v="145"/>
    </i>
    <i r="2">
      <x v="124"/>
    </i>
    <i t="blank" r="1">
      <x v="145"/>
    </i>
    <i>
      <x v="362"/>
    </i>
    <i r="1">
      <x v="453"/>
    </i>
    <i r="2">
      <x v="293"/>
    </i>
    <i t="blank" r="1">
      <x v="453"/>
    </i>
    <i r="1">
      <x v="454"/>
    </i>
    <i r="2">
      <x v="46"/>
    </i>
    <i t="blank" r="1">
      <x v="454"/>
    </i>
    <i r="1">
      <x v="458"/>
    </i>
    <i r="2">
      <x v="76"/>
    </i>
    <i t="blank" r="1">
      <x v="458"/>
    </i>
    <i>
      <x v="363"/>
    </i>
    <i r="1">
      <x v="93"/>
    </i>
    <i r="2">
      <x v="40"/>
    </i>
    <i t="blank" r="1">
      <x v="93"/>
    </i>
    <i r="1">
      <x v="228"/>
    </i>
    <i r="2">
      <x v="54"/>
    </i>
    <i t="blank" r="1">
      <x v="228"/>
    </i>
    <i>
      <x v="364"/>
    </i>
    <i r="1">
      <x v="369"/>
    </i>
    <i r="2">
      <x v="83"/>
    </i>
    <i t="blank" r="1">
      <x v="369"/>
    </i>
    <i>
      <x v="365"/>
    </i>
    <i r="1">
      <x v="370"/>
    </i>
    <i r="2">
      <x v="83"/>
    </i>
    <i t="blank" r="1">
      <x v="370"/>
    </i>
    <i>
      <x v="366"/>
    </i>
    <i r="1">
      <x v="433"/>
    </i>
    <i r="2">
      <x v="83"/>
    </i>
    <i t="blank" r="1">
      <x v="433"/>
    </i>
    <i>
      <x v="367"/>
    </i>
    <i r="1">
      <x v="382"/>
    </i>
    <i r="2">
      <x v="83"/>
    </i>
    <i t="blank" r="1">
      <x v="382"/>
    </i>
    <i r="1">
      <x v="482"/>
    </i>
    <i r="2">
      <x v="261"/>
    </i>
    <i t="blank" r="1">
      <x v="482"/>
    </i>
    <i>
      <x v="368"/>
    </i>
    <i r="1">
      <x v="398"/>
    </i>
    <i r="2">
      <x v="21"/>
    </i>
    <i t="blank" r="1">
      <x v="398"/>
    </i>
    <i>
      <x v="369"/>
    </i>
    <i r="1">
      <x v="69"/>
    </i>
    <i r="2">
      <x v="26"/>
    </i>
    <i t="blank" r="1">
      <x v="69"/>
    </i>
    <i r="1">
      <x v="258"/>
    </i>
    <i r="2">
      <x v="14"/>
    </i>
    <i t="blank" r="1">
      <x v="258"/>
    </i>
    <i>
      <x v="370"/>
    </i>
    <i r="1">
      <x v="124"/>
    </i>
    <i r="2">
      <x v="110"/>
    </i>
    <i t="blank" r="1">
      <x v="124"/>
    </i>
    <i>
      <x v="371"/>
    </i>
    <i r="1">
      <x v="411"/>
    </i>
    <i r="2">
      <x v="245"/>
    </i>
    <i t="blank" r="1">
      <x v="411"/>
    </i>
    <i>
      <x v="372"/>
    </i>
    <i r="1">
      <x v="503"/>
    </i>
    <i r="2">
      <x v="207"/>
    </i>
    <i t="blank" r="1">
      <x v="503"/>
    </i>
    <i>
      <x v="373"/>
    </i>
    <i r="1">
      <x v="500"/>
    </i>
    <i r="2">
      <x v="261"/>
    </i>
    <i t="blank" r="1">
      <x v="500"/>
    </i>
    <i>
      <x v="374"/>
    </i>
    <i r="1">
      <x v="481"/>
    </i>
    <i r="2">
      <x v="253"/>
    </i>
    <i t="blank" r="1">
      <x v="481"/>
    </i>
    <i>
      <x v="375"/>
    </i>
    <i r="1">
      <x v="240"/>
    </i>
    <i r="2">
      <x v="65"/>
    </i>
    <i t="blank" r="1">
      <x v="240"/>
    </i>
    <i>
      <x v="376"/>
    </i>
    <i r="1">
      <x v="75"/>
    </i>
    <i r="2">
      <x v="41"/>
    </i>
    <i t="blank" r="1">
      <x v="75"/>
    </i>
    <i>
      <x v="377"/>
    </i>
    <i r="1">
      <x v="90"/>
    </i>
    <i r="2">
      <x v="43"/>
    </i>
    <i t="blank" r="1">
      <x v="90"/>
    </i>
    <i>
      <x v="378"/>
    </i>
    <i r="1">
      <x v="290"/>
    </i>
    <i r="2">
      <x v="19"/>
    </i>
    <i t="blank" r="1">
      <x v="290"/>
    </i>
    <i>
      <x v="379"/>
    </i>
    <i r="1">
      <x v="138"/>
    </i>
    <i r="2">
      <x v="83"/>
    </i>
    <i t="blank" r="1">
      <x v="138"/>
    </i>
    <i>
      <x v="380"/>
    </i>
    <i r="1">
      <x v="409"/>
    </i>
    <i r="2">
      <x v="83"/>
    </i>
    <i t="blank" r="1">
      <x v="409"/>
    </i>
    <i>
      <x v="381"/>
    </i>
    <i r="1">
      <x v="502"/>
    </i>
    <i r="2">
      <x v="261"/>
    </i>
    <i t="blank" r="1">
      <x v="502"/>
    </i>
    <i>
      <x v="382"/>
    </i>
    <i r="1">
      <x v="68"/>
    </i>
    <i r="2">
      <x v="27"/>
    </i>
    <i t="blank" r="1">
      <x v="68"/>
    </i>
    <i r="1">
      <x v="228"/>
    </i>
    <i r="2">
      <x v="55"/>
    </i>
    <i t="blank" r="1">
      <x v="228"/>
    </i>
    <i>
      <x v="383"/>
    </i>
    <i r="1">
      <x v="500"/>
    </i>
    <i r="2">
      <x v="261"/>
    </i>
    <i t="blank" r="1">
      <x v="500"/>
    </i>
    <i>
      <x v="384"/>
    </i>
    <i r="1">
      <x v="153"/>
    </i>
    <i r="2">
      <x v="130"/>
    </i>
    <i t="blank" r="1">
      <x v="153"/>
    </i>
    <i>
      <x v="385"/>
    </i>
    <i r="1">
      <x v="395"/>
    </i>
    <i r="2">
      <x v="83"/>
    </i>
    <i t="blank" r="1">
      <x v="395"/>
    </i>
    <i r="1">
      <x v="472"/>
    </i>
    <i r="2">
      <x v="261"/>
    </i>
    <i t="blank" r="1">
      <x v="472"/>
    </i>
    <i>
      <x v="386"/>
    </i>
    <i r="1">
      <x v="398"/>
    </i>
    <i r="2">
      <x v="83"/>
    </i>
    <i t="blank" r="1">
      <x v="398"/>
    </i>
    <i>
      <x v="387"/>
    </i>
    <i r="1">
      <x v="326"/>
    </i>
    <i r="2">
      <x v="28"/>
    </i>
    <i t="blank" r="1">
      <x v="326"/>
    </i>
    <i>
      <x v="388"/>
    </i>
    <i r="1">
      <x v="431"/>
    </i>
    <i r="2">
      <x v="83"/>
    </i>
    <i t="blank" r="1">
      <x v="431"/>
    </i>
    <i>
      <x v="389"/>
    </i>
    <i r="1">
      <x v="446"/>
    </i>
    <i r="2">
      <x v="184"/>
    </i>
    <i t="blank" r="1">
      <x v="446"/>
    </i>
    <i>
      <x v="390"/>
    </i>
    <i r="1">
      <x v="248"/>
    </i>
    <i r="2">
      <x v="7"/>
    </i>
    <i t="blank" r="1">
      <x v="248"/>
    </i>
    <i r="1">
      <x v="250"/>
    </i>
    <i r="2">
      <x v="26"/>
    </i>
    <i t="blank" r="1">
      <x v="250"/>
    </i>
    <i r="1">
      <x v="265"/>
    </i>
    <i r="2">
      <x v="50"/>
    </i>
    <i t="blank" r="1">
      <x v="265"/>
    </i>
    <i>
      <x v="391"/>
    </i>
    <i r="1">
      <x v="494"/>
    </i>
    <i r="2">
      <x v="89"/>
    </i>
    <i t="blank" r="1">
      <x v="494"/>
    </i>
    <i>
      <x v="392"/>
    </i>
    <i r="1">
      <x v="416"/>
    </i>
    <i r="2">
      <x v="83"/>
    </i>
    <i t="blank" r="1">
      <x v="416"/>
    </i>
    <i r="1">
      <x v="457"/>
    </i>
    <i r="2">
      <x v="83"/>
    </i>
    <i t="blank" r="1">
      <x v="457"/>
    </i>
    <i>
      <x v="393"/>
    </i>
    <i r="1">
      <x v="403"/>
    </i>
    <i r="2">
      <x v="83"/>
    </i>
    <i t="blank" r="1">
      <x v="403"/>
    </i>
    <i>
      <x v="394"/>
    </i>
    <i r="1">
      <x v="408"/>
    </i>
    <i r="2">
      <x v="83"/>
    </i>
    <i t="blank" r="1">
      <x v="408"/>
    </i>
    <i>
      <x v="395"/>
    </i>
    <i r="1">
      <x v="409"/>
    </i>
    <i r="2">
      <x v="83"/>
    </i>
    <i t="blank" r="1">
      <x v="409"/>
    </i>
    <i>
      <x v="396"/>
    </i>
    <i r="1">
      <x v="474"/>
    </i>
    <i r="2">
      <x v="261"/>
    </i>
    <i t="blank" r="1">
      <x v="474"/>
    </i>
    <i>
      <x v="397"/>
    </i>
    <i r="1">
      <x v="141"/>
    </i>
    <i r="2">
      <x v="83"/>
    </i>
    <i t="blank" r="1">
      <x v="141"/>
    </i>
    <i>
      <x v="398"/>
    </i>
    <i r="1">
      <x v="454"/>
    </i>
    <i r="2">
      <x v="261"/>
    </i>
    <i t="blank" r="1">
      <x v="454"/>
    </i>
    <i>
      <x v="399"/>
    </i>
    <i r="1">
      <x v="382"/>
    </i>
    <i r="2">
      <x v="260"/>
    </i>
    <i t="blank" r="1">
      <x v="382"/>
    </i>
    <i r="1">
      <x v="454"/>
    </i>
    <i r="2">
      <x v="295"/>
    </i>
    <i t="blank" r="1">
      <x v="454"/>
    </i>
    <i>
      <x v="400"/>
    </i>
    <i r="1">
      <x v="450"/>
    </i>
    <i r="2">
      <x v="261"/>
    </i>
    <i t="blank" r="1">
      <x v="450"/>
    </i>
    <i>
      <x v="401"/>
    </i>
    <i r="1">
      <x v="426"/>
    </i>
    <i r="2">
      <x v="40"/>
    </i>
    <i t="blank" r="1">
      <x v="426"/>
    </i>
    <i r="1">
      <x v="476"/>
    </i>
    <i r="2">
      <x v="306"/>
    </i>
    <i t="blank" r="1">
      <x v="476"/>
    </i>
    <i>
      <x v="402"/>
    </i>
    <i r="1">
      <x v="121"/>
    </i>
    <i r="2">
      <x v="106"/>
    </i>
    <i t="blank" r="1">
      <x v="121"/>
    </i>
    <i>
      <x v="403"/>
    </i>
    <i r="1">
      <x v="388"/>
    </i>
    <i r="2">
      <x v="83"/>
    </i>
    <i t="blank" r="1">
      <x v="388"/>
    </i>
    <i>
      <x v="404"/>
    </i>
    <i r="1">
      <x v="388"/>
    </i>
    <i r="2">
      <x v="83"/>
    </i>
    <i t="blank" r="1">
      <x v="388"/>
    </i>
    <i>
      <x v="405"/>
    </i>
    <i r="1">
      <x v="457"/>
    </i>
    <i r="2">
      <x v="22"/>
    </i>
    <i t="blank" r="1">
      <x v="457"/>
    </i>
    <i>
      <x v="406"/>
    </i>
    <i r="1">
      <x v="104"/>
    </i>
    <i r="2">
      <x v="84"/>
    </i>
    <i t="blank" r="1">
      <x v="104"/>
    </i>
    <i>
      <x v="407"/>
    </i>
    <i r="1">
      <x v="447"/>
    </i>
    <i r="2">
      <x v="261"/>
    </i>
    <i t="blank" r="1">
      <x v="447"/>
    </i>
    <i>
      <x v="408"/>
    </i>
    <i r="1">
      <x v="414"/>
    </i>
    <i r="2">
      <x v="83"/>
    </i>
    <i t="blank" r="1">
      <x v="414"/>
    </i>
    <i>
      <x v="409"/>
    </i>
    <i r="1">
      <x v="457"/>
    </i>
    <i r="2">
      <x v="140"/>
    </i>
    <i t="blank" r="1">
      <x v="457"/>
    </i>
    <i>
      <x v="410"/>
    </i>
    <i r="1">
      <x v="453"/>
    </i>
    <i r="2">
      <x v="261"/>
    </i>
    <i t="blank" r="1">
      <x v="453"/>
    </i>
    <i>
      <x v="411"/>
    </i>
    <i r="1">
      <x v="419"/>
    </i>
    <i r="2">
      <x v="83"/>
    </i>
    <i t="blank" r="1">
      <x v="419"/>
    </i>
    <i>
      <x v="412"/>
    </i>
    <i r="1">
      <x v="391"/>
    </i>
    <i r="2">
      <x v="83"/>
    </i>
    <i t="blank" r="1">
      <x v="391"/>
    </i>
    <i>
      <x v="413"/>
    </i>
    <i r="1">
      <x v="423"/>
    </i>
    <i r="2">
      <x v="83"/>
    </i>
    <i t="blank" r="1">
      <x v="423"/>
    </i>
    <i>
      <x v="414"/>
    </i>
    <i r="1">
      <x v="373"/>
    </i>
    <i r="2">
      <x v="54"/>
    </i>
    <i t="blank" r="1">
      <x v="373"/>
    </i>
    <i>
      <x v="415"/>
    </i>
    <i r="1">
      <x v="450"/>
    </i>
    <i r="2">
      <x v="292"/>
    </i>
    <i t="blank" r="1">
      <x v="450"/>
    </i>
    <i>
      <x v="416"/>
    </i>
    <i r="1">
      <x v="409"/>
    </i>
    <i r="2">
      <x v="83"/>
    </i>
    <i t="blank" r="1">
      <x v="409"/>
    </i>
    <i>
      <x v="417"/>
    </i>
    <i r="1">
      <x v="386"/>
    </i>
    <i r="2">
      <x v="250"/>
    </i>
    <i t="blank" r="1">
      <x v="386"/>
    </i>
    <i>
      <x v="418"/>
    </i>
    <i r="1">
      <x v="462"/>
    </i>
    <i r="2">
      <x v="261"/>
    </i>
    <i t="blank" r="1">
      <x v="462"/>
    </i>
    <i>
      <x v="419"/>
    </i>
    <i r="1">
      <x v="256"/>
    </i>
    <i r="2">
      <x v="54"/>
    </i>
    <i t="blank" r="1">
      <x v="256"/>
    </i>
    <i r="1">
      <x v="349"/>
    </i>
    <i r="2">
      <x v="40"/>
    </i>
    <i t="blank" r="1">
      <x v="349"/>
    </i>
    <i r="1">
      <x v="425"/>
    </i>
    <i r="2">
      <x v="210"/>
    </i>
    <i t="blank" r="1">
      <x v="425"/>
    </i>
    <i r="1">
      <x v="497"/>
    </i>
    <i r="2">
      <x v="261"/>
    </i>
    <i t="blank" r="1">
      <x v="497"/>
    </i>
    <i>
      <x v="420"/>
    </i>
    <i r="1">
      <x v="417"/>
    </i>
    <i r="2">
      <x v="245"/>
    </i>
    <i t="blank" r="1">
      <x v="417"/>
    </i>
    <i>
      <x v="421"/>
    </i>
    <i r="1">
      <x v="454"/>
    </i>
    <i r="2">
      <x v="32"/>
    </i>
    <i t="blank" r="1">
      <x v="454"/>
    </i>
    <i r="1">
      <x v="458"/>
    </i>
    <i r="2">
      <x v="32"/>
    </i>
    <i t="blank" r="1">
      <x v="458"/>
    </i>
    <i>
      <x v="422"/>
    </i>
    <i r="1">
      <x v="411"/>
    </i>
    <i r="2">
      <x v="83"/>
    </i>
    <i t="blank" r="1">
      <x v="411"/>
    </i>
    <i>
      <x v="423"/>
    </i>
    <i r="1">
      <x v="479"/>
    </i>
    <i r="2">
      <x v="261"/>
    </i>
    <i t="blank" r="1">
      <x v="479"/>
    </i>
    <i>
      <x v="424"/>
    </i>
    <i r="1">
      <x v="474"/>
    </i>
    <i r="2">
      <x v="261"/>
    </i>
    <i t="blank" r="1">
      <x v="474"/>
    </i>
    <i>
      <x v="425"/>
    </i>
    <i r="1">
      <x v="231"/>
    </i>
    <i r="2">
      <x v="165"/>
    </i>
    <i t="blank" r="1">
      <x v="231"/>
    </i>
    <i r="1">
      <x v="240"/>
    </i>
    <i r="2">
      <x v="171"/>
    </i>
    <i t="blank" r="1">
      <x v="240"/>
    </i>
    <i>
      <x v="426"/>
    </i>
    <i r="1">
      <x v="395"/>
    </i>
    <i r="2">
      <x v="83"/>
    </i>
    <i t="blank" r="1">
      <x v="395"/>
    </i>
    <i r="1">
      <x v="401"/>
    </i>
    <i r="2">
      <x v="83"/>
    </i>
    <i t="blank" r="1">
      <x v="401"/>
    </i>
    <i>
      <x v="427"/>
    </i>
    <i r="1">
      <x v="375"/>
    </i>
    <i r="2">
      <x v="40"/>
    </i>
    <i t="blank" r="1">
      <x v="375"/>
    </i>
    <i r="1">
      <x v="418"/>
    </i>
    <i r="2">
      <x v="180"/>
    </i>
    <i t="blank" r="1">
      <x v="418"/>
    </i>
    <i>
      <x v="428"/>
    </i>
    <i r="1">
      <x v="355"/>
    </i>
    <i r="2">
      <x v="59"/>
    </i>
    <i t="blank" r="1">
      <x v="355"/>
    </i>
    <i>
      <x v="429"/>
    </i>
    <i r="1">
      <x v="455"/>
    </i>
    <i r="2">
      <x v="83"/>
    </i>
    <i t="blank" r="1">
      <x v="455"/>
    </i>
    <i>
      <x v="430"/>
    </i>
    <i r="1">
      <x v="251"/>
    </i>
    <i r="2">
      <x v="55"/>
    </i>
    <i t="blank" r="1">
      <x v="251"/>
    </i>
    <i>
      <x v="431"/>
    </i>
    <i r="1">
      <x v="435"/>
    </i>
    <i r="2">
      <x v="83"/>
    </i>
    <i t="blank" r="1">
      <x v="435"/>
    </i>
    <i>
      <x v="432"/>
    </i>
    <i r="1">
      <x v="475"/>
    </i>
    <i r="2">
      <x v="178"/>
    </i>
    <i t="blank" r="1">
      <x v="475"/>
    </i>
    <i>
      <x v="433"/>
    </i>
    <i r="1">
      <x v="417"/>
    </i>
    <i r="2">
      <x v="83"/>
    </i>
    <i t="blank" r="1">
      <x v="417"/>
    </i>
    <i r="1">
      <x v="423"/>
    </i>
    <i r="2">
      <x v="83"/>
    </i>
    <i t="blank" r="1">
      <x v="423"/>
    </i>
    <i>
      <x v="434"/>
    </i>
    <i r="1">
      <x v="449"/>
    </i>
    <i r="2">
      <x v="291"/>
    </i>
    <i t="blank" r="1">
      <x v="449"/>
    </i>
    <i>
      <x v="435"/>
    </i>
    <i r="1">
      <x v="495"/>
    </i>
    <i r="2">
      <x v="261"/>
    </i>
    <i t="blank" r="1">
      <x v="495"/>
    </i>
    <i>
      <x v="436"/>
    </i>
    <i r="1">
      <x v="87"/>
    </i>
    <i r="2">
      <x v="40"/>
    </i>
    <i t="blank" r="1">
      <x v="87"/>
    </i>
    <i>
      <x v="437"/>
    </i>
    <i r="1">
      <x v="433"/>
    </i>
    <i r="2">
      <x v="83"/>
    </i>
    <i t="blank" r="1">
      <x v="433"/>
    </i>
    <i>
      <x v="438"/>
    </i>
    <i r="1">
      <x v="428"/>
    </i>
    <i r="2">
      <x v="83"/>
    </i>
    <i t="blank" r="1">
      <x v="428"/>
    </i>
    <i>
      <x v="439"/>
    </i>
    <i r="1">
      <x v="391"/>
    </i>
    <i r="2">
      <x v="83"/>
    </i>
    <i t="blank" r="1">
      <x v="391"/>
    </i>
    <i>
      <x v="440"/>
    </i>
    <i r="1">
      <x v="450"/>
    </i>
    <i r="2">
      <x v="261"/>
    </i>
    <i t="blank" r="1">
      <x v="450"/>
    </i>
    <i>
      <x v="441"/>
    </i>
    <i r="1">
      <x v="463"/>
    </i>
    <i r="2">
      <x v="261"/>
    </i>
    <i t="blank" r="1">
      <x v="463"/>
    </i>
    <i>
      <x v="442"/>
    </i>
    <i r="1">
      <x v="490"/>
    </i>
    <i r="2">
      <x v="253"/>
    </i>
    <i t="blank" r="1">
      <x v="490"/>
    </i>
    <i>
      <x v="443"/>
    </i>
    <i r="1">
      <x v="403"/>
    </i>
    <i r="2">
      <x v="83"/>
    </i>
    <i t="blank" r="1">
      <x v="403"/>
    </i>
    <i>
      <x v="444"/>
    </i>
    <i r="1">
      <x v="503"/>
    </i>
    <i r="2">
      <x v="261"/>
    </i>
    <i t="blank" r="1">
      <x v="503"/>
    </i>
    <i>
      <x v="445"/>
    </i>
    <i r="1">
      <x v="419"/>
    </i>
    <i r="2">
      <x v="83"/>
    </i>
    <i t="blank" r="1">
      <x v="419"/>
    </i>
    <i r="1">
      <x v="425"/>
    </i>
    <i r="2">
      <x v="83"/>
    </i>
    <i t="blank" r="1">
      <x v="425"/>
    </i>
    <i>
      <x v="446"/>
    </i>
    <i r="1">
      <x v="473"/>
    </i>
    <i r="2">
      <x v="253"/>
    </i>
    <i t="blank" r="1">
      <x v="473"/>
    </i>
    <i>
      <x v="447"/>
    </i>
    <i r="1">
      <x v="231"/>
    </i>
    <i r="2">
      <x v="40"/>
    </i>
    <i t="blank" r="1">
      <x v="231"/>
    </i>
    <i r="1">
      <x v="317"/>
    </i>
    <i r="2">
      <x v="184"/>
    </i>
    <i t="blank" r="1">
      <x v="317"/>
    </i>
    <i r="1">
      <x v="390"/>
    </i>
    <i r="2">
      <x v="210"/>
    </i>
    <i t="blank" r="1">
      <x v="390"/>
    </i>
    <i r="1">
      <x v="479"/>
    </i>
    <i r="2">
      <x v="76"/>
    </i>
    <i t="blank" r="1">
      <x v="479"/>
    </i>
    <i>
      <x v="448"/>
    </i>
    <i r="1">
      <x v="419"/>
    </i>
    <i r="2">
      <x v="83"/>
    </i>
    <i t="blank" r="1">
      <x v="419"/>
    </i>
    <i>
      <x v="449"/>
    </i>
    <i r="1">
      <x v="428"/>
    </i>
    <i r="2">
      <x v="83"/>
    </i>
    <i t="blank" r="1">
      <x v="428"/>
    </i>
    <i>
      <x v="450"/>
    </i>
    <i r="1">
      <x v="463"/>
    </i>
    <i r="2">
      <x v="261"/>
    </i>
    <i t="blank" r="1">
      <x v="463"/>
    </i>
    <i>
      <x v="451"/>
    </i>
    <i r="1">
      <x v="156"/>
    </i>
    <i r="2">
      <x v="22"/>
    </i>
    <i t="blank" r="1">
      <x v="156"/>
    </i>
    <i r="1">
      <x v="353"/>
    </i>
    <i r="2">
      <x v="22"/>
    </i>
    <i t="blank" r="1">
      <x v="353"/>
    </i>
    <i>
      <x v="452"/>
    </i>
    <i r="1">
      <x v="500"/>
    </i>
    <i r="2">
      <x v="261"/>
    </i>
    <i t="blank" r="1">
      <x v="500"/>
    </i>
    <i>
      <x v="453"/>
    </i>
    <i r="1">
      <x v="481"/>
    </i>
    <i r="2">
      <x v="261"/>
    </i>
    <i t="blank" r="1">
      <x v="481"/>
    </i>
    <i>
      <x v="454"/>
    </i>
    <i r="1">
      <x v="471"/>
    </i>
    <i r="2">
      <x v="292"/>
    </i>
    <i t="blank" r="1">
      <x v="471"/>
    </i>
    <i>
      <x v="455"/>
    </i>
    <i r="1">
      <x v="457"/>
    </i>
    <i r="2">
      <x v="83"/>
    </i>
    <i t="blank" r="1">
      <x v="457"/>
    </i>
    <i>
      <x v="456"/>
    </i>
    <i r="1">
      <x v="135"/>
    </i>
    <i r="2">
      <x v="116"/>
    </i>
    <i t="blank" r="1">
      <x v="135"/>
    </i>
    <i>
      <x v="457"/>
    </i>
    <i r="1">
      <x v="176"/>
    </i>
    <i r="2">
      <x v="83"/>
    </i>
    <i t="blank" r="1">
      <x v="176"/>
    </i>
    <i>
      <x v="458"/>
    </i>
    <i r="1">
      <x v="454"/>
    </i>
    <i r="2">
      <x v="261"/>
    </i>
    <i t="blank" r="1">
      <x v="454"/>
    </i>
    <i>
      <x v="459"/>
    </i>
    <i r="1">
      <x v="423"/>
    </i>
    <i r="2">
      <x v="83"/>
    </i>
    <i t="blank" r="1">
      <x v="423"/>
    </i>
    <i>
      <x v="460"/>
    </i>
    <i r="1">
      <x v="463"/>
    </i>
    <i r="2">
      <x v="261"/>
    </i>
    <i t="blank" r="1">
      <x v="463"/>
    </i>
    <i>
      <x v="461"/>
    </i>
    <i r="1">
      <x v="410"/>
    </i>
    <i r="2">
      <x v="274"/>
    </i>
    <i t="blank" r="1">
      <x v="410"/>
    </i>
    <i>
      <x v="462"/>
    </i>
    <i r="1">
      <x v="431"/>
    </i>
    <i r="2">
      <x v="83"/>
    </i>
    <i t="blank" r="1">
      <x v="431"/>
    </i>
    <i>
      <x v="463"/>
    </i>
    <i r="1">
      <x v="341"/>
    </i>
    <i r="2">
      <x v="193"/>
    </i>
    <i t="blank" r="1">
      <x v="341"/>
    </i>
    <i r="1">
      <x v="342"/>
    </i>
    <i r="2">
      <x v="27"/>
    </i>
    <i t="blank" r="1">
      <x v="342"/>
    </i>
    <i>
      <x v="464"/>
    </i>
    <i r="1">
      <x v="143"/>
    </i>
    <i r="2">
      <x v="83"/>
    </i>
    <i t="blank" r="1">
      <x v="143"/>
    </i>
    <i>
      <x v="465"/>
    </i>
    <i r="1">
      <x v="504"/>
    </i>
    <i r="2">
      <x v="261"/>
    </i>
    <i t="blank" r="1">
      <x v="504"/>
    </i>
    <i>
      <x v="466"/>
    </i>
    <i r="1">
      <x v="463"/>
    </i>
    <i r="2">
      <x v="261"/>
    </i>
    <i t="blank" r="1">
      <x v="463"/>
    </i>
    <i>
      <x v="467"/>
    </i>
    <i r="1">
      <x v="431"/>
    </i>
    <i r="2">
      <x v="83"/>
    </i>
    <i t="blank" r="1">
      <x v="431"/>
    </i>
    <i>
      <x v="468"/>
    </i>
    <i r="1">
      <x v="408"/>
    </i>
    <i r="2">
      <x v="83"/>
    </i>
    <i t="blank" r="1">
      <x v="408"/>
    </i>
    <i>
      <x v="469"/>
    </i>
    <i r="1">
      <x v="424"/>
    </i>
    <i r="2">
      <x v="83"/>
    </i>
    <i t="blank" r="1">
      <x v="424"/>
    </i>
    <i>
      <x v="470"/>
    </i>
    <i r="1">
      <x v="465"/>
    </i>
    <i r="2">
      <x v="261"/>
    </i>
    <i t="blank" r="1">
      <x v="465"/>
    </i>
    <i>
      <x v="471"/>
    </i>
    <i r="1">
      <x v="47"/>
    </i>
    <i r="2">
      <x v="22"/>
    </i>
    <i t="blank" r="1">
      <x v="47"/>
    </i>
    <i>
      <x v="472"/>
    </i>
    <i r="1">
      <x v="380"/>
    </i>
    <i r="2">
      <x v="261"/>
    </i>
    <i t="blank" r="1">
      <x v="380"/>
    </i>
    <i>
      <x v="473"/>
    </i>
    <i r="1">
      <x v="345"/>
    </i>
    <i r="2">
      <x v="180"/>
    </i>
    <i t="blank" r="1">
      <x v="345"/>
    </i>
    <i r="1">
      <x v="346"/>
    </i>
    <i r="2">
      <x v="180"/>
    </i>
    <i t="blank" r="1">
      <x v="346"/>
    </i>
    <i>
      <x v="474"/>
    </i>
    <i r="1">
      <x v="377"/>
    </i>
    <i r="2">
      <x v="54"/>
    </i>
    <i t="blank" r="1">
      <x v="377"/>
    </i>
    <i>
      <x v="475"/>
    </i>
    <i r="1">
      <x v="378"/>
    </i>
    <i r="2">
      <x v="83"/>
    </i>
    <i t="blank" r="1">
      <x v="378"/>
    </i>
    <i>
      <x v="476"/>
    </i>
    <i r="1">
      <x v="495"/>
    </i>
    <i r="2">
      <x v="253"/>
    </i>
    <i t="blank" r="1">
      <x v="495"/>
    </i>
    <i>
      <x v="477"/>
    </i>
    <i r="1">
      <x v="230"/>
    </i>
    <i r="2">
      <x v="41"/>
    </i>
    <i t="blank" r="1">
      <x v="230"/>
    </i>
    <i r="1">
      <x v="315"/>
    </i>
    <i r="2">
      <x v="98"/>
    </i>
    <i t="blank" r="1">
      <x v="315"/>
    </i>
    <i>
      <x v="478"/>
    </i>
    <i r="1">
      <x v="369"/>
    </i>
    <i r="2">
      <x v="253"/>
    </i>
    <i t="blank" r="1">
      <x v="369"/>
    </i>
    <i>
      <x v="479"/>
    </i>
    <i r="1">
      <x v="390"/>
    </i>
    <i r="2">
      <x v="83"/>
    </i>
    <i t="blank" r="1">
      <x v="390"/>
    </i>
    <i>
      <x v="480"/>
    </i>
    <i r="1">
      <x v="376"/>
    </i>
    <i r="2">
      <x v="184"/>
    </i>
    <i t="blank" r="1">
      <x v="376"/>
    </i>
    <i>
      <x v="481"/>
    </i>
    <i r="1">
      <x v="501"/>
    </i>
    <i r="2">
      <x v="261"/>
    </i>
    <i t="blank" r="1">
      <x v="501"/>
    </i>
    <i>
      <x v="482"/>
    </i>
    <i r="1">
      <x v="401"/>
    </i>
    <i r="2">
      <x v="83"/>
    </i>
    <i t="blank" r="1">
      <x v="401"/>
    </i>
    <i>
      <x v="483"/>
    </i>
    <i r="1">
      <x v="184"/>
    </i>
    <i r="2">
      <x v="83"/>
    </i>
    <i t="blank" r="1">
      <x v="184"/>
    </i>
    <i>
      <x v="484"/>
    </i>
    <i r="1">
      <x v="409"/>
    </i>
    <i r="2">
      <x v="65"/>
    </i>
    <i t="blank" r="1">
      <x v="409"/>
    </i>
    <i>
      <x v="485"/>
    </i>
    <i r="1">
      <x v="428"/>
    </i>
    <i r="2">
      <x v="83"/>
    </i>
    <i t="blank" r="1">
      <x v="428"/>
    </i>
    <i>
      <x v="486"/>
    </i>
    <i r="1">
      <x v="423"/>
    </i>
    <i r="2">
      <x v="83"/>
    </i>
    <i t="blank" r="1">
      <x v="423"/>
    </i>
    <i r="1">
      <x v="446"/>
    </i>
    <i r="2">
      <x v="261"/>
    </i>
    <i t="blank" r="1">
      <x v="446"/>
    </i>
    <i>
      <x v="487"/>
    </i>
    <i r="1">
      <x v="108"/>
    </i>
    <i r="2">
      <x v="90"/>
    </i>
    <i t="blank" r="1">
      <x v="108"/>
    </i>
    <i>
      <x v="488"/>
    </i>
    <i r="1">
      <x v="383"/>
    </i>
    <i r="2">
      <x v="178"/>
    </i>
    <i t="blank" r="1">
      <x v="383"/>
    </i>
    <i>
      <x v="489"/>
    </i>
    <i r="1">
      <x v="406"/>
    </i>
    <i r="2">
      <x v="83"/>
    </i>
    <i t="blank" r="1">
      <x v="406"/>
    </i>
    <i>
      <x v="490"/>
    </i>
    <i r="1">
      <x v="408"/>
    </i>
    <i r="2">
      <x v="273"/>
    </i>
    <i t="blank" r="1">
      <x v="408"/>
    </i>
    <i>
      <x v="491"/>
    </i>
    <i r="1">
      <x v="385"/>
    </i>
    <i r="2">
      <x v="83"/>
    </i>
    <i t="blank" r="1">
      <x v="385"/>
    </i>
    <i>
      <x v="492"/>
    </i>
    <i r="1">
      <x v="120"/>
    </i>
    <i r="2">
      <x v="83"/>
    </i>
    <i t="blank" r="1">
      <x v="120"/>
    </i>
    <i>
      <x v="493"/>
    </i>
    <i r="1">
      <x v="475"/>
    </i>
    <i r="2">
      <x v="261"/>
    </i>
    <i t="blank" r="1">
      <x v="475"/>
    </i>
    <i>
      <x v="494"/>
    </i>
    <i r="1">
      <x v="428"/>
    </i>
    <i r="2">
      <x v="83"/>
    </i>
    <i t="blank" r="1">
      <x v="428"/>
    </i>
    <i>
      <x v="495"/>
    </i>
    <i r="1">
      <x v="412"/>
    </i>
    <i r="2">
      <x v="28"/>
    </i>
    <i t="blank" r="1">
      <x v="412"/>
    </i>
    <i>
      <x v="496"/>
    </i>
    <i r="1">
      <x v="381"/>
    </i>
    <i r="2">
      <x v="261"/>
    </i>
    <i t="blank" r="1">
      <x v="381"/>
    </i>
    <i>
      <x v="497"/>
    </i>
    <i r="1">
      <x v="82"/>
    </i>
    <i r="2">
      <x v="53"/>
    </i>
    <i t="blank" r="1">
      <x v="82"/>
    </i>
    <i>
      <x v="498"/>
    </i>
    <i r="1">
      <x v="423"/>
    </i>
    <i r="2">
      <x v="83"/>
    </i>
    <i t="blank" r="1">
      <x v="423"/>
    </i>
    <i>
      <x v="499"/>
    </i>
    <i r="1">
      <x v="450"/>
    </i>
    <i r="2">
      <x v="22"/>
    </i>
    <i t="blank" r="1">
      <x v="450"/>
    </i>
    <i>
      <x v="500"/>
    </i>
    <i r="1">
      <x v="450"/>
    </i>
    <i r="2">
      <x v="261"/>
    </i>
    <i t="blank" r="1">
      <x v="450"/>
    </i>
    <i>
      <x v="501"/>
    </i>
    <i r="1">
      <x v="406"/>
    </i>
    <i r="2">
      <x v="272"/>
    </i>
    <i t="blank" r="1">
      <x v="406"/>
    </i>
    <i>
      <x v="502"/>
    </i>
    <i r="1">
      <x v="386"/>
    </i>
    <i r="2">
      <x v="83"/>
    </i>
    <i t="blank" r="1">
      <x v="386"/>
    </i>
    <i>
      <x v="503"/>
    </i>
    <i r="1">
      <x v="480"/>
    </i>
    <i r="2">
      <x v="289"/>
    </i>
    <i t="blank" r="1">
      <x v="480"/>
    </i>
    <i>
      <x v="504"/>
    </i>
    <i r="1">
      <x v="143"/>
    </i>
    <i r="2">
      <x v="83"/>
    </i>
    <i t="blank" r="1">
      <x v="143"/>
    </i>
    <i>
      <x v="505"/>
    </i>
    <i r="1">
      <x v="402"/>
    </i>
    <i r="2">
      <x v="83"/>
    </i>
    <i t="blank" r="1">
      <x v="402"/>
    </i>
    <i r="1">
      <x v="448"/>
    </i>
    <i r="2">
      <x v="253"/>
    </i>
    <i t="blank" r="1">
      <x v="448"/>
    </i>
    <i>
      <x v="506"/>
    </i>
    <i r="1">
      <x v="385"/>
    </i>
    <i r="2">
      <x v="83"/>
    </i>
    <i t="blank" r="1">
      <x v="385"/>
    </i>
    <i>
      <x v="507"/>
    </i>
    <i r="1">
      <x v="387"/>
    </i>
    <i r="2">
      <x v="83"/>
    </i>
    <i t="blank" r="1">
      <x v="387"/>
    </i>
    <i>
      <x v="508"/>
    </i>
    <i r="1">
      <x v="69"/>
    </i>
    <i r="2">
      <x v="29"/>
    </i>
    <i t="blank" r="1">
      <x v="69"/>
    </i>
    <i r="1">
      <x v="88"/>
    </i>
    <i r="2">
      <x v="62"/>
    </i>
    <i t="blank" r="1">
      <x v="88"/>
    </i>
    <i r="1">
      <x v="130"/>
    </i>
    <i r="2">
      <x v="105"/>
    </i>
    <i t="blank" r="1">
      <x v="130"/>
    </i>
    <i r="1">
      <x v="152"/>
    </i>
    <i r="2">
      <x v="12"/>
    </i>
    <i t="blank" r="1">
      <x v="152"/>
    </i>
    <i>
      <x v="509"/>
    </i>
    <i r="1">
      <x v="194"/>
    </i>
    <i r="2">
      <x v="23"/>
    </i>
    <i t="blank" r="1">
      <x v="194"/>
    </i>
    <i>
      <x v="510"/>
    </i>
    <i r="1">
      <x v="79"/>
    </i>
    <i r="2">
      <x v="47"/>
    </i>
    <i t="blank" r="1">
      <x v="79"/>
    </i>
    <i>
      <x v="511"/>
    </i>
    <i r="1">
      <x v="501"/>
    </i>
    <i r="2">
      <x v="261"/>
    </i>
    <i t="blank" r="1">
      <x v="501"/>
    </i>
    <i>
      <x v="512"/>
    </i>
    <i r="1">
      <x v="371"/>
    </i>
    <i r="2">
      <x v="83"/>
    </i>
    <i t="blank" r="1">
      <x v="371"/>
    </i>
    <i>
      <x v="513"/>
    </i>
    <i r="1">
      <x v="474"/>
    </i>
    <i r="2">
      <x v="261"/>
    </i>
    <i t="blank" r="1">
      <x v="474"/>
    </i>
    <i>
      <x v="514"/>
    </i>
    <i r="1">
      <x v="484"/>
    </i>
    <i r="2">
      <x v="261"/>
    </i>
    <i t="blank" r="1">
      <x v="484"/>
    </i>
    <i>
      <x v="515"/>
    </i>
    <i r="1">
      <x v="342"/>
    </i>
    <i r="2">
      <x v="38"/>
    </i>
    <i t="blank" r="1">
      <x v="342"/>
    </i>
    <i>
      <x v="516"/>
    </i>
    <i r="1">
      <x v="435"/>
    </i>
    <i r="2">
      <x v="83"/>
    </i>
    <i t="blank" r="1">
      <x v="435"/>
    </i>
    <i>
      <x v="517"/>
    </i>
    <i r="1">
      <x v="447"/>
    </i>
    <i r="2">
      <x v="261"/>
    </i>
    <i t="blank" r="1">
      <x v="447"/>
    </i>
    <i r="1">
      <x v="459"/>
    </i>
    <i r="2">
      <x v="261"/>
    </i>
    <i t="blank" r="1">
      <x v="459"/>
    </i>
    <i>
      <x v="518"/>
    </i>
    <i r="1">
      <x v="383"/>
    </i>
    <i r="2">
      <x v="83"/>
    </i>
    <i t="blank" r="1">
      <x v="383"/>
    </i>
    <i>
      <x v="519"/>
    </i>
    <i r="1">
      <x v="58"/>
    </i>
    <i r="2">
      <x v="144"/>
    </i>
    <i t="blank" r="1">
      <x v="58"/>
    </i>
    <i r="1">
      <x v="205"/>
    </i>
    <i r="2">
      <x v="150"/>
    </i>
    <i t="blank" r="1">
      <x v="205"/>
    </i>
    <i r="1">
      <x v="209"/>
    </i>
    <i r="2">
      <x v="114"/>
    </i>
    <i t="blank" r="1">
      <x v="209"/>
    </i>
    <i r="1">
      <x v="213"/>
    </i>
    <i r="2">
      <x v="155"/>
    </i>
    <i t="blank" r="1">
      <x v="213"/>
    </i>
    <i r="1">
      <x v="216"/>
    </i>
    <i r="2">
      <x v="25"/>
    </i>
    <i t="blank" r="1">
      <x v="216"/>
    </i>
    <i>
      <x v="520"/>
    </i>
    <i r="1">
      <x v="402"/>
    </i>
    <i r="2">
      <x v="83"/>
    </i>
    <i t="blank" r="1">
      <x v="402"/>
    </i>
    <i>
      <x v="521"/>
    </i>
    <i r="1">
      <x v="485"/>
    </i>
    <i r="2">
      <x v="261"/>
    </i>
    <i t="blank" r="1">
      <x v="485"/>
    </i>
    <i>
      <x v="522"/>
    </i>
    <i r="1">
      <x v="435"/>
    </i>
    <i r="2">
      <x v="96"/>
    </i>
    <i t="blank" r="1">
      <x v="435"/>
    </i>
    <i>
      <x v="523"/>
    </i>
    <i r="1">
      <x v="433"/>
    </i>
    <i r="2">
      <x v="139"/>
    </i>
    <i t="blank" r="1">
      <x v="433"/>
    </i>
    <i>
      <x v="524"/>
    </i>
    <i r="1">
      <x v="425"/>
    </i>
    <i r="2">
      <x v="284"/>
    </i>
    <i t="blank" r="1">
      <x v="425"/>
    </i>
    <i>
      <x v="525"/>
    </i>
    <i r="1">
      <x v="456"/>
    </i>
    <i r="2">
      <x v="83"/>
    </i>
    <i t="blank" r="1">
      <x v="456"/>
    </i>
    <i>
      <x v="526"/>
    </i>
    <i r="1">
      <x v="295"/>
    </i>
    <i r="2">
      <x v="65"/>
    </i>
    <i t="blank" r="1">
      <x v="295"/>
    </i>
    <i>
      <x v="527"/>
    </i>
    <i r="1">
      <x v="474"/>
    </i>
    <i r="2">
      <x v="243"/>
    </i>
    <i t="blank" r="1">
      <x v="474"/>
    </i>
    <i>
      <x v="528"/>
    </i>
    <i r="1">
      <x v="388"/>
    </i>
    <i r="2">
      <x v="83"/>
    </i>
    <i t="blank" r="1">
      <x v="388"/>
    </i>
    <i>
      <x v="529"/>
    </i>
    <i r="1">
      <x v="443"/>
    </i>
    <i r="2">
      <x v="83"/>
    </i>
    <i t="blank" r="1">
      <x v="443"/>
    </i>
    <i>
      <x v="530"/>
    </i>
    <i r="1">
      <x v="377"/>
    </i>
    <i r="2">
      <x v="15"/>
    </i>
    <i t="blank" r="1">
      <x v="377"/>
    </i>
    <i r="1">
      <x v="496"/>
    </i>
    <i r="2">
      <x v="74"/>
    </i>
    <i t="blank" r="1">
      <x v="496"/>
    </i>
    <i>
      <x v="531"/>
    </i>
    <i r="1">
      <x v="457"/>
    </i>
    <i r="2">
      <x v="83"/>
    </i>
    <i t="blank" r="1">
      <x v="457"/>
    </i>
    <i>
      <x v="532"/>
    </i>
    <i r="1">
      <x v="384"/>
    </i>
    <i r="2">
      <x v="245"/>
    </i>
    <i t="blank" r="1">
      <x v="384"/>
    </i>
    <i>
      <x v="533"/>
    </i>
    <i r="1">
      <x v="261"/>
    </i>
    <i r="2">
      <x v="140"/>
    </i>
    <i t="blank" r="1">
      <x v="261"/>
    </i>
    <i>
      <x v="534"/>
    </i>
    <i r="1">
      <x v="457"/>
    </i>
    <i r="2">
      <x v="83"/>
    </i>
    <i t="blank" r="1">
      <x v="457"/>
    </i>
    <i>
      <x v="535"/>
    </i>
    <i r="1">
      <x v="502"/>
    </i>
    <i r="2">
      <x v="289"/>
    </i>
    <i t="blank" r="1">
      <x v="502"/>
    </i>
    <i>
      <x v="536"/>
    </i>
    <i r="1">
      <x v="401"/>
    </i>
    <i r="2">
      <x v="238"/>
    </i>
    <i t="blank" r="1">
      <x v="401"/>
    </i>
    <i>
      <x v="537"/>
    </i>
    <i r="1">
      <x v="437"/>
    </i>
    <i r="2">
      <x v="83"/>
    </i>
    <i t="blank" r="1">
      <x v="437"/>
    </i>
    <i r="1">
      <x v="448"/>
    </i>
    <i r="2">
      <x v="261"/>
    </i>
    <i t="blank" r="1">
      <x v="448"/>
    </i>
    <i>
      <x v="538"/>
    </i>
    <i r="1">
      <x v="455"/>
    </i>
    <i r="2">
      <x v="87"/>
    </i>
    <i t="blank" r="1">
      <x v="455"/>
    </i>
    <i>
      <x v="539"/>
    </i>
    <i r="1">
      <x v="369"/>
    </i>
    <i r="2">
      <x v="83"/>
    </i>
    <i t="blank" r="1">
      <x v="369"/>
    </i>
    <i>
      <x v="540"/>
    </i>
    <i r="1">
      <x v="359"/>
    </i>
    <i r="2">
      <x v="243"/>
    </i>
    <i t="blank" r="1">
      <x v="359"/>
    </i>
    <i>
      <x v="541"/>
    </i>
    <i r="1">
      <x v="8"/>
    </i>
    <i r="2">
      <x v="11"/>
    </i>
    <i t="blank" r="1">
      <x v="8"/>
    </i>
    <i>
      <x v="542"/>
    </i>
    <i r="1">
      <x v="337"/>
    </i>
    <i r="2">
      <x v="180"/>
    </i>
    <i t="blank" r="1">
      <x v="337"/>
    </i>
    <i r="1">
      <x v="354"/>
    </i>
    <i r="2">
      <x v="180"/>
    </i>
    <i t="blank" r="1">
      <x v="354"/>
    </i>
    <i r="1">
      <x v="493"/>
    </i>
    <i r="2">
      <x v="293"/>
    </i>
    <i t="blank" r="1">
      <x v="493"/>
    </i>
    <i>
      <x v="543"/>
    </i>
    <i r="1">
      <x v="116"/>
    </i>
    <i r="2">
      <x v="96"/>
    </i>
    <i t="blank" r="1">
      <x v="116"/>
    </i>
    <i r="1">
      <x v="273"/>
    </i>
    <i r="2">
      <x v="14"/>
    </i>
    <i t="blank" r="1">
      <x v="273"/>
    </i>
    <i>
      <x v="544"/>
    </i>
    <i r="1">
      <x v="370"/>
    </i>
    <i r="2">
      <x v="16"/>
    </i>
    <i t="blank" r="1">
      <x v="370"/>
    </i>
    <i>
      <x v="545"/>
    </i>
    <i r="1">
      <x v="358"/>
    </i>
    <i r="2">
      <x v="59"/>
    </i>
    <i t="blank" r="1">
      <x v="358"/>
    </i>
    <i>
      <x v="546"/>
    </i>
    <i r="1">
      <x v="370"/>
    </i>
    <i r="2">
      <x v="83"/>
    </i>
    <i t="blank" r="1">
      <x v="370"/>
    </i>
    <i>
      <x v="547"/>
    </i>
    <i r="1">
      <x v="422"/>
    </i>
    <i r="2">
      <x v="83"/>
    </i>
    <i t="blank" r="1">
      <x v="422"/>
    </i>
    <i>
      <x v="548"/>
    </i>
    <i r="1">
      <x v="447"/>
    </i>
    <i r="2">
      <x v="270"/>
    </i>
    <i t="blank" r="1">
      <x v="447"/>
    </i>
    <i>
      <x v="549"/>
    </i>
    <i r="1">
      <x v="402"/>
    </i>
    <i r="2">
      <x v="83"/>
    </i>
    <i t="blank" r="1">
      <x v="402"/>
    </i>
    <i>
      <x v="550"/>
    </i>
    <i r="1">
      <x v="483"/>
    </i>
    <i r="2">
      <x v="76"/>
    </i>
    <i t="blank" r="1">
      <x v="483"/>
    </i>
    <i>
      <x v="551"/>
    </i>
    <i r="1">
      <x v="406"/>
    </i>
    <i r="2">
      <x v="140"/>
    </i>
    <i t="blank" r="1">
      <x v="406"/>
    </i>
    <i>
      <x v="552"/>
    </i>
    <i r="1">
      <x v="61"/>
    </i>
    <i r="2">
      <x v="25"/>
    </i>
    <i t="blank" r="1">
      <x v="61"/>
    </i>
    <i>
      <x v="553"/>
    </i>
    <i r="1">
      <x v="402"/>
    </i>
    <i r="2">
      <x v="178"/>
    </i>
    <i t="blank" r="1">
      <x v="402"/>
    </i>
    <i>
      <x v="554"/>
    </i>
    <i r="1">
      <x v="500"/>
    </i>
    <i r="2">
      <x v="261"/>
    </i>
    <i t="blank" r="1">
      <x v="500"/>
    </i>
    <i>
      <x v="555"/>
    </i>
    <i r="1">
      <x v="473"/>
    </i>
    <i r="2">
      <x v="261"/>
    </i>
    <i t="blank" r="1">
      <x v="473"/>
    </i>
    <i>
      <x v="556"/>
    </i>
    <i r="1">
      <x v="368"/>
    </i>
    <i r="2">
      <x v="96"/>
    </i>
    <i t="blank" r="1">
      <x v="368"/>
    </i>
    <i>
      <x v="557"/>
    </i>
    <i r="1">
      <x v="474"/>
    </i>
    <i r="2">
      <x v="261"/>
    </i>
    <i t="blank" r="1">
      <x v="474"/>
    </i>
    <i>
      <x v="558"/>
    </i>
    <i r="1">
      <x v="371"/>
    </i>
    <i r="2">
      <x v="40"/>
    </i>
    <i t="blank" r="1">
      <x v="371"/>
    </i>
    <i>
      <x v="559"/>
    </i>
    <i r="1">
      <x v="449"/>
    </i>
    <i r="2">
      <x v="261"/>
    </i>
    <i t="blank" r="1">
      <x v="449"/>
    </i>
    <i>
      <x v="560"/>
    </i>
    <i r="1">
      <x v="110"/>
    </i>
    <i r="2">
      <x v="15"/>
    </i>
    <i t="blank" r="1">
      <x v="110"/>
    </i>
    <i>
      <x v="561"/>
    </i>
    <i r="1">
      <x v="463"/>
    </i>
    <i r="2">
      <x v="261"/>
    </i>
    <i t="blank" r="1">
      <x v="463"/>
    </i>
    <i>
      <x v="562"/>
    </i>
    <i r="1">
      <x v="424"/>
    </i>
    <i r="2">
      <x v="83"/>
    </i>
    <i t="blank" r="1">
      <x v="424"/>
    </i>
    <i>
      <x v="563"/>
    </i>
    <i r="1">
      <x v="382"/>
    </i>
    <i r="2">
      <x v="19"/>
    </i>
    <i r="2">
      <x v="259"/>
    </i>
    <i t="blank" r="1">
      <x v="382"/>
    </i>
    <i>
      <x v="564"/>
    </i>
    <i r="1">
      <x v="231"/>
    </i>
    <i r="2">
      <x v="28"/>
    </i>
    <i t="blank" r="1">
      <x v="231"/>
    </i>
    <i r="1">
      <x v="286"/>
    </i>
    <i r="2">
      <x v="15"/>
    </i>
    <i t="blank" r="1">
      <x v="286"/>
    </i>
    <i>
      <x v="565"/>
    </i>
    <i r="1">
      <x v="16"/>
    </i>
    <i r="2">
      <x v="25"/>
    </i>
    <i t="blank" r="1">
      <x v="16"/>
    </i>
    <i r="1">
      <x v="217"/>
    </i>
    <i r="2">
      <x v="25"/>
    </i>
    <i t="blank" r="1">
      <x v="217"/>
    </i>
    <i>
      <x v="566"/>
    </i>
    <i r="1">
      <x v="484"/>
    </i>
    <i r="2">
      <x v="289"/>
    </i>
    <i t="blank" r="1">
      <x v="484"/>
    </i>
    <i>
      <x v="567"/>
    </i>
    <i r="1">
      <x v="282"/>
    </i>
    <i r="2">
      <x v="38"/>
    </i>
    <i t="blank" r="1">
      <x v="282"/>
    </i>
    <i>
      <x v="568"/>
    </i>
    <i r="1">
      <x v="474"/>
    </i>
    <i r="2">
      <x v="261"/>
    </i>
    <i t="blank" r="1">
      <x v="474"/>
    </i>
    <i>
      <x v="569"/>
    </i>
    <i r="1">
      <x v="408"/>
    </i>
    <i r="2">
      <x v="83"/>
    </i>
    <i t="blank" r="1">
      <x v="408"/>
    </i>
    <i>
      <x v="570"/>
    </i>
    <i r="1">
      <x v="442"/>
    </i>
    <i r="2">
      <x v="83"/>
    </i>
    <i t="blank" r="1">
      <x v="442"/>
    </i>
    <i>
      <x v="571"/>
    </i>
    <i r="1">
      <x v="453"/>
    </i>
    <i r="2">
      <x v="261"/>
    </i>
    <i t="blank" r="1">
      <x v="453"/>
    </i>
    <i>
      <x v="572"/>
    </i>
    <i r="1">
      <x v="394"/>
    </i>
    <i r="2">
      <x v="250"/>
    </i>
    <i t="blank" r="1">
      <x v="394"/>
    </i>
    <i>
      <x v="573"/>
    </i>
    <i r="1">
      <x v="125"/>
    </i>
    <i r="2">
      <x v="23"/>
    </i>
    <i t="blank" r="1">
      <x v="125"/>
    </i>
    <i r="1">
      <x v="408"/>
    </i>
    <i r="2">
      <x v="230"/>
    </i>
    <i t="blank" r="1">
      <x v="408"/>
    </i>
    <i>
      <x v="574"/>
    </i>
    <i r="1">
      <x v="223"/>
    </i>
    <i r="2">
      <x v="56"/>
    </i>
    <i t="blank" r="1">
      <x v="223"/>
    </i>
    <i r="1">
      <x v="224"/>
    </i>
    <i r="2">
      <x v="51"/>
    </i>
    <i t="blank" r="1">
      <x v="224"/>
    </i>
    <i r="1">
      <x v="234"/>
    </i>
    <i r="2">
      <x v="164"/>
    </i>
    <i t="blank" r="1">
      <x v="234"/>
    </i>
    <i>
      <x v="575"/>
    </i>
    <i r="1">
      <x v="362"/>
    </i>
    <i r="2">
      <x v="40"/>
    </i>
    <i t="blank" r="1">
      <x v="362"/>
    </i>
    <i>
      <x v="576"/>
    </i>
    <i r="1">
      <x v="448"/>
    </i>
    <i r="2">
      <x v="261"/>
    </i>
    <i t="blank" r="1">
      <x v="448"/>
    </i>
    <i>
      <x v="577"/>
    </i>
    <i r="1">
      <x v="474"/>
    </i>
    <i r="2">
      <x v="303"/>
    </i>
    <i t="blank" r="1">
      <x v="474"/>
    </i>
    <i>
      <x v="578"/>
    </i>
    <i r="1">
      <x v="391"/>
    </i>
    <i r="2">
      <x v="83"/>
    </i>
    <i t="blank" r="1">
      <x v="391"/>
    </i>
    <i>
      <x v="579"/>
    </i>
    <i r="1">
      <x v="272"/>
    </i>
    <i r="2">
      <x v="195"/>
    </i>
    <i t="blank" r="1">
      <x v="272"/>
    </i>
    <i>
      <x v="580"/>
    </i>
    <i r="1">
      <x v="386"/>
    </i>
    <i r="2">
      <x v="83"/>
    </i>
    <i t="blank" r="1">
      <x v="386"/>
    </i>
    <i r="1">
      <x v="388"/>
    </i>
    <i r="2">
      <x v="83"/>
    </i>
    <i t="blank" r="1">
      <x v="388"/>
    </i>
    <i>
      <x v="581"/>
    </i>
    <i r="1">
      <x v="472"/>
    </i>
    <i r="2">
      <x v="261"/>
    </i>
    <i t="blank" r="1">
      <x v="472"/>
    </i>
    <i>
      <x v="582"/>
    </i>
    <i r="1">
      <x v="424"/>
    </i>
    <i r="2">
      <x v="83"/>
    </i>
    <i t="blank" r="1">
      <x v="424"/>
    </i>
    <i>
      <x v="583"/>
    </i>
    <i r="1">
      <x v="132"/>
    </i>
    <i r="2">
      <x v="22"/>
    </i>
    <i t="blank" r="1">
      <x v="132"/>
    </i>
    <i>
      <x v="584"/>
    </i>
    <i r="1">
      <x v="126"/>
    </i>
    <i r="2">
      <x v="16"/>
    </i>
    <i t="blank" r="1">
      <x v="126"/>
    </i>
    <i>
      <x v="585"/>
    </i>
    <i r="1">
      <x v="479"/>
    </i>
    <i r="2">
      <x v="148"/>
    </i>
    <i t="blank" r="1">
      <x v="479"/>
    </i>
    <i>
      <x v="586"/>
    </i>
    <i r="1">
      <x v="480"/>
    </i>
    <i r="2">
      <x v="261"/>
    </i>
    <i t="blank" r="1">
      <x v="480"/>
    </i>
    <i>
      <x v="587"/>
    </i>
    <i r="1">
      <x v="142"/>
    </i>
    <i r="2">
      <x v="83"/>
    </i>
    <i t="blank" r="1">
      <x v="142"/>
    </i>
    <i>
      <x v="588"/>
    </i>
    <i r="1">
      <x v="417"/>
    </i>
    <i r="2">
      <x v="277"/>
    </i>
    <i t="blank" r="1">
      <x v="417"/>
    </i>
    <i>
      <x v="589"/>
    </i>
    <i r="1">
      <x v="484"/>
    </i>
    <i r="2">
      <x v="59"/>
    </i>
    <i t="blank" r="1">
      <x v="484"/>
    </i>
    <i>
      <x v="590"/>
    </i>
    <i r="1">
      <x v="436"/>
    </i>
    <i r="2">
      <x v="83"/>
    </i>
    <i t="blank" r="1">
      <x v="436"/>
    </i>
    <i>
      <x v="591"/>
    </i>
    <i r="1">
      <x v="441"/>
    </i>
    <i r="2">
      <x v="83"/>
    </i>
    <i t="blank" r="1">
      <x v="441"/>
    </i>
    <i r="1">
      <x v="466"/>
    </i>
    <i r="2">
      <x v="261"/>
    </i>
    <i t="blank" r="1">
      <x v="466"/>
    </i>
    <i r="1">
      <x v="471"/>
    </i>
    <i r="2">
      <x v="253"/>
    </i>
    <i t="blank" r="1">
      <x v="471"/>
    </i>
    <i>
      <x v="592"/>
    </i>
    <i r="1">
      <x v="17"/>
    </i>
    <i r="2">
      <x v="11"/>
    </i>
    <i t="blank" r="1">
      <x v="17"/>
    </i>
    <i r="1">
      <x v="68"/>
    </i>
    <i r="2">
      <x v="22"/>
    </i>
    <i t="blank" r="1">
      <x v="68"/>
    </i>
    <i>
      <x v="593"/>
    </i>
    <i r="1">
      <x v="383"/>
    </i>
    <i r="2">
      <x v="245"/>
    </i>
    <i t="blank" r="1">
      <x v="383"/>
    </i>
    <i>
      <x v="594"/>
    </i>
    <i r="1">
      <x v="412"/>
    </i>
    <i r="2">
      <x v="83"/>
    </i>
    <i t="blank" r="1">
      <x v="412"/>
    </i>
    <i>
      <x v="595"/>
    </i>
    <i r="1">
      <x v="230"/>
    </i>
    <i r="2">
      <x v="54"/>
    </i>
    <i t="blank" r="1">
      <x v="230"/>
    </i>
    <i r="1">
      <x v="256"/>
    </i>
    <i r="2">
      <x v="54"/>
    </i>
    <i t="blank" r="1">
      <x v="256"/>
    </i>
    <i r="1">
      <x v="270"/>
    </i>
    <i r="2">
      <x v="54"/>
    </i>
    <i t="blank" r="1">
      <x v="270"/>
    </i>
    <i>
      <x v="596"/>
    </i>
    <i r="1">
      <x v="442"/>
    </i>
    <i r="2">
      <x v="52"/>
    </i>
    <i t="blank" r="1">
      <x v="442"/>
    </i>
    <i r="1">
      <x v="459"/>
    </i>
    <i r="2">
      <x v="78"/>
    </i>
    <i t="blank" r="1">
      <x v="459"/>
    </i>
    <i r="1">
      <x v="471"/>
    </i>
    <i r="2">
      <x v="78"/>
    </i>
    <i t="blank" r="1">
      <x v="471"/>
    </i>
    <i>
      <x v="597"/>
    </i>
    <i r="1">
      <x v="488"/>
    </i>
    <i r="2">
      <x v="261"/>
    </i>
    <i t="blank" r="1">
      <x v="488"/>
    </i>
    <i>
      <x v="598"/>
    </i>
    <i r="1">
      <x v="435"/>
    </i>
    <i r="2">
      <x v="232"/>
    </i>
    <i t="blank" r="1">
      <x v="435"/>
    </i>
    <i>
      <x v="599"/>
    </i>
    <i r="1">
      <x v="423"/>
    </i>
    <i r="2">
      <x v="83"/>
    </i>
    <i t="blank" r="1">
      <x v="423"/>
    </i>
    <i>
      <x v="600"/>
    </i>
    <i r="1">
      <x v="385"/>
    </i>
    <i r="2">
      <x v="83"/>
    </i>
    <i t="blank" r="1">
      <x v="385"/>
    </i>
    <i>
      <x v="601"/>
    </i>
    <i r="1">
      <x v="44"/>
    </i>
    <i r="2">
      <x v="8"/>
    </i>
    <i t="blank" r="1">
      <x v="44"/>
    </i>
    <i>
      <x v="602"/>
    </i>
    <i r="1">
      <x v="448"/>
    </i>
    <i r="2">
      <x v="289"/>
    </i>
    <i t="blank" r="1">
      <x v="448"/>
    </i>
    <i>
      <x v="603"/>
    </i>
    <i r="1">
      <x v="111"/>
    </i>
    <i r="2">
      <x v="97"/>
    </i>
    <i t="blank" r="1">
      <x v="111"/>
    </i>
    <i r="1">
      <x v="283"/>
    </i>
    <i r="2">
      <x v="204"/>
    </i>
    <i t="blank" r="1">
      <x v="283"/>
    </i>
    <i>
      <x v="604"/>
    </i>
    <i r="1">
      <x v="143"/>
    </i>
    <i r="2">
      <x v="101"/>
    </i>
    <i t="blank" r="1">
      <x v="143"/>
    </i>
    <i>
      <x v="605"/>
    </i>
    <i r="1">
      <x v="395"/>
    </i>
    <i r="2">
      <x v="30"/>
    </i>
    <i t="blank" r="1">
      <x v="395"/>
    </i>
    <i>
      <x v="606"/>
    </i>
    <i r="1">
      <x v="419"/>
    </i>
    <i r="2">
      <x v="281"/>
    </i>
    <i t="blank" r="1">
      <x v="419"/>
    </i>
    <i r="1">
      <x v="458"/>
    </i>
    <i r="2">
      <x v="264"/>
    </i>
    <i t="blank" r="1">
      <x v="458"/>
    </i>
    <i>
      <x v="607"/>
    </i>
    <i r="1">
      <x v="401"/>
    </i>
    <i r="2">
      <x v="83"/>
    </i>
    <i t="blank" r="1">
      <x v="401"/>
    </i>
    <i>
      <x v="608"/>
    </i>
    <i r="1">
      <x v="482"/>
    </i>
    <i r="2">
      <x v="261"/>
    </i>
    <i t="blank" r="1">
      <x v="482"/>
    </i>
    <i>
      <x v="609"/>
    </i>
    <i r="1">
      <x v="260"/>
    </i>
    <i r="2">
      <x v="187"/>
    </i>
    <i t="blank" r="1">
      <x v="260"/>
    </i>
    <i>
      <x v="610"/>
    </i>
    <i r="1">
      <x v="112"/>
    </i>
    <i r="2">
      <x v="92"/>
    </i>
    <i t="blank" r="1">
      <x v="112"/>
    </i>
    <i>
      <x v="611"/>
    </i>
    <i r="1">
      <x v="503"/>
    </i>
    <i r="2">
      <x v="21"/>
    </i>
    <i t="blank" r="1">
      <x v="503"/>
    </i>
    <i>
      <x v="612"/>
    </i>
    <i r="1">
      <x v="395"/>
    </i>
    <i r="2">
      <x v="36"/>
    </i>
    <i t="blank" r="1">
      <x v="395"/>
    </i>
    <i r="1">
      <x v="497"/>
    </i>
    <i r="2">
      <x v="165"/>
    </i>
    <i t="blank" r="1">
      <x v="497"/>
    </i>
    <i>
      <x v="613"/>
    </i>
    <i r="1">
      <x v="268"/>
    </i>
    <i r="2">
      <x v="54"/>
    </i>
    <i t="blank" r="1">
      <x v="268"/>
    </i>
    <i>
      <x v="614"/>
    </i>
    <i r="1">
      <x v="466"/>
    </i>
    <i r="2">
      <x v="180"/>
    </i>
    <i t="blank" r="1">
      <x v="466"/>
    </i>
    <i>
      <x v="615"/>
    </i>
    <i r="1">
      <x v="179"/>
    </i>
    <i r="2">
      <x v="23"/>
    </i>
    <i t="blank" r="1">
      <x v="179"/>
    </i>
    <i>
      <x v="616"/>
    </i>
    <i r="1">
      <x v="137"/>
    </i>
    <i r="2">
      <x v="6"/>
    </i>
    <i t="blank" r="1">
      <x v="137"/>
    </i>
    <i>
      <x v="617"/>
    </i>
    <i r="1">
      <x v="426"/>
    </i>
    <i r="2">
      <x v="83"/>
    </i>
    <i t="blank" r="1">
      <x v="426"/>
    </i>
    <i>
      <x v="618"/>
    </i>
    <i r="1">
      <x v="482"/>
    </i>
    <i r="2">
      <x v="261"/>
    </i>
    <i t="blank" r="1">
      <x v="482"/>
    </i>
    <i>
      <x v="619"/>
    </i>
    <i r="1">
      <x v="422"/>
    </i>
    <i r="2">
      <x v="83"/>
    </i>
    <i t="blank" r="1">
      <x v="422"/>
    </i>
    <i>
      <x v="620"/>
    </i>
    <i r="1">
      <x v="428"/>
    </i>
    <i r="2">
      <x v="215"/>
    </i>
    <i t="blank" r="1">
      <x v="428"/>
    </i>
    <i>
      <x v="621"/>
    </i>
    <i r="1">
      <x v="82"/>
    </i>
    <i r="2">
      <x v="54"/>
    </i>
    <i t="blank" r="1">
      <x v="82"/>
    </i>
    <i>
      <x v="622"/>
    </i>
    <i r="1">
      <x v="466"/>
    </i>
    <i r="2">
      <x v="261"/>
    </i>
    <i t="blank" r="1">
      <x v="466"/>
    </i>
    <i>
      <x v="623"/>
    </i>
    <i r="1">
      <x v="114"/>
    </i>
    <i r="2">
      <x v="101"/>
    </i>
    <i t="blank" r="1">
      <x v="114"/>
    </i>
    <i>
      <x v="624"/>
    </i>
    <i r="1">
      <x v="481"/>
    </i>
    <i r="2">
      <x v="261"/>
    </i>
    <i t="blank" r="1">
      <x v="481"/>
    </i>
    <i>
      <x v="625"/>
    </i>
    <i r="1">
      <x v="290"/>
    </i>
    <i r="2">
      <x v="212"/>
    </i>
    <i t="blank" r="1">
      <x v="290"/>
    </i>
    <i>
      <x v="626"/>
    </i>
    <i r="1">
      <x v="335"/>
    </i>
    <i r="2">
      <x v="213"/>
    </i>
    <i t="blank" r="1">
      <x v="335"/>
    </i>
    <i>
      <x v="627"/>
    </i>
    <i r="1">
      <x v="281"/>
    </i>
    <i r="2">
      <x v="26"/>
    </i>
    <i t="blank" r="1">
      <x v="281"/>
    </i>
    <i r="1">
      <x v="287"/>
    </i>
    <i r="2">
      <x v="26"/>
    </i>
    <i t="blank" r="1">
      <x v="287"/>
    </i>
    <i>
      <x v="628"/>
    </i>
    <i r="1">
      <x v="472"/>
    </i>
    <i r="2">
      <x v="296"/>
    </i>
    <i t="blank" r="1">
      <x v="472"/>
    </i>
    <i>
      <x v="629"/>
    </i>
    <i r="1">
      <x v="84"/>
    </i>
    <i r="2">
      <x v="55"/>
    </i>
    <i t="blank" r="1">
      <x v="84"/>
    </i>
    <i r="1">
      <x v="85"/>
    </i>
    <i r="2">
      <x v="55"/>
    </i>
    <i t="blank" r="1">
      <x v="85"/>
    </i>
    <i>
      <x v="630"/>
    </i>
    <i r="1">
      <x v="284"/>
    </i>
    <i r="2">
      <x v="164"/>
    </i>
    <i t="blank" r="1">
      <x v="284"/>
    </i>
    <i r="1">
      <x v="285"/>
    </i>
    <i r="2">
      <x v="27"/>
    </i>
    <i t="blank" r="1">
      <x v="285"/>
    </i>
    <i r="1">
      <x v="286"/>
    </i>
    <i r="2">
      <x v="164"/>
    </i>
    <i t="blank" r="1">
      <x v="286"/>
    </i>
    <i>
      <x v="631"/>
    </i>
    <i r="1">
      <x v="455"/>
    </i>
    <i r="2">
      <x v="83"/>
    </i>
    <i t="blank" r="1">
      <x v="455"/>
    </i>
    <i>
      <x v="632"/>
    </i>
    <i r="1">
      <x v="385"/>
    </i>
    <i r="2">
      <x v="83"/>
    </i>
    <i t="blank" r="1">
      <x v="385"/>
    </i>
    <i>
      <x v="633"/>
    </i>
    <i r="1">
      <x v="483"/>
    </i>
    <i r="2">
      <x v="289"/>
    </i>
    <i t="blank" r="1">
      <x v="483"/>
    </i>
    <i>
      <x v="634"/>
    </i>
    <i r="1">
      <x v="53"/>
    </i>
    <i r="2">
      <x v="80"/>
    </i>
    <i t="blank" r="1">
      <x v="53"/>
    </i>
    <i>
      <x v="635"/>
    </i>
    <i r="1">
      <x v="459"/>
    </i>
    <i r="2">
      <x v="261"/>
    </i>
    <i t="blank" r="1">
      <x v="459"/>
    </i>
    <i>
      <x v="636"/>
    </i>
    <i r="1">
      <x v="327"/>
    </i>
    <i r="2">
      <x v="210"/>
    </i>
    <i t="blank" r="1">
      <x v="327"/>
    </i>
    <i>
      <x v="637"/>
    </i>
    <i r="1">
      <x v="382"/>
    </i>
    <i r="2">
      <x v="83"/>
    </i>
    <i t="blank" r="1">
      <x v="382"/>
    </i>
    <i>
      <x v="638"/>
    </i>
    <i r="1">
      <x v="394"/>
    </i>
    <i r="2">
      <x v="83"/>
    </i>
    <i t="blank" r="1">
      <x v="394"/>
    </i>
    <i>
      <x v="639"/>
    </i>
    <i r="1">
      <x v="431"/>
    </i>
    <i r="2">
      <x v="83"/>
    </i>
    <i t="blank" r="1">
      <x v="431"/>
    </i>
    <i>
      <x v="640"/>
    </i>
    <i r="1">
      <x v="385"/>
    </i>
    <i r="2">
      <x v="83"/>
    </i>
    <i t="blank" r="1">
      <x v="385"/>
    </i>
    <i>
      <x v="641"/>
    </i>
    <i r="1">
      <x v="420"/>
    </i>
    <i r="2">
      <x v="83"/>
    </i>
    <i t="blank" r="1">
      <x v="420"/>
    </i>
    <i>
      <x v="642"/>
    </i>
    <i r="1">
      <x v="382"/>
    </i>
    <i r="2">
      <x v="83"/>
    </i>
    <i t="blank" r="1">
      <x v="382"/>
    </i>
    <i>
      <x v="643"/>
    </i>
    <i r="1">
      <x v="117"/>
    </i>
    <i r="2">
      <x v="104"/>
    </i>
    <i t="blank" r="1">
      <x v="117"/>
    </i>
    <i>
      <x v="644"/>
    </i>
    <i r="1">
      <x v="504"/>
    </i>
    <i r="2">
      <x v="312"/>
    </i>
    <i t="blank" r="1">
      <x v="504"/>
    </i>
    <i>
      <x v="645"/>
    </i>
    <i r="1">
      <x v="484"/>
    </i>
    <i r="2">
      <x v="261"/>
    </i>
    <i t="blank" r="1">
      <x v="484"/>
    </i>
    <i>
      <x v="646"/>
    </i>
    <i r="1">
      <x v="412"/>
    </i>
    <i r="2">
      <x v="83"/>
    </i>
    <i t="blank" r="1">
      <x v="412"/>
    </i>
    <i>
      <x v="647"/>
    </i>
    <i r="1">
      <x v="501"/>
    </i>
    <i r="2">
      <x v="261"/>
    </i>
    <i t="blank" r="1">
      <x v="501"/>
    </i>
    <i>
      <x v="648"/>
    </i>
    <i r="1">
      <x v="130"/>
    </i>
    <i r="2">
      <x v="114"/>
    </i>
    <i t="blank" r="1">
      <x v="130"/>
    </i>
    <i>
      <x v="649"/>
    </i>
    <i r="1">
      <x v="448"/>
    </i>
    <i r="2">
      <x v="261"/>
    </i>
    <i t="blank" r="1">
      <x v="448"/>
    </i>
    <i r="1">
      <x v="466"/>
    </i>
    <i r="2">
      <x v="261"/>
    </i>
    <i t="blank" r="1">
      <x v="466"/>
    </i>
    <i>
      <x v="650"/>
    </i>
    <i r="1">
      <x v="235"/>
    </i>
    <i r="2">
      <x v="17"/>
    </i>
    <i t="blank" r="1">
      <x v="235"/>
    </i>
    <i>
      <x v="651"/>
    </i>
    <i r="1">
      <x v="403"/>
    </i>
    <i r="2">
      <x v="245"/>
    </i>
    <i t="blank" r="1">
      <x v="403"/>
    </i>
    <i>
      <x v="652"/>
    </i>
    <i r="1">
      <x v="388"/>
    </i>
    <i r="2">
      <x v="83"/>
    </i>
    <i t="blank" r="1">
      <x v="388"/>
    </i>
    <i r="1">
      <x v="484"/>
    </i>
    <i r="2">
      <x v="253"/>
    </i>
    <i t="blank" r="1">
      <x v="484"/>
    </i>
    <i>
      <x v="653"/>
    </i>
    <i r="1">
      <x v="418"/>
    </i>
    <i r="2">
      <x v="278"/>
    </i>
    <i t="blank" r="1">
      <x v="418"/>
    </i>
    <i r="1">
      <x v="419"/>
    </i>
    <i r="2">
      <x v="280"/>
    </i>
    <i t="blank" r="1">
      <x v="419"/>
    </i>
    <i>
      <x v="654"/>
    </i>
    <i r="1">
      <x v="326"/>
    </i>
    <i r="2">
      <x v="28"/>
    </i>
    <i t="blank" r="1">
      <x v="326"/>
    </i>
    <i>
      <x v="655"/>
    </i>
    <i r="1">
      <x v="419"/>
    </i>
    <i r="2">
      <x v="83"/>
    </i>
    <i t="blank" r="1">
      <x v="419"/>
    </i>
    <i>
      <x v="656"/>
    </i>
    <i r="1">
      <x v="385"/>
    </i>
    <i r="2">
      <x v="83"/>
    </i>
    <i t="blank" r="1">
      <x v="385"/>
    </i>
    <i>
      <x v="657"/>
    </i>
    <i r="1">
      <x v="334"/>
    </i>
    <i r="2">
      <x v="37"/>
    </i>
    <i t="blank" r="1">
      <x v="334"/>
    </i>
    <i>
      <x v="658"/>
    </i>
    <i r="1">
      <x v="387"/>
    </i>
    <i r="2">
      <x v="253"/>
    </i>
    <i t="blank" r="1">
      <x v="387"/>
    </i>
    <i>
      <x v="659"/>
    </i>
    <i r="1">
      <x v="464"/>
    </i>
    <i r="2">
      <x v="261"/>
    </i>
    <i t="blank" r="1">
      <x v="464"/>
    </i>
    <i>
      <x v="660"/>
    </i>
    <i r="1">
      <x v="480"/>
    </i>
    <i r="2">
      <x v="261"/>
    </i>
    <i t="blank" r="1">
      <x v="480"/>
    </i>
    <i>
      <x v="661"/>
    </i>
    <i r="1">
      <x v="81"/>
    </i>
    <i r="2">
      <x v="47"/>
    </i>
    <i t="blank" r="1">
      <x v="81"/>
    </i>
    <i>
      <x v="662"/>
    </i>
    <i r="1">
      <x v="402"/>
    </i>
    <i r="2">
      <x v="83"/>
    </i>
    <i t="blank" r="1">
      <x v="402"/>
    </i>
    <i>
      <x v="663"/>
    </i>
    <i r="1">
      <x v="344"/>
    </i>
    <i r="2">
      <x v="210"/>
    </i>
    <i t="blank" r="1">
      <x v="344"/>
    </i>
    <i>
      <x v="664"/>
    </i>
    <i r="1">
      <x v="385"/>
    </i>
    <i r="2">
      <x v="256"/>
    </i>
    <i t="blank" r="1">
      <x v="385"/>
    </i>
    <i>
      <x v="665"/>
    </i>
    <i r="1">
      <x v="481"/>
    </i>
    <i r="2">
      <x v="148"/>
    </i>
    <i t="blank" r="1">
      <x v="481"/>
    </i>
    <i>
      <x v="666"/>
    </i>
    <i r="1">
      <x v="382"/>
    </i>
    <i r="2">
      <x v="261"/>
    </i>
    <i t="blank" r="1">
      <x v="382"/>
    </i>
    <i>
      <x v="667"/>
    </i>
    <i r="1">
      <x v="162"/>
    </i>
    <i r="2">
      <x v="83"/>
    </i>
    <i t="blank" r="1">
      <x v="162"/>
    </i>
    <i>
      <x v="668"/>
    </i>
    <i r="1">
      <x v="503"/>
    </i>
    <i r="2">
      <x v="207"/>
    </i>
    <i t="blank" r="1">
      <x v="503"/>
    </i>
    <i>
      <x v="669"/>
    </i>
    <i r="1">
      <x v="277"/>
    </i>
    <i r="2">
      <x v="30"/>
    </i>
    <i t="blank" r="1">
      <x v="277"/>
    </i>
    <i>
      <x v="670"/>
    </i>
    <i r="1">
      <x v="403"/>
    </i>
    <i r="2">
      <x v="83"/>
    </i>
    <i t="blank" r="1">
      <x v="403"/>
    </i>
    <i>
      <x v="671"/>
    </i>
    <i r="1">
      <x v="425"/>
    </i>
    <i r="2">
      <x v="28"/>
    </i>
    <i t="blank" r="1">
      <x v="425"/>
    </i>
    <i>
      <x v="672"/>
    </i>
    <i r="1">
      <x v="424"/>
    </i>
    <i r="2">
      <x v="83"/>
    </i>
    <i t="blank" r="1">
      <x v="424"/>
    </i>
    <i>
      <x v="673"/>
    </i>
    <i r="1">
      <x v="441"/>
    </i>
    <i r="2">
      <x v="83"/>
    </i>
    <i t="blank" r="1">
      <x v="441"/>
    </i>
    <i>
      <x v="674"/>
    </i>
    <i r="1">
      <x v="442"/>
    </i>
    <i r="2">
      <x v="83"/>
    </i>
    <i t="blank" r="1">
      <x v="442"/>
    </i>
    <i>
      <x v="675"/>
    </i>
    <i r="1">
      <x v="468"/>
    </i>
    <i r="2">
      <x v="292"/>
    </i>
    <i t="blank" r="1">
      <x v="468"/>
    </i>
    <i>
      <x v="676"/>
    </i>
    <i r="1">
      <x v="503"/>
    </i>
    <i r="2">
      <x v="253"/>
    </i>
    <i t="blank" r="1">
      <x v="503"/>
    </i>
    <i>
      <x v="677"/>
    </i>
    <i r="1">
      <x v="269"/>
    </i>
    <i r="2">
      <x v="178"/>
    </i>
    <i t="blank" r="1">
      <x v="269"/>
    </i>
    <i>
      <x v="678"/>
    </i>
    <i r="1">
      <x v="415"/>
    </i>
    <i r="2">
      <x v="54"/>
    </i>
    <i t="blank" r="1">
      <x v="415"/>
    </i>
    <i r="1">
      <x v="467"/>
    </i>
    <i r="2">
      <x v="76"/>
    </i>
    <i t="blank" r="1">
      <x v="467"/>
    </i>
    <i>
      <x v="679"/>
    </i>
    <i r="1">
      <x v="447"/>
    </i>
    <i r="2">
      <x v="261"/>
    </i>
    <i t="blank" r="1">
      <x v="447"/>
    </i>
    <i>
      <x v="680"/>
    </i>
    <i r="1">
      <x v="471"/>
    </i>
    <i r="2">
      <x v="289"/>
    </i>
    <i t="blank" r="1">
      <x v="471"/>
    </i>
    <i>
      <x v="681"/>
    </i>
    <i r="1">
      <x v="245"/>
    </i>
    <i r="2">
      <x v="7"/>
    </i>
    <i t="blank" r="1">
      <x v="245"/>
    </i>
    <i>
      <x v="682"/>
    </i>
    <i r="1">
      <x v="479"/>
    </i>
    <i r="2">
      <x v="261"/>
    </i>
    <i t="blank" r="1">
      <x v="479"/>
    </i>
    <i>
      <x v="683"/>
    </i>
    <i r="1">
      <x v="485"/>
    </i>
    <i r="2">
      <x v="261"/>
    </i>
    <i t="blank" r="1">
      <x v="485"/>
    </i>
    <i>
      <x v="684"/>
    </i>
    <i r="1">
      <x v="334"/>
    </i>
    <i r="2">
      <x v="139"/>
    </i>
    <i t="blank" r="1">
      <x v="334"/>
    </i>
    <i r="1">
      <x v="446"/>
    </i>
    <i r="2">
      <x v="176"/>
    </i>
    <i t="blank" r="1">
      <x v="446"/>
    </i>
    <i>
      <x v="685"/>
    </i>
    <i r="1">
      <x v="388"/>
    </i>
    <i r="2">
      <x v="171"/>
    </i>
    <i t="blank" r="1">
      <x v="388"/>
    </i>
    <i r="1">
      <x v="404"/>
    </i>
    <i r="2">
      <x v="171"/>
    </i>
    <i t="blank" r="1">
      <x v="404"/>
    </i>
    <i r="1">
      <x v="425"/>
    </i>
    <i r="2">
      <x v="53"/>
    </i>
    <i t="blank" r="1">
      <x v="425"/>
    </i>
    <i>
      <x v="686"/>
    </i>
    <i r="1">
      <x v="381"/>
    </i>
    <i r="2">
      <x v="261"/>
    </i>
    <i t="blank" r="1">
      <x v="381"/>
    </i>
    <i>
      <x v="687"/>
    </i>
    <i r="1">
      <x v="409"/>
    </i>
    <i r="2">
      <x v="15"/>
    </i>
    <i t="blank" r="1">
      <x v="409"/>
    </i>
    <i>
      <x v="688"/>
    </i>
    <i r="1">
      <x v="316"/>
    </i>
    <i r="2">
      <x v="54"/>
    </i>
    <i t="blank" r="1">
      <x v="316"/>
    </i>
    <i r="1">
      <x v="318"/>
    </i>
    <i r="2">
      <x v="171"/>
    </i>
    <i t="blank" r="1">
      <x v="318"/>
    </i>
    <i r="1">
      <x v="347"/>
    </i>
    <i r="2">
      <x v="53"/>
    </i>
    <i t="blank" r="1">
      <x v="347"/>
    </i>
    <i>
      <x v="689"/>
    </i>
    <i r="1">
      <x v="9"/>
    </i>
    <i r="2">
      <x v="22"/>
    </i>
    <i t="blank" r="1">
      <x v="9"/>
    </i>
    <i r="1">
      <x v="10"/>
    </i>
    <i r="2">
      <x v="22"/>
    </i>
    <i t="blank" r="1">
      <x v="10"/>
    </i>
    <i r="1">
      <x v="39"/>
    </i>
    <i r="2">
      <x v="22"/>
    </i>
    <i t="blank" r="1">
      <x v="39"/>
    </i>
    <i>
      <x v="690"/>
    </i>
    <i r="1">
      <x v="394"/>
    </i>
    <i r="2">
      <x v="83"/>
    </i>
    <i t="blank" r="1">
      <x v="394"/>
    </i>
    <i>
      <x v="691"/>
    </i>
    <i r="1">
      <x v="339"/>
    </i>
    <i r="2">
      <x v="70"/>
    </i>
    <i t="blank" r="1">
      <x v="339"/>
    </i>
    <i>
      <x v="692"/>
    </i>
    <i r="1">
      <x v="382"/>
    </i>
    <i r="2">
      <x v="178"/>
    </i>
    <i t="blank" r="1">
      <x v="382"/>
    </i>
    <i>
      <x v="693"/>
    </i>
    <i r="1">
      <x v="45"/>
    </i>
    <i r="2">
      <x v="23"/>
    </i>
    <i t="blank" r="1">
      <x v="45"/>
    </i>
    <i r="1">
      <x v="46"/>
    </i>
    <i r="2">
      <x v="23"/>
    </i>
    <i t="blank" r="1">
      <x v="46"/>
    </i>
    <i>
      <x v="694"/>
    </i>
    <i r="1">
      <x v="496"/>
    </i>
    <i r="2">
      <x v="261"/>
    </i>
    <i t="blank" r="1">
      <x v="496"/>
    </i>
    <i>
      <x v="695"/>
    </i>
    <i r="1">
      <x v="379"/>
    </i>
    <i r="2">
      <x v="236"/>
    </i>
    <i t="blank" r="1">
      <x v="379"/>
    </i>
    <i>
      <x v="696"/>
    </i>
    <i r="1">
      <x v="162"/>
    </i>
    <i r="2">
      <x v="83"/>
    </i>
    <i t="blank" r="1">
      <x v="162"/>
    </i>
    <i>
      <x v="697"/>
    </i>
    <i r="1">
      <x v="215"/>
    </i>
    <i r="2">
      <x v="156"/>
    </i>
    <i t="blank" r="1">
      <x v="215"/>
    </i>
    <i>
      <x v="698"/>
    </i>
    <i r="1">
      <x v="125"/>
    </i>
    <i r="2">
      <x v="69"/>
    </i>
    <i t="blank" r="1">
      <x v="125"/>
    </i>
    <i r="1">
      <x v="131"/>
    </i>
    <i r="2">
      <x v="113"/>
    </i>
    <i t="blank" r="1">
      <x v="131"/>
    </i>
    <i r="1">
      <x v="337"/>
    </i>
    <i r="2">
      <x v="52"/>
    </i>
    <i t="blank" r="1">
      <x v="337"/>
    </i>
    <i r="1">
      <x v="364"/>
    </i>
    <i r="2">
      <x v="36"/>
    </i>
    <i t="blank" r="1">
      <x v="364"/>
    </i>
    <i r="1">
      <x v="378"/>
    </i>
    <i r="2">
      <x v="50"/>
    </i>
    <i t="blank" r="1">
      <x v="378"/>
    </i>
    <i>
      <x v="699"/>
    </i>
    <i r="1">
      <x v="278"/>
    </i>
    <i r="2">
      <x v="28"/>
    </i>
    <i t="blank" r="1">
      <x v="278"/>
    </i>
    <i>
      <x v="700"/>
    </i>
    <i r="1">
      <x v="106"/>
    </i>
    <i r="2">
      <x v="17"/>
    </i>
    <i r="2">
      <x v="86"/>
    </i>
    <i t="blank" r="1">
      <x v="106"/>
    </i>
    <i>
      <x v="701"/>
    </i>
    <i r="1">
      <x v="434"/>
    </i>
    <i r="2">
      <x v="32"/>
    </i>
    <i t="blank" r="1">
      <x v="434"/>
    </i>
    <i>
      <x v="702"/>
    </i>
    <i r="1">
      <x v="420"/>
    </i>
    <i r="2">
      <x v="83"/>
    </i>
    <i t="blank" r="1">
      <x v="420"/>
    </i>
    <i r="1">
      <x v="446"/>
    </i>
    <i r="2">
      <x v="261"/>
    </i>
    <i t="blank" r="1">
      <x v="446"/>
    </i>
    <i>
      <x v="703"/>
    </i>
    <i r="1">
      <x v="435"/>
    </i>
    <i r="2">
      <x v="83"/>
    </i>
    <i t="blank" r="1">
      <x v="435"/>
    </i>
    <i>
      <x v="704"/>
    </i>
    <i r="1">
      <x v="475"/>
    </i>
    <i r="2">
      <x v="296"/>
    </i>
    <i t="blank" r="1">
      <x v="475"/>
    </i>
    <i>
      <x v="705"/>
    </i>
    <i r="1">
      <x v="75"/>
    </i>
    <i r="2">
      <x v="42"/>
    </i>
    <i t="blank" r="1">
      <x v="75"/>
    </i>
    <i>
      <x v="706"/>
    </i>
    <i r="1">
      <x v="496"/>
    </i>
    <i r="2">
      <x v="76"/>
    </i>
    <i t="blank" r="1">
      <x v="496"/>
    </i>
    <i>
      <x v="707"/>
    </i>
    <i r="1">
      <x v="79"/>
    </i>
    <i r="2">
      <x v="27"/>
    </i>
    <i t="blank" r="1">
      <x v="79"/>
    </i>
    <i>
      <x v="708"/>
    </i>
    <i r="1">
      <x v="489"/>
    </i>
    <i r="2">
      <x v="89"/>
    </i>
    <i t="blank" r="1">
      <x v="489"/>
    </i>
    <i>
      <x v="709"/>
    </i>
    <i r="1">
      <x v="436"/>
    </i>
    <i r="2">
      <x v="83"/>
    </i>
    <i t="blank" r="1">
      <x v="436"/>
    </i>
    <i>
      <x v="710"/>
    </i>
    <i r="1">
      <x v="413"/>
    </i>
    <i r="2">
      <x v="83"/>
    </i>
    <i t="blank" r="1">
      <x v="413"/>
    </i>
    <i>
      <x v="711"/>
    </i>
    <i r="1">
      <x v="480"/>
    </i>
    <i r="2">
      <x v="261"/>
    </i>
    <i t="blank" r="1">
      <x v="480"/>
    </i>
    <i>
      <x v="712"/>
    </i>
    <i r="1">
      <x v="416"/>
    </i>
    <i r="2">
      <x v="113"/>
    </i>
    <i t="blank" r="1">
      <x v="416"/>
    </i>
    <i>
      <x v="713"/>
    </i>
    <i r="1">
      <x v="411"/>
    </i>
    <i r="2">
      <x v="171"/>
    </i>
    <i t="blank" r="1">
      <x v="411"/>
    </i>
    <i r="1">
      <x v="437"/>
    </i>
    <i r="2">
      <x v="53"/>
    </i>
    <i t="blank" r="1">
      <x v="437"/>
    </i>
    <i r="1">
      <x v="457"/>
    </i>
    <i r="2">
      <x v="74"/>
    </i>
    <i t="blank" r="1">
      <x v="457"/>
    </i>
    <i>
      <x v="714"/>
    </i>
    <i r="1">
      <x v="409"/>
    </i>
    <i r="2">
      <x v="83"/>
    </i>
    <i t="blank" r="1">
      <x v="409"/>
    </i>
    <i>
      <x v="715"/>
    </i>
    <i r="1">
      <x v="461"/>
    </i>
    <i r="2">
      <x v="261"/>
    </i>
    <i t="blank" r="1">
      <x v="461"/>
    </i>
    <i>
      <x v="716"/>
    </i>
    <i r="1">
      <x v="417"/>
    </i>
    <i r="2">
      <x v="83"/>
    </i>
    <i t="blank" r="1">
      <x v="417"/>
    </i>
    <i>
      <x v="717"/>
    </i>
    <i r="1">
      <x v="494"/>
    </i>
    <i r="2">
      <x v="261"/>
    </i>
    <i t="blank" r="1">
      <x v="494"/>
    </i>
    <i>
      <x v="718"/>
    </i>
    <i r="1">
      <x v="464"/>
    </i>
    <i r="2">
      <x v="261"/>
    </i>
    <i t="blank" r="1">
      <x v="464"/>
    </i>
    <i>
      <x v="719"/>
    </i>
    <i r="1">
      <x v="505"/>
    </i>
    <i r="2">
      <x v="261"/>
    </i>
    <i t="blank" r="1">
      <x v="505"/>
    </i>
    <i>
      <x v="720"/>
    </i>
    <i r="1">
      <x v="395"/>
    </i>
    <i r="2">
      <x v="83"/>
    </i>
    <i t="blank" r="1">
      <x v="395"/>
    </i>
    <i>
      <x v="721"/>
    </i>
    <i r="1">
      <x v="388"/>
    </i>
    <i r="2">
      <x v="83"/>
    </i>
    <i t="blank" r="1">
      <x v="388"/>
    </i>
    <i>
      <x v="722"/>
    </i>
    <i r="1">
      <x v="23"/>
    </i>
    <i r="2">
      <x v="21"/>
    </i>
    <i t="blank" r="1">
      <x v="23"/>
    </i>
    <i>
      <x v="723"/>
    </i>
    <i r="1">
      <x v="462"/>
    </i>
    <i r="2">
      <x v="78"/>
    </i>
    <i t="blank" r="1">
      <x v="462"/>
    </i>
    <i r="1">
      <x v="481"/>
    </i>
    <i r="2">
      <x v="78"/>
    </i>
    <i t="blank" r="1">
      <x v="481"/>
    </i>
    <i r="1">
      <x v="489"/>
    </i>
    <i r="2">
      <x v="89"/>
    </i>
    <i t="blank" r="1">
      <x v="489"/>
    </i>
    <i>
      <x v="724"/>
    </i>
    <i r="1">
      <x v="442"/>
    </i>
    <i r="2">
      <x v="83"/>
    </i>
    <i t="blank" r="1">
      <x v="442"/>
    </i>
    <i>
      <x v="725"/>
    </i>
    <i r="1">
      <x v="402"/>
    </i>
    <i r="2">
      <x v="269"/>
    </i>
    <i t="blank" r="1">
      <x v="402"/>
    </i>
    <i>
      <x v="726"/>
    </i>
    <i r="1">
      <x v="455"/>
    </i>
    <i r="2">
      <x v="30"/>
    </i>
    <i r="2">
      <x v="296"/>
    </i>
    <i t="blank" r="1">
      <x v="455"/>
    </i>
    <i>
      <x v="727"/>
    </i>
    <i r="1">
      <x v="211"/>
    </i>
    <i r="2">
      <x v="153"/>
    </i>
    <i t="blank" r="1">
      <x v="211"/>
    </i>
    <i r="1">
      <x v="212"/>
    </i>
    <i r="2">
      <x v="154"/>
    </i>
    <i t="blank" r="1">
      <x v="212"/>
    </i>
    <i>
      <x v="728"/>
    </i>
    <i r="1">
      <x v="350"/>
    </i>
    <i r="2">
      <x v="16"/>
    </i>
    <i r="2">
      <x v="22"/>
    </i>
    <i t="blank" r="1">
      <x v="350"/>
    </i>
    <i>
      <x v="729"/>
    </i>
    <i r="1">
      <x v="128"/>
    </i>
    <i r="2">
      <x v="17"/>
    </i>
    <i t="blank" r="1">
      <x v="128"/>
    </i>
    <i>
      <x v="730"/>
    </i>
    <i r="1">
      <x v="373"/>
    </i>
    <i r="2">
      <x v="21"/>
    </i>
    <i t="blank" r="1">
      <x v="373"/>
    </i>
    <i>
      <x v="731"/>
    </i>
    <i r="1">
      <x v="137"/>
    </i>
    <i r="2">
      <x v="118"/>
    </i>
    <i t="blank" r="1">
      <x v="137"/>
    </i>
    <i r="1">
      <x v="389"/>
    </i>
    <i r="2">
      <x v="213"/>
    </i>
    <i t="blank" r="1">
      <x v="389"/>
    </i>
    <i>
      <x v="732"/>
    </i>
    <i r="1">
      <x v="371"/>
    </i>
    <i r="2">
      <x v="245"/>
    </i>
    <i t="blank" r="1">
      <x v="371"/>
    </i>
    <i>
      <x v="733"/>
    </i>
    <i r="1">
      <x v="296"/>
    </i>
    <i r="2">
      <x v="17"/>
    </i>
    <i t="blank" r="1">
      <x v="296"/>
    </i>
    <i>
      <x v="734"/>
    </i>
    <i r="1">
      <x v="466"/>
    </i>
    <i r="2">
      <x v="261"/>
    </i>
    <i t="blank" r="1">
      <x v="466"/>
    </i>
    <i>
      <x v="735"/>
    </i>
    <i r="1">
      <x v="476"/>
    </i>
    <i r="2">
      <x v="51"/>
    </i>
    <i t="blank" r="1">
      <x v="476"/>
    </i>
    <i>
      <x v="736"/>
    </i>
    <i r="1">
      <x v="101"/>
    </i>
    <i r="2">
      <x v="79"/>
    </i>
    <i t="blank" r="1">
      <x v="101"/>
    </i>
    <i>
      <x v="737"/>
    </i>
    <i r="1">
      <x v="130"/>
    </i>
    <i r="2">
      <x v="101"/>
    </i>
    <i t="blank" r="1">
      <x v="130"/>
    </i>
    <i>
      <x v="738"/>
    </i>
    <i r="1">
      <x v="246"/>
    </i>
    <i r="2">
      <x v="60"/>
    </i>
    <i r="2">
      <x v="85"/>
    </i>
    <i t="blank" r="1">
      <x v="246"/>
    </i>
    <i>
      <x v="739"/>
    </i>
    <i r="1">
      <x v="244"/>
    </i>
    <i r="2">
      <x v="179"/>
    </i>
    <i t="blank" r="1">
      <x v="244"/>
    </i>
    <i>
      <x v="740"/>
    </i>
    <i r="1">
      <x v="354"/>
    </i>
    <i r="2">
      <x v="239"/>
    </i>
    <i t="blank" r="1">
      <x v="354"/>
    </i>
    <i>
      <x v="741"/>
    </i>
    <i r="1">
      <x v="365"/>
    </i>
    <i r="2">
      <x v="16"/>
    </i>
    <i r="2">
      <x v="45"/>
    </i>
    <i t="blank" r="1">
      <x v="365"/>
    </i>
    <i>
      <x v="742"/>
    </i>
    <i r="1">
      <x v="490"/>
    </i>
    <i r="2">
      <x v="261"/>
    </i>
    <i t="blank" r="1">
      <x v="490"/>
    </i>
    <i>
      <x v="743"/>
    </i>
    <i r="1">
      <x v="497"/>
    </i>
    <i r="2">
      <x v="261"/>
    </i>
    <i t="blank" r="1">
      <x v="497"/>
    </i>
    <i r="1">
      <x v="503"/>
    </i>
    <i r="2">
      <x v="261"/>
    </i>
    <i t="blank" r="1">
      <x v="503"/>
    </i>
    <i>
      <x v="744"/>
    </i>
    <i r="1">
      <x v="326"/>
    </i>
    <i r="2">
      <x v="222"/>
    </i>
    <i t="blank" r="1">
      <x v="326"/>
    </i>
    <i>
      <x v="745"/>
    </i>
    <i r="1">
      <x v="102"/>
    </i>
    <i r="2">
      <x v="57"/>
    </i>
    <i t="blank" r="1">
      <x v="102"/>
    </i>
    <i>
      <x v="746"/>
    </i>
    <i r="1">
      <x v="344"/>
    </i>
    <i r="2">
      <x v="185"/>
    </i>
    <i t="blank" r="1">
      <x v="344"/>
    </i>
    <i>
      <x v="747"/>
    </i>
    <i r="1">
      <x v="253"/>
    </i>
    <i r="2">
      <x v="183"/>
    </i>
    <i t="blank" r="1">
      <x v="253"/>
    </i>
    <i>
      <x v="748"/>
    </i>
    <i r="1">
      <x v="434"/>
    </i>
    <i r="2">
      <x v="83"/>
    </i>
    <i t="blank" r="1">
      <x v="434"/>
    </i>
    <i>
      <x v="749"/>
    </i>
    <i r="1">
      <x v="280"/>
    </i>
    <i r="2">
      <x v="179"/>
    </i>
    <i t="blank" r="1">
      <x v="280"/>
    </i>
    <i>
      <x v="750"/>
    </i>
    <i r="1">
      <x v="495"/>
    </i>
    <i r="2">
      <x v="165"/>
    </i>
    <i t="blank" r="1">
      <x v="495"/>
    </i>
    <i>
      <x v="751"/>
    </i>
    <i r="1">
      <x v="141"/>
    </i>
    <i r="2">
      <x v="83"/>
    </i>
    <i t="blank" r="1">
      <x v="141"/>
    </i>
    <i>
      <x v="752"/>
    </i>
    <i r="1">
      <x v="412"/>
    </i>
    <i r="2">
      <x v="83"/>
    </i>
    <i t="blank" r="1">
      <x v="412"/>
    </i>
    <i>
      <x v="753"/>
    </i>
    <i r="1">
      <x v="456"/>
    </i>
    <i r="2">
      <x v="83"/>
    </i>
    <i t="blank" r="1">
      <x v="456"/>
    </i>
    <i>
      <x v="754"/>
    </i>
    <i r="1">
      <x v="154"/>
    </i>
    <i r="2">
      <x v="131"/>
    </i>
    <i t="blank" r="1">
      <x v="154"/>
    </i>
    <i>
      <x v="755"/>
    </i>
    <i r="1">
      <x v="460"/>
    </i>
    <i r="2">
      <x v="261"/>
    </i>
    <i t="blank" r="1">
      <x v="460"/>
    </i>
    <i r="1">
      <x v="482"/>
    </i>
    <i r="2">
      <x v="261"/>
    </i>
    <i t="blank" r="1">
      <x v="482"/>
    </i>
    <i>
      <x v="756"/>
    </i>
    <i r="1">
      <x v="403"/>
    </i>
    <i r="2">
      <x v="83"/>
    </i>
    <i t="blank" r="1">
      <x v="403"/>
    </i>
    <i>
      <x v="757"/>
    </i>
    <i r="1">
      <x v="417"/>
    </i>
    <i r="2">
      <x v="83"/>
    </i>
    <i t="blank" r="1">
      <x v="417"/>
    </i>
    <i r="1">
      <x v="443"/>
    </i>
    <i r="2">
      <x v="83"/>
    </i>
    <i t="blank" r="1">
      <x v="443"/>
    </i>
    <i>
      <x v="758"/>
    </i>
    <i r="1">
      <x v="437"/>
    </i>
    <i r="2">
      <x v="83"/>
    </i>
    <i t="blank" r="1">
      <x v="437"/>
    </i>
    <i>
      <x v="759"/>
    </i>
    <i r="1">
      <x v="181"/>
    </i>
    <i r="2">
      <x v="22"/>
    </i>
    <i t="blank" r="1">
      <x v="181"/>
    </i>
    <i>
      <x v="760"/>
    </i>
    <i r="1">
      <x v="480"/>
    </i>
    <i r="2">
      <x v="261"/>
    </i>
    <i t="blank" r="1">
      <x v="480"/>
    </i>
    <i>
      <x v="761"/>
    </i>
    <i r="1">
      <x v="457"/>
    </i>
    <i r="2">
      <x v="83"/>
    </i>
    <i t="blank" r="1">
      <x v="457"/>
    </i>
    <i>
      <x v="762"/>
    </i>
    <i r="1">
      <x v="434"/>
    </i>
    <i r="2">
      <x v="286"/>
    </i>
    <i t="blank" r="1">
      <x v="434"/>
    </i>
    <i>
      <x v="763"/>
    </i>
    <i r="1">
      <x v="497"/>
    </i>
    <i r="2">
      <x v="261"/>
    </i>
    <i t="blank" r="1">
      <x v="497"/>
    </i>
    <i>
      <x v="764"/>
    </i>
    <i r="1">
      <x v="351"/>
    </i>
    <i r="2">
      <x v="59"/>
    </i>
    <i t="blank" r="1">
      <x v="351"/>
    </i>
    <i>
      <x v="765"/>
    </i>
    <i r="1">
      <x v="472"/>
    </i>
    <i r="2">
      <x v="261"/>
    </i>
    <i t="blank" r="1">
      <x v="472"/>
    </i>
    <i r="1">
      <x v="495"/>
    </i>
    <i r="2">
      <x v="261"/>
    </i>
    <i t="blank" r="1">
      <x v="495"/>
    </i>
    <i>
      <x v="766"/>
    </i>
    <i r="1">
      <x v="489"/>
    </i>
    <i r="2">
      <x v="261"/>
    </i>
    <i t="blank" r="1">
      <x v="489"/>
    </i>
    <i>
      <x v="767"/>
    </i>
    <i r="1">
      <x v="144"/>
    </i>
    <i r="2">
      <x v="83"/>
    </i>
    <i t="blank" r="1">
      <x v="144"/>
    </i>
    <i>
      <x v="768"/>
    </i>
    <i r="1">
      <x v="474"/>
    </i>
    <i r="2">
      <x v="261"/>
    </i>
    <i t="blank" r="1">
      <x v="474"/>
    </i>
    <i>
      <x v="769"/>
    </i>
    <i r="1">
      <x v="76"/>
    </i>
    <i r="2">
      <x v="43"/>
    </i>
    <i t="blank" r="1">
      <x v="76"/>
    </i>
    <i r="1">
      <x v="79"/>
    </i>
    <i r="2">
      <x v="46"/>
    </i>
    <i t="blank" r="1">
      <x v="79"/>
    </i>
    <i r="1">
      <x v="86"/>
    </i>
    <i r="2">
      <x v="32"/>
    </i>
    <i t="blank" r="1">
      <x v="86"/>
    </i>
    <i>
      <x v="770"/>
    </i>
    <i r="1">
      <x v="157"/>
    </i>
    <i r="2">
      <x v="6"/>
    </i>
    <i t="blank" r="1">
      <x v="157"/>
    </i>
    <i>
      <x v="771"/>
    </i>
    <i r="1">
      <x v="387"/>
    </i>
    <i r="2">
      <x v="83"/>
    </i>
    <i t="blank" r="1">
      <x v="387"/>
    </i>
    <i>
      <x v="772"/>
    </i>
    <i r="1">
      <x v="504"/>
    </i>
    <i r="2">
      <x v="261"/>
    </i>
    <i t="blank" r="1">
      <x v="504"/>
    </i>
    <i>
      <x v="773"/>
    </i>
    <i r="1">
      <x v="153"/>
    </i>
    <i r="2">
      <x v="83"/>
    </i>
    <i t="blank" r="1">
      <x v="153"/>
    </i>
    <i>
      <x v="774"/>
    </i>
    <i r="1">
      <x v="423"/>
    </i>
    <i r="2">
      <x v="232"/>
    </i>
    <i t="blank" r="1">
      <x v="423"/>
    </i>
    <i>
      <x v="775"/>
    </i>
    <i r="1">
      <x v="89"/>
    </i>
    <i r="2">
      <x v="63"/>
    </i>
    <i t="blank" r="1">
      <x v="89"/>
    </i>
    <i r="1">
      <x v="450"/>
    </i>
    <i r="2">
      <x v="261"/>
    </i>
    <i t="blank" r="1">
      <x v="450"/>
    </i>
    <i>
      <x v="776"/>
    </i>
    <i r="1">
      <x v="479"/>
    </i>
    <i r="2">
      <x v="261"/>
    </i>
    <i t="blank" r="1">
      <x v="479"/>
    </i>
    <i>
      <x v="777"/>
    </i>
    <i r="1">
      <x v="402"/>
    </i>
    <i r="2">
      <x v="83"/>
    </i>
    <i t="blank" r="1">
      <x v="402"/>
    </i>
    <i>
      <x v="778"/>
    </i>
    <i r="1">
      <x v="383"/>
    </i>
    <i r="2">
      <x v="54"/>
    </i>
    <i t="blank" r="1">
      <x v="383"/>
    </i>
    <i>
      <x v="779"/>
    </i>
    <i r="1">
      <x v="249"/>
    </i>
    <i r="2">
      <x v="182"/>
    </i>
    <i t="blank" r="1">
      <x v="249"/>
    </i>
    <i>
      <x v="780"/>
    </i>
    <i r="1">
      <x v="390"/>
    </i>
    <i r="2">
      <x v="83"/>
    </i>
    <i t="blank" r="1">
      <x v="390"/>
    </i>
    <i>
      <x v="781"/>
    </i>
    <i r="1">
      <x v="240"/>
    </i>
    <i r="2">
      <x v="174"/>
    </i>
    <i t="blank" r="1">
      <x v="240"/>
    </i>
    <i>
      <x v="782"/>
    </i>
    <i r="1">
      <x v="496"/>
    </i>
    <i r="2">
      <x v="286"/>
    </i>
    <i t="blank" r="1">
      <x v="496"/>
    </i>
    <i>
      <x v="783"/>
    </i>
    <i r="1">
      <x v="503"/>
    </i>
    <i r="2">
      <x v="261"/>
    </i>
    <i t="blank" r="1">
      <x v="503"/>
    </i>
    <i>
      <x v="784"/>
    </i>
    <i r="1">
      <x v="323"/>
    </i>
    <i r="2">
      <x v="54"/>
    </i>
    <i t="blank" r="1">
      <x v="323"/>
    </i>
    <i>
      <x v="785"/>
    </i>
    <i r="1">
      <x v="473"/>
    </i>
    <i r="2">
      <x v="261"/>
    </i>
    <i t="blank" r="1">
      <x v="473"/>
    </i>
    <i>
      <x v="786"/>
    </i>
    <i r="1">
      <x v="479"/>
    </i>
    <i r="2">
      <x v="261"/>
    </i>
    <i t="blank" r="1">
      <x v="479"/>
    </i>
    <i>
      <x v="787"/>
    </i>
    <i r="1">
      <x v="323"/>
    </i>
    <i r="2">
      <x v="54"/>
    </i>
    <i t="blank" r="1">
      <x v="323"/>
    </i>
    <i>
      <x v="788"/>
    </i>
    <i r="1">
      <x v="475"/>
    </i>
    <i r="2">
      <x v="261"/>
    </i>
    <i t="blank" r="1">
      <x v="475"/>
    </i>
    <i>
      <x v="789"/>
    </i>
    <i r="1">
      <x v="141"/>
    </i>
    <i r="2">
      <x v="93"/>
    </i>
    <i t="blank" r="1">
      <x v="141"/>
    </i>
    <i>
      <x v="790"/>
    </i>
    <i r="1">
      <x v="369"/>
    </i>
    <i r="2">
      <x v="83"/>
    </i>
    <i t="blank" r="1">
      <x v="369"/>
    </i>
    <i>
      <x v="791"/>
    </i>
    <i r="1">
      <x v="488"/>
    </i>
    <i r="2">
      <x v="261"/>
    </i>
    <i t="blank" r="1">
      <x v="488"/>
    </i>
    <i>
      <x v="792"/>
    </i>
    <i r="1">
      <x v="475"/>
    </i>
    <i r="2">
      <x v="261"/>
    </i>
    <i t="blank" r="1">
      <x v="475"/>
    </i>
    <i>
      <x v="793"/>
    </i>
    <i r="1">
      <x v="463"/>
    </i>
    <i r="2">
      <x v="261"/>
    </i>
    <i t="blank" r="1">
      <x v="463"/>
    </i>
    <i>
      <x v="794"/>
    </i>
    <i r="1">
      <x v="449"/>
    </i>
    <i r="2">
      <x v="289"/>
    </i>
    <i t="blank" r="1">
      <x v="449"/>
    </i>
    <i>
      <x v="795"/>
    </i>
    <i r="1">
      <x v="377"/>
    </i>
    <i r="2">
      <x v="32"/>
    </i>
    <i t="blank" r="1">
      <x v="377"/>
    </i>
    <i>
      <x v="796"/>
    </i>
    <i r="1">
      <x v="442"/>
    </i>
    <i r="2">
      <x v="83"/>
    </i>
    <i t="blank" r="1">
      <x v="442"/>
    </i>
    <i>
      <x v="797"/>
    </i>
    <i r="1">
      <x v="461"/>
    </i>
    <i r="2">
      <x v="261"/>
    </i>
    <i t="blank" r="1">
      <x v="461"/>
    </i>
    <i>
      <x v="798"/>
    </i>
    <i r="1">
      <x v="108"/>
    </i>
    <i r="2">
      <x v="92"/>
    </i>
    <i t="blank" r="1">
      <x v="108"/>
    </i>
    <i>
      <x v="799"/>
    </i>
    <i r="1">
      <x v="437"/>
    </i>
    <i r="2">
      <x v="250"/>
    </i>
    <i t="blank" r="1">
      <x v="437"/>
    </i>
    <i>
      <x v="800"/>
    </i>
    <i r="1">
      <x v="363"/>
    </i>
    <i r="2">
      <x v="140"/>
    </i>
    <i t="blank" r="1">
      <x v="363"/>
    </i>
    <i r="1">
      <x v="377"/>
    </i>
    <i r="2">
      <x v="140"/>
    </i>
    <i t="blank" r="1">
      <x v="377"/>
    </i>
    <i>
      <x v="801"/>
    </i>
    <i r="1">
      <x v="454"/>
    </i>
    <i r="2">
      <x v="261"/>
    </i>
    <i t="blank" r="1">
      <x v="454"/>
    </i>
    <i>
      <x v="802"/>
    </i>
    <i r="1">
      <x v="248"/>
    </i>
    <i r="2">
      <x v="2"/>
    </i>
    <i t="blank" r="1">
      <x v="248"/>
    </i>
    <i>
      <x v="803"/>
    </i>
    <i r="1">
      <x v="466"/>
    </i>
    <i r="2">
      <x v="39"/>
    </i>
    <i t="blank" r="1">
      <x v="466"/>
    </i>
    <i>
      <x v="804"/>
    </i>
    <i r="1">
      <x v="459"/>
    </i>
    <i r="2">
      <x v="261"/>
    </i>
    <i t="blank" r="1">
      <x v="459"/>
    </i>
    <i r="1">
      <x v="472"/>
    </i>
    <i r="2">
      <x v="261"/>
    </i>
    <i t="blank" r="1">
      <x v="472"/>
    </i>
    <i>
      <x v="805"/>
    </i>
    <i r="1">
      <x v="481"/>
    </i>
    <i r="2">
      <x v="261"/>
    </i>
    <i t="blank" r="1">
      <x v="481"/>
    </i>
    <i>
      <x v="806"/>
    </i>
    <i r="1">
      <x v="106"/>
    </i>
    <i r="2">
      <x v="89"/>
    </i>
    <i t="blank" r="1">
      <x v="106"/>
    </i>
    <i>
      <x v="807"/>
    </i>
    <i r="1">
      <x v="262"/>
    </i>
    <i r="2">
      <x v="41"/>
    </i>
    <i t="blank" r="1">
      <x v="262"/>
    </i>
    <i>
      <x v="808"/>
    </i>
    <i r="1">
      <x v="447"/>
    </i>
    <i r="2">
      <x v="285"/>
    </i>
    <i t="blank" r="1">
      <x v="447"/>
    </i>
    <i>
      <x v="809"/>
    </i>
    <i r="1">
      <x v="503"/>
    </i>
    <i r="2">
      <x v="253"/>
    </i>
    <i t="blank" r="1">
      <x v="503"/>
    </i>
    <i>
      <x v="810"/>
    </i>
    <i r="1">
      <x v="259"/>
    </i>
    <i r="2">
      <x v="52"/>
    </i>
    <i t="blank" r="1">
      <x v="259"/>
    </i>
    <i>
      <x v="811"/>
    </i>
    <i r="1">
      <x v="237"/>
    </i>
    <i r="2">
      <x v="171"/>
    </i>
    <i t="blank" r="1">
      <x v="237"/>
    </i>
    <i>
      <x v="812"/>
    </i>
    <i r="1">
      <x v="409"/>
    </i>
    <i r="2">
      <x v="83"/>
    </i>
    <i t="blank" r="1">
      <x v="409"/>
    </i>
    <i>
      <x v="813"/>
    </i>
    <i r="1">
      <x v="442"/>
    </i>
    <i r="2">
      <x v="83"/>
    </i>
    <i t="blank" r="1">
      <x v="442"/>
    </i>
    <i>
      <x v="814"/>
    </i>
    <i r="1">
      <x v="443"/>
    </i>
    <i r="2">
      <x v="83"/>
    </i>
    <i t="blank" r="1">
      <x v="443"/>
    </i>
    <i>
      <x v="815"/>
    </i>
    <i r="1">
      <x v="389"/>
    </i>
    <i r="2">
      <x v="250"/>
    </i>
    <i t="blank" r="1">
      <x v="389"/>
    </i>
    <i>
      <x v="816"/>
    </i>
    <i r="1">
      <x v="144"/>
    </i>
    <i r="2">
      <x v="18"/>
    </i>
    <i t="blank" r="1">
      <x v="144"/>
    </i>
    <i>
      <x v="817"/>
    </i>
    <i r="1">
      <x v="454"/>
    </i>
    <i r="2">
      <x v="261"/>
    </i>
    <i t="blank" r="1">
      <x v="454"/>
    </i>
    <i>
      <x v="818"/>
    </i>
    <i r="1">
      <x v="382"/>
    </i>
    <i r="2">
      <x v="52"/>
    </i>
    <i t="blank" r="1">
      <x v="382"/>
    </i>
    <i>
      <x v="819"/>
    </i>
    <i r="1">
      <x v="133"/>
    </i>
    <i r="2">
      <x v="41"/>
    </i>
    <i t="blank" r="1">
      <x v="133"/>
    </i>
    <i r="1">
      <x v="269"/>
    </i>
    <i r="2">
      <x v="41"/>
    </i>
    <i t="blank" r="1">
      <x v="269"/>
    </i>
    <i>
      <x v="820"/>
    </i>
    <i r="1">
      <x v="80"/>
    </i>
    <i r="2">
      <x v="48"/>
    </i>
    <i t="blank" r="1">
      <x v="80"/>
    </i>
    <i r="1">
      <x v="225"/>
    </i>
    <i r="2">
      <x v="31"/>
    </i>
    <i t="blank" r="1">
      <x v="225"/>
    </i>
    <i r="1">
      <x v="238"/>
    </i>
    <i r="2">
      <x v="173"/>
    </i>
    <i t="blank" r="1">
      <x v="238"/>
    </i>
    <i r="1">
      <x v="249"/>
    </i>
    <i r="2">
      <x v="7"/>
    </i>
    <i t="blank" r="1">
      <x v="249"/>
    </i>
    <i r="1">
      <x v="263"/>
    </i>
    <i r="2">
      <x v="31"/>
    </i>
    <i t="blank" r="1">
      <x v="263"/>
    </i>
    <i r="1">
      <x v="286"/>
    </i>
    <i r="2">
      <x v="7"/>
    </i>
    <i t="blank" r="1">
      <x v="286"/>
    </i>
    <i r="1">
      <x v="395"/>
    </i>
    <i r="2">
      <x v="31"/>
    </i>
    <i t="blank" r="1">
      <x v="395"/>
    </i>
    <i r="1">
      <x v="448"/>
    </i>
    <i r="2">
      <x v="248"/>
    </i>
    <i t="blank" r="1">
      <x v="448"/>
    </i>
    <i>
      <x v="821"/>
    </i>
    <i r="1">
      <x v="257"/>
    </i>
    <i r="2">
      <x v="59"/>
    </i>
    <i t="blank" r="1">
      <x v="257"/>
    </i>
    <i r="1">
      <x v="372"/>
    </i>
    <i r="2">
      <x v="59"/>
    </i>
    <i r="2">
      <x v="256"/>
    </i>
    <i t="blank" r="1">
      <x v="372"/>
    </i>
    <i>
      <x v="822"/>
    </i>
    <i r="1">
      <x v="334"/>
    </i>
    <i r="2">
      <x v="178"/>
    </i>
    <i t="blank" r="1">
      <x v="334"/>
    </i>
    <i>
      <x v="823"/>
    </i>
    <i r="1">
      <x v="448"/>
    </i>
    <i r="2">
      <x v="261"/>
    </i>
    <i t="blank" r="1">
      <x v="448"/>
    </i>
    <i>
      <x v="824"/>
    </i>
    <i r="1">
      <x v="501"/>
    </i>
    <i r="2">
      <x v="289"/>
    </i>
    <i t="blank" r="1">
      <x v="501"/>
    </i>
    <i>
      <x v="825"/>
    </i>
    <i r="1">
      <x v="232"/>
    </i>
    <i r="2">
      <x v="54"/>
    </i>
    <i t="blank" r="1">
      <x v="232"/>
    </i>
    <i>
      <x v="826"/>
    </i>
    <i r="1">
      <x v="496"/>
    </i>
    <i r="2">
      <x v="264"/>
    </i>
    <i t="blank" r="1">
      <x v="496"/>
    </i>
    <i>
      <x v="827"/>
    </i>
    <i r="1">
      <x v="294"/>
    </i>
    <i r="2">
      <x v="215"/>
    </i>
    <i t="blank" r="1">
      <x v="294"/>
    </i>
    <i>
      <x v="828"/>
    </i>
    <i r="1">
      <x v="344"/>
    </i>
    <i r="2">
      <x v="139"/>
    </i>
    <i t="blank" r="1">
      <x v="344"/>
    </i>
    <i>
      <x v="829"/>
    </i>
    <i r="1">
      <x v="380"/>
    </i>
    <i r="2">
      <x v="171"/>
    </i>
    <i t="blank" r="1">
      <x v="380"/>
    </i>
    <i>
      <x v="830"/>
    </i>
    <i r="1">
      <x v="384"/>
    </i>
    <i r="2">
      <x v="140"/>
    </i>
    <i t="blank" r="1">
      <x v="384"/>
    </i>
    <i r="1">
      <x v="402"/>
    </i>
    <i r="2">
      <x v="36"/>
    </i>
    <i t="blank" r="1">
      <x v="402"/>
    </i>
    <i>
      <x v="831"/>
    </i>
    <i r="1">
      <x v="111"/>
    </i>
    <i r="2">
      <x v="92"/>
    </i>
    <i t="blank" r="1">
      <x v="111"/>
    </i>
    <i r="1">
      <x v="112"/>
    </i>
    <i r="2">
      <x v="92"/>
    </i>
    <i t="blank" r="1">
      <x v="112"/>
    </i>
    <i>
      <x v="832"/>
    </i>
    <i r="1">
      <x v="384"/>
    </i>
    <i r="2">
      <x v="140"/>
    </i>
    <i t="blank" r="1">
      <x v="384"/>
    </i>
    <i>
      <x v="833"/>
    </i>
    <i r="1">
      <x v="140"/>
    </i>
    <i r="2">
      <x v="83"/>
    </i>
    <i t="blank" r="1">
      <x v="140"/>
    </i>
    <i>
      <x v="834"/>
    </i>
    <i r="1">
      <x v="407"/>
    </i>
    <i r="2">
      <x v="83"/>
    </i>
    <i t="blank" r="1">
      <x v="407"/>
    </i>
    <i>
      <x v="835"/>
    </i>
    <i r="1">
      <x v="411"/>
    </i>
    <i r="2">
      <x v="83"/>
    </i>
    <i t="blank" r="1">
      <x v="411"/>
    </i>
    <i>
      <x v="836"/>
    </i>
    <i r="1">
      <x v="155"/>
    </i>
    <i r="2">
      <x v="117"/>
    </i>
    <i t="blank" r="1">
      <x v="155"/>
    </i>
    <i>
      <x v="837"/>
    </i>
    <i r="1">
      <x v="64"/>
    </i>
    <i r="2">
      <x v="83"/>
    </i>
    <i t="blank" r="1">
      <x v="64"/>
    </i>
    <i>
      <x v="838"/>
    </i>
    <i r="1">
      <x v="110"/>
    </i>
    <i r="2">
      <x v="95"/>
    </i>
    <i t="blank" r="1">
      <x v="110"/>
    </i>
    <i r="1">
      <x v="347"/>
    </i>
    <i r="2">
      <x v="16"/>
    </i>
    <i t="blank" r="1">
      <x v="347"/>
    </i>
    <i r="1">
      <x v="412"/>
    </i>
    <i r="2">
      <x v="21"/>
    </i>
    <i r="2">
      <x v="26"/>
    </i>
    <i t="blank" r="1">
      <x v="412"/>
    </i>
    <i>
      <x v="839"/>
    </i>
    <i r="1">
      <x v="335"/>
    </i>
    <i r="2">
      <x v="226"/>
    </i>
    <i t="blank" r="1">
      <x v="335"/>
    </i>
    <i>
      <x v="840"/>
    </i>
    <i r="1">
      <x v="256"/>
    </i>
    <i r="2">
      <x v="54"/>
    </i>
    <i t="blank" r="1">
      <x v="256"/>
    </i>
    <i>
      <x v="841"/>
    </i>
    <i r="1">
      <x v="245"/>
    </i>
    <i r="2">
      <x v="185"/>
    </i>
    <i t="blank" r="1">
      <x v="245"/>
    </i>
    <i>
      <x v="842"/>
    </i>
    <i r="1">
      <x v="409"/>
    </i>
    <i r="2">
      <x v="83"/>
    </i>
    <i t="blank" r="1">
      <x v="409"/>
    </i>
    <i>
      <x v="843"/>
    </i>
    <i r="1">
      <x v="501"/>
    </i>
    <i r="2">
      <x v="261"/>
    </i>
    <i t="blank" r="1">
      <x v="501"/>
    </i>
    <i>
      <x v="844"/>
    </i>
    <i r="1">
      <x v="141"/>
    </i>
    <i r="2">
      <x v="41"/>
    </i>
    <i t="blank" r="1">
      <x v="141"/>
    </i>
    <i>
      <x v="845"/>
    </i>
    <i r="1">
      <x v="434"/>
    </i>
    <i r="2">
      <x v="180"/>
    </i>
    <i t="blank" r="1">
      <x v="434"/>
    </i>
    <i>
      <x v="846"/>
    </i>
    <i r="1">
      <x v="463"/>
    </i>
    <i r="2">
      <x v="261"/>
    </i>
    <i t="blank" r="1">
      <x v="463"/>
    </i>
    <i>
      <x v="847"/>
    </i>
    <i r="1">
      <x v="320"/>
    </i>
    <i r="2">
      <x v="28"/>
    </i>
    <i t="blank" r="1">
      <x v="320"/>
    </i>
    <i>
      <x v="848"/>
    </i>
    <i r="1">
      <x v="352"/>
    </i>
    <i r="2">
      <x v="213"/>
    </i>
    <i t="blank" r="1">
      <x v="352"/>
    </i>
    <i>
      <x v="849"/>
    </i>
    <i r="1">
      <x v="454"/>
    </i>
    <i r="2">
      <x v="210"/>
    </i>
    <i t="blank" r="1">
      <x v="454"/>
    </i>
    <i r="1">
      <x v="462"/>
    </i>
    <i r="2">
      <x v="286"/>
    </i>
    <i t="blank" r="1">
      <x v="462"/>
    </i>
    <i>
      <x v="850"/>
    </i>
    <i r="1">
      <x v="476"/>
    </i>
    <i r="2">
      <x v="200"/>
    </i>
    <i t="blank" r="1">
      <x v="476"/>
    </i>
    <i>
      <x v="851"/>
    </i>
    <i r="1">
      <x v="136"/>
    </i>
    <i r="2">
      <x v="7"/>
    </i>
    <i t="blank" r="1">
      <x v="136"/>
    </i>
    <i>
      <x v="852"/>
    </i>
    <i r="1">
      <x v="484"/>
    </i>
    <i r="2">
      <x v="261"/>
    </i>
    <i t="blank" r="1">
      <x v="484"/>
    </i>
    <i>
      <x v="853"/>
    </i>
    <i r="1">
      <x v="149"/>
    </i>
    <i r="2">
      <x v="105"/>
    </i>
    <i t="blank" r="1">
      <x v="149"/>
    </i>
    <i>
      <x v="854"/>
    </i>
    <i r="1">
      <x v="327"/>
    </i>
    <i r="2">
      <x v="179"/>
    </i>
    <i t="blank" r="1">
      <x v="327"/>
    </i>
    <i>
      <x v="855"/>
    </i>
    <i r="1">
      <x v="426"/>
    </i>
    <i r="2">
      <x v="18"/>
    </i>
    <i t="blank" r="1">
      <x v="426"/>
    </i>
    <i>
      <x v="856"/>
    </i>
    <i r="1">
      <x v="426"/>
    </i>
    <i r="2">
      <x v="83"/>
    </i>
    <i t="blank" r="1">
      <x v="426"/>
    </i>
    <i>
      <x v="857"/>
    </i>
    <i r="1">
      <x v="506"/>
    </i>
    <i r="2">
      <x v="261"/>
    </i>
    <i t="blank" r="1">
      <x v="506"/>
    </i>
    <i>
      <x v="858"/>
    </i>
    <i r="1">
      <x v="125"/>
    </i>
    <i r="2">
      <x v="111"/>
    </i>
    <i t="blank" r="1">
      <x v="125"/>
    </i>
    <i>
      <x v="859"/>
    </i>
    <i r="1">
      <x v="467"/>
    </i>
    <i r="2">
      <x v="301"/>
    </i>
    <i t="blank" r="1">
      <x v="467"/>
    </i>
    <i r="1">
      <x v="471"/>
    </i>
    <i r="2">
      <x v="296"/>
    </i>
    <i t="blank" r="1">
      <x v="471"/>
    </i>
    <i>
      <x v="860"/>
    </i>
    <i r="1">
      <x v="117"/>
    </i>
    <i r="2">
      <x v="91"/>
    </i>
    <i t="blank" r="1">
      <x v="117"/>
    </i>
    <i>
      <x v="861"/>
    </i>
    <i r="1">
      <x v="361"/>
    </i>
    <i r="2">
      <x v="245"/>
    </i>
    <i t="blank" r="1">
      <x v="361"/>
    </i>
    <i>
      <x v="862"/>
    </i>
    <i r="1">
      <x v="82"/>
    </i>
    <i r="2">
      <x v="51"/>
    </i>
    <i t="blank" r="1">
      <x v="82"/>
    </i>
    <i>
      <x v="863"/>
    </i>
    <i r="1">
      <x v="67"/>
    </i>
    <i r="2">
      <x v="6"/>
    </i>
    <i r="2">
      <x v="21"/>
    </i>
    <i t="blank" r="1">
      <x v="67"/>
    </i>
    <i>
      <x v="864"/>
    </i>
    <i r="1">
      <x v="501"/>
    </i>
    <i r="2">
      <x v="310"/>
    </i>
    <i t="blank" r="1">
      <x v="501"/>
    </i>
    <i>
      <x v="865"/>
    </i>
    <i r="1">
      <x v="416"/>
    </i>
    <i r="2">
      <x v="83"/>
    </i>
    <i t="blank" r="1">
      <x v="416"/>
    </i>
    <i>
      <x v="866"/>
    </i>
    <i r="1">
      <x v="325"/>
    </i>
    <i r="2">
      <x v="212"/>
    </i>
    <i t="blank" r="1">
      <x v="325"/>
    </i>
    <i>
      <x v="867"/>
    </i>
    <i r="1">
      <x v="369"/>
    </i>
    <i r="2">
      <x v="83"/>
    </i>
    <i t="blank" r="1">
      <x v="369"/>
    </i>
    <i>
      <x v="868"/>
    </i>
    <i r="1">
      <x v="62"/>
    </i>
    <i r="2">
      <x v="22"/>
    </i>
    <i t="blank" r="1">
      <x v="62"/>
    </i>
    <i r="1">
      <x v="170"/>
    </i>
    <i r="2">
      <x v="96"/>
    </i>
    <i t="blank" r="1">
      <x v="170"/>
    </i>
    <i r="1">
      <x v="200"/>
    </i>
    <i r="2">
      <x v="22"/>
    </i>
    <i t="blank" r="1">
      <x v="200"/>
    </i>
    <i>
      <x v="869"/>
    </i>
    <i r="1">
      <x v="490"/>
    </i>
    <i r="2">
      <x v="261"/>
    </i>
    <i t="blank" r="1">
      <x v="490"/>
    </i>
    <i>
      <x v="870"/>
    </i>
    <i r="1">
      <x v="447"/>
    </i>
    <i r="2">
      <x v="261"/>
    </i>
    <i t="blank" r="1">
      <x v="447"/>
    </i>
    <i>
      <x v="871"/>
    </i>
    <i r="1">
      <x v="90"/>
    </i>
    <i r="2">
      <x v="61"/>
    </i>
    <i t="blank" r="1">
      <x v="90"/>
    </i>
    <i>
      <x v="872"/>
    </i>
    <i r="1">
      <x v="436"/>
    </i>
    <i r="2">
      <x v="83"/>
    </i>
    <i t="blank" r="1">
      <x v="436"/>
    </i>
    <i>
      <x v="873"/>
    </i>
    <i r="1">
      <x v="427"/>
    </i>
    <i r="2">
      <x v="140"/>
    </i>
    <i t="blank" r="1">
      <x v="427"/>
    </i>
    <i>
      <x v="874"/>
    </i>
    <i r="1">
      <x v="188"/>
    </i>
    <i r="2">
      <x v="111"/>
    </i>
    <i t="blank" r="1">
      <x v="188"/>
    </i>
    <i>
      <x v="875"/>
    </i>
    <i r="1">
      <x v="473"/>
    </i>
    <i r="2">
      <x v="261"/>
    </i>
    <i t="blank" r="1">
      <x v="473"/>
    </i>
    <i>
      <x v="876"/>
    </i>
    <i r="1">
      <x v="465"/>
    </i>
    <i r="2">
      <x v="261"/>
    </i>
    <i t="blank" r="1">
      <x v="465"/>
    </i>
    <i>
      <x v="877"/>
    </i>
    <i r="1">
      <x v="363"/>
    </i>
    <i r="2">
      <x v="55"/>
    </i>
    <i t="blank" r="1">
      <x v="363"/>
    </i>
    <i>
      <x v="878"/>
    </i>
    <i r="1">
      <x v="462"/>
    </i>
    <i r="2">
      <x v="261"/>
    </i>
    <i t="blank" r="1">
      <x v="462"/>
    </i>
    <i>
      <x v="879"/>
    </i>
    <i r="1">
      <x v="467"/>
    </i>
    <i r="2">
      <x v="261"/>
    </i>
    <i t="blank" r="1">
      <x v="467"/>
    </i>
    <i>
      <x v="880"/>
    </i>
    <i r="1">
      <x v="452"/>
    </i>
    <i r="2">
      <x v="261"/>
    </i>
    <i t="blank" r="1">
      <x v="452"/>
    </i>
    <i>
      <x v="881"/>
    </i>
    <i r="1">
      <x v="409"/>
    </i>
    <i r="2">
      <x v="83"/>
    </i>
    <i t="blank" r="1">
      <x v="409"/>
    </i>
    <i>
      <x v="882"/>
    </i>
    <i r="1">
      <x v="421"/>
    </i>
    <i r="2">
      <x v="83"/>
    </i>
    <i t="blank" r="1">
      <x v="421"/>
    </i>
    <i>
      <x v="883"/>
    </i>
    <i r="1">
      <x v="315"/>
    </i>
    <i r="2">
      <x v="38"/>
    </i>
    <i t="blank" r="1">
      <x v="315"/>
    </i>
    <i>
      <x v="884"/>
    </i>
    <i r="1">
      <x v="148"/>
    </i>
    <i r="2">
      <x v="24"/>
    </i>
    <i t="blank" r="1">
      <x v="148"/>
    </i>
    <i>
      <x v="885"/>
    </i>
    <i r="1">
      <x v="426"/>
    </i>
    <i r="2">
      <x v="83"/>
    </i>
    <i t="blank" r="1">
      <x v="426"/>
    </i>
    <i>
      <x v="886"/>
    </i>
    <i r="1">
      <x v="270"/>
    </i>
    <i r="2">
      <x v="7"/>
    </i>
    <i t="blank" r="1">
      <x v="270"/>
    </i>
    <i>
      <x v="887"/>
    </i>
    <i r="1">
      <x v="310"/>
    </i>
    <i r="2">
      <x v="28"/>
    </i>
    <i t="blank" r="1">
      <x v="310"/>
    </i>
    <i>
      <x v="888"/>
    </i>
    <i r="1">
      <x v="500"/>
    </i>
    <i r="2">
      <x v="261"/>
    </i>
    <i t="blank" r="1">
      <x v="500"/>
    </i>
    <i>
      <x v="889"/>
    </i>
    <i r="1">
      <x v="70"/>
    </i>
    <i r="2">
      <x v="32"/>
    </i>
    <i t="blank" r="1">
      <x v="70"/>
    </i>
    <i>
      <x v="890"/>
    </i>
    <i r="1">
      <x v="228"/>
    </i>
    <i r="2">
      <x v="78"/>
    </i>
    <i t="blank" r="1">
      <x v="228"/>
    </i>
    <i r="1">
      <x v="238"/>
    </i>
    <i r="2">
      <x v="53"/>
    </i>
    <i t="blank" r="1">
      <x v="238"/>
    </i>
    <i r="1">
      <x v="242"/>
    </i>
    <i r="2">
      <x v="175"/>
    </i>
    <i t="blank" r="1">
      <x v="242"/>
    </i>
    <i r="1">
      <x v="247"/>
    </i>
    <i r="2">
      <x v="52"/>
    </i>
    <i t="blank" r="1">
      <x v="247"/>
    </i>
    <i>
      <x v="891"/>
    </i>
    <i r="1">
      <x v="227"/>
    </i>
    <i r="2">
      <x v="34"/>
    </i>
    <i t="blank" r="1">
      <x v="227"/>
    </i>
    <i r="1">
      <x v="360"/>
    </i>
    <i r="2">
      <x v="246"/>
    </i>
    <i t="blank" r="1">
      <x v="360"/>
    </i>
    <i r="1">
      <x v="472"/>
    </i>
    <i r="2">
      <x v="51"/>
    </i>
    <i t="blank" r="1">
      <x v="472"/>
    </i>
    <i>
      <x v="892"/>
    </i>
    <i r="1">
      <x v="446"/>
    </i>
    <i r="2">
      <x v="286"/>
    </i>
    <i t="blank" r="1">
      <x v="446"/>
    </i>
    <i>
      <x v="893"/>
    </i>
    <i r="1">
      <x v="415"/>
    </i>
    <i r="2">
      <x v="83"/>
    </i>
    <i t="blank" r="1">
      <x v="415"/>
    </i>
    <i>
      <x v="894"/>
    </i>
    <i r="1">
      <x v="25"/>
    </i>
    <i r="2">
      <x v="13"/>
    </i>
    <i t="blank" r="1">
      <x v="25"/>
    </i>
    <i>
      <x v="895"/>
    </i>
    <i r="1">
      <x v="71"/>
    </i>
    <i r="2">
      <x v="35"/>
    </i>
    <i t="blank" r="1">
      <x v="71"/>
    </i>
    <i>
      <x v="896"/>
    </i>
    <i r="1">
      <x v="12"/>
    </i>
    <i r="2">
      <x v="22"/>
    </i>
    <i t="blank" r="1">
      <x v="12"/>
    </i>
    <i r="1">
      <x v="30"/>
    </i>
    <i r="2">
      <x v="22"/>
    </i>
    <i t="blank" r="1">
      <x v="30"/>
    </i>
    <i>
      <x v="897"/>
    </i>
    <i r="1">
      <x v="461"/>
    </i>
    <i r="2">
      <x v="286"/>
    </i>
    <i t="blank" r="1">
      <x v="461"/>
    </i>
    <i>
      <x v="898"/>
    </i>
    <i r="1">
      <x v="320"/>
    </i>
    <i r="2">
      <x v="54"/>
    </i>
    <i t="blank" r="1">
      <x v="320"/>
    </i>
    <i>
      <x v="899"/>
    </i>
    <i r="1">
      <x v="371"/>
    </i>
    <i r="2">
      <x v="255"/>
    </i>
    <i t="blank" r="1">
      <x v="371"/>
    </i>
    <i>
      <x v="900"/>
    </i>
    <i r="1">
      <x v="141"/>
    </i>
    <i r="2">
      <x v="83"/>
    </i>
    <i t="blank" r="1">
      <x v="141"/>
    </i>
    <i>
      <x v="901"/>
    </i>
    <i r="1">
      <x v="346"/>
    </i>
    <i r="2">
      <x v="53"/>
    </i>
    <i t="blank" r="1">
      <x v="346"/>
    </i>
    <i>
      <x v="902"/>
    </i>
    <i r="1">
      <x v="338"/>
    </i>
    <i r="2">
      <x v="227"/>
    </i>
    <i t="blank" r="1">
      <x v="338"/>
    </i>
    <i>
      <x v="903"/>
    </i>
    <i r="1">
      <x v="428"/>
    </i>
    <i r="2">
      <x v="2"/>
    </i>
    <i t="blank" r="1">
      <x v="428"/>
    </i>
    <i>
      <x v="904"/>
    </i>
    <i r="1">
      <x v="436"/>
    </i>
    <i r="2">
      <x v="83"/>
    </i>
    <i t="blank" r="1">
      <x v="436"/>
    </i>
    <i>
      <x v="905"/>
    </i>
    <i r="1">
      <x v="467"/>
    </i>
    <i r="2">
      <x v="261"/>
    </i>
    <i t="blank" r="1">
      <x v="467"/>
    </i>
    <i>
      <x v="906"/>
    </i>
    <i r="1">
      <x v="147"/>
    </i>
    <i r="2">
      <x v="6"/>
    </i>
    <i t="blank" r="1">
      <x v="147"/>
    </i>
    <i>
      <x v="907"/>
    </i>
    <i r="1">
      <x v="475"/>
    </i>
    <i r="2">
      <x v="261"/>
    </i>
    <i t="blank" r="1">
      <x v="475"/>
    </i>
    <i>
      <x v="908"/>
    </i>
    <i r="1">
      <x v="96"/>
    </i>
    <i r="2">
      <x v="70"/>
    </i>
    <i t="blank" r="1">
      <x v="96"/>
    </i>
    <i>
      <x v="909"/>
    </i>
    <i r="1">
      <x v="332"/>
    </i>
    <i r="2">
      <x v="3"/>
    </i>
    <i t="blank" r="1">
      <x v="332"/>
    </i>
    <i>
      <x v="910"/>
    </i>
    <i r="1">
      <x v="98"/>
    </i>
    <i r="2">
      <x v="22"/>
    </i>
    <i t="blank" r="1">
      <x v="98"/>
    </i>
    <i r="1">
      <x v="502"/>
    </i>
    <i r="2">
      <x v="165"/>
    </i>
    <i t="blank" r="1">
      <x v="502"/>
    </i>
    <i>
      <x v="911"/>
    </i>
    <i r="1">
      <x v="482"/>
    </i>
    <i r="2">
      <x v="289"/>
    </i>
    <i t="blank" r="1">
      <x v="482"/>
    </i>
    <i>
      <x v="912"/>
    </i>
    <i r="1">
      <x v="453"/>
    </i>
    <i r="2">
      <x v="261"/>
    </i>
    <i t="blank" r="1">
      <x v="453"/>
    </i>
    <i r="1">
      <x v="462"/>
    </i>
    <i r="2">
      <x v="286"/>
    </i>
    <i t="blank" r="1">
      <x v="462"/>
    </i>
    <i>
      <x v="913"/>
    </i>
    <i r="1">
      <x v="489"/>
    </i>
    <i r="2">
      <x v="89"/>
    </i>
    <i t="blank" r="1">
      <x v="489"/>
    </i>
    <i>
      <x v="914"/>
    </i>
    <i r="1">
      <x v="424"/>
    </i>
    <i r="2">
      <x v="83"/>
    </i>
    <i t="blank" r="1">
      <x v="424"/>
    </i>
    <i r="1">
      <x v="483"/>
    </i>
    <i r="2">
      <x v="261"/>
    </i>
    <i t="blank" r="1">
      <x v="483"/>
    </i>
    <i>
      <x v="915"/>
    </i>
    <i r="1">
      <x v="297"/>
    </i>
    <i r="2">
      <x v="85"/>
    </i>
    <i t="blank" r="1">
      <x v="297"/>
    </i>
    <i r="1">
      <x v="377"/>
    </i>
    <i r="2">
      <x v="98"/>
    </i>
    <i t="blank" r="1">
      <x v="377"/>
    </i>
    <i>
      <x v="916"/>
    </i>
    <i r="1">
      <x v="106"/>
    </i>
    <i r="2">
      <x v="74"/>
    </i>
    <i t="blank" r="1">
      <x v="106"/>
    </i>
    <i r="1">
      <x v="116"/>
    </i>
    <i r="2">
      <x v="7"/>
    </i>
    <i t="blank" r="1">
      <x v="116"/>
    </i>
    <i>
      <x v="917"/>
    </i>
    <i r="1">
      <x v="473"/>
    </i>
    <i r="2">
      <x v="261"/>
    </i>
    <i t="blank" r="1">
      <x v="473"/>
    </i>
    <i>
      <x v="918"/>
    </i>
    <i r="1">
      <x v="277"/>
    </i>
    <i r="2">
      <x v="198"/>
    </i>
    <i t="blank" r="1">
      <x v="277"/>
    </i>
    <i>
      <x v="919"/>
    </i>
    <i r="1">
      <x v="390"/>
    </i>
    <i r="2">
      <x v="83"/>
    </i>
    <i t="blank" r="1">
      <x v="390"/>
    </i>
    <i>
      <x v="920"/>
    </i>
    <i r="1">
      <x v="185"/>
    </i>
    <i r="2">
      <x v="83"/>
    </i>
    <i t="blank" r="1">
      <x v="185"/>
    </i>
    <i>
      <x v="921"/>
    </i>
    <i r="1">
      <x v="71"/>
    </i>
    <i r="2">
      <x v="36"/>
    </i>
    <i t="blank" r="1">
      <x v="71"/>
    </i>
    <i r="1">
      <x v="83"/>
    </i>
    <i r="2">
      <x v="7"/>
    </i>
    <i t="blank" r="1">
      <x v="83"/>
    </i>
    <i r="1">
      <x v="223"/>
    </i>
    <i r="2">
      <x v="53"/>
    </i>
    <i t="blank" r="1">
      <x v="223"/>
    </i>
    <i r="1">
      <x v="252"/>
    </i>
    <i r="2">
      <x v="7"/>
    </i>
    <i t="blank" r="1">
      <x v="252"/>
    </i>
    <i>
      <x v="922"/>
    </i>
    <i r="1">
      <x v="391"/>
    </i>
    <i r="2">
      <x v="236"/>
    </i>
    <i t="blank" r="1">
      <x v="391"/>
    </i>
    <i>
      <x v="923"/>
    </i>
    <i r="1">
      <x v="246"/>
    </i>
    <i r="2">
      <x v="96"/>
    </i>
    <i t="blank" r="1">
      <x v="246"/>
    </i>
    <i>
      <x v="924"/>
    </i>
    <i r="1">
      <x v="502"/>
    </i>
    <i r="2">
      <x v="253"/>
    </i>
    <i t="blank" r="1">
      <x v="502"/>
    </i>
    <i>
      <x v="925"/>
    </i>
    <i r="1">
      <x v="303"/>
    </i>
    <i r="2">
      <x v="17"/>
    </i>
    <i t="blank" r="1">
      <x v="303"/>
    </i>
    <i>
      <x v="926"/>
    </i>
    <i r="1">
      <x v="347"/>
    </i>
    <i r="2">
      <x v="46"/>
    </i>
    <i t="blank" r="1">
      <x v="347"/>
    </i>
    <i>
      <x v="927"/>
    </i>
    <i r="1">
      <x v="328"/>
    </i>
    <i r="2">
      <x v="96"/>
    </i>
    <i t="blank" r="1">
      <x v="328"/>
    </i>
    <i>
      <x v="928"/>
    </i>
    <i r="1">
      <x v="415"/>
    </i>
    <i r="2">
      <x v="250"/>
    </i>
    <i t="blank" r="1">
      <x v="415"/>
    </i>
    <i>
      <x v="929"/>
    </i>
    <i r="1">
      <x v="437"/>
    </i>
    <i r="2">
      <x v="245"/>
    </i>
    <i t="blank" r="1">
      <x v="437"/>
    </i>
    <i>
      <x v="930"/>
    </i>
    <i r="1">
      <x v="364"/>
    </i>
    <i r="2">
      <x v="27"/>
    </i>
    <i t="blank" r="1">
      <x v="364"/>
    </i>
    <i r="1">
      <x v="440"/>
    </i>
    <i r="2">
      <x v="27"/>
    </i>
    <i t="blank" r="1">
      <x v="440"/>
    </i>
    <i r="1">
      <x v="485"/>
    </i>
    <i r="2">
      <x v="51"/>
    </i>
    <i t="blank" r="1">
      <x v="485"/>
    </i>
    <i r="1">
      <x v="490"/>
    </i>
    <i r="2">
      <x v="51"/>
    </i>
    <i t="blank" r="1">
      <x v="490"/>
    </i>
    <i>
      <x v="931"/>
    </i>
    <i r="1">
      <x v="125"/>
    </i>
    <i r="2">
      <x v="93"/>
    </i>
    <i t="blank" r="1">
      <x v="125"/>
    </i>
    <i>
      <x v="932"/>
    </i>
    <i r="1">
      <x v="1"/>
    </i>
    <i r="2">
      <x v="22"/>
    </i>
    <i t="blank" r="1">
      <x v="1"/>
    </i>
    <i r="1">
      <x v="4"/>
    </i>
    <i r="2">
      <x v="22"/>
    </i>
    <i t="blank" r="1">
      <x v="4"/>
    </i>
    <i r="1">
      <x v="7"/>
    </i>
    <i r="2">
      <x v="22"/>
    </i>
    <i t="blank" r="1">
      <x v="7"/>
    </i>
    <i r="1">
      <x v="50"/>
    </i>
    <i r="2">
      <x v="14"/>
    </i>
    <i t="blank" r="1">
      <x v="50"/>
    </i>
    <i r="1">
      <x v="220"/>
    </i>
    <i r="2">
      <x v="159"/>
    </i>
    <i t="blank" r="1">
      <x v="220"/>
    </i>
    <i>
      <x v="933"/>
    </i>
    <i r="1">
      <x v="41"/>
    </i>
    <i r="2">
      <x v="158"/>
    </i>
    <i t="blank" r="1">
      <x v="41"/>
    </i>
    <i r="1">
      <x v="51"/>
    </i>
    <i r="2">
      <x v="22"/>
    </i>
    <i t="blank" r="1">
      <x v="51"/>
    </i>
    <i r="1">
      <x v="100"/>
    </i>
    <i r="2">
      <x v="22"/>
    </i>
    <i t="blank" r="1">
      <x v="100"/>
    </i>
    <i r="1">
      <x v="114"/>
    </i>
    <i r="2">
      <x v="22"/>
    </i>
    <i t="blank" r="1">
      <x v="114"/>
    </i>
    <i r="1">
      <x v="222"/>
    </i>
    <i r="2">
      <x v="22"/>
    </i>
    <i t="blank" r="1">
      <x v="222"/>
    </i>
    <i r="1">
      <x v="321"/>
    </i>
    <i r="2">
      <x v="221"/>
    </i>
    <i t="blank" r="1">
      <x v="321"/>
    </i>
    <i>
      <x v="934"/>
    </i>
    <i r="1">
      <x v="382"/>
    </i>
    <i r="2">
      <x v="65"/>
    </i>
    <i t="blank" r="1">
      <x v="382"/>
    </i>
    <i>
      <x v="935"/>
    </i>
    <i r="1">
      <x v="495"/>
    </i>
    <i r="2">
      <x v="74"/>
    </i>
    <i t="blank" r="1">
      <x v="495"/>
    </i>
    <i>
      <x v="936"/>
    </i>
    <i r="1">
      <x v="407"/>
    </i>
    <i r="2">
      <x v="270"/>
    </i>
    <i t="blank" r="1">
      <x v="407"/>
    </i>
    <i>
      <x v="937"/>
    </i>
    <i r="1">
      <x v="392"/>
    </i>
    <i r="2">
      <x v="83"/>
    </i>
    <i t="blank" r="1">
      <x v="392"/>
    </i>
    <i>
      <x v="938"/>
    </i>
    <i r="1">
      <x v="442"/>
    </i>
    <i r="2">
      <x v="27"/>
    </i>
    <i t="blank" r="1">
      <x v="442"/>
    </i>
    <i>
      <x v="939"/>
    </i>
    <i r="1">
      <x v="464"/>
    </i>
    <i r="2">
      <x v="261"/>
    </i>
    <i t="blank" r="1">
      <x v="464"/>
    </i>
    <i r="1">
      <x v="467"/>
    </i>
    <i r="2">
      <x v="261"/>
    </i>
    <i t="blank" r="1">
      <x v="467"/>
    </i>
    <i>
      <x v="940"/>
    </i>
    <i r="1">
      <x v="425"/>
    </i>
    <i r="2">
      <x v="83"/>
    </i>
    <i t="blank" r="1">
      <x v="425"/>
    </i>
    <i r="1">
      <x v="453"/>
    </i>
    <i r="2">
      <x v="261"/>
    </i>
    <i t="blank" r="1">
      <x v="453"/>
    </i>
    <i>
      <x v="941"/>
    </i>
    <i r="1">
      <x v="457"/>
    </i>
    <i r="2">
      <x v="83"/>
    </i>
    <i t="blank" r="1">
      <x v="457"/>
    </i>
    <i>
      <x v="942"/>
    </i>
    <i r="1">
      <x v="105"/>
    </i>
    <i r="2">
      <x v="74"/>
    </i>
    <i r="2">
      <x v="78"/>
    </i>
    <i t="blank" r="1">
      <x v="105"/>
    </i>
    <i r="1">
      <x v="123"/>
    </i>
    <i r="2">
      <x v="31"/>
    </i>
    <i t="blank" r="1">
      <x v="123"/>
    </i>
    <i>
      <x v="943"/>
    </i>
    <i r="1">
      <x v="480"/>
    </i>
    <i r="2">
      <x v="261"/>
    </i>
    <i t="blank" r="1">
      <x v="480"/>
    </i>
    <i>
      <x v="944"/>
    </i>
    <i r="1">
      <x v="499"/>
    </i>
    <i r="2">
      <x v="261"/>
    </i>
    <i t="blank" r="1">
      <x v="499"/>
    </i>
    <i>
      <x v="945"/>
    </i>
    <i r="1">
      <x v="252"/>
    </i>
    <i r="2">
      <x v="28"/>
    </i>
    <i t="blank" r="1">
      <x v="252"/>
    </i>
    <i>
      <x v="946"/>
    </i>
    <i r="1">
      <x v="175"/>
    </i>
    <i r="2">
      <x v="83"/>
    </i>
    <i t="blank" r="1">
      <x v="175"/>
    </i>
    <i>
      <x v="947"/>
    </i>
    <i r="1">
      <x v="406"/>
    </i>
    <i r="2">
      <x v="83"/>
    </i>
    <i t="blank" r="1">
      <x v="406"/>
    </i>
    <i>
      <x v="948"/>
    </i>
    <i r="1">
      <x v="336"/>
    </i>
    <i r="2">
      <x v="41"/>
    </i>
    <i t="blank" r="1">
      <x v="336"/>
    </i>
    <i r="1">
      <x v="476"/>
    </i>
    <i r="2">
      <x v="287"/>
    </i>
    <i t="blank" r="1">
      <x v="476"/>
    </i>
    <i>
      <x v="949"/>
    </i>
    <i r="1">
      <x v="132"/>
    </i>
    <i r="2">
      <x v="96"/>
    </i>
    <i t="blank" r="1">
      <x v="132"/>
    </i>
    <i>
      <x v="950"/>
    </i>
    <i r="1">
      <x v="479"/>
    </i>
    <i r="2">
      <x v="55"/>
    </i>
    <i t="blank" r="1">
      <x v="479"/>
    </i>
    <i>
      <x v="951"/>
    </i>
    <i r="1">
      <x v="412"/>
    </i>
    <i r="2">
      <x v="83"/>
    </i>
    <i t="blank" r="1">
      <x v="412"/>
    </i>
    <i r="1">
      <x v="434"/>
    </i>
    <i r="2">
      <x v="83"/>
    </i>
    <i t="blank" r="1">
      <x v="434"/>
    </i>
    <i>
      <x v="952"/>
    </i>
    <i r="1">
      <x v="435"/>
    </i>
    <i r="2">
      <x v="83"/>
    </i>
    <i t="blank" r="1">
      <x v="435"/>
    </i>
    <i>
      <x v="953"/>
    </i>
    <i r="1">
      <x v="127"/>
    </i>
    <i r="2">
      <x v="38"/>
    </i>
    <i t="blank" r="1">
      <x v="127"/>
    </i>
    <i r="1">
      <x v="132"/>
    </i>
    <i r="2">
      <x v="22"/>
    </i>
    <i t="blank" r="1">
      <x v="132"/>
    </i>
    <i r="1">
      <x v="291"/>
    </i>
    <i r="2">
      <x v="115"/>
    </i>
    <i t="blank" r="1">
      <x v="291"/>
    </i>
    <i>
      <x v="954"/>
    </i>
    <i r="1">
      <x v="127"/>
    </i>
    <i r="2">
      <x v="14"/>
    </i>
    <i t="blank" r="1">
      <x v="127"/>
    </i>
    <i r="1">
      <x v="154"/>
    </i>
    <i r="2">
      <x v="19"/>
    </i>
    <i t="blank" r="1">
      <x v="154"/>
    </i>
    <i r="1">
      <x v="319"/>
    </i>
    <i r="2">
      <x v="19"/>
    </i>
    <i t="blank" r="1">
      <x v="319"/>
    </i>
    <i>
      <x v="955"/>
    </i>
    <i r="1">
      <x v="485"/>
    </i>
    <i r="2">
      <x v="261"/>
    </i>
    <i t="blank" r="1">
      <x v="485"/>
    </i>
    <i>
      <x v="956"/>
    </i>
    <i r="1">
      <x v="350"/>
    </i>
    <i r="2">
      <x v="18"/>
    </i>
    <i t="blank" r="1">
      <x v="350"/>
    </i>
    <i>
      <x v="957"/>
    </i>
    <i r="1">
      <x v="346"/>
    </i>
    <i r="2">
      <x v="235"/>
    </i>
    <i t="blank" r="1">
      <x v="346"/>
    </i>
    <i>
      <x v="958"/>
    </i>
    <i r="1">
      <x v="397"/>
    </i>
    <i r="2">
      <x v="83"/>
    </i>
    <i t="blank" r="1">
      <x v="397"/>
    </i>
    <i>
      <x v="959"/>
    </i>
    <i r="1">
      <x v="142"/>
    </i>
    <i r="2">
      <x v="122"/>
    </i>
    <i t="blank" r="1">
      <x v="142"/>
    </i>
    <i>
      <x v="960"/>
    </i>
    <i r="1">
      <x v="450"/>
    </i>
    <i r="2">
      <x v="261"/>
    </i>
    <i t="blank" r="1">
      <x v="450"/>
    </i>
    <i>
      <x v="961"/>
    </i>
    <i r="1">
      <x v="114"/>
    </i>
    <i r="2">
      <x v="91"/>
    </i>
    <i t="blank" r="1">
      <x v="114"/>
    </i>
    <i r="1">
      <x v="232"/>
    </i>
    <i r="2">
      <x v="15"/>
    </i>
    <i t="blank" r="1">
      <x v="232"/>
    </i>
    <i>
      <x v="962"/>
    </i>
    <i r="1">
      <x v="320"/>
    </i>
    <i r="2">
      <x v="160"/>
    </i>
    <i t="blank" r="1">
      <x v="320"/>
    </i>
    <i>
      <x v="963"/>
    </i>
    <i r="1">
      <x v="397"/>
    </i>
    <i r="2">
      <x v="83"/>
    </i>
    <i t="blank" r="1">
      <x v="397"/>
    </i>
    <i r="1">
      <x v="411"/>
    </i>
    <i r="2">
      <x v="83"/>
    </i>
    <i t="blank" r="1">
      <x v="411"/>
    </i>
    <i>
      <x v="964"/>
    </i>
    <i r="1">
      <x v="282"/>
    </i>
    <i r="2">
      <x v="162"/>
    </i>
    <i t="blank" r="1">
      <x v="282"/>
    </i>
    <i r="1">
      <x v="287"/>
    </i>
    <i r="2">
      <x v="50"/>
    </i>
    <i t="blank" r="1">
      <x v="287"/>
    </i>
    <i r="1">
      <x v="299"/>
    </i>
    <i r="2">
      <x v="7"/>
    </i>
    <i t="blank" r="1">
      <x v="299"/>
    </i>
    <i>
      <x v="965"/>
    </i>
    <i r="1">
      <x v="466"/>
    </i>
    <i r="2">
      <x v="261"/>
    </i>
    <i t="blank" r="1">
      <x v="466"/>
    </i>
    <i>
      <x v="966"/>
    </i>
    <i r="1">
      <x v="454"/>
    </i>
    <i r="2">
      <x v="148"/>
    </i>
    <i t="blank" r="1">
      <x v="454"/>
    </i>
    <i>
      <x v="967"/>
    </i>
    <i r="1">
      <x v="426"/>
    </i>
    <i r="2">
      <x v="83"/>
    </i>
    <i t="blank" r="1">
      <x v="426"/>
    </i>
    <i>
      <x v="968"/>
    </i>
    <i r="1">
      <x v="359"/>
    </i>
    <i r="2">
      <x v="140"/>
    </i>
    <i t="blank" r="1">
      <x v="359"/>
    </i>
    <i>
      <x v="969"/>
    </i>
    <i r="1">
      <x v="219"/>
    </i>
    <i r="2">
      <x v="83"/>
    </i>
    <i t="blank" r="1">
      <x v="219"/>
    </i>
    <i>
      <x v="970"/>
    </i>
    <i r="1">
      <x v="257"/>
    </i>
    <i r="2">
      <x v="59"/>
    </i>
    <i t="blank" r="1">
      <x v="257"/>
    </i>
    <i>
      <x v="971"/>
    </i>
    <i r="1">
      <x v="395"/>
    </i>
    <i r="2">
      <x v="52"/>
    </i>
    <i t="blank" r="1">
      <x v="395"/>
    </i>
    <i r="1">
      <x v="411"/>
    </i>
    <i r="2">
      <x v="50"/>
    </i>
    <i t="blank" r="1">
      <x v="411"/>
    </i>
    <i>
      <x v="972"/>
    </i>
    <i r="1">
      <x v="97"/>
    </i>
    <i r="2">
      <x v="73"/>
    </i>
    <i t="blank" r="1">
      <x v="97"/>
    </i>
    <i>
      <x v="973"/>
    </i>
    <i r="1">
      <x v="419"/>
    </i>
    <i r="2">
      <x v="250"/>
    </i>
    <i t="blank" r="1">
      <x v="419"/>
    </i>
    <i>
      <x v="974"/>
    </i>
    <i r="1">
      <x v="409"/>
    </i>
    <i r="2">
      <x v="83"/>
    </i>
    <i t="blank" r="1">
      <x v="409"/>
    </i>
    <i>
      <x v="975"/>
    </i>
    <i r="1">
      <x v="252"/>
    </i>
    <i r="2">
      <x v="162"/>
    </i>
    <i t="blank" r="1">
      <x v="252"/>
    </i>
    <i r="1">
      <x v="268"/>
    </i>
    <i r="2">
      <x v="192"/>
    </i>
    <i t="blank" r="1">
      <x v="268"/>
    </i>
    <i r="1">
      <x v="275"/>
    </i>
    <i r="2">
      <x v="53"/>
    </i>
    <i t="blank" r="1">
      <x v="275"/>
    </i>
    <i>
      <x v="976"/>
    </i>
    <i r="1">
      <x v="175"/>
    </i>
    <i r="2">
      <x v="25"/>
    </i>
    <i t="blank" r="1">
      <x v="175"/>
    </i>
    <i r="1">
      <x v="322"/>
    </i>
    <i r="2">
      <x v="22"/>
    </i>
    <i t="blank" r="1">
      <x v="322"/>
    </i>
    <i>
      <x v="977"/>
    </i>
    <i r="1">
      <x v="428"/>
    </i>
    <i r="2">
      <x v="83"/>
    </i>
    <i t="blank" r="1">
      <x v="428"/>
    </i>
    <i>
      <x v="978"/>
    </i>
    <i r="1">
      <x v="408"/>
    </i>
    <i r="2">
      <x v="83"/>
    </i>
    <i t="blank" r="1">
      <x v="408"/>
    </i>
    <i r="1">
      <x v="409"/>
    </i>
    <i r="2">
      <x v="83"/>
    </i>
    <i t="blank" r="1">
      <x v="409"/>
    </i>
    <i r="1">
      <x v="501"/>
    </i>
    <i r="2">
      <x v="261"/>
    </i>
    <i t="blank" r="1">
      <x v="501"/>
    </i>
    <i>
      <x v="979"/>
    </i>
    <i r="1">
      <x v="80"/>
    </i>
    <i r="2">
      <x v="47"/>
    </i>
    <i t="blank" r="1">
      <x v="80"/>
    </i>
    <i>
      <x v="980"/>
    </i>
    <i r="1">
      <x v="454"/>
    </i>
    <i r="2">
      <x v="261"/>
    </i>
    <i t="blank" r="1">
      <x v="454"/>
    </i>
    <i>
      <x v="981"/>
    </i>
    <i r="1">
      <x v="161"/>
    </i>
    <i r="2">
      <x v="83"/>
    </i>
    <i t="blank" r="1">
      <x v="161"/>
    </i>
    <i>
      <x v="982"/>
    </i>
    <i r="1">
      <x v="415"/>
    </i>
    <i r="2">
      <x v="83"/>
    </i>
    <i t="blank" r="1">
      <x v="415"/>
    </i>
    <i>
      <x v="983"/>
    </i>
    <i r="1">
      <x v="248"/>
    </i>
    <i r="2">
      <x v="2"/>
    </i>
    <i t="blank" r="1">
      <x v="248"/>
    </i>
    <i>
      <x v="984"/>
    </i>
    <i r="1">
      <x v="454"/>
    </i>
    <i r="2">
      <x v="261"/>
    </i>
    <i t="blank" r="1">
      <x v="454"/>
    </i>
    <i>
      <x v="985"/>
    </i>
    <i r="1">
      <x v="72"/>
    </i>
    <i r="2">
      <x v="37"/>
    </i>
    <i t="blank" r="1">
      <x v="72"/>
    </i>
    <i>
      <x v="986"/>
    </i>
    <i r="1">
      <x v="258"/>
    </i>
    <i r="2">
      <x v="54"/>
    </i>
    <i t="blank" r="1">
      <x v="258"/>
    </i>
    <i>
      <x v="987"/>
    </i>
    <i r="1">
      <x v="466"/>
    </i>
    <i r="2">
      <x v="261"/>
    </i>
    <i t="blank" r="1">
      <x v="466"/>
    </i>
    <i>
      <x v="988"/>
    </i>
    <i r="1">
      <x v="89"/>
    </i>
    <i r="2">
      <x v="63"/>
    </i>
    <i t="blank" r="1">
      <x v="89"/>
    </i>
    <i>
      <x v="989"/>
    </i>
    <i r="1">
      <x v="489"/>
    </i>
    <i r="2">
      <x v="261"/>
    </i>
    <i t="blank" r="1">
      <x v="489"/>
    </i>
    <i>
      <x v="990"/>
    </i>
    <i r="1">
      <x v="97"/>
    </i>
    <i r="2">
      <x v="72"/>
    </i>
    <i t="blank" r="1">
      <x v="97"/>
    </i>
    <i r="1">
      <x v="99"/>
    </i>
    <i r="2">
      <x v="77"/>
    </i>
    <i t="blank" r="1">
      <x v="99"/>
    </i>
    <i r="1">
      <x v="343"/>
    </i>
    <i r="2">
      <x v="103"/>
    </i>
    <i t="blank" r="1">
      <x v="343"/>
    </i>
    <i r="1">
      <x v="354"/>
    </i>
    <i r="2">
      <x v="240"/>
    </i>
    <i t="blank" r="1">
      <x v="354"/>
    </i>
    <i r="1">
      <x v="364"/>
    </i>
    <i r="2">
      <x v="36"/>
    </i>
    <i t="blank" r="1">
      <x v="364"/>
    </i>
    <i>
      <x v="991"/>
    </i>
    <i r="1">
      <x v="372"/>
    </i>
    <i r="2">
      <x v="83"/>
    </i>
    <i t="blank" r="1">
      <x v="372"/>
    </i>
    <i>
      <x v="992"/>
    </i>
    <i r="1">
      <x v="457"/>
    </i>
    <i r="2">
      <x v="83"/>
    </i>
    <i t="blank" r="1">
      <x v="457"/>
    </i>
    <i>
      <x v="993"/>
    </i>
    <i r="1">
      <x v="448"/>
    </i>
    <i r="2">
      <x v="148"/>
    </i>
    <i t="blank" r="1">
      <x v="448"/>
    </i>
    <i>
      <x v="994"/>
    </i>
    <i r="1">
      <x v="458"/>
    </i>
    <i r="2">
      <x v="261"/>
    </i>
    <i t="blank" r="1">
      <x v="458"/>
    </i>
    <i>
      <x v="995"/>
    </i>
    <i r="1">
      <x v="90"/>
    </i>
    <i r="2">
      <x v="22"/>
    </i>
    <i t="blank" r="1">
      <x v="90"/>
    </i>
    <i>
      <x v="996"/>
    </i>
    <i r="1">
      <x v="389"/>
    </i>
    <i r="2">
      <x v="83"/>
    </i>
    <i t="blank" r="1">
      <x v="389"/>
    </i>
    <i>
      <x v="997"/>
    </i>
    <i r="1">
      <x v="409"/>
    </i>
    <i r="2">
      <x v="83"/>
    </i>
    <i t="blank" r="1">
      <x v="409"/>
    </i>
    <i>
      <x v="998"/>
    </i>
    <i r="1">
      <x v="192"/>
    </i>
    <i r="2">
      <x v="21"/>
    </i>
    <i t="blank" r="1">
      <x v="192"/>
    </i>
    <i r="1">
      <x v="308"/>
    </i>
    <i r="2">
      <x v="22"/>
    </i>
    <i t="blank" r="1">
      <x v="308"/>
    </i>
    <i>
      <x v="999"/>
    </i>
    <i r="1">
      <x v="121"/>
    </i>
    <i r="2">
      <x v="106"/>
    </i>
    <i t="blank" r="1">
      <x v="121"/>
    </i>
    <i>
      <x v="1000"/>
    </i>
    <i r="1">
      <x v="481"/>
    </i>
    <i r="2">
      <x v="261"/>
    </i>
    <i t="blank" r="1">
      <x v="481"/>
    </i>
    <i>
      <x v="1001"/>
    </i>
    <i r="1">
      <x v="415"/>
    </i>
    <i r="2">
      <x v="83"/>
    </i>
    <i t="blank" r="1">
      <x v="415"/>
    </i>
    <i>
      <x v="1002"/>
    </i>
    <i r="1">
      <x v="189"/>
    </i>
    <i r="2">
      <x v="83"/>
    </i>
    <i t="blank" r="1">
      <x v="189"/>
    </i>
    <i>
      <x v="1003"/>
    </i>
    <i r="1">
      <x v="388"/>
    </i>
    <i r="2">
      <x v="224"/>
    </i>
    <i t="blank" r="1">
      <x v="388"/>
    </i>
    <i>
      <x v="1004"/>
    </i>
    <i r="1">
      <x v="416"/>
    </i>
    <i r="2">
      <x v="83"/>
    </i>
    <i t="blank" r="1">
      <x v="416"/>
    </i>
    <i>
      <x v="1005"/>
    </i>
    <i r="1">
      <x v="217"/>
    </i>
    <i r="2">
      <x v="25"/>
    </i>
    <i t="blank" r="1">
      <x v="217"/>
    </i>
    <i>
      <x v="1006"/>
    </i>
    <i r="1">
      <x v="136"/>
    </i>
    <i r="2">
      <x v="83"/>
    </i>
    <i t="blank" r="1">
      <x v="136"/>
    </i>
    <i>
      <x v="1007"/>
    </i>
    <i r="1">
      <x v="159"/>
    </i>
    <i r="2">
      <x v="83"/>
    </i>
    <i t="blank" r="1">
      <x v="159"/>
    </i>
    <i>
      <x v="1008"/>
    </i>
    <i r="1">
      <x v="419"/>
    </i>
    <i r="2">
      <x v="83"/>
    </i>
    <i t="blank" r="1">
      <x v="419"/>
    </i>
    <i>
      <x v="1009"/>
    </i>
    <i r="1">
      <x v="323"/>
    </i>
    <i r="2">
      <x v="28"/>
    </i>
    <i t="blank" r="1">
      <x v="323"/>
    </i>
    <i>
      <x v="1010"/>
    </i>
    <i r="1">
      <x v="500"/>
    </i>
    <i r="2">
      <x v="261"/>
    </i>
    <i t="blank" r="1">
      <x v="500"/>
    </i>
    <i>
      <x v="1011"/>
    </i>
    <i r="1">
      <x v="289"/>
    </i>
    <i r="2">
      <x v="211"/>
    </i>
    <i t="blank" r="1">
      <x v="289"/>
    </i>
    <i>
      <x v="1012"/>
    </i>
    <i r="1">
      <x v="147"/>
    </i>
    <i r="2">
      <x v="83"/>
    </i>
    <i t="blank" r="1">
      <x v="147"/>
    </i>
    <i>
      <x v="1013"/>
    </i>
    <i r="1">
      <x v="122"/>
    </i>
    <i r="2">
      <x v="97"/>
    </i>
    <i t="blank" r="1">
      <x v="122"/>
    </i>
    <i r="1">
      <x v="124"/>
    </i>
    <i r="2">
      <x v="97"/>
    </i>
    <i t="blank" r="1">
      <x v="124"/>
    </i>
    <i r="1">
      <x v="482"/>
    </i>
    <i r="2">
      <x v="307"/>
    </i>
    <i t="blank" r="1">
      <x v="482"/>
    </i>
    <i>
      <x v="1014"/>
    </i>
    <i r="1">
      <x v="453"/>
    </i>
    <i r="2">
      <x v="261"/>
    </i>
    <i t="blank" r="1">
      <x v="453"/>
    </i>
    <i r="1">
      <x v="466"/>
    </i>
    <i r="2">
      <x v="261"/>
    </i>
    <i t="blank" r="1">
      <x v="466"/>
    </i>
    <i>
      <x v="1015"/>
    </i>
    <i r="1">
      <x v="272"/>
    </i>
    <i r="2">
      <x v="2"/>
    </i>
    <i t="blank" r="1">
      <x v="272"/>
    </i>
    <i>
      <x v="1016"/>
    </i>
    <i r="1">
      <x v="232"/>
    </i>
    <i r="2">
      <x v="166"/>
    </i>
    <i t="blank" r="1">
      <x v="232"/>
    </i>
    <i>
      <x v="1017"/>
    </i>
    <i r="1">
      <x v="478"/>
    </i>
    <i r="2">
      <x v="261"/>
    </i>
    <i t="blank" r="1">
      <x v="478"/>
    </i>
    <i r="1">
      <x v="482"/>
    </i>
    <i r="2">
      <x v="261"/>
    </i>
    <i t="blank" r="1">
      <x v="482"/>
    </i>
    <i>
      <x v="1018"/>
    </i>
    <i r="1">
      <x v="484"/>
    </i>
    <i r="2">
      <x v="261"/>
    </i>
    <i t="blank" r="1">
      <x v="484"/>
    </i>
    <i r="1">
      <x v="496"/>
    </i>
    <i r="2">
      <x v="286"/>
    </i>
    <i t="blank" r="1">
      <x v="496"/>
    </i>
    <i>
      <x v="1019"/>
    </i>
    <i r="1">
      <x v="273"/>
    </i>
    <i r="2">
      <x v="191"/>
    </i>
    <i t="blank" r="1">
      <x v="273"/>
    </i>
    <i>
      <x v="1020"/>
    </i>
    <i r="1">
      <x v="111"/>
    </i>
    <i r="2">
      <x v="24"/>
    </i>
    <i t="blank" r="1">
      <x v="111"/>
    </i>
    <i>
      <x v="1021"/>
    </i>
    <i r="1">
      <x v="372"/>
    </i>
    <i r="2">
      <x v="83"/>
    </i>
    <i t="blank" r="1">
      <x v="372"/>
    </i>
    <i>
      <x v="1022"/>
    </i>
    <i r="1">
      <x v="466"/>
    </i>
    <i r="2">
      <x v="300"/>
    </i>
    <i t="blank" r="1">
      <x v="466"/>
    </i>
    <i>
      <x v="1023"/>
    </i>
    <i r="1">
      <x v="240"/>
    </i>
    <i r="2">
      <x v="15"/>
    </i>
    <i t="blank" r="1">
      <x v="240"/>
    </i>
    <i>
      <x v="1024"/>
    </i>
    <i r="1">
      <x v="123"/>
    </i>
    <i r="2">
      <x v="7"/>
    </i>
    <i t="blank" r="1">
      <x v="123"/>
    </i>
    <i r="1">
      <x v="225"/>
    </i>
    <i r="2">
      <x v="62"/>
    </i>
    <i t="blank" r="1">
      <x v="225"/>
    </i>
    <i r="1">
      <x v="228"/>
    </i>
    <i r="2">
      <x v="162"/>
    </i>
    <i t="blank" r="1">
      <x v="228"/>
    </i>
    <i r="1">
      <x v="232"/>
    </i>
    <i r="2">
      <x v="160"/>
    </i>
    <i t="blank" r="1">
      <x v="232"/>
    </i>
    <i r="1">
      <x v="275"/>
    </i>
    <i r="2">
      <x v="179"/>
    </i>
    <i t="blank" r="1">
      <x v="275"/>
    </i>
    <i>
      <x v="1025"/>
    </i>
    <i r="1">
      <x v="354"/>
    </i>
    <i r="2">
      <x v="238"/>
    </i>
    <i t="blank" r="1">
      <x v="354"/>
    </i>
    <i>
      <x v="1026"/>
    </i>
    <i r="1">
      <x v="456"/>
    </i>
    <i r="2">
      <x v="83"/>
    </i>
    <i t="blank" r="1">
      <x v="456"/>
    </i>
    <i>
      <x v="1027"/>
    </i>
    <i r="1">
      <x v="307"/>
    </i>
    <i r="2">
      <x v="178"/>
    </i>
    <i t="blank" r="1">
      <x v="307"/>
    </i>
    <i>
      <x v="1028"/>
    </i>
    <i r="1">
      <x v="74"/>
    </i>
    <i r="2">
      <x v="40"/>
    </i>
    <i t="blank" r="1">
      <x v="74"/>
    </i>
    <i>
      <x v="1029"/>
    </i>
    <i r="1">
      <x v="459"/>
    </i>
    <i r="2">
      <x v="296"/>
    </i>
    <i t="blank" r="1">
      <x v="459"/>
    </i>
    <i>
      <x v="1030"/>
    </i>
    <i r="1">
      <x v="359"/>
    </i>
    <i r="2">
      <x v="244"/>
    </i>
    <i t="blank" r="1">
      <x v="359"/>
    </i>
    <i>
      <x v="1031"/>
    </i>
    <i r="1">
      <x v="436"/>
    </i>
    <i r="2">
      <x v="263"/>
    </i>
    <i t="blank" r="1">
      <x v="436"/>
    </i>
    <i>
      <x v="1032"/>
    </i>
    <i r="1">
      <x v="358"/>
    </i>
    <i r="2">
      <x v="169"/>
    </i>
    <i t="blank" r="1">
      <x v="358"/>
    </i>
    <i>
      <x v="1033"/>
    </i>
    <i r="1">
      <x v="82"/>
    </i>
    <i r="2">
      <x v="43"/>
    </i>
    <i t="blank" r="1">
      <x v="82"/>
    </i>
    <i>
      <x v="1034"/>
    </i>
    <i r="1">
      <x v="245"/>
    </i>
    <i r="2">
      <x v="21"/>
    </i>
    <i t="blank" r="1">
      <x v="245"/>
    </i>
    <i>
      <x v="1035"/>
    </i>
    <i r="1">
      <x v="28"/>
    </i>
    <i r="2">
      <x v="6"/>
    </i>
    <i t="blank" r="1">
      <x v="28"/>
    </i>
    <i r="1">
      <x v="31"/>
    </i>
    <i r="2">
      <x v="20"/>
    </i>
    <i t="blank" r="1">
      <x v="31"/>
    </i>
    <i>
      <x v="1036"/>
    </i>
    <i r="1">
      <x v="385"/>
    </i>
    <i r="2">
      <x v="83"/>
    </i>
    <i t="blank" r="1">
      <x v="385"/>
    </i>
    <i>
      <x v="1037"/>
    </i>
    <i r="1">
      <x v="457"/>
    </i>
    <i r="2">
      <x v="83"/>
    </i>
    <i t="blank" r="1">
      <x v="457"/>
    </i>
    <i>
      <x v="1038"/>
    </i>
    <i r="1">
      <x v="293"/>
    </i>
    <i r="2">
      <x v="50"/>
    </i>
    <i t="blank" r="1">
      <x v="293"/>
    </i>
    <i r="1">
      <x v="298"/>
    </i>
    <i r="2">
      <x v="7"/>
    </i>
    <i t="blank" r="1">
      <x v="298"/>
    </i>
    <i>
      <x v="1039"/>
    </i>
    <i r="1">
      <x v="476"/>
    </i>
    <i r="2">
      <x v="261"/>
    </i>
    <i t="blank" r="1">
      <x v="476"/>
    </i>
    <i>
      <x v="1040"/>
    </i>
    <i r="1">
      <x v="146"/>
    </i>
    <i r="2">
      <x v="15"/>
    </i>
    <i t="blank" r="1">
      <x v="146"/>
    </i>
    <i>
      <x v="1041"/>
    </i>
    <i r="1">
      <x v="256"/>
    </i>
    <i r="2">
      <x v="54"/>
    </i>
    <i t="blank" r="1">
      <x v="256"/>
    </i>
    <i>
      <x v="1042"/>
    </i>
    <i r="1">
      <x v="449"/>
    </i>
    <i r="2">
      <x v="261"/>
    </i>
    <i t="blank" r="1">
      <x v="449"/>
    </i>
    <i>
      <x v="1043"/>
    </i>
    <i r="1">
      <x v="497"/>
    </i>
    <i r="2">
      <x v="286"/>
    </i>
    <i t="blank" r="1">
      <x v="497"/>
    </i>
    <i>
      <x v="1044"/>
    </i>
    <i r="1">
      <x v="190"/>
    </i>
    <i r="2">
      <x v="140"/>
    </i>
    <i t="blank" r="1">
      <x v="190"/>
    </i>
    <i>
      <x v="1045"/>
    </i>
    <i r="1">
      <x v="245"/>
    </i>
    <i r="2">
      <x v="2"/>
    </i>
    <i t="blank" r="1">
      <x v="245"/>
    </i>
    <i>
      <x v="1046"/>
    </i>
    <i r="1">
      <x v="242"/>
    </i>
    <i r="2">
      <x v="16"/>
    </i>
    <i t="blank" r="1">
      <x v="242"/>
    </i>
    <i>
      <x v="1047"/>
    </i>
    <i r="1">
      <x v="382"/>
    </i>
    <i r="2">
      <x v="250"/>
    </i>
    <i t="blank" r="1">
      <x v="382"/>
    </i>
    <i>
      <x v="1048"/>
    </i>
    <i r="1">
      <x v="467"/>
    </i>
    <i r="2">
      <x v="261"/>
    </i>
    <i t="blank" r="1">
      <x v="467"/>
    </i>
    <i r="1">
      <x v="488"/>
    </i>
    <i r="2">
      <x v="261"/>
    </i>
    <i t="blank" r="1">
      <x v="488"/>
    </i>
    <i>
      <x v="1049"/>
    </i>
    <i r="1">
      <x v="458"/>
    </i>
    <i r="2">
      <x v="261"/>
    </i>
    <i t="blank" r="1">
      <x v="458"/>
    </i>
    <i>
      <x v="1050"/>
    </i>
    <i r="1">
      <x v="406"/>
    </i>
    <i r="2">
      <x v="83"/>
    </i>
    <i t="blank" r="1">
      <x v="406"/>
    </i>
    <i r="1">
      <x v="467"/>
    </i>
    <i r="2">
      <x v="261"/>
    </i>
    <i t="blank" r="1">
      <x v="467"/>
    </i>
    <i>
      <x v="1051"/>
    </i>
    <i r="1">
      <x v="6"/>
    </i>
    <i r="2">
      <x v="24"/>
    </i>
    <i t="blank" r="1">
      <x v="6"/>
    </i>
    <i r="1">
      <x v="349"/>
    </i>
    <i r="2">
      <x v="237"/>
    </i>
    <i t="blank" r="1">
      <x v="349"/>
    </i>
    <i r="1">
      <x v="362"/>
    </i>
    <i r="2">
      <x v="169"/>
    </i>
    <i t="blank" r="1">
      <x v="362"/>
    </i>
    <i>
      <x v="1052"/>
    </i>
    <i r="1">
      <x v="247"/>
    </i>
    <i r="2">
      <x v="181"/>
    </i>
    <i t="blank" r="1">
      <x v="247"/>
    </i>
    <i r="1">
      <x v="248"/>
    </i>
    <i r="2">
      <x v="164"/>
    </i>
    <i t="blank" r="1">
      <x v="248"/>
    </i>
    <i>
      <x v="1053"/>
    </i>
    <i r="1">
      <x v="457"/>
    </i>
    <i r="2">
      <x v="41"/>
    </i>
    <i t="blank" r="1">
      <x v="457"/>
    </i>
    <i>
      <x v="1054"/>
    </i>
    <i r="1">
      <x v="395"/>
    </i>
    <i r="2">
      <x v="50"/>
    </i>
    <i t="blank" r="1">
      <x v="395"/>
    </i>
    <i r="1">
      <x v="407"/>
    </i>
    <i r="2">
      <x v="162"/>
    </i>
    <i t="blank" r="1">
      <x v="407"/>
    </i>
    <i r="1">
      <x v="426"/>
    </i>
    <i r="2">
      <x v="50"/>
    </i>
    <i t="blank" r="1">
      <x v="426"/>
    </i>
    <i>
      <x v="1055"/>
    </i>
    <i r="1">
      <x v="346"/>
    </i>
    <i r="2">
      <x v="234"/>
    </i>
    <i t="blank" r="1">
      <x v="346"/>
    </i>
    <i>
      <x v="1056"/>
    </i>
    <i r="1">
      <x v="385"/>
    </i>
    <i r="2">
      <x v="83"/>
    </i>
    <i t="blank" r="1">
      <x v="385"/>
    </i>
    <i r="1">
      <x v="403"/>
    </i>
    <i r="2">
      <x v="271"/>
    </i>
    <i t="blank" r="1">
      <x v="403"/>
    </i>
    <i>
      <x v="1057"/>
    </i>
    <i r="1">
      <x v="476"/>
    </i>
    <i r="2">
      <x v="286"/>
    </i>
    <i t="blank" r="1">
      <x v="476"/>
    </i>
    <i>
      <x v="1058"/>
    </i>
    <i r="1">
      <x v="107"/>
    </i>
    <i r="2">
      <x v="41"/>
    </i>
    <i t="blank" r="1">
      <x v="107"/>
    </i>
    <i r="1">
      <x v="280"/>
    </i>
    <i r="2">
      <x v="98"/>
    </i>
    <i t="blank" r="1">
      <x v="280"/>
    </i>
    <i>
      <x v="1059"/>
    </i>
    <i r="1">
      <x v="402"/>
    </i>
    <i r="2">
      <x v="270"/>
    </i>
    <i t="blank" r="1">
      <x v="402"/>
    </i>
    <i>
      <x v="1060"/>
    </i>
    <i r="1">
      <x v="196"/>
    </i>
    <i r="2">
      <x v="83"/>
    </i>
    <i t="blank" r="1">
      <x v="196"/>
    </i>
    <i>
      <x v="1061"/>
    </i>
    <i r="1">
      <x v="496"/>
    </i>
    <i r="2">
      <x v="261"/>
    </i>
    <i t="blank" r="1">
      <x v="496"/>
    </i>
    <i>
      <x v="1062"/>
    </i>
    <i r="1">
      <x v="86"/>
    </i>
    <i r="2">
      <x v="56"/>
    </i>
    <i t="blank" r="1">
      <x v="86"/>
    </i>
    <i>
      <x v="1063"/>
    </i>
    <i r="1">
      <x v="408"/>
    </i>
    <i r="2">
      <x v="83"/>
    </i>
    <i t="blank" r="1">
      <x v="408"/>
    </i>
    <i>
      <x v="1064"/>
    </i>
    <i r="1">
      <x v="298"/>
    </i>
    <i r="2">
      <x v="41"/>
    </i>
    <i t="blank" r="1">
      <x v="298"/>
    </i>
    <i>
      <x v="1065"/>
    </i>
    <i r="1">
      <x v="426"/>
    </i>
    <i r="2">
      <x v="83"/>
    </i>
    <i t="blank" r="1">
      <x v="426"/>
    </i>
    <i>
      <x v="1066"/>
    </i>
    <i r="1">
      <x v="378"/>
    </i>
    <i r="2">
      <x v="54"/>
    </i>
    <i t="blank" r="1">
      <x v="378"/>
    </i>
    <i>
      <x v="1067"/>
    </i>
    <i r="1">
      <x v="395"/>
    </i>
    <i r="2">
      <x v="250"/>
    </i>
    <i t="blank" r="1">
      <x v="395"/>
    </i>
    <i>
      <x v="1068"/>
    </i>
    <i r="1">
      <x v="106"/>
    </i>
    <i r="2">
      <x v="88"/>
    </i>
    <i t="blank" r="1">
      <x v="106"/>
    </i>
    <i>
      <x v="1069"/>
    </i>
    <i r="1">
      <x v="503"/>
    </i>
    <i r="2">
      <x v="261"/>
    </i>
    <i t="blank" r="1">
      <x v="503"/>
    </i>
    <i>
      <x v="1070"/>
    </i>
    <i r="1">
      <x v="108"/>
    </i>
    <i r="2">
      <x v="7"/>
    </i>
    <i t="blank" r="1">
      <x v="108"/>
    </i>
    <i r="1">
      <x v="292"/>
    </i>
    <i r="2">
      <x v="169"/>
    </i>
    <i t="blank" r="1">
      <x v="292"/>
    </i>
    <i>
      <x v="1071"/>
    </i>
    <i r="1">
      <x v="406"/>
    </i>
    <i r="2">
      <x v="180"/>
    </i>
    <i t="blank" r="1">
      <x v="406"/>
    </i>
    <i>
      <x v="1072"/>
    </i>
    <i r="1">
      <x v="244"/>
    </i>
    <i r="2">
      <x v="7"/>
    </i>
    <i t="blank" r="1">
      <x v="244"/>
    </i>
    <i>
      <x v="1073"/>
    </i>
    <i r="1">
      <x v="489"/>
    </i>
    <i r="2">
      <x v="178"/>
    </i>
    <i t="blank" r="1">
      <x v="489"/>
    </i>
    <i>
      <x v="1074"/>
    </i>
    <i r="1">
      <x v="390"/>
    </i>
    <i r="2">
      <x v="41"/>
    </i>
    <i t="blank" r="1">
      <x v="390"/>
    </i>
    <i>
      <x v="1075"/>
    </i>
    <i r="1">
      <x v="397"/>
    </i>
    <i r="2">
      <x v="83"/>
    </i>
    <i t="blank" r="1">
      <x v="397"/>
    </i>
    <i>
      <x v="1076"/>
    </i>
    <i r="1">
      <x v="447"/>
    </i>
    <i r="2">
      <x v="253"/>
    </i>
    <i t="blank" r="1">
      <x v="447"/>
    </i>
    <i r="1">
      <x v="454"/>
    </i>
    <i r="2">
      <x v="261"/>
    </i>
    <i t="blank" r="1">
      <x v="454"/>
    </i>
    <i r="1">
      <x v="459"/>
    </i>
    <i r="2">
      <x v="261"/>
    </i>
    <i t="blank" r="1">
      <x v="459"/>
    </i>
    <i>
      <x v="1077"/>
    </i>
    <i r="1">
      <x v="112"/>
    </i>
    <i r="2">
      <x v="22"/>
    </i>
    <i t="blank" r="1">
      <x v="112"/>
    </i>
    <i r="1">
      <x v="115"/>
    </i>
    <i r="2">
      <x v="22"/>
    </i>
    <i t="blank" r="1">
      <x v="115"/>
    </i>
    <i r="1">
      <x v="436"/>
    </i>
    <i r="2">
      <x v="14"/>
    </i>
    <i t="blank" r="1">
      <x v="436"/>
    </i>
    <i>
      <x v="1078"/>
    </i>
    <i r="1">
      <x v="338"/>
    </i>
    <i r="2">
      <x v="31"/>
    </i>
    <i t="blank" r="1">
      <x v="338"/>
    </i>
    <i r="1">
      <x v="384"/>
    </i>
    <i r="2">
      <x v="31"/>
    </i>
    <i t="blank" r="1">
      <x v="384"/>
    </i>
    <i r="1">
      <x v="428"/>
    </i>
    <i r="2">
      <x v="31"/>
    </i>
    <i t="blank" r="1">
      <x v="428"/>
    </i>
    <i>
      <x v="1079"/>
    </i>
    <i r="1">
      <x v="248"/>
    </i>
    <i r="2">
      <x v="2"/>
    </i>
    <i t="blank" r="1">
      <x v="248"/>
    </i>
    <i>
      <x v="1080"/>
    </i>
    <i r="1">
      <x v="348"/>
    </i>
    <i r="2">
      <x v="27"/>
    </i>
    <i t="blank" r="1">
      <x v="348"/>
    </i>
    <i r="1">
      <x v="425"/>
    </i>
    <i r="2">
      <x v="21"/>
    </i>
    <i t="blank" r="1">
      <x v="425"/>
    </i>
    <i>
      <x v="1081"/>
    </i>
    <i r="1">
      <x v="458"/>
    </i>
    <i r="2">
      <x v="261"/>
    </i>
    <i t="blank" r="1">
      <x v="458"/>
    </i>
    <i>
      <x v="1082"/>
    </i>
    <i r="1">
      <x v="406"/>
    </i>
    <i r="2">
      <x v="83"/>
    </i>
    <i t="blank" r="1">
      <x v="406"/>
    </i>
    <i>
      <x v="1083"/>
    </i>
    <i r="1">
      <x v="316"/>
    </i>
    <i r="2">
      <x v="16"/>
    </i>
    <i t="blank" r="1">
      <x v="316"/>
    </i>
    <i>
      <x v="1084"/>
    </i>
    <i r="1">
      <x v="148"/>
    </i>
    <i r="2">
      <x v="83"/>
    </i>
    <i t="blank" r="1">
      <x v="148"/>
    </i>
    <i>
      <x v="1085"/>
    </i>
    <i r="1">
      <x v="136"/>
    </i>
    <i r="2">
      <x v="83"/>
    </i>
    <i t="blank" r="1">
      <x v="136"/>
    </i>
    <i r="1">
      <x v="138"/>
    </i>
    <i r="2">
      <x v="83"/>
    </i>
    <i t="blank" r="1">
      <x v="138"/>
    </i>
    <i>
      <x v="1086"/>
    </i>
    <i r="1">
      <x v="456"/>
    </i>
    <i r="2">
      <x v="83"/>
    </i>
    <i t="blank" r="1">
      <x v="456"/>
    </i>
    <i>
      <x v="1087"/>
    </i>
    <i r="1">
      <x v="483"/>
    </i>
    <i r="2">
      <x v="261"/>
    </i>
    <i t="blank" r="1">
      <x v="483"/>
    </i>
    <i r="1">
      <x v="493"/>
    </i>
    <i r="2">
      <x v="261"/>
    </i>
    <i t="blank" r="1">
      <x v="493"/>
    </i>
    <i>
      <x v="1088"/>
    </i>
    <i r="1">
      <x v="473"/>
    </i>
    <i r="2">
      <x v="261"/>
    </i>
    <i t="blank" r="1">
      <x v="473"/>
    </i>
    <i>
      <x v="1089"/>
    </i>
    <i r="1">
      <x v="493"/>
    </i>
    <i r="2">
      <x v="289"/>
    </i>
    <i t="blank" r="1">
      <x v="493"/>
    </i>
    <i>
      <x v="1090"/>
    </i>
    <i r="1">
      <x v="435"/>
    </i>
    <i r="2">
      <x v="83"/>
    </i>
    <i t="blank" r="1">
      <x v="435"/>
    </i>
    <i>
      <x v="1091"/>
    </i>
    <i r="1">
      <x v="495"/>
    </i>
    <i r="2">
      <x v="261"/>
    </i>
    <i t="blank" r="1">
      <x v="495"/>
    </i>
    <i>
      <x v="1092"/>
    </i>
    <i r="1">
      <x v="473"/>
    </i>
    <i r="2">
      <x v="261"/>
    </i>
    <i t="blank" r="1">
      <x v="473"/>
    </i>
    <i>
      <x v="1093"/>
    </i>
    <i r="1">
      <x v="424"/>
    </i>
    <i r="2">
      <x v="83"/>
    </i>
    <i t="blank" r="1">
      <x v="424"/>
    </i>
    <i>
      <x v="1094"/>
    </i>
    <i r="1">
      <x v="453"/>
    </i>
    <i r="2">
      <x v="286"/>
    </i>
    <i t="blank" r="1">
      <x v="453"/>
    </i>
    <i>
      <x v="1095"/>
    </i>
    <i r="1">
      <x v="389"/>
    </i>
    <i r="2">
      <x v="83"/>
    </i>
    <i t="blank" r="1">
      <x v="389"/>
    </i>
    <i>
      <x v="1096"/>
    </i>
    <i r="1">
      <x v="454"/>
    </i>
    <i r="2">
      <x v="286"/>
    </i>
    <i t="blank" r="1">
      <x v="454"/>
    </i>
    <i>
      <x v="1097"/>
    </i>
    <i r="1">
      <x v="106"/>
    </i>
    <i r="2">
      <x v="76"/>
    </i>
    <i t="blank" r="1">
      <x v="106"/>
    </i>
    <i>
      <x v="1098"/>
    </i>
    <i r="1">
      <x v="434"/>
    </i>
    <i r="2">
      <x v="285"/>
    </i>
    <i t="blank" r="1">
      <x v="434"/>
    </i>
    <i>
      <x v="1099"/>
    </i>
    <i r="1">
      <x v="467"/>
    </i>
    <i r="2">
      <x v="253"/>
    </i>
    <i t="blank" r="1">
      <x v="467"/>
    </i>
    <i>
      <x v="1100"/>
    </i>
    <i r="1">
      <x v="98"/>
    </i>
    <i r="2">
      <x v="75"/>
    </i>
    <i t="blank" r="1">
      <x v="98"/>
    </i>
    <i r="1">
      <x v="250"/>
    </i>
    <i r="2">
      <x v="46"/>
    </i>
    <i t="blank" r="1">
      <x v="250"/>
    </i>
    <i>
      <x v="1101"/>
    </i>
    <i r="1">
      <x v="369"/>
    </i>
    <i r="2">
      <x v="15"/>
    </i>
    <i t="blank" r="1">
      <x v="369"/>
    </i>
    <i>
      <x v="1102"/>
    </i>
    <i r="1">
      <x v="406"/>
    </i>
    <i r="2">
      <x v="83"/>
    </i>
    <i t="blank" r="1">
      <x v="406"/>
    </i>
    <i>
      <x v="1103"/>
    </i>
    <i r="1">
      <x v="411"/>
    </i>
    <i r="2">
      <x v="83"/>
    </i>
    <i t="blank" r="1">
      <x v="411"/>
    </i>
    <i>
      <x v="1104"/>
    </i>
    <i r="1">
      <x v="437"/>
    </i>
    <i r="2">
      <x v="193"/>
    </i>
    <i t="blank" r="1">
      <x v="437"/>
    </i>
    <i r="1">
      <x v="500"/>
    </i>
    <i r="2">
      <x v="215"/>
    </i>
    <i t="blank" r="1">
      <x v="500"/>
    </i>
    <i>
      <x v="1105"/>
    </i>
    <i r="1">
      <x v="349"/>
    </i>
    <i r="2">
      <x v="169"/>
    </i>
    <i t="blank" r="1">
      <x v="349"/>
    </i>
    <i>
      <x v="1106"/>
    </i>
    <i r="1">
      <x v="364"/>
    </i>
    <i r="2">
      <x v="250"/>
    </i>
    <i t="blank" r="1">
      <x v="364"/>
    </i>
    <i>
      <x v="1107"/>
    </i>
    <i r="1">
      <x v="409"/>
    </i>
    <i r="2">
      <x v="162"/>
    </i>
    <i t="blank" r="1">
      <x v="409"/>
    </i>
    <i r="1">
      <x v="415"/>
    </i>
    <i r="2">
      <x v="50"/>
    </i>
    <i t="blank" r="1">
      <x v="415"/>
    </i>
    <i>
      <x v="1108"/>
    </i>
    <i r="1">
      <x v="407"/>
    </i>
    <i r="2">
      <x v="270"/>
    </i>
    <i t="blank" r="1">
      <x v="407"/>
    </i>
    <i>
      <x v="1109"/>
    </i>
    <i r="1">
      <x v="26"/>
    </i>
    <i r="2">
      <x v="2"/>
    </i>
    <i t="blank" r="1">
      <x v="26"/>
    </i>
    <i>
      <x v="1110"/>
    </i>
    <i r="1">
      <x v="458"/>
    </i>
    <i r="2">
      <x v="261"/>
    </i>
    <i t="blank" r="1">
      <x v="458"/>
    </i>
    <i>
      <x v="1111"/>
    </i>
    <i r="1">
      <x v="472"/>
    </i>
    <i r="2">
      <x v="211"/>
    </i>
    <i t="blank" r="1">
      <x v="472"/>
    </i>
    <i>
      <x v="1112"/>
    </i>
    <i r="1">
      <x v="34"/>
    </i>
    <i r="2">
      <x v="22"/>
    </i>
    <i t="blank" r="1">
      <x v="34"/>
    </i>
    <i>
      <x v="1113"/>
    </i>
    <i r="1">
      <x v="378"/>
    </i>
    <i r="2">
      <x v="83"/>
    </i>
    <i t="blank" r="1">
      <x v="378"/>
    </i>
    <i>
      <x v="1114"/>
    </i>
    <i r="1">
      <x v="427"/>
    </i>
    <i r="2">
      <x v="245"/>
    </i>
    <i t="blank" r="1">
      <x v="427"/>
    </i>
    <i>
      <x v="1115"/>
    </i>
    <i r="1">
      <x v="474"/>
    </i>
    <i r="2">
      <x v="261"/>
    </i>
    <i t="blank" r="1">
      <x v="474"/>
    </i>
    <i>
      <x v="1116"/>
    </i>
    <i r="1">
      <x v="383"/>
    </i>
    <i r="2">
      <x v="65"/>
    </i>
    <i t="blank" r="1">
      <x v="383"/>
    </i>
    <i>
      <x v="1117"/>
    </i>
    <i r="1">
      <x v="312"/>
    </i>
    <i r="2">
      <x v="54"/>
    </i>
    <i t="blank" r="1">
      <x v="312"/>
    </i>
    <i>
      <x v="1118"/>
    </i>
    <i r="1">
      <x v="88"/>
    </i>
    <i r="2">
      <x v="60"/>
    </i>
    <i t="blank" r="1">
      <x v="88"/>
    </i>
    <i>
      <x v="1119"/>
    </i>
    <i r="1">
      <x v="371"/>
    </i>
    <i r="2">
      <x v="253"/>
    </i>
    <i t="blank" r="1">
      <x v="371"/>
    </i>
    <i>
      <x v="1120"/>
    </i>
    <i r="1">
      <x v="402"/>
    </i>
    <i r="2">
      <x v="21"/>
    </i>
    <i t="blank" r="1">
      <x v="402"/>
    </i>
    <i>
      <x v="1121"/>
    </i>
    <i r="1">
      <x v="5"/>
    </i>
    <i r="2">
      <x v="5"/>
    </i>
    <i t="blank" r="1">
      <x v="5"/>
    </i>
    <i r="1">
      <x v="368"/>
    </i>
    <i r="2">
      <x v="40"/>
    </i>
    <i t="blank" r="1">
      <x v="368"/>
    </i>
    <i>
      <x v="1122"/>
    </i>
    <i r="1">
      <x v="378"/>
    </i>
    <i r="2">
      <x v="261"/>
    </i>
    <i t="blank" r="1">
      <x v="378"/>
    </i>
    <i>
      <x v="1123"/>
    </i>
    <i r="1">
      <x v="302"/>
    </i>
    <i r="2">
      <x v="14"/>
    </i>
    <i t="blank" r="1">
      <x v="302"/>
    </i>
    <i>
      <x v="1124"/>
    </i>
    <i r="1">
      <x v="403"/>
    </i>
    <i r="2">
      <x v="83"/>
    </i>
    <i t="blank" r="1">
      <x v="403"/>
    </i>
    <i>
      <x v="1125"/>
    </i>
    <i r="1">
      <x v="320"/>
    </i>
    <i r="2">
      <x v="67"/>
    </i>
    <i t="blank" r="1">
      <x v="320"/>
    </i>
    <i>
      <x v="1126"/>
    </i>
    <i r="1">
      <x v="351"/>
    </i>
    <i r="2">
      <x v="140"/>
    </i>
    <i t="blank" r="1">
      <x v="351"/>
    </i>
    <i>
      <x v="1127"/>
    </i>
    <i r="1">
      <x v="225"/>
    </i>
    <i r="2">
      <x v="22"/>
    </i>
    <i t="blank" r="1">
      <x v="225"/>
    </i>
    <i>
      <x v="1128"/>
    </i>
    <i r="1">
      <x v="427"/>
    </i>
    <i r="2">
      <x v="83"/>
    </i>
    <i t="blank" r="1">
      <x v="427"/>
    </i>
    <i>
      <x v="1129"/>
    </i>
    <i r="1">
      <x v="457"/>
    </i>
    <i r="2">
      <x v="96"/>
    </i>
    <i t="blank" r="1">
      <x v="457"/>
    </i>
    <i>
      <x v="1130"/>
    </i>
    <i r="1">
      <x v="422"/>
    </i>
    <i r="2">
      <x v="250"/>
    </i>
    <i t="blank" r="1">
      <x v="422"/>
    </i>
    <i>
      <x v="1131"/>
    </i>
    <i r="1">
      <x v="504"/>
    </i>
    <i r="2">
      <x v="261"/>
    </i>
    <i t="blank" r="1">
      <x v="504"/>
    </i>
    <i>
      <x v="1132"/>
    </i>
    <i r="1">
      <x v="387"/>
    </i>
    <i r="2">
      <x v="83"/>
    </i>
    <i t="blank" r="1">
      <x v="387"/>
    </i>
    <i r="1">
      <x v="401"/>
    </i>
    <i r="2">
      <x v="262"/>
    </i>
    <i t="blank" r="1">
      <x v="401"/>
    </i>
    <i>
      <x v="1133"/>
    </i>
    <i r="1">
      <x v="371"/>
    </i>
    <i r="2">
      <x v="21"/>
    </i>
    <i t="blank" r="1">
      <x v="371"/>
    </i>
    <i r="1">
      <x v="391"/>
    </i>
    <i r="2">
      <x v="15"/>
    </i>
    <i t="blank" r="1">
      <x v="391"/>
    </i>
    <i>
      <x v="1134"/>
    </i>
    <i r="1">
      <x v="408"/>
    </i>
    <i r="2">
      <x v="245"/>
    </i>
    <i t="blank" r="1">
      <x v="408"/>
    </i>
    <i>
      <x v="1135"/>
    </i>
    <i r="1">
      <x v="406"/>
    </i>
    <i r="2">
      <x v="250"/>
    </i>
    <i t="blank" r="1">
      <x v="406"/>
    </i>
    <i>
      <x v="1136"/>
    </i>
    <i r="1">
      <x v="260"/>
    </i>
    <i r="2">
      <x v="113"/>
    </i>
    <i t="blank" r="1">
      <x v="260"/>
    </i>
    <i r="1">
      <x v="318"/>
    </i>
    <i r="2">
      <x v="22"/>
    </i>
    <i t="blank" r="1">
      <x v="318"/>
    </i>
    <i r="1">
      <x v="462"/>
    </i>
    <i r="2">
      <x v="22"/>
    </i>
    <i t="blank" r="1">
      <x v="462"/>
    </i>
    <i>
      <x v="1137"/>
    </i>
    <i r="1">
      <x v="288"/>
    </i>
    <i r="2">
      <x v="208"/>
    </i>
    <i t="blank" r="1">
      <x v="288"/>
    </i>
    <i>
      <x v="1138"/>
    </i>
    <i r="1">
      <x v="495"/>
    </i>
    <i r="2">
      <x v="309"/>
    </i>
    <i t="blank" r="1">
      <x v="495"/>
    </i>
    <i r="1">
      <x v="503"/>
    </i>
    <i r="2">
      <x v="169"/>
    </i>
    <i t="blank" r="1">
      <x v="503"/>
    </i>
    <i>
      <x v="1139"/>
    </i>
    <i r="1">
      <x v="312"/>
    </i>
    <i r="2">
      <x v="28"/>
    </i>
    <i t="blank" r="1">
      <x v="312"/>
    </i>
    <i r="1">
      <x v="383"/>
    </i>
    <i r="2">
      <x v="15"/>
    </i>
    <i t="blank" r="1">
      <x v="383"/>
    </i>
    <i>
      <x v="1140"/>
    </i>
    <i r="1">
      <x v="389"/>
    </i>
    <i r="2">
      <x v="83"/>
    </i>
    <i t="blank" r="1">
      <x v="389"/>
    </i>
    <i>
      <x v="1141"/>
    </i>
    <i r="1">
      <x v="386"/>
    </i>
    <i r="2">
      <x v="83"/>
    </i>
    <i t="blank" r="1">
      <x v="386"/>
    </i>
    <i r="1">
      <x v="394"/>
    </i>
    <i r="2">
      <x v="250"/>
    </i>
    <i t="blank" r="1">
      <x v="394"/>
    </i>
    <i>
      <x v="1142"/>
    </i>
    <i r="1">
      <x v="475"/>
    </i>
    <i r="2">
      <x v="286"/>
    </i>
    <i t="blank" r="1">
      <x v="475"/>
    </i>
    <i>
      <x v="1143"/>
    </i>
    <i r="1">
      <x v="372"/>
    </i>
    <i r="2">
      <x v="250"/>
    </i>
    <i t="blank" r="1">
      <x v="372"/>
    </i>
    <i>
      <x v="1144"/>
    </i>
    <i r="1">
      <x v="147"/>
    </i>
    <i r="2">
      <x v="83"/>
    </i>
    <i t="blank" r="1">
      <x v="147"/>
    </i>
    <i>
      <x v="1145"/>
    </i>
    <i r="1">
      <x v="214"/>
    </i>
    <i r="2">
      <x v="5"/>
    </i>
    <i t="blank" r="1">
      <x v="214"/>
    </i>
    <i>
      <x v="1146"/>
    </i>
    <i r="1">
      <x v="400"/>
    </i>
    <i r="2">
      <x v="83"/>
    </i>
    <i t="blank" r="1">
      <x v="400"/>
    </i>
    <i>
      <x v="1147"/>
    </i>
    <i r="1">
      <x v="71"/>
    </i>
    <i r="2">
      <x v="26"/>
    </i>
    <i t="blank" r="1">
      <x v="71"/>
    </i>
    <i r="1">
      <x v="93"/>
    </i>
    <i r="2">
      <x v="22"/>
    </i>
    <i t="blank" r="1">
      <x v="93"/>
    </i>
    <i>
      <x v="1148"/>
    </i>
    <i r="1">
      <x v="471"/>
    </i>
    <i r="2">
      <x v="261"/>
    </i>
    <i t="blank" r="1">
      <x v="471"/>
    </i>
    <i>
      <x v="1149"/>
    </i>
    <i r="1">
      <x v="432"/>
    </i>
    <i r="2">
      <x v="83"/>
    </i>
    <i t="blank" r="1">
      <x v="432"/>
    </i>
    <i>
      <x v="1150"/>
    </i>
    <i r="1">
      <x v="417"/>
    </i>
    <i r="2">
      <x v="83"/>
    </i>
    <i t="blank" r="1">
      <x v="417"/>
    </i>
    <i>
      <x v="1151"/>
    </i>
    <i r="1">
      <x v="281"/>
    </i>
    <i r="2">
      <x v="113"/>
    </i>
    <i t="blank" r="1">
      <x v="281"/>
    </i>
    <i r="1">
      <x v="307"/>
    </i>
    <i r="2">
      <x v="52"/>
    </i>
    <i t="blank" r="1">
      <x v="307"/>
    </i>
    <i>
      <x v="1152"/>
    </i>
    <i r="1">
      <x v="291"/>
    </i>
    <i r="2">
      <x v="2"/>
    </i>
    <i t="blank" r="1">
      <x v="291"/>
    </i>
    <i r="1">
      <x v="456"/>
    </i>
    <i r="2">
      <x v="296"/>
    </i>
    <i t="blank" r="1">
      <x v="456"/>
    </i>
    <i>
      <x v="1153"/>
    </i>
    <i r="1">
      <x v="108"/>
    </i>
    <i r="2">
      <x v="91"/>
    </i>
    <i t="blank" r="1">
      <x v="108"/>
    </i>
    <i>
      <x v="1154"/>
    </i>
    <i r="1">
      <x v="358"/>
    </i>
    <i r="2">
      <x v="242"/>
    </i>
    <i t="blank" r="1">
      <x v="358"/>
    </i>
    <i r="1">
      <x v="377"/>
    </i>
    <i r="2">
      <x v="55"/>
    </i>
    <i t="blank" r="1">
      <x v="377"/>
    </i>
    <i>
      <x v="1155"/>
    </i>
    <i r="1">
      <x v="352"/>
    </i>
    <i r="2">
      <x v="32"/>
    </i>
    <i t="blank" r="1">
      <x v="352"/>
    </i>
    <i>
      <x v="1156"/>
    </i>
    <i r="1">
      <x v="221"/>
    </i>
    <i r="2">
      <x v="83"/>
    </i>
    <i t="blank" r="1">
      <x v="221"/>
    </i>
    <i>
      <x v="1157"/>
    </i>
    <i r="1">
      <x v="472"/>
    </i>
    <i r="2">
      <x v="261"/>
    </i>
    <i t="blank" r="1">
      <x v="472"/>
    </i>
    <i>
      <x v="1158"/>
    </i>
    <i r="1">
      <x v="191"/>
    </i>
    <i r="2">
      <x v="18"/>
    </i>
    <i t="blank" r="1">
      <x v="191"/>
    </i>
    <i r="1">
      <x v="442"/>
    </i>
    <i r="2">
      <x v="14"/>
    </i>
    <i t="blank" r="1">
      <x v="442"/>
    </i>
    <i>
      <x v="1159"/>
    </i>
    <i r="1">
      <x v="485"/>
    </i>
    <i r="2">
      <x v="286"/>
    </i>
    <i t="blank" r="1">
      <x v="485"/>
    </i>
    <i>
      <x v="1160"/>
    </i>
    <i r="1">
      <x v="136"/>
    </i>
    <i r="2">
      <x v="32"/>
    </i>
    <i t="blank" r="1">
      <x v="136"/>
    </i>
    <i r="1">
      <x v="327"/>
    </i>
    <i r="2">
      <x v="180"/>
    </i>
    <i t="blank" r="1">
      <x v="327"/>
    </i>
    <i>
      <x v="1161"/>
    </i>
    <i r="1">
      <x v="230"/>
    </i>
    <i r="2">
      <x v="168"/>
    </i>
    <i t="blank" r="1">
      <x v="230"/>
    </i>
    <i r="1">
      <x v="233"/>
    </i>
    <i r="2">
      <x v="164"/>
    </i>
    <i t="blank" r="1">
      <x v="233"/>
    </i>
    <i>
      <x v="1162"/>
    </i>
    <i r="1">
      <x v="129"/>
    </i>
    <i r="2">
      <x v="26"/>
    </i>
    <i t="blank" r="1">
      <x v="129"/>
    </i>
    <i>
      <x v="1163"/>
    </i>
    <i r="1">
      <x v="413"/>
    </i>
    <i r="2">
      <x v="83"/>
    </i>
    <i t="blank" r="1">
      <x v="413"/>
    </i>
    <i>
      <x v="1164"/>
    </i>
    <i r="1">
      <x v="436"/>
    </i>
    <i r="2">
      <x v="245"/>
    </i>
    <i t="blank" r="1">
      <x v="436"/>
    </i>
    <i>
      <x v="1165"/>
    </i>
    <i r="1">
      <x v="493"/>
    </i>
    <i r="2">
      <x v="261"/>
    </i>
    <i t="blank" r="1">
      <x v="493"/>
    </i>
    <i>
      <x v="1166"/>
    </i>
    <i r="1">
      <x v="501"/>
    </i>
    <i r="2">
      <x v="22"/>
    </i>
    <i t="blank" r="1">
      <x v="501"/>
    </i>
    <i>
      <x v="1167"/>
    </i>
    <i r="1">
      <x v="282"/>
    </i>
    <i r="2">
      <x v="53"/>
    </i>
    <i t="blank" r="1">
      <x v="282"/>
    </i>
    <i r="1">
      <x v="290"/>
    </i>
    <i r="2">
      <x v="7"/>
    </i>
    <i t="blank" r="1">
      <x v="290"/>
    </i>
    <i r="1">
      <x v="309"/>
    </i>
    <i r="2">
      <x v="171"/>
    </i>
    <i t="blank" r="1">
      <x v="309"/>
    </i>
    <i r="1">
      <x v="352"/>
    </i>
    <i r="2">
      <x v="36"/>
    </i>
    <i t="blank" r="1">
      <x v="352"/>
    </i>
    <i r="1">
      <x v="408"/>
    </i>
    <i r="2">
      <x v="171"/>
    </i>
    <i t="blank" r="1">
      <x v="408"/>
    </i>
    <i r="1">
      <x v="441"/>
    </i>
    <i r="2">
      <x v="162"/>
    </i>
    <i t="blank" r="1">
      <x v="441"/>
    </i>
    <i>
      <x v="1168"/>
    </i>
    <i r="1">
      <x v="363"/>
    </i>
    <i r="2">
      <x v="21"/>
    </i>
    <i t="blank" r="1">
      <x v="363"/>
    </i>
    <i r="1">
      <x v="390"/>
    </i>
    <i r="2">
      <x v="169"/>
    </i>
    <i t="blank" r="1">
      <x v="390"/>
    </i>
    <i>
      <x v="1169"/>
    </i>
    <i r="1">
      <x v="500"/>
    </i>
    <i r="2">
      <x v="55"/>
    </i>
    <i t="blank" r="1">
      <x v="500"/>
    </i>
    <i>
      <x v="1170"/>
    </i>
    <i r="1">
      <x v="22"/>
    </i>
    <i r="2">
      <x v="16"/>
    </i>
    <i t="blank" r="1">
      <x v="22"/>
    </i>
    <i>
      <x v="1171"/>
    </i>
    <i r="1">
      <x v="449"/>
    </i>
    <i r="2">
      <x v="261"/>
    </i>
    <i t="blank" r="1">
      <x v="449"/>
    </i>
    <i>
      <x v="1172"/>
    </i>
    <i r="1">
      <x v="223"/>
    </i>
    <i r="2">
      <x v="160"/>
    </i>
    <i t="blank" r="1">
      <x v="223"/>
    </i>
    <i>
      <x v="1173"/>
    </i>
    <i r="1">
      <x v="97"/>
    </i>
    <i r="2">
      <x v="55"/>
    </i>
    <i t="blank" r="1">
      <x v="97"/>
    </i>
    <i>
      <x v="1174"/>
    </i>
    <i r="1">
      <x v="256"/>
    </i>
    <i r="2">
      <x v="38"/>
    </i>
    <i t="blank" r="1">
      <x v="256"/>
    </i>
    <i>
      <x v="1175"/>
    </i>
    <i r="1">
      <x v="448"/>
    </i>
    <i r="2">
      <x v="261"/>
    </i>
    <i t="blank" r="1">
      <x v="448"/>
    </i>
    <i>
      <x v="1176"/>
    </i>
    <i r="1">
      <x v="234"/>
    </i>
    <i r="2">
      <x v="164"/>
    </i>
    <i t="blank" r="1">
      <x v="234"/>
    </i>
    <i r="1">
      <x v="236"/>
    </i>
    <i r="2">
      <x v="27"/>
    </i>
    <i t="blank" r="1">
      <x v="236"/>
    </i>
    <i>
      <x v="1177"/>
    </i>
    <i r="1">
      <x v="251"/>
    </i>
    <i r="2">
      <x v="164"/>
    </i>
    <i t="blank" r="1">
      <x v="251"/>
    </i>
    <i r="1">
      <x v="254"/>
    </i>
    <i r="2">
      <x v="164"/>
    </i>
    <i t="blank" r="1">
      <x v="254"/>
    </i>
    <i r="1">
      <x v="255"/>
    </i>
    <i r="2">
      <x v="164"/>
    </i>
    <i t="blank" r="1">
      <x v="255"/>
    </i>
    <i>
      <x v="1178"/>
    </i>
    <i r="1">
      <x v="280"/>
    </i>
    <i r="2">
      <x v="54"/>
    </i>
    <i t="blank" r="1">
      <x v="280"/>
    </i>
    <i>
      <x v="1179"/>
    </i>
    <i r="1">
      <x v="365"/>
    </i>
    <i r="2">
      <x v="251"/>
    </i>
    <i t="blank" r="1">
      <x v="365"/>
    </i>
    <i>
      <x v="1180"/>
    </i>
    <i r="1">
      <x v="344"/>
    </i>
    <i r="2">
      <x v="232"/>
    </i>
    <i t="blank" r="1">
      <x v="344"/>
    </i>
    <i>
      <x v="1181"/>
    </i>
    <i r="1">
      <x v="462"/>
    </i>
    <i r="2">
      <x v="21"/>
    </i>
    <i t="blank" r="1">
      <x v="462"/>
    </i>
    <i>
      <x v="1182"/>
    </i>
    <i r="1">
      <x v="280"/>
    </i>
    <i r="2">
      <x v="201"/>
    </i>
    <i t="blank" r="1">
      <x v="280"/>
    </i>
    <i>
      <x v="1183"/>
    </i>
    <i r="1">
      <x v="257"/>
    </i>
    <i r="2">
      <x v="184"/>
    </i>
    <i t="blank" r="1">
      <x v="257"/>
    </i>
    <i r="1">
      <x v="311"/>
    </i>
    <i r="2">
      <x v="184"/>
    </i>
    <i t="blank" r="1">
      <x v="311"/>
    </i>
    <i r="1">
      <x v="347"/>
    </i>
    <i r="2">
      <x v="54"/>
    </i>
    <i t="blank" r="1">
      <x v="347"/>
    </i>
    <i>
      <x v="1184"/>
    </i>
    <i r="1">
      <x v="450"/>
    </i>
    <i r="2">
      <x v="261"/>
    </i>
    <i t="blank" r="1">
      <x v="450"/>
    </i>
    <i>
      <x v="1185"/>
    </i>
    <i r="1">
      <x v="278"/>
    </i>
    <i r="2">
      <x v="22"/>
    </i>
    <i t="blank" r="1">
      <x v="278"/>
    </i>
    <i>
      <x v="1186"/>
    </i>
    <i r="1">
      <x v="440"/>
    </i>
    <i r="2">
      <x v="162"/>
    </i>
    <i t="blank" r="1">
      <x v="440"/>
    </i>
    <i>
      <x v="1187"/>
    </i>
    <i r="1">
      <x v="466"/>
    </i>
    <i r="2">
      <x v="261"/>
    </i>
    <i t="blank" r="1">
      <x v="466"/>
    </i>
    <i>
      <x v="1188"/>
    </i>
    <i r="1">
      <x v="333"/>
    </i>
    <i r="2">
      <x v="62"/>
    </i>
    <i t="blank" r="1">
      <x v="333"/>
    </i>
    <i>
      <x v="1189"/>
    </i>
    <i r="1">
      <x v="395"/>
    </i>
    <i r="2">
      <x v="83"/>
    </i>
    <i t="blank" r="1">
      <x v="395"/>
    </i>
    <i>
      <x v="1190"/>
    </i>
    <i r="1">
      <x v="435"/>
    </i>
    <i r="2">
      <x v="286"/>
    </i>
    <i t="blank" r="1">
      <x v="435"/>
    </i>
    <i>
      <x v="1191"/>
    </i>
    <i r="1">
      <x v="386"/>
    </i>
    <i r="2">
      <x v="83"/>
    </i>
    <i t="blank" r="1">
      <x v="386"/>
    </i>
    <i>
      <x v="1192"/>
    </i>
    <i r="1">
      <x v="196"/>
    </i>
    <i r="2">
      <x v="83"/>
    </i>
    <i t="blank" r="1">
      <x v="196"/>
    </i>
    <i>
      <x v="1193"/>
    </i>
    <i r="1">
      <x v="447"/>
    </i>
    <i r="2">
      <x v="76"/>
    </i>
    <i t="blank" r="1">
      <x v="447"/>
    </i>
    <i>
      <x v="1194"/>
    </i>
    <i r="1">
      <x v="361"/>
    </i>
    <i r="2">
      <x v="171"/>
    </i>
    <i t="blank" r="1">
      <x v="361"/>
    </i>
    <i>
      <x v="1195"/>
    </i>
    <i r="1">
      <x v="237"/>
    </i>
    <i r="2">
      <x v="54"/>
    </i>
    <i t="blank" r="1">
      <x v="237"/>
    </i>
    <i>
      <x v="1196"/>
    </i>
    <i r="1">
      <x v="504"/>
    </i>
    <i r="2">
      <x v="207"/>
    </i>
    <i t="blank" r="1">
      <x v="504"/>
    </i>
    <i>
      <x v="1197"/>
    </i>
    <i r="1">
      <x v="413"/>
    </i>
    <i r="2">
      <x v="83"/>
    </i>
    <i t="blank" r="1">
      <x v="413"/>
    </i>
    <i>
      <x v="1198"/>
    </i>
    <i r="1">
      <x v="269"/>
    </i>
    <i r="2">
      <x v="179"/>
    </i>
    <i t="blank" r="1">
      <x v="269"/>
    </i>
    <i>
      <x v="1199"/>
    </i>
    <i r="1">
      <x v="463"/>
    </i>
    <i r="2">
      <x v="296"/>
    </i>
    <i t="blank" r="1">
      <x v="463"/>
    </i>
    <i>
      <x v="1200"/>
    </i>
    <i r="1">
      <x v="472"/>
    </i>
    <i r="2">
      <x v="261"/>
    </i>
    <i t="blank" r="1">
      <x v="472"/>
    </i>
    <i>
      <x v="1201"/>
    </i>
    <i r="1">
      <x v="362"/>
    </i>
    <i r="2">
      <x v="52"/>
    </i>
    <i t="blank" r="1">
      <x v="362"/>
    </i>
    <i r="1">
      <x v="368"/>
    </i>
    <i r="2">
      <x v="50"/>
    </i>
    <i t="blank" r="1">
      <x v="368"/>
    </i>
    <i r="1">
      <x v="384"/>
    </i>
    <i r="2">
      <x v="36"/>
    </i>
    <i t="blank" r="1">
      <x v="384"/>
    </i>
    <i>
      <x v="1202"/>
    </i>
    <i r="1">
      <x v="383"/>
    </i>
    <i r="2">
      <x v="83"/>
    </i>
    <i t="blank" r="1">
      <x v="383"/>
    </i>
    <i r="1">
      <x v="472"/>
    </i>
    <i r="2">
      <x v="261"/>
    </i>
    <i t="blank" r="1">
      <x v="472"/>
    </i>
    <i>
      <x v="1203"/>
    </i>
    <i r="1">
      <x v="456"/>
    </i>
    <i r="2">
      <x v="83"/>
    </i>
    <i t="blank" r="1">
      <x v="456"/>
    </i>
    <i>
      <x v="1204"/>
    </i>
    <i r="1">
      <x v="332"/>
    </i>
    <i r="2">
      <x v="7"/>
    </i>
    <i t="blank" r="1">
      <x v="332"/>
    </i>
    <i>
      <x v="1205"/>
    </i>
    <i r="1">
      <x v="483"/>
    </i>
    <i r="2">
      <x v="261"/>
    </i>
    <i t="blank" r="1">
      <x v="483"/>
    </i>
    <i>
      <x v="1206"/>
    </i>
    <i r="1">
      <x v="457"/>
    </i>
    <i r="2">
      <x v="83"/>
    </i>
    <i t="blank" r="1">
      <x v="457"/>
    </i>
    <i>
      <x v="1207"/>
    </i>
    <i r="1">
      <x v="102"/>
    </i>
    <i r="2">
      <x v="81"/>
    </i>
    <i t="blank" r="1">
      <x v="102"/>
    </i>
    <i>
      <x v="1208"/>
    </i>
    <i r="1">
      <x v="449"/>
    </i>
    <i r="2">
      <x v="261"/>
    </i>
    <i t="blank" r="1">
      <x v="449"/>
    </i>
    <i>
      <x v="1209"/>
    </i>
    <i r="1">
      <x v="488"/>
    </i>
    <i r="2">
      <x v="202"/>
    </i>
    <i t="blank" r="1">
      <x v="488"/>
    </i>
    <i>
      <x v="1210"/>
    </i>
    <i r="1">
      <x v="447"/>
    </i>
    <i r="2">
      <x v="261"/>
    </i>
    <i t="blank" r="1">
      <x v="447"/>
    </i>
    <i r="1">
      <x v="459"/>
    </i>
    <i r="2">
      <x v="289"/>
    </i>
    <i t="blank" r="1">
      <x v="459"/>
    </i>
    <i r="1">
      <x v="460"/>
    </i>
    <i r="2">
      <x v="289"/>
    </i>
    <i t="blank" r="1">
      <x v="460"/>
    </i>
    <i>
      <x v="1211"/>
    </i>
    <i r="1">
      <x v="502"/>
    </i>
    <i r="2">
      <x v="261"/>
    </i>
    <i t="blank" r="1">
      <x v="502"/>
    </i>
    <i>
      <x v="1212"/>
    </i>
    <i r="1">
      <x v="334"/>
    </i>
    <i r="2">
      <x v="223"/>
    </i>
    <i t="blank" r="1">
      <x v="334"/>
    </i>
    <i>
      <x v="1213"/>
    </i>
    <i r="1">
      <x v="194"/>
    </i>
    <i r="2">
      <x v="83"/>
    </i>
    <i t="blank" r="1">
      <x v="194"/>
    </i>
    <i>
      <x v="1214"/>
    </i>
    <i r="1">
      <x v="158"/>
    </i>
    <i r="2">
      <x v="83"/>
    </i>
    <i t="blank" r="1">
      <x v="158"/>
    </i>
    <i>
      <x v="1215"/>
    </i>
    <i r="1">
      <x v="174"/>
    </i>
    <i r="2">
      <x v="83"/>
    </i>
    <i t="blank" r="1">
      <x v="174"/>
    </i>
    <i>
      <x v="1216"/>
    </i>
    <i r="1">
      <x v="463"/>
    </i>
    <i r="2">
      <x v="294"/>
    </i>
    <i t="blank" r="1">
      <x v="463"/>
    </i>
    <i>
      <x v="1217"/>
    </i>
    <i r="1">
      <x v="434"/>
    </i>
    <i r="2">
      <x v="83"/>
    </i>
    <i t="blank" r="1">
      <x v="434"/>
    </i>
    <i>
      <x v="1218"/>
    </i>
    <i r="1">
      <x v="352"/>
    </i>
    <i r="2">
      <x v="27"/>
    </i>
    <i t="blank" r="1">
      <x v="352"/>
    </i>
    <i r="1">
      <x v="494"/>
    </i>
    <i r="2">
      <x v="51"/>
    </i>
    <i t="blank" r="1">
      <x v="494"/>
    </i>
    <i>
      <x v="1219"/>
    </i>
    <i r="1">
      <x v="475"/>
    </i>
    <i r="2">
      <x v="261"/>
    </i>
    <i t="blank" r="1">
      <x v="475"/>
    </i>
    <i>
      <x v="1220"/>
    </i>
    <i r="1">
      <x v="449"/>
    </i>
    <i r="2">
      <x v="261"/>
    </i>
    <i t="blank" r="1">
      <x v="449"/>
    </i>
    <i r="1">
      <x v="457"/>
    </i>
    <i r="2">
      <x v="286"/>
    </i>
    <i t="blank" r="1">
      <x v="457"/>
    </i>
    <i>
      <x v="1221"/>
    </i>
    <i r="1">
      <x v="336"/>
    </i>
    <i r="2">
      <x v="169"/>
    </i>
    <i t="blank" r="1">
      <x v="336"/>
    </i>
    <i>
      <x v="1222"/>
    </i>
    <i r="1">
      <x v="70"/>
    </i>
    <i r="2">
      <x v="33"/>
    </i>
    <i t="blank" r="1">
      <x v="70"/>
    </i>
    <i r="1">
      <x v="224"/>
    </i>
    <i r="2">
      <x v="28"/>
    </i>
    <i t="blank" r="1">
      <x v="224"/>
    </i>
    <i r="1">
      <x v="233"/>
    </i>
    <i r="2">
      <x v="28"/>
    </i>
    <i t="blank" r="1">
      <x v="233"/>
    </i>
    <i>
      <x v="1223"/>
    </i>
    <i r="1">
      <x v="490"/>
    </i>
    <i r="2">
      <x v="261"/>
    </i>
    <i t="blank" r="1">
      <x v="490"/>
    </i>
    <i>
      <x v="1224"/>
    </i>
    <i r="1">
      <x v="431"/>
    </i>
    <i r="2">
      <x v="171"/>
    </i>
    <i t="blank" r="1">
      <x v="431"/>
    </i>
    <i>
      <x v="1225"/>
    </i>
    <i r="1">
      <x v="449"/>
    </i>
    <i r="2">
      <x v="78"/>
    </i>
    <i t="blank" r="1">
      <x v="449"/>
    </i>
    <i>
      <x v="1226"/>
    </i>
    <i r="1">
      <x v="367"/>
    </i>
    <i r="2">
      <x v="224"/>
    </i>
    <i t="blank" r="1">
      <x v="367"/>
    </i>
    <i r="1">
      <x v="481"/>
    </i>
    <i r="2">
      <x v="176"/>
    </i>
    <i t="blank" r="1">
      <x v="481"/>
    </i>
    <i>
      <x v="1227"/>
    </i>
    <i r="1">
      <x v="336"/>
    </i>
    <i r="2">
      <x v="32"/>
    </i>
    <i t="blank" r="1">
      <x v="336"/>
    </i>
    <i r="1">
      <x v="371"/>
    </i>
    <i r="2">
      <x v="184"/>
    </i>
    <i t="blank" r="1">
      <x v="371"/>
    </i>
    <i>
      <x v="1228"/>
    </i>
    <i r="1">
      <x v="429"/>
    </i>
    <i r="2">
      <x v="83"/>
    </i>
    <i t="blank" r="1">
      <x v="429"/>
    </i>
    <i>
      <x v="1229"/>
    </i>
    <i r="1">
      <x v="495"/>
    </i>
    <i r="2">
      <x v="253"/>
    </i>
    <i t="blank" r="1">
      <x v="495"/>
    </i>
    <i>
      <x v="1230"/>
    </i>
    <i r="1">
      <x v="87"/>
    </i>
    <i r="2">
      <x v="59"/>
    </i>
    <i t="blank" r="1">
      <x v="87"/>
    </i>
    <i>
      <x v="1231"/>
    </i>
    <i r="1">
      <x v="406"/>
    </i>
    <i r="2">
      <x v="83"/>
    </i>
    <i t="blank" r="1">
      <x v="406"/>
    </i>
    <i>
      <x v="1232"/>
    </i>
    <i r="1">
      <x v="490"/>
    </i>
    <i r="2">
      <x v="262"/>
    </i>
    <i t="blank" r="1">
      <x v="490"/>
    </i>
    <i>
      <x v="1233"/>
    </i>
    <i r="1">
      <x v="442"/>
    </i>
    <i r="2">
      <x v="83"/>
    </i>
    <i t="blank" r="1">
      <x v="442"/>
    </i>
    <i r="1">
      <x v="453"/>
    </i>
    <i r="2">
      <x v="261"/>
    </i>
    <i t="blank" r="1">
      <x v="453"/>
    </i>
    <i r="1">
      <x v="461"/>
    </i>
    <i r="2">
      <x v="261"/>
    </i>
    <i t="blank" r="1">
      <x v="461"/>
    </i>
    <i>
      <x v="1234"/>
    </i>
    <i r="1">
      <x v="403"/>
    </i>
    <i r="2">
      <x v="83"/>
    </i>
    <i t="blank" r="1">
      <x v="403"/>
    </i>
    <i>
      <x v="1235"/>
    </i>
    <i r="1">
      <x v="286"/>
    </i>
    <i r="2">
      <x v="15"/>
    </i>
    <i t="blank" r="1">
      <x v="286"/>
    </i>
    <i>
      <x v="1236"/>
    </i>
    <i r="1">
      <x v="196"/>
    </i>
    <i r="2">
      <x v="83"/>
    </i>
    <i t="blank" r="1">
      <x v="196"/>
    </i>
    <i>
      <x v="1237"/>
    </i>
    <i r="1">
      <x v="402"/>
    </i>
    <i r="2">
      <x v="83"/>
    </i>
    <i t="blank" r="1">
      <x v="402"/>
    </i>
    <i>
      <x v="1238"/>
    </i>
    <i r="1">
      <x v="448"/>
    </i>
    <i r="2">
      <x v="261"/>
    </i>
    <i t="blank" r="1">
      <x v="448"/>
    </i>
    <i>
      <x v="1239"/>
    </i>
    <i r="1">
      <x v="87"/>
    </i>
    <i r="2">
      <x v="57"/>
    </i>
    <i t="blank" r="1">
      <x v="87"/>
    </i>
    <i>
      <x v="1240"/>
    </i>
    <i r="1">
      <x v="454"/>
    </i>
    <i r="2">
      <x v="261"/>
    </i>
    <i t="blank" r="1">
      <x v="454"/>
    </i>
    <i>
      <x v="1241"/>
    </i>
    <i r="1">
      <x v="385"/>
    </i>
    <i r="2">
      <x v="263"/>
    </i>
    <i t="blank" r="1">
      <x v="385"/>
    </i>
    <i>
      <x v="1242"/>
    </i>
    <i r="1">
      <x v="339"/>
    </i>
    <i r="2">
      <x v="228"/>
    </i>
    <i t="blank" r="1">
      <x v="339"/>
    </i>
    <i>
      <x v="1243"/>
    </i>
    <i r="1">
      <x v="460"/>
    </i>
    <i r="2">
      <x v="261"/>
    </i>
    <i t="blank" r="1">
      <x v="460"/>
    </i>
    <i>
      <x v="1244"/>
    </i>
    <i r="1">
      <x v="302"/>
    </i>
    <i r="2">
      <x v="96"/>
    </i>
    <i t="blank" r="1">
      <x v="302"/>
    </i>
    <i>
      <x v="1245"/>
    </i>
    <i r="1">
      <x v="437"/>
    </i>
    <i r="2">
      <x v="83"/>
    </i>
    <i t="blank" r="1">
      <x v="437"/>
    </i>
    <i>
      <x v="1246"/>
    </i>
    <i r="1">
      <x v="345"/>
    </i>
    <i r="2">
      <x v="215"/>
    </i>
    <i t="blank" r="1">
      <x v="345"/>
    </i>
    <i>
      <x v="1247"/>
    </i>
    <i r="1">
      <x v="461"/>
    </i>
    <i r="2">
      <x v="261"/>
    </i>
    <i t="blank" r="1">
      <x v="461"/>
    </i>
    <i>
      <x v="1248"/>
    </i>
    <i r="1">
      <x v="489"/>
    </i>
    <i r="2">
      <x v="289"/>
    </i>
    <i t="blank" r="1">
      <x v="489"/>
    </i>
    <i>
      <x v="1249"/>
    </i>
    <i r="1">
      <x v="382"/>
    </i>
    <i r="2">
      <x v="261"/>
    </i>
    <i t="blank" r="1">
      <x v="382"/>
    </i>
    <i>
      <x v="1250"/>
    </i>
    <i r="1">
      <x v="403"/>
    </i>
    <i r="2">
      <x v="83"/>
    </i>
    <i t="blank" r="1">
      <x v="403"/>
    </i>
    <i>
      <x v="1251"/>
    </i>
    <i r="1">
      <x v="131"/>
    </i>
    <i r="2">
      <x v="68"/>
    </i>
    <i t="blank" r="1">
      <x v="131"/>
    </i>
    <i>
      <x v="1252"/>
    </i>
    <i r="1">
      <x v="359"/>
    </i>
    <i r="2">
      <x v="245"/>
    </i>
    <i t="blank" r="1">
      <x v="359"/>
    </i>
    <i>
      <x v="1253"/>
    </i>
    <i r="1">
      <x v="241"/>
    </i>
    <i r="2">
      <x v="54"/>
    </i>
    <i t="blank" r="1">
      <x v="241"/>
    </i>
    <i>
      <x v="1254"/>
    </i>
    <i r="1">
      <x v="378"/>
    </i>
    <i r="2">
      <x v="257"/>
    </i>
    <i t="blank" r="1">
      <x v="378"/>
    </i>
    <i>
      <x v="1255"/>
    </i>
    <i r="1">
      <x v="463"/>
    </i>
    <i r="2">
      <x v="253"/>
    </i>
    <i t="blank" r="1">
      <x v="463"/>
    </i>
    <i>
      <x v="1256"/>
    </i>
    <i r="1">
      <x v="475"/>
    </i>
    <i r="2">
      <x v="296"/>
    </i>
    <i t="blank" r="1">
      <x v="475"/>
    </i>
    <i>
      <x v="1257"/>
    </i>
    <i r="1">
      <x v="109"/>
    </i>
    <i r="2">
      <x v="94"/>
    </i>
    <i t="blank" r="1">
      <x v="109"/>
    </i>
    <i>
      <x v="1258"/>
    </i>
    <i r="1">
      <x v="505"/>
    </i>
    <i r="2">
      <x v="261"/>
    </i>
    <i t="blank" r="1">
      <x v="505"/>
    </i>
    <i>
      <x v="1259"/>
    </i>
    <i r="1">
      <x v="90"/>
    </i>
    <i r="2">
      <x v="64"/>
    </i>
    <i t="blank" r="1">
      <x v="90"/>
    </i>
    <i>
      <x v="1260"/>
    </i>
    <i r="1">
      <x v="362"/>
    </i>
    <i r="2">
      <x v="245"/>
    </i>
    <i t="blank" r="1">
      <x v="362"/>
    </i>
    <i>
      <x v="1261"/>
    </i>
    <i r="1">
      <x v="381"/>
    </i>
    <i r="2">
      <x v="261"/>
    </i>
    <i t="blank" r="1">
      <x v="381"/>
    </i>
    <i>
      <x v="1262"/>
    </i>
    <i r="1">
      <x v="405"/>
    </i>
    <i r="2">
      <x v="83"/>
    </i>
    <i t="blank" r="1">
      <x v="405"/>
    </i>
    <i>
      <x v="1263"/>
    </i>
    <i r="1">
      <x v="504"/>
    </i>
    <i r="2">
      <x v="310"/>
    </i>
    <i t="blank" r="1">
      <x v="504"/>
    </i>
    <i>
      <x v="1264"/>
    </i>
    <i r="1">
      <x v="349"/>
    </i>
    <i r="2">
      <x v="164"/>
    </i>
    <i t="blank" r="1">
      <x v="349"/>
    </i>
    <i r="1">
      <x v="368"/>
    </i>
    <i r="2">
      <x v="193"/>
    </i>
    <i t="blank" r="1">
      <x v="368"/>
    </i>
    <i>
      <x v="1265"/>
    </i>
    <i r="1">
      <x v="193"/>
    </i>
    <i r="2">
      <x v="11"/>
    </i>
    <i t="blank" r="1">
      <x v="193"/>
    </i>
    <i>
      <x v="1266"/>
    </i>
    <i r="1">
      <x v="437"/>
    </i>
    <i r="2">
      <x v="83"/>
    </i>
    <i t="blank" r="1">
      <x v="437"/>
    </i>
    <i>
      <x v="1267"/>
    </i>
    <i r="1">
      <x v="98"/>
    </i>
    <i r="2">
      <x v="76"/>
    </i>
    <i t="blank" r="1">
      <x v="98"/>
    </i>
    <i r="1">
      <x v="493"/>
    </i>
    <i r="2">
      <x v="41"/>
    </i>
    <i t="blank" r="1">
      <x v="493"/>
    </i>
    <i>
      <x v="1268"/>
    </i>
    <i r="1">
      <x v="352"/>
    </i>
    <i r="2">
      <x v="22"/>
    </i>
    <i t="blank" r="1">
      <x v="352"/>
    </i>
    <i>
      <x v="1269"/>
    </i>
    <i r="1">
      <x v="412"/>
    </i>
    <i r="2">
      <x v="253"/>
    </i>
    <i t="blank" r="1">
      <x v="412"/>
    </i>
    <i>
      <x v="1270"/>
    </i>
    <i r="1">
      <x v="314"/>
    </i>
    <i r="2">
      <x v="171"/>
    </i>
    <i t="blank" r="1">
      <x v="314"/>
    </i>
    <i>
      <x v="1271"/>
    </i>
    <i r="1">
      <x v="473"/>
    </i>
    <i r="2">
      <x v="261"/>
    </i>
    <i t="blank" r="1">
      <x v="473"/>
    </i>
    <i>
      <x v="1272"/>
    </i>
    <i r="1">
      <x v="378"/>
    </i>
    <i r="2">
      <x v="15"/>
    </i>
    <i t="blank" r="1">
      <x v="378"/>
    </i>
    <i>
      <x v="1273"/>
    </i>
    <i r="1">
      <x v="447"/>
    </i>
    <i r="2">
      <x v="289"/>
    </i>
    <i t="blank" r="1">
      <x v="447"/>
    </i>
    <i>
      <x v="1274"/>
    </i>
    <i r="1">
      <x v="118"/>
    </i>
    <i r="2">
      <x v="94"/>
    </i>
    <i t="blank" r="1">
      <x v="118"/>
    </i>
    <i>
      <x v="1275"/>
    </i>
    <i r="1">
      <x v="431"/>
    </i>
    <i r="2">
      <x v="83"/>
    </i>
    <i t="blank" r="1">
      <x v="431"/>
    </i>
    <i>
      <x v="1276"/>
    </i>
    <i r="1">
      <x v="373"/>
    </i>
    <i r="2">
      <x v="83"/>
    </i>
    <i t="blank" r="1">
      <x v="373"/>
    </i>
    <i>
      <x v="1277"/>
    </i>
    <i r="1">
      <x v="334"/>
    </i>
    <i r="2">
      <x v="148"/>
    </i>
    <i t="blank" r="1">
      <x v="334"/>
    </i>
    <i>
      <x v="1278"/>
    </i>
    <i r="1">
      <x v="445"/>
    </i>
    <i r="2">
      <x v="287"/>
    </i>
    <i t="blank" r="1">
      <x v="445"/>
    </i>
    <i r="1">
      <x v="503"/>
    </i>
    <i r="2">
      <x v="286"/>
    </i>
    <i t="blank" r="1">
      <x v="503"/>
    </i>
    <i>
      <x v="1279"/>
    </i>
    <i r="1">
      <x v="485"/>
    </i>
    <i r="2">
      <x v="51"/>
    </i>
    <i t="blank" r="1">
      <x v="485"/>
    </i>
    <i>
      <x v="1280"/>
    </i>
    <i r="1">
      <x v="417"/>
    </i>
    <i r="2">
      <x v="83"/>
    </i>
    <i t="blank" r="1">
      <x v="417"/>
    </i>
    <i>
      <x v="1281"/>
    </i>
    <i r="1">
      <x v="450"/>
    </i>
    <i r="2">
      <x v="261"/>
    </i>
    <i t="blank" r="1">
      <x v="450"/>
    </i>
    <i>
      <x v="1282"/>
    </i>
    <i r="1">
      <x v="463"/>
    </i>
    <i r="2">
      <x v="46"/>
    </i>
    <i t="blank" r="1">
      <x v="463"/>
    </i>
    <i r="1">
      <x v="488"/>
    </i>
    <i r="2">
      <x v="180"/>
    </i>
    <i t="blank" r="1">
      <x v="488"/>
    </i>
    <i>
      <x v="1283"/>
    </i>
    <i r="1">
      <x v="483"/>
    </i>
    <i r="2">
      <x v="289"/>
    </i>
    <i t="blank" r="1">
      <x v="483"/>
    </i>
    <i>
      <x v="1284"/>
    </i>
    <i r="1">
      <x v="402"/>
    </i>
    <i r="2">
      <x v="83"/>
    </i>
    <i t="blank" r="1">
      <x v="402"/>
    </i>
    <i>
      <x v="1285"/>
    </i>
    <i r="1">
      <x v="384"/>
    </i>
    <i r="2">
      <x v="83"/>
    </i>
    <i t="blank" r="1">
      <x v="384"/>
    </i>
    <i>
      <x v="1286"/>
    </i>
    <i r="1">
      <x v="92"/>
    </i>
    <i r="2">
      <x v="67"/>
    </i>
    <i t="blank" r="1">
      <x v="92"/>
    </i>
    <i>
      <x v="1287"/>
    </i>
    <i r="1">
      <x v="382"/>
    </i>
    <i r="2">
      <x v="83"/>
    </i>
    <i t="blank" r="1">
      <x v="382"/>
    </i>
    <i>
      <x v="1288"/>
    </i>
    <i r="1">
      <x v="116"/>
    </i>
    <i r="2">
      <x v="7"/>
    </i>
    <i t="blank" r="1">
      <x v="116"/>
    </i>
    <i>
      <x v="1289"/>
    </i>
    <i r="1">
      <x v="382"/>
    </i>
    <i r="2">
      <x v="250"/>
    </i>
    <i t="blank" r="1">
      <x v="382"/>
    </i>
    <i>
      <x v="1290"/>
    </i>
    <i r="1">
      <x v="43"/>
    </i>
    <i r="2">
      <x v="18"/>
    </i>
    <i t="blank" r="1">
      <x v="43"/>
    </i>
    <i>
      <x v="1291"/>
    </i>
    <i r="1">
      <x v="40"/>
    </i>
    <i r="2">
      <x v="65"/>
    </i>
    <i t="blank" r="1">
      <x v="40"/>
    </i>
    <i r="1">
      <x v="206"/>
    </i>
    <i r="2">
      <x v="65"/>
    </i>
    <i t="blank" r="1">
      <x v="206"/>
    </i>
    <i>
      <x v="1292"/>
    </i>
    <i r="1">
      <x v="277"/>
    </i>
    <i r="2">
      <x v="197"/>
    </i>
    <i t="blank" r="1">
      <x v="277"/>
    </i>
    <i r="1">
      <x v="459"/>
    </i>
    <i r="2">
      <x v="59"/>
    </i>
    <i t="blank" r="1">
      <x v="459"/>
    </i>
    <i>
      <x v="1293"/>
    </i>
    <i r="1">
      <x v="431"/>
    </i>
    <i r="2">
      <x v="272"/>
    </i>
    <i t="blank" r="1">
      <x v="431"/>
    </i>
    <i r="1">
      <x v="481"/>
    </i>
    <i r="2">
      <x v="176"/>
    </i>
    <i t="blank" r="1">
      <x v="481"/>
    </i>
    <i>
      <x v="1294"/>
    </i>
    <i r="1">
      <x v="147"/>
    </i>
    <i r="2">
      <x v="126"/>
    </i>
    <i t="blank" r="1">
      <x v="147"/>
    </i>
    <i>
      <x v="1295"/>
    </i>
    <i r="1">
      <x v="354"/>
    </i>
    <i r="2">
      <x v="14"/>
    </i>
    <i t="blank" r="1">
      <x v="354"/>
    </i>
    <i>
      <x v="1296"/>
    </i>
    <i r="1">
      <x v="438"/>
    </i>
    <i r="2">
      <x v="83"/>
    </i>
    <i t="blank" r="1">
      <x v="438"/>
    </i>
    <i>
      <x v="1297"/>
    </i>
    <i r="1">
      <x v="230"/>
    </i>
    <i r="2">
      <x v="28"/>
    </i>
    <i t="blank" r="1">
      <x v="230"/>
    </i>
    <i>
      <x v="1298"/>
    </i>
    <i r="1">
      <x v="339"/>
    </i>
    <i r="2">
      <x v="229"/>
    </i>
    <i t="blank" r="1">
      <x v="339"/>
    </i>
    <i>
      <x v="1299"/>
    </i>
    <i r="1">
      <x v="493"/>
    </i>
    <i r="2">
      <x v="89"/>
    </i>
    <i t="blank" r="1">
      <x v="493"/>
    </i>
    <i>
      <x v="1300"/>
    </i>
    <i r="1">
      <x v="474"/>
    </i>
    <i r="2">
      <x v="289"/>
    </i>
    <i t="blank" r="1">
      <x v="474"/>
    </i>
    <i>
      <x v="1301"/>
    </i>
    <i r="1">
      <x v="68"/>
    </i>
    <i r="2">
      <x v="28"/>
    </i>
    <i t="blank" r="1">
      <x v="68"/>
    </i>
    <i>
      <x v="1302"/>
    </i>
    <i r="1">
      <x v="342"/>
    </i>
    <i r="2">
      <x v="231"/>
    </i>
    <i t="blank" r="1">
      <x v="342"/>
    </i>
    <i>
      <x v="1303"/>
    </i>
    <i r="1">
      <x v="483"/>
    </i>
    <i r="2">
      <x v="261"/>
    </i>
    <i t="blank" r="1">
      <x v="483"/>
    </i>
    <i>
      <x v="1304"/>
    </i>
    <i r="1">
      <x v="458"/>
    </i>
    <i r="2">
      <x v="261"/>
    </i>
    <i t="blank" r="1">
      <x v="458"/>
    </i>
    <i>
      <x v="1305"/>
    </i>
    <i r="1">
      <x v="447"/>
    </i>
    <i r="2">
      <x v="261"/>
    </i>
    <i t="blank" r="1">
      <x v="447"/>
    </i>
    <i>
      <x v="1306"/>
    </i>
    <i r="1">
      <x v="423"/>
    </i>
    <i r="2">
      <x v="83"/>
    </i>
    <i t="blank" r="1">
      <x v="423"/>
    </i>
    <i r="1">
      <x v="434"/>
    </i>
    <i r="2">
      <x v="286"/>
    </i>
    <i t="blank" r="1">
      <x v="434"/>
    </i>
    <i r="1">
      <x v="441"/>
    </i>
    <i r="2">
      <x v="83"/>
    </i>
    <i t="blank" r="1">
      <x v="441"/>
    </i>
    <i>
      <x v="1307"/>
    </i>
    <i r="1">
      <x v="474"/>
    </i>
    <i r="2">
      <x v="261"/>
    </i>
    <i t="blank" r="1">
      <x v="474"/>
    </i>
    <i>
      <x v="1308"/>
    </i>
    <i r="1">
      <x v="403"/>
    </i>
    <i r="2">
      <x v="83"/>
    </i>
    <i t="blank" r="1">
      <x v="403"/>
    </i>
    <i>
      <x v="1309"/>
    </i>
    <i r="1">
      <x v="150"/>
    </i>
    <i r="2">
      <x v="22"/>
    </i>
    <i t="blank" r="1">
      <x v="150"/>
    </i>
    <i>
      <x v="1310"/>
    </i>
    <i r="1">
      <x v="417"/>
    </i>
    <i r="2">
      <x v="83"/>
    </i>
    <i t="blank" r="1">
      <x v="417"/>
    </i>
    <i>
      <x v="1311"/>
    </i>
    <i r="1">
      <x v="210"/>
    </i>
    <i r="2">
      <x v="151"/>
    </i>
    <i t="blank" r="1">
      <x v="210"/>
    </i>
    <i>
      <x v="1312"/>
    </i>
    <i r="1">
      <x v="15"/>
    </i>
    <i r="2">
      <x v="21"/>
    </i>
    <i t="blank" r="1">
      <x v="15"/>
    </i>
    <i r="1">
      <x v="21"/>
    </i>
    <i r="2">
      <x v="22"/>
    </i>
    <i t="blank" r="1">
      <x v="21"/>
    </i>
    <i>
      <x v="1313"/>
    </i>
    <i r="1">
      <x v="473"/>
    </i>
    <i r="2">
      <x v="261"/>
    </i>
    <i t="blank" r="1">
      <x v="473"/>
    </i>
    <i>
      <x v="1314"/>
    </i>
    <i r="1">
      <x v="302"/>
    </i>
    <i r="2">
      <x v="219"/>
    </i>
    <i t="blank" r="1">
      <x v="302"/>
    </i>
    <i>
      <x v="1315"/>
    </i>
    <i r="1">
      <x v="474"/>
    </i>
    <i r="2">
      <x v="261"/>
    </i>
    <i t="blank" r="1">
      <x v="474"/>
    </i>
    <i>
      <x v="1316"/>
    </i>
    <i r="1">
      <x v="184"/>
    </i>
    <i r="2">
      <x v="26"/>
    </i>
    <i t="blank" r="1">
      <x v="184"/>
    </i>
    <i>
      <x v="1317"/>
    </i>
    <i r="1">
      <x v="298"/>
    </i>
    <i r="2">
      <x v="41"/>
    </i>
    <i t="blank" r="1">
      <x v="298"/>
    </i>
    <i>
      <x v="1318"/>
    </i>
    <i r="1">
      <x v="389"/>
    </i>
    <i r="2">
      <x v="213"/>
    </i>
    <i t="blank" r="1">
      <x v="389"/>
    </i>
    <i>
      <x v="1319"/>
    </i>
    <i r="1">
      <x v="409"/>
    </i>
    <i r="2">
      <x v="83"/>
    </i>
    <i t="blank" r="1">
      <x v="409"/>
    </i>
    <i>
      <x v="1320"/>
    </i>
    <i r="1">
      <x v="172"/>
    </i>
    <i r="2">
      <x v="22"/>
    </i>
    <i t="blank" r="1">
      <x v="172"/>
    </i>
    <i>
      <x v="1321"/>
    </i>
    <i r="1">
      <x v="443"/>
    </i>
    <i r="2">
      <x v="17"/>
    </i>
    <i t="blank" r="1">
      <x v="443"/>
    </i>
    <i>
      <x v="1322"/>
    </i>
    <i r="1">
      <x v="500"/>
    </i>
    <i r="2">
      <x v="76"/>
    </i>
    <i t="blank" r="1">
      <x v="500"/>
    </i>
    <i>
      <x v="1323"/>
    </i>
    <i r="1">
      <x v="412"/>
    </i>
    <i r="2">
      <x v="83"/>
    </i>
    <i t="blank" r="1">
      <x v="412"/>
    </i>
    <i r="1">
      <x v="419"/>
    </i>
    <i r="2">
      <x v="83"/>
    </i>
    <i t="blank" r="1">
      <x v="419"/>
    </i>
    <i>
      <x v="1324"/>
    </i>
    <i r="1">
      <x v="501"/>
    </i>
    <i r="2">
      <x v="261"/>
    </i>
    <i t="blank" r="1">
      <x v="501"/>
    </i>
    <i>
      <x v="1325"/>
    </i>
    <i r="1">
      <x v="171"/>
    </i>
    <i r="2">
      <x v="22"/>
    </i>
    <i t="blank" r="1">
      <x v="171"/>
    </i>
    <i>
      <x v="1326"/>
    </i>
    <i r="1">
      <x v="262"/>
    </i>
    <i r="2">
      <x v="15"/>
    </i>
    <i t="blank" r="1">
      <x v="262"/>
    </i>
    <i>
      <x v="1327"/>
    </i>
    <i r="1">
      <x v="306"/>
    </i>
    <i r="2">
      <x v="28"/>
    </i>
    <i t="blank" r="1">
      <x v="306"/>
    </i>
    <i>
      <x v="1328"/>
    </i>
    <i r="1">
      <x v="91"/>
    </i>
    <i r="2">
      <x v="43"/>
    </i>
    <i t="blank" r="1">
      <x v="91"/>
    </i>
    <i>
      <x v="1329"/>
    </i>
    <i r="1">
      <x v="419"/>
    </i>
    <i r="2">
      <x v="26"/>
    </i>
    <i t="blank" r="1">
      <x v="419"/>
    </i>
    <i r="1">
      <x v="436"/>
    </i>
    <i r="2">
      <x v="19"/>
    </i>
    <i t="blank" r="1">
      <x v="436"/>
    </i>
    <i>
      <x v="1330"/>
    </i>
    <i r="1">
      <x v="472"/>
    </i>
    <i r="2">
      <x v="261"/>
    </i>
    <i t="blank" r="1">
      <x v="472"/>
    </i>
    <i>
      <x v="1331"/>
    </i>
    <i r="1">
      <x v="466"/>
    </i>
    <i r="2">
      <x v="261"/>
    </i>
    <i t="blank" r="1">
      <x v="466"/>
    </i>
    <i>
      <x v="1332"/>
    </i>
    <i r="1">
      <x v="91"/>
    </i>
    <i r="2">
      <x v="26"/>
    </i>
    <i t="blank" r="1">
      <x v="91"/>
    </i>
    <i r="1">
      <x v="244"/>
    </i>
    <i r="2">
      <x v="26"/>
    </i>
    <i t="blank" r="1">
      <x v="244"/>
    </i>
    <i r="1">
      <x v="271"/>
    </i>
    <i r="2">
      <x v="14"/>
    </i>
    <i t="blank" r="1">
      <x v="271"/>
    </i>
    <i>
      <x v="1333"/>
    </i>
    <i r="1">
      <x v="389"/>
    </i>
    <i r="2">
      <x v="83"/>
    </i>
    <i t="blank" r="1">
      <x v="389"/>
    </i>
    <i>
      <x v="1334"/>
    </i>
    <i r="1">
      <x v="133"/>
    </i>
    <i r="2">
      <x v="6"/>
    </i>
    <i r="2">
      <x v="22"/>
    </i>
    <i t="blank" r="1">
      <x v="133"/>
    </i>
    <i r="1">
      <x v="416"/>
    </i>
    <i r="2">
      <x v="26"/>
    </i>
    <i t="blank" r="1">
      <x v="416"/>
    </i>
    <i>
      <x v="1335"/>
    </i>
    <i r="1">
      <x v="349"/>
    </i>
    <i r="2">
      <x v="215"/>
    </i>
    <i t="blank" r="1">
      <x v="349"/>
    </i>
    <i r="1">
      <x v="369"/>
    </i>
    <i r="2">
      <x v="41"/>
    </i>
    <i t="blank" r="1">
      <x v="369"/>
    </i>
    <i r="1">
      <x v="450"/>
    </i>
    <i r="2">
      <x v="287"/>
    </i>
    <i t="blank" r="1">
      <x v="450"/>
    </i>
    <i>
      <x v="1336"/>
    </i>
    <i r="1">
      <x v="501"/>
    </i>
    <i r="2">
      <x v="261"/>
    </i>
    <i t="blank" r="1">
      <x v="501"/>
    </i>
    <i>
      <x v="1337"/>
    </i>
    <i r="1">
      <x v="402"/>
    </i>
    <i r="2">
      <x v="178"/>
    </i>
    <i t="blank" r="1">
      <x v="402"/>
    </i>
    <i>
      <x v="1338"/>
    </i>
    <i r="1">
      <x v="95"/>
    </i>
    <i r="2">
      <x v="21"/>
    </i>
    <i t="blank" r="1">
      <x v="95"/>
    </i>
    <i r="1">
      <x v="118"/>
    </i>
    <i r="2">
      <x v="22"/>
    </i>
    <i t="blank" r="1">
      <x v="118"/>
    </i>
    <i r="1">
      <x v="303"/>
    </i>
    <i r="2">
      <x v="21"/>
    </i>
    <i t="blank" r="1">
      <x v="303"/>
    </i>
    <i>
      <x v="1339"/>
    </i>
    <i r="1">
      <x v="139"/>
    </i>
    <i r="2">
      <x v="15"/>
    </i>
    <i t="blank" r="1">
      <x v="139"/>
    </i>
    <i>
      <x v="1340"/>
    </i>
    <i r="1">
      <x v="502"/>
    </i>
    <i r="2">
      <x v="310"/>
    </i>
    <i t="blank" r="1">
      <x v="502"/>
    </i>
    <i>
      <x v="1341"/>
    </i>
    <i r="1">
      <x v="490"/>
    </i>
    <i r="2">
      <x v="261"/>
    </i>
    <i t="blank" r="1">
      <x v="490"/>
    </i>
    <i>
      <x v="1342"/>
    </i>
    <i r="1">
      <x v="386"/>
    </i>
    <i r="2">
      <x v="83"/>
    </i>
    <i t="blank" r="1">
      <x v="386"/>
    </i>
    <i>
      <x v="1343"/>
    </i>
    <i r="1">
      <x v="304"/>
    </i>
    <i r="2">
      <x v="178"/>
    </i>
    <i t="blank" r="1">
      <x v="304"/>
    </i>
    <i>
      <x v="1344"/>
    </i>
    <i r="1">
      <x v="442"/>
    </i>
    <i r="2">
      <x v="253"/>
    </i>
    <i t="blank" r="1">
      <x v="442"/>
    </i>
    <i>
      <x v="1345"/>
    </i>
    <i r="1">
      <x v="239"/>
    </i>
    <i r="2">
      <x v="172"/>
    </i>
    <i t="blank" r="1">
      <x v="239"/>
    </i>
    <i>
      <x v="1346"/>
    </i>
    <i r="1">
      <x v="376"/>
    </i>
    <i r="2">
      <x v="15"/>
    </i>
    <i t="blank" r="1">
      <x v="376"/>
    </i>
    <i>
      <x v="1347"/>
    </i>
    <i r="1">
      <x v="436"/>
    </i>
    <i r="2">
      <x v="83"/>
    </i>
    <i t="blank" r="1">
      <x v="436"/>
    </i>
    <i>
      <x v="1348"/>
    </i>
    <i r="1">
      <x v="338"/>
    </i>
    <i r="2">
      <x v="5"/>
    </i>
    <i t="blank" r="1">
      <x v="338"/>
    </i>
    <i>
      <x v="1349"/>
    </i>
    <i r="1">
      <x v="345"/>
    </i>
    <i r="2">
      <x v="40"/>
    </i>
    <i t="blank" r="1">
      <x v="345"/>
    </i>
    <i>
      <x v="1350"/>
    </i>
    <i r="1">
      <x v="500"/>
    </i>
    <i r="2">
      <x v="261"/>
    </i>
    <i t="blank" r="1">
      <x v="500"/>
    </i>
    <i>
      <x v="1351"/>
    </i>
    <i r="1">
      <x v="506"/>
    </i>
    <i r="2">
      <x v="313"/>
    </i>
    <i t="blank" r="1">
      <x v="506"/>
    </i>
    <i>
      <x v="1352"/>
    </i>
    <i r="1">
      <x v="479"/>
    </i>
    <i r="2">
      <x v="253"/>
    </i>
    <i t="blank" r="1">
      <x v="479"/>
    </i>
    <i>
      <x v="1353"/>
    </i>
    <i r="1">
      <x v="415"/>
    </i>
    <i r="2">
      <x v="83"/>
    </i>
    <i t="blank" r="1">
      <x v="415"/>
    </i>
    <i>
      <x v="1354"/>
    </i>
    <i r="1">
      <x v="484"/>
    </i>
    <i r="2">
      <x v="261"/>
    </i>
    <i t="blank" r="1">
      <x v="484"/>
    </i>
    <i>
      <x v="1355"/>
    </i>
    <i r="1">
      <x v="372"/>
    </i>
    <i r="2">
      <x v="83"/>
    </i>
    <i t="blank" r="1">
      <x v="372"/>
    </i>
    <i>
      <x v="1356"/>
    </i>
    <i r="1">
      <x v="409"/>
    </i>
    <i r="2">
      <x v="83"/>
    </i>
    <i t="blank" r="1">
      <x v="409"/>
    </i>
    <i>
      <x v="1357"/>
    </i>
    <i r="1">
      <x v="118"/>
    </i>
    <i r="2">
      <x v="98"/>
    </i>
    <i t="blank" r="1">
      <x v="118"/>
    </i>
    <i>
      <x v="1358"/>
    </i>
    <i r="1">
      <x v="186"/>
    </i>
    <i r="2">
      <x v="21"/>
    </i>
    <i t="blank" r="1">
      <x v="186"/>
    </i>
    <i>
      <x v="1359"/>
    </i>
    <i r="1">
      <x v="472"/>
    </i>
    <i r="2">
      <x v="261"/>
    </i>
    <i t="blank" r="1">
      <x v="472"/>
    </i>
    <i>
      <x v="1360"/>
    </i>
    <i r="1">
      <x v="481"/>
    </i>
    <i r="2">
      <x v="253"/>
    </i>
    <i t="blank" r="1">
      <x v="481"/>
    </i>
    <i>
      <x v="1361"/>
    </i>
    <i r="1">
      <x v="117"/>
    </i>
    <i r="2">
      <x v="96"/>
    </i>
    <i t="blank" r="1">
      <x v="117"/>
    </i>
    <i>
      <x v="1362"/>
    </i>
    <i r="1">
      <x v="459"/>
    </i>
    <i r="2">
      <x v="213"/>
    </i>
    <i t="blank" r="1">
      <x v="459"/>
    </i>
    <i>
      <x v="1363"/>
    </i>
    <i r="1">
      <x v="70"/>
    </i>
    <i r="2">
      <x v="17"/>
    </i>
    <i t="blank" r="1">
      <x v="70"/>
    </i>
    <i>
      <x v="1364"/>
    </i>
    <i r="1">
      <x v="407"/>
    </i>
    <i r="2">
      <x v="83"/>
    </i>
    <i t="blank" r="1">
      <x v="407"/>
    </i>
    <i>
      <x v="1365"/>
    </i>
    <i r="1">
      <x v="427"/>
    </i>
    <i r="2">
      <x v="16"/>
    </i>
    <i t="blank" r="1">
      <x v="427"/>
    </i>
    <i r="1">
      <x v="434"/>
    </i>
    <i r="2">
      <x v="251"/>
    </i>
    <i t="blank" r="1">
      <x v="434"/>
    </i>
    <i>
      <x v="1366"/>
    </i>
    <i r="1">
      <x v="403"/>
    </i>
    <i r="2">
      <x v="83"/>
    </i>
    <i t="blank" r="1">
      <x v="403"/>
    </i>
    <i>
      <x v="1367"/>
    </i>
    <i r="1">
      <x v="502"/>
    </i>
    <i r="2">
      <x v="261"/>
    </i>
    <i t="blank" r="1">
      <x v="502"/>
    </i>
    <i>
      <x v="1368"/>
    </i>
    <i r="1">
      <x v="361"/>
    </i>
    <i r="2">
      <x v="17"/>
    </i>
    <i t="blank" r="1">
      <x v="361"/>
    </i>
    <i r="1">
      <x v="362"/>
    </i>
    <i r="2">
      <x v="17"/>
    </i>
    <i t="blank" r="1">
      <x v="362"/>
    </i>
    <i>
      <x v="1369"/>
    </i>
    <i r="1">
      <x v="363"/>
    </i>
    <i r="2">
      <x v="140"/>
    </i>
    <i t="blank" r="1">
      <x v="363"/>
    </i>
    <i>
      <x v="1370"/>
    </i>
    <i r="1">
      <x v="241"/>
    </i>
    <i r="2">
      <x v="14"/>
    </i>
    <i t="blank" r="1">
      <x v="241"/>
    </i>
    <i>
      <x v="1371"/>
    </i>
    <i r="1">
      <x v="434"/>
    </i>
    <i r="2">
      <x v="83"/>
    </i>
    <i t="blank" r="1">
      <x v="434"/>
    </i>
    <i>
      <x v="1372"/>
    </i>
    <i r="1">
      <x v="472"/>
    </i>
    <i r="2">
      <x v="286"/>
    </i>
    <i t="blank" r="1">
      <x v="472"/>
    </i>
    <i>
      <x v="1373"/>
    </i>
    <i r="1">
      <x v="471"/>
    </i>
    <i r="2">
      <x v="41"/>
    </i>
    <i t="blank" r="1">
      <x v="471"/>
    </i>
    <i>
      <x v="1374"/>
    </i>
    <i r="1">
      <x v="474"/>
    </i>
    <i r="2">
      <x v="261"/>
    </i>
    <i t="blank" r="1">
      <x v="474"/>
    </i>
    <i>
      <x v="1375"/>
    </i>
    <i r="1">
      <x v="164"/>
    </i>
    <i r="2">
      <x v="83"/>
    </i>
    <i t="blank" r="1">
      <x v="164"/>
    </i>
    <i>
      <x v="1376"/>
    </i>
    <i r="1">
      <x v="501"/>
    </i>
    <i r="2">
      <x v="261"/>
    </i>
    <i t="blank" r="1">
      <x v="501"/>
    </i>
    <i>
      <x v="1377"/>
    </i>
    <i r="1">
      <x v="197"/>
    </i>
    <i r="2">
      <x v="83"/>
    </i>
    <i t="blank" r="1">
      <x v="197"/>
    </i>
    <i>
      <x v="1378"/>
    </i>
    <i r="1">
      <x v="349"/>
    </i>
    <i r="2">
      <x v="50"/>
    </i>
    <i t="blank" r="1">
      <x v="349"/>
    </i>
    <i>
      <x v="1379"/>
    </i>
    <i r="1">
      <x v="295"/>
    </i>
    <i r="2">
      <x v="52"/>
    </i>
    <i t="blank" r="1">
      <x v="295"/>
    </i>
    <i>
      <x v="1380"/>
    </i>
    <i r="1">
      <x v="474"/>
    </i>
    <i r="2">
      <x v="89"/>
    </i>
    <i t="blank" r="1">
      <x v="474"/>
    </i>
    <i>
      <x v="1381"/>
    </i>
    <i r="1">
      <x v="489"/>
    </i>
    <i r="2">
      <x v="261"/>
    </i>
    <i t="blank" r="1">
      <x v="489"/>
    </i>
    <i>
      <x v="1382"/>
    </i>
    <i r="1">
      <x v="422"/>
    </i>
    <i r="2">
      <x v="16"/>
    </i>
    <i t="blank" r="1">
      <x v="422"/>
    </i>
    <i>
      <x v="1383"/>
    </i>
    <i r="1">
      <x v="66"/>
    </i>
    <i r="2">
      <x v="11"/>
    </i>
    <i t="blank" r="1">
      <x v="66"/>
    </i>
    <i>
      <x v="1384"/>
    </i>
    <i r="1">
      <x v="481"/>
    </i>
    <i r="2">
      <x v="176"/>
    </i>
    <i t="blank" r="1">
      <x v="481"/>
    </i>
    <i>
      <x v="1385"/>
    </i>
    <i r="1">
      <x v="467"/>
    </i>
    <i r="2">
      <x v="261"/>
    </i>
    <i t="blank" r="1">
      <x v="467"/>
    </i>
    <i>
      <x v="1386"/>
    </i>
    <i r="1">
      <x v="291"/>
    </i>
    <i r="2">
      <x v="41"/>
    </i>
    <i t="blank" r="1">
      <x v="291"/>
    </i>
    <i>
      <x v="1387"/>
    </i>
    <i r="1">
      <x v="237"/>
    </i>
    <i r="2">
      <x v="59"/>
    </i>
    <i t="blank" r="1">
      <x v="237"/>
    </i>
    <i r="1">
      <x v="291"/>
    </i>
    <i r="2">
      <x v="213"/>
    </i>
    <i t="blank" r="1">
      <x v="291"/>
    </i>
    <i>
      <x v="1388"/>
    </i>
    <i r="1">
      <x v="242"/>
    </i>
    <i r="2">
      <x v="28"/>
    </i>
    <i t="blank" r="1">
      <x v="242"/>
    </i>
    <i>
      <x v="1389"/>
    </i>
    <i r="1">
      <x v="338"/>
    </i>
    <i r="2">
      <x v="59"/>
    </i>
    <i t="blank" r="1">
      <x v="338"/>
    </i>
    <i>
      <x v="1390"/>
    </i>
    <i r="1">
      <x v="387"/>
    </i>
    <i r="2">
      <x v="178"/>
    </i>
    <i t="blank" r="1">
      <x v="387"/>
    </i>
    <i>
      <x v="1391"/>
    </i>
    <i r="1">
      <x v="114"/>
    </i>
    <i r="2">
      <x v="100"/>
    </i>
    <i t="blank" r="1">
      <x v="114"/>
    </i>
    <i>
      <x v="1392"/>
    </i>
    <i r="1">
      <x v="385"/>
    </i>
    <i r="2">
      <x v="169"/>
    </i>
    <i t="blank" r="1">
      <x v="385"/>
    </i>
    <i>
      <x v="1393"/>
    </i>
    <i r="1">
      <x v="495"/>
    </i>
    <i r="2">
      <x v="261"/>
    </i>
    <i t="blank" r="1">
      <x v="495"/>
    </i>
    <i r="1">
      <x v="497"/>
    </i>
    <i r="2">
      <x v="286"/>
    </i>
    <i t="blank" r="1">
      <x v="497"/>
    </i>
    <i>
      <x v="1394"/>
    </i>
    <i r="1">
      <x v="479"/>
    </i>
    <i r="2">
      <x v="261"/>
    </i>
    <i t="blank" r="1">
      <x v="479"/>
    </i>
    <i>
      <x v="1395"/>
    </i>
    <i r="1">
      <x v="401"/>
    </i>
    <i r="2">
      <x v="250"/>
    </i>
    <i t="blank" r="1">
      <x v="401"/>
    </i>
    <i r="1">
      <x v="402"/>
    </i>
    <i r="2">
      <x v="245"/>
    </i>
    <i t="blank" r="1">
      <x v="402"/>
    </i>
    <i>
      <x v="1396"/>
    </i>
    <i r="1">
      <x v="108"/>
    </i>
    <i r="2">
      <x v="91"/>
    </i>
    <i t="blank" r="1">
      <x v="108"/>
    </i>
    <i>
      <x v="1397"/>
    </i>
    <i r="1">
      <x v="467"/>
    </i>
    <i r="2">
      <x v="296"/>
    </i>
    <i t="blank" r="1">
      <x v="467"/>
    </i>
    <i>
      <x v="1398"/>
    </i>
    <i r="1">
      <x v="318"/>
    </i>
    <i r="2">
      <x v="15"/>
    </i>
    <i t="blank" r="1">
      <x v="318"/>
    </i>
    <i>
      <x v="1399"/>
    </i>
    <i r="1">
      <x v="94"/>
    </i>
    <i r="2">
      <x v="61"/>
    </i>
    <i t="blank" r="1">
      <x v="94"/>
    </i>
    <i>
      <x v="1400"/>
    </i>
    <i r="1">
      <x v="106"/>
    </i>
    <i r="2">
      <x v="87"/>
    </i>
    <i t="blank" r="1">
      <x v="106"/>
    </i>
    <i>
      <x v="1401"/>
    </i>
    <i r="1">
      <x v="328"/>
    </i>
    <i r="2">
      <x v="55"/>
    </i>
    <i t="blank" r="1">
      <x v="328"/>
    </i>
    <i r="1">
      <x v="435"/>
    </i>
    <i r="2">
      <x v="193"/>
    </i>
    <i t="blank" r="1">
      <x v="435"/>
    </i>
    <i>
      <x v="1402"/>
    </i>
    <i r="1">
      <x v="408"/>
    </i>
    <i r="2">
      <x v="83"/>
    </i>
    <i t="blank" r="1">
      <x v="408"/>
    </i>
    <i r="1">
      <x v="450"/>
    </i>
    <i r="2">
      <x v="261"/>
    </i>
    <i t="blank" r="1">
      <x v="450"/>
    </i>
    <i r="1">
      <x v="461"/>
    </i>
    <i r="2">
      <x v="261"/>
    </i>
    <i t="blank" r="1">
      <x v="461"/>
    </i>
    <i>
      <x v="1403"/>
    </i>
    <i r="1">
      <x v="495"/>
    </i>
    <i r="2">
      <x v="80"/>
    </i>
    <i t="blank" r="1">
      <x v="495"/>
    </i>
    <i>
      <x v="1404"/>
    </i>
    <i r="1">
      <x v="157"/>
    </i>
    <i r="2">
      <x v="22"/>
    </i>
    <i t="blank" r="1">
      <x v="157"/>
    </i>
    <i r="1">
      <x v="175"/>
    </i>
    <i r="2">
      <x v="26"/>
    </i>
    <i t="blank" r="1">
      <x v="175"/>
    </i>
    <i>
      <x v="1405"/>
    </i>
    <i r="1">
      <x v="106"/>
    </i>
    <i r="2">
      <x v="88"/>
    </i>
    <i t="blank" r="1">
      <x v="106"/>
    </i>
    <i>
      <x v="1406"/>
    </i>
    <i r="1">
      <x v="494"/>
    </i>
    <i r="2">
      <x v="261"/>
    </i>
    <i t="blank" r="1">
      <x v="494"/>
    </i>
    <i>
      <x v="1407"/>
    </i>
    <i r="1">
      <x v="456"/>
    </i>
    <i r="2">
      <x v="286"/>
    </i>
    <i t="blank" r="1">
      <x v="456"/>
    </i>
    <i>
      <x v="1408"/>
    </i>
    <i r="1">
      <x v="428"/>
    </i>
    <i r="2">
      <x v="83"/>
    </i>
    <i t="blank" r="1">
      <x v="428"/>
    </i>
    <i>
      <x v="1409"/>
    </i>
    <i r="1">
      <x v="196"/>
    </i>
    <i r="2">
      <x v="83"/>
    </i>
    <i t="blank" r="1">
      <x v="196"/>
    </i>
    <i>
      <x v="1410"/>
    </i>
    <i r="1">
      <x v="118"/>
    </i>
    <i r="2">
      <x v="105"/>
    </i>
    <i t="blank" r="1">
      <x v="118"/>
    </i>
    <i>
      <x v="1411"/>
    </i>
    <i r="1">
      <x v="490"/>
    </i>
    <i r="2">
      <x v="261"/>
    </i>
    <i t="blank" r="1">
      <x v="490"/>
    </i>
    <i>
      <x v="1412"/>
    </i>
    <i r="1">
      <x v="497"/>
    </i>
    <i r="2">
      <x v="261"/>
    </i>
    <i t="blank" r="1">
      <x v="497"/>
    </i>
    <i>
      <x v="1413"/>
    </i>
    <i r="1">
      <x v="456"/>
    </i>
    <i r="2">
      <x v="286"/>
    </i>
    <i t="blank" r="1">
      <x v="456"/>
    </i>
    <i>
      <x v="1414"/>
    </i>
    <i r="1">
      <x v="446"/>
    </i>
    <i r="2">
      <x v="261"/>
    </i>
    <i t="blank" r="1">
      <x v="446"/>
    </i>
    <i>
      <x v="1415"/>
    </i>
    <i r="1">
      <x v="434"/>
    </i>
    <i r="2">
      <x v="178"/>
    </i>
    <i t="blank" r="1">
      <x v="434"/>
    </i>
    <i>
      <x v="1416"/>
    </i>
    <i r="1">
      <x v="412"/>
    </i>
    <i r="2">
      <x v="83"/>
    </i>
    <i t="blank" r="1">
      <x v="412"/>
    </i>
    <i>
      <x v="1417"/>
    </i>
    <i r="1">
      <x v="459"/>
    </i>
    <i r="2">
      <x v="261"/>
    </i>
    <i t="blank" r="1">
      <x v="459"/>
    </i>
    <i>
      <x v="1418"/>
    </i>
    <i r="1">
      <x v="434"/>
    </i>
    <i r="2">
      <x v="251"/>
    </i>
    <i t="blank" r="1">
      <x v="434"/>
    </i>
    <i>
      <x v="1419"/>
    </i>
    <i r="1">
      <x v="418"/>
    </i>
    <i r="2">
      <x v="83"/>
    </i>
    <i t="blank" r="1">
      <x v="418"/>
    </i>
    <i>
      <x v="1420"/>
    </i>
    <i r="1">
      <x v="82"/>
    </i>
    <i r="2">
      <x v="52"/>
    </i>
    <i t="blank" r="1">
      <x v="82"/>
    </i>
    <i r="1">
      <x v="109"/>
    </i>
    <i r="2">
      <x v="93"/>
    </i>
    <i t="blank" r="1">
      <x v="109"/>
    </i>
    <i r="1">
      <x v="115"/>
    </i>
    <i r="2">
      <x v="7"/>
    </i>
    <i t="blank" r="1">
      <x v="115"/>
    </i>
    <i r="1">
      <x v="126"/>
    </i>
    <i r="2">
      <x v="69"/>
    </i>
    <i t="blank" r="1">
      <x v="126"/>
    </i>
    <i r="1">
      <x v="129"/>
    </i>
    <i r="2">
      <x v="113"/>
    </i>
    <i t="blank" r="1">
      <x v="129"/>
    </i>
    <i r="1">
      <x v="258"/>
    </i>
    <i r="2">
      <x v="28"/>
    </i>
    <i t="blank" r="1">
      <x v="258"/>
    </i>
    <i>
      <x v="1421"/>
    </i>
    <i r="1">
      <x v="258"/>
    </i>
    <i r="2">
      <x v="40"/>
    </i>
    <i t="blank" r="1">
      <x v="258"/>
    </i>
    <i>
      <x v="1422"/>
    </i>
    <i r="1">
      <x v="485"/>
    </i>
    <i r="2">
      <x v="261"/>
    </i>
    <i t="blank" r="1">
      <x v="485"/>
    </i>
    <i>
      <x v="1423"/>
    </i>
    <i r="1">
      <x v="141"/>
    </i>
    <i r="2">
      <x v="120"/>
    </i>
    <i t="blank" r="1">
      <x v="141"/>
    </i>
    <i>
      <x v="1424"/>
    </i>
    <i r="1">
      <x v="480"/>
    </i>
    <i r="2">
      <x v="261"/>
    </i>
    <i t="blank" r="1">
      <x v="480"/>
    </i>
    <i>
      <x v="1425"/>
    </i>
    <i r="1">
      <x v="278"/>
    </i>
    <i r="2">
      <x v="83"/>
    </i>
    <i t="blank" r="1">
      <x v="278"/>
    </i>
    <i>
      <x v="1426"/>
    </i>
    <i r="1">
      <x v="83"/>
    </i>
    <i r="2">
      <x v="29"/>
    </i>
    <i t="blank" r="1">
      <x v="83"/>
    </i>
    <i r="1">
      <x v="118"/>
    </i>
    <i r="2">
      <x v="91"/>
    </i>
    <i t="blank" r="1">
      <x v="118"/>
    </i>
    <i>
      <x v="1427"/>
    </i>
    <i r="1">
      <x v="426"/>
    </i>
    <i r="2">
      <x v="83"/>
    </i>
    <i t="blank" r="1">
      <x v="426"/>
    </i>
    <i>
      <x v="1428"/>
    </i>
    <i r="1">
      <x v="449"/>
    </i>
    <i r="2">
      <x v="261"/>
    </i>
    <i t="blank" r="1">
      <x v="449"/>
    </i>
    <i>
      <x v="1429"/>
    </i>
    <i r="1">
      <x v="500"/>
    </i>
    <i r="2">
      <x v="286"/>
    </i>
    <i t="blank" r="1">
      <x v="500"/>
    </i>
    <i>
      <x v="1430"/>
    </i>
    <i r="1">
      <x v="436"/>
    </i>
    <i r="2">
      <x v="83"/>
    </i>
    <i t="blank" r="1">
      <x v="436"/>
    </i>
    <i>
      <x v="1431"/>
    </i>
    <i r="1">
      <x v="445"/>
    </i>
    <i r="2">
      <x v="243"/>
    </i>
    <i t="blank" r="1">
      <x v="445"/>
    </i>
    <i>
      <x v="1432"/>
    </i>
    <i r="1">
      <x v="422"/>
    </i>
    <i r="2">
      <x v="83"/>
    </i>
    <i t="blank" r="1">
      <x v="422"/>
    </i>
    <i>
      <x v="1433"/>
    </i>
    <i r="1">
      <x v="436"/>
    </i>
    <i r="2">
      <x v="286"/>
    </i>
    <i t="blank" r="1">
      <x v="436"/>
    </i>
    <i>
      <x v="1434"/>
    </i>
    <i r="1">
      <x v="314"/>
    </i>
    <i r="2">
      <x v="22"/>
    </i>
    <i t="blank" r="1">
      <x v="314"/>
    </i>
    <i>
      <x v="1435"/>
    </i>
    <i r="1">
      <x v="267"/>
    </i>
    <i r="2">
      <x v="184"/>
    </i>
    <i t="blank" r="1">
      <x v="267"/>
    </i>
    <i r="1">
      <x v="423"/>
    </i>
    <i r="2">
      <x v="184"/>
    </i>
    <i t="blank" r="1">
      <x v="423"/>
    </i>
    <i>
      <x v="1436"/>
    </i>
    <i r="1">
      <x v="141"/>
    </i>
    <i r="2">
      <x v="83"/>
    </i>
    <i t="blank" r="1">
      <x v="141"/>
    </i>
    <i>
      <x v="1437"/>
    </i>
    <i r="1">
      <x v="141"/>
    </i>
    <i r="2">
      <x v="83"/>
    </i>
    <i t="blank" r="1">
      <x v="141"/>
    </i>
    <i>
      <x v="1438"/>
    </i>
    <i r="1">
      <x v="358"/>
    </i>
    <i r="2">
      <x v="139"/>
    </i>
    <i t="blank" r="1">
      <x v="358"/>
    </i>
    <i>
      <x v="1439"/>
    </i>
    <i r="1">
      <x v="346"/>
    </i>
    <i r="2">
      <x v="16"/>
    </i>
    <i t="blank" r="1">
      <x v="346"/>
    </i>
    <i>
      <x v="1440"/>
    </i>
    <i r="1">
      <x v="500"/>
    </i>
    <i r="2">
      <x v="39"/>
    </i>
    <i t="blank" r="1">
      <x v="500"/>
    </i>
    <i>
      <x v="1441"/>
    </i>
    <i r="1">
      <x v="419"/>
    </i>
    <i r="2">
      <x v="83"/>
    </i>
    <i t="blank" r="1">
      <x v="419"/>
    </i>
    <i>
      <x v="1442"/>
    </i>
    <i r="1">
      <x v="443"/>
    </i>
    <i r="2">
      <x v="29"/>
    </i>
    <i t="blank" r="1">
      <x v="443"/>
    </i>
    <i>
      <x v="1443"/>
    </i>
    <i r="1">
      <x v="442"/>
    </i>
    <i r="2">
      <x v="83"/>
    </i>
    <i t="blank" r="1">
      <x v="442"/>
    </i>
    <i>
      <x v="1444"/>
    </i>
    <i r="1">
      <x v="370"/>
    </i>
    <i r="2">
      <x v="83"/>
    </i>
    <i t="blank" r="1">
      <x v="370"/>
    </i>
    <i>
      <x v="1445"/>
    </i>
    <i r="1">
      <x v="55"/>
    </i>
    <i r="2">
      <x v="146"/>
    </i>
    <i t="blank" r="1">
      <x v="55"/>
    </i>
    <i r="1">
      <x v="57"/>
    </i>
    <i r="2">
      <x v="6"/>
    </i>
    <i t="blank" r="1">
      <x v="57"/>
    </i>
    <i r="1">
      <x v="127"/>
    </i>
    <i r="2">
      <x v="16"/>
    </i>
    <i t="blank" r="1">
      <x v="127"/>
    </i>
    <i>
      <x v="1446"/>
    </i>
    <i r="1">
      <x v="408"/>
    </i>
    <i r="2">
      <x v="83"/>
    </i>
    <i t="blank" r="1">
      <x v="408"/>
    </i>
    <i>
      <x v="1447"/>
    </i>
    <i r="1">
      <x v="391"/>
    </i>
    <i r="2">
      <x v="267"/>
    </i>
    <i t="blank" r="1">
      <x v="391"/>
    </i>
    <i>
      <x v="1448"/>
    </i>
    <i r="1">
      <x v="437"/>
    </i>
    <i r="2">
      <x v="22"/>
    </i>
    <i t="blank" r="1">
      <x v="437"/>
    </i>
    <i>
      <x v="1449"/>
    </i>
    <i r="1">
      <x v="274"/>
    </i>
    <i r="2">
      <x v="13"/>
    </i>
    <i t="blank" r="1">
      <x v="274"/>
    </i>
    <i>
      <x v="1450"/>
    </i>
    <i r="1">
      <x v="196"/>
    </i>
    <i r="2">
      <x v="83"/>
    </i>
    <i t="blank" r="1">
      <x v="196"/>
    </i>
    <i>
      <x v="1451"/>
    </i>
    <i r="1">
      <x v="312"/>
    </i>
    <i r="2">
      <x v="54"/>
    </i>
    <i t="blank" r="1">
      <x v="312"/>
    </i>
    <i>
      <x v="1452"/>
    </i>
    <i r="1">
      <x v="110"/>
    </i>
    <i r="2">
      <x v="15"/>
    </i>
    <i t="blank" r="1">
      <x v="110"/>
    </i>
    <i r="1">
      <x v="225"/>
    </i>
    <i r="2">
      <x v="160"/>
    </i>
    <i t="blank" r="1">
      <x v="225"/>
    </i>
    <i>
      <x v="1453"/>
    </i>
    <i r="1">
      <x v="459"/>
    </i>
    <i r="2">
      <x v="261"/>
    </i>
    <i t="blank" r="1">
      <x v="459"/>
    </i>
    <i>
      <x v="1454"/>
    </i>
    <i r="1">
      <x v="226"/>
    </i>
    <i r="2">
      <x v="163"/>
    </i>
    <i t="blank" r="1">
      <x v="226"/>
    </i>
    <i>
      <x v="1455"/>
    </i>
    <i r="1">
      <x v="472"/>
    </i>
    <i r="2">
      <x v="182"/>
    </i>
    <i t="blank" r="1">
      <x v="472"/>
    </i>
    <i>
      <x v="1456"/>
    </i>
    <i r="1">
      <x v="417"/>
    </i>
    <i r="2">
      <x v="5"/>
    </i>
    <i t="blank" r="1">
      <x v="417"/>
    </i>
    <i>
      <x v="1457"/>
    </i>
    <i r="1">
      <x v="32"/>
    </i>
    <i r="2">
      <x v="6"/>
    </i>
    <i t="blank" r="1">
      <x v="32"/>
    </i>
    <i r="1">
      <x v="33"/>
    </i>
    <i r="2">
      <x v="17"/>
    </i>
    <i t="blank" r="1">
      <x v="33"/>
    </i>
    <i r="1">
      <x v="480"/>
    </i>
    <i r="2">
      <x v="261"/>
    </i>
    <i t="blank" r="1">
      <x v="480"/>
    </i>
    <i>
      <x v="1458"/>
    </i>
    <i r="1">
      <x v="78"/>
    </i>
    <i r="2">
      <x v="39"/>
    </i>
    <i t="blank" r="1">
      <x v="78"/>
    </i>
    <i>
      <x v="1459"/>
    </i>
    <i r="1">
      <x v="278"/>
    </i>
    <i r="2">
      <x v="68"/>
    </i>
    <i t="blank" r="1">
      <x v="278"/>
    </i>
    <i r="1">
      <x v="291"/>
    </i>
    <i r="2">
      <x v="140"/>
    </i>
    <i t="blank" r="1">
      <x v="291"/>
    </i>
    <i>
      <x v="1460"/>
    </i>
    <i r="1">
      <x v="494"/>
    </i>
    <i r="2">
      <x v="289"/>
    </i>
    <i t="blank" r="1">
      <x v="494"/>
    </i>
    <i>
      <x v="1461"/>
    </i>
    <i r="1">
      <x v="242"/>
    </i>
    <i r="2">
      <x v="15"/>
    </i>
    <i t="blank" r="1">
      <x v="242"/>
    </i>
    <i>
      <x v="1462"/>
    </i>
    <i r="1">
      <x v="425"/>
    </i>
    <i r="2">
      <x v="83"/>
    </i>
    <i t="blank" r="1">
      <x v="425"/>
    </i>
    <i>
      <x v="1463"/>
    </i>
    <i r="1">
      <x v="468"/>
    </i>
    <i r="2">
      <x v="261"/>
    </i>
    <i t="blank" r="1">
      <x v="468"/>
    </i>
    <i>
      <x v="1464"/>
    </i>
    <i r="1">
      <x v="105"/>
    </i>
    <i r="2">
      <x v="37"/>
    </i>
    <i t="blank" r="1">
      <x v="105"/>
    </i>
    <i r="1">
      <x v="119"/>
    </i>
    <i r="2">
      <x v="17"/>
    </i>
    <i t="blank" r="1">
      <x v="119"/>
    </i>
    <i>
      <x v="1465"/>
    </i>
    <i r="1">
      <x v="407"/>
    </i>
    <i r="2">
      <x v="178"/>
    </i>
    <i t="blank" r="1">
      <x v="407"/>
    </i>
    <i>
      <x v="1466"/>
    </i>
    <i r="1">
      <x v="494"/>
    </i>
    <i r="2">
      <x v="261"/>
    </i>
    <i t="blank" r="1">
      <x v="494"/>
    </i>
    <i>
      <x v="1467"/>
    </i>
    <i r="1">
      <x v="459"/>
    </i>
    <i r="2">
      <x v="261"/>
    </i>
    <i t="blank" r="1">
      <x v="459"/>
    </i>
    <i>
      <x v="1468"/>
    </i>
    <i r="1">
      <x/>
    </i>
    <i r="2">
      <x v="25"/>
    </i>
    <i t="blank" r="1">
      <x/>
    </i>
    <i r="1">
      <x v="35"/>
    </i>
    <i r="2">
      <x v="20"/>
    </i>
    <i t="blank" r="1">
      <x v="35"/>
    </i>
    <i>
      <x v="1469"/>
    </i>
    <i r="1">
      <x v="75"/>
    </i>
    <i r="2">
      <x v="38"/>
    </i>
    <i t="blank" r="1">
      <x v="75"/>
    </i>
    <i>
      <x v="1470"/>
    </i>
    <i r="1">
      <x v="73"/>
    </i>
    <i r="2">
      <x v="38"/>
    </i>
    <i t="blank" r="1">
      <x v="73"/>
    </i>
    <i>
      <x v="1471"/>
    </i>
    <i r="1">
      <x v="457"/>
    </i>
    <i r="2">
      <x v="83"/>
    </i>
    <i t="blank" r="1">
      <x v="457"/>
    </i>
    <i>
      <x v="1472"/>
    </i>
    <i r="1">
      <x v="298"/>
    </i>
    <i r="2">
      <x v="18"/>
    </i>
    <i t="blank" r="1">
      <x v="298"/>
    </i>
    <i>
      <x v="1473"/>
    </i>
    <i r="1">
      <x v="377"/>
    </i>
    <i r="2">
      <x v="17"/>
    </i>
    <i t="blank" r="1">
      <x v="377"/>
    </i>
    <i>
      <x v="1474"/>
    </i>
    <i r="1">
      <x v="492"/>
    </i>
    <i r="2">
      <x v="261"/>
    </i>
    <i t="blank" r="1">
      <x v="492"/>
    </i>
    <i>
      <x v="1475"/>
    </i>
    <i r="1">
      <x v="500"/>
    </i>
    <i r="2">
      <x v="45"/>
    </i>
    <i t="blank" r="1">
      <x v="500"/>
    </i>
    <i>
      <x v="1476"/>
    </i>
    <i r="1">
      <x v="113"/>
    </i>
    <i r="2">
      <x v="99"/>
    </i>
    <i t="blank" r="1">
      <x v="113"/>
    </i>
    <i>
      <x v="1477"/>
    </i>
    <i r="1">
      <x v="453"/>
    </i>
    <i r="2">
      <x v="96"/>
    </i>
    <i t="blank" r="1">
      <x v="453"/>
    </i>
    <i>
      <x v="1478"/>
    </i>
    <i r="1">
      <x v="493"/>
    </i>
    <i r="2">
      <x v="261"/>
    </i>
    <i t="blank" r="1">
      <x v="493"/>
    </i>
    <i>
      <x v="1479"/>
    </i>
    <i r="1">
      <x v="497"/>
    </i>
    <i r="2">
      <x v="74"/>
    </i>
    <i t="blank" r="1">
      <x v="497"/>
    </i>
    <i>
      <x v="1480"/>
    </i>
    <i r="1">
      <x v="471"/>
    </i>
    <i r="2">
      <x v="261"/>
    </i>
    <i t="blank" r="1">
      <x v="471"/>
    </i>
    <i>
      <x v="1481"/>
    </i>
    <i r="1">
      <x v="183"/>
    </i>
    <i r="2">
      <x v="96"/>
    </i>
    <i t="blank" r="1">
      <x v="183"/>
    </i>
    <i>
      <x v="1482"/>
    </i>
    <i r="1">
      <x v="288"/>
    </i>
    <i r="2">
      <x v="27"/>
    </i>
    <i t="blank" r="1">
      <x v="288"/>
    </i>
    <i r="1">
      <x v="289"/>
    </i>
    <i r="2">
      <x v="55"/>
    </i>
    <i t="blank" r="1">
      <x v="289"/>
    </i>
    <i>
      <x v="1483"/>
    </i>
    <i r="1">
      <x v="329"/>
    </i>
    <i r="2">
      <x v="54"/>
    </i>
    <i t="blank" r="1">
      <x v="329"/>
    </i>
    <i>
      <x v="1484"/>
    </i>
    <i r="1">
      <x v="389"/>
    </i>
    <i r="2">
      <x v="65"/>
    </i>
    <i t="blank" r="1">
      <x v="389"/>
    </i>
    <i r="1">
      <x v="390"/>
    </i>
    <i r="2">
      <x v="65"/>
    </i>
    <i t="blank" r="1">
      <x v="390"/>
    </i>
    <i>
      <x v="1485"/>
    </i>
    <i r="1">
      <x v="128"/>
    </i>
    <i r="2">
      <x v="96"/>
    </i>
    <i t="blank" r="1">
      <x v="128"/>
    </i>
    <i>
      <x v="1486"/>
    </i>
    <i r="1">
      <x v="389"/>
    </i>
    <i r="2">
      <x v="250"/>
    </i>
    <i t="blank" r="1">
      <x v="389"/>
    </i>
    <i>
      <x v="1487"/>
    </i>
    <i r="1">
      <x v="435"/>
    </i>
    <i r="2">
      <x v="83"/>
    </i>
    <i t="blank" r="1">
      <x v="435"/>
    </i>
    <i>
      <x v="1488"/>
    </i>
    <i r="1">
      <x v="437"/>
    </i>
    <i r="2">
      <x v="83"/>
    </i>
    <i t="blank" r="1">
      <x v="437"/>
    </i>
    <i>
      <x v="1489"/>
    </i>
    <i r="1">
      <x v="449"/>
    </i>
    <i r="2">
      <x v="261"/>
    </i>
    <i t="blank" r="1">
      <x v="449"/>
    </i>
    <i>
      <x v="1490"/>
    </i>
    <i r="1">
      <x v="100"/>
    </i>
    <i r="2">
      <x v="71"/>
    </i>
    <i t="blank" r="1">
      <x v="100"/>
    </i>
    <i>
      <x v="1491"/>
    </i>
    <i r="1">
      <x v="130"/>
    </i>
    <i r="2">
      <x v="19"/>
    </i>
    <i t="blank" r="1">
      <x v="130"/>
    </i>
    <i r="1">
      <x v="282"/>
    </i>
    <i r="2">
      <x v="22"/>
    </i>
    <i t="blank" r="1">
      <x v="282"/>
    </i>
    <i>
      <x v="1492"/>
    </i>
    <i r="1">
      <x v="133"/>
    </i>
    <i r="2">
      <x v="22"/>
    </i>
    <i t="blank" r="1">
      <x v="133"/>
    </i>
    <i>
      <x v="1493"/>
    </i>
    <i r="1">
      <x v="298"/>
    </i>
    <i r="2">
      <x v="217"/>
    </i>
    <i t="blank" r="1">
      <x v="298"/>
    </i>
    <i>
      <x v="1494"/>
    </i>
    <i r="1">
      <x v="258"/>
    </i>
    <i r="2">
      <x v="15"/>
    </i>
    <i t="blank" r="1">
      <x v="258"/>
    </i>
    <i>
      <x v="1495"/>
    </i>
    <i r="1">
      <x v="259"/>
    </i>
    <i r="2">
      <x v="186"/>
    </i>
    <i t="blank" r="1">
      <x v="259"/>
    </i>
    <i r="1">
      <x v="265"/>
    </i>
    <i r="2">
      <x v="186"/>
    </i>
    <i t="blank" r="1">
      <x v="265"/>
    </i>
    <i>
      <x v="1496"/>
    </i>
    <i r="1">
      <x v="204"/>
    </i>
    <i r="2">
      <x v="149"/>
    </i>
    <i t="blank" r="1">
      <x v="204"/>
    </i>
    <i>
      <x v="1497"/>
    </i>
    <i r="1">
      <x v="154"/>
    </i>
    <i r="2">
      <x v="110"/>
    </i>
    <i t="blank" r="1">
      <x v="154"/>
    </i>
    <i>
      <x v="1498"/>
    </i>
    <i r="1">
      <x v="474"/>
    </i>
    <i r="2">
      <x v="289"/>
    </i>
    <i t="blank" r="1">
      <x v="474"/>
    </i>
    <i>
      <x v="1499"/>
    </i>
    <i r="1">
      <x v="115"/>
    </i>
    <i r="2">
      <x v="65"/>
    </i>
    <i t="blank" r="1">
      <x v="115"/>
    </i>
    <i r="1">
      <x v="118"/>
    </i>
    <i r="2">
      <x v="65"/>
    </i>
    <i t="blank" r="1">
      <x v="118"/>
    </i>
    <i>
      <x v="1500"/>
    </i>
    <i r="1">
      <x v="262"/>
    </i>
    <i r="2">
      <x v="189"/>
    </i>
    <i t="blank" r="1">
      <x v="262"/>
    </i>
    <i>
      <x v="1501"/>
    </i>
    <i r="1">
      <x v="473"/>
    </i>
    <i r="2">
      <x v="89"/>
    </i>
    <i t="blank" r="1">
      <x v="473"/>
    </i>
    <i>
      <x v="1502"/>
    </i>
    <i r="1">
      <x v="448"/>
    </i>
    <i r="2">
      <x v="261"/>
    </i>
    <i t="blank" r="1">
      <x v="448"/>
    </i>
    <i>
      <x v="1503"/>
    </i>
    <i r="1">
      <x v="140"/>
    </i>
    <i r="2">
      <x v="83"/>
    </i>
    <i t="blank" r="1">
      <x v="140"/>
    </i>
    <i>
      <x v="1504"/>
    </i>
    <i r="1">
      <x v="91"/>
    </i>
    <i r="2">
      <x v="66"/>
    </i>
    <i t="blank" r="1">
      <x v="91"/>
    </i>
    <i>
      <x v="1505"/>
    </i>
    <i r="1">
      <x v="117"/>
    </i>
    <i r="2">
      <x v="5"/>
    </i>
    <i t="blank" r="1">
      <x v="117"/>
    </i>
    <i>
      <x v="1506"/>
    </i>
    <i r="1">
      <x v="466"/>
    </i>
    <i r="2">
      <x v="296"/>
    </i>
    <i t="blank" r="1">
      <x v="466"/>
    </i>
    <i>
      <x v="1507"/>
    </i>
    <i r="1">
      <x v="351"/>
    </i>
    <i r="2">
      <x v="59"/>
    </i>
    <i t="blank" r="1">
      <x v="351"/>
    </i>
    <i>
      <x v="1508"/>
    </i>
    <i r="1">
      <x v="28"/>
    </i>
    <i r="2">
      <x v="7"/>
    </i>
    <i t="blank" r="1">
      <x v="28"/>
    </i>
    <i>
      <x v="1509"/>
    </i>
    <i r="1">
      <x v="411"/>
    </i>
    <i r="2">
      <x v="36"/>
    </i>
    <i t="blank" r="1">
      <x v="411"/>
    </i>
    <i r="1">
      <x v="418"/>
    </i>
    <i r="2">
      <x v="36"/>
    </i>
    <i t="blank" r="1">
      <x v="418"/>
    </i>
    <i>
      <x v="1510"/>
    </i>
    <i r="1">
      <x v="91"/>
    </i>
    <i r="2">
      <x v="65"/>
    </i>
    <i t="blank" r="1">
      <x v="91"/>
    </i>
    <i>
      <x v="1511"/>
    </i>
    <i r="1">
      <x v="434"/>
    </i>
    <i r="2">
      <x v="83"/>
    </i>
    <i t="blank" r="1">
      <x v="434"/>
    </i>
    <i>
      <x v="1512"/>
    </i>
    <i r="1">
      <x v="449"/>
    </i>
    <i r="2">
      <x v="261"/>
    </i>
    <i t="blank" r="1">
      <x v="449"/>
    </i>
    <i r="1">
      <x v="462"/>
    </i>
    <i r="2">
      <x v="261"/>
    </i>
    <i t="blank" r="1">
      <x v="462"/>
    </i>
    <i>
      <x v="1513"/>
    </i>
    <i r="1">
      <x v="424"/>
    </i>
    <i r="2">
      <x v="250"/>
    </i>
    <i t="blank" r="1">
      <x v="424"/>
    </i>
    <i r="1">
      <x v="462"/>
    </i>
    <i r="2">
      <x v="261"/>
    </i>
    <i t="blank" r="1">
      <x v="462"/>
    </i>
    <i>
      <x v="1514"/>
    </i>
    <i r="1">
      <x v="443"/>
    </i>
    <i r="2">
      <x v="83"/>
    </i>
    <i t="blank" r="1">
      <x v="443"/>
    </i>
    <i>
      <x v="1515"/>
    </i>
    <i r="1">
      <x v="270"/>
    </i>
    <i r="2">
      <x v="54"/>
    </i>
    <i t="blank" r="1">
      <x v="270"/>
    </i>
    <i>
      <x v="1516"/>
    </i>
    <i r="1">
      <x v="431"/>
    </i>
    <i r="2">
      <x v="83"/>
    </i>
    <i t="blank" r="1">
      <x v="431"/>
    </i>
    <i>
      <x v="1517"/>
    </i>
    <i r="1">
      <x v="440"/>
    </i>
    <i r="2">
      <x v="83"/>
    </i>
    <i t="blank" r="1">
      <x v="440"/>
    </i>
    <i>
      <x v="1518"/>
    </i>
    <i r="1">
      <x v="99"/>
    </i>
    <i r="2">
      <x v="78"/>
    </i>
    <i t="blank" r="1">
      <x v="99"/>
    </i>
    <i>
      <x v="1519"/>
    </i>
    <i r="1">
      <x v="428"/>
    </i>
    <i r="2">
      <x v="21"/>
    </i>
    <i t="blank" r="1">
      <x v="428"/>
    </i>
    <i>
      <x v="1520"/>
    </i>
    <i r="1">
      <x v="389"/>
    </i>
    <i r="2">
      <x v="264"/>
    </i>
    <i t="blank" r="1">
      <x v="389"/>
    </i>
    <i r="1">
      <x v="482"/>
    </i>
    <i r="2">
      <x v="264"/>
    </i>
    <i t="blank" r="1">
      <x v="482"/>
    </i>
    <i>
      <x v="1521"/>
    </i>
    <i r="1">
      <x v="455"/>
    </i>
    <i r="2">
      <x v="83"/>
    </i>
    <i t="blank" r="1">
      <x v="455"/>
    </i>
    <i r="1">
      <x v="457"/>
    </i>
    <i r="2">
      <x v="83"/>
    </i>
    <i t="blank" r="1">
      <x v="457"/>
    </i>
    <i>
      <x v="1522"/>
    </i>
    <i r="1">
      <x v="358"/>
    </i>
    <i r="2">
      <x v="178"/>
    </i>
    <i t="blank" r="1">
      <x v="358"/>
    </i>
    <i>
      <x v="1523"/>
    </i>
    <i r="1">
      <x v="361"/>
    </i>
    <i r="2">
      <x v="186"/>
    </i>
    <i t="blank" r="1">
      <x v="361"/>
    </i>
    <i>
      <x v="1524"/>
    </i>
    <i r="1">
      <x v="443"/>
    </i>
    <i r="2">
      <x v="83"/>
    </i>
    <i t="blank" r="1">
      <x v="443"/>
    </i>
    <i>
      <x v="1525"/>
    </i>
    <i r="1">
      <x v="423"/>
    </i>
    <i r="2">
      <x v="83"/>
    </i>
    <i t="blank" r="1">
      <x v="423"/>
    </i>
    <i r="1">
      <x v="459"/>
    </i>
    <i r="2">
      <x v="261"/>
    </i>
    <i t="blank" r="1">
      <x v="459"/>
    </i>
    <i>
      <x v="1526"/>
    </i>
    <i r="1">
      <x v="409"/>
    </i>
    <i r="2">
      <x v="83"/>
    </i>
    <i t="blank" r="1">
      <x v="409"/>
    </i>
    <i>
      <x v="1527"/>
    </i>
    <i r="1">
      <x v="387"/>
    </i>
    <i r="2">
      <x v="83"/>
    </i>
    <i t="blank" r="1">
      <x v="387"/>
    </i>
    <i r="1">
      <x v="503"/>
    </i>
    <i r="2">
      <x v="261"/>
    </i>
    <i t="blank" r="1">
      <x v="503"/>
    </i>
    <i>
      <x v="1528"/>
    </i>
    <i r="1">
      <x v="385"/>
    </i>
    <i r="2">
      <x v="83"/>
    </i>
    <i t="blank" r="1">
      <x v="385"/>
    </i>
    <i r="1">
      <x v="435"/>
    </i>
    <i r="2">
      <x v="83"/>
    </i>
    <i t="blank" r="1">
      <x v="435"/>
    </i>
    <i>
      <x v="1529"/>
    </i>
    <i r="1">
      <x v="287"/>
    </i>
    <i r="2">
      <x v="205"/>
    </i>
    <i t="blank" r="1">
      <x v="287"/>
    </i>
    <i r="1">
      <x v="401"/>
    </i>
    <i r="2">
      <x v="59"/>
    </i>
    <i t="blank" r="1">
      <x v="401"/>
    </i>
    <i r="1">
      <x v="482"/>
    </i>
    <i r="2">
      <x v="205"/>
    </i>
    <i t="blank" r="1">
      <x v="482"/>
    </i>
    <i>
      <x v="1530"/>
    </i>
    <i r="1">
      <x v="369"/>
    </i>
    <i r="2">
      <x v="252"/>
    </i>
    <i t="blank" r="1">
      <x v="369"/>
    </i>
    <i>
      <x v="1531"/>
    </i>
    <i r="1">
      <x v="322"/>
    </i>
    <i r="2">
      <x v="59"/>
    </i>
    <i t="blank" r="1">
      <x v="322"/>
    </i>
    <i>
      <x v="1532"/>
    </i>
    <i r="1">
      <x v="409"/>
    </i>
    <i r="2">
      <x v="83"/>
    </i>
    <i t="blank" r="1">
      <x v="409"/>
    </i>
    <i>
      <x v="1533"/>
    </i>
    <i r="1">
      <x v="461"/>
    </i>
    <i r="2">
      <x v="261"/>
    </i>
    <i t="blank" r="1">
      <x v="461"/>
    </i>
    <i>
      <x v="1534"/>
    </i>
    <i r="1">
      <x v="504"/>
    </i>
    <i r="2">
      <x v="261"/>
    </i>
    <i t="blank" r="1">
      <x v="504"/>
    </i>
    <i>
      <x v="1535"/>
    </i>
    <i r="1">
      <x v="369"/>
    </i>
    <i r="2">
      <x v="215"/>
    </i>
    <i t="blank" r="1">
      <x v="369"/>
    </i>
    <i>
      <x v="1536"/>
    </i>
    <i r="1">
      <x v="270"/>
    </i>
    <i r="2">
      <x v="26"/>
    </i>
    <i t="blank" r="1">
      <x v="270"/>
    </i>
    <i r="1">
      <x v="342"/>
    </i>
    <i r="2">
      <x v="50"/>
    </i>
    <i t="blank" r="1">
      <x v="342"/>
    </i>
    <i>
      <x v="1537"/>
    </i>
    <i r="1">
      <x v="423"/>
    </i>
    <i r="2">
      <x v="83"/>
    </i>
    <i t="blank" r="1">
      <x v="423"/>
    </i>
    <i>
      <x v="1538"/>
    </i>
    <i r="1">
      <x v="27"/>
    </i>
    <i r="2">
      <x v="6"/>
    </i>
    <i t="blank" r="1">
      <x v="27"/>
    </i>
    <i>
      <x v="1539"/>
    </i>
    <i r="1">
      <x v="143"/>
    </i>
    <i r="2">
      <x v="83"/>
    </i>
    <i t="blank" r="1">
      <x v="143"/>
    </i>
    <i>
      <x v="1540"/>
    </i>
    <i r="1">
      <x v="454"/>
    </i>
    <i r="2">
      <x v="148"/>
    </i>
    <i t="blank" r="1">
      <x v="454"/>
    </i>
    <i>
      <x v="1541"/>
    </i>
    <i r="1">
      <x v="378"/>
    </i>
    <i r="2">
      <x v="83"/>
    </i>
    <i t="blank" r="1">
      <x v="378"/>
    </i>
    <i>
      <x v="1542"/>
    </i>
    <i r="1">
      <x v="466"/>
    </i>
    <i r="2">
      <x v="261"/>
    </i>
    <i t="blank" r="1">
      <x v="466"/>
    </i>
    <i>
      <x v="1543"/>
    </i>
    <i r="1">
      <x v="384"/>
    </i>
    <i r="2">
      <x v="245"/>
    </i>
    <i t="blank" r="1">
      <x v="384"/>
    </i>
    <i>
      <x v="1544"/>
    </i>
    <i r="1">
      <x v="224"/>
    </i>
    <i r="2">
      <x v="40"/>
    </i>
    <i t="blank" r="1">
      <x v="224"/>
    </i>
    <i>
      <x v="1545"/>
    </i>
    <i r="1">
      <x v="373"/>
    </i>
    <i r="2">
      <x v="250"/>
    </i>
    <i t="blank" r="1">
      <x v="373"/>
    </i>
    <i>
      <x v="1546"/>
    </i>
    <i r="1">
      <x v="387"/>
    </i>
    <i r="2">
      <x v="83"/>
    </i>
    <i t="blank" r="1">
      <x v="387"/>
    </i>
    <i>
      <x v="1547"/>
    </i>
    <i r="1">
      <x v="460"/>
    </i>
    <i r="2">
      <x v="261"/>
    </i>
    <i t="blank" r="1">
      <x v="460"/>
    </i>
    <i>
      <x v="1548"/>
    </i>
    <i r="1">
      <x v="416"/>
    </i>
    <i r="2">
      <x v="83"/>
    </i>
    <i t="blank" r="1">
      <x v="416"/>
    </i>
    <i>
      <x v="1549"/>
    </i>
    <i r="1">
      <x v="381"/>
    </i>
    <i r="2">
      <x v="83"/>
    </i>
    <i t="blank" r="1">
      <x v="381"/>
    </i>
    <i>
      <x v="1550"/>
    </i>
    <i r="1">
      <x v="501"/>
    </i>
    <i r="2">
      <x v="261"/>
    </i>
    <i t="blank" r="1">
      <x v="501"/>
    </i>
    <i>
      <x v="1551"/>
    </i>
    <i r="1">
      <x v="493"/>
    </i>
    <i r="2">
      <x v="261"/>
    </i>
    <i t="blank" r="1">
      <x v="493"/>
    </i>
    <i>
      <x v="1552"/>
    </i>
    <i r="1">
      <x v="444"/>
    </i>
    <i r="2">
      <x v="261"/>
    </i>
    <i t="blank" r="1">
      <x v="444"/>
    </i>
    <i>
      <x v="1553"/>
    </i>
    <i r="1">
      <x v="456"/>
    </i>
    <i r="2">
      <x v="83"/>
    </i>
    <i t="blank" r="1">
      <x v="456"/>
    </i>
    <i>
      <x v="1554"/>
    </i>
    <i r="1">
      <x v="494"/>
    </i>
    <i r="2">
      <x v="261"/>
    </i>
    <i t="blank" r="1">
      <x v="494"/>
    </i>
    <i r="1">
      <x v="500"/>
    </i>
    <i r="2">
      <x v="261"/>
    </i>
    <i t="blank" r="1">
      <x v="500"/>
    </i>
    <i>
      <x v="1555"/>
    </i>
    <i r="1">
      <x v="263"/>
    </i>
    <i r="2">
      <x v="2"/>
    </i>
    <i t="blank" r="1">
      <x v="263"/>
    </i>
    <i>
      <x v="1556"/>
    </i>
    <i r="1">
      <x v="479"/>
    </i>
    <i r="2">
      <x v="261"/>
    </i>
    <i t="blank" r="1">
      <x v="479"/>
    </i>
    <i>
      <x v="1557"/>
    </i>
    <i r="1">
      <x v="90"/>
    </i>
    <i r="2">
      <x v="59"/>
    </i>
    <i t="blank" r="1">
      <x v="90"/>
    </i>
    <i>
      <x v="1558"/>
    </i>
    <i r="1">
      <x v="454"/>
    </i>
    <i r="2">
      <x v="261"/>
    </i>
    <i t="blank" r="1">
      <x v="454"/>
    </i>
    <i>
      <x v="1559"/>
    </i>
    <i r="1">
      <x v="463"/>
    </i>
    <i r="2">
      <x v="80"/>
    </i>
    <i t="blank" r="1">
      <x v="463"/>
    </i>
    <i>
      <x v="1560"/>
    </i>
    <i r="1">
      <x v="150"/>
    </i>
    <i r="2">
      <x v="22"/>
    </i>
    <i t="blank" r="1">
      <x v="150"/>
    </i>
    <i>
      <x v="1561"/>
    </i>
    <i r="1">
      <x v="329"/>
    </i>
    <i r="2">
      <x v="113"/>
    </i>
    <i t="blank" r="1">
      <x v="329"/>
    </i>
    <i>
      <x v="1562"/>
    </i>
    <i r="1">
      <x v="448"/>
    </i>
    <i r="2">
      <x v="261"/>
    </i>
    <i t="blank" r="1">
      <x v="448"/>
    </i>
    <i>
      <x v="1563"/>
    </i>
    <i r="1">
      <x v="381"/>
    </i>
    <i r="2">
      <x v="258"/>
    </i>
    <i t="blank" r="1">
      <x v="381"/>
    </i>
    <i r="1">
      <x v="433"/>
    </i>
    <i r="2">
      <x v="224"/>
    </i>
    <i t="blank" r="1">
      <x v="433"/>
    </i>
    <i>
      <x v="1564"/>
    </i>
    <i r="1">
      <x v="447"/>
    </i>
    <i r="2">
      <x v="37"/>
    </i>
    <i t="blank" r="1">
      <x v="447"/>
    </i>
    <i>
      <x v="1565"/>
    </i>
    <i r="1">
      <x v="48"/>
    </i>
    <i r="2">
      <x v="14"/>
    </i>
    <i t="blank" r="1">
      <x v="48"/>
    </i>
    <i r="1">
      <x v="208"/>
    </i>
    <i r="2">
      <x v="20"/>
    </i>
    <i t="blank" r="1">
      <x v="208"/>
    </i>
    <i>
      <x v="1566"/>
    </i>
    <i r="1">
      <x v="122"/>
    </i>
    <i r="2">
      <x v="107"/>
    </i>
    <i t="blank" r="1">
      <x v="122"/>
    </i>
    <i>
      <x v="1567"/>
    </i>
    <i r="1">
      <x v="142"/>
    </i>
    <i r="2">
      <x v="83"/>
    </i>
    <i t="blank" r="1">
      <x v="142"/>
    </i>
    <i>
      <x v="1568"/>
    </i>
    <i r="1">
      <x v="2"/>
    </i>
    <i r="2">
      <x v="25"/>
    </i>
    <i t="blank" r="1">
      <x v="2"/>
    </i>
    <i r="1">
      <x v="13"/>
    </i>
    <i r="2">
      <x v="25"/>
    </i>
    <i t="blank" r="1">
      <x v="13"/>
    </i>
    <i r="1">
      <x v="41"/>
    </i>
    <i r="2">
      <x v="22"/>
    </i>
    <i t="blank" r="1">
      <x v="41"/>
    </i>
    <i>
      <x v="1569"/>
    </i>
    <i r="1">
      <x v="354"/>
    </i>
    <i r="2">
      <x v="180"/>
    </i>
    <i t="blank" r="1">
      <x v="354"/>
    </i>
    <i r="1">
      <x v="355"/>
    </i>
    <i r="2">
      <x v="180"/>
    </i>
    <i t="blank" r="1">
      <x v="355"/>
    </i>
    <i>
      <x v="1570"/>
    </i>
    <i r="1">
      <x v="59"/>
    </i>
    <i r="2">
      <x v="143"/>
    </i>
    <i t="blank" r="1">
      <x v="59"/>
    </i>
    <i>
      <x v="1571"/>
    </i>
    <i r="1">
      <x v="324"/>
    </i>
    <i r="2">
      <x v="21"/>
    </i>
    <i t="blank" r="1">
      <x v="324"/>
    </i>
    <i>
      <x v="1572"/>
    </i>
    <i r="1">
      <x v="124"/>
    </i>
    <i r="2">
      <x v="109"/>
    </i>
    <i t="blank" r="1">
      <x v="124"/>
    </i>
    <i>
      <x v="1573"/>
    </i>
    <i r="1">
      <x v="403"/>
    </i>
    <i r="2">
      <x v="83"/>
    </i>
    <i t="blank" r="1">
      <x v="403"/>
    </i>
    <i>
      <x v="1574"/>
    </i>
    <i r="1">
      <x v="367"/>
    </i>
    <i r="2">
      <x v="23"/>
    </i>
    <i t="blank" r="1">
      <x v="367"/>
    </i>
    <i>
      <x v="1575"/>
    </i>
    <i r="1">
      <x v="426"/>
    </i>
    <i r="2">
      <x v="83"/>
    </i>
    <i t="blank" r="1">
      <x v="426"/>
    </i>
    <i>
      <x v="1576"/>
    </i>
    <i r="1">
      <x v="401"/>
    </i>
    <i r="2">
      <x v="83"/>
    </i>
    <i t="blank" r="1">
      <x v="401"/>
    </i>
    <i>
      <x v="1577"/>
    </i>
    <i r="1">
      <x v="455"/>
    </i>
    <i r="2">
      <x v="83"/>
    </i>
    <i t="blank" r="1">
      <x v="455"/>
    </i>
    <i>
      <x v="1578"/>
    </i>
    <i r="1">
      <x v="474"/>
    </i>
    <i r="2">
      <x v="261"/>
    </i>
    <i t="blank" r="1">
      <x v="474"/>
    </i>
    <i>
      <x v="1579"/>
    </i>
    <i r="1">
      <x v="272"/>
    </i>
    <i r="2">
      <x v="23"/>
    </i>
    <i t="blank" r="1">
      <x v="272"/>
    </i>
    <i>
      <x v="1580"/>
    </i>
    <i r="1">
      <x v="436"/>
    </i>
    <i r="2">
      <x v="44"/>
    </i>
    <i t="blank" r="1">
      <x v="436"/>
    </i>
    <i>
      <x v="1581"/>
    </i>
    <i r="1">
      <x v="434"/>
    </i>
    <i r="2">
      <x v="83"/>
    </i>
    <i t="blank" r="1">
      <x v="434"/>
    </i>
    <i>
      <x v="1582"/>
    </i>
    <i r="1">
      <x v="484"/>
    </i>
    <i r="2">
      <x v="261"/>
    </i>
    <i t="blank" r="1">
      <x v="484"/>
    </i>
    <i>
      <x v="1583"/>
    </i>
    <i r="1">
      <x v="468"/>
    </i>
    <i r="2">
      <x v="261"/>
    </i>
    <i t="blank" r="1">
      <x v="468"/>
    </i>
    <i>
      <x v="1584"/>
    </i>
    <i r="1">
      <x v="159"/>
    </i>
    <i r="2">
      <x v="83"/>
    </i>
    <i t="blank" r="1">
      <x v="159"/>
    </i>
    <i>
      <x v="1585"/>
    </i>
    <i r="1">
      <x v="146"/>
    </i>
    <i r="2">
      <x v="83"/>
    </i>
    <i t="blank" r="1">
      <x v="146"/>
    </i>
    <i>
      <x v="1586"/>
    </i>
    <i r="1">
      <x v="88"/>
    </i>
    <i r="2">
      <x v="23"/>
    </i>
    <i t="blank" r="1">
      <x v="88"/>
    </i>
    <i>
      <x v="1587"/>
    </i>
    <i r="1">
      <x v="376"/>
    </i>
    <i r="2">
      <x v="32"/>
    </i>
    <i t="blank" r="1">
      <x v="376"/>
    </i>
    <i>
      <x v="1588"/>
    </i>
    <i r="1">
      <x v="449"/>
    </i>
    <i r="2">
      <x v="261"/>
    </i>
    <i t="blank" r="1">
      <x v="449"/>
    </i>
    <i r="1">
      <x v="462"/>
    </i>
    <i r="2">
      <x v="261"/>
    </i>
    <i t="blank" r="1">
      <x v="462"/>
    </i>
    <i>
      <x v="1589"/>
    </i>
    <i r="1">
      <x v="422"/>
    </i>
    <i r="2">
      <x v="250"/>
    </i>
    <i t="blank" r="1">
      <x v="422"/>
    </i>
    <i>
      <x v="1590"/>
    </i>
    <i r="1">
      <x v="351"/>
    </i>
    <i r="2">
      <x v="59"/>
    </i>
    <i t="blank" r="1">
      <x v="351"/>
    </i>
    <i>
      <x v="1591"/>
    </i>
    <i r="1">
      <x v="443"/>
    </i>
    <i r="2">
      <x v="83"/>
    </i>
    <i t="blank" r="1">
      <x v="443"/>
    </i>
    <i>
      <x v="1592"/>
    </i>
    <i r="1">
      <x v="461"/>
    </i>
    <i r="2">
      <x v="299"/>
    </i>
    <i t="blank" r="1">
      <x v="461"/>
    </i>
    <i>
      <x v="1593"/>
    </i>
    <i r="1">
      <x v="463"/>
    </i>
    <i r="2">
      <x v="261"/>
    </i>
    <i t="blank" r="1">
      <x v="463"/>
    </i>
    <i>
      <x v="1594"/>
    </i>
    <i r="1">
      <x v="378"/>
    </i>
    <i r="2">
      <x v="261"/>
    </i>
    <i t="blank" r="1">
      <x v="378"/>
    </i>
    <i>
      <x v="1595"/>
    </i>
    <i r="1">
      <x v="94"/>
    </i>
    <i r="2">
      <x v="69"/>
    </i>
    <i t="blank" r="1">
      <x v="94"/>
    </i>
    <i>
      <x v="1596"/>
    </i>
    <i r="1">
      <x v="288"/>
    </i>
    <i r="2">
      <x v="207"/>
    </i>
    <i t="blank" r="1">
      <x v="288"/>
    </i>
    <i>
      <x v="1597"/>
    </i>
    <i r="1">
      <x v="428"/>
    </i>
    <i r="2">
      <x v="83"/>
    </i>
    <i t="blank" r="1">
      <x v="428"/>
    </i>
    <i>
      <x v="1598"/>
    </i>
    <i r="1">
      <x v="442"/>
    </i>
    <i r="2">
      <x v="83"/>
    </i>
    <i t="blank" r="1">
      <x v="442"/>
    </i>
    <i>
      <x v="1599"/>
    </i>
    <i r="1">
      <x v="433"/>
    </i>
    <i r="2">
      <x v="83"/>
    </i>
    <i t="blank" r="1">
      <x v="433"/>
    </i>
    <i>
      <x v="1600"/>
    </i>
    <i r="1">
      <x v="475"/>
    </i>
    <i r="2">
      <x v="261"/>
    </i>
    <i t="blank" r="1">
      <x v="475"/>
    </i>
    <i>
      <x v="1601"/>
    </i>
    <i r="1">
      <x v="441"/>
    </i>
    <i r="2">
      <x v="238"/>
    </i>
    <i t="blank" r="1">
      <x v="441"/>
    </i>
    <i>
      <x v="1602"/>
    </i>
    <i r="1">
      <x v="386"/>
    </i>
    <i r="2">
      <x v="83"/>
    </i>
    <i t="blank" r="1">
      <x v="386"/>
    </i>
    <i>
      <x v="1603"/>
    </i>
    <i r="1">
      <x v="328"/>
    </i>
    <i r="2">
      <x v="211"/>
    </i>
    <i t="blank" r="1">
      <x v="328"/>
    </i>
    <i>
      <x v="1604"/>
    </i>
    <i r="1">
      <x v="467"/>
    </i>
    <i r="2">
      <x v="296"/>
    </i>
    <i t="blank" r="1">
      <x v="467"/>
    </i>
    <i>
      <x v="1605"/>
    </i>
    <i r="1">
      <x v="455"/>
    </i>
    <i r="2">
      <x v="83"/>
    </i>
    <i t="blank" r="1">
      <x v="455"/>
    </i>
    <i>
      <x v="1606"/>
    </i>
    <i r="1">
      <x v="114"/>
    </i>
    <i r="2">
      <x v="7"/>
    </i>
    <i t="blank" r="1">
      <x v="114"/>
    </i>
    <i>
      <x v="1607"/>
    </i>
    <i r="1">
      <x v="363"/>
    </i>
    <i r="2">
      <x v="171"/>
    </i>
    <i t="blank" r="1">
      <x v="363"/>
    </i>
    <i r="1">
      <x v="377"/>
    </i>
    <i r="2">
      <x v="215"/>
    </i>
    <i t="blank" r="1">
      <x v="377"/>
    </i>
    <i>
      <x v="1608"/>
    </i>
    <i r="1">
      <x v="499"/>
    </i>
    <i r="2">
      <x v="261"/>
    </i>
    <i t="blank" r="1">
      <x v="499"/>
    </i>
    <i>
      <x v="1609"/>
    </i>
    <i r="1">
      <x v="62"/>
    </i>
    <i r="2">
      <x v="25"/>
    </i>
    <i t="blank" r="1">
      <x v="62"/>
    </i>
    <i r="1">
      <x v="126"/>
    </i>
    <i r="2">
      <x v="29"/>
    </i>
    <i t="blank" r="1">
      <x v="126"/>
    </i>
    <i r="1">
      <x v="148"/>
    </i>
    <i r="2">
      <x v="127"/>
    </i>
    <i t="blank" r="1">
      <x v="148"/>
    </i>
    <i r="1">
      <x v="166"/>
    </i>
    <i r="2">
      <x v="29"/>
    </i>
    <i t="blank" r="1">
      <x v="166"/>
    </i>
    <i r="1">
      <x v="196"/>
    </i>
    <i r="2">
      <x v="69"/>
    </i>
    <i t="blank" r="1">
      <x v="196"/>
    </i>
    <i>
      <x v="1610"/>
    </i>
    <i r="1">
      <x v="425"/>
    </i>
    <i r="2">
      <x v="250"/>
    </i>
    <i t="blank" r="1">
      <x v="425"/>
    </i>
    <i>
      <x v="1611"/>
    </i>
    <i r="1">
      <x v="441"/>
    </i>
    <i r="2">
      <x v="5"/>
    </i>
    <i t="blank" r="1">
      <x v="441"/>
    </i>
    <i>
      <x v="1612"/>
    </i>
    <i r="1">
      <x v="467"/>
    </i>
    <i r="2">
      <x v="302"/>
    </i>
    <i t="blank" r="1">
      <x v="467"/>
    </i>
    <i>
      <x v="1613"/>
    </i>
    <i r="1">
      <x v="426"/>
    </i>
    <i r="2">
      <x v="83"/>
    </i>
    <i t="blank" r="1">
      <x v="426"/>
    </i>
    <i>
      <x v="1614"/>
    </i>
    <i r="1">
      <x v="249"/>
    </i>
    <i r="2">
      <x v="2"/>
    </i>
    <i t="blank" r="1">
      <x v="249"/>
    </i>
    <i>
      <x v="1615"/>
    </i>
    <i r="1">
      <x v="288"/>
    </i>
    <i r="2">
      <x v="54"/>
    </i>
    <i t="blank" r="1">
      <x v="288"/>
    </i>
    <i>
      <x v="1616"/>
    </i>
    <i r="1">
      <x v="494"/>
    </i>
    <i r="2">
      <x v="74"/>
    </i>
    <i t="blank" r="1">
      <x v="494"/>
    </i>
    <i>
      <x v="1617"/>
    </i>
    <i r="1">
      <x v="248"/>
    </i>
    <i r="2">
      <x v="65"/>
    </i>
    <i t="blank" r="1">
      <x v="248"/>
    </i>
    <i>
      <x v="1618"/>
    </i>
    <i r="1">
      <x v="382"/>
    </i>
    <i r="2">
      <x v="250"/>
    </i>
    <i t="blank" r="1">
      <x v="382"/>
    </i>
    <i>
      <x v="1619"/>
    </i>
    <i r="1">
      <x v="378"/>
    </i>
    <i r="2">
      <x v="27"/>
    </i>
    <i t="blank" r="1">
      <x v="378"/>
    </i>
    <i>
      <x v="1620"/>
    </i>
    <i r="1">
      <x v="497"/>
    </i>
    <i r="2">
      <x v="261"/>
    </i>
    <i t="blank" r="1">
      <x v="497"/>
    </i>
    <i>
      <x v="1621"/>
    </i>
    <i r="1">
      <x v="370"/>
    </i>
    <i r="2">
      <x v="250"/>
    </i>
    <i t="blank" r="1">
      <x v="370"/>
    </i>
    <i>
      <x v="1622"/>
    </i>
    <i r="1">
      <x v="442"/>
    </i>
    <i r="2">
      <x v="83"/>
    </i>
    <i t="blank" r="1">
      <x v="442"/>
    </i>
    <i>
      <x v="1623"/>
    </i>
    <i r="1">
      <x v="122"/>
    </i>
    <i r="2">
      <x v="96"/>
    </i>
    <i t="blank" r="1">
      <x v="122"/>
    </i>
    <i>
      <x v="1624"/>
    </i>
    <i r="1">
      <x v="94"/>
    </i>
    <i r="2">
      <x v="61"/>
    </i>
    <i t="blank" r="1">
      <x v="94"/>
    </i>
    <i>
      <x v="1625"/>
    </i>
    <i r="1">
      <x v="436"/>
    </i>
    <i r="2">
      <x v="83"/>
    </i>
    <i t="blank" r="1">
      <x v="436"/>
    </i>
    <i>
      <x v="1626"/>
    </i>
    <i r="1">
      <x v="473"/>
    </i>
    <i r="2">
      <x v="285"/>
    </i>
    <i t="blank" r="1">
      <x v="473"/>
    </i>
    <i>
      <x v="1627"/>
    </i>
    <i r="1">
      <x v="501"/>
    </i>
    <i r="2">
      <x v="78"/>
    </i>
    <i t="blank" r="1">
      <x v="501"/>
    </i>
    <i>
      <x v="1628"/>
    </i>
    <i r="1">
      <x v="458"/>
    </i>
    <i r="2">
      <x v="229"/>
    </i>
    <i t="blank" r="1">
      <x v="458"/>
    </i>
    <i>
      <x v="1629"/>
    </i>
    <i r="1">
      <x v="100"/>
    </i>
    <i r="2">
      <x v="74"/>
    </i>
    <i t="blank" r="1">
      <x v="100"/>
    </i>
    <i>
      <x v="1630"/>
    </i>
    <i r="1">
      <x v="457"/>
    </i>
    <i r="2">
      <x v="167"/>
    </i>
    <i t="blank" r="1">
      <x v="457"/>
    </i>
    <i>
      <x v="1631"/>
    </i>
    <i r="1">
      <x v="197"/>
    </i>
    <i r="2">
      <x v="83"/>
    </i>
    <i t="blank" r="1">
      <x v="197"/>
    </i>
    <i>
      <x v="1632"/>
    </i>
    <i r="1">
      <x v="417"/>
    </i>
    <i r="2">
      <x v="96"/>
    </i>
    <i t="blank" r="1">
      <x v="417"/>
    </i>
    <i r="1">
      <x v="436"/>
    </i>
    <i r="2">
      <x v="83"/>
    </i>
    <i t="blank" r="1">
      <x v="436"/>
    </i>
    <i>
      <x v="1633"/>
    </i>
    <i r="1">
      <x v="100"/>
    </i>
    <i r="2">
      <x v="76"/>
    </i>
    <i t="blank" r="1">
      <x v="100"/>
    </i>
    <i>
      <x v="1634"/>
    </i>
    <i r="1">
      <x v="472"/>
    </i>
    <i r="2">
      <x v="261"/>
    </i>
    <i t="blank" r="1">
      <x v="472"/>
    </i>
    <i>
      <x v="1635"/>
    </i>
    <i r="1">
      <x v="385"/>
    </i>
    <i r="2">
      <x v="27"/>
    </i>
    <i t="blank" r="1">
      <x v="385"/>
    </i>
    <i r="1">
      <x v="386"/>
    </i>
    <i r="2">
      <x v="27"/>
    </i>
    <i t="blank" r="1">
      <x v="386"/>
    </i>
    <i r="1">
      <x v="407"/>
    </i>
    <i r="2">
      <x v="27"/>
    </i>
    <i t="blank" r="1">
      <x v="407"/>
    </i>
    <i>
      <x v="1636"/>
    </i>
    <i r="1">
      <x v="485"/>
    </i>
    <i r="2">
      <x v="261"/>
    </i>
    <i t="blank" r="1">
      <x v="485"/>
    </i>
    <i>
      <x v="1637"/>
    </i>
    <i r="1">
      <x v="455"/>
    </i>
    <i r="2">
      <x v="83"/>
    </i>
    <i t="blank" r="1">
      <x v="455"/>
    </i>
    <i>
      <x v="1638"/>
    </i>
    <i r="1">
      <x v="379"/>
    </i>
    <i r="2">
      <x v="261"/>
    </i>
    <i t="blank" r="1">
      <x v="379"/>
    </i>
    <i>
      <x v="1639"/>
    </i>
    <i r="1">
      <x v="144"/>
    </i>
    <i r="2">
      <x v="100"/>
    </i>
    <i t="blank" r="1">
      <x v="144"/>
    </i>
    <i>
      <x v="1640"/>
    </i>
    <i r="1">
      <x v="493"/>
    </i>
    <i r="2">
      <x v="261"/>
    </i>
    <i t="blank" r="1">
      <x v="493"/>
    </i>
    <i>
      <x v="1641"/>
    </i>
    <i r="1">
      <x v="488"/>
    </i>
    <i r="2">
      <x v="261"/>
    </i>
    <i t="blank" r="1">
      <x v="488"/>
    </i>
    <i>
      <x v="1642"/>
    </i>
    <i r="1">
      <x v="340"/>
    </i>
    <i r="2">
      <x v="21"/>
    </i>
    <i t="blank" r="1">
      <x v="340"/>
    </i>
    <i r="1">
      <x v="425"/>
    </i>
    <i r="2">
      <x v="283"/>
    </i>
    <i t="blank" r="1">
      <x v="425"/>
    </i>
    <i>
      <x v="1643"/>
    </i>
    <i r="1">
      <x v="418"/>
    </i>
    <i r="2">
      <x v="245"/>
    </i>
    <i t="blank" r="1">
      <x v="418"/>
    </i>
    <i>
      <x v="1644"/>
    </i>
    <i r="1">
      <x v="376"/>
    </i>
    <i r="2">
      <x v="250"/>
    </i>
    <i t="blank" r="1">
      <x v="376"/>
    </i>
    <i>
      <x v="1645"/>
    </i>
    <i r="1">
      <x v="389"/>
    </i>
    <i r="2">
      <x v="83"/>
    </i>
    <i t="blank" r="1">
      <x v="389"/>
    </i>
    <i r="1">
      <x v="468"/>
    </i>
    <i r="2">
      <x v="303"/>
    </i>
    <i t="blank" r="1">
      <x v="468"/>
    </i>
    <i>
      <x v="1646"/>
    </i>
    <i r="1">
      <x v="389"/>
    </i>
    <i r="2">
      <x v="83"/>
    </i>
    <i t="blank" r="1">
      <x v="389"/>
    </i>
    <i>
      <x v="1647"/>
    </i>
    <i r="1">
      <x v="506"/>
    </i>
    <i r="2">
      <x v="261"/>
    </i>
    <i t="blank" r="1">
      <x v="506"/>
    </i>
    <i>
      <x v="1648"/>
    </i>
    <i r="1">
      <x v="425"/>
    </i>
    <i r="2">
      <x v="83"/>
    </i>
    <i t="blank" r="1">
      <x v="425"/>
    </i>
    <i r="1">
      <x v="440"/>
    </i>
    <i r="2">
      <x v="83"/>
    </i>
    <i t="blank" r="1">
      <x v="440"/>
    </i>
    <i>
      <x v="1649"/>
    </i>
    <i r="1">
      <x v="495"/>
    </i>
    <i r="2">
      <x v="261"/>
    </i>
    <i t="blank" r="1">
      <x v="495"/>
    </i>
    <i>
      <x v="1650"/>
    </i>
    <i r="1">
      <x v="449"/>
    </i>
    <i r="2">
      <x v="76"/>
    </i>
    <i t="blank" r="1">
      <x v="449"/>
    </i>
    <i>
      <x v="1651"/>
    </i>
    <i r="1">
      <x v="65"/>
    </i>
    <i r="2">
      <x v="134"/>
    </i>
    <i t="blank" r="1">
      <x v="65"/>
    </i>
    <i r="1">
      <x v="159"/>
    </i>
    <i r="2">
      <x v="134"/>
    </i>
    <i t="blank" r="1">
      <x v="159"/>
    </i>
    <i r="1">
      <x v="183"/>
    </i>
    <i r="2">
      <x v="134"/>
    </i>
    <i t="blank" r="1">
      <x v="183"/>
    </i>
    <i>
      <x v="1652"/>
    </i>
    <i r="1">
      <x v="346"/>
    </i>
    <i r="2">
      <x v="27"/>
    </i>
    <i t="blank" r="1">
      <x v="346"/>
    </i>
    <i>
      <x v="1653"/>
    </i>
    <i r="1">
      <x v="267"/>
    </i>
    <i r="2">
      <x v="2"/>
    </i>
    <i t="blank" r="1">
      <x v="267"/>
    </i>
    <i>
      <x v="1654"/>
    </i>
    <i r="1">
      <x v="373"/>
    </i>
    <i r="2">
      <x v="83"/>
    </i>
    <i t="blank" r="1">
      <x v="373"/>
    </i>
    <i>
      <x v="1655"/>
    </i>
    <i r="1">
      <x v="370"/>
    </i>
    <i r="2">
      <x v="250"/>
    </i>
    <i t="blank" r="1">
      <x v="370"/>
    </i>
    <i r="1">
      <x v="372"/>
    </i>
    <i r="2">
      <x v="83"/>
    </i>
    <i t="blank" r="1">
      <x v="372"/>
    </i>
    <i>
      <x v="1656"/>
    </i>
    <i r="1">
      <x v="498"/>
    </i>
    <i r="2">
      <x v="261"/>
    </i>
    <i t="blank" r="1">
      <x v="498"/>
    </i>
    <i>
      <x v="1657"/>
    </i>
    <i r="1">
      <x v="153"/>
    </i>
    <i r="2">
      <x v="112"/>
    </i>
    <i t="blank" r="1">
      <x v="153"/>
    </i>
    <i>
      <x v="1658"/>
    </i>
    <i r="1">
      <x v="105"/>
    </i>
    <i r="2">
      <x v="85"/>
    </i>
    <i t="blank" r="1">
      <x v="105"/>
    </i>
    <i>
      <x v="1659"/>
    </i>
    <i r="1">
      <x v="475"/>
    </i>
    <i r="2">
      <x v="261"/>
    </i>
    <i t="blank" r="1">
      <x v="475"/>
    </i>
    <i r="1">
      <x v="489"/>
    </i>
    <i r="2">
      <x v="261"/>
    </i>
    <i t="blank" r="1">
      <x v="489"/>
    </i>
    <i>
      <x v="1660"/>
    </i>
    <i r="1">
      <x v="385"/>
    </i>
    <i r="2">
      <x v="266"/>
    </i>
    <i t="blank" r="1">
      <x v="385"/>
    </i>
    <i r="1">
      <x v="401"/>
    </i>
    <i r="2">
      <x v="83"/>
    </i>
    <i t="blank" r="1">
      <x v="401"/>
    </i>
    <i r="1">
      <x v="403"/>
    </i>
    <i r="2">
      <x v="83"/>
    </i>
    <i t="blank" r="1">
      <x v="403"/>
    </i>
    <i>
      <x v="1661"/>
    </i>
    <i r="1">
      <x v="493"/>
    </i>
    <i r="2">
      <x v="261"/>
    </i>
    <i t="blank" r="1">
      <x v="493"/>
    </i>
    <i>
      <x v="1662"/>
    </i>
    <i r="1">
      <x v="368"/>
    </i>
    <i r="2">
      <x v="245"/>
    </i>
    <i t="blank" r="1">
      <x v="368"/>
    </i>
    <i>
      <x v="1663"/>
    </i>
    <i r="1">
      <x v="353"/>
    </i>
    <i r="2">
      <x v="40"/>
    </i>
    <i t="blank" r="1">
      <x v="353"/>
    </i>
    <i r="1">
      <x v="361"/>
    </i>
    <i r="2">
      <x v="247"/>
    </i>
    <i t="blank" r="1">
      <x v="361"/>
    </i>
    <i>
      <x v="1664"/>
    </i>
    <i r="1">
      <x v="282"/>
    </i>
    <i r="2">
      <x v="23"/>
    </i>
    <i t="blank" r="1">
      <x v="282"/>
    </i>
    <i r="1">
      <x v="292"/>
    </i>
    <i r="2">
      <x v="23"/>
    </i>
    <i t="blank" r="1">
      <x v="292"/>
    </i>
    <i>
      <x v="1665"/>
    </i>
    <i r="1">
      <x v="434"/>
    </i>
    <i r="2">
      <x v="171"/>
    </i>
    <i t="blank" r="1">
      <x v="434"/>
    </i>
    <i>
      <x v="1666"/>
    </i>
    <i r="1">
      <x v="386"/>
    </i>
    <i r="2">
      <x v="65"/>
    </i>
    <i t="blank" r="1">
      <x v="386"/>
    </i>
    <i>
      <x v="1667"/>
    </i>
    <i r="1">
      <x v="159"/>
    </i>
    <i r="2">
      <x v="83"/>
    </i>
    <i t="blank" r="1">
      <x v="159"/>
    </i>
    <i>
      <x v="1668"/>
    </i>
    <i r="1">
      <x v="141"/>
    </i>
    <i r="2">
      <x v="83"/>
    </i>
    <i t="blank" r="1">
      <x v="141"/>
    </i>
    <i>
      <x v="1669"/>
    </i>
    <i r="1">
      <x v="428"/>
    </i>
    <i r="2">
      <x v="83"/>
    </i>
    <i t="blank" r="1">
      <x v="428"/>
    </i>
    <i>
      <x v="1670"/>
    </i>
    <i r="1">
      <x v="475"/>
    </i>
    <i r="2">
      <x v="261"/>
    </i>
    <i t="blank" r="1">
      <x v="475"/>
    </i>
    <i>
      <x v="1671"/>
    </i>
    <i r="1">
      <x v="459"/>
    </i>
    <i r="2">
      <x v="261"/>
    </i>
    <i t="blank" r="1">
      <x v="459"/>
    </i>
    <i>
      <x v="1672"/>
    </i>
    <i r="1">
      <x v="419"/>
    </i>
    <i r="2">
      <x v="250"/>
    </i>
    <i t="blank" r="1">
      <x v="419"/>
    </i>
    <i>
      <x v="1673"/>
    </i>
    <i r="1">
      <x v="467"/>
    </i>
    <i r="2">
      <x v="80"/>
    </i>
    <i t="blank" r="1">
      <x v="467"/>
    </i>
    <i r="1">
      <x v="490"/>
    </i>
    <i r="2">
      <x v="80"/>
    </i>
    <i t="blank" r="1">
      <x v="490"/>
    </i>
    <i>
      <x v="1674"/>
    </i>
    <i r="1">
      <x v="472"/>
    </i>
    <i r="2">
      <x v="165"/>
    </i>
    <i t="blank" r="1">
      <x v="472"/>
    </i>
    <i>
      <x v="1675"/>
    </i>
    <i r="1">
      <x v="381"/>
    </i>
    <i r="2">
      <x v="224"/>
    </i>
    <i t="blank" r="1">
      <x v="381"/>
    </i>
    <i r="1">
      <x v="433"/>
    </i>
    <i r="2">
      <x v="224"/>
    </i>
    <i t="blank" r="1">
      <x v="433"/>
    </i>
    <i>
      <x v="1676"/>
    </i>
    <i r="1">
      <x v="310"/>
    </i>
    <i r="2">
      <x v="28"/>
    </i>
    <i t="blank" r="1">
      <x v="310"/>
    </i>
    <i>
      <x v="1677"/>
    </i>
    <i r="1">
      <x v="271"/>
    </i>
    <i r="2">
      <x v="194"/>
    </i>
    <i t="blank" r="1">
      <x v="271"/>
    </i>
    <i>
      <x v="1678"/>
    </i>
    <i r="1">
      <x v="388"/>
    </i>
    <i r="2">
      <x v="52"/>
    </i>
    <i t="blank" r="1">
      <x v="388"/>
    </i>
    <i>
      <x v="1679"/>
    </i>
    <i r="1">
      <x v="238"/>
    </i>
    <i r="2">
      <x v="53"/>
    </i>
    <i t="blank" r="1">
      <x v="238"/>
    </i>
    <i>
      <x v="1680"/>
    </i>
    <i r="1">
      <x v="388"/>
    </i>
    <i r="2">
      <x v="256"/>
    </i>
    <i t="blank" r="1">
      <x v="388"/>
    </i>
    <i>
      <x v="1681"/>
    </i>
    <i r="1">
      <x v="141"/>
    </i>
    <i r="2">
      <x v="112"/>
    </i>
    <i t="blank" r="1">
      <x v="141"/>
    </i>
    <i>
      <x v="1682"/>
    </i>
    <i r="1">
      <x v="488"/>
    </i>
    <i r="2">
      <x v="45"/>
    </i>
    <i t="blank" r="1">
      <x v="488"/>
    </i>
    <i>
      <x v="1683"/>
    </i>
    <i r="1">
      <x v="69"/>
    </i>
    <i r="2">
      <x v="28"/>
    </i>
    <i t="blank" r="1">
      <x v="69"/>
    </i>
    <i>
      <x v="1684"/>
    </i>
    <i r="1">
      <x v="371"/>
    </i>
    <i r="2">
      <x v="215"/>
    </i>
    <i t="blank" r="1">
      <x v="371"/>
    </i>
    <i>
      <x v="1685"/>
    </i>
    <i r="1">
      <x v="433"/>
    </i>
    <i r="2">
      <x v="83"/>
    </i>
    <i t="blank" r="1">
      <x v="433"/>
    </i>
    <i>
      <x v="1686"/>
    </i>
    <i r="1">
      <x v="458"/>
    </i>
    <i r="2">
      <x v="261"/>
    </i>
    <i t="blank" r="1">
      <x v="458"/>
    </i>
    <i r="1">
      <x v="471"/>
    </i>
    <i r="2">
      <x v="261"/>
    </i>
    <i t="blank" r="1">
      <x v="471"/>
    </i>
    <i>
      <x v="1687"/>
    </i>
    <i r="1">
      <x v="474"/>
    </i>
    <i r="2">
      <x v="305"/>
    </i>
    <i t="blank" r="1">
      <x v="474"/>
    </i>
    <i>
      <x v="1688"/>
    </i>
    <i r="1">
      <x v="340"/>
    </i>
    <i r="2">
      <x v="59"/>
    </i>
    <i t="blank" r="1">
      <x v="340"/>
    </i>
    <i>
      <x v="1689"/>
    </i>
    <i r="1">
      <x v="265"/>
    </i>
    <i r="2">
      <x v="27"/>
    </i>
    <i t="blank" r="1">
      <x v="265"/>
    </i>
    <i>
      <x v="1690"/>
    </i>
    <i r="1">
      <x v="448"/>
    </i>
    <i r="2">
      <x v="261"/>
    </i>
    <i t="blank" r="1">
      <x v="448"/>
    </i>
    <i>
      <x v="1691"/>
    </i>
    <i r="1">
      <x v="306"/>
    </i>
    <i r="2">
      <x v="178"/>
    </i>
    <i t="blank" r="1">
      <x v="306"/>
    </i>
    <i>
      <x v="1692"/>
    </i>
    <i r="1">
      <x v="224"/>
    </i>
    <i r="2">
      <x v="27"/>
    </i>
    <i t="blank" r="1">
      <x v="224"/>
    </i>
    <i r="1">
      <x v="225"/>
    </i>
    <i r="2">
      <x v="161"/>
    </i>
    <i t="blank" r="1">
      <x v="225"/>
    </i>
    <i>
      <x v="1693"/>
    </i>
    <i r="1">
      <x v="389"/>
    </i>
    <i r="2">
      <x v="83"/>
    </i>
    <i t="blank" r="1">
      <x v="389"/>
    </i>
    <i r="1">
      <x v="407"/>
    </i>
    <i r="2">
      <x v="250"/>
    </i>
    <i t="blank" r="1">
      <x v="407"/>
    </i>
    <i>
      <x v="1694"/>
    </i>
    <i r="1">
      <x v="77"/>
    </i>
    <i r="2">
      <x v="44"/>
    </i>
    <i t="blank" r="1">
      <x v="77"/>
    </i>
    <i>
      <x v="1695"/>
    </i>
    <i r="1">
      <x v="481"/>
    </i>
    <i r="2">
      <x v="195"/>
    </i>
    <i t="blank" r="1">
      <x v="481"/>
    </i>
    <i>
      <x v="1696"/>
    </i>
    <i r="1">
      <x v="440"/>
    </i>
    <i r="2">
      <x v="83"/>
    </i>
    <i t="blank" r="1">
      <x v="440"/>
    </i>
    <i>
      <x v="1697"/>
    </i>
    <i r="1">
      <x v="330"/>
    </i>
    <i r="2">
      <x v="18"/>
    </i>
    <i t="blank" r="1">
      <x v="330"/>
    </i>
    <i>
      <x v="1698"/>
    </i>
    <i r="1">
      <x v="305"/>
    </i>
    <i r="2">
      <x v="21"/>
    </i>
    <i t="blank" r="1">
      <x v="305"/>
    </i>
    <i>
      <x v="1699"/>
    </i>
    <i r="1">
      <x v="266"/>
    </i>
    <i r="2">
      <x v="18"/>
    </i>
    <i t="blank" r="1">
      <x v="266"/>
    </i>
    <i>
      <x v="1700"/>
    </i>
    <i r="1">
      <x v="68"/>
    </i>
    <i r="2">
      <x v="17"/>
    </i>
    <i t="blank" r="1">
      <x v="68"/>
    </i>
    <i r="1">
      <x v="69"/>
    </i>
    <i r="2">
      <x v="18"/>
    </i>
    <i t="blank" r="1">
      <x v="69"/>
    </i>
    <i>
      <x v="1701"/>
    </i>
    <i r="1">
      <x v="485"/>
    </i>
    <i r="2">
      <x v="261"/>
    </i>
    <i t="blank" r="1">
      <x v="485"/>
    </i>
    <i>
      <x v="1702"/>
    </i>
    <i r="1">
      <x v="427"/>
    </i>
    <i r="2">
      <x v="83"/>
    </i>
    <i t="blank" r="1">
      <x v="427"/>
    </i>
    <i>
      <x v="1703"/>
    </i>
    <i r="1">
      <x v="160"/>
    </i>
    <i r="2">
      <x v="112"/>
    </i>
    <i t="blank" r="1">
      <x v="160"/>
    </i>
    <i>
      <x v="1704"/>
    </i>
    <i r="1">
      <x v="365"/>
    </i>
    <i r="2">
      <x v="21"/>
    </i>
    <i t="blank" r="1">
      <x v="365"/>
    </i>
    <i>
      <x v="1705"/>
    </i>
    <i r="1">
      <x v="444"/>
    </i>
    <i r="2">
      <x v="148"/>
    </i>
    <i t="blank" r="1">
      <x v="444"/>
    </i>
    <i>
      <x v="1706"/>
    </i>
    <i r="1">
      <x v="454"/>
    </i>
    <i r="2">
      <x v="262"/>
    </i>
    <i t="blank" r="1">
      <x v="454"/>
    </i>
    <i>
      <x v="1707"/>
    </i>
    <i r="1">
      <x v="475"/>
    </i>
    <i r="2">
      <x v="286"/>
    </i>
    <i t="blank" r="1">
      <x v="475"/>
    </i>
    <i>
      <x v="1708"/>
    </i>
    <i r="1">
      <x v="264"/>
    </i>
    <i r="2">
      <x v="170"/>
    </i>
    <i t="blank" r="1">
      <x v="264"/>
    </i>
    <i>
      <x v="1709"/>
    </i>
    <i r="1">
      <x v="490"/>
    </i>
    <i r="2">
      <x v="261"/>
    </i>
    <i t="blank" r="1">
      <x v="490"/>
    </i>
    <i>
      <x v="1710"/>
    </i>
    <i r="1">
      <x v="400"/>
    </i>
    <i r="2">
      <x v="83"/>
    </i>
    <i t="blank" r="1">
      <x v="400"/>
    </i>
    <i>
      <x v="1711"/>
    </i>
    <i r="1">
      <x v="245"/>
    </i>
    <i r="2">
      <x v="180"/>
    </i>
    <i t="blank" r="1">
      <x v="245"/>
    </i>
    <i r="1">
      <x v="370"/>
    </i>
    <i r="2">
      <x v="254"/>
    </i>
    <i t="blank" r="1">
      <x v="370"/>
    </i>
    <i r="1">
      <x v="383"/>
    </i>
    <i r="2">
      <x v="180"/>
    </i>
    <i t="blank" r="1">
      <x v="383"/>
    </i>
    <i>
      <x v="1712"/>
    </i>
    <i r="1">
      <x v="363"/>
    </i>
    <i r="2">
      <x v="96"/>
    </i>
    <i t="blank" r="1">
      <x v="363"/>
    </i>
    <i>
      <x v="1713"/>
    </i>
    <i r="1">
      <x v="431"/>
    </i>
    <i r="2">
      <x v="276"/>
    </i>
    <i t="blank" r="1">
      <x v="431"/>
    </i>
    <i>
      <x v="1714"/>
    </i>
    <i r="1">
      <x v="56"/>
    </i>
    <i r="2">
      <x v="138"/>
    </i>
    <i t="blank" r="1">
      <x v="56"/>
    </i>
    <i>
      <x v="1715"/>
    </i>
    <i r="1">
      <x v="417"/>
    </i>
    <i r="2">
      <x v="5"/>
    </i>
    <i t="blank" r="1">
      <x v="417"/>
    </i>
    <i>
      <x v="1716"/>
    </i>
    <i r="1">
      <x v="19"/>
    </i>
    <i r="2">
      <x v="6"/>
    </i>
    <i t="blank" r="1">
      <x v="19"/>
    </i>
    <i>
      <x v="1717"/>
    </i>
    <i r="1">
      <x v="234"/>
    </i>
    <i r="2">
      <x v="36"/>
    </i>
    <i t="blank" r="1">
      <x v="234"/>
    </i>
    <i>
      <x v="1718"/>
    </i>
    <i r="1">
      <x v="478"/>
    </i>
    <i r="2">
      <x v="21"/>
    </i>
    <i t="blank" r="1">
      <x v="478"/>
    </i>
    <i>
      <x v="1719"/>
    </i>
    <i r="1">
      <x v="162"/>
    </i>
    <i r="2">
      <x v="83"/>
    </i>
    <i t="blank" r="1">
      <x v="162"/>
    </i>
    <i>
      <x v="1720"/>
    </i>
    <i r="1">
      <x v="383"/>
    </i>
    <i r="2">
      <x v="262"/>
    </i>
    <i t="blank" r="1">
      <x v="383"/>
    </i>
    <i>
      <x v="1721"/>
    </i>
    <i r="1">
      <x v="334"/>
    </i>
    <i r="2">
      <x v="178"/>
    </i>
    <i t="blank" r="1">
      <x v="334"/>
    </i>
    <i>
      <x v="1722"/>
    </i>
    <i r="1">
      <x v="503"/>
    </i>
    <i r="2">
      <x v="253"/>
    </i>
    <i t="blank" r="1">
      <x v="503"/>
    </i>
    <i>
      <x v="1723"/>
    </i>
    <i r="1">
      <x v="276"/>
    </i>
    <i r="2">
      <x v="65"/>
    </i>
    <i t="blank" r="1">
      <x v="276"/>
    </i>
    <i>
      <x v="1724"/>
    </i>
    <i r="1">
      <x v="104"/>
    </i>
    <i r="2">
      <x v="83"/>
    </i>
    <i t="blank" r="1">
      <x v="104"/>
    </i>
    <i>
      <x v="1725"/>
    </i>
    <i r="1">
      <x v="476"/>
    </i>
    <i r="2">
      <x v="261"/>
    </i>
    <i t="blank" r="1">
      <x v="476"/>
    </i>
    <i>
      <x v="1726"/>
    </i>
    <i r="1">
      <x v="191"/>
    </i>
    <i r="2">
      <x v="112"/>
    </i>
    <i t="blank" r="1">
      <x v="191"/>
    </i>
    <i>
      <x v="1727"/>
    </i>
    <i r="1">
      <x v="446"/>
    </i>
    <i r="2">
      <x v="288"/>
    </i>
    <i t="blank" r="1">
      <x v="446"/>
    </i>
    <i>
      <x v="1728"/>
    </i>
    <i r="1">
      <x v="258"/>
    </i>
    <i r="2">
      <x v="28"/>
    </i>
    <i t="blank" r="1">
      <x v="258"/>
    </i>
    <i>
      <x v="1729"/>
    </i>
    <i r="1">
      <x v="435"/>
    </i>
    <i r="2">
      <x v="30"/>
    </i>
    <i t="blank" r="1">
      <x v="435"/>
    </i>
    <i>
      <x v="1730"/>
    </i>
    <i r="1">
      <x v="179"/>
    </i>
    <i r="2">
      <x v="138"/>
    </i>
    <i t="blank" r="1">
      <x v="179"/>
    </i>
    <i>
      <x v="1731"/>
    </i>
    <i r="1">
      <x v="139"/>
    </i>
    <i r="2">
      <x v="120"/>
    </i>
    <i t="blank" r="1">
      <x v="139"/>
    </i>
    <i r="1">
      <x v="169"/>
    </i>
    <i r="2">
      <x v="119"/>
    </i>
    <i t="blank" r="1">
      <x v="169"/>
    </i>
    <i>
      <x v="1732"/>
    </i>
    <i r="1">
      <x v="370"/>
    </i>
    <i r="2">
      <x v="83"/>
    </i>
    <i t="blank" r="1">
      <x v="370"/>
    </i>
    <i r="1">
      <x v="460"/>
    </i>
    <i r="2">
      <x v="261"/>
    </i>
    <i t="blank" r="1">
      <x v="460"/>
    </i>
    <i>
      <x v="1733"/>
    </i>
    <i r="1">
      <x v="320"/>
    </i>
    <i r="2">
      <x v="53"/>
    </i>
    <i t="blank" r="1">
      <x v="320"/>
    </i>
    <i r="1">
      <x v="337"/>
    </i>
    <i r="2">
      <x v="171"/>
    </i>
    <i t="blank" r="1">
      <x v="337"/>
    </i>
    <i r="1">
      <x v="344"/>
    </i>
    <i r="2">
      <x v="171"/>
    </i>
    <i t="blank" r="1">
      <x v="344"/>
    </i>
    <i>
      <x v="1734"/>
    </i>
    <i r="1">
      <x v="58"/>
    </i>
    <i r="2">
      <x v="25"/>
    </i>
    <i t="blank" r="1">
      <x v="58"/>
    </i>
    <i>
      <x v="1735"/>
    </i>
    <i r="1">
      <x v="192"/>
    </i>
    <i r="2">
      <x v="138"/>
    </i>
    <i t="blank" r="1">
      <x v="192"/>
    </i>
    <i>
      <x v="1736"/>
    </i>
    <i r="1">
      <x v="126"/>
    </i>
    <i r="2">
      <x v="112"/>
    </i>
    <i t="blank" r="1">
      <x v="126"/>
    </i>
    <i>
      <x v="1737"/>
    </i>
    <i r="1">
      <x v="295"/>
    </i>
    <i r="2">
      <x v="216"/>
    </i>
    <i t="blank" r="1">
      <x v="295"/>
    </i>
    <i r="1">
      <x v="461"/>
    </i>
    <i r="2">
      <x v="78"/>
    </i>
    <i t="blank" r="1">
      <x v="461"/>
    </i>
    <i r="1">
      <x v="475"/>
    </i>
    <i r="2">
      <x v="71"/>
    </i>
    <i t="blank" r="1">
      <x v="475"/>
    </i>
    <i r="1">
      <x v="489"/>
    </i>
    <i r="2">
      <x v="297"/>
    </i>
    <i t="blank" r="1">
      <x v="489"/>
    </i>
    <i>
      <x v="1738"/>
    </i>
    <i r="1">
      <x v="394"/>
    </i>
    <i r="2">
      <x v="83"/>
    </i>
    <i t="blank" r="1">
      <x v="394"/>
    </i>
    <i>
      <x v="1739"/>
    </i>
    <i r="1">
      <x v="424"/>
    </i>
    <i r="2">
      <x v="83"/>
    </i>
    <i t="blank" r="1">
      <x v="424"/>
    </i>
    <i r="1">
      <x v="495"/>
    </i>
    <i r="2">
      <x v="253"/>
    </i>
    <i t="blank" r="1">
      <x v="495"/>
    </i>
    <i>
      <x v="1740"/>
    </i>
    <i r="1">
      <x v="52"/>
    </i>
    <i r="2">
      <x v="148"/>
    </i>
    <i t="blank" r="1">
      <x v="52"/>
    </i>
    <i r="1">
      <x v="473"/>
    </i>
    <i r="2">
      <x v="89"/>
    </i>
    <i t="blank" r="1">
      <x v="473"/>
    </i>
    <i>
      <x v="1741"/>
    </i>
    <i r="1">
      <x v="174"/>
    </i>
    <i r="2">
      <x v="100"/>
    </i>
    <i t="blank" r="1">
      <x v="174"/>
    </i>
    <i r="1">
      <x v="423"/>
    </i>
    <i r="2">
      <x v="83"/>
    </i>
    <i t="blank" r="1">
      <x v="423"/>
    </i>
    <i r="1">
      <x v="471"/>
    </i>
    <i r="2">
      <x v="261"/>
    </i>
    <i t="blank" r="1">
      <x v="471"/>
    </i>
    <i>
      <x v="1742"/>
    </i>
    <i r="1">
      <x v="489"/>
    </i>
    <i r="2">
      <x v="261"/>
    </i>
    <i t="blank" r="1">
      <x v="489"/>
    </i>
    <i>
      <x v="1743"/>
    </i>
    <i r="1">
      <x v="185"/>
    </i>
    <i r="2">
      <x v="83"/>
    </i>
    <i t="blank" r="1">
      <x v="185"/>
    </i>
    <i>
      <x v="1744"/>
    </i>
    <i r="1">
      <x v="383"/>
    </i>
    <i r="2">
      <x v="27"/>
    </i>
    <i t="blank" r="1">
      <x v="383"/>
    </i>
    <i>
      <x v="1745"/>
    </i>
    <i r="1">
      <x v="315"/>
    </i>
    <i r="2">
      <x v="216"/>
    </i>
    <i t="blank" r="1">
      <x v="315"/>
    </i>
    <i>
      <x v="1746"/>
    </i>
    <i r="1">
      <x v="427"/>
    </i>
    <i r="2">
      <x v="83"/>
    </i>
    <i t="blank" r="1">
      <x v="427"/>
    </i>
    <i>
      <x v="1747"/>
    </i>
    <i r="1">
      <x v="186"/>
    </i>
    <i r="2">
      <x v="138"/>
    </i>
    <i t="blank" r="1">
      <x v="186"/>
    </i>
    <i>
      <x v="1748"/>
    </i>
    <i r="1">
      <x v="226"/>
    </i>
    <i r="2">
      <x v="28"/>
    </i>
    <i t="blank" r="1">
      <x v="226"/>
    </i>
    <i>
      <x v="1749"/>
    </i>
    <i r="1">
      <x v="123"/>
    </i>
    <i r="2">
      <x v="108"/>
    </i>
    <i t="blank" r="1">
      <x v="123"/>
    </i>
    <i r="1">
      <x v="307"/>
    </i>
    <i r="2">
      <x v="180"/>
    </i>
    <i t="blank" r="1">
      <x v="307"/>
    </i>
    <i r="1">
      <x v="437"/>
    </i>
    <i r="2">
      <x v="180"/>
    </i>
    <i t="blank" r="1">
      <x v="437"/>
    </i>
    <i r="1">
      <x v="439"/>
    </i>
    <i r="2">
      <x v="187"/>
    </i>
    <i t="blank" r="1">
      <x v="439"/>
    </i>
    <i>
      <x v="1750"/>
    </i>
    <i r="1">
      <x v="263"/>
    </i>
    <i r="2">
      <x v="17"/>
    </i>
    <i t="blank" r="1">
      <x v="263"/>
    </i>
    <i>
      <x v="1751"/>
    </i>
    <i r="1">
      <x v="198"/>
    </i>
    <i r="2">
      <x v="138"/>
    </i>
    <i t="blank" r="1">
      <x v="198"/>
    </i>
    <i r="1">
      <x v="207"/>
    </i>
    <i r="2">
      <x v="138"/>
    </i>
    <i t="blank" r="1">
      <x v="207"/>
    </i>
    <i>
      <x v="1752"/>
    </i>
    <i r="1">
      <x v="477"/>
    </i>
    <i r="2">
      <x v="261"/>
    </i>
    <i t="blank" r="1">
      <x v="477"/>
    </i>
    <i>
      <x v="1753"/>
    </i>
    <i r="1">
      <x v="116"/>
    </i>
    <i r="2">
      <x v="102"/>
    </i>
    <i t="blank" r="1">
      <x v="116"/>
    </i>
    <i r="1">
      <x v="409"/>
    </i>
    <i r="2">
      <x v="253"/>
    </i>
    <i t="blank" r="1">
      <x v="409"/>
    </i>
    <i>
      <x v="1754"/>
    </i>
    <i r="1">
      <x v="378"/>
    </i>
    <i r="2">
      <x v="83"/>
    </i>
    <i t="blank" r="1">
      <x v="378"/>
    </i>
    <i>
      <x v="1755"/>
    </i>
    <i r="1">
      <x v="461"/>
    </i>
    <i r="2">
      <x v="261"/>
    </i>
    <i t="blank" r="1">
      <x v="461"/>
    </i>
    <i>
      <x v="1756"/>
    </i>
    <i r="1">
      <x v="424"/>
    </i>
    <i r="2">
      <x v="83"/>
    </i>
    <i t="blank" r="1">
      <x v="424"/>
    </i>
    <i>
      <x v="1757"/>
    </i>
    <i r="1">
      <x v="181"/>
    </i>
    <i r="2">
      <x v="138"/>
    </i>
    <i t="blank" r="1">
      <x v="181"/>
    </i>
    <i>
      <x v="1758"/>
    </i>
    <i r="1">
      <x v="150"/>
    </i>
    <i r="2">
      <x v="112"/>
    </i>
    <i t="blank" r="1">
      <x v="150"/>
    </i>
    <i>
      <x v="1759"/>
    </i>
    <i r="1">
      <x v="491"/>
    </i>
    <i r="2">
      <x v="261"/>
    </i>
    <i t="blank" r="1">
      <x v="491"/>
    </i>
    <i>
      <x v="1760"/>
    </i>
    <i r="1">
      <x v="372"/>
    </i>
    <i r="2">
      <x v="22"/>
    </i>
    <i t="blank" r="1">
      <x v="372"/>
    </i>
    <i>
      <x v="1761"/>
    </i>
    <i r="1">
      <x v="416"/>
    </i>
    <i r="2">
      <x v="83"/>
    </i>
    <i t="blank" r="1">
      <x v="416"/>
    </i>
    <i>
      <x v="1762"/>
    </i>
    <i r="1">
      <x v="59"/>
    </i>
    <i r="2">
      <x v="142"/>
    </i>
    <i t="blank" r="1">
      <x v="59"/>
    </i>
    <i>
      <x v="1763"/>
    </i>
    <i r="1">
      <x v="155"/>
    </i>
    <i r="2">
      <x v="133"/>
    </i>
    <i t="blank" r="1">
      <x v="155"/>
    </i>
    <i>
      <x v="1764"/>
    </i>
    <i r="1">
      <x v="169"/>
    </i>
    <i r="2">
      <x v="112"/>
    </i>
    <i t="blank" r="1">
      <x v="169"/>
    </i>
    <i>
      <x v="1765"/>
    </i>
    <i r="1">
      <x v="407"/>
    </i>
    <i r="2">
      <x v="38"/>
    </i>
    <i t="blank" r="1">
      <x v="407"/>
    </i>
    <i>
      <x v="1766"/>
    </i>
    <i r="1">
      <x v="434"/>
    </i>
    <i r="2">
      <x v="83"/>
    </i>
    <i t="blank" r="1">
      <x v="434"/>
    </i>
    <i>
      <x v="1767"/>
    </i>
    <i r="1">
      <x v="367"/>
    </i>
    <i r="2">
      <x v="215"/>
    </i>
    <i t="blank" r="1">
      <x v="367"/>
    </i>
    <i>
      <x v="1768"/>
    </i>
    <i r="1">
      <x v="382"/>
    </i>
    <i r="2">
      <x v="261"/>
    </i>
    <i t="blank" r="1">
      <x v="382"/>
    </i>
    <i>
      <x v="1769"/>
    </i>
    <i r="1">
      <x v="483"/>
    </i>
    <i r="2">
      <x v="261"/>
    </i>
    <i t="blank" r="1">
      <x v="483"/>
    </i>
    <i>
      <x v="1770"/>
    </i>
    <i r="1">
      <x v="499"/>
    </i>
    <i r="2">
      <x v="261"/>
    </i>
    <i t="blank" r="1">
      <x v="499"/>
    </i>
    <i>
      <x v="1771"/>
    </i>
    <i r="1">
      <x v="467"/>
    </i>
    <i r="2">
      <x v="253"/>
    </i>
    <i t="blank" r="1">
      <x v="467"/>
    </i>
    <i>
      <x v="1772"/>
    </i>
    <i r="1">
      <x v="202"/>
    </i>
    <i r="2">
      <x v="112"/>
    </i>
    <i t="blank" r="1">
      <x v="202"/>
    </i>
    <i>
      <x v="1773"/>
    </i>
    <i r="1">
      <x v="264"/>
    </i>
    <i r="2">
      <x v="140"/>
    </i>
    <i t="blank" r="1">
      <x v="264"/>
    </i>
    <i>
      <x v="1774"/>
    </i>
    <i r="1">
      <x v="277"/>
    </i>
    <i r="2">
      <x v="17"/>
    </i>
    <i t="blank" r="1">
      <x v="277"/>
    </i>
    <i>
      <x v="1775"/>
    </i>
    <i r="1">
      <x v="195"/>
    </i>
    <i r="2">
      <x v="138"/>
    </i>
    <i t="blank" r="1">
      <x v="195"/>
    </i>
    <i>
      <x v="1776"/>
    </i>
    <i r="1">
      <x v="427"/>
    </i>
    <i r="2">
      <x v="83"/>
    </i>
    <i t="blank" r="1">
      <x v="427"/>
    </i>
    <i>
      <x v="1777"/>
    </i>
    <i r="1">
      <x v="488"/>
    </i>
    <i r="2">
      <x v="261"/>
    </i>
    <i t="blank" r="1">
      <x v="488"/>
    </i>
    <i>
      <x v="1778"/>
    </i>
    <i r="1">
      <x v="447"/>
    </i>
    <i r="2">
      <x v="290"/>
    </i>
    <i t="blank" r="1">
      <x v="447"/>
    </i>
    <i>
      <x v="1779"/>
    </i>
    <i r="1">
      <x v="484"/>
    </i>
    <i r="2">
      <x v="261"/>
    </i>
    <i t="blank" r="1">
      <x v="484"/>
    </i>
    <i>
      <x v="1780"/>
    </i>
    <i r="1">
      <x v="476"/>
    </i>
    <i r="2">
      <x v="96"/>
    </i>
    <i t="blank" r="1">
      <x v="476"/>
    </i>
    <i>
      <x v="1781"/>
    </i>
    <i r="1">
      <x v="469"/>
    </i>
    <i r="2">
      <x v="261"/>
    </i>
    <i t="blank" r="1">
      <x v="469"/>
    </i>
    <i>
      <x v="1782"/>
    </i>
    <i r="1">
      <x v="504"/>
    </i>
    <i r="2">
      <x v="261"/>
    </i>
    <i t="blank" r="1">
      <x v="504"/>
    </i>
    <i>
      <x v="1783"/>
    </i>
    <i r="1">
      <x v="225"/>
    </i>
    <i r="2">
      <x v="28"/>
    </i>
    <i t="blank" r="1">
      <x v="225"/>
    </i>
    <i>
      <x v="1784"/>
    </i>
    <i r="1">
      <x v="270"/>
    </i>
    <i r="2">
      <x v="164"/>
    </i>
    <i t="blank" r="1">
      <x v="270"/>
    </i>
    <i r="1">
      <x v="271"/>
    </i>
    <i r="2">
      <x v="164"/>
    </i>
    <i t="blank" r="1">
      <x v="271"/>
    </i>
    <i>
      <x v="1785"/>
    </i>
    <i r="1">
      <x v="269"/>
    </i>
    <i r="2">
      <x v="193"/>
    </i>
    <i t="blank" r="1">
      <x v="269"/>
    </i>
    <i>
      <x v="1786"/>
    </i>
    <i r="1">
      <x v="383"/>
    </i>
    <i r="2">
      <x v="83"/>
    </i>
    <i t="blank" r="1">
      <x v="383"/>
    </i>
    <i r="1">
      <x v="387"/>
    </i>
    <i r="2">
      <x v="83"/>
    </i>
    <i t="blank" r="1">
      <x v="387"/>
    </i>
    <i>
      <x v="1787"/>
    </i>
    <i r="1">
      <x v="443"/>
    </i>
    <i r="2">
      <x v="83"/>
    </i>
    <i t="blank" r="1">
      <x v="443"/>
    </i>
    <i>
      <x v="1788"/>
    </i>
    <i r="1">
      <x v="57"/>
    </i>
    <i r="2">
      <x v="145"/>
    </i>
    <i t="blank" r="1">
      <x v="57"/>
    </i>
    <i>
      <x v="1789"/>
    </i>
    <i r="1">
      <x v="426"/>
    </i>
    <i r="2">
      <x v="245"/>
    </i>
    <i t="blank" r="1">
      <x v="426"/>
    </i>
    <i>
      <x v="1790"/>
    </i>
    <i r="1">
      <x v="160"/>
    </i>
    <i r="2">
      <x v="112"/>
    </i>
    <i t="blank" r="1">
      <x v="160"/>
    </i>
    <i>
      <x v="1791"/>
    </i>
    <i r="1">
      <x v="419"/>
    </i>
    <i r="2">
      <x v="59"/>
    </i>
    <i t="blank" r="1">
      <x v="419"/>
    </i>
    <i>
      <x v="1792"/>
    </i>
    <i r="1">
      <x v="403"/>
    </i>
    <i r="2">
      <x v="83"/>
    </i>
    <i t="blank" r="1">
      <x v="403"/>
    </i>
    <i>
      <x v="1793"/>
    </i>
    <i r="1">
      <x v="386"/>
    </i>
    <i r="2">
      <x v="83"/>
    </i>
    <i t="blank" r="1">
      <x v="386"/>
    </i>
    <i>
      <x v="1794"/>
    </i>
    <i r="1">
      <x v="496"/>
    </i>
    <i r="2">
      <x v="289"/>
    </i>
    <i t="blank" r="1">
      <x v="496"/>
    </i>
    <i>
      <x v="1795"/>
    </i>
    <i r="1">
      <x v="168"/>
    </i>
    <i r="2">
      <x v="135"/>
    </i>
    <i t="blank" r="1">
      <x v="168"/>
    </i>
    <i>
      <x v="1796"/>
    </i>
    <i r="1">
      <x v="450"/>
    </i>
    <i r="2">
      <x v="261"/>
    </i>
    <i t="blank" r="1">
      <x v="450"/>
    </i>
    <i>
      <x v="1797"/>
    </i>
    <i r="1">
      <x v="453"/>
    </i>
    <i r="2">
      <x v="261"/>
    </i>
    <i t="blank" r="1">
      <x v="453"/>
    </i>
    <i>
      <x v="1798"/>
    </i>
    <i r="1">
      <x v="132"/>
    </i>
    <i r="2">
      <x v="111"/>
    </i>
    <i t="blank" r="1">
      <x v="132"/>
    </i>
    <i>
      <x v="1799"/>
    </i>
    <i r="1">
      <x v="312"/>
    </i>
    <i r="2">
      <x v="54"/>
    </i>
    <i t="blank" r="1">
      <x v="312"/>
    </i>
    <i r="1">
      <x v="495"/>
    </i>
    <i r="2">
      <x v="261"/>
    </i>
    <i t="blank" r="1">
      <x v="495"/>
    </i>
    <i>
      <x v="1800"/>
    </i>
    <i r="1">
      <x v="394"/>
    </i>
    <i r="2">
      <x v="83"/>
    </i>
    <i t="blank" r="1">
      <x v="394"/>
    </i>
    <i>
      <x v="1801"/>
    </i>
    <i r="1">
      <x v="156"/>
    </i>
    <i r="2">
      <x v="112"/>
    </i>
    <i t="blank" r="1">
      <x v="156"/>
    </i>
    <i>
      <x v="1802"/>
    </i>
    <i r="1">
      <x v="243"/>
    </i>
    <i r="2">
      <x v="176"/>
    </i>
    <i t="blank" r="1">
      <x v="243"/>
    </i>
    <i>
      <x v="1803"/>
    </i>
    <i r="1">
      <x v="386"/>
    </i>
    <i r="2">
      <x v="83"/>
    </i>
    <i t="blank" r="1">
      <x v="386"/>
    </i>
    <i>
      <x v="1804"/>
    </i>
    <i r="1">
      <x v="309"/>
    </i>
    <i r="2">
      <x v="184"/>
    </i>
    <i t="blank" r="1">
      <x v="309"/>
    </i>
    <i>
      <x v="1805"/>
    </i>
    <i r="1">
      <x v="170"/>
    </i>
    <i r="2">
      <x v="136"/>
    </i>
    <i t="blank" r="1">
      <x v="170"/>
    </i>
    <i>
      <x v="1806"/>
    </i>
    <i r="1">
      <x v="435"/>
    </i>
    <i r="2">
      <x v="83"/>
    </i>
    <i t="blank" r="1">
      <x v="435"/>
    </i>
    <i>
      <x v="1807"/>
    </i>
    <i r="1">
      <x v="502"/>
    </i>
    <i r="2">
      <x v="261"/>
    </i>
    <i t="blank" r="1">
      <x v="502"/>
    </i>
    <i>
      <x v="1808"/>
    </i>
    <i r="1">
      <x v="244"/>
    </i>
    <i r="2">
      <x v="150"/>
    </i>
    <i t="blank" r="1">
      <x v="244"/>
    </i>
    <i>
      <x v="1809"/>
    </i>
    <i r="1">
      <x v="142"/>
    </i>
    <i r="2">
      <x v="112"/>
    </i>
    <i t="blank" r="1">
      <x v="142"/>
    </i>
    <i>
      <x v="1810"/>
    </i>
    <i r="1">
      <x v="490"/>
    </i>
    <i r="2">
      <x v="262"/>
    </i>
    <i t="blank" r="1">
      <x v="490"/>
    </i>
    <i>
      <x v="1811"/>
    </i>
    <i r="1">
      <x v="378"/>
    </i>
    <i r="2">
      <x v="261"/>
    </i>
    <i t="blank" r="1">
      <x v="378"/>
    </i>
    <i>
      <x v="1812"/>
    </i>
    <i r="1">
      <x v="170"/>
    </i>
    <i r="2">
      <x v="119"/>
    </i>
    <i t="blank" r="1">
      <x v="170"/>
    </i>
    <i>
      <x v="1813"/>
    </i>
    <i r="1">
      <x v="468"/>
    </i>
    <i r="2">
      <x v="261"/>
    </i>
    <i t="blank" r="1">
      <x v="468"/>
    </i>
    <i>
      <x v="1814"/>
    </i>
    <i r="1">
      <x v="155"/>
    </i>
    <i r="2">
      <x v="132"/>
    </i>
    <i t="blank" r="1">
      <x v="155"/>
    </i>
    <i>
      <x v="1815"/>
    </i>
    <i r="1">
      <x v="396"/>
    </i>
    <i r="2">
      <x v="83"/>
    </i>
    <i t="blank" r="1">
      <x v="396"/>
    </i>
    <i>
      <x v="1816"/>
    </i>
    <i r="1">
      <x v="150"/>
    </i>
    <i r="2">
      <x v="6"/>
    </i>
    <i t="blank" r="1">
      <x v="150"/>
    </i>
    <i>
      <x v="1817"/>
    </i>
    <i r="1">
      <x v="431"/>
    </i>
    <i r="2">
      <x v="83"/>
    </i>
    <i t="blank" r="1">
      <x v="431"/>
    </i>
    <i>
      <x v="1818"/>
    </i>
    <i r="1">
      <x v="61"/>
    </i>
    <i r="2">
      <x v="112"/>
    </i>
    <i t="blank" r="1">
      <x v="61"/>
    </i>
    <i>
      <x v="1819"/>
    </i>
    <i r="1">
      <x v="452"/>
    </i>
    <i r="2">
      <x v="261"/>
    </i>
    <i t="blank" r="1">
      <x v="452"/>
    </i>
    <i>
      <x v="1820"/>
    </i>
    <i r="1">
      <x v="386"/>
    </i>
    <i r="2">
      <x v="83"/>
    </i>
    <i t="blank" r="1">
      <x v="386"/>
    </i>
    <i>
      <x v="1821"/>
    </i>
    <i r="1">
      <x v="454"/>
    </i>
    <i r="2">
      <x v="294"/>
    </i>
    <i t="blank" r="1">
      <x v="454"/>
    </i>
    <i>
      <x v="1822"/>
    </i>
    <i r="1">
      <x v="105"/>
    </i>
    <i r="2">
      <x v="25"/>
    </i>
    <i t="blank" r="1">
      <x v="105"/>
    </i>
    <i>
      <x v="1823"/>
    </i>
    <i r="1">
      <x v="154"/>
    </i>
    <i r="2">
      <x v="112"/>
    </i>
    <i t="blank" r="1">
      <x v="154"/>
    </i>
    <i>
      <x v="1824"/>
    </i>
    <i r="1">
      <x v="166"/>
    </i>
    <i r="2">
      <x v="112"/>
    </i>
    <i t="blank" r="1">
      <x v="166"/>
    </i>
    <i>
      <x v="1825"/>
    </i>
    <i r="1">
      <x v="503"/>
    </i>
    <i r="2">
      <x v="253"/>
    </i>
    <i t="blank" r="1">
      <x v="503"/>
    </i>
    <i>
      <x v="1826"/>
    </i>
    <i r="1">
      <x v="249"/>
    </i>
    <i r="2">
      <x v="178"/>
    </i>
    <i t="blank" r="1">
      <x v="249"/>
    </i>
    <i>
      <x v="1827"/>
    </i>
    <i r="1">
      <x v="370"/>
    </i>
    <i r="2">
      <x v="250"/>
    </i>
    <i t="blank" r="1">
      <x v="370"/>
    </i>
    <i>
      <x v="1828"/>
    </i>
    <i r="1">
      <x v="148"/>
    </i>
    <i r="2">
      <x v="65"/>
    </i>
    <i t="blank" r="1">
      <x v="148"/>
    </i>
    <i>
      <x v="1829"/>
    </i>
    <i r="1">
      <x v="364"/>
    </i>
    <i r="2">
      <x v="249"/>
    </i>
    <i t="blank" r="1">
      <x v="364"/>
    </i>
    <i>
      <x v="1830"/>
    </i>
    <i r="1">
      <x v="402"/>
    </i>
    <i r="2">
      <x v="83"/>
    </i>
    <i t="blank" r="1">
      <x v="402"/>
    </i>
    <i>
      <x v="1831"/>
    </i>
    <i r="1">
      <x v="456"/>
    </i>
    <i r="2">
      <x v="245"/>
    </i>
    <i t="blank" r="1">
      <x v="456"/>
    </i>
    <i>
      <x v="1832"/>
    </i>
    <i r="1">
      <x v="131"/>
    </i>
    <i r="2">
      <x v="7"/>
    </i>
    <i t="blank" r="1">
      <x v="131"/>
    </i>
    <i r="1">
      <x v="132"/>
    </i>
    <i r="2">
      <x v="93"/>
    </i>
    <i t="blank" r="1">
      <x v="132"/>
    </i>
    <i r="1">
      <x v="146"/>
    </i>
    <i r="2">
      <x v="125"/>
    </i>
    <i t="blank" r="1">
      <x v="146"/>
    </i>
    <i r="1">
      <x v="418"/>
    </i>
    <i r="2">
      <x v="52"/>
    </i>
    <i t="blank" r="1">
      <x v="418"/>
    </i>
    <i>
      <x v="1833"/>
    </i>
    <i r="1">
      <x v="63"/>
    </i>
    <i r="2">
      <x v="22"/>
    </i>
    <i t="blank" r="1">
      <x v="63"/>
    </i>
    <i r="1">
      <x v="127"/>
    </i>
    <i r="2">
      <x v="22"/>
    </i>
    <i t="blank" r="1">
      <x v="127"/>
    </i>
    <i>
      <x v="1834"/>
    </i>
    <i r="1">
      <x v="111"/>
    </i>
    <i r="2">
      <x v="96"/>
    </i>
    <i t="blank" r="1">
      <x v="111"/>
    </i>
    <i>
      <x v="1835"/>
    </i>
    <i r="1">
      <x v="449"/>
    </i>
    <i r="2">
      <x v="211"/>
    </i>
    <i t="blank" r="1">
      <x v="449"/>
    </i>
    <i r="1">
      <x v="480"/>
    </i>
    <i r="2">
      <x v="211"/>
    </i>
    <i t="blank" r="1">
      <x v="480"/>
    </i>
    <i>
      <x v="1836"/>
    </i>
    <i r="1">
      <x v="185"/>
    </i>
    <i r="2">
      <x v="138"/>
    </i>
    <i t="blank" r="1">
      <x v="185"/>
    </i>
    <i>
      <x v="1837"/>
    </i>
    <i r="1">
      <x v="137"/>
    </i>
    <i r="2">
      <x v="11"/>
    </i>
    <i t="blank" r="1">
      <x v="137"/>
    </i>
    <i>
      <x v="1838"/>
    </i>
    <i r="1">
      <x v="506"/>
    </i>
    <i r="2">
      <x v="261"/>
    </i>
    <i t="blank" r="1">
      <x v="506"/>
    </i>
    <i>
      <x v="1839"/>
    </i>
    <i r="1">
      <x v="277"/>
    </i>
    <i r="2">
      <x v="28"/>
    </i>
    <i t="blank" r="1">
      <x v="277"/>
    </i>
    <i>
      <x v="1840"/>
    </i>
    <i r="1">
      <x v="158"/>
    </i>
    <i r="2">
      <x v="112"/>
    </i>
    <i t="blank" r="1">
      <x v="158"/>
    </i>
    <i>
      <x v="1841"/>
    </i>
    <i r="1">
      <x v="463"/>
    </i>
    <i r="2">
      <x v="253"/>
    </i>
    <i t="blank" r="1">
      <x v="463"/>
    </i>
    <i>
      <x v="1842"/>
    </i>
    <i r="1">
      <x v="348"/>
    </i>
    <i r="2">
      <x v="28"/>
    </i>
    <i t="blank" r="1">
      <x v="348"/>
    </i>
    <i>
      <x v="1843"/>
    </i>
    <i r="1">
      <x v="188"/>
    </i>
    <i r="2">
      <x v="138"/>
    </i>
    <i t="blank" r="1">
      <x v="188"/>
    </i>
    <i>
      <x v="1844"/>
    </i>
    <i r="1">
      <x v="145"/>
    </i>
    <i r="2">
      <x v="112"/>
    </i>
    <i t="blank" r="1">
      <x v="145"/>
    </i>
    <i>
      <x v="1845"/>
    </i>
    <i r="1">
      <x v="411"/>
    </i>
    <i r="2">
      <x v="83"/>
    </i>
    <i t="blank" r="1">
      <x v="411"/>
    </i>
    <i>
      <x v="1846"/>
    </i>
    <i r="1">
      <x v="171"/>
    </i>
    <i r="2">
      <x v="112"/>
    </i>
    <i t="blank" r="1">
      <x v="171"/>
    </i>
    <i>
      <x v="1847"/>
    </i>
    <i r="1">
      <x v="317"/>
    </i>
    <i r="2">
      <x v="220"/>
    </i>
    <i t="blank" r="1">
      <x v="317"/>
    </i>
    <i r="1">
      <x v="391"/>
    </i>
    <i r="2">
      <x v="265"/>
    </i>
    <i t="blank" r="1">
      <x v="391"/>
    </i>
    <i>
      <x v="1848"/>
    </i>
    <i r="1">
      <x v="78"/>
    </i>
    <i r="2">
      <x v="22"/>
    </i>
    <i t="blank" r="1">
      <x v="78"/>
    </i>
    <i>
      <x v="1849"/>
    </i>
    <i r="1">
      <x v="246"/>
    </i>
    <i r="2">
      <x v="2"/>
    </i>
    <i t="blank" r="1">
      <x v="246"/>
    </i>
    <i r="1">
      <x v="350"/>
    </i>
    <i r="2">
      <x v="18"/>
    </i>
    <i t="blank" r="1">
      <x v="350"/>
    </i>
    <i r="1">
      <x v="441"/>
    </i>
    <i r="2">
      <x v="251"/>
    </i>
    <i t="blank" r="1">
      <x v="441"/>
    </i>
    <i>
      <x v="1850"/>
    </i>
    <i r="1">
      <x v="148"/>
    </i>
    <i r="2">
      <x v="128"/>
    </i>
    <i t="blank" r="1">
      <x v="148"/>
    </i>
    <i>
      <x v="1851"/>
    </i>
    <i r="1">
      <x v="146"/>
    </i>
    <i r="2">
      <x v="112"/>
    </i>
    <i t="blank" r="1">
      <x v="146"/>
    </i>
    <i>
      <x v="1852"/>
    </i>
    <i r="1">
      <x v="229"/>
    </i>
    <i r="2">
      <x v="54"/>
    </i>
    <i t="blank" r="1">
      <x v="229"/>
    </i>
    <i>
      <x v="1853"/>
    </i>
    <i r="1">
      <x v="457"/>
    </i>
    <i r="2">
      <x v="83"/>
    </i>
    <i t="blank" r="1">
      <x v="457"/>
    </i>
    <i>
      <x v="1854"/>
    </i>
    <i r="1">
      <x v="472"/>
    </i>
    <i r="2">
      <x v="289"/>
    </i>
    <i t="blank" r="1">
      <x v="472"/>
    </i>
    <i>
      <x v="1855"/>
    </i>
    <i r="1">
      <x v="102"/>
    </i>
    <i r="2">
      <x v="45"/>
    </i>
    <i t="blank" r="1">
      <x v="102"/>
    </i>
    <i>
      <x v="1856"/>
    </i>
    <i r="1">
      <x v="164"/>
    </i>
    <i r="2">
      <x v="112"/>
    </i>
    <i t="blank" r="1">
      <x v="164"/>
    </i>
    <i>
      <x v="1857"/>
    </i>
    <i r="1">
      <x v="489"/>
    </i>
    <i r="2">
      <x v="261"/>
    </i>
    <i t="blank" r="1">
      <x v="489"/>
    </i>
    <i>
      <x v="1858"/>
    </i>
    <i r="1">
      <x v="462"/>
    </i>
    <i r="2">
      <x v="261"/>
    </i>
    <i t="blank" r="1">
      <x v="462"/>
    </i>
    <i>
      <x v="1859"/>
    </i>
    <i r="1">
      <x v="180"/>
    </i>
    <i r="2">
      <x v="112"/>
    </i>
    <i t="blank" r="1">
      <x v="180"/>
    </i>
    <i r="1">
      <x v="203"/>
    </i>
    <i r="2">
      <x v="112"/>
    </i>
    <i t="blank" r="1">
      <x v="203"/>
    </i>
    <i>
      <x v="1860"/>
    </i>
    <i r="1">
      <x v="138"/>
    </i>
    <i r="2">
      <x v="119"/>
    </i>
    <i t="blank" r="1">
      <x v="138"/>
    </i>
    <i>
      <x v="1861"/>
    </i>
    <i r="1">
      <x v="442"/>
    </i>
    <i r="2">
      <x v="83"/>
    </i>
    <i t="blank" r="1">
      <x v="442"/>
    </i>
    <i>
      <x v="1862"/>
    </i>
    <i r="1">
      <x v="446"/>
    </i>
    <i r="2">
      <x v="261"/>
    </i>
    <i t="blank" r="1">
      <x v="446"/>
    </i>
    <i>
      <x v="1863"/>
    </i>
    <i r="1">
      <x v="187"/>
    </i>
    <i r="2">
      <x v="139"/>
    </i>
    <i t="blank" r="1">
      <x v="187"/>
    </i>
    <i>
      <x v="1864"/>
    </i>
    <i r="1">
      <x v="394"/>
    </i>
    <i r="2">
      <x v="54"/>
    </i>
    <i t="blank" r="1">
      <x v="394"/>
    </i>
    <i>
      <x v="1865"/>
    </i>
    <i r="1">
      <x v="155"/>
    </i>
    <i r="2">
      <x v="128"/>
    </i>
    <i t="blank" r="1">
      <x v="155"/>
    </i>
    <i>
      <x v="1866"/>
    </i>
    <i r="1">
      <x v="102"/>
    </i>
    <i r="2">
      <x v="41"/>
    </i>
    <i t="blank" r="1">
      <x v="102"/>
    </i>
    <i r="1">
      <x v="103"/>
    </i>
    <i r="2">
      <x v="37"/>
    </i>
    <i t="blank" r="1">
      <x v="103"/>
    </i>
    <i r="1">
      <x v="269"/>
    </i>
    <i r="2">
      <x v="41"/>
    </i>
    <i t="blank" r="1">
      <x v="269"/>
    </i>
    <i>
      <x v="1867"/>
    </i>
    <i r="1">
      <x v="196"/>
    </i>
    <i r="2">
      <x v="83"/>
    </i>
    <i t="blank" r="1">
      <x v="196"/>
    </i>
    <i>
      <x v="1868"/>
    </i>
    <i r="1">
      <x v="450"/>
    </i>
    <i r="2">
      <x v="261"/>
    </i>
    <i t="blank" r="1">
      <x v="450"/>
    </i>
    <i>
      <x v="1869"/>
    </i>
    <i r="1">
      <x v="42"/>
    </i>
    <i r="2">
      <x v="157"/>
    </i>
    <i t="blank" r="1">
      <x v="42"/>
    </i>
    <i>
      <x v="1870"/>
    </i>
    <i r="1">
      <x v="407"/>
    </i>
    <i r="2">
      <x v="41"/>
    </i>
    <i t="blank" r="1">
      <x v="407"/>
    </i>
    <i>
      <x v="1871"/>
    </i>
    <i r="1">
      <x v="447"/>
    </i>
    <i r="2">
      <x v="261"/>
    </i>
    <i t="blank" r="1">
      <x v="447"/>
    </i>
    <i>
      <x v="1872"/>
    </i>
    <i r="1">
      <x v="148"/>
    </i>
    <i r="2">
      <x v="129"/>
    </i>
    <i t="blank" r="1">
      <x v="148"/>
    </i>
    <i>
      <x v="1873"/>
    </i>
    <i r="1">
      <x v="381"/>
    </i>
    <i r="2">
      <x v="83"/>
    </i>
    <i t="blank" r="1">
      <x v="381"/>
    </i>
    <i>
      <x v="1874"/>
    </i>
    <i r="1">
      <x v="146"/>
    </i>
    <i r="2">
      <x v="112"/>
    </i>
    <i t="blank" r="1">
      <x v="146"/>
    </i>
    <i>
      <x v="1875"/>
    </i>
    <i r="1">
      <x v="223"/>
    </i>
    <i r="2">
      <x v="50"/>
    </i>
    <i t="blank" r="1">
      <x v="223"/>
    </i>
    <i r="1">
      <x v="257"/>
    </i>
    <i r="2">
      <x v="7"/>
    </i>
    <i t="blank" r="1">
      <x v="257"/>
    </i>
    <i>
      <x v="1876"/>
    </i>
    <i r="1">
      <x v="467"/>
    </i>
    <i r="2">
      <x v="261"/>
    </i>
    <i t="blank" r="1">
      <x v="467"/>
    </i>
    <i r="1">
      <x v="472"/>
    </i>
    <i r="2">
      <x v="261"/>
    </i>
    <i t="blank" r="1">
      <x v="472"/>
    </i>
    <i>
      <x v="1877"/>
    </i>
    <i r="1">
      <x v="37"/>
    </i>
    <i r="2">
      <x v="25"/>
    </i>
    <i t="blank" r="1">
      <x v="37"/>
    </i>
    <i r="1">
      <x v="38"/>
    </i>
    <i r="2">
      <x v="4"/>
    </i>
    <i t="blank" r="1">
      <x v="38"/>
    </i>
    <i>
      <x v="1878"/>
    </i>
    <i r="1">
      <x v="387"/>
    </i>
    <i r="2">
      <x v="38"/>
    </i>
    <i t="blank" r="1">
      <x v="387"/>
    </i>
    <i>
      <x v="1879"/>
    </i>
    <i r="1">
      <x v="51"/>
    </i>
    <i r="2">
      <x v="112"/>
    </i>
    <i t="blank" r="1">
      <x v="51"/>
    </i>
    <i>
      <x v="1880"/>
    </i>
    <i r="1">
      <x v="167"/>
    </i>
    <i r="2">
      <x v="112"/>
    </i>
    <i t="blank" r="1">
      <x v="167"/>
    </i>
    <i>
      <x v="1881"/>
    </i>
    <i r="1">
      <x v="145"/>
    </i>
    <i r="2">
      <x v="83"/>
    </i>
    <i t="blank" r="1">
      <x v="145"/>
    </i>
    <i>
      <x v="1882"/>
    </i>
    <i r="1">
      <x v="347"/>
    </i>
    <i r="2">
      <x v="231"/>
    </i>
    <i t="blank" r="1">
      <x v="347"/>
    </i>
    <i>
      <x v="1883"/>
    </i>
    <i r="1">
      <x v="149"/>
    </i>
    <i r="2">
      <x v="112"/>
    </i>
    <i t="blank" r="1">
      <x v="149"/>
    </i>
    <i r="1">
      <x v="199"/>
    </i>
    <i r="2">
      <x v="112"/>
    </i>
    <i t="blank" r="1">
      <x v="199"/>
    </i>
    <i>
      <x v="1884"/>
    </i>
    <i r="1">
      <x v="437"/>
    </i>
    <i r="2">
      <x v="83"/>
    </i>
    <i t="blank" r="1">
      <x v="437"/>
    </i>
    <i>
      <x v="1885"/>
    </i>
    <i r="1">
      <x v="383"/>
    </i>
    <i r="2">
      <x v="83"/>
    </i>
    <i t="blank" r="1">
      <x v="383"/>
    </i>
    <i>
      <x v="1886"/>
    </i>
    <i r="1">
      <x v="442"/>
    </i>
    <i r="2">
      <x v="83"/>
    </i>
    <i t="blank" r="1">
      <x v="442"/>
    </i>
    <i>
      <x v="1887"/>
    </i>
    <i r="1">
      <x v="407"/>
    </i>
    <i r="2">
      <x v="253"/>
    </i>
    <i t="blank" r="1">
      <x v="407"/>
    </i>
    <i>
      <x v="1888"/>
    </i>
    <i r="1">
      <x v="504"/>
    </i>
    <i r="2">
      <x v="286"/>
    </i>
    <i t="blank" r="1">
      <x v="504"/>
    </i>
    <i>
      <x v="1889"/>
    </i>
    <i r="1">
      <x v="292"/>
    </i>
    <i r="2">
      <x v="17"/>
    </i>
    <i t="blank" r="1">
      <x v="292"/>
    </i>
    <i>
      <x v="1890"/>
    </i>
    <i r="1">
      <x v="148"/>
    </i>
    <i r="2">
      <x v="128"/>
    </i>
    <i t="blank" r="1">
      <x v="148"/>
    </i>
    <i r="1">
      <x v="182"/>
    </i>
    <i r="2">
      <x v="31"/>
    </i>
    <i t="blank" r="1">
      <x v="182"/>
    </i>
    <i>
      <x v="1891"/>
    </i>
    <i r="1">
      <x v="231"/>
    </i>
    <i r="2">
      <x v="170"/>
    </i>
    <i t="blank" r="1">
      <x v="231"/>
    </i>
    <i>
      <x v="1892"/>
    </i>
    <i r="1">
      <x v="492"/>
    </i>
    <i r="2">
      <x v="261"/>
    </i>
    <i t="blank" r="1">
      <x v="492"/>
    </i>
    <i>
      <x v="1893"/>
    </i>
    <i r="1">
      <x v="175"/>
    </i>
    <i r="2">
      <x v="138"/>
    </i>
    <i t="blank" r="1">
      <x v="175"/>
    </i>
    <i>
      <x v="1894"/>
    </i>
    <i r="1">
      <x v="466"/>
    </i>
    <i r="2">
      <x v="261"/>
    </i>
    <i t="blank" r="1">
      <x v="466"/>
    </i>
    <i>
      <x v="1895"/>
    </i>
    <i r="1">
      <x v="165"/>
    </i>
    <i r="2">
      <x v="112"/>
    </i>
    <i t="blank" r="1">
      <x v="165"/>
    </i>
    <i>
      <x v="1896"/>
    </i>
    <i r="1">
      <x v="229"/>
    </i>
    <i r="2">
      <x v="164"/>
    </i>
    <i t="blank" r="1">
      <x v="229"/>
    </i>
    <i>
      <x v="1897"/>
    </i>
    <i r="1">
      <x v="145"/>
    </i>
    <i r="2">
      <x v="15"/>
    </i>
    <i t="blank" r="1">
      <x v="145"/>
    </i>
    <i>
      <x v="1898"/>
    </i>
    <i r="1">
      <x v="64"/>
    </i>
    <i r="2">
      <x v="112"/>
    </i>
    <i t="blank" r="1">
      <x v="64"/>
    </i>
    <i>
      <x v="1899"/>
    </i>
    <i r="1">
      <x v="474"/>
    </i>
    <i r="2">
      <x v="261"/>
    </i>
    <i t="blank" r="1">
      <x v="474"/>
    </i>
    <i>
      <x v="1900"/>
    </i>
    <i r="1">
      <x v="189"/>
    </i>
    <i r="2">
      <x v="112"/>
    </i>
    <i t="blank" r="1">
      <x v="189"/>
    </i>
    <i>
      <x v="1901"/>
    </i>
    <i r="1">
      <x v="147"/>
    </i>
    <i r="2">
      <x v="112"/>
    </i>
    <i t="blank" r="1">
      <x v="147"/>
    </i>
    <i>
      <x v="1902"/>
    </i>
    <i r="1">
      <x v="192"/>
    </i>
    <i r="2">
      <x v="141"/>
    </i>
    <i t="blank" r="1">
      <x v="192"/>
    </i>
    <i>
      <x v="1903"/>
    </i>
    <i r="1">
      <x v="66"/>
    </i>
    <i r="2">
      <x v="112"/>
    </i>
    <i t="blank" r="1">
      <x v="66"/>
    </i>
    <i>
      <x v="1904"/>
    </i>
    <i r="1">
      <x v="170"/>
    </i>
    <i r="2">
      <x v="137"/>
    </i>
    <i t="blank" r="1">
      <x v="170"/>
    </i>
    <i>
      <x v="1905"/>
    </i>
    <i r="1">
      <x v="143"/>
    </i>
    <i r="2">
      <x v="123"/>
    </i>
    <i t="blank" r="1">
      <x v="143"/>
    </i>
    <i>
      <x v="1906"/>
    </i>
    <i r="1">
      <x v="373"/>
    </i>
    <i r="2">
      <x v="21"/>
    </i>
    <i t="blank" r="1">
      <x v="373"/>
    </i>
    <i>
      <x v="1907"/>
    </i>
    <i r="1">
      <x v="405"/>
    </i>
    <i r="2">
      <x v="83"/>
    </i>
    <i t="blank" r="1">
      <x v="405"/>
    </i>
    <i>
      <x v="1908"/>
    </i>
    <i r="1">
      <x v="53"/>
    </i>
    <i r="2">
      <x v="112"/>
    </i>
    <i t="blank" r="1">
      <x v="53"/>
    </i>
    <i>
      <x v="1909"/>
    </i>
    <i r="1">
      <x v="278"/>
    </i>
    <i r="2">
      <x v="199"/>
    </i>
    <i t="blank" r="1">
      <x v="278"/>
    </i>
    <i>
      <x v="1910"/>
    </i>
    <i r="1">
      <x v="139"/>
    </i>
    <i r="2">
      <x v="112"/>
    </i>
    <i t="blank" r="1">
      <x v="139"/>
    </i>
    <i>
      <x v="1911"/>
    </i>
    <i r="1">
      <x v="147"/>
    </i>
    <i r="2">
      <x v="123"/>
    </i>
    <i t="blank" r="1">
      <x v="147"/>
    </i>
    <i>
      <x v="1912"/>
    </i>
    <i r="1">
      <x v="157"/>
    </i>
    <i r="2">
      <x v="112"/>
    </i>
    <i t="blank" r="1">
      <x v="157"/>
    </i>
    <i>
      <x v="1913"/>
    </i>
    <i r="1">
      <x v="327"/>
    </i>
    <i r="2">
      <x v="54"/>
    </i>
    <i t="blank" r="1">
      <x v="327"/>
    </i>
    <i>
      <x v="1914"/>
    </i>
    <i r="1">
      <x v="412"/>
    </i>
    <i r="2">
      <x v="83"/>
    </i>
    <i t="blank" r="1">
      <x v="412"/>
    </i>
    <i>
      <x v="1915"/>
    </i>
    <i r="1">
      <x v="179"/>
    </i>
    <i r="2">
      <x v="112"/>
    </i>
    <i t="blank" r="1">
      <x v="179"/>
    </i>
    <i>
      <x v="1916"/>
    </i>
    <i r="1">
      <x v="416"/>
    </i>
    <i r="2">
      <x v="83"/>
    </i>
    <i t="blank" r="1">
      <x v="416"/>
    </i>
    <i>
      <x v="1917"/>
    </i>
    <i r="1">
      <x v="159"/>
    </i>
    <i r="2">
      <x v="112"/>
    </i>
    <i t="blank" r="1">
      <x v="159"/>
    </i>
    <i>
      <x v="1918"/>
    </i>
    <i r="1">
      <x v="130"/>
    </i>
    <i r="2">
      <x v="21"/>
    </i>
    <i t="blank" r="1">
      <x v="130"/>
    </i>
    <i>
      <x v="1919"/>
    </i>
    <i r="1">
      <x v="163"/>
    </i>
    <i r="2">
      <x v="112"/>
    </i>
    <i t="blank" r="1">
      <x v="163"/>
    </i>
    <i>
      <x v="1920"/>
    </i>
    <i r="1">
      <x v="134"/>
    </i>
    <i r="2">
      <x v="116"/>
    </i>
    <i t="blank" r="1">
      <x v="134"/>
    </i>
    <i>
      <x v="1921"/>
    </i>
    <i r="1">
      <x v="494"/>
    </i>
    <i r="2">
      <x v="261"/>
    </i>
    <i t="blank" r="1">
      <x v="494"/>
    </i>
    <i>
      <x v="1922"/>
    </i>
    <i r="1">
      <x v="236"/>
    </i>
    <i r="2">
      <x v="62"/>
    </i>
    <i t="blank" r="1">
      <x v="236"/>
    </i>
    <i>
      <x v="1923"/>
    </i>
    <i r="1">
      <x v="273"/>
    </i>
    <i r="2">
      <x v="196"/>
    </i>
    <i t="blank" r="1">
      <x v="273"/>
    </i>
    <i r="1">
      <x v="275"/>
    </i>
    <i r="2">
      <x v="174"/>
    </i>
    <i t="blank" r="1">
      <x v="275"/>
    </i>
    <i>
      <x v="1924"/>
    </i>
    <i r="1">
      <x v="247"/>
    </i>
    <i r="2">
      <x v="2"/>
    </i>
    <i t="blank" r="1">
      <x v="247"/>
    </i>
    <i>
      <x v="1925"/>
    </i>
    <i r="1">
      <x v="422"/>
    </i>
    <i r="2">
      <x v="282"/>
    </i>
    <i t="blank" r="1">
      <x v="422"/>
    </i>
    <i>
      <x v="1926"/>
    </i>
    <i r="1">
      <x v="233"/>
    </i>
    <i r="2">
      <x v="167"/>
    </i>
    <i t="blank" r="1">
      <x v="233"/>
    </i>
    <i>
      <x v="1927"/>
    </i>
    <i r="1">
      <x v="248"/>
    </i>
    <i r="2">
      <x v="2"/>
    </i>
    <i t="blank" r="1">
      <x v="248"/>
    </i>
    <i>
      <x v="1928"/>
    </i>
    <i r="1">
      <x v="249"/>
    </i>
    <i r="2">
      <x v="55"/>
    </i>
    <i t="blank" r="1">
      <x v="249"/>
    </i>
    <i>
      <x v="1929"/>
    </i>
    <i r="1">
      <x v="263"/>
    </i>
    <i r="2">
      <x v="2"/>
    </i>
    <i t="blank" r="1">
      <x v="263"/>
    </i>
    <i>
      <x v="1930"/>
    </i>
    <i r="1">
      <x v="412"/>
    </i>
    <i r="2">
      <x v="65"/>
    </i>
    <i t="blank" r="1">
      <x v="412"/>
    </i>
    <i>
      <x v="1931"/>
    </i>
    <i r="1">
      <x v="479"/>
    </i>
    <i r="2">
      <x v="289"/>
    </i>
    <i t="blank" r="1">
      <x v="479"/>
    </i>
    <i>
      <x v="1932"/>
    </i>
    <i r="1">
      <x v="407"/>
    </i>
    <i r="2">
      <x v="83"/>
    </i>
    <i t="blank" r="1">
      <x v="407"/>
    </i>
    <i r="1">
      <x v="422"/>
    </i>
    <i r="2">
      <x v="83"/>
    </i>
    <i t="blank" r="1">
      <x v="422"/>
    </i>
    <i>
      <x v="1933"/>
    </i>
    <i r="1">
      <x v="313"/>
    </i>
    <i r="2">
      <x v="26"/>
    </i>
    <i t="blank" r="1">
      <x v="313"/>
    </i>
    <i>
      <x v="1934"/>
    </i>
    <i r="1">
      <x v="448"/>
    </i>
    <i r="2">
      <x v="261"/>
    </i>
    <i t="blank" r="1">
      <x v="448"/>
    </i>
    <i>
      <x v="1935"/>
    </i>
    <i r="1">
      <x v="388"/>
    </i>
    <i r="2">
      <x v="256"/>
    </i>
    <i t="blank" r="1">
      <x v="388"/>
    </i>
    <i>
      <x v="1936"/>
    </i>
    <i r="1">
      <x v="436"/>
    </i>
    <i r="2">
      <x v="83"/>
    </i>
    <i t="blank" r="1">
      <x v="436"/>
    </i>
    <i>
      <x v="1937"/>
    </i>
    <i r="1">
      <x v="395"/>
    </i>
    <i r="2">
      <x v="83"/>
    </i>
    <i t="blank" r="1">
      <x v="395"/>
    </i>
    <i>
      <x v="1938"/>
    </i>
    <i r="1">
      <x v="399"/>
    </i>
    <i r="2">
      <x v="83"/>
    </i>
    <i t="blank" r="1">
      <x v="399"/>
    </i>
    <i>
      <x v="1939"/>
    </i>
    <i r="1">
      <x v="419"/>
    </i>
    <i r="2">
      <x v="83"/>
    </i>
    <i t="blank" r="1">
      <x v="419"/>
    </i>
    <i>
      <x v="1940"/>
    </i>
    <i r="1">
      <x v="470"/>
    </i>
    <i r="2">
      <x v="21"/>
    </i>
    <i t="blank" r="1">
      <x v="470"/>
    </i>
    <i>
      <x v="1941"/>
    </i>
    <i r="1">
      <x v="470"/>
    </i>
    <i r="2">
      <x v="261"/>
    </i>
    <i t="blank" r="1">
      <x v="470"/>
    </i>
    <i>
      <x v="1942"/>
    </i>
    <i r="1">
      <x v="468"/>
    </i>
    <i r="2">
      <x v="261"/>
    </i>
    <i t="blank" r="1">
      <x v="468"/>
    </i>
    <i>
      <x v="1943"/>
    </i>
    <i r="1">
      <x v="412"/>
    </i>
    <i r="2">
      <x v="276"/>
    </i>
    <i t="blank" r="1">
      <x v="412"/>
    </i>
    <i>
      <x v="1944"/>
    </i>
    <i r="1">
      <x v="463"/>
    </i>
    <i r="2">
      <x v="261"/>
    </i>
    <i t="blank" r="1">
      <x v="463"/>
    </i>
    <i>
      <x v="1945"/>
    </i>
    <i r="1">
      <x v="388"/>
    </i>
    <i r="2">
      <x v="83"/>
    </i>
    <i t="blank" r="1">
      <x v="388"/>
    </i>
    <i>
      <x v="1946"/>
    </i>
    <i r="1">
      <x v="288"/>
    </i>
    <i r="2">
      <x v="209"/>
    </i>
    <i t="blank" r="1">
      <x v="288"/>
    </i>
    <i>
      <x v="1947"/>
    </i>
    <i r="1">
      <x v="414"/>
    </i>
    <i r="2">
      <x v="83"/>
    </i>
    <i t="blank" r="1">
      <x v="414"/>
    </i>
    <i>
      <x v="1948"/>
    </i>
    <i r="1">
      <x v="312"/>
    </i>
    <i r="2">
      <x v="54"/>
    </i>
    <i t="blank" r="1">
      <x v="312"/>
    </i>
    <i>
      <x v="1949"/>
    </i>
    <i r="1">
      <x v="507"/>
    </i>
    <i r="2">
      <x v="25"/>
    </i>
    <i t="blank" r="1">
      <x v="507"/>
    </i>
    <i t="grand">
      <x/>
    </i>
  </rowItems>
  <colItems count="1">
    <i/>
  </colItem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Tabla dinámica6" cacheId="1"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chartFormat="1">
  <location ref="M6:N11" firstHeaderRow="1" firstDataRow="1" firstDataCol="1"/>
  <pivotFields count="12">
    <pivotField showAll="0"/>
    <pivotField showAll="0"/>
    <pivotField showAll="0"/>
    <pivotField showAll="0"/>
    <pivotField showAll="0"/>
    <pivotField dataField="1" showAll="0"/>
    <pivotField showAll="0"/>
    <pivotField showAll="0"/>
    <pivotField showAll="0"/>
    <pivotField showAll="0"/>
    <pivotField showAll="0">
      <items count="12">
        <item x="1"/>
        <item x="0"/>
        <item x="4"/>
        <item x="7"/>
        <item x="8"/>
        <item x="5"/>
        <item x="9"/>
        <item x="3"/>
        <item x="6"/>
        <item x="10"/>
        <item x="2"/>
        <item t="default"/>
      </items>
    </pivotField>
    <pivotField axis="axisRow" showAll="0">
      <items count="5">
        <item x="2"/>
        <item x="1"/>
        <item x="3"/>
        <item x="0"/>
        <item t="default"/>
      </items>
    </pivotField>
  </pivotFields>
  <rowFields count="1">
    <field x="11"/>
  </rowFields>
  <rowItems count="5">
    <i>
      <x/>
    </i>
    <i>
      <x v="1"/>
    </i>
    <i>
      <x v="2"/>
    </i>
    <i>
      <x v="3"/>
    </i>
    <i t="grand">
      <x/>
    </i>
  </rowItems>
  <colItems count="1">
    <i/>
  </colItems>
  <dataFields count="1">
    <dataField name="Suma de Dosis (Gy)" fld="5" baseField="11"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Tabla dinámica5" cacheId="0"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A6:B68" firstHeaderRow="1" firstDataRow="1" firstDataCol="1"/>
  <pivotFields count="7">
    <pivotField dataField="1" showAll="0">
      <items count="61">
        <item x="47"/>
        <item x="12"/>
        <item x="36"/>
        <item x="9"/>
        <item x="39"/>
        <item x="20"/>
        <item x="38"/>
        <item x="34"/>
        <item x="32"/>
        <item x="18"/>
        <item x="3"/>
        <item x="30"/>
        <item x="8"/>
        <item x="52"/>
        <item x="27"/>
        <item x="58"/>
        <item x="7"/>
        <item x="26"/>
        <item x="16"/>
        <item x="31"/>
        <item x="57"/>
        <item x="2"/>
        <item x="50"/>
        <item x="56"/>
        <item x="37"/>
        <item x="23"/>
        <item x="17"/>
        <item x="40"/>
        <item x="46"/>
        <item x="5"/>
        <item x="0"/>
        <item x="43"/>
        <item x="28"/>
        <item x="41"/>
        <item x="48"/>
        <item x="29"/>
        <item x="35"/>
        <item x="55"/>
        <item x="53"/>
        <item x="33"/>
        <item x="22"/>
        <item x="10"/>
        <item x="45"/>
        <item x="54"/>
        <item x="4"/>
        <item x="44"/>
        <item x="42"/>
        <item x="59"/>
        <item x="49"/>
        <item x="13"/>
        <item x="19"/>
        <item x="21"/>
        <item x="11"/>
        <item x="15"/>
        <item x="1"/>
        <item x="6"/>
        <item x="14"/>
        <item x="25"/>
        <item x="51"/>
        <item x="24"/>
        <item t="default"/>
      </items>
    </pivotField>
    <pivotField numFmtId="14" showAll="0"/>
    <pivotField showAll="0"/>
    <pivotField showAll="0"/>
    <pivotField showAll="0"/>
    <pivotField showAll="0"/>
    <pivotField axis="axisRow" showAll="0">
      <items count="62">
        <item x="11"/>
        <item x="42"/>
        <item x="60"/>
        <item x="29"/>
        <item x="48"/>
        <item x="5"/>
        <item x="58"/>
        <item x="52"/>
        <item x="33"/>
        <item x="38"/>
        <item x="43"/>
        <item x="55"/>
        <item x="28"/>
        <item x="4"/>
        <item x="30"/>
        <item x="56"/>
        <item x="0"/>
        <item x="26"/>
        <item x="21"/>
        <item x="15"/>
        <item x="41"/>
        <item x="24"/>
        <item x="17"/>
        <item x="20"/>
        <item x="25"/>
        <item x="50"/>
        <item x="53"/>
        <item x="45"/>
        <item x="13"/>
        <item x="31"/>
        <item x="44"/>
        <item x="37"/>
        <item x="59"/>
        <item x="47"/>
        <item x="51"/>
        <item x="7"/>
        <item x="22"/>
        <item x="36"/>
        <item x="2"/>
        <item x="6"/>
        <item x="19"/>
        <item x="14"/>
        <item x="10"/>
        <item x="16"/>
        <item x="18"/>
        <item x="1"/>
        <item x="54"/>
        <item x="9"/>
        <item x="46"/>
        <item x="49"/>
        <item x="39"/>
        <item x="35"/>
        <item x="8"/>
        <item x="12"/>
        <item x="23"/>
        <item x="3"/>
        <item x="32"/>
        <item x="40"/>
        <item x="34"/>
        <item x="27"/>
        <item x="57"/>
        <item t="default"/>
      </items>
    </pivotField>
  </pivotFields>
  <rowFields count="1">
    <field x="6"/>
  </rowFields>
  <rowItems count="62">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x v="29"/>
    </i>
    <i>
      <x v="30"/>
    </i>
    <i>
      <x v="31"/>
    </i>
    <i>
      <x v="32"/>
    </i>
    <i>
      <x v="33"/>
    </i>
    <i>
      <x v="34"/>
    </i>
    <i>
      <x v="35"/>
    </i>
    <i>
      <x v="36"/>
    </i>
    <i>
      <x v="37"/>
    </i>
    <i>
      <x v="38"/>
    </i>
    <i>
      <x v="39"/>
    </i>
    <i>
      <x v="40"/>
    </i>
    <i>
      <x v="41"/>
    </i>
    <i>
      <x v="42"/>
    </i>
    <i>
      <x v="43"/>
    </i>
    <i>
      <x v="44"/>
    </i>
    <i>
      <x v="45"/>
    </i>
    <i>
      <x v="46"/>
    </i>
    <i>
      <x v="47"/>
    </i>
    <i>
      <x v="48"/>
    </i>
    <i>
      <x v="49"/>
    </i>
    <i>
      <x v="50"/>
    </i>
    <i>
      <x v="51"/>
    </i>
    <i>
      <x v="52"/>
    </i>
    <i>
      <x v="53"/>
    </i>
    <i>
      <x v="54"/>
    </i>
    <i>
      <x v="55"/>
    </i>
    <i>
      <x v="56"/>
    </i>
    <i>
      <x v="57"/>
    </i>
    <i>
      <x v="58"/>
    </i>
    <i>
      <x v="59"/>
    </i>
    <i>
      <x v="60"/>
    </i>
    <i t="grand">
      <x/>
    </i>
  </rowItems>
  <colItems count="1">
    <i/>
  </colItems>
  <dataFields count="1">
    <dataField name="Suma de SIP" fld="0" baseField="0" baseItem="0"/>
  </dataFields>
  <formats count="2">
    <format dxfId="340">
      <pivotArea grandRow="1" outline="0" collapsedLevelsAreSubtotals="1" fieldPosition="0"/>
    </format>
    <format dxfId="339">
      <pivotArea dataOnly="0" labelOnly="1" grandRow="1" outline="0"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Tabla dinámica1" cacheId="3" applyNumberFormats="0" applyBorderFormats="0" applyFontFormats="0" applyPatternFormats="0" applyAlignmentFormats="0" applyWidthHeightFormats="1" dataCaption="Valores" updatedVersion="4" minRefreshableVersion="3" useAutoFormatting="1" itemPrintTitles="1" createdVersion="4" indent="0" outline="1" outlineData="1" multipleFieldFilters="0">
  <location ref="I3:I852" firstHeaderRow="1" firstDataRow="1" firstDataCol="1"/>
  <pivotFields count="24">
    <pivotField showAll="0"/>
    <pivotField showAll="0"/>
    <pivotField showAll="0"/>
    <pivotField showAll="0"/>
    <pivotField showAll="0"/>
    <pivotField showAll="0"/>
    <pivotField showAll="0" defaultSubtotal="0"/>
    <pivotField showAll="0"/>
    <pivotField showAll="0"/>
    <pivotField showAll="0"/>
    <pivotField showAll="0"/>
    <pivotField showAll="0"/>
    <pivotField showAll="0"/>
    <pivotField showAll="0"/>
    <pivotField showAll="0"/>
    <pivotField showAll="0"/>
    <pivotField showAll="0"/>
    <pivotField axis="axisRow" showAll="0">
      <items count="438">
        <item x="364"/>
        <item x="436"/>
        <item x="431"/>
        <item x="348"/>
        <item x="433"/>
        <item x="359"/>
        <item x="325"/>
        <item x="404"/>
        <item x="365"/>
        <item x="332"/>
        <item x="396"/>
        <item x="319"/>
        <item x="356"/>
        <item x="424"/>
        <item x="347"/>
        <item x="384"/>
        <item x="391"/>
        <item x="0"/>
        <item x="355"/>
        <item x="403"/>
        <item x="349"/>
        <item x="435"/>
        <item x="419"/>
        <item x="401"/>
        <item x="372"/>
        <item x="340"/>
        <item x="426"/>
        <item x="336"/>
        <item x="407"/>
        <item x="411"/>
        <item x="422"/>
        <item x="335"/>
        <item x="402"/>
        <item x="414"/>
        <item x="434"/>
        <item x="368"/>
        <item x="417"/>
        <item x="395"/>
        <item x="423"/>
        <item x="230"/>
        <item x="362"/>
        <item x="398"/>
        <item x="323"/>
        <item x="421"/>
        <item x="410"/>
        <item x="420"/>
        <item x="408"/>
        <item x="283"/>
        <item x="370"/>
        <item x="378"/>
        <item x="328"/>
        <item x="429"/>
        <item x="393"/>
        <item x="326"/>
        <item x="416"/>
        <item x="334"/>
        <item x="367"/>
        <item x="388"/>
        <item x="413"/>
        <item x="415"/>
        <item x="337"/>
        <item x="87"/>
        <item x="380"/>
        <item x="386"/>
        <item x="400"/>
        <item x="357"/>
        <item x="310"/>
        <item x="430"/>
        <item x="373"/>
        <item x="376"/>
        <item x="399"/>
        <item x="406"/>
        <item x="352"/>
        <item x="345"/>
        <item x="343"/>
        <item x="330"/>
        <item x="350"/>
        <item x="95"/>
        <item x="361"/>
        <item x="432"/>
        <item x="338"/>
        <item x="321"/>
        <item x="17"/>
        <item x="360"/>
        <item x="405"/>
        <item x="427"/>
        <item x="409"/>
        <item x="324"/>
        <item x="412"/>
        <item x="363"/>
        <item x="174"/>
        <item x="379"/>
        <item x="418"/>
        <item x="428"/>
        <item x="394"/>
        <item x="320"/>
        <item x="318"/>
        <item x="290"/>
        <item x="377"/>
        <item x="172"/>
        <item x="171"/>
        <item x="425"/>
        <item x="397"/>
        <item x="392"/>
        <item x="389"/>
        <item x="375"/>
        <item x="342"/>
        <item x="366"/>
        <item x="383"/>
        <item x="327"/>
        <item x="381"/>
        <item x="353"/>
        <item x="341"/>
        <item x="333"/>
        <item x="358"/>
        <item x="322"/>
        <item x="382"/>
        <item x="339"/>
        <item x="344"/>
        <item x="260"/>
        <item x="354"/>
        <item x="369"/>
        <item x="102"/>
        <item x="1"/>
        <item x="2"/>
        <item x="3"/>
        <item x="4"/>
        <item x="5"/>
        <item x="6"/>
        <item x="7"/>
        <item x="8"/>
        <item x="9"/>
        <item x="10"/>
        <item x="11"/>
        <item x="12"/>
        <item x="13"/>
        <item x="14"/>
        <item x="15"/>
        <item x="16"/>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8"/>
        <item x="89"/>
        <item x="90"/>
        <item x="91"/>
        <item x="92"/>
        <item x="93"/>
        <item x="94"/>
        <item x="96"/>
        <item x="97"/>
        <item x="98"/>
        <item x="99"/>
        <item x="100"/>
        <item x="101"/>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3"/>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1"/>
        <item x="262"/>
        <item x="263"/>
        <item x="264"/>
        <item x="265"/>
        <item x="266"/>
        <item x="267"/>
        <item x="268"/>
        <item x="269"/>
        <item x="270"/>
        <item x="271"/>
        <item x="272"/>
        <item x="273"/>
        <item x="274"/>
        <item x="275"/>
        <item x="276"/>
        <item x="277"/>
        <item x="278"/>
        <item x="279"/>
        <item x="280"/>
        <item x="281"/>
        <item x="282"/>
        <item x="284"/>
        <item x="285"/>
        <item x="286"/>
        <item x="287"/>
        <item x="288"/>
        <item x="289"/>
        <item x="291"/>
        <item x="292"/>
        <item x="293"/>
        <item x="294"/>
        <item x="295"/>
        <item x="296"/>
        <item x="297"/>
        <item x="298"/>
        <item x="299"/>
        <item x="300"/>
        <item x="301"/>
        <item x="302"/>
        <item x="303"/>
        <item x="304"/>
        <item x="305"/>
        <item x="306"/>
        <item x="307"/>
        <item x="308"/>
        <item x="309"/>
        <item x="311"/>
        <item x="312"/>
        <item x="313"/>
        <item x="314"/>
        <item x="315"/>
        <item x="316"/>
        <item x="317"/>
        <item x="329"/>
        <item x="331"/>
        <item x="346"/>
        <item x="351"/>
        <item x="371"/>
        <item x="374"/>
        <item x="385"/>
        <item x="387"/>
        <item x="390"/>
        <item t="default"/>
      </items>
    </pivotField>
    <pivotField showAll="0"/>
    <pivotField showAll="0"/>
    <pivotField axis="axisRow" showAll="0">
      <items count="385">
        <item x="258"/>
        <item x="361"/>
        <item x="356"/>
        <item x="298"/>
        <item x="352"/>
        <item x="363"/>
        <item x="261"/>
        <item x="311"/>
        <item x="359"/>
        <item x="322"/>
        <item x="222"/>
        <item x="307"/>
        <item x="358"/>
        <item x="366"/>
        <item x="371"/>
        <item x="319"/>
        <item x="346"/>
        <item x="376"/>
        <item x="313"/>
        <item x="327"/>
        <item x="259"/>
        <item x="380"/>
        <item x="336"/>
        <item x="249"/>
        <item x="277"/>
        <item x="381"/>
        <item x="374"/>
        <item x="267"/>
        <item x="320"/>
        <item x="289"/>
        <item x="314"/>
        <item x="321"/>
        <item x="331"/>
        <item x="274"/>
        <item x="349"/>
        <item x="263"/>
        <item x="345"/>
        <item x="269"/>
        <item x="273"/>
        <item x="288"/>
        <item x="339"/>
        <item x="360"/>
        <item x="344"/>
        <item x="308"/>
        <item x="278"/>
        <item x="296"/>
        <item x="341"/>
        <item x="286"/>
        <item x="89"/>
        <item x="350"/>
        <item x="295"/>
        <item x="229"/>
        <item x="329"/>
        <item x="280"/>
        <item x="317"/>
        <item x="335"/>
        <item x="323"/>
        <item x="279"/>
        <item x="276"/>
        <item x="271"/>
        <item x="257"/>
        <item x="353"/>
        <item x="272"/>
        <item x="283"/>
        <item x="197"/>
        <item x="324"/>
        <item x="284"/>
        <item x="370"/>
        <item x="368"/>
        <item x="292"/>
        <item x="305"/>
        <item x="369"/>
        <item x="262"/>
        <item x="287"/>
        <item x="364"/>
        <item x="362"/>
        <item x="303"/>
        <item x="299"/>
        <item x="309"/>
        <item x="294"/>
        <item x="266"/>
        <item x="300"/>
        <item x="347"/>
        <item x="318"/>
        <item x="302"/>
        <item x="377"/>
        <item x="332"/>
        <item x="367"/>
        <item x="355"/>
        <item x="378"/>
        <item x="326"/>
        <item x="293"/>
        <item x="337"/>
        <item x="260"/>
        <item x="291"/>
        <item x="325"/>
        <item x="379"/>
        <item x="297"/>
        <item x="304"/>
        <item x="375"/>
        <item x="315"/>
        <item x="340"/>
        <item x="301"/>
        <item x="281"/>
        <item x="338"/>
        <item x="275"/>
        <item x="264"/>
        <item x="348"/>
        <item x="365"/>
        <item x="306"/>
        <item x="354"/>
        <item x="343"/>
        <item x="373"/>
        <item x="265"/>
        <item x="129"/>
        <item x="282"/>
        <item x="342"/>
        <item x="372"/>
        <item x="334"/>
        <item x="357"/>
        <item x="351"/>
        <item x="310"/>
        <item x="11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90"/>
        <item x="91"/>
        <item x="92"/>
        <item x="93"/>
        <item x="94"/>
        <item x="95"/>
        <item x="96"/>
        <item x="97"/>
        <item x="98"/>
        <item x="99"/>
        <item x="100"/>
        <item x="101"/>
        <item x="102"/>
        <item x="103"/>
        <item x="104"/>
        <item x="105"/>
        <item x="106"/>
        <item x="107"/>
        <item x="108"/>
        <item x="109"/>
        <item x="110"/>
        <item x="111"/>
        <item x="112"/>
        <item x="113"/>
        <item x="115"/>
        <item x="116"/>
        <item x="117"/>
        <item x="118"/>
        <item x="119"/>
        <item x="120"/>
        <item x="121"/>
        <item x="122"/>
        <item x="123"/>
        <item x="124"/>
        <item x="125"/>
        <item x="126"/>
        <item x="127"/>
        <item x="128"/>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8"/>
        <item x="199"/>
        <item x="200"/>
        <item x="201"/>
        <item x="202"/>
        <item x="203"/>
        <item x="204"/>
        <item x="205"/>
        <item x="206"/>
        <item x="207"/>
        <item x="208"/>
        <item x="209"/>
        <item x="210"/>
        <item x="211"/>
        <item x="212"/>
        <item x="213"/>
        <item x="214"/>
        <item x="215"/>
        <item x="216"/>
        <item x="217"/>
        <item x="218"/>
        <item x="219"/>
        <item x="220"/>
        <item x="221"/>
        <item x="223"/>
        <item x="224"/>
        <item x="225"/>
        <item x="226"/>
        <item x="227"/>
        <item x="228"/>
        <item x="230"/>
        <item x="231"/>
        <item x="232"/>
        <item x="233"/>
        <item x="234"/>
        <item x="235"/>
        <item x="236"/>
        <item x="237"/>
        <item x="238"/>
        <item x="239"/>
        <item x="240"/>
        <item x="241"/>
        <item x="242"/>
        <item x="243"/>
        <item x="244"/>
        <item x="245"/>
        <item x="246"/>
        <item x="247"/>
        <item x="248"/>
        <item x="250"/>
        <item x="251"/>
        <item x="252"/>
        <item x="253"/>
        <item x="254"/>
        <item x="255"/>
        <item x="256"/>
        <item x="268"/>
        <item x="270"/>
        <item x="285"/>
        <item x="290"/>
        <item x="312"/>
        <item x="316"/>
        <item x="328"/>
        <item x="330"/>
        <item x="333"/>
        <item x="382"/>
        <item x="383"/>
        <item t="default"/>
      </items>
    </pivotField>
    <pivotField showAll="0"/>
    <pivotField showAll="0"/>
    <pivotField showAll="0"/>
  </pivotFields>
  <rowFields count="2">
    <field x="20"/>
    <field x="17"/>
  </rowFields>
  <rowItems count="849">
    <i>
      <x/>
    </i>
    <i r="1">
      <x v="11"/>
    </i>
    <i>
      <x v="1"/>
    </i>
    <i r="1">
      <x v="36"/>
    </i>
    <i>
      <x v="2"/>
    </i>
    <i r="1">
      <x v="88"/>
    </i>
    <i>
      <x v="3"/>
    </i>
    <i r="1">
      <x v="5"/>
    </i>
    <i>
      <x v="4"/>
    </i>
    <i r="1">
      <x v="46"/>
    </i>
    <i>
      <x v="5"/>
    </i>
    <i r="1">
      <x v="22"/>
    </i>
    <i>
      <x v="6"/>
    </i>
    <i r="1">
      <x v="115"/>
    </i>
    <i>
      <x v="7"/>
    </i>
    <i r="1">
      <x v="48"/>
    </i>
    <i>
      <x v="8"/>
    </i>
    <i r="1">
      <x v="59"/>
    </i>
    <i>
      <x v="9"/>
    </i>
    <i r="1">
      <x v="62"/>
    </i>
    <i>
      <x v="10"/>
    </i>
    <i r="1">
      <x v="47"/>
    </i>
    <i>
      <x v="11"/>
    </i>
    <i r="1">
      <x v="107"/>
    </i>
    <i>
      <x v="12"/>
    </i>
    <i r="1">
      <x v="33"/>
    </i>
    <i>
      <x v="13"/>
    </i>
    <i r="1">
      <x v="30"/>
    </i>
    <i>
      <x v="14"/>
    </i>
    <i r="1">
      <x v="17"/>
    </i>
    <i>
      <x v="15"/>
    </i>
    <i r="1">
      <x v="98"/>
    </i>
    <i>
      <x v="16"/>
    </i>
    <i r="1">
      <x v="19"/>
    </i>
    <i>
      <x v="17"/>
    </i>
    <i r="1">
      <x v="2"/>
    </i>
    <i>
      <x v="18"/>
    </i>
    <i r="1">
      <x v="24"/>
    </i>
    <i>
      <x v="19"/>
    </i>
    <i r="1">
      <x v="15"/>
    </i>
    <i>
      <x v="20"/>
    </i>
    <i r="1">
      <x v="95"/>
    </i>
    <i>
      <x v="21"/>
    </i>
    <i r="1">
      <x v="21"/>
    </i>
    <i>
      <x v="22"/>
    </i>
    <i r="1">
      <x v="52"/>
    </i>
    <i>
      <x v="23"/>
    </i>
    <i r="1">
      <x v="66"/>
    </i>
    <i>
      <x v="24"/>
    </i>
    <i r="1">
      <x v="80"/>
    </i>
    <i>
      <x v="25"/>
    </i>
    <i r="1">
      <x v="1"/>
    </i>
    <i>
      <x v="26"/>
    </i>
    <i r="1">
      <x v="51"/>
    </i>
    <i>
      <x v="27"/>
    </i>
    <i r="1">
      <x v="50"/>
    </i>
    <i>
      <x v="28"/>
    </i>
    <i r="1">
      <x v="49"/>
    </i>
    <i>
      <x v="29"/>
    </i>
    <i r="1">
      <x v="76"/>
    </i>
    <i>
      <x v="30"/>
    </i>
    <i r="1">
      <x v="99"/>
    </i>
    <i>
      <x v="31"/>
    </i>
    <i r="1">
      <x v="91"/>
    </i>
    <i>
      <x v="32"/>
    </i>
    <i r="1">
      <x v="57"/>
    </i>
    <i>
      <x v="33"/>
    </i>
    <i r="1">
      <x v="31"/>
    </i>
    <i>
      <x v="34"/>
    </i>
    <i r="1">
      <x v="84"/>
    </i>
    <i>
      <x v="35"/>
    </i>
    <i r="1">
      <x v="87"/>
    </i>
    <i>
      <x v="36"/>
    </i>
    <i r="1">
      <x v="32"/>
    </i>
    <i>
      <x v="37"/>
    </i>
    <i r="1">
      <x v="75"/>
    </i>
    <i>
      <x v="38"/>
    </i>
    <i r="1">
      <x v="55"/>
    </i>
    <i>
      <x v="39"/>
    </i>
    <i r="1">
      <x v="20"/>
    </i>
    <i>
      <x v="40"/>
    </i>
    <i r="1">
      <x v="10"/>
    </i>
    <i>
      <x v="41"/>
    </i>
    <i r="1">
      <x v="54"/>
    </i>
    <i>
      <x v="42"/>
    </i>
    <i r="1">
      <x v="23"/>
    </i>
    <i>
      <x v="43"/>
    </i>
    <i r="1">
      <x v="56"/>
    </i>
    <i>
      <x v="44"/>
    </i>
    <i r="1">
      <x v="117"/>
    </i>
    <i>
      <x v="45"/>
    </i>
    <i r="1">
      <x v="65"/>
    </i>
    <i>
      <x v="46"/>
    </i>
    <i r="1">
      <x v="41"/>
    </i>
    <i>
      <x v="47"/>
    </i>
    <i r="1">
      <x v="14"/>
    </i>
    <i>
      <x v="48"/>
    </i>
    <i r="1">
      <x v="61"/>
    </i>
    <i>
      <x v="49"/>
    </i>
    <i r="1">
      <x v="71"/>
    </i>
    <i>
      <x v="50"/>
    </i>
    <i r="1">
      <x v="12"/>
    </i>
    <i>
      <x v="51"/>
    </i>
    <i r="1">
      <x v="97"/>
    </i>
    <i>
      <x v="52"/>
    </i>
    <i r="1">
      <x v="63"/>
    </i>
    <i>
      <x v="53"/>
    </i>
    <i r="1">
      <x v="112"/>
    </i>
    <i>
      <x v="54"/>
    </i>
    <i r="1">
      <x v="105"/>
    </i>
    <i>
      <x v="55"/>
    </i>
    <i r="1">
      <x v="103"/>
    </i>
    <i>
      <x v="56"/>
    </i>
    <i r="1">
      <x v="110"/>
    </i>
    <i>
      <x v="57"/>
    </i>
    <i r="1">
      <x v="25"/>
    </i>
    <i>
      <x v="58"/>
    </i>
    <i r="1">
      <x v="60"/>
    </i>
    <i>
      <x v="59"/>
    </i>
    <i r="1">
      <x v="9"/>
    </i>
    <i>
      <x v="60"/>
    </i>
    <i r="1">
      <x v="96"/>
    </i>
    <i>
      <x v="61"/>
    </i>
    <i r="1">
      <x v="86"/>
    </i>
    <i>
      <x v="62"/>
    </i>
    <i r="1">
      <x v="113"/>
    </i>
    <i>
      <x v="63"/>
    </i>
    <i r="1">
      <x v="118"/>
    </i>
    <i>
      <x v="64"/>
    </i>
    <i r="1">
      <x v="119"/>
    </i>
    <i>
      <x v="65"/>
    </i>
    <i r="1">
      <x v="90"/>
    </i>
    <i>
      <x v="66"/>
    </i>
    <i r="1">
      <x v="73"/>
    </i>
    <i>
      <x v="67"/>
    </i>
    <i r="1">
      <x v="26"/>
    </i>
    <i>
      <x v="68"/>
    </i>
    <i r="1">
      <x v="13"/>
    </i>
    <i>
      <x v="69"/>
    </i>
    <i r="1">
      <x v="111"/>
    </i>
    <i>
      <x v="70"/>
    </i>
    <i r="1">
      <x v="82"/>
    </i>
    <i>
      <x v="71"/>
    </i>
    <i r="1">
      <x v="101"/>
    </i>
    <i>
      <x v="72"/>
    </i>
    <i r="1">
      <x v="42"/>
    </i>
    <i>
      <x v="73"/>
    </i>
    <i r="1">
      <x v="3"/>
    </i>
    <i>
      <x v="74"/>
    </i>
    <i r="1">
      <x v="45"/>
    </i>
    <i>
      <x v="75"/>
    </i>
    <i r="1">
      <x v="92"/>
    </i>
    <i>
      <x v="76"/>
    </i>
    <i r="1">
      <x v="77"/>
    </i>
    <i>
      <x v="77"/>
    </i>
    <i r="1">
      <x v="83"/>
    </i>
    <i>
      <x v="78"/>
    </i>
    <i r="1">
      <x v="35"/>
    </i>
    <i>
      <x v="79"/>
    </i>
    <i r="1">
      <x v="18"/>
    </i>
    <i>
      <x v="80"/>
    </i>
    <i r="1">
      <x v="109"/>
    </i>
    <i>
      <x v="81"/>
    </i>
    <i r="1">
      <x v="78"/>
    </i>
    <i>
      <x v="82"/>
    </i>
    <i r="1">
      <x v="7"/>
    </i>
    <i>
      <x v="83"/>
    </i>
    <i r="1">
      <x v="69"/>
    </i>
    <i>
      <x v="84"/>
    </i>
    <i r="1">
      <x v="89"/>
    </i>
    <i>
      <x v="85"/>
    </i>
    <i r="1">
      <x v="79"/>
    </i>
    <i>
      <x v="86"/>
    </i>
    <i r="1">
      <x v="104"/>
    </i>
    <i>
      <x v="87"/>
    </i>
    <i r="1">
      <x v="38"/>
    </i>
    <i>
      <x v="88"/>
    </i>
    <i r="1">
      <x v="29"/>
    </i>
    <i>
      <x v="89"/>
    </i>
    <i r="1">
      <x v="4"/>
    </i>
    <i>
      <x v="90"/>
    </i>
    <i r="1">
      <x v="108"/>
    </i>
    <i>
      <x v="91"/>
    </i>
    <i r="1">
      <x v="120"/>
    </i>
    <i>
      <x v="92"/>
    </i>
    <i r="1">
      <x v="94"/>
    </i>
    <i>
      <x v="93"/>
    </i>
    <i r="1">
      <x v="81"/>
    </i>
    <i>
      <x v="94"/>
    </i>
    <i r="1">
      <x v="72"/>
    </i>
    <i>
      <x v="95"/>
    </i>
    <i r="1">
      <x v="116"/>
    </i>
    <i>
      <x v="96"/>
    </i>
    <i r="1">
      <x v="34"/>
    </i>
    <i>
      <x v="97"/>
    </i>
    <i r="1">
      <x v="114"/>
    </i>
    <i>
      <x v="98"/>
    </i>
    <i r="1">
      <x/>
    </i>
    <i>
      <x v="99"/>
    </i>
    <i r="1">
      <x v="67"/>
    </i>
    <i>
      <x v="100"/>
    </i>
    <i r="1">
      <x v="68"/>
    </i>
    <i>
      <x v="101"/>
    </i>
    <i r="1">
      <x v="102"/>
    </i>
    <i>
      <x v="102"/>
    </i>
    <i r="1">
      <x v="40"/>
    </i>
    <i>
      <x v="103"/>
    </i>
    <i r="1">
      <x v="106"/>
    </i>
    <i>
      <x v="104"/>
    </i>
    <i r="1">
      <x v="37"/>
    </i>
    <i>
      <x v="105"/>
    </i>
    <i r="1">
      <x v="27"/>
    </i>
    <i>
      <x v="106"/>
    </i>
    <i r="1">
      <x v="6"/>
    </i>
    <i>
      <x v="107"/>
    </i>
    <i r="1">
      <x v="39"/>
    </i>
    <i>
      <x v="108"/>
    </i>
    <i r="1">
      <x v="43"/>
    </i>
    <i>
      <x v="109"/>
    </i>
    <i r="1">
      <x v="8"/>
    </i>
    <i>
      <x v="110"/>
    </i>
    <i r="1">
      <x v="44"/>
    </i>
    <i>
      <x v="111"/>
    </i>
    <i r="1">
      <x v="64"/>
    </i>
    <i>
      <x v="112"/>
    </i>
    <i r="1">
      <x v="93"/>
    </i>
    <i>
      <x v="113"/>
    </i>
    <i r="1">
      <x v="53"/>
    </i>
    <i>
      <x v="114"/>
    </i>
    <i r="1">
      <x v="100"/>
    </i>
    <i>
      <x v="115"/>
    </i>
    <i r="1">
      <x v="74"/>
    </i>
    <i>
      <x v="116"/>
    </i>
    <i r="1">
      <x v="70"/>
    </i>
    <i>
      <x v="117"/>
    </i>
    <i r="1">
      <x v="85"/>
    </i>
    <i>
      <x v="118"/>
    </i>
    <i r="1">
      <x v="16"/>
    </i>
    <i>
      <x v="119"/>
    </i>
    <i r="1">
      <x v="58"/>
    </i>
    <i>
      <x v="120"/>
    </i>
    <i r="1">
      <x v="28"/>
    </i>
    <i>
      <x v="121"/>
    </i>
    <i r="1">
      <x v="121"/>
    </i>
    <i>
      <x v="122"/>
    </i>
    <i r="1">
      <x v="39"/>
    </i>
    <i r="1">
      <x v="90"/>
    </i>
    <i r="1">
      <x v="99"/>
    </i>
    <i r="1">
      <x v="122"/>
    </i>
    <i r="1">
      <x v="158"/>
    </i>
    <i r="1">
      <x v="166"/>
    </i>
    <i r="1">
      <x v="176"/>
    </i>
    <i r="1">
      <x v="197"/>
    </i>
    <i r="1">
      <x v="207"/>
    </i>
    <i r="1">
      <x v="221"/>
    </i>
    <i r="1">
      <x v="227"/>
    </i>
    <i r="1">
      <x v="232"/>
    </i>
    <i r="1">
      <x v="233"/>
    </i>
    <i r="1">
      <x v="234"/>
    </i>
    <i r="1">
      <x v="235"/>
    </i>
    <i r="1">
      <x v="236"/>
    </i>
    <i r="1">
      <x v="237"/>
    </i>
    <i r="1">
      <x v="238"/>
    </i>
    <i r="1">
      <x v="239"/>
    </i>
    <i r="1">
      <x v="240"/>
    </i>
    <i r="1">
      <x v="241"/>
    </i>
    <i r="1">
      <x v="242"/>
    </i>
    <i r="1">
      <x v="243"/>
    </i>
    <i r="1">
      <x v="244"/>
    </i>
    <i r="1">
      <x v="245"/>
    </i>
    <i r="1">
      <x v="246"/>
    </i>
    <i r="1">
      <x v="247"/>
    </i>
    <i r="1">
      <x v="248"/>
    </i>
    <i r="1">
      <x v="249"/>
    </i>
    <i r="1">
      <x v="250"/>
    </i>
    <i r="1">
      <x v="251"/>
    </i>
    <i r="1">
      <x v="252"/>
    </i>
    <i r="1">
      <x v="253"/>
    </i>
    <i r="1">
      <x v="254"/>
    </i>
    <i r="1">
      <x v="255"/>
    </i>
    <i r="1">
      <x v="256"/>
    </i>
    <i r="1">
      <x v="257"/>
    </i>
    <i r="1">
      <x v="258"/>
    </i>
    <i r="1">
      <x v="259"/>
    </i>
    <i r="1">
      <x v="260"/>
    </i>
    <i r="1">
      <x v="261"/>
    </i>
    <i r="1">
      <x v="262"/>
    </i>
    <i r="1">
      <x v="263"/>
    </i>
    <i r="1">
      <x v="264"/>
    </i>
    <i r="1">
      <x v="265"/>
    </i>
    <i r="1">
      <x v="266"/>
    </i>
    <i r="1">
      <x v="267"/>
    </i>
    <i r="1">
      <x v="280"/>
    </i>
    <i r="1">
      <x v="283"/>
    </i>
    <i r="1">
      <x v="284"/>
    </i>
    <i r="1">
      <x v="285"/>
    </i>
    <i r="1">
      <x v="286"/>
    </i>
    <i r="1">
      <x v="287"/>
    </i>
    <i r="1">
      <x v="288"/>
    </i>
    <i r="1">
      <x v="289"/>
    </i>
    <i r="1">
      <x v="290"/>
    </i>
    <i r="1">
      <x v="291"/>
    </i>
    <i r="1">
      <x v="292"/>
    </i>
    <i r="1">
      <x v="294"/>
    </i>
    <i r="1">
      <x v="296"/>
    </i>
    <i r="1">
      <x v="297"/>
    </i>
    <i r="1">
      <x v="299"/>
    </i>
    <i r="1">
      <x v="300"/>
    </i>
    <i r="1">
      <x v="302"/>
    </i>
    <i r="1">
      <x v="305"/>
    </i>
    <i r="1">
      <x v="306"/>
    </i>
    <i r="1">
      <x v="308"/>
    </i>
    <i r="1">
      <x v="311"/>
    </i>
    <i r="1">
      <x v="312"/>
    </i>
    <i r="1">
      <x v="313"/>
    </i>
    <i r="1">
      <x v="314"/>
    </i>
    <i r="1">
      <x v="315"/>
    </i>
    <i r="1">
      <x v="316"/>
    </i>
    <i r="1">
      <x v="317"/>
    </i>
    <i r="1">
      <x v="318"/>
    </i>
    <i r="1">
      <x v="414"/>
    </i>
    <i>
      <x v="123"/>
    </i>
    <i r="1">
      <x v="17"/>
    </i>
    <i>
      <x v="124"/>
    </i>
    <i r="1">
      <x v="123"/>
    </i>
    <i r="1">
      <x v="127"/>
    </i>
    <i>
      <x v="125"/>
    </i>
    <i r="1">
      <x v="124"/>
    </i>
    <i>
      <x v="126"/>
    </i>
    <i r="1">
      <x v="125"/>
    </i>
    <i>
      <x v="127"/>
    </i>
    <i r="1">
      <x v="126"/>
    </i>
    <i>
      <x v="128"/>
    </i>
    <i r="1">
      <x v="128"/>
    </i>
    <i>
      <x v="129"/>
    </i>
    <i r="1">
      <x v="129"/>
    </i>
    <i r="1">
      <x v="176"/>
    </i>
    <i>
      <x v="130"/>
    </i>
    <i r="1">
      <x v="130"/>
    </i>
    <i>
      <x v="131"/>
    </i>
    <i r="1">
      <x v="131"/>
    </i>
    <i>
      <x v="132"/>
    </i>
    <i r="1">
      <x v="132"/>
    </i>
    <i>
      <x v="133"/>
    </i>
    <i r="1">
      <x v="133"/>
    </i>
    <i>
      <x v="134"/>
    </i>
    <i r="1">
      <x v="134"/>
    </i>
    <i>
      <x v="135"/>
    </i>
    <i r="1">
      <x v="135"/>
    </i>
    <i>
      <x v="136"/>
    </i>
    <i r="1">
      <x v="136"/>
    </i>
    <i>
      <x v="137"/>
    </i>
    <i r="1">
      <x v="137"/>
    </i>
    <i>
      <x v="138"/>
    </i>
    <i r="1">
      <x v="138"/>
    </i>
    <i>
      <x v="139"/>
    </i>
    <i r="1">
      <x v="82"/>
    </i>
    <i>
      <x v="140"/>
    </i>
    <i r="1">
      <x v="139"/>
    </i>
    <i>
      <x v="141"/>
    </i>
    <i r="1">
      <x v="140"/>
    </i>
    <i>
      <x v="142"/>
    </i>
    <i r="1">
      <x v="141"/>
    </i>
    <i>
      <x v="143"/>
    </i>
    <i r="1">
      <x v="142"/>
    </i>
    <i>
      <x v="144"/>
    </i>
    <i r="1">
      <x v="143"/>
    </i>
    <i>
      <x v="145"/>
    </i>
    <i r="1">
      <x v="144"/>
    </i>
    <i>
      <x v="146"/>
    </i>
    <i r="1">
      <x v="145"/>
    </i>
    <i>
      <x v="147"/>
    </i>
    <i r="1">
      <x v="146"/>
    </i>
    <i>
      <x v="148"/>
    </i>
    <i r="1">
      <x v="147"/>
    </i>
    <i>
      <x v="149"/>
    </i>
    <i r="1">
      <x v="148"/>
    </i>
    <i>
      <x v="150"/>
    </i>
    <i r="1">
      <x v="149"/>
    </i>
    <i>
      <x v="151"/>
    </i>
    <i r="1">
      <x v="150"/>
    </i>
    <i>
      <x v="152"/>
    </i>
    <i r="1">
      <x v="151"/>
    </i>
    <i>
      <x v="153"/>
    </i>
    <i r="1">
      <x v="152"/>
    </i>
    <i>
      <x v="154"/>
    </i>
    <i r="1">
      <x v="153"/>
    </i>
    <i>
      <x v="155"/>
    </i>
    <i r="1">
      <x v="146"/>
    </i>
    <i>
      <x v="156"/>
    </i>
    <i r="1">
      <x v="154"/>
    </i>
    <i>
      <x v="157"/>
    </i>
    <i r="1">
      <x v="155"/>
    </i>
    <i>
      <x v="158"/>
    </i>
    <i r="1">
      <x v="156"/>
    </i>
    <i>
      <x v="159"/>
    </i>
    <i r="1">
      <x v="157"/>
    </i>
    <i>
      <x v="160"/>
    </i>
    <i r="1">
      <x v="158"/>
    </i>
    <i>
      <x v="161"/>
    </i>
    <i r="1">
      <x v="130"/>
    </i>
    <i>
      <x v="162"/>
    </i>
    <i r="1">
      <x v="159"/>
    </i>
    <i>
      <x v="163"/>
    </i>
    <i r="1">
      <x v="160"/>
    </i>
    <i>
      <x v="164"/>
    </i>
    <i r="1">
      <x v="161"/>
    </i>
    <i>
      <x v="165"/>
    </i>
    <i r="1">
      <x v="162"/>
    </i>
    <i>
      <x v="166"/>
    </i>
    <i r="1">
      <x v="163"/>
    </i>
    <i>
      <x v="167"/>
    </i>
    <i r="1">
      <x v="164"/>
    </i>
    <i>
      <x v="168"/>
    </i>
    <i r="1">
      <x v="165"/>
    </i>
    <i>
      <x v="169"/>
    </i>
    <i r="1">
      <x v="166"/>
    </i>
    <i>
      <x v="170"/>
    </i>
    <i r="1">
      <x v="82"/>
    </i>
    <i>
      <x v="171"/>
    </i>
    <i r="1">
      <x v="167"/>
    </i>
    <i>
      <x v="172"/>
    </i>
    <i r="1">
      <x v="168"/>
    </i>
    <i>
      <x v="173"/>
    </i>
    <i r="1">
      <x v="169"/>
    </i>
    <i>
      <x v="174"/>
    </i>
    <i r="1">
      <x v="170"/>
    </i>
    <i>
      <x v="175"/>
    </i>
    <i r="1">
      <x v="171"/>
    </i>
    <i>
      <x v="176"/>
    </i>
    <i r="1">
      <x v="172"/>
    </i>
    <i>
      <x v="177"/>
    </i>
    <i r="1">
      <x v="173"/>
    </i>
    <i>
      <x v="178"/>
    </i>
    <i r="1">
      <x v="174"/>
    </i>
    <i>
      <x v="179"/>
    </i>
    <i r="1">
      <x v="175"/>
    </i>
    <i>
      <x v="180"/>
    </i>
    <i r="1">
      <x v="177"/>
    </i>
    <i>
      <x v="181"/>
    </i>
    <i r="1">
      <x v="178"/>
    </i>
    <i>
      <x v="182"/>
    </i>
    <i r="1">
      <x v="179"/>
    </i>
    <i>
      <x v="183"/>
    </i>
    <i r="1">
      <x v="180"/>
    </i>
    <i>
      <x v="184"/>
    </i>
    <i r="1">
      <x v="181"/>
    </i>
    <i>
      <x v="185"/>
    </i>
    <i r="1">
      <x v="182"/>
    </i>
    <i>
      <x v="186"/>
    </i>
    <i r="1">
      <x v="183"/>
    </i>
    <i>
      <x v="187"/>
    </i>
    <i r="1">
      <x v="184"/>
    </i>
    <i>
      <x v="188"/>
    </i>
    <i r="1">
      <x v="185"/>
    </i>
    <i>
      <x v="189"/>
    </i>
    <i r="1">
      <x v="186"/>
    </i>
    <i>
      <x v="190"/>
    </i>
    <i r="1">
      <x v="187"/>
    </i>
    <i>
      <x v="191"/>
    </i>
    <i r="1">
      <x v="188"/>
    </i>
    <i>
      <x v="192"/>
    </i>
    <i r="1">
      <x v="189"/>
    </i>
    <i>
      <x v="193"/>
    </i>
    <i r="1">
      <x v="190"/>
    </i>
    <i>
      <x v="194"/>
    </i>
    <i r="1">
      <x v="191"/>
    </i>
    <i>
      <x v="195"/>
    </i>
    <i r="1">
      <x v="192"/>
    </i>
    <i>
      <x v="196"/>
    </i>
    <i r="1">
      <x v="193"/>
    </i>
    <i>
      <x v="197"/>
    </i>
    <i r="1">
      <x v="194"/>
    </i>
    <i>
      <x v="198"/>
    </i>
    <i r="1">
      <x v="195"/>
    </i>
    <i>
      <x v="199"/>
    </i>
    <i r="1">
      <x v="196"/>
    </i>
    <i>
      <x v="200"/>
    </i>
    <i r="1">
      <x v="197"/>
    </i>
    <i>
      <x v="201"/>
    </i>
    <i r="1">
      <x v="198"/>
    </i>
    <i>
      <x v="202"/>
    </i>
    <i r="1">
      <x v="175"/>
    </i>
    <i>
      <x v="203"/>
    </i>
    <i r="1">
      <x v="199"/>
    </i>
    <i>
      <x v="204"/>
    </i>
    <i r="1">
      <x v="200"/>
    </i>
    <i>
      <x v="205"/>
    </i>
    <i r="1">
      <x v="201"/>
    </i>
    <i>
      <x v="206"/>
    </i>
    <i r="1">
      <x v="202"/>
    </i>
    <i r="1">
      <x v="207"/>
    </i>
    <i>
      <x v="207"/>
    </i>
    <i r="1">
      <x v="203"/>
    </i>
    <i>
      <x v="208"/>
    </i>
    <i r="1">
      <x v="204"/>
    </i>
    <i>
      <x v="209"/>
    </i>
    <i r="1">
      <x v="205"/>
    </i>
    <i>
      <x v="210"/>
    </i>
    <i r="1">
      <x v="199"/>
    </i>
    <i>
      <x v="211"/>
    </i>
    <i r="1">
      <x v="206"/>
    </i>
    <i>
      <x v="212"/>
    </i>
    <i r="1">
      <x v="208"/>
    </i>
    <i>
      <x v="213"/>
    </i>
    <i r="1">
      <x v="209"/>
    </i>
    <i>
      <x v="214"/>
    </i>
    <i r="1">
      <x v="210"/>
    </i>
    <i>
      <x v="215"/>
    </i>
    <i r="1">
      <x v="211"/>
    </i>
    <i>
      <x v="216"/>
    </i>
    <i r="1">
      <x v="212"/>
    </i>
    <i r="1">
      <x v="217"/>
    </i>
    <i>
      <x v="217"/>
    </i>
    <i r="1">
      <x v="213"/>
    </i>
    <i>
      <x v="218"/>
    </i>
    <i r="1">
      <x v="214"/>
    </i>
    <i>
      <x v="219"/>
    </i>
    <i r="1">
      <x v="77"/>
    </i>
    <i>
      <x v="220"/>
    </i>
    <i r="1">
      <x v="215"/>
    </i>
    <i>
      <x v="221"/>
    </i>
    <i r="1">
      <x v="216"/>
    </i>
    <i>
      <x v="222"/>
    </i>
    <i r="1">
      <x v="218"/>
    </i>
    <i>
      <x v="223"/>
    </i>
    <i r="1">
      <x v="219"/>
    </i>
    <i>
      <x v="224"/>
    </i>
    <i r="1">
      <x v="220"/>
    </i>
    <i>
      <x v="225"/>
    </i>
    <i r="1">
      <x v="122"/>
    </i>
    <i>
      <x v="226"/>
    </i>
    <i r="1">
      <x v="221"/>
    </i>
    <i>
      <x v="227"/>
    </i>
    <i r="1">
      <x v="222"/>
    </i>
    <i>
      <x v="228"/>
    </i>
    <i r="1">
      <x v="223"/>
    </i>
    <i>
      <x v="229"/>
    </i>
    <i r="1">
      <x v="224"/>
    </i>
    <i r="1">
      <x v="225"/>
    </i>
    <i>
      <x v="230"/>
    </i>
    <i r="1">
      <x v="226"/>
    </i>
    <i>
      <x v="231"/>
    </i>
    <i r="1">
      <x v="227"/>
    </i>
    <i>
      <x v="232"/>
    </i>
    <i r="1">
      <x v="228"/>
    </i>
    <i>
      <x v="233"/>
    </i>
    <i r="1">
      <x v="229"/>
    </i>
    <i>
      <x v="234"/>
    </i>
    <i r="1">
      <x v="230"/>
    </i>
    <i>
      <x v="235"/>
    </i>
    <i r="1">
      <x v="231"/>
    </i>
    <i>
      <x v="236"/>
    </i>
    <i r="1">
      <x v="268"/>
    </i>
    <i>
      <x v="237"/>
    </i>
    <i r="1">
      <x v="269"/>
    </i>
    <i>
      <x v="238"/>
    </i>
    <i r="1">
      <x v="270"/>
    </i>
    <i>
      <x v="239"/>
    </i>
    <i r="1">
      <x v="271"/>
    </i>
    <i>
      <x v="240"/>
    </i>
    <i r="1">
      <x v="272"/>
    </i>
    <i>
      <x v="241"/>
    </i>
    <i r="1">
      <x v="273"/>
    </i>
    <i>
      <x v="242"/>
    </i>
    <i r="1">
      <x v="274"/>
    </i>
    <i>
      <x v="243"/>
    </i>
    <i r="1">
      <x v="275"/>
    </i>
    <i>
      <x v="244"/>
    </i>
    <i r="1">
      <x v="276"/>
    </i>
    <i>
      <x v="245"/>
    </i>
    <i r="1">
      <x v="277"/>
    </i>
    <i>
      <x v="246"/>
    </i>
    <i r="1">
      <x v="278"/>
    </i>
    <i>
      <x v="247"/>
    </i>
    <i r="1">
      <x v="279"/>
    </i>
    <i>
      <x v="248"/>
    </i>
    <i r="1">
      <x v="281"/>
    </i>
    <i>
      <x v="249"/>
    </i>
    <i r="1">
      <x v="282"/>
    </i>
    <i>
      <x v="250"/>
    </i>
    <i r="1">
      <x v="293"/>
    </i>
    <i>
      <x v="251"/>
    </i>
    <i r="1">
      <x v="295"/>
    </i>
    <i>
      <x v="252"/>
    </i>
    <i r="1">
      <x v="298"/>
    </i>
    <i>
      <x v="253"/>
    </i>
    <i r="1">
      <x v="301"/>
    </i>
    <i>
      <x v="254"/>
    </i>
    <i r="1">
      <x v="151"/>
    </i>
    <i>
      <x v="255"/>
    </i>
    <i r="1">
      <x v="303"/>
    </i>
    <i>
      <x v="256"/>
    </i>
    <i r="1">
      <x v="304"/>
    </i>
    <i>
      <x v="257"/>
    </i>
    <i r="1">
      <x v="307"/>
    </i>
    <i>
      <x v="258"/>
    </i>
    <i r="1">
      <x v="309"/>
    </i>
    <i>
      <x v="259"/>
    </i>
    <i r="1">
      <x v="310"/>
    </i>
    <i>
      <x v="260"/>
    </i>
    <i r="1">
      <x v="319"/>
    </i>
    <i>
      <x v="261"/>
    </i>
    <i r="1">
      <x v="320"/>
    </i>
    <i>
      <x v="262"/>
    </i>
    <i r="1">
      <x v="321"/>
    </i>
    <i>
      <x v="263"/>
    </i>
    <i r="1">
      <x v="322"/>
    </i>
    <i>
      <x v="264"/>
    </i>
    <i r="1">
      <x v="323"/>
    </i>
    <i>
      <x v="265"/>
    </i>
    <i r="1">
      <x v="324"/>
    </i>
    <i>
      <x v="266"/>
    </i>
    <i r="1">
      <x v="325"/>
    </i>
    <i>
      <x v="267"/>
    </i>
    <i r="1">
      <x v="326"/>
    </i>
    <i>
      <x v="268"/>
    </i>
    <i r="1">
      <x v="327"/>
    </i>
    <i>
      <x v="269"/>
    </i>
    <i r="1">
      <x v="328"/>
    </i>
    <i>
      <x v="270"/>
    </i>
    <i r="1">
      <x v="329"/>
    </i>
    <i>
      <x v="271"/>
    </i>
    <i r="1">
      <x v="330"/>
    </i>
    <i>
      <x v="272"/>
    </i>
    <i r="1">
      <x v="331"/>
    </i>
    <i>
      <x v="273"/>
    </i>
    <i r="1">
      <x v="332"/>
    </i>
    <i>
      <x v="274"/>
    </i>
    <i r="1">
      <x v="333"/>
    </i>
    <i>
      <x v="275"/>
    </i>
    <i r="1">
      <x v="334"/>
    </i>
    <i>
      <x v="276"/>
    </i>
    <i r="1">
      <x v="335"/>
    </i>
    <i>
      <x v="277"/>
    </i>
    <i r="1">
      <x v="336"/>
    </i>
    <i>
      <x v="278"/>
    </i>
    <i r="1">
      <x v="337"/>
    </i>
    <i>
      <x v="279"/>
    </i>
    <i r="1">
      <x v="338"/>
    </i>
    <i>
      <x v="280"/>
    </i>
    <i r="1">
      <x v="339"/>
    </i>
    <i>
      <x v="281"/>
    </i>
    <i r="1">
      <x v="189"/>
    </i>
    <i>
      <x v="282"/>
    </i>
    <i r="1">
      <x v="340"/>
    </i>
    <i>
      <x v="283"/>
    </i>
    <i r="1">
      <x v="341"/>
    </i>
    <i>
      <x v="284"/>
    </i>
    <i r="1">
      <x v="342"/>
    </i>
    <i>
      <x v="285"/>
    </i>
    <i r="1">
      <x v="343"/>
    </i>
    <i>
      <x v="286"/>
    </i>
    <i r="1">
      <x v="344"/>
    </i>
    <i>
      <x v="287"/>
    </i>
    <i r="1">
      <x v="345"/>
    </i>
    <i>
      <x v="288"/>
    </i>
    <i r="1">
      <x v="346"/>
    </i>
    <i>
      <x v="289"/>
    </i>
    <i r="1">
      <x v="347"/>
    </i>
    <i>
      <x v="290"/>
    </i>
    <i r="1">
      <x v="348"/>
    </i>
    <i>
      <x v="291"/>
    </i>
    <i r="1">
      <x v="349"/>
    </i>
    <i>
      <x v="292"/>
    </i>
    <i r="1">
      <x v="350"/>
    </i>
    <i>
      <x v="293"/>
    </i>
    <i r="1">
      <x v="351"/>
    </i>
    <i>
      <x v="294"/>
    </i>
    <i r="1">
      <x v="352"/>
    </i>
    <i>
      <x v="295"/>
    </i>
    <i r="1">
      <x v="353"/>
    </i>
    <i>
      <x v="296"/>
    </i>
    <i r="1">
      <x v="354"/>
    </i>
    <i>
      <x v="297"/>
    </i>
    <i r="1">
      <x v="355"/>
    </i>
    <i>
      <x v="298"/>
    </i>
    <i r="1">
      <x v="356"/>
    </i>
    <i>
      <x v="299"/>
    </i>
    <i r="1">
      <x v="357"/>
    </i>
    <i>
      <x v="300"/>
    </i>
    <i r="1">
      <x v="358"/>
    </i>
    <i>
      <x v="301"/>
    </i>
    <i r="1">
      <x v="359"/>
    </i>
    <i>
      <x v="302"/>
    </i>
    <i r="1">
      <x v="360"/>
    </i>
    <i>
      <x v="303"/>
    </i>
    <i r="1">
      <x v="361"/>
    </i>
    <i>
      <x v="304"/>
    </i>
    <i r="1">
      <x v="362"/>
    </i>
    <i>
      <x v="305"/>
    </i>
    <i r="1">
      <x v="363"/>
    </i>
    <i>
      <x v="306"/>
    </i>
    <i r="1">
      <x v="280"/>
    </i>
    <i>
      <x v="307"/>
    </i>
    <i r="1">
      <x v="364"/>
    </i>
    <i>
      <x v="308"/>
    </i>
    <i r="1">
      <x v="365"/>
    </i>
    <i>
      <x v="309"/>
    </i>
    <i r="1">
      <x v="366"/>
    </i>
    <i>
      <x v="310"/>
    </i>
    <i r="1">
      <x v="367"/>
    </i>
    <i>
      <x v="311"/>
    </i>
    <i r="1">
      <x v="368"/>
    </i>
    <i>
      <x v="312"/>
    </i>
    <i r="1">
      <x v="369"/>
    </i>
    <i>
      <x v="313"/>
    </i>
    <i r="1">
      <x v="370"/>
    </i>
    <i>
      <x v="314"/>
    </i>
    <i r="1">
      <x v="371"/>
    </i>
    <i>
      <x v="315"/>
    </i>
    <i r="1">
      <x v="372"/>
    </i>
    <i>
      <x v="316"/>
    </i>
    <i r="1">
      <x v="373"/>
    </i>
    <i>
      <x v="317"/>
    </i>
    <i r="1">
      <x v="374"/>
    </i>
    <i>
      <x v="318"/>
    </i>
    <i r="1">
      <x v="375"/>
    </i>
    <i>
      <x v="319"/>
    </i>
    <i r="1">
      <x v="376"/>
    </i>
    <i>
      <x v="320"/>
    </i>
    <i r="1">
      <x v="377"/>
    </i>
    <i>
      <x v="321"/>
    </i>
    <i r="1">
      <x v="378"/>
    </i>
    <i>
      <x v="322"/>
    </i>
    <i r="1">
      <x v="379"/>
    </i>
    <i>
      <x v="323"/>
    </i>
    <i r="1">
      <x v="380"/>
    </i>
    <i>
      <x v="324"/>
    </i>
    <i r="1">
      <x v="381"/>
    </i>
    <i>
      <x v="325"/>
    </i>
    <i r="1">
      <x v="176"/>
    </i>
    <i>
      <x v="326"/>
    </i>
    <i r="1">
      <x v="382"/>
    </i>
    <i>
      <x v="327"/>
    </i>
    <i r="1">
      <x v="383"/>
    </i>
    <i>
      <x v="328"/>
    </i>
    <i r="1">
      <x v="384"/>
    </i>
    <i>
      <x v="329"/>
    </i>
    <i r="1">
      <x v="385"/>
    </i>
    <i>
      <x v="330"/>
    </i>
    <i r="1">
      <x v="289"/>
    </i>
    <i>
      <x v="331"/>
    </i>
    <i r="1">
      <x v="386"/>
    </i>
    <i>
      <x v="332"/>
    </i>
    <i r="1">
      <x v="387"/>
    </i>
    <i>
      <x v="333"/>
    </i>
    <i r="1">
      <x v="388"/>
    </i>
    <i>
      <x v="334"/>
    </i>
    <i r="1">
      <x v="389"/>
    </i>
    <i>
      <x v="335"/>
    </i>
    <i r="1">
      <x v="390"/>
    </i>
    <i>
      <x v="336"/>
    </i>
    <i r="1">
      <x v="391"/>
    </i>
    <i>
      <x v="337"/>
    </i>
    <i r="1">
      <x v="392"/>
    </i>
    <i>
      <x v="338"/>
    </i>
    <i r="1">
      <x v="393"/>
    </i>
    <i>
      <x v="339"/>
    </i>
    <i r="1">
      <x v="394"/>
    </i>
    <i>
      <x v="340"/>
    </i>
    <i r="1">
      <x v="395"/>
    </i>
    <i>
      <x v="341"/>
    </i>
    <i r="1">
      <x v="396"/>
    </i>
    <i>
      <x v="342"/>
    </i>
    <i r="1">
      <x v="397"/>
    </i>
    <i>
      <x v="343"/>
    </i>
    <i r="1">
      <x v="398"/>
    </i>
    <i>
      <x v="344"/>
    </i>
    <i r="1">
      <x v="399"/>
    </i>
    <i>
      <x v="345"/>
    </i>
    <i r="1">
      <x v="400"/>
    </i>
    <i>
      <x v="346"/>
    </i>
    <i r="1">
      <x v="401"/>
    </i>
    <i>
      <x v="347"/>
    </i>
    <i r="1">
      <x v="402"/>
    </i>
    <i>
      <x v="348"/>
    </i>
    <i r="1">
      <x v="403"/>
    </i>
    <i>
      <x v="349"/>
    </i>
    <i r="1">
      <x v="404"/>
    </i>
    <i>
      <x v="350"/>
    </i>
    <i r="1">
      <x v="405"/>
    </i>
    <i>
      <x v="351"/>
    </i>
    <i r="1">
      <x v="406"/>
    </i>
    <i>
      <x v="352"/>
    </i>
    <i r="1">
      <x v="407"/>
    </i>
    <i>
      <x v="353"/>
    </i>
    <i r="1">
      <x v="408"/>
    </i>
    <i>
      <x v="354"/>
    </i>
    <i r="1">
      <x v="409"/>
    </i>
    <i>
      <x v="355"/>
    </i>
    <i r="1">
      <x v="410"/>
    </i>
    <i>
      <x v="356"/>
    </i>
    <i r="1">
      <x v="411"/>
    </i>
    <i>
      <x v="357"/>
    </i>
    <i r="1">
      <x v="412"/>
    </i>
    <i>
      <x v="358"/>
    </i>
    <i r="1">
      <x v="413"/>
    </i>
    <i>
      <x v="359"/>
    </i>
    <i r="1">
      <x v="415"/>
    </i>
    <i>
      <x v="360"/>
    </i>
    <i r="1">
      <x v="416"/>
    </i>
    <i>
      <x v="361"/>
    </i>
    <i r="1">
      <x v="417"/>
    </i>
    <i>
      <x v="362"/>
    </i>
    <i r="1">
      <x v="418"/>
    </i>
    <i>
      <x v="363"/>
    </i>
    <i r="1">
      <x v="419"/>
    </i>
    <i>
      <x v="364"/>
    </i>
    <i r="1">
      <x v="420"/>
    </i>
    <i>
      <x v="365"/>
    </i>
    <i r="1">
      <x v="326"/>
    </i>
    <i>
      <x v="366"/>
    </i>
    <i r="1">
      <x v="421"/>
    </i>
    <i>
      <x v="367"/>
    </i>
    <i r="1">
      <x v="422"/>
    </i>
    <i>
      <x v="368"/>
    </i>
    <i r="1">
      <x v="423"/>
    </i>
    <i>
      <x v="369"/>
    </i>
    <i r="1">
      <x v="424"/>
    </i>
    <i>
      <x v="370"/>
    </i>
    <i r="1">
      <x v="425"/>
    </i>
    <i>
      <x v="371"/>
    </i>
    <i r="1">
      <x v="426"/>
    </i>
    <i>
      <x v="372"/>
    </i>
    <i r="1">
      <x v="427"/>
    </i>
    <i>
      <x v="373"/>
    </i>
    <i r="1">
      <x v="428"/>
    </i>
    <i>
      <x v="374"/>
    </i>
    <i r="1">
      <x v="429"/>
    </i>
    <i>
      <x v="375"/>
    </i>
    <i r="1">
      <x v="430"/>
    </i>
    <i>
      <x v="376"/>
    </i>
    <i r="1">
      <x v="431"/>
    </i>
    <i>
      <x v="377"/>
    </i>
    <i r="1">
      <x v="432"/>
    </i>
    <i>
      <x v="378"/>
    </i>
    <i r="1">
      <x v="433"/>
    </i>
    <i>
      <x v="379"/>
    </i>
    <i r="1">
      <x v="434"/>
    </i>
    <i>
      <x v="380"/>
    </i>
    <i r="1">
      <x v="435"/>
    </i>
    <i>
      <x v="381"/>
    </i>
    <i r="1">
      <x v="436"/>
    </i>
    <i>
      <x v="382"/>
    </i>
    <i r="1">
      <x v="44"/>
    </i>
    <i>
      <x v="383"/>
    </i>
    <i r="1">
      <x v="12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Tabla dinámica2" cacheId="2" applyNumberFormats="0" applyBorderFormats="0" applyFontFormats="0" applyPatternFormats="0" applyAlignmentFormats="0" applyWidthHeightFormats="1" dataCaption="Valores" updatedVersion="4" minRefreshableVersion="3" useAutoFormatting="1" colGrandTotals="0" itemPrintTitles="1" createdVersion="4" indent="0" outline="1" outlineData="1" fieldListSortAscending="1">
  <location ref="A3:B533" firstHeaderRow="1" firstDataRow="1" firstDataCol="1"/>
  <pivotFields count="24">
    <pivotField showAll="0"/>
    <pivotField showAll="0"/>
    <pivotField showAll="0"/>
    <pivotField showAll="0"/>
    <pivotField axis="axisRow" showAll="0">
      <items count="126">
        <item x="47"/>
        <item x="120"/>
        <item x="32"/>
        <item x="118"/>
        <item x="55"/>
        <item x="42"/>
        <item x="8"/>
        <item x="110"/>
        <item x="102"/>
        <item m="1" x="123"/>
        <item x="48"/>
        <item x="114"/>
        <item x="107"/>
        <item x="68"/>
        <item x="62"/>
        <item x="84"/>
        <item x="33"/>
        <item x="100"/>
        <item x="20"/>
        <item x="108"/>
        <item x="22"/>
        <item x="73"/>
        <item x="105"/>
        <item x="34"/>
        <item x="46"/>
        <item x="10"/>
        <item x="86"/>
        <item x="101"/>
        <item x="113"/>
        <item x="15"/>
        <item x="17"/>
        <item x="53"/>
        <item x="121"/>
        <item x="112"/>
        <item x="37"/>
        <item x="14"/>
        <item x="117"/>
        <item x="19"/>
        <item x="44"/>
        <item x="24"/>
        <item x="75"/>
        <item x="9"/>
        <item x="25"/>
        <item x="23"/>
        <item x="49"/>
        <item x="21"/>
        <item x="18"/>
        <item x="95"/>
        <item x="67"/>
        <item x="27"/>
        <item x="13"/>
        <item x="90"/>
        <item x="4"/>
        <item x="6"/>
        <item x="89"/>
        <item x="97"/>
        <item x="43"/>
        <item x="26"/>
        <item x="40"/>
        <item x="88"/>
        <item x="103"/>
        <item x="51"/>
        <item x="1"/>
        <item x="82"/>
        <item x="80"/>
        <item x="83"/>
        <item x="56"/>
        <item x="41"/>
        <item x="69"/>
        <item x="99"/>
        <item x="79"/>
        <item x="77"/>
        <item x="66"/>
        <item x="78"/>
        <item x="3"/>
        <item x="111"/>
        <item x="119"/>
        <item x="2"/>
        <item x="76"/>
        <item x="93"/>
        <item x="50"/>
        <item x="29"/>
        <item x="115"/>
        <item x="71"/>
        <item x="52"/>
        <item x="91"/>
        <item x="57"/>
        <item x="70"/>
        <item x="87"/>
        <item x="59"/>
        <item x="12"/>
        <item x="16"/>
        <item x="98"/>
        <item x="96"/>
        <item x="31"/>
        <item x="85"/>
        <item x="35"/>
        <item x="5"/>
        <item x="92"/>
        <item x="122"/>
        <item x="0"/>
        <item m="1" x="124"/>
        <item x="109"/>
        <item x="72"/>
        <item x="30"/>
        <item x="74"/>
        <item x="38"/>
        <item x="60"/>
        <item x="63"/>
        <item x="36"/>
        <item x="61"/>
        <item x="64"/>
        <item x="104"/>
        <item x="54"/>
        <item x="45"/>
        <item x="65"/>
        <item x="116"/>
        <item x="58"/>
        <item x="106"/>
        <item x="39"/>
        <item x="94"/>
        <item x="11"/>
        <item x="28"/>
        <item x="7"/>
        <item x="81"/>
        <item t="default"/>
      </items>
    </pivotField>
    <pivotField axis="axisRow" showAll="0">
      <items count="115">
        <item x="103"/>
        <item x="31"/>
        <item x="59"/>
        <item x="61"/>
        <item x="36"/>
        <item x="27"/>
        <item x="30"/>
        <item x="97"/>
        <item x="93"/>
        <item x="29"/>
        <item x="91"/>
        <item x="32"/>
        <item x="111"/>
        <item x="25"/>
        <item x="112"/>
        <item x="71"/>
        <item x="13"/>
        <item x="60"/>
        <item x="42"/>
        <item x="78"/>
        <item x="80"/>
        <item x="37"/>
        <item x="106"/>
        <item x="22"/>
        <item x="11"/>
        <item x="83"/>
        <item x="50"/>
        <item x="79"/>
        <item x="70"/>
        <item x="21"/>
        <item x="101"/>
        <item x="85"/>
        <item x="8"/>
        <item x="86"/>
        <item x="2"/>
        <item x="51"/>
        <item x="12"/>
        <item x="20"/>
        <item x="3"/>
        <item x="4"/>
        <item x="92"/>
        <item x="18"/>
        <item x="102"/>
        <item x="72"/>
        <item x="7"/>
        <item x="6"/>
        <item x="110"/>
        <item x="67"/>
        <item x="58"/>
        <item x="44"/>
        <item x="89"/>
        <item x="24"/>
        <item x="46"/>
        <item x="52"/>
        <item x="105"/>
        <item x="104"/>
        <item x="17"/>
        <item x="108"/>
        <item x="55"/>
        <item x="49"/>
        <item x="100"/>
        <item x="95"/>
        <item x="16"/>
        <item m="1" x="113"/>
        <item x="28"/>
        <item x="15"/>
        <item x="57"/>
        <item x="41"/>
        <item x="63"/>
        <item x="26"/>
        <item x="66"/>
        <item x="75"/>
        <item x="94"/>
        <item x="76"/>
        <item x="14"/>
        <item x="23"/>
        <item x="90"/>
        <item x="65"/>
        <item x="33"/>
        <item x="40"/>
        <item x="10"/>
        <item x="62"/>
        <item x="87"/>
        <item x="53"/>
        <item x="19"/>
        <item x="82"/>
        <item x="5"/>
        <item x="98"/>
        <item x="54"/>
        <item x="88"/>
        <item x="81"/>
        <item x="39"/>
        <item x="56"/>
        <item x="77"/>
        <item x="35"/>
        <item x="43"/>
        <item x="107"/>
        <item x="45"/>
        <item x="84"/>
        <item x="9"/>
        <item x="1"/>
        <item x="0"/>
        <item x="34"/>
        <item x="48"/>
        <item x="68"/>
        <item x="96"/>
        <item x="109"/>
        <item x="47"/>
        <item x="69"/>
        <item x="73"/>
        <item x="99"/>
        <item x="64"/>
        <item x="74"/>
        <item x="38"/>
        <item t="default"/>
      </items>
    </pivotField>
    <pivotField dataField="1" showAll="0"/>
    <pivotField showAll="0"/>
    <pivotField showAll="0"/>
    <pivotField showAll="0"/>
    <pivotField showAll="0"/>
    <pivotField showAll="0"/>
    <pivotField showAll="0"/>
    <pivotField showAll="0"/>
    <pivotField showAll="0"/>
    <pivotField showAll="0"/>
    <pivotField showAll="0"/>
    <pivotField axis="axisRow" showAll="0">
      <items count="125">
        <item x="99"/>
        <item x="26"/>
        <item x="18"/>
        <item x="4"/>
        <item x="107"/>
        <item x="83"/>
        <item x="110"/>
        <item x="41"/>
        <item x="1"/>
        <item x="51"/>
        <item x="48"/>
        <item x="20"/>
        <item x="119"/>
        <item x="80"/>
        <item x="40"/>
        <item x="43"/>
        <item x="19"/>
        <item x="34"/>
        <item x="37"/>
        <item x="103"/>
        <item x="47"/>
        <item x="73"/>
        <item x="29"/>
        <item x="27"/>
        <item x="23"/>
        <item x="114"/>
        <item x="44"/>
        <item x="33"/>
        <item x="59"/>
        <item x="49"/>
        <item x="10"/>
        <item x="53"/>
        <item x="46"/>
        <item x="117"/>
        <item x="50"/>
        <item x="95"/>
        <item x="67"/>
        <item x="77"/>
        <item x="82"/>
        <item x="25"/>
        <item x="71"/>
        <item x="78"/>
        <item x="35"/>
        <item x="85"/>
        <item x="66"/>
        <item x="32"/>
        <item x="113"/>
        <item x="21"/>
        <item x="16"/>
        <item x="115"/>
        <item x="102"/>
        <item x="87"/>
        <item x="55"/>
        <item x="12"/>
        <item x="91"/>
        <item x="57"/>
        <item x="70"/>
        <item x="98"/>
        <item x="96"/>
        <item x="92"/>
        <item x="122"/>
        <item x="0"/>
        <item x="101"/>
        <item x="24"/>
        <item x="84"/>
        <item x="8"/>
        <item x="52"/>
        <item x="79"/>
        <item x="31"/>
        <item x="86"/>
        <item x="22"/>
        <item x="90"/>
        <item x="97"/>
        <item x="100"/>
        <item x="15"/>
        <item x="62"/>
        <item x="69"/>
        <item x="68"/>
        <item x="72"/>
        <item x="88"/>
        <item x="118"/>
        <item x="14"/>
        <item x="109"/>
        <item x="42"/>
        <item x="75"/>
        <item x="6"/>
        <item x="76"/>
        <item x="13"/>
        <item x="2"/>
        <item x="3"/>
        <item x="9"/>
        <item x="120"/>
        <item x="89"/>
        <item x="121"/>
        <item x="5"/>
        <item x="108"/>
        <item x="56"/>
        <item x="111"/>
        <item x="112"/>
        <item x="17"/>
        <item x="105"/>
        <item x="93"/>
        <item m="1" x="123"/>
        <item x="30"/>
        <item x="74"/>
        <item x="38"/>
        <item x="60"/>
        <item x="63"/>
        <item x="36"/>
        <item x="61"/>
        <item x="64"/>
        <item x="104"/>
        <item x="54"/>
        <item x="45"/>
        <item x="65"/>
        <item x="116"/>
        <item x="58"/>
        <item x="106"/>
        <item x="39"/>
        <item x="94"/>
        <item x="11"/>
        <item x="28"/>
        <item x="7"/>
        <item x="81"/>
        <item t="default"/>
      </items>
    </pivotField>
    <pivotField showAll="0" defaultSubtotal="0"/>
    <pivotField showAll="0"/>
    <pivotField axis="axisRow" showAll="0" sortType="ascending">
      <items count="228">
        <item m="1" x="148"/>
        <item m="1" x="186"/>
        <item m="1" x="192"/>
        <item m="1" x="154"/>
        <item m="1" x="212"/>
        <item m="1" x="135"/>
        <item m="1" x="131"/>
        <item m="1" x="169"/>
        <item x="1"/>
        <item m="1" x="128"/>
        <item x="2"/>
        <item x="3"/>
        <item x="4"/>
        <item x="5"/>
        <item x="6"/>
        <item x="7"/>
        <item x="8"/>
        <item m="1" x="202"/>
        <item x="9"/>
        <item x="10"/>
        <item x="11"/>
        <item x="12"/>
        <item m="1" x="201"/>
        <item m="1" x="124"/>
        <item x="13"/>
        <item m="1" x="193"/>
        <item m="1" x="146"/>
        <item m="1" x="130"/>
        <item x="14"/>
        <item x="15"/>
        <item x="16"/>
        <item x="17"/>
        <item m="1" x="206"/>
        <item x="18"/>
        <item x="19"/>
        <item m="1" x="157"/>
        <item x="20"/>
        <item x="21"/>
        <item x="22"/>
        <item x="23"/>
        <item x="24"/>
        <item x="25"/>
        <item m="1" x="224"/>
        <item x="26"/>
        <item x="27"/>
        <item x="28"/>
        <item m="1" x="144"/>
        <item x="29"/>
        <item m="1" x="142"/>
        <item m="1" x="225"/>
        <item x="30"/>
        <item x="31"/>
        <item m="1" x="191"/>
        <item x="32"/>
        <item x="33"/>
        <item m="1" x="155"/>
        <item m="1" x="181"/>
        <item m="1" x="129"/>
        <item x="34"/>
        <item x="35"/>
        <item x="36"/>
        <item m="1" x="184"/>
        <item m="1" x="218"/>
        <item x="37"/>
        <item x="38"/>
        <item m="1" x="182"/>
        <item m="1" x="208"/>
        <item x="39"/>
        <item x="40"/>
        <item x="41"/>
        <item x="42"/>
        <item m="1" x="207"/>
        <item x="43"/>
        <item m="1" x="217"/>
        <item x="44"/>
        <item x="45"/>
        <item m="1" x="189"/>
        <item x="46"/>
        <item m="1" x="126"/>
        <item x="47"/>
        <item x="48"/>
        <item x="49"/>
        <item m="1" x="149"/>
        <item m="1" x="216"/>
        <item m="1" x="153"/>
        <item x="50"/>
        <item m="1" x="127"/>
        <item m="1" x="171"/>
        <item x="51"/>
        <item m="1" x="151"/>
        <item x="52"/>
        <item x="53"/>
        <item x="54"/>
        <item m="1" x="164"/>
        <item x="55"/>
        <item x="56"/>
        <item x="57"/>
        <item m="1" x="161"/>
        <item m="1" x="213"/>
        <item m="1" x="220"/>
        <item m="1" x="152"/>
        <item x="58"/>
        <item x="59"/>
        <item x="60"/>
        <item x="61"/>
        <item m="1" x="166"/>
        <item m="1" x="187"/>
        <item x="62"/>
        <item x="63"/>
        <item x="64"/>
        <item x="65"/>
        <item x="66"/>
        <item m="1" x="204"/>
        <item m="1" x="214"/>
        <item x="67"/>
        <item m="1" x="195"/>
        <item m="1" x="170"/>
        <item x="68"/>
        <item x="69"/>
        <item x="70"/>
        <item m="1" x="138"/>
        <item x="71"/>
        <item m="1" x="210"/>
        <item x="72"/>
        <item m="1" x="185"/>
        <item m="1" x="132"/>
        <item m="1" x="194"/>
        <item m="1" x="141"/>
        <item m="1" x="219"/>
        <item x="73"/>
        <item x="74"/>
        <item x="75"/>
        <item x="76"/>
        <item x="77"/>
        <item x="78"/>
        <item x="79"/>
        <item m="1" x="177"/>
        <item x="80"/>
        <item m="1" x="200"/>
        <item m="1" x="174"/>
        <item x="81"/>
        <item x="82"/>
        <item m="1" x="203"/>
        <item x="83"/>
        <item m="1" x="125"/>
        <item x="84"/>
        <item x="85"/>
        <item m="1" x="173"/>
        <item x="86"/>
        <item x="87"/>
        <item x="88"/>
        <item m="1" x="137"/>
        <item x="89"/>
        <item x="90"/>
        <item m="1" x="215"/>
        <item x="91"/>
        <item x="92"/>
        <item x="93"/>
        <item x="94"/>
        <item x="95"/>
        <item m="1" x="197"/>
        <item m="1" x="180"/>
        <item m="1" x="211"/>
        <item x="96"/>
        <item m="1" x="139"/>
        <item m="1" x="198"/>
        <item m="1" x="140"/>
        <item x="97"/>
        <item m="1" x="123"/>
        <item m="1" x="175"/>
        <item m="1" x="223"/>
        <item x="98"/>
        <item m="1" x="145"/>
        <item x="99"/>
        <item x="100"/>
        <item m="1" x="167"/>
        <item x="101"/>
        <item m="1" x="158"/>
        <item m="1" x="222"/>
        <item m="1" x="168"/>
        <item x="102"/>
        <item m="1" x="136"/>
        <item m="1" x="179"/>
        <item x="103"/>
        <item m="1" x="221"/>
        <item m="1" x="163"/>
        <item x="104"/>
        <item m="1" x="156"/>
        <item m="1" x="188"/>
        <item m="1" x="196"/>
        <item m="1" x="134"/>
        <item m="1" x="226"/>
        <item m="1" x="162"/>
        <item m="1" x="205"/>
        <item m="1" x="183"/>
        <item x="105"/>
        <item m="1" x="199"/>
        <item x="106"/>
        <item x="107"/>
        <item m="1" x="150"/>
        <item m="1" x="159"/>
        <item m="1" x="172"/>
        <item m="1" x="143"/>
        <item x="108"/>
        <item m="1" x="133"/>
        <item m="1" x="190"/>
        <item m="1" x="160"/>
        <item x="109"/>
        <item m="1" x="178"/>
        <item m="1" x="209"/>
        <item x="110"/>
        <item m="1" x="147"/>
        <item m="1" x="165"/>
        <item x="111"/>
        <item x="112"/>
        <item x="113"/>
        <item m="1" x="176"/>
        <item x="114"/>
        <item x="115"/>
        <item x="116"/>
        <item x="117"/>
        <item x="118"/>
        <item x="119"/>
        <item x="120"/>
        <item x="121"/>
        <item x="122"/>
        <item x="0"/>
        <item t="default"/>
      </items>
    </pivotField>
    <pivotField showAll="0"/>
    <pivotField showAll="0"/>
    <pivotField showAll="0"/>
  </pivotFields>
  <rowFields count="4">
    <field x="20"/>
    <field x="17"/>
    <field x="4"/>
    <field x="5"/>
  </rowFields>
  <rowItems count="530">
    <i>
      <x v="8"/>
    </i>
    <i r="1">
      <x v="8"/>
    </i>
    <i r="2">
      <x v="62"/>
    </i>
    <i r="3">
      <x v="100"/>
    </i>
    <i>
      <x v="10"/>
    </i>
    <i r="1">
      <x v="88"/>
    </i>
    <i r="2">
      <x v="77"/>
    </i>
    <i r="3">
      <x v="34"/>
    </i>
    <i>
      <x v="11"/>
    </i>
    <i r="1">
      <x v="89"/>
    </i>
    <i r="2">
      <x v="74"/>
    </i>
    <i r="3">
      <x v="38"/>
    </i>
    <i r="3">
      <x v="39"/>
    </i>
    <i>
      <x v="12"/>
    </i>
    <i r="1">
      <x v="3"/>
    </i>
    <i r="2">
      <x v="52"/>
    </i>
    <i r="3">
      <x v="86"/>
    </i>
    <i>
      <x v="13"/>
    </i>
    <i r="1">
      <x v="94"/>
    </i>
    <i r="2">
      <x v="97"/>
    </i>
    <i r="3">
      <x v="44"/>
    </i>
    <i r="3">
      <x v="45"/>
    </i>
    <i>
      <x v="14"/>
    </i>
    <i r="1">
      <x v="85"/>
    </i>
    <i r="2">
      <x v="53"/>
    </i>
    <i r="3">
      <x v="32"/>
    </i>
    <i>
      <x v="15"/>
    </i>
    <i r="1">
      <x v="122"/>
    </i>
    <i r="2">
      <x v="123"/>
    </i>
    <i r="3">
      <x v="99"/>
    </i>
    <i>
      <x v="16"/>
    </i>
    <i r="1">
      <x v="65"/>
    </i>
    <i r="2">
      <x v="6"/>
    </i>
    <i r="3">
      <x v="24"/>
    </i>
    <i r="3">
      <x v="80"/>
    </i>
    <i>
      <x v="18"/>
    </i>
    <i r="1">
      <x v="90"/>
    </i>
    <i r="2">
      <x v="41"/>
    </i>
    <i r="3">
      <x v="16"/>
    </i>
    <i r="3">
      <x v="36"/>
    </i>
    <i>
      <x v="19"/>
    </i>
    <i r="1">
      <x v="30"/>
    </i>
    <i r="2">
      <x v="25"/>
    </i>
    <i r="3">
      <x v="41"/>
    </i>
    <i r="3">
      <x v="56"/>
    </i>
    <i r="3">
      <x v="62"/>
    </i>
    <i r="3">
      <x v="65"/>
    </i>
    <i r="3">
      <x v="74"/>
    </i>
    <i>
      <x v="20"/>
    </i>
    <i r="1">
      <x v="120"/>
    </i>
    <i r="2">
      <x v="121"/>
    </i>
    <i r="3">
      <x v="99"/>
    </i>
    <i>
      <x v="21"/>
    </i>
    <i r="1">
      <x v="53"/>
    </i>
    <i r="2">
      <x v="90"/>
    </i>
    <i r="3">
      <x v="84"/>
    </i>
    <i>
      <x v="24"/>
    </i>
    <i r="1">
      <x v="87"/>
    </i>
    <i r="2">
      <x v="50"/>
    </i>
    <i r="3">
      <x v="34"/>
    </i>
    <i r="3">
      <x v="37"/>
    </i>
    <i>
      <x v="28"/>
    </i>
    <i r="1">
      <x v="81"/>
    </i>
    <i r="2">
      <x v="35"/>
    </i>
    <i r="3">
      <x v="29"/>
    </i>
    <i>
      <x v="29"/>
    </i>
    <i r="1">
      <x v="74"/>
    </i>
    <i r="2">
      <x v="29"/>
    </i>
    <i r="3">
      <x v="23"/>
    </i>
    <i>
      <x v="30"/>
    </i>
    <i r="1">
      <x v="48"/>
    </i>
    <i r="2">
      <x v="91"/>
    </i>
    <i r="3">
      <x v="75"/>
    </i>
    <i>
      <x v="31"/>
    </i>
    <i r="1">
      <x v="99"/>
    </i>
    <i r="2">
      <x v="30"/>
    </i>
    <i r="3">
      <x v="51"/>
    </i>
    <i>
      <x v="33"/>
    </i>
    <i r="1">
      <x v="2"/>
    </i>
    <i r="2">
      <x v="46"/>
    </i>
    <i r="3">
      <x v="13"/>
    </i>
    <i>
      <x v="34"/>
    </i>
    <i r="1">
      <x v="16"/>
    </i>
    <i r="2">
      <x v="37"/>
    </i>
    <i r="3">
      <x v="80"/>
    </i>
    <i>
      <x v="36"/>
    </i>
    <i r="1">
      <x v="11"/>
    </i>
    <i r="2">
      <x v="18"/>
    </i>
    <i r="3">
      <x v="69"/>
    </i>
    <i>
      <x v="37"/>
    </i>
    <i r="1">
      <x v="47"/>
    </i>
    <i r="2">
      <x v="45"/>
    </i>
    <i r="3">
      <x v="99"/>
    </i>
    <i>
      <x v="38"/>
    </i>
    <i r="1">
      <x v="70"/>
    </i>
    <i r="2">
      <x v="20"/>
    </i>
    <i r="3">
      <x v="5"/>
    </i>
    <i>
      <x v="39"/>
    </i>
    <i r="1">
      <x v="24"/>
    </i>
    <i r="2">
      <x v="43"/>
    </i>
    <i r="3">
      <x v="1"/>
    </i>
    <i r="3">
      <x v="6"/>
    </i>
    <i r="3">
      <x v="9"/>
    </i>
    <i r="3">
      <x v="11"/>
    </i>
    <i r="3">
      <x v="64"/>
    </i>
    <i>
      <x v="40"/>
    </i>
    <i r="1">
      <x v="63"/>
    </i>
    <i r="2">
      <x v="39"/>
    </i>
    <i r="3">
      <x v="78"/>
    </i>
    <i r="3">
      <x v="102"/>
    </i>
    <i>
      <x v="41"/>
    </i>
    <i r="1">
      <x v="39"/>
    </i>
    <i r="2">
      <x v="42"/>
    </i>
    <i r="3">
      <x v="94"/>
    </i>
    <i>
      <x v="43"/>
    </i>
    <i r="1">
      <x v="1"/>
    </i>
    <i r="2">
      <x v="57"/>
    </i>
    <i r="3">
      <x v="4"/>
    </i>
    <i>
      <x v="44"/>
    </i>
    <i r="1">
      <x v="23"/>
    </i>
    <i r="2">
      <x v="49"/>
    </i>
    <i r="3">
      <x v="21"/>
    </i>
    <i>
      <x v="45"/>
    </i>
    <i r="1">
      <x v="121"/>
    </i>
    <i r="2">
      <x v="122"/>
    </i>
    <i r="3">
      <x v="113"/>
    </i>
    <i>
      <x v="47"/>
    </i>
    <i r="1">
      <x v="22"/>
    </i>
    <i r="2">
      <x v="81"/>
    </i>
    <i r="3">
      <x v="75"/>
    </i>
    <i>
      <x v="50"/>
    </i>
    <i r="1">
      <x v="103"/>
    </i>
    <i r="2">
      <x v="104"/>
    </i>
    <i r="3">
      <x v="91"/>
    </i>
    <i>
      <x v="51"/>
    </i>
    <i r="1">
      <x v="68"/>
    </i>
    <i r="2">
      <x v="94"/>
    </i>
    <i r="3">
      <x v="79"/>
    </i>
    <i>
      <x v="53"/>
    </i>
    <i r="1">
      <x v="45"/>
    </i>
    <i r="2">
      <x v="2"/>
    </i>
    <i r="3">
      <x v="74"/>
    </i>
    <i>
      <x v="54"/>
    </i>
    <i r="1">
      <x v="27"/>
    </i>
    <i r="2">
      <x v="16"/>
    </i>
    <i r="3">
      <x v="18"/>
    </i>
    <i r="3">
      <x v="67"/>
    </i>
    <i>
      <x v="58"/>
    </i>
    <i r="1">
      <x v="17"/>
    </i>
    <i r="2">
      <x v="23"/>
    </i>
    <i r="3">
      <x v="95"/>
    </i>
    <i>
      <x v="59"/>
    </i>
    <i r="1">
      <x v="42"/>
    </i>
    <i r="2">
      <x v="96"/>
    </i>
    <i r="3">
      <x v="49"/>
    </i>
    <i>
      <x v="60"/>
    </i>
    <i r="1">
      <x v="108"/>
    </i>
    <i r="2">
      <x v="109"/>
    </i>
    <i r="3">
      <x v="97"/>
    </i>
    <i>
      <x v="63"/>
    </i>
    <i r="1">
      <x v="18"/>
    </i>
    <i r="2">
      <x v="34"/>
    </i>
    <i r="3">
      <x v="52"/>
    </i>
    <i>
      <x v="64"/>
    </i>
    <i r="1">
      <x v="105"/>
    </i>
    <i r="2">
      <x v="106"/>
    </i>
    <i r="3">
      <x v="107"/>
    </i>
    <i>
      <x v="67"/>
    </i>
    <i r="1">
      <x v="118"/>
    </i>
    <i r="2">
      <x v="119"/>
    </i>
    <i r="3">
      <x v="103"/>
    </i>
    <i>
      <x v="68"/>
    </i>
    <i r="1">
      <x v="14"/>
    </i>
    <i r="2">
      <x v="58"/>
    </i>
    <i r="3">
      <x v="91"/>
    </i>
    <i>
      <x v="69"/>
    </i>
    <i r="1">
      <x v="7"/>
    </i>
    <i r="2">
      <x v="67"/>
    </i>
    <i r="3">
      <x v="59"/>
    </i>
    <i>
      <x v="70"/>
    </i>
    <i r="1">
      <x v="83"/>
    </i>
    <i r="2">
      <x v="5"/>
    </i>
    <i r="3">
      <x v="26"/>
    </i>
    <i r="3">
      <x v="35"/>
    </i>
    <i>
      <x v="72"/>
    </i>
    <i r="1">
      <x v="15"/>
    </i>
    <i r="2">
      <x v="56"/>
    </i>
    <i r="3">
      <x v="53"/>
    </i>
    <i>
      <x v="74"/>
    </i>
    <i r="1">
      <x v="26"/>
    </i>
    <i r="2">
      <x v="38"/>
    </i>
    <i r="3">
      <x v="83"/>
    </i>
    <i>
      <x v="75"/>
    </i>
    <i r="1">
      <x v="113"/>
    </i>
    <i r="2">
      <x v="114"/>
    </i>
    <i r="3">
      <x v="94"/>
    </i>
    <i>
      <x v="77"/>
    </i>
    <i r="1">
      <x v="32"/>
    </i>
    <i r="2">
      <x v="24"/>
    </i>
    <i r="3">
      <x v="88"/>
    </i>
    <i>
      <x v="79"/>
    </i>
    <i r="1">
      <x v="20"/>
    </i>
    <i r="2">
      <x/>
    </i>
    <i r="3">
      <x v="58"/>
    </i>
    <i>
      <x v="80"/>
    </i>
    <i r="1">
      <x v="10"/>
    </i>
    <i r="2">
      <x v="10"/>
    </i>
    <i r="3">
      <x v="92"/>
    </i>
    <i>
      <x v="81"/>
    </i>
    <i r="1">
      <x v="29"/>
    </i>
    <i r="2">
      <x v="44"/>
    </i>
    <i r="3">
      <x v="2"/>
    </i>
    <i r="3">
      <x v="48"/>
    </i>
    <i r="3">
      <x v="66"/>
    </i>
    <i>
      <x v="85"/>
    </i>
    <i r="1">
      <x v="34"/>
    </i>
    <i r="2">
      <x v="80"/>
    </i>
    <i r="3">
      <x v="3"/>
    </i>
    <i r="3">
      <x v="17"/>
    </i>
    <i r="3">
      <x v="48"/>
    </i>
    <i>
      <x v="88"/>
    </i>
    <i r="1">
      <x v="9"/>
    </i>
    <i r="2">
      <x v="61"/>
    </i>
    <i r="3">
      <x v="88"/>
    </i>
    <i>
      <x v="90"/>
    </i>
    <i r="1">
      <x v="66"/>
    </i>
    <i r="2">
      <x v="84"/>
    </i>
    <i r="3">
      <x v="81"/>
    </i>
    <i r="3">
      <x v="103"/>
    </i>
    <i>
      <x v="91"/>
    </i>
    <i r="1">
      <x v="31"/>
    </i>
    <i r="2">
      <x v="31"/>
    </i>
    <i r="3">
      <x v="68"/>
    </i>
    <i>
      <x v="92"/>
    </i>
    <i r="1">
      <x v="112"/>
    </i>
    <i r="2">
      <x v="113"/>
    </i>
    <i r="3">
      <x v="111"/>
    </i>
    <i>
      <x v="94"/>
    </i>
    <i r="1">
      <x v="52"/>
    </i>
    <i r="2">
      <x v="4"/>
    </i>
    <i r="3">
      <x v="70"/>
    </i>
    <i r="3">
      <x v="77"/>
    </i>
    <i>
      <x v="95"/>
    </i>
    <i r="1">
      <x v="96"/>
    </i>
    <i r="2">
      <x v="66"/>
    </i>
    <i r="3">
      <x v="47"/>
    </i>
    <i r="3">
      <x v="104"/>
    </i>
    <i>
      <x v="96"/>
    </i>
    <i r="1">
      <x v="55"/>
    </i>
    <i r="2">
      <x v="86"/>
    </i>
    <i r="3">
      <x v="74"/>
    </i>
    <i>
      <x v="101"/>
    </i>
    <i r="1">
      <x v="116"/>
    </i>
    <i r="2">
      <x v="117"/>
    </i>
    <i r="3">
      <x v="111"/>
    </i>
    <i>
      <x v="102"/>
    </i>
    <i r="1">
      <x v="28"/>
    </i>
    <i r="2">
      <x v="89"/>
    </i>
    <i r="3">
      <x v="94"/>
    </i>
    <i>
      <x v="103"/>
    </i>
    <i r="1">
      <x v="106"/>
    </i>
    <i r="2">
      <x v="107"/>
    </i>
    <i r="3">
      <x v="108"/>
    </i>
    <i>
      <x v="104"/>
    </i>
    <i r="1">
      <x v="109"/>
    </i>
    <i r="2">
      <x v="110"/>
    </i>
    <i r="3">
      <x v="100"/>
    </i>
    <i>
      <x v="107"/>
    </i>
    <i r="1">
      <x v="75"/>
    </i>
    <i r="2">
      <x v="14"/>
    </i>
    <i r="3">
      <x v="15"/>
    </i>
    <i r="3">
      <x v="28"/>
    </i>
    <i r="3">
      <x v="43"/>
    </i>
    <i>
      <x v="108"/>
    </i>
    <i r="1">
      <x v="107"/>
    </i>
    <i r="2">
      <x v="108"/>
    </i>
    <i r="3">
      <x v="108"/>
    </i>
    <i>
      <x v="109"/>
    </i>
    <i r="1">
      <x v="110"/>
    </i>
    <i r="2">
      <x v="111"/>
    </i>
    <i r="3">
      <x v="109"/>
    </i>
    <i>
      <x v="110"/>
    </i>
    <i r="1">
      <x v="114"/>
    </i>
    <i r="2">
      <x v="115"/>
    </i>
    <i r="3">
      <x v="112"/>
    </i>
    <i>
      <x v="111"/>
    </i>
    <i r="1">
      <x v="44"/>
    </i>
    <i r="2">
      <x v="72"/>
    </i>
    <i r="3">
      <x v="71"/>
    </i>
    <i r="3">
      <x v="73"/>
    </i>
    <i>
      <x v="114"/>
    </i>
    <i r="1">
      <x v="36"/>
    </i>
    <i r="2">
      <x v="48"/>
    </i>
    <i r="3">
      <x v="93"/>
    </i>
    <i>
      <x v="117"/>
    </i>
    <i r="1">
      <x v="77"/>
    </i>
    <i r="2">
      <x v="13"/>
    </i>
    <i r="3">
      <x v="19"/>
    </i>
    <i r="3">
      <x v="24"/>
    </i>
    <i>
      <x v="118"/>
    </i>
    <i r="1">
      <x v="76"/>
    </i>
    <i r="2">
      <x v="68"/>
    </i>
    <i r="3">
      <x v="20"/>
    </i>
    <i r="3">
      <x v="27"/>
    </i>
    <i>
      <x v="119"/>
    </i>
    <i r="1">
      <x v="56"/>
    </i>
    <i r="2">
      <x v="87"/>
    </i>
    <i r="3">
      <x v="90"/>
    </i>
    <i>
      <x v="121"/>
    </i>
    <i r="1">
      <x v="40"/>
    </i>
    <i r="2">
      <x v="83"/>
    </i>
    <i r="3">
      <x v="85"/>
    </i>
    <i>
      <x v="123"/>
    </i>
    <i r="1">
      <x v="78"/>
    </i>
    <i r="2">
      <x v="103"/>
    </i>
    <i r="3">
      <x v="25"/>
    </i>
    <i>
      <x v="129"/>
    </i>
    <i r="1">
      <x v="21"/>
    </i>
    <i r="2">
      <x v="21"/>
    </i>
    <i r="3">
      <x v="98"/>
    </i>
    <i>
      <x v="130"/>
    </i>
    <i r="1">
      <x v="104"/>
    </i>
    <i r="2">
      <x v="105"/>
    </i>
    <i r="3">
      <x v="92"/>
    </i>
    <i>
      <x v="131"/>
    </i>
    <i r="1">
      <x v="84"/>
    </i>
    <i r="2">
      <x v="40"/>
    </i>
    <i r="3">
      <x v="31"/>
    </i>
    <i>
      <x v="132"/>
    </i>
    <i r="1">
      <x v="86"/>
    </i>
    <i r="2">
      <x v="78"/>
    </i>
    <i r="3">
      <x v="33"/>
    </i>
    <i>
      <x v="133"/>
    </i>
    <i r="1">
      <x v="37"/>
    </i>
    <i r="2">
      <x v="71"/>
    </i>
    <i r="3">
      <x v="86"/>
    </i>
    <i>
      <x v="134"/>
    </i>
    <i r="1">
      <x v="41"/>
    </i>
    <i r="2">
      <x v="73"/>
    </i>
    <i r="3">
      <x v="86"/>
    </i>
    <i>
      <x v="135"/>
    </i>
    <i r="1">
      <x v="67"/>
    </i>
    <i r="2">
      <x v="70"/>
    </i>
    <i r="3">
      <x v="82"/>
    </i>
    <i>
      <x v="137"/>
    </i>
    <i r="1">
      <x v="13"/>
    </i>
    <i r="2">
      <x v="64"/>
    </i>
    <i r="3">
      <x v="89"/>
    </i>
    <i>
      <x v="140"/>
    </i>
    <i r="1">
      <x v="123"/>
    </i>
    <i r="2">
      <x v="124"/>
    </i>
    <i r="3">
      <x v="113"/>
    </i>
    <i>
      <x v="141"/>
    </i>
    <i r="1">
      <x v="38"/>
    </i>
    <i r="2">
      <x v="63"/>
    </i>
    <i r="3">
      <x v="86"/>
    </i>
    <i>
      <x v="143"/>
    </i>
    <i r="1">
      <x v="5"/>
    </i>
    <i r="2">
      <x v="65"/>
    </i>
    <i r="3">
      <x v="50"/>
    </i>
    <i>
      <x v="145"/>
    </i>
    <i r="1">
      <x v="64"/>
    </i>
    <i r="2">
      <x v="15"/>
    </i>
    <i r="3">
      <x v="76"/>
    </i>
    <i>
      <x v="146"/>
    </i>
    <i r="1">
      <x v="43"/>
    </i>
    <i r="2">
      <x v="95"/>
    </i>
    <i r="3">
      <x v="86"/>
    </i>
    <i>
      <x v="148"/>
    </i>
    <i r="1">
      <x v="69"/>
    </i>
    <i r="2">
      <x v="26"/>
    </i>
    <i r="3">
      <x v="10"/>
    </i>
    <i>
      <x v="149"/>
    </i>
    <i r="1">
      <x v="51"/>
    </i>
    <i r="2">
      <x v="88"/>
    </i>
    <i r="3">
      <x v="67"/>
    </i>
    <i>
      <x v="150"/>
    </i>
    <i r="1">
      <x v="79"/>
    </i>
    <i r="2">
      <x v="59"/>
    </i>
    <i r="3">
      <x v="28"/>
    </i>
    <i>
      <x v="152"/>
    </i>
    <i r="1">
      <x v="92"/>
    </i>
    <i r="2">
      <x v="54"/>
    </i>
    <i r="3">
      <x v="40"/>
    </i>
    <i>
      <x v="153"/>
    </i>
    <i r="1">
      <x v="71"/>
    </i>
    <i r="2">
      <x v="51"/>
    </i>
    <i r="3">
      <x v="8"/>
    </i>
    <i>
      <x v="155"/>
    </i>
    <i r="1">
      <x v="54"/>
    </i>
    <i r="2">
      <x v="85"/>
    </i>
    <i r="3">
      <x v="72"/>
    </i>
    <i>
      <x v="156"/>
    </i>
    <i r="1">
      <x v="59"/>
    </i>
    <i r="2">
      <x v="98"/>
    </i>
    <i r="3">
      <x v="90"/>
    </i>
    <i>
      <x v="157"/>
    </i>
    <i r="1">
      <x v="101"/>
    </i>
    <i r="2">
      <x v="79"/>
    </i>
    <i r="3">
      <x v="61"/>
    </i>
    <i r="3">
      <x v="105"/>
    </i>
    <i>
      <x v="158"/>
    </i>
    <i r="1">
      <x v="119"/>
    </i>
    <i r="2">
      <x v="120"/>
    </i>
    <i r="3">
      <x v="99"/>
    </i>
    <i>
      <x v="159"/>
    </i>
    <i r="1">
      <x v="35"/>
    </i>
    <i r="2">
      <x v="47"/>
    </i>
    <i r="3">
      <x v="90"/>
    </i>
    <i>
      <x v="163"/>
    </i>
    <i r="1">
      <x v="58"/>
    </i>
    <i r="2">
      <x v="93"/>
    </i>
    <i r="3">
      <x v="73"/>
    </i>
    <i>
      <x v="167"/>
    </i>
    <i r="1">
      <x v="72"/>
    </i>
    <i r="2">
      <x v="55"/>
    </i>
    <i r="3">
      <x v="7"/>
    </i>
    <i>
      <x v="171"/>
    </i>
    <i r="1">
      <x v="57"/>
    </i>
    <i r="2">
      <x v="92"/>
    </i>
    <i r="3">
      <x v="87"/>
    </i>
    <i>
      <x v="173"/>
    </i>
    <i r="1">
      <x/>
    </i>
    <i r="2">
      <x v="69"/>
    </i>
    <i r="3">
      <x v="85"/>
    </i>
    <i>
      <x v="174"/>
    </i>
    <i r="1">
      <x v="73"/>
    </i>
    <i r="2">
      <x v="17"/>
    </i>
    <i r="3">
      <x v="16"/>
    </i>
    <i>
      <x v="176"/>
    </i>
    <i r="1">
      <x v="62"/>
    </i>
    <i r="2">
      <x v="27"/>
    </i>
    <i r="3">
      <x v="77"/>
    </i>
    <i>
      <x v="180"/>
    </i>
    <i r="1">
      <x v="50"/>
    </i>
    <i r="2">
      <x v="8"/>
    </i>
    <i r="3">
      <x v="59"/>
    </i>
    <i>
      <x v="183"/>
    </i>
    <i r="1">
      <x v="19"/>
    </i>
    <i r="2">
      <x v="60"/>
    </i>
    <i r="3">
      <x v="86"/>
    </i>
    <i>
      <x v="186"/>
    </i>
    <i r="1">
      <x v="111"/>
    </i>
    <i r="2">
      <x v="112"/>
    </i>
    <i r="3">
      <x v="110"/>
    </i>
    <i>
      <x v="195"/>
    </i>
    <i r="1">
      <x v="100"/>
    </i>
    <i r="2">
      <x v="22"/>
    </i>
    <i r="3">
      <x v="60"/>
    </i>
    <i>
      <x v="197"/>
    </i>
    <i r="1">
      <x v="117"/>
    </i>
    <i r="2">
      <x v="118"/>
    </i>
    <i r="3">
      <x v="95"/>
    </i>
    <i>
      <x v="198"/>
    </i>
    <i r="1">
      <x v="4"/>
    </i>
    <i r="2">
      <x v="12"/>
    </i>
    <i r="3">
      <x v="97"/>
    </i>
    <i>
      <x v="203"/>
    </i>
    <i r="1">
      <x v="95"/>
    </i>
    <i r="2">
      <x v="19"/>
    </i>
    <i r="3">
      <x v="43"/>
    </i>
    <i r="3">
      <x v="49"/>
    </i>
    <i>
      <x v="207"/>
    </i>
    <i r="1">
      <x v="82"/>
    </i>
    <i r="2">
      <x v="102"/>
    </i>
    <i r="3">
      <x v="30"/>
    </i>
    <i>
      <x v="210"/>
    </i>
    <i r="1">
      <x v="6"/>
    </i>
    <i r="2">
      <x v="7"/>
    </i>
    <i r="3">
      <x v="84"/>
    </i>
    <i>
      <x v="213"/>
    </i>
    <i r="1">
      <x v="97"/>
    </i>
    <i r="2">
      <x v="75"/>
    </i>
    <i r="3">
      <x/>
    </i>
    <i r="3">
      <x v="42"/>
    </i>
    <i>
      <x v="214"/>
    </i>
    <i r="1">
      <x v="98"/>
    </i>
    <i r="2">
      <x v="33"/>
    </i>
    <i r="3">
      <x v="54"/>
    </i>
    <i r="3">
      <x v="55"/>
    </i>
    <i>
      <x v="215"/>
    </i>
    <i r="1">
      <x v="46"/>
    </i>
    <i r="2">
      <x v="28"/>
    </i>
    <i r="3">
      <x v="21"/>
    </i>
    <i r="3">
      <x v="22"/>
    </i>
    <i>
      <x v="217"/>
    </i>
    <i r="1">
      <x v="25"/>
    </i>
    <i r="2">
      <x v="11"/>
    </i>
    <i r="3">
      <x v="96"/>
    </i>
    <i>
      <x v="218"/>
    </i>
    <i r="1">
      <x v="49"/>
    </i>
    <i r="2">
      <x v="82"/>
    </i>
    <i r="3">
      <x v="78"/>
    </i>
    <i r="3">
      <x v="86"/>
    </i>
    <i>
      <x v="219"/>
    </i>
    <i r="1">
      <x v="115"/>
    </i>
    <i r="2">
      <x v="116"/>
    </i>
    <i r="3">
      <x v="109"/>
    </i>
    <i>
      <x v="220"/>
    </i>
    <i r="1">
      <x v="33"/>
    </i>
    <i r="2">
      <x v="36"/>
    </i>
    <i r="3">
      <x v="57"/>
    </i>
    <i r="3">
      <x v="58"/>
    </i>
    <i>
      <x v="221"/>
    </i>
    <i r="1">
      <x v="80"/>
    </i>
    <i r="2">
      <x v="3"/>
    </i>
    <i r="3">
      <x v="22"/>
    </i>
    <i>
      <x v="222"/>
    </i>
    <i r="1">
      <x v="12"/>
    </i>
    <i r="2">
      <x v="76"/>
    </i>
    <i r="3">
      <x v="106"/>
    </i>
    <i>
      <x v="223"/>
    </i>
    <i r="1">
      <x v="91"/>
    </i>
    <i r="2">
      <x v="1"/>
    </i>
    <i r="3">
      <x v="38"/>
    </i>
    <i>
      <x v="224"/>
    </i>
    <i r="1">
      <x v="93"/>
    </i>
    <i r="2">
      <x v="32"/>
    </i>
    <i r="3">
      <x v="12"/>
    </i>
    <i r="3">
      <x v="14"/>
    </i>
    <i r="3">
      <x v="46"/>
    </i>
    <i>
      <x v="225"/>
    </i>
    <i r="1">
      <x v="60"/>
    </i>
    <i r="2">
      <x v="99"/>
    </i>
    <i r="3">
      <x v="82"/>
    </i>
    <i>
      <x v="226"/>
    </i>
    <i r="1">
      <x v="61"/>
    </i>
    <i r="2">
      <x v="100"/>
    </i>
    <i r="3">
      <x v="101"/>
    </i>
    <i t="grand">
      <x/>
    </i>
  </rowItems>
  <colItems count="1">
    <i/>
  </colItems>
  <dataFields count="1">
    <dataField name="Suma de Dosis (Gy)" fld="6" baseField="20" baseItem="8"/>
  </dataFields>
  <formats count="294">
    <format dxfId="338">
      <pivotArea collapsedLevelsAreSubtotals="1" fieldPosition="0">
        <references count="1">
          <reference field="4" count="1">
            <x v="3"/>
          </reference>
        </references>
      </pivotArea>
    </format>
    <format dxfId="337">
      <pivotArea collapsedLevelsAreSubtotals="1" fieldPosition="0">
        <references count="2">
          <reference field="4" count="1" selected="0">
            <x v="3"/>
          </reference>
          <reference field="17" count="1">
            <x v="80"/>
          </reference>
        </references>
      </pivotArea>
    </format>
    <format dxfId="336">
      <pivotArea collapsedLevelsAreSubtotals="1" fieldPosition="0">
        <references count="3">
          <reference field="4" count="1" selected="0">
            <x v="3"/>
          </reference>
          <reference field="17" count="1" selected="0">
            <x v="80"/>
          </reference>
          <reference field="20" count="1">
            <x v="221"/>
          </reference>
        </references>
      </pivotArea>
    </format>
    <format dxfId="335">
      <pivotArea collapsedLevelsAreSubtotals="1" fieldPosition="0">
        <references count="4">
          <reference field="4" count="1" selected="0">
            <x v="3"/>
          </reference>
          <reference field="5" count="1">
            <x v="22"/>
          </reference>
          <reference field="17" count="1" selected="0">
            <x v="80"/>
          </reference>
          <reference field="20" count="1" selected="0">
            <x v="221"/>
          </reference>
        </references>
      </pivotArea>
    </format>
    <format dxfId="334">
      <pivotArea dataOnly="0" labelOnly="1" fieldPosition="0">
        <references count="1">
          <reference field="4" count="1">
            <x v="3"/>
          </reference>
        </references>
      </pivotArea>
    </format>
    <format dxfId="333">
      <pivotArea dataOnly="0" labelOnly="1" fieldPosition="0">
        <references count="2">
          <reference field="4" count="1" selected="0">
            <x v="3"/>
          </reference>
          <reference field="17" count="1">
            <x v="80"/>
          </reference>
        </references>
      </pivotArea>
    </format>
    <format dxfId="332">
      <pivotArea dataOnly="0" labelOnly="1" fieldPosition="0">
        <references count="3">
          <reference field="4" count="1" selected="0">
            <x v="3"/>
          </reference>
          <reference field="17" count="1" selected="0">
            <x v="80"/>
          </reference>
          <reference field="20" count="1">
            <x v="221"/>
          </reference>
        </references>
      </pivotArea>
    </format>
    <format dxfId="331">
      <pivotArea dataOnly="0" labelOnly="1" fieldPosition="0">
        <references count="4">
          <reference field="4" count="1" selected="0">
            <x v="3"/>
          </reference>
          <reference field="5" count="1">
            <x v="22"/>
          </reference>
          <reference field="17" count="1" selected="0">
            <x v="80"/>
          </reference>
          <reference field="20" count="1" selected="0">
            <x v="221"/>
          </reference>
        </references>
      </pivotArea>
    </format>
    <format dxfId="330">
      <pivotArea collapsedLevelsAreSubtotals="1" fieldPosition="0">
        <references count="1">
          <reference field="4" count="1">
            <x v="5"/>
          </reference>
        </references>
      </pivotArea>
    </format>
    <format dxfId="329">
      <pivotArea collapsedLevelsAreSubtotals="1" fieldPosition="0">
        <references count="2">
          <reference field="4" count="1" selected="0">
            <x v="5"/>
          </reference>
          <reference field="17" count="1">
            <x v="83"/>
          </reference>
        </references>
      </pivotArea>
    </format>
    <format dxfId="328">
      <pivotArea collapsedLevelsAreSubtotals="1" fieldPosition="0">
        <references count="3">
          <reference field="4" count="1" selected="0">
            <x v="5"/>
          </reference>
          <reference field="17" count="1" selected="0">
            <x v="83"/>
          </reference>
          <reference field="20" count="1">
            <x v="70"/>
          </reference>
        </references>
      </pivotArea>
    </format>
    <format dxfId="327">
      <pivotArea collapsedLevelsAreSubtotals="1" fieldPosition="0">
        <references count="4">
          <reference field="4" count="1" selected="0">
            <x v="5"/>
          </reference>
          <reference field="5" count="2">
            <x v="26"/>
            <x v="35"/>
          </reference>
          <reference field="17" count="1" selected="0">
            <x v="83"/>
          </reference>
          <reference field="20" count="1" selected="0">
            <x v="70"/>
          </reference>
        </references>
      </pivotArea>
    </format>
    <format dxfId="326">
      <pivotArea dataOnly="0" labelOnly="1" fieldPosition="0">
        <references count="1">
          <reference field="4" count="1">
            <x v="5"/>
          </reference>
        </references>
      </pivotArea>
    </format>
    <format dxfId="325">
      <pivotArea dataOnly="0" labelOnly="1" fieldPosition="0">
        <references count="2">
          <reference field="4" count="1" selected="0">
            <x v="5"/>
          </reference>
          <reference field="17" count="1">
            <x v="83"/>
          </reference>
        </references>
      </pivotArea>
    </format>
    <format dxfId="324">
      <pivotArea dataOnly="0" labelOnly="1" fieldPosition="0">
        <references count="3">
          <reference field="4" count="1" selected="0">
            <x v="5"/>
          </reference>
          <reference field="17" count="1" selected="0">
            <x v="83"/>
          </reference>
          <reference field="20" count="1">
            <x v="70"/>
          </reference>
        </references>
      </pivotArea>
    </format>
    <format dxfId="323">
      <pivotArea dataOnly="0" labelOnly="1" fieldPosition="0">
        <references count="4">
          <reference field="4" count="1" selected="0">
            <x v="5"/>
          </reference>
          <reference field="5" count="2">
            <x v="26"/>
            <x v="35"/>
          </reference>
          <reference field="17" count="1" selected="0">
            <x v="83"/>
          </reference>
          <reference field="20" count="1" selected="0">
            <x v="70"/>
          </reference>
        </references>
      </pivotArea>
    </format>
    <format dxfId="322">
      <pivotArea collapsedLevelsAreSubtotals="1" fieldPosition="0">
        <references count="1">
          <reference field="4" count="1">
            <x v="13"/>
          </reference>
        </references>
      </pivotArea>
    </format>
    <format dxfId="321">
      <pivotArea collapsedLevelsAreSubtotals="1" fieldPosition="0">
        <references count="2">
          <reference field="4" count="1" selected="0">
            <x v="13"/>
          </reference>
          <reference field="17" count="1">
            <x v="77"/>
          </reference>
        </references>
      </pivotArea>
    </format>
    <format dxfId="320">
      <pivotArea collapsedLevelsAreSubtotals="1" fieldPosition="0">
        <references count="3">
          <reference field="4" count="1" selected="0">
            <x v="13"/>
          </reference>
          <reference field="17" count="1" selected="0">
            <x v="77"/>
          </reference>
          <reference field="20" count="1">
            <x v="117"/>
          </reference>
        </references>
      </pivotArea>
    </format>
    <format dxfId="319">
      <pivotArea collapsedLevelsAreSubtotals="1" fieldPosition="0">
        <references count="4">
          <reference field="4" count="1" selected="0">
            <x v="13"/>
          </reference>
          <reference field="5" count="2">
            <x v="19"/>
            <x v="24"/>
          </reference>
          <reference field="17" count="1" selected="0">
            <x v="77"/>
          </reference>
          <reference field="20" count="1" selected="0">
            <x v="117"/>
          </reference>
        </references>
      </pivotArea>
    </format>
    <format dxfId="318">
      <pivotArea collapsedLevelsAreSubtotals="1" fieldPosition="0">
        <references count="1">
          <reference field="4" count="1">
            <x v="14"/>
          </reference>
        </references>
      </pivotArea>
    </format>
    <format dxfId="317">
      <pivotArea collapsedLevelsAreSubtotals="1" fieldPosition="0">
        <references count="2">
          <reference field="4" count="1" selected="0">
            <x v="14"/>
          </reference>
          <reference field="17" count="1">
            <x v="75"/>
          </reference>
        </references>
      </pivotArea>
    </format>
    <format dxfId="316">
      <pivotArea collapsedLevelsAreSubtotals="1" fieldPosition="0">
        <references count="3">
          <reference field="4" count="1" selected="0">
            <x v="14"/>
          </reference>
          <reference field="17" count="1" selected="0">
            <x v="75"/>
          </reference>
          <reference field="20" count="1">
            <x v="106"/>
          </reference>
        </references>
      </pivotArea>
    </format>
    <format dxfId="315">
      <pivotArea collapsedLevelsAreSubtotals="1" fieldPosition="0">
        <references count="4">
          <reference field="4" count="1" selected="0">
            <x v="14"/>
          </reference>
          <reference field="5" count="3">
            <x v="15"/>
            <x v="28"/>
            <x v="43"/>
          </reference>
          <reference field="17" count="1" selected="0">
            <x v="75"/>
          </reference>
          <reference field="20" count="1" selected="0">
            <x v="106"/>
          </reference>
        </references>
      </pivotArea>
    </format>
    <format dxfId="314">
      <pivotArea collapsedLevelsAreSubtotals="1" fieldPosition="0">
        <references count="1">
          <reference field="4" count="1">
            <x v="15"/>
          </reference>
        </references>
      </pivotArea>
    </format>
    <format dxfId="313">
      <pivotArea collapsedLevelsAreSubtotals="1" fieldPosition="0">
        <references count="2">
          <reference field="4" count="1" selected="0">
            <x v="15"/>
          </reference>
          <reference field="17" count="1">
            <x v="64"/>
          </reference>
        </references>
      </pivotArea>
    </format>
    <format dxfId="312">
      <pivotArea collapsedLevelsAreSubtotals="1" fieldPosition="0">
        <references count="3">
          <reference field="4" count="1" selected="0">
            <x v="15"/>
          </reference>
          <reference field="17" count="1" selected="0">
            <x v="64"/>
          </reference>
          <reference field="20" count="1">
            <x v="145"/>
          </reference>
        </references>
      </pivotArea>
    </format>
    <format dxfId="311">
      <pivotArea collapsedLevelsAreSubtotals="1" fieldPosition="0">
        <references count="4">
          <reference field="4" count="1" selected="0">
            <x v="15"/>
          </reference>
          <reference field="5" count="1">
            <x v="76"/>
          </reference>
          <reference field="17" count="1" selected="0">
            <x v="64"/>
          </reference>
          <reference field="20" count="1" selected="0">
            <x v="145"/>
          </reference>
        </references>
      </pivotArea>
    </format>
    <format dxfId="310">
      <pivotArea collapsedLevelsAreSubtotals="1" fieldPosition="0">
        <references count="1">
          <reference field="4" count="1">
            <x v="16"/>
          </reference>
        </references>
      </pivotArea>
    </format>
    <format dxfId="309">
      <pivotArea collapsedLevelsAreSubtotals="1" fieldPosition="0">
        <references count="2">
          <reference field="4" count="1" selected="0">
            <x v="16"/>
          </reference>
          <reference field="17" count="1">
            <x v="27"/>
          </reference>
        </references>
      </pivotArea>
    </format>
    <format dxfId="308">
      <pivotArea collapsedLevelsAreSubtotals="1" fieldPosition="0">
        <references count="3">
          <reference field="4" count="1" selected="0">
            <x v="16"/>
          </reference>
          <reference field="17" count="1" selected="0">
            <x v="27"/>
          </reference>
          <reference field="20" count="1">
            <x v="54"/>
          </reference>
        </references>
      </pivotArea>
    </format>
    <format dxfId="307">
      <pivotArea collapsedLevelsAreSubtotals="1" fieldPosition="0">
        <references count="4">
          <reference field="4" count="1" selected="0">
            <x v="16"/>
          </reference>
          <reference field="5" count="2">
            <x v="18"/>
            <x v="67"/>
          </reference>
          <reference field="17" count="1" selected="0">
            <x v="27"/>
          </reference>
          <reference field="20" count="1" selected="0">
            <x v="54"/>
          </reference>
        </references>
      </pivotArea>
    </format>
    <format dxfId="306">
      <pivotArea collapsedLevelsAreSubtotals="1" fieldPosition="0">
        <references count="1">
          <reference field="4" count="1">
            <x v="17"/>
          </reference>
        </references>
      </pivotArea>
    </format>
    <format dxfId="305">
      <pivotArea collapsedLevelsAreSubtotals="1" fieldPosition="0">
        <references count="2">
          <reference field="4" count="1" selected="0">
            <x v="17"/>
          </reference>
          <reference field="17" count="1">
            <x v="73"/>
          </reference>
        </references>
      </pivotArea>
    </format>
    <format dxfId="304">
      <pivotArea collapsedLevelsAreSubtotals="1" fieldPosition="0">
        <references count="3">
          <reference field="4" count="1" selected="0">
            <x v="17"/>
          </reference>
          <reference field="17" count="1" selected="0">
            <x v="73"/>
          </reference>
          <reference field="20" count="1">
            <x v="174"/>
          </reference>
        </references>
      </pivotArea>
    </format>
    <format dxfId="303">
      <pivotArea collapsedLevelsAreSubtotals="1" fieldPosition="0">
        <references count="4">
          <reference field="4" count="1" selected="0">
            <x v="17"/>
          </reference>
          <reference field="5" count="1">
            <x v="16"/>
          </reference>
          <reference field="17" count="1" selected="0">
            <x v="73"/>
          </reference>
          <reference field="20" count="1" selected="0">
            <x v="174"/>
          </reference>
        </references>
      </pivotArea>
    </format>
    <format dxfId="302">
      <pivotArea dataOnly="0" labelOnly="1" fieldPosition="0">
        <references count="1">
          <reference field="4" count="5">
            <x v="13"/>
            <x v="14"/>
            <x v="15"/>
            <x v="16"/>
            <x v="17"/>
          </reference>
        </references>
      </pivotArea>
    </format>
    <format dxfId="301">
      <pivotArea dataOnly="0" labelOnly="1" fieldPosition="0">
        <references count="2">
          <reference field="4" count="1" selected="0">
            <x v="13"/>
          </reference>
          <reference field="17" count="5">
            <x v="27"/>
            <x v="64"/>
            <x v="73"/>
            <x v="75"/>
            <x v="77"/>
          </reference>
        </references>
      </pivotArea>
    </format>
    <format dxfId="300">
      <pivotArea dataOnly="0" labelOnly="1" fieldPosition="0">
        <references count="3">
          <reference field="4" count="1" selected="0">
            <x v="13"/>
          </reference>
          <reference field="17" count="1" selected="0">
            <x v="77"/>
          </reference>
          <reference field="20" count="5">
            <x v="54"/>
            <x v="106"/>
            <x v="117"/>
            <x v="145"/>
            <x v="174"/>
          </reference>
        </references>
      </pivotArea>
    </format>
    <format dxfId="299">
      <pivotArea dataOnly="0" labelOnly="1" fieldPosition="0">
        <references count="4">
          <reference field="4" count="1" selected="0">
            <x v="13"/>
          </reference>
          <reference field="5" count="9">
            <x v="15"/>
            <x v="16"/>
            <x v="18"/>
            <x v="19"/>
            <x v="24"/>
            <x v="28"/>
            <x v="43"/>
            <x v="67"/>
            <x v="76"/>
          </reference>
          <reference field="17" count="1" selected="0">
            <x v="77"/>
          </reference>
          <reference field="20" count="1" selected="0">
            <x v="117"/>
          </reference>
        </references>
      </pivotArea>
    </format>
    <format dxfId="298">
      <pivotArea collapsedLevelsAreSubtotals="1" fieldPosition="0">
        <references count="1">
          <reference field="4" count="1">
            <x v="19"/>
          </reference>
        </references>
      </pivotArea>
    </format>
    <format dxfId="297">
      <pivotArea collapsedLevelsAreSubtotals="1" fieldPosition="0">
        <references count="2">
          <reference field="4" count="1" selected="0">
            <x v="19"/>
          </reference>
          <reference field="17" count="1">
            <x v="95"/>
          </reference>
        </references>
      </pivotArea>
    </format>
    <format dxfId="296">
      <pivotArea collapsedLevelsAreSubtotals="1" fieldPosition="0">
        <references count="3">
          <reference field="4" count="1" selected="0">
            <x v="19"/>
          </reference>
          <reference field="17" count="1" selected="0">
            <x v="95"/>
          </reference>
          <reference field="20" count="1">
            <x v="203"/>
          </reference>
        </references>
      </pivotArea>
    </format>
    <format dxfId="295">
      <pivotArea collapsedLevelsAreSubtotals="1" fieldPosition="0">
        <references count="4">
          <reference field="4" count="1" selected="0">
            <x v="19"/>
          </reference>
          <reference field="5" count="2">
            <x v="43"/>
            <x v="49"/>
          </reference>
          <reference field="17" count="1" selected="0">
            <x v="95"/>
          </reference>
          <reference field="20" count="1" selected="0">
            <x v="203"/>
          </reference>
        </references>
      </pivotArea>
    </format>
    <format dxfId="294">
      <pivotArea collapsedLevelsAreSubtotals="1" fieldPosition="0">
        <references count="1">
          <reference field="4" count="1">
            <x v="20"/>
          </reference>
        </references>
      </pivotArea>
    </format>
    <format dxfId="293">
      <pivotArea collapsedLevelsAreSubtotals="1" fieldPosition="0">
        <references count="2">
          <reference field="4" count="1" selected="0">
            <x v="20"/>
          </reference>
          <reference field="17" count="1">
            <x v="70"/>
          </reference>
        </references>
      </pivotArea>
    </format>
    <format dxfId="292">
      <pivotArea collapsedLevelsAreSubtotals="1" fieldPosition="0">
        <references count="3">
          <reference field="4" count="1" selected="0">
            <x v="20"/>
          </reference>
          <reference field="17" count="1" selected="0">
            <x v="70"/>
          </reference>
          <reference field="20" count="1">
            <x v="38"/>
          </reference>
        </references>
      </pivotArea>
    </format>
    <format dxfId="291">
      <pivotArea collapsedLevelsAreSubtotals="1" fieldPosition="0">
        <references count="4">
          <reference field="4" count="1" selected="0">
            <x v="20"/>
          </reference>
          <reference field="5" count="1">
            <x v="5"/>
          </reference>
          <reference field="17" count="1" selected="0">
            <x v="70"/>
          </reference>
          <reference field="20" count="1" selected="0">
            <x v="38"/>
          </reference>
        </references>
      </pivotArea>
    </format>
    <format dxfId="290">
      <pivotArea dataOnly="0" labelOnly="1" fieldPosition="0">
        <references count="1">
          <reference field="4" count="2">
            <x v="19"/>
            <x v="20"/>
          </reference>
        </references>
      </pivotArea>
    </format>
    <format dxfId="289">
      <pivotArea dataOnly="0" labelOnly="1" fieldPosition="0">
        <references count="2">
          <reference field="4" count="1" selected="0">
            <x v="19"/>
          </reference>
          <reference field="17" count="2">
            <x v="70"/>
            <x v="95"/>
          </reference>
        </references>
      </pivotArea>
    </format>
    <format dxfId="288">
      <pivotArea dataOnly="0" labelOnly="1" fieldPosition="0">
        <references count="3">
          <reference field="4" count="1" selected="0">
            <x v="19"/>
          </reference>
          <reference field="17" count="1" selected="0">
            <x v="95"/>
          </reference>
          <reference field="20" count="2">
            <x v="38"/>
            <x v="203"/>
          </reference>
        </references>
      </pivotArea>
    </format>
    <format dxfId="287">
      <pivotArea dataOnly="0" labelOnly="1" fieldPosition="0">
        <references count="4">
          <reference field="4" count="1" selected="0">
            <x v="19"/>
          </reference>
          <reference field="5" count="3">
            <x v="5"/>
            <x v="43"/>
            <x v="49"/>
          </reference>
          <reference field="17" count="1" selected="0">
            <x v="95"/>
          </reference>
          <reference field="20" count="1" selected="0">
            <x v="203"/>
          </reference>
        </references>
      </pivotArea>
    </format>
    <format dxfId="286">
      <pivotArea collapsedLevelsAreSubtotals="1" fieldPosition="0">
        <references count="1">
          <reference field="4" count="1">
            <x v="22"/>
          </reference>
        </references>
      </pivotArea>
    </format>
    <format dxfId="285">
      <pivotArea collapsedLevelsAreSubtotals="1" fieldPosition="0">
        <references count="2">
          <reference field="4" count="1" selected="0">
            <x v="22"/>
          </reference>
          <reference field="17" count="1">
            <x v="100"/>
          </reference>
        </references>
      </pivotArea>
    </format>
    <format dxfId="284">
      <pivotArea collapsedLevelsAreSubtotals="1" fieldPosition="0">
        <references count="3">
          <reference field="4" count="1" selected="0">
            <x v="22"/>
          </reference>
          <reference field="17" count="1" selected="0">
            <x v="100"/>
          </reference>
          <reference field="20" count="1">
            <x v="195"/>
          </reference>
        </references>
      </pivotArea>
    </format>
    <format dxfId="283">
      <pivotArea collapsedLevelsAreSubtotals="1" fieldPosition="0">
        <references count="4">
          <reference field="4" count="1" selected="0">
            <x v="22"/>
          </reference>
          <reference field="5" count="1">
            <x v="60"/>
          </reference>
          <reference field="17" count="1" selected="0">
            <x v="100"/>
          </reference>
          <reference field="20" count="1" selected="0">
            <x v="195"/>
          </reference>
        </references>
      </pivotArea>
    </format>
    <format dxfId="282">
      <pivotArea dataOnly="0" labelOnly="1" fieldPosition="0">
        <references count="1">
          <reference field="4" count="1">
            <x v="22"/>
          </reference>
        </references>
      </pivotArea>
    </format>
    <format dxfId="281">
      <pivotArea dataOnly="0" labelOnly="1" fieldPosition="0">
        <references count="2">
          <reference field="4" count="1" selected="0">
            <x v="22"/>
          </reference>
          <reference field="17" count="1">
            <x v="100"/>
          </reference>
        </references>
      </pivotArea>
    </format>
    <format dxfId="280">
      <pivotArea dataOnly="0" labelOnly="1" fieldPosition="0">
        <references count="3">
          <reference field="4" count="1" selected="0">
            <x v="22"/>
          </reference>
          <reference field="17" count="1" selected="0">
            <x v="100"/>
          </reference>
          <reference field="20" count="1">
            <x v="195"/>
          </reference>
        </references>
      </pivotArea>
    </format>
    <format dxfId="279">
      <pivotArea dataOnly="0" labelOnly="1" fieldPosition="0">
        <references count="4">
          <reference field="4" count="1" selected="0">
            <x v="22"/>
          </reference>
          <reference field="5" count="1">
            <x v="60"/>
          </reference>
          <reference field="17" count="1" selected="0">
            <x v="100"/>
          </reference>
          <reference field="20" count="1" selected="0">
            <x v="195"/>
          </reference>
        </references>
      </pivotArea>
    </format>
    <format dxfId="278">
      <pivotArea dataOnly="0" labelOnly="1" fieldPosition="0">
        <references count="1">
          <reference field="4" count="2">
            <x v="16"/>
            <x v="17"/>
          </reference>
        </references>
      </pivotArea>
    </format>
    <format dxfId="277">
      <pivotArea dataOnly="0" labelOnly="1" fieldPosition="0">
        <references count="2">
          <reference field="4" count="1" selected="0">
            <x v="15"/>
          </reference>
          <reference field="17" count="3">
            <x v="27"/>
            <x v="64"/>
            <x v="73"/>
          </reference>
        </references>
      </pivotArea>
    </format>
    <format dxfId="276">
      <pivotArea dataOnly="0" labelOnly="1" fieldPosition="0">
        <references count="3">
          <reference field="4" count="1" selected="0">
            <x v="15"/>
          </reference>
          <reference field="17" count="1" selected="0">
            <x v="64"/>
          </reference>
          <reference field="20" count="3">
            <x v="54"/>
            <x v="145"/>
            <x v="174"/>
          </reference>
        </references>
      </pivotArea>
    </format>
    <format dxfId="275">
      <pivotArea dataOnly="0" labelOnly="1" fieldPosition="0">
        <references count="4">
          <reference field="4" count="1" selected="0">
            <x v="15"/>
          </reference>
          <reference field="5" count="4">
            <x v="16"/>
            <x v="18"/>
            <x v="67"/>
            <x v="76"/>
          </reference>
          <reference field="17" count="1" selected="0">
            <x v="64"/>
          </reference>
          <reference field="20" count="1" selected="0">
            <x v="145"/>
          </reference>
        </references>
      </pivotArea>
    </format>
    <format dxfId="274">
      <pivotArea dataOnly="0" labelOnly="1" fieldPosition="0">
        <references count="2">
          <reference field="4" count="1" selected="0">
            <x v="20"/>
          </reference>
          <reference field="17" count="1">
            <x v="70"/>
          </reference>
        </references>
      </pivotArea>
    </format>
    <format dxfId="273">
      <pivotArea dataOnly="0" labelOnly="1" fieldPosition="0">
        <references count="3">
          <reference field="4" count="1" selected="0">
            <x v="20"/>
          </reference>
          <reference field="17" count="1" selected="0">
            <x v="70"/>
          </reference>
          <reference field="20" count="1">
            <x v="38"/>
          </reference>
        </references>
      </pivotArea>
    </format>
    <format dxfId="272">
      <pivotArea dataOnly="0" labelOnly="1" fieldPosition="0">
        <references count="4">
          <reference field="4" count="1" selected="0">
            <x v="20"/>
          </reference>
          <reference field="5" count="1">
            <x v="5"/>
          </reference>
          <reference field="17" count="1" selected="0">
            <x v="70"/>
          </reference>
          <reference field="20" count="1" selected="0">
            <x v="38"/>
          </reference>
        </references>
      </pivotArea>
    </format>
    <format dxfId="271">
      <pivotArea collapsedLevelsAreSubtotals="1" fieldPosition="0">
        <references count="1">
          <reference field="4" count="1">
            <x v="26"/>
          </reference>
        </references>
      </pivotArea>
    </format>
    <format dxfId="270">
      <pivotArea collapsedLevelsAreSubtotals="1" fieldPosition="0">
        <references count="2">
          <reference field="4" count="1" selected="0">
            <x v="26"/>
          </reference>
          <reference field="17" count="1">
            <x v="69"/>
          </reference>
        </references>
      </pivotArea>
    </format>
    <format dxfId="269">
      <pivotArea collapsedLevelsAreSubtotals="1" fieldPosition="0">
        <references count="3">
          <reference field="4" count="1" selected="0">
            <x v="26"/>
          </reference>
          <reference field="17" count="1" selected="0">
            <x v="69"/>
          </reference>
          <reference field="20" count="1">
            <x v="148"/>
          </reference>
        </references>
      </pivotArea>
    </format>
    <format dxfId="268">
      <pivotArea collapsedLevelsAreSubtotals="1" fieldPosition="0">
        <references count="4">
          <reference field="4" count="1" selected="0">
            <x v="26"/>
          </reference>
          <reference field="5" count="1">
            <x v="10"/>
          </reference>
          <reference field="17" count="1" selected="0">
            <x v="69"/>
          </reference>
          <reference field="20" count="1" selected="0">
            <x v="148"/>
          </reference>
        </references>
      </pivotArea>
    </format>
    <format dxfId="267">
      <pivotArea dataOnly="0" labelOnly="1" fieldPosition="0">
        <references count="1">
          <reference field="4" count="1">
            <x v="26"/>
          </reference>
        </references>
      </pivotArea>
    </format>
    <format dxfId="266">
      <pivotArea dataOnly="0" labelOnly="1" fieldPosition="0">
        <references count="2">
          <reference field="4" count="1" selected="0">
            <x v="26"/>
          </reference>
          <reference field="17" count="1">
            <x v="69"/>
          </reference>
        </references>
      </pivotArea>
    </format>
    <format dxfId="265">
      <pivotArea dataOnly="0" labelOnly="1" fieldPosition="0">
        <references count="3">
          <reference field="4" count="1" selected="0">
            <x v="26"/>
          </reference>
          <reference field="17" count="1" selected="0">
            <x v="69"/>
          </reference>
          <reference field="20" count="1">
            <x v="148"/>
          </reference>
        </references>
      </pivotArea>
    </format>
    <format dxfId="264">
      <pivotArea dataOnly="0" labelOnly="1" fieldPosition="0">
        <references count="4">
          <reference field="4" count="1" selected="0">
            <x v="26"/>
          </reference>
          <reference field="5" count="1">
            <x v="10"/>
          </reference>
          <reference field="17" count="1" selected="0">
            <x v="69"/>
          </reference>
          <reference field="20" count="1" selected="0">
            <x v="148"/>
          </reference>
        </references>
      </pivotArea>
    </format>
    <format dxfId="263">
      <pivotArea collapsedLevelsAreSubtotals="1" fieldPosition="0">
        <references count="2">
          <reference field="4" count="1" selected="0">
            <x v="14"/>
          </reference>
          <reference field="17" count="1">
            <x v="75"/>
          </reference>
        </references>
      </pivotArea>
    </format>
    <format dxfId="262">
      <pivotArea collapsedLevelsAreSubtotals="1" fieldPosition="0">
        <references count="3">
          <reference field="4" count="1" selected="0">
            <x v="14"/>
          </reference>
          <reference field="17" count="1" selected="0">
            <x v="75"/>
          </reference>
          <reference field="20" count="1">
            <x v="107"/>
          </reference>
        </references>
      </pivotArea>
    </format>
    <format dxfId="261">
      <pivotArea collapsedLevelsAreSubtotals="1" fieldPosition="0">
        <references count="4">
          <reference field="4" count="1" selected="0">
            <x v="14"/>
          </reference>
          <reference field="5" count="3">
            <x v="15"/>
            <x v="28"/>
            <x v="43"/>
          </reference>
          <reference field="17" count="1" selected="0">
            <x v="75"/>
          </reference>
          <reference field="20" count="1" selected="0">
            <x v="107"/>
          </reference>
        </references>
      </pivotArea>
    </format>
    <format dxfId="260">
      <pivotArea dataOnly="0" labelOnly="1" fieldPosition="0">
        <references count="2">
          <reference field="4" count="1" selected="0">
            <x v="14"/>
          </reference>
          <reference field="17" count="1">
            <x v="75"/>
          </reference>
        </references>
      </pivotArea>
    </format>
    <format dxfId="259">
      <pivotArea dataOnly="0" labelOnly="1" fieldPosition="0">
        <references count="3">
          <reference field="4" count="1" selected="0">
            <x v="14"/>
          </reference>
          <reference field="17" count="1" selected="0">
            <x v="75"/>
          </reference>
          <reference field="20" count="1">
            <x v="107"/>
          </reference>
        </references>
      </pivotArea>
    </format>
    <format dxfId="258">
      <pivotArea dataOnly="0" labelOnly="1" fieldPosition="0">
        <references count="4">
          <reference field="4" count="1" selected="0">
            <x v="14"/>
          </reference>
          <reference field="5" count="3">
            <x v="15"/>
            <x v="28"/>
            <x v="43"/>
          </reference>
          <reference field="17" count="1" selected="0">
            <x v="75"/>
          </reference>
          <reference field="20" count="1" selected="0">
            <x v="107"/>
          </reference>
        </references>
      </pivotArea>
    </format>
    <format dxfId="257">
      <pivotArea collapsedLevelsAreSubtotals="1" fieldPosition="0">
        <references count="1">
          <reference field="4" count="1">
            <x v="29"/>
          </reference>
        </references>
      </pivotArea>
    </format>
    <format dxfId="256">
      <pivotArea collapsedLevelsAreSubtotals="1" fieldPosition="0">
        <references count="2">
          <reference field="4" count="1" selected="0">
            <x v="29"/>
          </reference>
          <reference field="17" count="1">
            <x v="74"/>
          </reference>
        </references>
      </pivotArea>
    </format>
    <format dxfId="255">
      <pivotArea collapsedLevelsAreSubtotals="1" fieldPosition="0">
        <references count="3">
          <reference field="4" count="1" selected="0">
            <x v="29"/>
          </reference>
          <reference field="17" count="1" selected="0">
            <x v="74"/>
          </reference>
          <reference field="20" count="1">
            <x v="29"/>
          </reference>
        </references>
      </pivotArea>
    </format>
    <format dxfId="254">
      <pivotArea collapsedLevelsAreSubtotals="1" fieldPosition="0">
        <references count="4">
          <reference field="4" count="1" selected="0">
            <x v="29"/>
          </reference>
          <reference field="5" count="1">
            <x v="23"/>
          </reference>
          <reference field="17" count="1" selected="0">
            <x v="74"/>
          </reference>
          <reference field="20" count="1" selected="0">
            <x v="29"/>
          </reference>
        </references>
      </pivotArea>
    </format>
    <format dxfId="253">
      <pivotArea dataOnly="0" labelOnly="1" fieldPosition="0">
        <references count="1">
          <reference field="4" count="1">
            <x v="29"/>
          </reference>
        </references>
      </pivotArea>
    </format>
    <format dxfId="252">
      <pivotArea dataOnly="0" labelOnly="1" fieldPosition="0">
        <references count="2">
          <reference field="4" count="1" selected="0">
            <x v="29"/>
          </reference>
          <reference field="17" count="1">
            <x v="74"/>
          </reference>
        </references>
      </pivotArea>
    </format>
    <format dxfId="251">
      <pivotArea dataOnly="0" labelOnly="1" fieldPosition="0">
        <references count="3">
          <reference field="4" count="1" selected="0">
            <x v="29"/>
          </reference>
          <reference field="17" count="1" selected="0">
            <x v="74"/>
          </reference>
          <reference field="20" count="1">
            <x v="29"/>
          </reference>
        </references>
      </pivotArea>
    </format>
    <format dxfId="250">
      <pivotArea dataOnly="0" labelOnly="1" fieldPosition="0">
        <references count="4">
          <reference field="4" count="1" selected="0">
            <x v="29"/>
          </reference>
          <reference field="5" count="1">
            <x v="23"/>
          </reference>
          <reference field="17" count="1" selected="0">
            <x v="74"/>
          </reference>
          <reference field="20" count="1" selected="0">
            <x v="29"/>
          </reference>
        </references>
      </pivotArea>
    </format>
    <format dxfId="249">
      <pivotArea collapsedLevelsAreSubtotals="1" fieldPosition="0">
        <references count="1">
          <reference field="4" count="1">
            <x v="30"/>
          </reference>
        </references>
      </pivotArea>
    </format>
    <format dxfId="248">
      <pivotArea collapsedLevelsAreSubtotals="1" fieldPosition="0">
        <references count="2">
          <reference field="4" count="1" selected="0">
            <x v="30"/>
          </reference>
          <reference field="17" count="1">
            <x v="99"/>
          </reference>
        </references>
      </pivotArea>
    </format>
    <format dxfId="247">
      <pivotArea collapsedLevelsAreSubtotals="1" fieldPosition="0">
        <references count="3">
          <reference field="4" count="1" selected="0">
            <x v="30"/>
          </reference>
          <reference field="17" count="1" selected="0">
            <x v="99"/>
          </reference>
          <reference field="20" count="1">
            <x v="31"/>
          </reference>
        </references>
      </pivotArea>
    </format>
    <format dxfId="246">
      <pivotArea collapsedLevelsAreSubtotals="1" fieldPosition="0">
        <references count="4">
          <reference field="4" count="1" selected="0">
            <x v="30"/>
          </reference>
          <reference field="5" count="1">
            <x v="51"/>
          </reference>
          <reference field="17" count="1" selected="0">
            <x v="99"/>
          </reference>
          <reference field="20" count="1" selected="0">
            <x v="31"/>
          </reference>
        </references>
      </pivotArea>
    </format>
    <format dxfId="245">
      <pivotArea dataOnly="0" labelOnly="1" fieldPosition="0">
        <references count="1">
          <reference field="4" count="1">
            <x v="30"/>
          </reference>
        </references>
      </pivotArea>
    </format>
    <format dxfId="244">
      <pivotArea dataOnly="0" labelOnly="1" fieldPosition="0">
        <references count="2">
          <reference field="4" count="1" selected="0">
            <x v="30"/>
          </reference>
          <reference field="17" count="1">
            <x v="99"/>
          </reference>
        </references>
      </pivotArea>
    </format>
    <format dxfId="243">
      <pivotArea dataOnly="0" labelOnly="1" fieldPosition="0">
        <references count="3">
          <reference field="4" count="1" selected="0">
            <x v="30"/>
          </reference>
          <reference field="17" count="1" selected="0">
            <x v="99"/>
          </reference>
          <reference field="20" count="1">
            <x v="31"/>
          </reference>
        </references>
      </pivotArea>
    </format>
    <format dxfId="242">
      <pivotArea dataOnly="0" labelOnly="1" fieldPosition="0">
        <references count="4">
          <reference field="4" count="1" selected="0">
            <x v="30"/>
          </reference>
          <reference field="5" count="1">
            <x v="51"/>
          </reference>
          <reference field="17" count="1" selected="0">
            <x v="99"/>
          </reference>
          <reference field="20" count="1" selected="0">
            <x v="31"/>
          </reference>
        </references>
      </pivotArea>
    </format>
    <format dxfId="241">
      <pivotArea collapsedLevelsAreSubtotals="1" fieldPosition="0">
        <references count="1">
          <reference field="4" count="1">
            <x v="32"/>
          </reference>
        </references>
      </pivotArea>
    </format>
    <format dxfId="240">
      <pivotArea collapsedLevelsAreSubtotals="1" fieldPosition="0">
        <references count="2">
          <reference field="4" count="1" selected="0">
            <x v="32"/>
          </reference>
          <reference field="17" count="1">
            <x v="93"/>
          </reference>
        </references>
      </pivotArea>
    </format>
    <format dxfId="239">
      <pivotArea collapsedLevelsAreSubtotals="1" fieldPosition="0">
        <references count="3">
          <reference field="4" count="1" selected="0">
            <x v="32"/>
          </reference>
          <reference field="17" count="1" selected="0">
            <x v="93"/>
          </reference>
          <reference field="20" count="1">
            <x v="224"/>
          </reference>
        </references>
      </pivotArea>
    </format>
    <format dxfId="238">
      <pivotArea collapsedLevelsAreSubtotals="1" fieldPosition="0">
        <references count="4">
          <reference field="4" count="1" selected="0">
            <x v="32"/>
          </reference>
          <reference field="5" count="3">
            <x v="12"/>
            <x v="14"/>
            <x v="46"/>
          </reference>
          <reference field="17" count="1" selected="0">
            <x v="93"/>
          </reference>
          <reference field="20" count="1" selected="0">
            <x v="224"/>
          </reference>
        </references>
      </pivotArea>
    </format>
    <format dxfId="237">
      <pivotArea dataOnly="0" labelOnly="1" fieldPosition="0">
        <references count="1">
          <reference field="4" count="1">
            <x v="32"/>
          </reference>
        </references>
      </pivotArea>
    </format>
    <format dxfId="236">
      <pivotArea dataOnly="0" labelOnly="1" fieldPosition="0">
        <references count="2">
          <reference field="4" count="1" selected="0">
            <x v="32"/>
          </reference>
          <reference field="17" count="1">
            <x v="93"/>
          </reference>
        </references>
      </pivotArea>
    </format>
    <format dxfId="235">
      <pivotArea dataOnly="0" labelOnly="1" fieldPosition="0">
        <references count="3">
          <reference field="4" count="1" selected="0">
            <x v="32"/>
          </reference>
          <reference field="17" count="1" selected="0">
            <x v="93"/>
          </reference>
          <reference field="20" count="1">
            <x v="224"/>
          </reference>
        </references>
      </pivotArea>
    </format>
    <format dxfId="234">
      <pivotArea dataOnly="0" labelOnly="1" fieldPosition="0">
        <references count="4">
          <reference field="4" count="1" selected="0">
            <x v="32"/>
          </reference>
          <reference field="5" count="3">
            <x v="12"/>
            <x v="14"/>
            <x v="46"/>
          </reference>
          <reference field="17" count="1" selected="0">
            <x v="93"/>
          </reference>
          <reference field="20" count="1" selected="0">
            <x v="224"/>
          </reference>
        </references>
      </pivotArea>
    </format>
    <format dxfId="233">
      <pivotArea collapsedLevelsAreSubtotals="1" fieldPosition="0">
        <references count="1">
          <reference field="4" count="1">
            <x v="33"/>
          </reference>
        </references>
      </pivotArea>
    </format>
    <format dxfId="232">
      <pivotArea collapsedLevelsAreSubtotals="1" fieldPosition="0">
        <references count="2">
          <reference field="4" count="1" selected="0">
            <x v="33"/>
          </reference>
          <reference field="17" count="1">
            <x v="98"/>
          </reference>
        </references>
      </pivotArea>
    </format>
    <format dxfId="231">
      <pivotArea collapsedLevelsAreSubtotals="1" fieldPosition="0">
        <references count="3">
          <reference field="4" count="1" selected="0">
            <x v="33"/>
          </reference>
          <reference field="17" count="1" selected="0">
            <x v="98"/>
          </reference>
          <reference field="20" count="1">
            <x v="214"/>
          </reference>
        </references>
      </pivotArea>
    </format>
    <format dxfId="230">
      <pivotArea collapsedLevelsAreSubtotals="1" fieldPosition="0">
        <references count="4">
          <reference field="4" count="1" selected="0">
            <x v="33"/>
          </reference>
          <reference field="5" count="2">
            <x v="54"/>
            <x v="55"/>
          </reference>
          <reference field="17" count="1" selected="0">
            <x v="98"/>
          </reference>
          <reference field="20" count="1" selected="0">
            <x v="214"/>
          </reference>
        </references>
      </pivotArea>
    </format>
    <format dxfId="229">
      <pivotArea dataOnly="0" labelOnly="1" fieldPosition="0">
        <references count="1">
          <reference field="4" count="1">
            <x v="33"/>
          </reference>
        </references>
      </pivotArea>
    </format>
    <format dxfId="228">
      <pivotArea dataOnly="0" labelOnly="1" fieldPosition="0">
        <references count="2">
          <reference field="4" count="1" selected="0">
            <x v="33"/>
          </reference>
          <reference field="17" count="1">
            <x v="98"/>
          </reference>
        </references>
      </pivotArea>
    </format>
    <format dxfId="227">
      <pivotArea dataOnly="0" labelOnly="1" fieldPosition="0">
        <references count="3">
          <reference field="4" count="1" selected="0">
            <x v="33"/>
          </reference>
          <reference field="17" count="1" selected="0">
            <x v="98"/>
          </reference>
          <reference field="20" count="1">
            <x v="214"/>
          </reference>
        </references>
      </pivotArea>
    </format>
    <format dxfId="226">
      <pivotArea dataOnly="0" labelOnly="1" fieldPosition="0">
        <references count="4">
          <reference field="4" count="1" selected="0">
            <x v="33"/>
          </reference>
          <reference field="5" count="2">
            <x v="54"/>
            <x v="55"/>
          </reference>
          <reference field="17" count="1" selected="0">
            <x v="98"/>
          </reference>
          <reference field="20" count="1" selected="0">
            <x v="214"/>
          </reference>
        </references>
      </pivotArea>
    </format>
    <format dxfId="225">
      <pivotArea collapsedLevelsAreSubtotals="1" fieldPosition="0">
        <references count="1">
          <reference field="4" count="1">
            <x v="35"/>
          </reference>
        </references>
      </pivotArea>
    </format>
    <format dxfId="224">
      <pivotArea collapsedLevelsAreSubtotals="1" fieldPosition="0">
        <references count="2">
          <reference field="4" count="1" selected="0">
            <x v="35"/>
          </reference>
          <reference field="17" count="1">
            <x v="81"/>
          </reference>
        </references>
      </pivotArea>
    </format>
    <format dxfId="223">
      <pivotArea collapsedLevelsAreSubtotals="1" fieldPosition="0">
        <references count="3">
          <reference field="4" count="1" selected="0">
            <x v="35"/>
          </reference>
          <reference field="17" count="1" selected="0">
            <x v="81"/>
          </reference>
          <reference field="20" count="1">
            <x v="28"/>
          </reference>
        </references>
      </pivotArea>
    </format>
    <format dxfId="222">
      <pivotArea collapsedLevelsAreSubtotals="1" fieldPosition="0">
        <references count="4">
          <reference field="4" count="1" selected="0">
            <x v="35"/>
          </reference>
          <reference field="5" count="1">
            <x v="29"/>
          </reference>
          <reference field="17" count="1" selected="0">
            <x v="81"/>
          </reference>
          <reference field="20" count="1" selected="0">
            <x v="28"/>
          </reference>
        </references>
      </pivotArea>
    </format>
    <format dxfId="221">
      <pivotArea dataOnly="0" labelOnly="1" fieldPosition="0">
        <references count="1">
          <reference field="4" count="1">
            <x v="35"/>
          </reference>
        </references>
      </pivotArea>
    </format>
    <format dxfId="220">
      <pivotArea dataOnly="0" labelOnly="1" fieldPosition="0">
        <references count="2">
          <reference field="4" count="1" selected="0">
            <x v="35"/>
          </reference>
          <reference field="17" count="1">
            <x v="81"/>
          </reference>
        </references>
      </pivotArea>
    </format>
    <format dxfId="219">
      <pivotArea dataOnly="0" labelOnly="1" fieldPosition="0">
        <references count="3">
          <reference field="4" count="1" selected="0">
            <x v="35"/>
          </reference>
          <reference field="17" count="1" selected="0">
            <x v="81"/>
          </reference>
          <reference field="20" count="1">
            <x v="28"/>
          </reference>
        </references>
      </pivotArea>
    </format>
    <format dxfId="218">
      <pivotArea dataOnly="0" labelOnly="1" fieldPosition="0">
        <references count="4">
          <reference field="4" count="1" selected="0">
            <x v="35"/>
          </reference>
          <reference field="5" count="1">
            <x v="29"/>
          </reference>
          <reference field="17" count="1" selected="0">
            <x v="81"/>
          </reference>
          <reference field="20" count="1" selected="0">
            <x v="28"/>
          </reference>
        </references>
      </pivotArea>
    </format>
    <format dxfId="217">
      <pivotArea collapsedLevelsAreSubtotals="1" fieldPosition="0">
        <references count="1">
          <reference field="4" count="1">
            <x v="40"/>
          </reference>
        </references>
      </pivotArea>
    </format>
    <format dxfId="216">
      <pivotArea collapsedLevelsAreSubtotals="1" fieldPosition="0">
        <references count="2">
          <reference field="4" count="1" selected="0">
            <x v="40"/>
          </reference>
          <reference field="17" count="1">
            <x v="84"/>
          </reference>
        </references>
      </pivotArea>
    </format>
    <format dxfId="215">
      <pivotArea collapsedLevelsAreSubtotals="1" fieldPosition="0">
        <references count="3">
          <reference field="4" count="1" selected="0">
            <x v="40"/>
          </reference>
          <reference field="17" count="1" selected="0">
            <x v="84"/>
          </reference>
          <reference field="20" count="1">
            <x v="131"/>
          </reference>
        </references>
      </pivotArea>
    </format>
    <format dxfId="214">
      <pivotArea collapsedLevelsAreSubtotals="1" fieldPosition="0">
        <references count="4">
          <reference field="4" count="1" selected="0">
            <x v="40"/>
          </reference>
          <reference field="5" count="1">
            <x v="31"/>
          </reference>
          <reference field="17" count="1" selected="0">
            <x v="84"/>
          </reference>
          <reference field="20" count="1" selected="0">
            <x v="131"/>
          </reference>
        </references>
      </pivotArea>
    </format>
    <format dxfId="213">
      <pivotArea dataOnly="0" labelOnly="1" fieldPosition="0">
        <references count="1">
          <reference field="4" count="1">
            <x v="40"/>
          </reference>
        </references>
      </pivotArea>
    </format>
    <format dxfId="212">
      <pivotArea dataOnly="0" labelOnly="1" fieldPosition="0">
        <references count="2">
          <reference field="4" count="1" selected="0">
            <x v="40"/>
          </reference>
          <reference field="17" count="1">
            <x v="84"/>
          </reference>
        </references>
      </pivotArea>
    </format>
    <format dxfId="211">
      <pivotArea dataOnly="0" labelOnly="1" fieldPosition="0">
        <references count="3">
          <reference field="4" count="1" selected="0">
            <x v="40"/>
          </reference>
          <reference field="17" count="1" selected="0">
            <x v="84"/>
          </reference>
          <reference field="20" count="1">
            <x v="131"/>
          </reference>
        </references>
      </pivotArea>
    </format>
    <format dxfId="210">
      <pivotArea dataOnly="0" labelOnly="1" fieldPosition="0">
        <references count="4">
          <reference field="4" count="1" selected="0">
            <x v="40"/>
          </reference>
          <reference field="5" count="1">
            <x v="31"/>
          </reference>
          <reference field="17" count="1" selected="0">
            <x v="84"/>
          </reference>
          <reference field="20" count="1" selected="0">
            <x v="131"/>
          </reference>
        </references>
      </pivotArea>
    </format>
    <format dxfId="209">
      <pivotArea collapsedLevelsAreSubtotals="1" fieldPosition="0">
        <references count="1">
          <reference field="4" count="1">
            <x v="41"/>
          </reference>
        </references>
      </pivotArea>
    </format>
    <format dxfId="208">
      <pivotArea collapsedLevelsAreSubtotals="1" fieldPosition="0">
        <references count="2">
          <reference field="4" count="1" selected="0">
            <x v="41"/>
          </reference>
          <reference field="17" count="1">
            <x v="90"/>
          </reference>
        </references>
      </pivotArea>
    </format>
    <format dxfId="207">
      <pivotArea collapsedLevelsAreSubtotals="1" fieldPosition="0">
        <references count="3">
          <reference field="4" count="1" selected="0">
            <x v="41"/>
          </reference>
          <reference field="17" count="1" selected="0">
            <x v="90"/>
          </reference>
          <reference field="20" count="1">
            <x v="18"/>
          </reference>
        </references>
      </pivotArea>
    </format>
    <format dxfId="206">
      <pivotArea collapsedLevelsAreSubtotals="1" fieldPosition="0">
        <references count="4">
          <reference field="4" count="1" selected="0">
            <x v="41"/>
          </reference>
          <reference field="5" count="2">
            <x v="16"/>
            <x v="36"/>
          </reference>
          <reference field="17" count="1" selected="0">
            <x v="90"/>
          </reference>
          <reference field="20" count="1" selected="0">
            <x v="18"/>
          </reference>
        </references>
      </pivotArea>
    </format>
    <format dxfId="205">
      <pivotArea dataOnly="0" labelOnly="1" fieldPosition="0">
        <references count="1">
          <reference field="4" count="1">
            <x v="41"/>
          </reference>
        </references>
      </pivotArea>
    </format>
    <format dxfId="204">
      <pivotArea dataOnly="0" labelOnly="1" fieldPosition="0">
        <references count="2">
          <reference field="4" count="1" selected="0">
            <x v="41"/>
          </reference>
          <reference field="17" count="1">
            <x v="90"/>
          </reference>
        </references>
      </pivotArea>
    </format>
    <format dxfId="203">
      <pivotArea dataOnly="0" labelOnly="1" fieldPosition="0">
        <references count="3">
          <reference field="4" count="1" selected="0">
            <x v="41"/>
          </reference>
          <reference field="17" count="1" selected="0">
            <x v="90"/>
          </reference>
          <reference field="20" count="1">
            <x v="18"/>
          </reference>
        </references>
      </pivotArea>
    </format>
    <format dxfId="202">
      <pivotArea dataOnly="0" labelOnly="1" fieldPosition="0">
        <references count="4">
          <reference field="4" count="1" selected="0">
            <x v="41"/>
          </reference>
          <reference field="5" count="2">
            <x v="16"/>
            <x v="36"/>
          </reference>
          <reference field="17" count="1" selected="0">
            <x v="90"/>
          </reference>
          <reference field="20" count="1" selected="0">
            <x v="18"/>
          </reference>
        </references>
      </pivotArea>
    </format>
    <format dxfId="201">
      <pivotArea collapsedLevelsAreSubtotals="1" fieldPosition="0">
        <references count="1">
          <reference field="4" count="1">
            <x v="42"/>
          </reference>
        </references>
      </pivotArea>
    </format>
    <format dxfId="200">
      <pivotArea collapsedLevelsAreSubtotals="1" fieldPosition="0">
        <references count="2">
          <reference field="4" count="1" selected="0">
            <x v="42"/>
          </reference>
          <reference field="17" count="1">
            <x v="39"/>
          </reference>
        </references>
      </pivotArea>
    </format>
    <format dxfId="199">
      <pivotArea collapsedLevelsAreSubtotals="1" fieldPosition="0">
        <references count="3">
          <reference field="4" count="1" selected="0">
            <x v="42"/>
          </reference>
          <reference field="17" count="1" selected="0">
            <x v="39"/>
          </reference>
          <reference field="20" count="1">
            <x v="41"/>
          </reference>
        </references>
      </pivotArea>
    </format>
    <format dxfId="198">
      <pivotArea collapsedLevelsAreSubtotals="1" fieldPosition="0">
        <references count="4">
          <reference field="4" count="1" selected="0">
            <x v="42"/>
          </reference>
          <reference field="5" count="1">
            <x v="94"/>
          </reference>
          <reference field="17" count="1" selected="0">
            <x v="39"/>
          </reference>
          <reference field="20" count="1" selected="0">
            <x v="41"/>
          </reference>
        </references>
      </pivotArea>
    </format>
    <format dxfId="197">
      <pivotArea dataOnly="0" labelOnly="1" fieldPosition="0">
        <references count="1">
          <reference field="4" count="1">
            <x v="42"/>
          </reference>
        </references>
      </pivotArea>
    </format>
    <format dxfId="196">
      <pivotArea dataOnly="0" labelOnly="1" fieldPosition="0">
        <references count="2">
          <reference field="4" count="1" selected="0">
            <x v="42"/>
          </reference>
          <reference field="17" count="1">
            <x v="39"/>
          </reference>
        </references>
      </pivotArea>
    </format>
    <format dxfId="195">
      <pivotArea dataOnly="0" labelOnly="1" fieldPosition="0">
        <references count="3">
          <reference field="4" count="1" selected="0">
            <x v="42"/>
          </reference>
          <reference field="17" count="1" selected="0">
            <x v="39"/>
          </reference>
          <reference field="20" count="1">
            <x v="41"/>
          </reference>
        </references>
      </pivotArea>
    </format>
    <format dxfId="194">
      <pivotArea dataOnly="0" labelOnly="1" fieldPosition="0">
        <references count="4">
          <reference field="4" count="1" selected="0">
            <x v="42"/>
          </reference>
          <reference field="5" count="1">
            <x v="94"/>
          </reference>
          <reference field="17" count="1" selected="0">
            <x v="39"/>
          </reference>
          <reference field="20" count="1" selected="0">
            <x v="41"/>
          </reference>
        </references>
      </pivotArea>
    </format>
    <format dxfId="193">
      <pivotArea collapsedLevelsAreSubtotals="1" fieldPosition="0">
        <references count="1">
          <reference field="4" count="1">
            <x v="43"/>
          </reference>
        </references>
      </pivotArea>
    </format>
    <format dxfId="192">
      <pivotArea collapsedLevelsAreSubtotals="1" fieldPosition="0">
        <references count="2">
          <reference field="4" count="1" selected="0">
            <x v="43"/>
          </reference>
          <reference field="17" count="1">
            <x v="24"/>
          </reference>
        </references>
      </pivotArea>
    </format>
    <format dxfId="191">
      <pivotArea collapsedLevelsAreSubtotals="1" fieldPosition="0">
        <references count="3">
          <reference field="4" count="1" selected="0">
            <x v="43"/>
          </reference>
          <reference field="17" count="1" selected="0">
            <x v="24"/>
          </reference>
          <reference field="20" count="1">
            <x v="39"/>
          </reference>
        </references>
      </pivotArea>
    </format>
    <format dxfId="190">
      <pivotArea collapsedLevelsAreSubtotals="1" fieldPosition="0">
        <references count="4">
          <reference field="4" count="1" selected="0">
            <x v="43"/>
          </reference>
          <reference field="5" count="5">
            <x v="1"/>
            <x v="6"/>
            <x v="9"/>
            <x v="11"/>
            <x v="64"/>
          </reference>
          <reference field="17" count="1" selected="0">
            <x v="24"/>
          </reference>
          <reference field="20" count="1" selected="0">
            <x v="39"/>
          </reference>
        </references>
      </pivotArea>
    </format>
    <format dxfId="189">
      <pivotArea dataOnly="0" labelOnly="1" fieldPosition="0">
        <references count="1">
          <reference field="4" count="1">
            <x v="43"/>
          </reference>
        </references>
      </pivotArea>
    </format>
    <format dxfId="188">
      <pivotArea dataOnly="0" labelOnly="1" fieldPosition="0">
        <references count="2">
          <reference field="4" count="1" selected="0">
            <x v="43"/>
          </reference>
          <reference field="17" count="1">
            <x v="24"/>
          </reference>
        </references>
      </pivotArea>
    </format>
    <format dxfId="187">
      <pivotArea dataOnly="0" labelOnly="1" fieldPosition="0">
        <references count="3">
          <reference field="4" count="1" selected="0">
            <x v="43"/>
          </reference>
          <reference field="17" count="1" selected="0">
            <x v="24"/>
          </reference>
          <reference field="20" count="1">
            <x v="39"/>
          </reference>
        </references>
      </pivotArea>
    </format>
    <format dxfId="186">
      <pivotArea dataOnly="0" labelOnly="1" fieldPosition="0">
        <references count="4">
          <reference field="4" count="1" selected="0">
            <x v="43"/>
          </reference>
          <reference field="5" count="5">
            <x v="1"/>
            <x v="6"/>
            <x v="9"/>
            <x v="11"/>
            <x v="64"/>
          </reference>
          <reference field="17" count="1" selected="0">
            <x v="24"/>
          </reference>
          <reference field="20" count="1" selected="0">
            <x v="39"/>
          </reference>
        </references>
      </pivotArea>
    </format>
    <format dxfId="185">
      <pivotArea collapsedLevelsAreSubtotals="1" fieldPosition="0">
        <references count="1">
          <reference field="4" count="1">
            <x v="44"/>
          </reference>
        </references>
      </pivotArea>
    </format>
    <format dxfId="184">
      <pivotArea collapsedLevelsAreSubtotals="1" fieldPosition="0">
        <references count="2">
          <reference field="4" count="1" selected="0">
            <x v="44"/>
          </reference>
          <reference field="17" count="1">
            <x v="29"/>
          </reference>
        </references>
      </pivotArea>
    </format>
    <format dxfId="183">
      <pivotArea collapsedLevelsAreSubtotals="1" fieldPosition="0">
        <references count="3">
          <reference field="4" count="1" selected="0">
            <x v="44"/>
          </reference>
          <reference field="17" count="1" selected="0">
            <x v="29"/>
          </reference>
          <reference field="20" count="1">
            <x v="81"/>
          </reference>
        </references>
      </pivotArea>
    </format>
    <format dxfId="182">
      <pivotArea collapsedLevelsAreSubtotals="1" fieldPosition="0">
        <references count="4">
          <reference field="4" count="1" selected="0">
            <x v="44"/>
          </reference>
          <reference field="5" count="3">
            <x v="2"/>
            <x v="48"/>
            <x v="66"/>
          </reference>
          <reference field="17" count="1" selected="0">
            <x v="29"/>
          </reference>
          <reference field="20" count="1" selected="0">
            <x v="81"/>
          </reference>
        </references>
      </pivotArea>
    </format>
    <format dxfId="181">
      <pivotArea dataOnly="0" labelOnly="1" fieldPosition="0">
        <references count="1">
          <reference field="4" count="1">
            <x v="44"/>
          </reference>
        </references>
      </pivotArea>
    </format>
    <format dxfId="180">
      <pivotArea dataOnly="0" labelOnly="1" fieldPosition="0">
        <references count="2">
          <reference field="4" count="1" selected="0">
            <x v="44"/>
          </reference>
          <reference field="17" count="1">
            <x v="29"/>
          </reference>
        </references>
      </pivotArea>
    </format>
    <format dxfId="179">
      <pivotArea dataOnly="0" labelOnly="1" fieldPosition="0">
        <references count="3">
          <reference field="4" count="1" selected="0">
            <x v="44"/>
          </reference>
          <reference field="17" count="1" selected="0">
            <x v="29"/>
          </reference>
          <reference field="20" count="1">
            <x v="81"/>
          </reference>
        </references>
      </pivotArea>
    </format>
    <format dxfId="178">
      <pivotArea dataOnly="0" labelOnly="1" fieldPosition="0">
        <references count="4">
          <reference field="4" count="1" selected="0">
            <x v="44"/>
          </reference>
          <reference field="5" count="3">
            <x v="2"/>
            <x v="48"/>
            <x v="66"/>
          </reference>
          <reference field="17" count="1" selected="0">
            <x v="29"/>
          </reference>
          <reference field="20" count="1" selected="0">
            <x v="81"/>
          </reference>
        </references>
      </pivotArea>
    </format>
    <format dxfId="177">
      <pivotArea collapsedLevelsAreSubtotals="1" fieldPosition="0">
        <references count="1">
          <reference field="4" count="1">
            <x v="50"/>
          </reference>
        </references>
      </pivotArea>
    </format>
    <format dxfId="176">
      <pivotArea collapsedLevelsAreSubtotals="1" fieldPosition="0">
        <references count="2">
          <reference field="4" count="1" selected="0">
            <x v="50"/>
          </reference>
          <reference field="17" count="1">
            <x v="87"/>
          </reference>
        </references>
      </pivotArea>
    </format>
    <format dxfId="175">
      <pivotArea collapsedLevelsAreSubtotals="1" fieldPosition="0">
        <references count="3">
          <reference field="4" count="1" selected="0">
            <x v="50"/>
          </reference>
          <reference field="17" count="1" selected="0">
            <x v="87"/>
          </reference>
          <reference field="20" count="1">
            <x v="24"/>
          </reference>
        </references>
      </pivotArea>
    </format>
    <format dxfId="174">
      <pivotArea collapsedLevelsAreSubtotals="1" fieldPosition="0">
        <references count="4">
          <reference field="4" count="1" selected="0">
            <x v="50"/>
          </reference>
          <reference field="5" count="2">
            <x v="34"/>
            <x v="37"/>
          </reference>
          <reference field="17" count="1" selected="0">
            <x v="87"/>
          </reference>
          <reference field="20" count="1" selected="0">
            <x v="24"/>
          </reference>
        </references>
      </pivotArea>
    </format>
    <format dxfId="173">
      <pivotArea collapsedLevelsAreSubtotals="1" fieldPosition="0">
        <references count="1">
          <reference field="4" count="1">
            <x v="51"/>
          </reference>
        </references>
      </pivotArea>
    </format>
    <format dxfId="172">
      <pivotArea collapsedLevelsAreSubtotals="1" fieldPosition="0">
        <references count="2">
          <reference field="4" count="1" selected="0">
            <x v="51"/>
          </reference>
          <reference field="17" count="1">
            <x v="71"/>
          </reference>
        </references>
      </pivotArea>
    </format>
    <format dxfId="171">
      <pivotArea collapsedLevelsAreSubtotals="1" fieldPosition="0">
        <references count="3">
          <reference field="4" count="1" selected="0">
            <x v="51"/>
          </reference>
          <reference field="17" count="1" selected="0">
            <x v="71"/>
          </reference>
          <reference field="20" count="1">
            <x v="153"/>
          </reference>
        </references>
      </pivotArea>
    </format>
    <format dxfId="170">
      <pivotArea collapsedLevelsAreSubtotals="1" fieldPosition="0">
        <references count="4">
          <reference field="4" count="1" selected="0">
            <x v="51"/>
          </reference>
          <reference field="5" count="1">
            <x v="8"/>
          </reference>
          <reference field="17" count="1" selected="0">
            <x v="71"/>
          </reference>
          <reference field="20" count="1" selected="0">
            <x v="153"/>
          </reference>
        </references>
      </pivotArea>
    </format>
    <format dxfId="169">
      <pivotArea dataOnly="0" labelOnly="1" fieldPosition="0">
        <references count="1">
          <reference field="4" count="2">
            <x v="50"/>
            <x v="51"/>
          </reference>
        </references>
      </pivotArea>
    </format>
    <format dxfId="168">
      <pivotArea dataOnly="0" labelOnly="1" fieldPosition="0">
        <references count="2">
          <reference field="4" count="1" selected="0">
            <x v="50"/>
          </reference>
          <reference field="17" count="2">
            <x v="71"/>
            <x v="87"/>
          </reference>
        </references>
      </pivotArea>
    </format>
    <format dxfId="167">
      <pivotArea dataOnly="0" labelOnly="1" fieldPosition="0">
        <references count="3">
          <reference field="4" count="1" selected="0">
            <x v="50"/>
          </reference>
          <reference field="17" count="1" selected="0">
            <x v="87"/>
          </reference>
          <reference field="20" count="2">
            <x v="24"/>
            <x v="153"/>
          </reference>
        </references>
      </pivotArea>
    </format>
    <format dxfId="166">
      <pivotArea dataOnly="0" labelOnly="1" fieldPosition="0">
        <references count="4">
          <reference field="4" count="1" selected="0">
            <x v="50"/>
          </reference>
          <reference field="5" count="3">
            <x v="8"/>
            <x v="34"/>
            <x v="37"/>
          </reference>
          <reference field="17" count="1" selected="0">
            <x v="87"/>
          </reference>
          <reference field="20" count="1" selected="0">
            <x v="24"/>
          </reference>
        </references>
      </pivotArea>
    </format>
    <format dxfId="165">
      <pivotArea collapsedLevelsAreSubtotals="1" fieldPosition="0">
        <references count="1">
          <reference field="4" count="1">
            <x v="53"/>
          </reference>
        </references>
      </pivotArea>
    </format>
    <format dxfId="164">
      <pivotArea collapsedLevelsAreSubtotals="1" fieldPosition="0">
        <references count="2">
          <reference field="4" count="1" selected="0">
            <x v="53"/>
          </reference>
          <reference field="17" count="1">
            <x v="85"/>
          </reference>
        </references>
      </pivotArea>
    </format>
    <format dxfId="163">
      <pivotArea collapsedLevelsAreSubtotals="1" fieldPosition="0">
        <references count="3">
          <reference field="4" count="1" selected="0">
            <x v="53"/>
          </reference>
          <reference field="17" count="1" selected="0">
            <x v="85"/>
          </reference>
          <reference field="20" count="1">
            <x v="14"/>
          </reference>
        </references>
      </pivotArea>
    </format>
    <format dxfId="162">
      <pivotArea collapsedLevelsAreSubtotals="1" fieldPosition="0">
        <references count="4">
          <reference field="4" count="1" selected="0">
            <x v="53"/>
          </reference>
          <reference field="5" count="1">
            <x v="32"/>
          </reference>
          <reference field="17" count="1" selected="0">
            <x v="85"/>
          </reference>
          <reference field="20" count="1" selected="0">
            <x v="14"/>
          </reference>
        </references>
      </pivotArea>
    </format>
    <format dxfId="161">
      <pivotArea dataOnly="0" labelOnly="1" fieldPosition="0">
        <references count="1">
          <reference field="4" count="1">
            <x v="53"/>
          </reference>
        </references>
      </pivotArea>
    </format>
    <format dxfId="160">
      <pivotArea dataOnly="0" labelOnly="1" fieldPosition="0">
        <references count="2">
          <reference field="4" count="1" selected="0">
            <x v="53"/>
          </reference>
          <reference field="17" count="1">
            <x v="85"/>
          </reference>
        </references>
      </pivotArea>
    </format>
    <format dxfId="159">
      <pivotArea dataOnly="0" labelOnly="1" fieldPosition="0">
        <references count="3">
          <reference field="4" count="1" selected="0">
            <x v="53"/>
          </reference>
          <reference field="17" count="1" selected="0">
            <x v="85"/>
          </reference>
          <reference field="20" count="1">
            <x v="14"/>
          </reference>
        </references>
      </pivotArea>
    </format>
    <format dxfId="158">
      <pivotArea dataOnly="0" labelOnly="1" fieldPosition="0">
        <references count="4">
          <reference field="4" count="1" selected="0">
            <x v="53"/>
          </reference>
          <reference field="5" count="1">
            <x v="32"/>
          </reference>
          <reference field="17" count="1" selected="0">
            <x v="85"/>
          </reference>
          <reference field="20" count="1" selected="0">
            <x v="14"/>
          </reference>
        </references>
      </pivotArea>
    </format>
    <format dxfId="157">
      <pivotArea collapsedLevelsAreSubtotals="1" fieldPosition="0">
        <references count="1">
          <reference field="4" count="1">
            <x v="55"/>
          </reference>
        </references>
      </pivotArea>
    </format>
    <format dxfId="156">
      <pivotArea collapsedLevelsAreSubtotals="1" fieldPosition="0">
        <references count="2">
          <reference field="4" count="1" selected="0">
            <x v="55"/>
          </reference>
          <reference field="17" count="1">
            <x v="72"/>
          </reference>
        </references>
      </pivotArea>
    </format>
    <format dxfId="155">
      <pivotArea collapsedLevelsAreSubtotals="1" fieldPosition="0">
        <references count="3">
          <reference field="4" count="1" selected="0">
            <x v="55"/>
          </reference>
          <reference field="17" count="1" selected="0">
            <x v="72"/>
          </reference>
          <reference field="20" count="1">
            <x v="167"/>
          </reference>
        </references>
      </pivotArea>
    </format>
    <format dxfId="154">
      <pivotArea collapsedLevelsAreSubtotals="1" fieldPosition="0">
        <references count="4">
          <reference field="4" count="1" selected="0">
            <x v="55"/>
          </reference>
          <reference field="5" count="1">
            <x v="7"/>
          </reference>
          <reference field="17" count="1" selected="0">
            <x v="72"/>
          </reference>
          <reference field="20" count="1" selected="0">
            <x v="167"/>
          </reference>
        </references>
      </pivotArea>
    </format>
    <format dxfId="153">
      <pivotArea dataOnly="0" labelOnly="1" fieldPosition="0">
        <references count="1">
          <reference field="4" count="1">
            <x v="55"/>
          </reference>
        </references>
      </pivotArea>
    </format>
    <format dxfId="152">
      <pivotArea dataOnly="0" labelOnly="1" fieldPosition="0">
        <references count="2">
          <reference field="4" count="1" selected="0">
            <x v="55"/>
          </reference>
          <reference field="17" count="1">
            <x v="72"/>
          </reference>
        </references>
      </pivotArea>
    </format>
    <format dxfId="151">
      <pivotArea dataOnly="0" labelOnly="1" fieldPosition="0">
        <references count="3">
          <reference field="4" count="1" selected="0">
            <x v="55"/>
          </reference>
          <reference field="17" count="1" selected="0">
            <x v="72"/>
          </reference>
          <reference field="20" count="1">
            <x v="167"/>
          </reference>
        </references>
      </pivotArea>
    </format>
    <format dxfId="150">
      <pivotArea dataOnly="0" labelOnly="1" fieldPosition="0">
        <references count="4">
          <reference field="4" count="1" selected="0">
            <x v="55"/>
          </reference>
          <reference field="5" count="1">
            <x v="7"/>
          </reference>
          <reference field="17" count="1" selected="0">
            <x v="72"/>
          </reference>
          <reference field="20" count="1" selected="0">
            <x v="167"/>
          </reference>
        </references>
      </pivotArea>
    </format>
    <format dxfId="149">
      <pivotArea collapsedLevelsAreSubtotals="1" fieldPosition="0">
        <references count="1">
          <reference field="4" count="1">
            <x v="59"/>
          </reference>
        </references>
      </pivotArea>
    </format>
    <format dxfId="148">
      <pivotArea collapsedLevelsAreSubtotals="1" fieldPosition="0">
        <references count="2">
          <reference field="4" count="1" selected="0">
            <x v="59"/>
          </reference>
          <reference field="17" count="1">
            <x v="79"/>
          </reference>
        </references>
      </pivotArea>
    </format>
    <format dxfId="147">
      <pivotArea collapsedLevelsAreSubtotals="1" fieldPosition="0">
        <references count="3">
          <reference field="4" count="1" selected="0">
            <x v="59"/>
          </reference>
          <reference field="17" count="1" selected="0">
            <x v="79"/>
          </reference>
          <reference field="20" count="1">
            <x v="150"/>
          </reference>
        </references>
      </pivotArea>
    </format>
    <format dxfId="146">
      <pivotArea collapsedLevelsAreSubtotals="1" fieldPosition="0">
        <references count="4">
          <reference field="4" count="1" selected="0">
            <x v="59"/>
          </reference>
          <reference field="5" count="1">
            <x v="28"/>
          </reference>
          <reference field="17" count="1" selected="0">
            <x v="79"/>
          </reference>
          <reference field="20" count="1" selected="0">
            <x v="150"/>
          </reference>
        </references>
      </pivotArea>
    </format>
    <format dxfId="145">
      <pivotArea dataOnly="0" labelOnly="1" fieldPosition="0">
        <references count="1">
          <reference field="4" count="1">
            <x v="59"/>
          </reference>
        </references>
      </pivotArea>
    </format>
    <format dxfId="144">
      <pivotArea dataOnly="0" labelOnly="1" fieldPosition="0">
        <references count="2">
          <reference field="4" count="1" selected="0">
            <x v="59"/>
          </reference>
          <reference field="17" count="1">
            <x v="79"/>
          </reference>
        </references>
      </pivotArea>
    </format>
    <format dxfId="143">
      <pivotArea dataOnly="0" labelOnly="1" fieldPosition="0">
        <references count="3">
          <reference field="4" count="1" selected="0">
            <x v="59"/>
          </reference>
          <reference field="17" count="1" selected="0">
            <x v="79"/>
          </reference>
          <reference field="20" count="1">
            <x v="150"/>
          </reference>
        </references>
      </pivotArea>
    </format>
    <format dxfId="142">
      <pivotArea dataOnly="0" labelOnly="1" fieldPosition="0">
        <references count="4">
          <reference field="4" count="1" selected="0">
            <x v="59"/>
          </reference>
          <reference field="5" count="1">
            <x v="28"/>
          </reference>
          <reference field="17" count="1" selected="0">
            <x v="79"/>
          </reference>
          <reference field="20" count="1" selected="0">
            <x v="150"/>
          </reference>
        </references>
      </pivotArea>
    </format>
    <format dxfId="141">
      <pivotArea collapsedLevelsAreSubtotals="1" fieldPosition="0">
        <references count="1">
          <reference field="4" count="1">
            <x v="103"/>
          </reference>
        </references>
      </pivotArea>
    </format>
    <format dxfId="140">
      <pivotArea collapsedLevelsAreSubtotals="1" fieldPosition="0">
        <references count="2">
          <reference field="4" count="1" selected="0">
            <x v="103"/>
          </reference>
          <reference field="17" count="1">
            <x v="78"/>
          </reference>
        </references>
      </pivotArea>
    </format>
    <format dxfId="139">
      <pivotArea collapsedLevelsAreSubtotals="1" fieldPosition="0">
        <references count="3">
          <reference field="4" count="1" selected="0">
            <x v="103"/>
          </reference>
          <reference field="17" count="1" selected="0">
            <x v="78"/>
          </reference>
          <reference field="20" count="1">
            <x v="123"/>
          </reference>
        </references>
      </pivotArea>
    </format>
    <format dxfId="138">
      <pivotArea collapsedLevelsAreSubtotals="1" fieldPosition="0">
        <references count="4">
          <reference field="4" count="1" selected="0">
            <x v="103"/>
          </reference>
          <reference field="5" count="1">
            <x v="25"/>
          </reference>
          <reference field="17" count="1" selected="0">
            <x v="78"/>
          </reference>
          <reference field="20" count="1" selected="0">
            <x v="123"/>
          </reference>
        </references>
      </pivotArea>
    </format>
    <format dxfId="137">
      <pivotArea dataOnly="0" labelOnly="1" fieldPosition="0">
        <references count="1">
          <reference field="4" count="1">
            <x v="103"/>
          </reference>
        </references>
      </pivotArea>
    </format>
    <format dxfId="136">
      <pivotArea dataOnly="0" labelOnly="1" fieldPosition="0">
        <references count="2">
          <reference field="4" count="1" selected="0">
            <x v="103"/>
          </reference>
          <reference field="17" count="1">
            <x v="78"/>
          </reference>
        </references>
      </pivotArea>
    </format>
    <format dxfId="135">
      <pivotArea dataOnly="0" labelOnly="1" fieldPosition="0">
        <references count="3">
          <reference field="4" count="1" selected="0">
            <x v="103"/>
          </reference>
          <reference field="17" count="1" selected="0">
            <x v="78"/>
          </reference>
          <reference field="20" count="1">
            <x v="123"/>
          </reference>
        </references>
      </pivotArea>
    </format>
    <format dxfId="134">
      <pivotArea dataOnly="0" labelOnly="1" fieldPosition="0">
        <references count="4">
          <reference field="4" count="1" selected="0">
            <x v="103"/>
          </reference>
          <reference field="5" count="1">
            <x v="25"/>
          </reference>
          <reference field="17" count="1" selected="0">
            <x v="78"/>
          </reference>
          <reference field="20" count="1" selected="0">
            <x v="123"/>
          </reference>
        </references>
      </pivotArea>
    </format>
    <format dxfId="133">
      <pivotArea collapsedLevelsAreSubtotals="1" fieldPosition="0">
        <references count="1">
          <reference field="4" count="1">
            <x v="65"/>
          </reference>
        </references>
      </pivotArea>
    </format>
    <format dxfId="132">
      <pivotArea collapsedLevelsAreSubtotals="1" fieldPosition="0">
        <references count="2">
          <reference field="4" count="1" selected="0">
            <x v="65"/>
          </reference>
          <reference field="17" count="1">
            <x v="5"/>
          </reference>
        </references>
      </pivotArea>
    </format>
    <format dxfId="131">
      <pivotArea collapsedLevelsAreSubtotals="1" fieldPosition="0">
        <references count="3">
          <reference field="4" count="1" selected="0">
            <x v="65"/>
          </reference>
          <reference field="17" count="1" selected="0">
            <x v="5"/>
          </reference>
          <reference field="20" count="1">
            <x v="143"/>
          </reference>
        </references>
      </pivotArea>
    </format>
    <format dxfId="130">
      <pivotArea collapsedLevelsAreSubtotals="1" fieldPosition="0">
        <references count="4">
          <reference field="4" count="1" selected="0">
            <x v="65"/>
          </reference>
          <reference field="5" count="1">
            <x v="50"/>
          </reference>
          <reference field="17" count="1" selected="0">
            <x v="5"/>
          </reference>
          <reference field="20" count="1" selected="0">
            <x v="143"/>
          </reference>
        </references>
      </pivotArea>
    </format>
    <format dxfId="129">
      <pivotArea dataOnly="0" labelOnly="1" fieldPosition="0">
        <references count="1">
          <reference field="4" count="1">
            <x v="65"/>
          </reference>
        </references>
      </pivotArea>
    </format>
    <format dxfId="128">
      <pivotArea dataOnly="0" labelOnly="1" fieldPosition="0">
        <references count="2">
          <reference field="4" count="1" selected="0">
            <x v="65"/>
          </reference>
          <reference field="17" count="1">
            <x v="5"/>
          </reference>
        </references>
      </pivotArea>
    </format>
    <format dxfId="127">
      <pivotArea dataOnly="0" labelOnly="1" fieldPosition="0">
        <references count="3">
          <reference field="4" count="1" selected="0">
            <x v="65"/>
          </reference>
          <reference field="17" count="1" selected="0">
            <x v="5"/>
          </reference>
          <reference field="20" count="1">
            <x v="143"/>
          </reference>
        </references>
      </pivotArea>
    </format>
    <format dxfId="126">
      <pivotArea dataOnly="0" labelOnly="1" fieldPosition="0">
        <references count="4">
          <reference field="4" count="1" selected="0">
            <x v="65"/>
          </reference>
          <reference field="5" count="1">
            <x v="50"/>
          </reference>
          <reference field="17" count="1" selected="0">
            <x v="5"/>
          </reference>
          <reference field="20" count="1" selected="0">
            <x v="143"/>
          </reference>
        </references>
      </pivotArea>
    </format>
    <format dxfId="125">
      <pivotArea collapsedLevelsAreSubtotals="1" fieldPosition="0">
        <references count="1">
          <reference field="4" count="1">
            <x v="68"/>
          </reference>
        </references>
      </pivotArea>
    </format>
    <format dxfId="124">
      <pivotArea collapsedLevelsAreSubtotals="1" fieldPosition="0">
        <references count="2">
          <reference field="4" count="1" selected="0">
            <x v="68"/>
          </reference>
          <reference field="17" count="1">
            <x v="76"/>
          </reference>
        </references>
      </pivotArea>
    </format>
    <format dxfId="123">
      <pivotArea collapsedLevelsAreSubtotals="1" fieldPosition="0">
        <references count="3">
          <reference field="4" count="1" selected="0">
            <x v="68"/>
          </reference>
          <reference field="17" count="1" selected="0">
            <x v="76"/>
          </reference>
          <reference field="20" count="1">
            <x v="118"/>
          </reference>
        </references>
      </pivotArea>
    </format>
    <format dxfId="122">
      <pivotArea collapsedLevelsAreSubtotals="1" fieldPosition="0">
        <references count="4">
          <reference field="4" count="1" selected="0">
            <x v="68"/>
          </reference>
          <reference field="5" count="2">
            <x v="20"/>
            <x v="27"/>
          </reference>
          <reference field="17" count="1" selected="0">
            <x v="76"/>
          </reference>
          <reference field="20" count="1" selected="0">
            <x v="118"/>
          </reference>
        </references>
      </pivotArea>
    </format>
    <format dxfId="121">
      <pivotArea dataOnly="0" labelOnly="1" fieldPosition="0">
        <references count="1">
          <reference field="4" count="1">
            <x v="68"/>
          </reference>
        </references>
      </pivotArea>
    </format>
    <format dxfId="120">
      <pivotArea dataOnly="0" labelOnly="1" fieldPosition="0">
        <references count="2">
          <reference field="4" count="1" selected="0">
            <x v="68"/>
          </reference>
          <reference field="17" count="1">
            <x v="76"/>
          </reference>
        </references>
      </pivotArea>
    </format>
    <format dxfId="119">
      <pivotArea dataOnly="0" labelOnly="1" fieldPosition="0">
        <references count="3">
          <reference field="4" count="1" selected="0">
            <x v="68"/>
          </reference>
          <reference field="17" count="1" selected="0">
            <x v="76"/>
          </reference>
          <reference field="20" count="1">
            <x v="118"/>
          </reference>
        </references>
      </pivotArea>
    </format>
    <format dxfId="118">
      <pivotArea dataOnly="0" labelOnly="1" fieldPosition="0">
        <references count="4">
          <reference field="4" count="1" selected="0">
            <x v="68"/>
          </reference>
          <reference field="5" count="2">
            <x v="20"/>
            <x v="27"/>
          </reference>
          <reference field="17" count="1" selected="0">
            <x v="76"/>
          </reference>
          <reference field="20" count="1" selected="0">
            <x v="118"/>
          </reference>
        </references>
      </pivotArea>
    </format>
    <format dxfId="117">
      <pivotArea collapsedLevelsAreSubtotals="1" fieldPosition="0">
        <references count="1">
          <reference field="4" count="1">
            <x v="74"/>
          </reference>
        </references>
      </pivotArea>
    </format>
    <format dxfId="116">
      <pivotArea collapsedLevelsAreSubtotals="1" fieldPosition="0">
        <references count="2">
          <reference field="4" count="1" selected="0">
            <x v="74"/>
          </reference>
          <reference field="17" count="1">
            <x v="89"/>
          </reference>
        </references>
      </pivotArea>
    </format>
    <format dxfId="115">
      <pivotArea collapsedLevelsAreSubtotals="1" fieldPosition="0">
        <references count="3">
          <reference field="4" count="1" selected="0">
            <x v="74"/>
          </reference>
          <reference field="17" count="1" selected="0">
            <x v="89"/>
          </reference>
          <reference field="20" count="1">
            <x v="11"/>
          </reference>
        </references>
      </pivotArea>
    </format>
    <format dxfId="114">
      <pivotArea collapsedLevelsAreSubtotals="1" fieldPosition="0">
        <references count="4">
          <reference field="4" count="1" selected="0">
            <x v="74"/>
          </reference>
          <reference field="5" count="2">
            <x v="38"/>
            <x v="39"/>
          </reference>
          <reference field="17" count="1" selected="0">
            <x v="89"/>
          </reference>
          <reference field="20" count="1" selected="0">
            <x v="11"/>
          </reference>
        </references>
      </pivotArea>
    </format>
    <format dxfId="113">
      <pivotArea collapsedLevelsAreSubtotals="1" fieldPosition="0">
        <references count="1">
          <reference field="4" count="1">
            <x v="75"/>
          </reference>
        </references>
      </pivotArea>
    </format>
    <format dxfId="112">
      <pivotArea collapsedLevelsAreSubtotals="1" fieldPosition="0">
        <references count="2">
          <reference field="4" count="1" selected="0">
            <x v="75"/>
          </reference>
          <reference field="17" count="1">
            <x v="97"/>
          </reference>
        </references>
      </pivotArea>
    </format>
    <format dxfId="111">
      <pivotArea collapsedLevelsAreSubtotals="1" fieldPosition="0">
        <references count="3">
          <reference field="4" count="1" selected="0">
            <x v="75"/>
          </reference>
          <reference field="17" count="1" selected="0">
            <x v="97"/>
          </reference>
          <reference field="20" count="1">
            <x v="213"/>
          </reference>
        </references>
      </pivotArea>
    </format>
    <format dxfId="110">
      <pivotArea collapsedLevelsAreSubtotals="1" fieldPosition="0">
        <references count="4">
          <reference field="4" count="1" selected="0">
            <x v="75"/>
          </reference>
          <reference field="5" count="2">
            <x v="0"/>
            <x v="42"/>
          </reference>
          <reference field="17" count="1" selected="0">
            <x v="97"/>
          </reference>
          <reference field="20" count="1" selected="0">
            <x v="213"/>
          </reference>
        </references>
      </pivotArea>
    </format>
    <format dxfId="109">
      <pivotArea dataOnly="0" labelOnly="1" fieldPosition="0">
        <references count="1">
          <reference field="4" count="2">
            <x v="74"/>
            <x v="75"/>
          </reference>
        </references>
      </pivotArea>
    </format>
    <format dxfId="108">
      <pivotArea dataOnly="0" labelOnly="1" fieldPosition="0">
        <references count="2">
          <reference field="4" count="1" selected="0">
            <x v="74"/>
          </reference>
          <reference field="17" count="2">
            <x v="89"/>
            <x v="97"/>
          </reference>
        </references>
      </pivotArea>
    </format>
    <format dxfId="107">
      <pivotArea dataOnly="0" labelOnly="1" fieldPosition="0">
        <references count="3">
          <reference field="4" count="1" selected="0">
            <x v="74"/>
          </reference>
          <reference field="17" count="1" selected="0">
            <x v="89"/>
          </reference>
          <reference field="20" count="2">
            <x v="11"/>
            <x v="213"/>
          </reference>
        </references>
      </pivotArea>
    </format>
    <format dxfId="106">
      <pivotArea dataOnly="0" labelOnly="1" fieldPosition="0">
        <references count="4">
          <reference field="4" count="1" selected="0">
            <x v="74"/>
          </reference>
          <reference field="5" count="4">
            <x v="0"/>
            <x v="38"/>
            <x v="39"/>
            <x v="42"/>
          </reference>
          <reference field="17" count="1" selected="0">
            <x v="89"/>
          </reference>
          <reference field="20" count="1" selected="0">
            <x v="11"/>
          </reference>
        </references>
      </pivotArea>
    </format>
    <format dxfId="105">
      <pivotArea collapsedLevelsAreSubtotals="1" fieldPosition="0">
        <references count="1">
          <reference field="4" count="1">
            <x v="77"/>
          </reference>
        </references>
      </pivotArea>
    </format>
    <format dxfId="104">
      <pivotArea collapsedLevelsAreSubtotals="1" fieldPosition="0">
        <references count="2">
          <reference field="4" count="1" selected="0">
            <x v="77"/>
          </reference>
          <reference field="17" count="1">
            <x v="88"/>
          </reference>
        </references>
      </pivotArea>
    </format>
    <format dxfId="103">
      <pivotArea collapsedLevelsAreSubtotals="1" fieldPosition="0">
        <references count="3">
          <reference field="4" count="1" selected="0">
            <x v="77"/>
          </reference>
          <reference field="17" count="1" selected="0">
            <x v="88"/>
          </reference>
          <reference field="20" count="1">
            <x v="10"/>
          </reference>
        </references>
      </pivotArea>
    </format>
    <format dxfId="102">
      <pivotArea collapsedLevelsAreSubtotals="1" fieldPosition="0">
        <references count="4">
          <reference field="4" count="1" selected="0">
            <x v="77"/>
          </reference>
          <reference field="5" count="1">
            <x v="34"/>
          </reference>
          <reference field="17" count="1" selected="0">
            <x v="88"/>
          </reference>
          <reference field="20" count="1" selected="0">
            <x v="10"/>
          </reference>
        </references>
      </pivotArea>
    </format>
    <format dxfId="101">
      <pivotArea collapsedLevelsAreSubtotals="1" fieldPosition="0">
        <references count="1">
          <reference field="4" count="1">
            <x v="78"/>
          </reference>
        </references>
      </pivotArea>
    </format>
    <format dxfId="100">
      <pivotArea collapsedLevelsAreSubtotals="1" fieldPosition="0">
        <references count="2">
          <reference field="4" count="1" selected="0">
            <x v="78"/>
          </reference>
          <reference field="17" count="1">
            <x v="86"/>
          </reference>
        </references>
      </pivotArea>
    </format>
    <format dxfId="99">
      <pivotArea collapsedLevelsAreSubtotals="1" fieldPosition="0">
        <references count="3">
          <reference field="4" count="1" selected="0">
            <x v="78"/>
          </reference>
          <reference field="17" count="1" selected="0">
            <x v="86"/>
          </reference>
          <reference field="20" count="1">
            <x v="132"/>
          </reference>
        </references>
      </pivotArea>
    </format>
    <format dxfId="98">
      <pivotArea collapsedLevelsAreSubtotals="1" fieldPosition="0">
        <references count="4">
          <reference field="4" count="1" selected="0">
            <x v="78"/>
          </reference>
          <reference field="5" count="1">
            <x v="33"/>
          </reference>
          <reference field="17" count="1" selected="0">
            <x v="86"/>
          </reference>
          <reference field="20" count="1" selected="0">
            <x v="132"/>
          </reference>
        </references>
      </pivotArea>
    </format>
    <format dxfId="97">
      <pivotArea dataOnly="0" labelOnly="1" fieldPosition="0">
        <references count="1">
          <reference field="4" count="2">
            <x v="77"/>
            <x v="78"/>
          </reference>
        </references>
      </pivotArea>
    </format>
    <format dxfId="96">
      <pivotArea dataOnly="0" labelOnly="1" fieldPosition="0">
        <references count="2">
          <reference field="4" count="1" selected="0">
            <x v="77"/>
          </reference>
          <reference field="17" count="2">
            <x v="86"/>
            <x v="88"/>
          </reference>
        </references>
      </pivotArea>
    </format>
    <format dxfId="95">
      <pivotArea dataOnly="0" labelOnly="1" fieldPosition="0">
        <references count="3">
          <reference field="4" count="1" selected="0">
            <x v="77"/>
          </reference>
          <reference field="17" count="1" selected="0">
            <x v="88"/>
          </reference>
          <reference field="20" count="2">
            <x v="10"/>
            <x v="132"/>
          </reference>
        </references>
      </pivotArea>
    </format>
    <format dxfId="94">
      <pivotArea dataOnly="0" labelOnly="1" fieldPosition="0">
        <references count="4">
          <reference field="4" count="1" selected="0">
            <x v="77"/>
          </reference>
          <reference field="5" count="2">
            <x v="33"/>
            <x v="34"/>
          </reference>
          <reference field="17" count="1" selected="0">
            <x v="88"/>
          </reference>
          <reference field="20" count="1" selected="0">
            <x v="10"/>
          </reference>
        </references>
      </pivotArea>
    </format>
    <format dxfId="93">
      <pivotArea dataOnly="0" labelOnly="1" fieldPosition="0">
        <references count="1">
          <reference field="4" count="1">
            <x v="17"/>
          </reference>
        </references>
      </pivotArea>
    </format>
    <format dxfId="92">
      <pivotArea dataOnly="0" labelOnly="1" fieldPosition="0">
        <references count="2">
          <reference field="4" count="1" selected="0">
            <x v="16"/>
          </reference>
          <reference field="17" count="2">
            <x v="27"/>
            <x v="73"/>
          </reference>
        </references>
      </pivotArea>
    </format>
    <format dxfId="91">
      <pivotArea dataOnly="0" labelOnly="1" fieldPosition="0">
        <references count="3">
          <reference field="4" count="1" selected="0">
            <x v="16"/>
          </reference>
          <reference field="17" count="1" selected="0">
            <x v="27"/>
          </reference>
          <reference field="20" count="2">
            <x v="54"/>
            <x v="174"/>
          </reference>
        </references>
      </pivotArea>
    </format>
    <format dxfId="90">
      <pivotArea dataOnly="0" labelOnly="1" fieldPosition="0">
        <references count="4">
          <reference field="4" count="1" selected="0">
            <x v="16"/>
          </reference>
          <reference field="5" count="3">
            <x v="16"/>
            <x v="18"/>
            <x v="67"/>
          </reference>
          <reference field="17" count="1" selected="0">
            <x v="27"/>
          </reference>
          <reference field="20" count="1" selected="0">
            <x v="54"/>
          </reference>
        </references>
      </pivotArea>
    </format>
    <format dxfId="89">
      <pivotArea dataOnly="0" labelOnly="1" fieldPosition="0">
        <references count="2">
          <reference field="4" count="1" selected="0">
            <x v="51"/>
          </reference>
          <reference field="17" count="1">
            <x v="71"/>
          </reference>
        </references>
      </pivotArea>
    </format>
    <format dxfId="88">
      <pivotArea dataOnly="0" labelOnly="1" fieldPosition="0">
        <references count="3">
          <reference field="4" count="1" selected="0">
            <x v="51"/>
          </reference>
          <reference field="17" count="1" selected="0">
            <x v="71"/>
          </reference>
          <reference field="20" count="1">
            <x v="153"/>
          </reference>
        </references>
      </pivotArea>
    </format>
    <format dxfId="87">
      <pivotArea dataOnly="0" labelOnly="1" fieldPosition="0">
        <references count="4">
          <reference field="4" count="1" selected="0">
            <x v="51"/>
          </reference>
          <reference field="5" count="1">
            <x v="8"/>
          </reference>
          <reference field="17" count="1" selected="0">
            <x v="71"/>
          </reference>
          <reference field="20" count="1" selected="0">
            <x v="153"/>
          </reference>
        </references>
      </pivotArea>
    </format>
    <format dxfId="86">
      <pivotArea dataOnly="0" labelOnly="1" fieldPosition="0">
        <references count="2">
          <reference field="4" count="1" selected="0">
            <x v="75"/>
          </reference>
          <reference field="17" count="1">
            <x v="97"/>
          </reference>
        </references>
      </pivotArea>
    </format>
    <format dxfId="85">
      <pivotArea dataOnly="0" labelOnly="1" fieldPosition="0">
        <references count="3">
          <reference field="4" count="1" selected="0">
            <x v="75"/>
          </reference>
          <reference field="17" count="1" selected="0">
            <x v="97"/>
          </reference>
          <reference field="20" count="1">
            <x v="213"/>
          </reference>
        </references>
      </pivotArea>
    </format>
    <format dxfId="84">
      <pivotArea dataOnly="0" labelOnly="1" fieldPosition="0">
        <references count="4">
          <reference field="4" count="1" selected="0">
            <x v="75"/>
          </reference>
          <reference field="5" count="2">
            <x v="0"/>
            <x v="42"/>
          </reference>
          <reference field="17" count="1" selected="0">
            <x v="97"/>
          </reference>
          <reference field="20" count="1" selected="0">
            <x v="213"/>
          </reference>
        </references>
      </pivotArea>
    </format>
    <format dxfId="83">
      <pivotArea dataOnly="0" labelOnly="1" fieldPosition="0">
        <references count="2">
          <reference field="4" count="1" selected="0">
            <x v="78"/>
          </reference>
          <reference field="17" count="1">
            <x v="86"/>
          </reference>
        </references>
      </pivotArea>
    </format>
    <format dxfId="82">
      <pivotArea dataOnly="0" labelOnly="1" fieldPosition="0">
        <references count="3">
          <reference field="4" count="1" selected="0">
            <x v="78"/>
          </reference>
          <reference field="17" count="1" selected="0">
            <x v="86"/>
          </reference>
          <reference field="20" count="1">
            <x v="132"/>
          </reference>
        </references>
      </pivotArea>
    </format>
    <format dxfId="81">
      <pivotArea dataOnly="0" labelOnly="1" fieldPosition="0">
        <references count="4">
          <reference field="4" count="1" selected="0">
            <x v="78"/>
          </reference>
          <reference field="5" count="1">
            <x v="33"/>
          </reference>
          <reference field="17" count="1" selected="0">
            <x v="86"/>
          </reference>
          <reference field="20" count="1" selected="0">
            <x v="132"/>
          </reference>
        </references>
      </pivotArea>
    </format>
    <format dxfId="80">
      <pivotArea collapsedLevelsAreSubtotals="1" fieldPosition="0">
        <references count="1">
          <reference field="4" count="1">
            <x v="79"/>
          </reference>
        </references>
      </pivotArea>
    </format>
    <format dxfId="79">
      <pivotArea collapsedLevelsAreSubtotals="1" fieldPosition="0">
        <references count="2">
          <reference field="4" count="1" selected="0">
            <x v="79"/>
          </reference>
          <reference field="17" count="1">
            <x v="101"/>
          </reference>
        </references>
      </pivotArea>
    </format>
    <format dxfId="78">
      <pivotArea collapsedLevelsAreSubtotals="1" fieldPosition="0">
        <references count="3">
          <reference field="4" count="1" selected="0">
            <x v="79"/>
          </reference>
          <reference field="17" count="1" selected="0">
            <x v="101"/>
          </reference>
          <reference field="20" count="1">
            <x v="157"/>
          </reference>
        </references>
      </pivotArea>
    </format>
    <format dxfId="77">
      <pivotArea collapsedLevelsAreSubtotals="1" fieldPosition="0">
        <references count="4">
          <reference field="4" count="1" selected="0">
            <x v="79"/>
          </reference>
          <reference field="5" count="2">
            <x v="61"/>
            <x v="105"/>
          </reference>
          <reference field="17" count="1" selected="0">
            <x v="101"/>
          </reference>
          <reference field="20" count="1" selected="0">
            <x v="157"/>
          </reference>
        </references>
      </pivotArea>
    </format>
    <format dxfId="76">
      <pivotArea dataOnly="0" labelOnly="1" fieldPosition="0">
        <references count="1">
          <reference field="4" count="1">
            <x v="79"/>
          </reference>
        </references>
      </pivotArea>
    </format>
    <format dxfId="75">
      <pivotArea dataOnly="0" labelOnly="1" fieldPosition="0">
        <references count="2">
          <reference field="4" count="1" selected="0">
            <x v="79"/>
          </reference>
          <reference field="17" count="1">
            <x v="101"/>
          </reference>
        </references>
      </pivotArea>
    </format>
    <format dxfId="74">
      <pivotArea dataOnly="0" labelOnly="1" fieldPosition="0">
        <references count="3">
          <reference field="4" count="1" selected="0">
            <x v="79"/>
          </reference>
          <reference field="17" count="1" selected="0">
            <x v="101"/>
          </reference>
          <reference field="20" count="1">
            <x v="157"/>
          </reference>
        </references>
      </pivotArea>
    </format>
    <format dxfId="73">
      <pivotArea dataOnly="0" labelOnly="1" fieldPosition="0">
        <references count="4">
          <reference field="4" count="1" selected="0">
            <x v="79"/>
          </reference>
          <reference field="5" count="2">
            <x v="61"/>
            <x v="105"/>
          </reference>
          <reference field="17" count="1" selected="0">
            <x v="101"/>
          </reference>
          <reference field="20" count="1" selected="0">
            <x v="157"/>
          </reference>
        </references>
      </pivotArea>
    </format>
    <format dxfId="72">
      <pivotArea collapsedLevelsAreSubtotals="1" fieldPosition="0">
        <references count="1">
          <reference field="4" count="1">
            <x v="80"/>
          </reference>
        </references>
      </pivotArea>
    </format>
    <format dxfId="71">
      <pivotArea collapsedLevelsAreSubtotals="1" fieldPosition="0">
        <references count="2">
          <reference field="4" count="1" selected="0">
            <x v="80"/>
          </reference>
          <reference field="17" count="1">
            <x v="34"/>
          </reference>
        </references>
      </pivotArea>
    </format>
    <format dxfId="70">
      <pivotArea collapsedLevelsAreSubtotals="1" fieldPosition="0">
        <references count="3">
          <reference field="4" count="1" selected="0">
            <x v="80"/>
          </reference>
          <reference field="17" count="1" selected="0">
            <x v="34"/>
          </reference>
          <reference field="20" count="1">
            <x v="85"/>
          </reference>
        </references>
      </pivotArea>
    </format>
    <format dxfId="69">
      <pivotArea collapsedLevelsAreSubtotals="1" fieldPosition="0">
        <references count="4">
          <reference field="4" count="1" selected="0">
            <x v="80"/>
          </reference>
          <reference field="5" count="3">
            <x v="3"/>
            <x v="17"/>
            <x v="48"/>
          </reference>
          <reference field="17" count="1" selected="0">
            <x v="34"/>
          </reference>
          <reference field="20" count="1" selected="0">
            <x v="85"/>
          </reference>
        </references>
      </pivotArea>
    </format>
    <format dxfId="68">
      <pivotArea dataOnly="0" labelOnly="1" fieldPosition="0">
        <references count="1">
          <reference field="4" count="1">
            <x v="80"/>
          </reference>
        </references>
      </pivotArea>
    </format>
    <format dxfId="67">
      <pivotArea dataOnly="0" labelOnly="1" fieldPosition="0">
        <references count="2">
          <reference field="4" count="1" selected="0">
            <x v="80"/>
          </reference>
          <reference field="17" count="1">
            <x v="34"/>
          </reference>
        </references>
      </pivotArea>
    </format>
    <format dxfId="66">
      <pivotArea dataOnly="0" labelOnly="1" fieldPosition="0">
        <references count="3">
          <reference field="4" count="1" selected="0">
            <x v="80"/>
          </reference>
          <reference field="17" count="1" selected="0">
            <x v="34"/>
          </reference>
          <reference field="20" count="1">
            <x v="85"/>
          </reference>
        </references>
      </pivotArea>
    </format>
    <format dxfId="65">
      <pivotArea dataOnly="0" labelOnly="1" fieldPosition="0">
        <references count="4">
          <reference field="4" count="1" selected="0">
            <x v="80"/>
          </reference>
          <reference field="5" count="3">
            <x v="3"/>
            <x v="17"/>
            <x v="48"/>
          </reference>
          <reference field="17" count="1" selected="0">
            <x v="34"/>
          </reference>
          <reference field="20" count="1" selected="0">
            <x v="85"/>
          </reference>
        </references>
      </pivotArea>
    </format>
    <format dxfId="64">
      <pivotArea collapsedLevelsAreSubtotals="1" fieldPosition="0">
        <references count="1">
          <reference field="4" count="1">
            <x v="97"/>
          </reference>
        </references>
      </pivotArea>
    </format>
    <format dxfId="63">
      <pivotArea collapsedLevelsAreSubtotals="1" fieldPosition="0">
        <references count="2">
          <reference field="4" count="1" selected="0">
            <x v="97"/>
          </reference>
          <reference field="17" count="1">
            <x v="94"/>
          </reference>
        </references>
      </pivotArea>
    </format>
    <format dxfId="62">
      <pivotArea collapsedLevelsAreSubtotals="1" fieldPosition="0">
        <references count="3">
          <reference field="4" count="1" selected="0">
            <x v="97"/>
          </reference>
          <reference field="17" count="1" selected="0">
            <x v="94"/>
          </reference>
          <reference field="20" count="1">
            <x v="13"/>
          </reference>
        </references>
      </pivotArea>
    </format>
    <format dxfId="61">
      <pivotArea collapsedLevelsAreSubtotals="1" fieldPosition="0">
        <references count="4">
          <reference field="4" count="1" selected="0">
            <x v="97"/>
          </reference>
          <reference field="5" count="2">
            <x v="44"/>
            <x v="45"/>
          </reference>
          <reference field="17" count="1" selected="0">
            <x v="94"/>
          </reference>
          <reference field="20" count="1" selected="0">
            <x v="13"/>
          </reference>
        </references>
      </pivotArea>
    </format>
    <format dxfId="60">
      <pivotArea dataOnly="0" labelOnly="1" fieldPosition="0">
        <references count="1">
          <reference field="4" count="1">
            <x v="97"/>
          </reference>
        </references>
      </pivotArea>
    </format>
    <format dxfId="59">
      <pivotArea dataOnly="0" labelOnly="1" fieldPosition="0">
        <references count="2">
          <reference field="4" count="1" selected="0">
            <x v="97"/>
          </reference>
          <reference field="17" count="1">
            <x v="94"/>
          </reference>
        </references>
      </pivotArea>
    </format>
    <format dxfId="58">
      <pivotArea dataOnly="0" labelOnly="1" fieldPosition="0">
        <references count="3">
          <reference field="4" count="1" selected="0">
            <x v="97"/>
          </reference>
          <reference field="17" count="1" selected="0">
            <x v="94"/>
          </reference>
          <reference field="20" count="1">
            <x v="13"/>
          </reference>
        </references>
      </pivotArea>
    </format>
    <format dxfId="57">
      <pivotArea dataOnly="0" labelOnly="1" fieldPosition="0">
        <references count="4">
          <reference field="4" count="1" selected="0">
            <x v="97"/>
          </reference>
          <reference field="5" count="2">
            <x v="44"/>
            <x v="45"/>
          </reference>
          <reference field="17" count="1" selected="0">
            <x v="94"/>
          </reference>
          <reference field="20" count="1" selected="0">
            <x v="13"/>
          </reference>
        </references>
      </pivotArea>
    </format>
    <format dxfId="56">
      <pivotArea collapsedLevelsAreSubtotals="1" fieldPosition="0">
        <references count="1">
          <reference field="4" count="1">
            <x v="102"/>
          </reference>
        </references>
      </pivotArea>
    </format>
    <format dxfId="55">
      <pivotArea collapsedLevelsAreSubtotals="1" fieldPosition="0">
        <references count="2">
          <reference field="4" count="1" selected="0">
            <x v="102"/>
          </reference>
          <reference field="17" count="1">
            <x v="82"/>
          </reference>
        </references>
      </pivotArea>
    </format>
    <format dxfId="54">
      <pivotArea collapsedLevelsAreSubtotals="1" fieldPosition="0">
        <references count="3">
          <reference field="4" count="1" selected="0">
            <x v="102"/>
          </reference>
          <reference field="17" count="1" selected="0">
            <x v="82"/>
          </reference>
          <reference field="20" count="1">
            <x v="207"/>
          </reference>
        </references>
      </pivotArea>
    </format>
    <format dxfId="53">
      <pivotArea collapsedLevelsAreSubtotals="1" fieldPosition="0">
        <references count="4">
          <reference field="4" count="1" selected="0">
            <x v="102"/>
          </reference>
          <reference field="5" count="1">
            <x v="30"/>
          </reference>
          <reference field="17" count="1" selected="0">
            <x v="82"/>
          </reference>
          <reference field="20" count="1" selected="0">
            <x v="207"/>
          </reference>
        </references>
      </pivotArea>
    </format>
    <format dxfId="52">
      <pivotArea dataOnly="0" labelOnly="1" fieldPosition="0">
        <references count="1">
          <reference field="4" count="1">
            <x v="102"/>
          </reference>
        </references>
      </pivotArea>
    </format>
    <format dxfId="51">
      <pivotArea dataOnly="0" labelOnly="1" fieldPosition="0">
        <references count="2">
          <reference field="4" count="1" selected="0">
            <x v="102"/>
          </reference>
          <reference field="17" count="1">
            <x v="82"/>
          </reference>
        </references>
      </pivotArea>
    </format>
    <format dxfId="50">
      <pivotArea dataOnly="0" labelOnly="1" fieldPosition="0">
        <references count="3">
          <reference field="4" count="1" selected="0">
            <x v="102"/>
          </reference>
          <reference field="17" count="1" selected="0">
            <x v="82"/>
          </reference>
          <reference field="20" count="1">
            <x v="207"/>
          </reference>
        </references>
      </pivotArea>
    </format>
    <format dxfId="49">
      <pivotArea dataOnly="0" labelOnly="1" fieldPosition="0">
        <references count="4">
          <reference field="4" count="1" selected="0">
            <x v="102"/>
          </reference>
          <reference field="5" count="1">
            <x v="30"/>
          </reference>
          <reference field="17" count="1" selected="0">
            <x v="82"/>
          </reference>
          <reference field="20" count="1" selected="0">
            <x v="207"/>
          </reference>
        </references>
      </pivotArea>
    </format>
    <format dxfId="48">
      <pivotArea dataOnly="0" labelOnly="1" fieldPosition="0">
        <references count="1">
          <reference field="20" count="1">
            <x v="102"/>
          </reference>
        </references>
      </pivotArea>
    </format>
    <format dxfId="47">
      <pivotArea dataOnly="0" labelOnly="1" fieldPosition="0">
        <references count="2">
          <reference field="17" count="1">
            <x v="28"/>
          </reference>
          <reference field="20" count="1" selected="0">
            <x v="102"/>
          </reference>
        </references>
      </pivotArea>
    </format>
    <format dxfId="46">
      <pivotArea dataOnly="0" labelOnly="1" fieldPosition="0">
        <references count="3">
          <reference field="4" count="1">
            <x v="89"/>
          </reference>
          <reference field="17" count="1" selected="0">
            <x v="28"/>
          </reference>
          <reference field="20" count="1" selected="0">
            <x v="102"/>
          </reference>
        </references>
      </pivotArea>
    </format>
    <format dxfId="45">
      <pivotArea dataOnly="0" labelOnly="1" fieldPosition="0">
        <references count="4">
          <reference field="4" count="1" selected="0">
            <x v="89"/>
          </reference>
          <reference field="5" count="1">
            <x v="94"/>
          </reference>
          <reference field="17" count="1" selected="0">
            <x v="28"/>
          </reference>
          <reference field="20" count="1" selected="0">
            <x v="102"/>
          </reference>
        </references>
      </pivotArea>
    </format>
  </formats>
  <conditionalFormats count="1">
    <conditionalFormat priority="1">
      <pivotAreas count="492">
        <pivotArea type="data" collapsedLevelsAreSubtotals="1" fieldPosition="0">
          <references count="2">
            <reference field="4294967294" count="1" selected="0">
              <x v="0"/>
            </reference>
            <reference field="20" count="1">
              <x v="8"/>
            </reference>
          </references>
        </pivotArea>
        <pivotArea type="data" collapsedLevelsAreSubtotals="1" fieldPosition="0">
          <references count="3">
            <reference field="4294967294" count="1" selected="0">
              <x v="0"/>
            </reference>
            <reference field="17" count="1">
              <x v="8"/>
            </reference>
            <reference field="20" count="1" selected="0">
              <x v="8"/>
            </reference>
          </references>
        </pivotArea>
        <pivotArea type="data" collapsedLevelsAreSubtotals="1" fieldPosition="0">
          <references count="4">
            <reference field="4294967294" count="1" selected="0">
              <x v="0"/>
            </reference>
            <reference field="4" count="1">
              <x v="62"/>
            </reference>
            <reference field="17" count="1" selected="0">
              <x v="8"/>
            </reference>
            <reference field="20" count="1" selected="0">
              <x v="8"/>
            </reference>
          </references>
        </pivotArea>
        <pivotArea type="data" collapsedLevelsAreSubtotals="1" fieldPosition="0">
          <references count="5">
            <reference field="4294967294" count="1" selected="0">
              <x v="0"/>
            </reference>
            <reference field="4" count="1" selected="0">
              <x v="62"/>
            </reference>
            <reference field="5" count="1">
              <x v="100"/>
            </reference>
            <reference field="17" count="1" selected="0">
              <x v="8"/>
            </reference>
            <reference field="20" count="1" selected="0">
              <x v="8"/>
            </reference>
          </references>
        </pivotArea>
        <pivotArea type="data" collapsedLevelsAreSubtotals="1" fieldPosition="0">
          <references count="2">
            <reference field="4294967294" count="1" selected="0">
              <x v="0"/>
            </reference>
            <reference field="20" count="1">
              <x v="10"/>
            </reference>
          </references>
        </pivotArea>
        <pivotArea type="data" collapsedLevelsAreSubtotals="1" fieldPosition="0">
          <references count="3">
            <reference field="4294967294" count="1" selected="0">
              <x v="0"/>
            </reference>
            <reference field="17" count="1">
              <x v="88"/>
            </reference>
            <reference field="20" count="1" selected="0">
              <x v="10"/>
            </reference>
          </references>
        </pivotArea>
        <pivotArea type="data" collapsedLevelsAreSubtotals="1" fieldPosition="0">
          <references count="4">
            <reference field="4294967294" count="1" selected="0">
              <x v="0"/>
            </reference>
            <reference field="4" count="1">
              <x v="77"/>
            </reference>
            <reference field="17" count="1" selected="0">
              <x v="88"/>
            </reference>
            <reference field="20" count="1" selected="0">
              <x v="10"/>
            </reference>
          </references>
        </pivotArea>
        <pivotArea type="data" collapsedLevelsAreSubtotals="1" fieldPosition="0">
          <references count="5">
            <reference field="4294967294" count="1" selected="0">
              <x v="0"/>
            </reference>
            <reference field="4" count="1" selected="0">
              <x v="77"/>
            </reference>
            <reference field="5" count="1">
              <x v="34"/>
            </reference>
            <reference field="17" count="1" selected="0">
              <x v="88"/>
            </reference>
            <reference field="20" count="1" selected="0">
              <x v="10"/>
            </reference>
          </references>
        </pivotArea>
        <pivotArea type="data" collapsedLevelsAreSubtotals="1" fieldPosition="0">
          <references count="2">
            <reference field="4294967294" count="1" selected="0">
              <x v="0"/>
            </reference>
            <reference field="20" count="1">
              <x v="11"/>
            </reference>
          </references>
        </pivotArea>
        <pivotArea type="data" collapsedLevelsAreSubtotals="1" fieldPosition="0">
          <references count="3">
            <reference field="4294967294" count="1" selected="0">
              <x v="0"/>
            </reference>
            <reference field="17" count="1">
              <x v="89"/>
            </reference>
            <reference field="20" count="1" selected="0">
              <x v="11"/>
            </reference>
          </references>
        </pivotArea>
        <pivotArea type="data" collapsedLevelsAreSubtotals="1" fieldPosition="0">
          <references count="4">
            <reference field="4294967294" count="1" selected="0">
              <x v="0"/>
            </reference>
            <reference field="4" count="1">
              <x v="74"/>
            </reference>
            <reference field="17" count="1" selected="0">
              <x v="89"/>
            </reference>
            <reference field="20" count="1" selected="0">
              <x v="11"/>
            </reference>
          </references>
        </pivotArea>
        <pivotArea type="data" collapsedLevelsAreSubtotals="1" fieldPosition="0">
          <references count="5">
            <reference field="4294967294" count="1" selected="0">
              <x v="0"/>
            </reference>
            <reference field="4" count="1" selected="0">
              <x v="74"/>
            </reference>
            <reference field="5" count="2">
              <x v="38"/>
              <x v="39"/>
            </reference>
            <reference field="17" count="1" selected="0">
              <x v="89"/>
            </reference>
            <reference field="20" count="1" selected="0">
              <x v="11"/>
            </reference>
          </references>
        </pivotArea>
        <pivotArea type="data" collapsedLevelsAreSubtotals="1" fieldPosition="0">
          <references count="2">
            <reference field="4294967294" count="1" selected="0">
              <x v="0"/>
            </reference>
            <reference field="20" count="1">
              <x v="12"/>
            </reference>
          </references>
        </pivotArea>
        <pivotArea type="data" collapsedLevelsAreSubtotals="1" fieldPosition="0">
          <references count="3">
            <reference field="4294967294" count="1" selected="0">
              <x v="0"/>
            </reference>
            <reference field="17" count="1">
              <x v="3"/>
            </reference>
            <reference field="20" count="1" selected="0">
              <x v="12"/>
            </reference>
          </references>
        </pivotArea>
        <pivotArea type="data" collapsedLevelsAreSubtotals="1" fieldPosition="0">
          <references count="4">
            <reference field="4294967294" count="1" selected="0">
              <x v="0"/>
            </reference>
            <reference field="4" count="1">
              <x v="52"/>
            </reference>
            <reference field="17" count="1" selected="0">
              <x v="3"/>
            </reference>
            <reference field="20" count="1" selected="0">
              <x v="12"/>
            </reference>
          </references>
        </pivotArea>
        <pivotArea type="data" collapsedLevelsAreSubtotals="1" fieldPosition="0">
          <references count="5">
            <reference field="4294967294" count="1" selected="0">
              <x v="0"/>
            </reference>
            <reference field="4" count="1" selected="0">
              <x v="52"/>
            </reference>
            <reference field="5" count="1">
              <x v="86"/>
            </reference>
            <reference field="17" count="1" selected="0">
              <x v="3"/>
            </reference>
            <reference field="20" count="1" selected="0">
              <x v="12"/>
            </reference>
          </references>
        </pivotArea>
        <pivotArea type="data" collapsedLevelsAreSubtotals="1" fieldPosition="0">
          <references count="2">
            <reference field="4294967294" count="1" selected="0">
              <x v="0"/>
            </reference>
            <reference field="20" count="1">
              <x v="13"/>
            </reference>
          </references>
        </pivotArea>
        <pivotArea type="data" collapsedLevelsAreSubtotals="1" fieldPosition="0">
          <references count="3">
            <reference field="4294967294" count="1" selected="0">
              <x v="0"/>
            </reference>
            <reference field="17" count="1">
              <x v="94"/>
            </reference>
            <reference field="20" count="1" selected="0">
              <x v="13"/>
            </reference>
          </references>
        </pivotArea>
        <pivotArea type="data" collapsedLevelsAreSubtotals="1" fieldPosition="0">
          <references count="4">
            <reference field="4294967294" count="1" selected="0">
              <x v="0"/>
            </reference>
            <reference field="4" count="1">
              <x v="97"/>
            </reference>
            <reference field="17" count="1" selected="0">
              <x v="94"/>
            </reference>
            <reference field="20" count="1" selected="0">
              <x v="13"/>
            </reference>
          </references>
        </pivotArea>
        <pivotArea type="data" collapsedLevelsAreSubtotals="1" fieldPosition="0">
          <references count="5">
            <reference field="4294967294" count="1" selected="0">
              <x v="0"/>
            </reference>
            <reference field="4" count="1" selected="0">
              <x v="97"/>
            </reference>
            <reference field="5" count="2">
              <x v="44"/>
              <x v="45"/>
            </reference>
            <reference field="17" count="1" selected="0">
              <x v="94"/>
            </reference>
            <reference field="20" count="1" selected="0">
              <x v="13"/>
            </reference>
          </references>
        </pivotArea>
        <pivotArea type="data" collapsedLevelsAreSubtotals="1" fieldPosition="0">
          <references count="2">
            <reference field="4294967294" count="1" selected="0">
              <x v="0"/>
            </reference>
            <reference field="20" count="1">
              <x v="14"/>
            </reference>
          </references>
        </pivotArea>
        <pivotArea type="data" collapsedLevelsAreSubtotals="1" fieldPosition="0">
          <references count="3">
            <reference field="4294967294" count="1" selected="0">
              <x v="0"/>
            </reference>
            <reference field="17" count="1">
              <x v="85"/>
            </reference>
            <reference field="20" count="1" selected="0">
              <x v="14"/>
            </reference>
          </references>
        </pivotArea>
        <pivotArea type="data" collapsedLevelsAreSubtotals="1" fieldPosition="0">
          <references count="4">
            <reference field="4294967294" count="1" selected="0">
              <x v="0"/>
            </reference>
            <reference field="4" count="1">
              <x v="53"/>
            </reference>
            <reference field="17" count="1" selected="0">
              <x v="85"/>
            </reference>
            <reference field="20" count="1" selected="0">
              <x v="14"/>
            </reference>
          </references>
        </pivotArea>
        <pivotArea type="data" collapsedLevelsAreSubtotals="1" fieldPosition="0">
          <references count="5">
            <reference field="4294967294" count="1" selected="0">
              <x v="0"/>
            </reference>
            <reference field="4" count="1" selected="0">
              <x v="53"/>
            </reference>
            <reference field="5" count="1">
              <x v="32"/>
            </reference>
            <reference field="17" count="1" selected="0">
              <x v="85"/>
            </reference>
            <reference field="20" count="1" selected="0">
              <x v="14"/>
            </reference>
          </references>
        </pivotArea>
        <pivotArea type="data" collapsedLevelsAreSubtotals="1" fieldPosition="0">
          <references count="2">
            <reference field="4294967294" count="1" selected="0">
              <x v="0"/>
            </reference>
            <reference field="20" count="1">
              <x v="15"/>
            </reference>
          </references>
        </pivotArea>
        <pivotArea type="data" collapsedLevelsAreSubtotals="1" fieldPosition="0">
          <references count="3">
            <reference field="4294967294" count="1" selected="0">
              <x v="0"/>
            </reference>
            <reference field="17" count="1">
              <x v="122"/>
            </reference>
            <reference field="20" count="1" selected="0">
              <x v="15"/>
            </reference>
          </references>
        </pivotArea>
        <pivotArea type="data" collapsedLevelsAreSubtotals="1" fieldPosition="0">
          <references count="4">
            <reference field="4294967294" count="1" selected="0">
              <x v="0"/>
            </reference>
            <reference field="4" count="1">
              <x v="123"/>
            </reference>
            <reference field="17" count="1" selected="0">
              <x v="122"/>
            </reference>
            <reference field="20" count="1" selected="0">
              <x v="15"/>
            </reference>
          </references>
        </pivotArea>
        <pivotArea type="data" collapsedLevelsAreSubtotals="1" fieldPosition="0">
          <references count="5">
            <reference field="4294967294" count="1" selected="0">
              <x v="0"/>
            </reference>
            <reference field="4" count="1" selected="0">
              <x v="123"/>
            </reference>
            <reference field="5" count="1">
              <x v="99"/>
            </reference>
            <reference field="17" count="1" selected="0">
              <x v="122"/>
            </reference>
            <reference field="20" count="1" selected="0">
              <x v="15"/>
            </reference>
          </references>
        </pivotArea>
        <pivotArea type="data" collapsedLevelsAreSubtotals="1" fieldPosition="0">
          <references count="2">
            <reference field="4294967294" count="1" selected="0">
              <x v="0"/>
            </reference>
            <reference field="20" count="1">
              <x v="16"/>
            </reference>
          </references>
        </pivotArea>
        <pivotArea type="data" collapsedLevelsAreSubtotals="1" fieldPosition="0">
          <references count="3">
            <reference field="4294967294" count="1" selected="0">
              <x v="0"/>
            </reference>
            <reference field="17" count="1">
              <x v="65"/>
            </reference>
            <reference field="20" count="1" selected="0">
              <x v="16"/>
            </reference>
          </references>
        </pivotArea>
        <pivotArea type="data" collapsedLevelsAreSubtotals="1" fieldPosition="0">
          <references count="4">
            <reference field="4294967294" count="1" selected="0">
              <x v="0"/>
            </reference>
            <reference field="4" count="1">
              <x v="6"/>
            </reference>
            <reference field="17" count="1" selected="0">
              <x v="65"/>
            </reference>
            <reference field="20" count="1" selected="0">
              <x v="16"/>
            </reference>
          </references>
        </pivotArea>
        <pivotArea type="data" collapsedLevelsAreSubtotals="1" fieldPosition="0">
          <references count="5">
            <reference field="4294967294" count="1" selected="0">
              <x v="0"/>
            </reference>
            <reference field="4" count="1" selected="0">
              <x v="6"/>
            </reference>
            <reference field="5" count="2">
              <x v="24"/>
              <x v="80"/>
            </reference>
            <reference field="17" count="1" selected="0">
              <x v="65"/>
            </reference>
            <reference field="20" count="1" selected="0">
              <x v="16"/>
            </reference>
          </references>
        </pivotArea>
        <pivotArea type="data" collapsedLevelsAreSubtotals="1" fieldPosition="0">
          <references count="2">
            <reference field="4294967294" count="1" selected="0">
              <x v="0"/>
            </reference>
            <reference field="20" count="1">
              <x v="18"/>
            </reference>
          </references>
        </pivotArea>
        <pivotArea type="data" collapsedLevelsAreSubtotals="1" fieldPosition="0">
          <references count="3">
            <reference field="4294967294" count="1" selected="0">
              <x v="0"/>
            </reference>
            <reference field="17" count="1">
              <x v="90"/>
            </reference>
            <reference field="20" count="1" selected="0">
              <x v="18"/>
            </reference>
          </references>
        </pivotArea>
        <pivotArea type="data" collapsedLevelsAreSubtotals="1" fieldPosition="0">
          <references count="4">
            <reference field="4294967294" count="1" selected="0">
              <x v="0"/>
            </reference>
            <reference field="4" count="1">
              <x v="41"/>
            </reference>
            <reference field="17" count="1" selected="0">
              <x v="90"/>
            </reference>
            <reference field="20" count="1" selected="0">
              <x v="18"/>
            </reference>
          </references>
        </pivotArea>
        <pivotArea type="data" collapsedLevelsAreSubtotals="1" fieldPosition="0">
          <references count="5">
            <reference field="4294967294" count="1" selected="0">
              <x v="0"/>
            </reference>
            <reference field="4" count="1" selected="0">
              <x v="41"/>
            </reference>
            <reference field="5" count="2">
              <x v="16"/>
              <x v="36"/>
            </reference>
            <reference field="17" count="1" selected="0">
              <x v="90"/>
            </reference>
            <reference field="20" count="1" selected="0">
              <x v="18"/>
            </reference>
          </references>
        </pivotArea>
        <pivotArea type="data" collapsedLevelsAreSubtotals="1" fieldPosition="0">
          <references count="2">
            <reference field="4294967294" count="1" selected="0">
              <x v="0"/>
            </reference>
            <reference field="20" count="1">
              <x v="19"/>
            </reference>
          </references>
        </pivotArea>
        <pivotArea type="data" collapsedLevelsAreSubtotals="1" fieldPosition="0">
          <references count="3">
            <reference field="4294967294" count="1" selected="0">
              <x v="0"/>
            </reference>
            <reference field="17" count="1">
              <x v="30"/>
            </reference>
            <reference field="20" count="1" selected="0">
              <x v="19"/>
            </reference>
          </references>
        </pivotArea>
        <pivotArea type="data" collapsedLevelsAreSubtotals="1" fieldPosition="0">
          <references count="4">
            <reference field="4294967294" count="1" selected="0">
              <x v="0"/>
            </reference>
            <reference field="4" count="1">
              <x v="25"/>
            </reference>
            <reference field="17" count="1" selected="0">
              <x v="30"/>
            </reference>
            <reference field="20" count="1" selected="0">
              <x v="19"/>
            </reference>
          </references>
        </pivotArea>
        <pivotArea type="data" collapsedLevelsAreSubtotals="1" fieldPosition="0">
          <references count="5">
            <reference field="4294967294" count="1" selected="0">
              <x v="0"/>
            </reference>
            <reference field="4" count="1" selected="0">
              <x v="25"/>
            </reference>
            <reference field="5" count="5">
              <x v="41"/>
              <x v="56"/>
              <x v="62"/>
              <x v="65"/>
              <x v="74"/>
            </reference>
            <reference field="17" count="1" selected="0">
              <x v="30"/>
            </reference>
            <reference field="20" count="1" selected="0">
              <x v="19"/>
            </reference>
          </references>
        </pivotArea>
        <pivotArea type="data" collapsedLevelsAreSubtotals="1" fieldPosition="0">
          <references count="2">
            <reference field="4294967294" count="1" selected="0">
              <x v="0"/>
            </reference>
            <reference field="20" count="1">
              <x v="20"/>
            </reference>
          </references>
        </pivotArea>
        <pivotArea type="data" collapsedLevelsAreSubtotals="1" fieldPosition="0">
          <references count="3">
            <reference field="4294967294" count="1" selected="0">
              <x v="0"/>
            </reference>
            <reference field="17" count="1">
              <x v="120"/>
            </reference>
            <reference field="20" count="1" selected="0">
              <x v="20"/>
            </reference>
          </references>
        </pivotArea>
        <pivotArea type="data" collapsedLevelsAreSubtotals="1" fieldPosition="0">
          <references count="4">
            <reference field="4294967294" count="1" selected="0">
              <x v="0"/>
            </reference>
            <reference field="4" count="1">
              <x v="121"/>
            </reference>
            <reference field="17" count="1" selected="0">
              <x v="120"/>
            </reference>
            <reference field="20" count="1" selected="0">
              <x v="20"/>
            </reference>
          </references>
        </pivotArea>
        <pivotArea type="data" collapsedLevelsAreSubtotals="1" fieldPosition="0">
          <references count="5">
            <reference field="4294967294" count="1" selected="0">
              <x v="0"/>
            </reference>
            <reference field="4" count="1" selected="0">
              <x v="121"/>
            </reference>
            <reference field="5" count="1">
              <x v="99"/>
            </reference>
            <reference field="17" count="1" selected="0">
              <x v="120"/>
            </reference>
            <reference field="20" count="1" selected="0">
              <x v="20"/>
            </reference>
          </references>
        </pivotArea>
        <pivotArea type="data" collapsedLevelsAreSubtotals="1" fieldPosition="0">
          <references count="2">
            <reference field="4294967294" count="1" selected="0">
              <x v="0"/>
            </reference>
            <reference field="20" count="1">
              <x v="21"/>
            </reference>
          </references>
        </pivotArea>
        <pivotArea type="data" collapsedLevelsAreSubtotals="1" fieldPosition="0">
          <references count="3">
            <reference field="4294967294" count="1" selected="0">
              <x v="0"/>
            </reference>
            <reference field="17" count="1">
              <x v="53"/>
            </reference>
            <reference field="20" count="1" selected="0">
              <x v="21"/>
            </reference>
          </references>
        </pivotArea>
        <pivotArea type="data" collapsedLevelsAreSubtotals="1" fieldPosition="0">
          <references count="4">
            <reference field="4294967294" count="1" selected="0">
              <x v="0"/>
            </reference>
            <reference field="4" count="1">
              <x v="90"/>
            </reference>
            <reference field="17" count="1" selected="0">
              <x v="53"/>
            </reference>
            <reference field="20" count="1" selected="0">
              <x v="21"/>
            </reference>
          </references>
        </pivotArea>
        <pivotArea type="data" collapsedLevelsAreSubtotals="1" fieldPosition="0">
          <references count="5">
            <reference field="4294967294" count="1" selected="0">
              <x v="0"/>
            </reference>
            <reference field="4" count="1" selected="0">
              <x v="90"/>
            </reference>
            <reference field="5" count="1">
              <x v="84"/>
            </reference>
            <reference field="17" count="1" selected="0">
              <x v="53"/>
            </reference>
            <reference field="20" count="1" selected="0">
              <x v="21"/>
            </reference>
          </references>
        </pivotArea>
        <pivotArea type="data" collapsedLevelsAreSubtotals="1" fieldPosition="0">
          <references count="2">
            <reference field="4294967294" count="1" selected="0">
              <x v="0"/>
            </reference>
            <reference field="20" count="1">
              <x v="24"/>
            </reference>
          </references>
        </pivotArea>
        <pivotArea type="data" collapsedLevelsAreSubtotals="1" fieldPosition="0">
          <references count="3">
            <reference field="4294967294" count="1" selected="0">
              <x v="0"/>
            </reference>
            <reference field="17" count="1">
              <x v="87"/>
            </reference>
            <reference field="20" count="1" selected="0">
              <x v="24"/>
            </reference>
          </references>
        </pivotArea>
        <pivotArea type="data" collapsedLevelsAreSubtotals="1" fieldPosition="0">
          <references count="4">
            <reference field="4294967294" count="1" selected="0">
              <x v="0"/>
            </reference>
            <reference field="4" count="1">
              <x v="50"/>
            </reference>
            <reference field="17" count="1" selected="0">
              <x v="87"/>
            </reference>
            <reference field="20" count="1" selected="0">
              <x v="24"/>
            </reference>
          </references>
        </pivotArea>
        <pivotArea type="data" collapsedLevelsAreSubtotals="1" fieldPosition="0">
          <references count="5">
            <reference field="4294967294" count="1" selected="0">
              <x v="0"/>
            </reference>
            <reference field="4" count="1" selected="0">
              <x v="50"/>
            </reference>
            <reference field="5" count="2">
              <x v="34"/>
              <x v="37"/>
            </reference>
            <reference field="17" count="1" selected="0">
              <x v="87"/>
            </reference>
            <reference field="20" count="1" selected="0">
              <x v="24"/>
            </reference>
          </references>
        </pivotArea>
        <pivotArea type="data" collapsedLevelsAreSubtotals="1" fieldPosition="0">
          <references count="2">
            <reference field="4294967294" count="1" selected="0">
              <x v="0"/>
            </reference>
            <reference field="20" count="1">
              <x v="28"/>
            </reference>
          </references>
        </pivotArea>
        <pivotArea type="data" collapsedLevelsAreSubtotals="1" fieldPosition="0">
          <references count="3">
            <reference field="4294967294" count="1" selected="0">
              <x v="0"/>
            </reference>
            <reference field="17" count="1">
              <x v="81"/>
            </reference>
            <reference field="20" count="1" selected="0">
              <x v="28"/>
            </reference>
          </references>
        </pivotArea>
        <pivotArea type="data" collapsedLevelsAreSubtotals="1" fieldPosition="0">
          <references count="4">
            <reference field="4294967294" count="1" selected="0">
              <x v="0"/>
            </reference>
            <reference field="4" count="1">
              <x v="35"/>
            </reference>
            <reference field="17" count="1" selected="0">
              <x v="81"/>
            </reference>
            <reference field="20" count="1" selected="0">
              <x v="28"/>
            </reference>
          </references>
        </pivotArea>
        <pivotArea type="data" collapsedLevelsAreSubtotals="1" fieldPosition="0">
          <references count="5">
            <reference field="4294967294" count="1" selected="0">
              <x v="0"/>
            </reference>
            <reference field="4" count="1" selected="0">
              <x v="35"/>
            </reference>
            <reference field="5" count="1">
              <x v="29"/>
            </reference>
            <reference field="17" count="1" selected="0">
              <x v="81"/>
            </reference>
            <reference field="20" count="1" selected="0">
              <x v="28"/>
            </reference>
          </references>
        </pivotArea>
        <pivotArea type="data" collapsedLevelsAreSubtotals="1" fieldPosition="0">
          <references count="2">
            <reference field="4294967294" count="1" selected="0">
              <x v="0"/>
            </reference>
            <reference field="20" count="1">
              <x v="29"/>
            </reference>
          </references>
        </pivotArea>
        <pivotArea type="data" collapsedLevelsAreSubtotals="1" fieldPosition="0">
          <references count="3">
            <reference field="4294967294" count="1" selected="0">
              <x v="0"/>
            </reference>
            <reference field="17" count="1">
              <x v="74"/>
            </reference>
            <reference field="20" count="1" selected="0">
              <x v="29"/>
            </reference>
          </references>
        </pivotArea>
        <pivotArea type="data" collapsedLevelsAreSubtotals="1" fieldPosition="0">
          <references count="4">
            <reference field="4294967294" count="1" selected="0">
              <x v="0"/>
            </reference>
            <reference field="4" count="1">
              <x v="29"/>
            </reference>
            <reference field="17" count="1" selected="0">
              <x v="74"/>
            </reference>
            <reference field="20" count="1" selected="0">
              <x v="29"/>
            </reference>
          </references>
        </pivotArea>
        <pivotArea type="data" collapsedLevelsAreSubtotals="1" fieldPosition="0">
          <references count="5">
            <reference field="4294967294" count="1" selected="0">
              <x v="0"/>
            </reference>
            <reference field="4" count="1" selected="0">
              <x v="29"/>
            </reference>
            <reference field="5" count="1">
              <x v="23"/>
            </reference>
            <reference field="17" count="1" selected="0">
              <x v="74"/>
            </reference>
            <reference field="20" count="1" selected="0">
              <x v="29"/>
            </reference>
          </references>
        </pivotArea>
        <pivotArea type="data" collapsedLevelsAreSubtotals="1" fieldPosition="0">
          <references count="2">
            <reference field="4294967294" count="1" selected="0">
              <x v="0"/>
            </reference>
            <reference field="20" count="1">
              <x v="30"/>
            </reference>
          </references>
        </pivotArea>
        <pivotArea type="data" collapsedLevelsAreSubtotals="1" fieldPosition="0">
          <references count="3">
            <reference field="4294967294" count="1" selected="0">
              <x v="0"/>
            </reference>
            <reference field="17" count="1">
              <x v="48"/>
            </reference>
            <reference field="20" count="1" selected="0">
              <x v="30"/>
            </reference>
          </references>
        </pivotArea>
        <pivotArea type="data" collapsedLevelsAreSubtotals="1" fieldPosition="0">
          <references count="4">
            <reference field="4294967294" count="1" selected="0">
              <x v="0"/>
            </reference>
            <reference field="4" count="1">
              <x v="91"/>
            </reference>
            <reference field="17" count="1" selected="0">
              <x v="48"/>
            </reference>
            <reference field="20" count="1" selected="0">
              <x v="30"/>
            </reference>
          </references>
        </pivotArea>
        <pivotArea type="data" collapsedLevelsAreSubtotals="1" fieldPosition="0">
          <references count="5">
            <reference field="4294967294" count="1" selected="0">
              <x v="0"/>
            </reference>
            <reference field="4" count="1" selected="0">
              <x v="91"/>
            </reference>
            <reference field="5" count="1">
              <x v="75"/>
            </reference>
            <reference field="17" count="1" selected="0">
              <x v="48"/>
            </reference>
            <reference field="20" count="1" selected="0">
              <x v="30"/>
            </reference>
          </references>
        </pivotArea>
        <pivotArea type="data" collapsedLevelsAreSubtotals="1" fieldPosition="0">
          <references count="2">
            <reference field="4294967294" count="1" selected="0">
              <x v="0"/>
            </reference>
            <reference field="20" count="1">
              <x v="31"/>
            </reference>
          </references>
        </pivotArea>
        <pivotArea type="data" collapsedLevelsAreSubtotals="1" fieldPosition="0">
          <references count="3">
            <reference field="4294967294" count="1" selected="0">
              <x v="0"/>
            </reference>
            <reference field="17" count="1">
              <x v="99"/>
            </reference>
            <reference field="20" count="1" selected="0">
              <x v="31"/>
            </reference>
          </references>
        </pivotArea>
        <pivotArea type="data" collapsedLevelsAreSubtotals="1" fieldPosition="0">
          <references count="4">
            <reference field="4294967294" count="1" selected="0">
              <x v="0"/>
            </reference>
            <reference field="4" count="1">
              <x v="30"/>
            </reference>
            <reference field="17" count="1" selected="0">
              <x v="99"/>
            </reference>
            <reference field="20" count="1" selected="0">
              <x v="31"/>
            </reference>
          </references>
        </pivotArea>
        <pivotArea type="data" collapsedLevelsAreSubtotals="1" fieldPosition="0">
          <references count="5">
            <reference field="4294967294" count="1" selected="0">
              <x v="0"/>
            </reference>
            <reference field="4" count="1" selected="0">
              <x v="30"/>
            </reference>
            <reference field="5" count="1">
              <x v="51"/>
            </reference>
            <reference field="17" count="1" selected="0">
              <x v="99"/>
            </reference>
            <reference field="20" count="1" selected="0">
              <x v="31"/>
            </reference>
          </references>
        </pivotArea>
        <pivotArea type="data" collapsedLevelsAreSubtotals="1" fieldPosition="0">
          <references count="2">
            <reference field="4294967294" count="1" selected="0">
              <x v="0"/>
            </reference>
            <reference field="20" count="1">
              <x v="33"/>
            </reference>
          </references>
        </pivotArea>
        <pivotArea type="data" collapsedLevelsAreSubtotals="1" fieldPosition="0">
          <references count="3">
            <reference field="4294967294" count="1" selected="0">
              <x v="0"/>
            </reference>
            <reference field="17" count="1">
              <x v="2"/>
            </reference>
            <reference field="20" count="1" selected="0">
              <x v="33"/>
            </reference>
          </references>
        </pivotArea>
        <pivotArea type="data" collapsedLevelsAreSubtotals="1" fieldPosition="0">
          <references count="4">
            <reference field="4294967294" count="1" selected="0">
              <x v="0"/>
            </reference>
            <reference field="4" count="1">
              <x v="46"/>
            </reference>
            <reference field="17" count="1" selected="0">
              <x v="2"/>
            </reference>
            <reference field="20" count="1" selected="0">
              <x v="33"/>
            </reference>
          </references>
        </pivotArea>
        <pivotArea type="data" collapsedLevelsAreSubtotals="1" fieldPosition="0">
          <references count="5">
            <reference field="4294967294" count="1" selected="0">
              <x v="0"/>
            </reference>
            <reference field="4" count="1" selected="0">
              <x v="46"/>
            </reference>
            <reference field="5" count="1">
              <x v="13"/>
            </reference>
            <reference field="17" count="1" selected="0">
              <x v="2"/>
            </reference>
            <reference field="20" count="1" selected="0">
              <x v="33"/>
            </reference>
          </references>
        </pivotArea>
        <pivotArea type="data" collapsedLevelsAreSubtotals="1" fieldPosition="0">
          <references count="2">
            <reference field="4294967294" count="1" selected="0">
              <x v="0"/>
            </reference>
            <reference field="20" count="1">
              <x v="34"/>
            </reference>
          </references>
        </pivotArea>
        <pivotArea type="data" collapsedLevelsAreSubtotals="1" fieldPosition="0">
          <references count="3">
            <reference field="4294967294" count="1" selected="0">
              <x v="0"/>
            </reference>
            <reference field="17" count="1">
              <x v="16"/>
            </reference>
            <reference field="20" count="1" selected="0">
              <x v="34"/>
            </reference>
          </references>
        </pivotArea>
        <pivotArea type="data" collapsedLevelsAreSubtotals="1" fieldPosition="0">
          <references count="4">
            <reference field="4294967294" count="1" selected="0">
              <x v="0"/>
            </reference>
            <reference field="4" count="1">
              <x v="37"/>
            </reference>
            <reference field="17" count="1" selected="0">
              <x v="16"/>
            </reference>
            <reference field="20" count="1" selected="0">
              <x v="34"/>
            </reference>
          </references>
        </pivotArea>
        <pivotArea type="data" collapsedLevelsAreSubtotals="1" fieldPosition="0">
          <references count="5">
            <reference field="4294967294" count="1" selected="0">
              <x v="0"/>
            </reference>
            <reference field="4" count="1" selected="0">
              <x v="37"/>
            </reference>
            <reference field="5" count="1">
              <x v="80"/>
            </reference>
            <reference field="17" count="1" selected="0">
              <x v="16"/>
            </reference>
            <reference field="20" count="1" selected="0">
              <x v="34"/>
            </reference>
          </references>
        </pivotArea>
        <pivotArea type="data" collapsedLevelsAreSubtotals="1" fieldPosition="0">
          <references count="2">
            <reference field="4294967294" count="1" selected="0">
              <x v="0"/>
            </reference>
            <reference field="20" count="1">
              <x v="36"/>
            </reference>
          </references>
        </pivotArea>
        <pivotArea type="data" collapsedLevelsAreSubtotals="1" fieldPosition="0">
          <references count="3">
            <reference field="4294967294" count="1" selected="0">
              <x v="0"/>
            </reference>
            <reference field="17" count="1">
              <x v="11"/>
            </reference>
            <reference field="20" count="1" selected="0">
              <x v="36"/>
            </reference>
          </references>
        </pivotArea>
        <pivotArea type="data" collapsedLevelsAreSubtotals="1" fieldPosition="0">
          <references count="4">
            <reference field="4294967294" count="1" selected="0">
              <x v="0"/>
            </reference>
            <reference field="4" count="1">
              <x v="18"/>
            </reference>
            <reference field="17" count="1" selected="0">
              <x v="11"/>
            </reference>
            <reference field="20" count="1" selected="0">
              <x v="36"/>
            </reference>
          </references>
        </pivotArea>
        <pivotArea type="data" collapsedLevelsAreSubtotals="1" fieldPosition="0">
          <references count="5">
            <reference field="4294967294" count="1" selected="0">
              <x v="0"/>
            </reference>
            <reference field="4" count="1" selected="0">
              <x v="18"/>
            </reference>
            <reference field="5" count="1">
              <x v="69"/>
            </reference>
            <reference field="17" count="1" selected="0">
              <x v="11"/>
            </reference>
            <reference field="20" count="1" selected="0">
              <x v="36"/>
            </reference>
          </references>
        </pivotArea>
        <pivotArea type="data" collapsedLevelsAreSubtotals="1" fieldPosition="0">
          <references count="2">
            <reference field="4294967294" count="1" selected="0">
              <x v="0"/>
            </reference>
            <reference field="20" count="1">
              <x v="37"/>
            </reference>
          </references>
        </pivotArea>
        <pivotArea type="data" collapsedLevelsAreSubtotals="1" fieldPosition="0">
          <references count="3">
            <reference field="4294967294" count="1" selected="0">
              <x v="0"/>
            </reference>
            <reference field="17" count="1">
              <x v="47"/>
            </reference>
            <reference field="20" count="1" selected="0">
              <x v="37"/>
            </reference>
          </references>
        </pivotArea>
        <pivotArea type="data" collapsedLevelsAreSubtotals="1" fieldPosition="0">
          <references count="4">
            <reference field="4294967294" count="1" selected="0">
              <x v="0"/>
            </reference>
            <reference field="4" count="1">
              <x v="45"/>
            </reference>
            <reference field="17" count="1" selected="0">
              <x v="47"/>
            </reference>
            <reference field="20" count="1" selected="0">
              <x v="37"/>
            </reference>
          </references>
        </pivotArea>
        <pivotArea type="data" collapsedLevelsAreSubtotals="1" fieldPosition="0">
          <references count="5">
            <reference field="4294967294" count="1" selected="0">
              <x v="0"/>
            </reference>
            <reference field="4" count="1" selected="0">
              <x v="45"/>
            </reference>
            <reference field="5" count="1">
              <x v="99"/>
            </reference>
            <reference field="17" count="1" selected="0">
              <x v="47"/>
            </reference>
            <reference field="20" count="1" selected="0">
              <x v="37"/>
            </reference>
          </references>
        </pivotArea>
        <pivotArea type="data" collapsedLevelsAreSubtotals="1" fieldPosition="0">
          <references count="2">
            <reference field="4294967294" count="1" selected="0">
              <x v="0"/>
            </reference>
            <reference field="20" count="1">
              <x v="38"/>
            </reference>
          </references>
        </pivotArea>
        <pivotArea type="data" collapsedLevelsAreSubtotals="1" fieldPosition="0">
          <references count="3">
            <reference field="4294967294" count="1" selected="0">
              <x v="0"/>
            </reference>
            <reference field="17" count="1">
              <x v="70"/>
            </reference>
            <reference field="20" count="1" selected="0">
              <x v="38"/>
            </reference>
          </references>
        </pivotArea>
        <pivotArea type="data" collapsedLevelsAreSubtotals="1" fieldPosition="0">
          <references count="4">
            <reference field="4294967294" count="1" selected="0">
              <x v="0"/>
            </reference>
            <reference field="4" count="1">
              <x v="20"/>
            </reference>
            <reference field="17" count="1" selected="0">
              <x v="70"/>
            </reference>
            <reference field="20" count="1" selected="0">
              <x v="38"/>
            </reference>
          </references>
        </pivotArea>
        <pivotArea type="data" collapsedLevelsAreSubtotals="1" fieldPosition="0">
          <references count="5">
            <reference field="4294967294" count="1" selected="0">
              <x v="0"/>
            </reference>
            <reference field="4" count="1" selected="0">
              <x v="20"/>
            </reference>
            <reference field="5" count="1">
              <x v="5"/>
            </reference>
            <reference field="17" count="1" selected="0">
              <x v="70"/>
            </reference>
            <reference field="20" count="1" selected="0">
              <x v="38"/>
            </reference>
          </references>
        </pivotArea>
        <pivotArea type="data" collapsedLevelsAreSubtotals="1" fieldPosition="0">
          <references count="2">
            <reference field="4294967294" count="1" selected="0">
              <x v="0"/>
            </reference>
            <reference field="20" count="1">
              <x v="39"/>
            </reference>
          </references>
        </pivotArea>
        <pivotArea type="data" collapsedLevelsAreSubtotals="1" fieldPosition="0">
          <references count="3">
            <reference field="4294967294" count="1" selected="0">
              <x v="0"/>
            </reference>
            <reference field="17" count="1">
              <x v="24"/>
            </reference>
            <reference field="20" count="1" selected="0">
              <x v="39"/>
            </reference>
          </references>
        </pivotArea>
        <pivotArea type="data" collapsedLevelsAreSubtotals="1" fieldPosition="0">
          <references count="4">
            <reference field="4294967294" count="1" selected="0">
              <x v="0"/>
            </reference>
            <reference field="4" count="1">
              <x v="43"/>
            </reference>
            <reference field="17" count="1" selected="0">
              <x v="24"/>
            </reference>
            <reference field="20" count="1" selected="0">
              <x v="39"/>
            </reference>
          </references>
        </pivotArea>
        <pivotArea type="data" collapsedLevelsAreSubtotals="1" fieldPosition="0">
          <references count="5">
            <reference field="4294967294" count="1" selected="0">
              <x v="0"/>
            </reference>
            <reference field="4" count="1" selected="0">
              <x v="43"/>
            </reference>
            <reference field="5" count="5">
              <x v="1"/>
              <x v="6"/>
              <x v="9"/>
              <x v="11"/>
              <x v="64"/>
            </reference>
            <reference field="17" count="1" selected="0">
              <x v="24"/>
            </reference>
            <reference field="20" count="1" selected="0">
              <x v="39"/>
            </reference>
          </references>
        </pivotArea>
        <pivotArea type="data" collapsedLevelsAreSubtotals="1" fieldPosition="0">
          <references count="2">
            <reference field="4294967294" count="1" selected="0">
              <x v="0"/>
            </reference>
            <reference field="20" count="1">
              <x v="40"/>
            </reference>
          </references>
        </pivotArea>
        <pivotArea type="data" collapsedLevelsAreSubtotals="1" fieldPosition="0">
          <references count="3">
            <reference field="4294967294" count="1" selected="0">
              <x v="0"/>
            </reference>
            <reference field="17" count="1">
              <x v="63"/>
            </reference>
            <reference field="20" count="1" selected="0">
              <x v="40"/>
            </reference>
          </references>
        </pivotArea>
        <pivotArea type="data" collapsedLevelsAreSubtotals="1" fieldPosition="0">
          <references count="4">
            <reference field="4294967294" count="1" selected="0">
              <x v="0"/>
            </reference>
            <reference field="4" count="1">
              <x v="39"/>
            </reference>
            <reference field="17" count="1" selected="0">
              <x v="63"/>
            </reference>
            <reference field="20" count="1" selected="0">
              <x v="40"/>
            </reference>
          </references>
        </pivotArea>
        <pivotArea type="data" collapsedLevelsAreSubtotals="1" fieldPosition="0">
          <references count="5">
            <reference field="4294967294" count="1" selected="0">
              <x v="0"/>
            </reference>
            <reference field="4" count="1" selected="0">
              <x v="39"/>
            </reference>
            <reference field="5" count="2">
              <x v="78"/>
              <x v="102"/>
            </reference>
            <reference field="17" count="1" selected="0">
              <x v="63"/>
            </reference>
            <reference field="20" count="1" selected="0">
              <x v="40"/>
            </reference>
          </references>
        </pivotArea>
        <pivotArea type="data" collapsedLevelsAreSubtotals="1" fieldPosition="0">
          <references count="2">
            <reference field="4294967294" count="1" selected="0">
              <x v="0"/>
            </reference>
            <reference field="20" count="1">
              <x v="41"/>
            </reference>
          </references>
        </pivotArea>
        <pivotArea type="data" collapsedLevelsAreSubtotals="1" fieldPosition="0">
          <references count="3">
            <reference field="4294967294" count="1" selected="0">
              <x v="0"/>
            </reference>
            <reference field="17" count="1">
              <x v="39"/>
            </reference>
            <reference field="20" count="1" selected="0">
              <x v="41"/>
            </reference>
          </references>
        </pivotArea>
        <pivotArea type="data" collapsedLevelsAreSubtotals="1" fieldPosition="0">
          <references count="4">
            <reference field="4294967294" count="1" selected="0">
              <x v="0"/>
            </reference>
            <reference field="4" count="1">
              <x v="42"/>
            </reference>
            <reference field="17" count="1" selected="0">
              <x v="39"/>
            </reference>
            <reference field="20" count="1" selected="0">
              <x v="41"/>
            </reference>
          </references>
        </pivotArea>
        <pivotArea type="data" collapsedLevelsAreSubtotals="1" fieldPosition="0">
          <references count="5">
            <reference field="4294967294" count="1" selected="0">
              <x v="0"/>
            </reference>
            <reference field="4" count="1" selected="0">
              <x v="42"/>
            </reference>
            <reference field="5" count="1">
              <x v="94"/>
            </reference>
            <reference field="17" count="1" selected="0">
              <x v="39"/>
            </reference>
            <reference field="20" count="1" selected="0">
              <x v="41"/>
            </reference>
          </references>
        </pivotArea>
        <pivotArea type="data" collapsedLevelsAreSubtotals="1" fieldPosition="0">
          <references count="2">
            <reference field="4294967294" count="1" selected="0">
              <x v="0"/>
            </reference>
            <reference field="20" count="1">
              <x v="43"/>
            </reference>
          </references>
        </pivotArea>
        <pivotArea type="data" collapsedLevelsAreSubtotals="1" fieldPosition="0">
          <references count="3">
            <reference field="4294967294" count="1" selected="0">
              <x v="0"/>
            </reference>
            <reference field="17" count="1">
              <x v="1"/>
            </reference>
            <reference field="20" count="1" selected="0">
              <x v="43"/>
            </reference>
          </references>
        </pivotArea>
        <pivotArea type="data" collapsedLevelsAreSubtotals="1" fieldPosition="0">
          <references count="4">
            <reference field="4294967294" count="1" selected="0">
              <x v="0"/>
            </reference>
            <reference field="4" count="1">
              <x v="57"/>
            </reference>
            <reference field="17" count="1" selected="0">
              <x v="1"/>
            </reference>
            <reference field="20" count="1" selected="0">
              <x v="43"/>
            </reference>
          </references>
        </pivotArea>
        <pivotArea type="data" collapsedLevelsAreSubtotals="1" fieldPosition="0">
          <references count="5">
            <reference field="4294967294" count="1" selected="0">
              <x v="0"/>
            </reference>
            <reference field="4" count="1" selected="0">
              <x v="57"/>
            </reference>
            <reference field="5" count="1">
              <x v="4"/>
            </reference>
            <reference field="17" count="1" selected="0">
              <x v="1"/>
            </reference>
            <reference field="20" count="1" selected="0">
              <x v="43"/>
            </reference>
          </references>
        </pivotArea>
        <pivotArea type="data" collapsedLevelsAreSubtotals="1" fieldPosition="0">
          <references count="2">
            <reference field="4294967294" count="1" selected="0">
              <x v="0"/>
            </reference>
            <reference field="20" count="1">
              <x v="44"/>
            </reference>
          </references>
        </pivotArea>
        <pivotArea type="data" collapsedLevelsAreSubtotals="1" fieldPosition="0">
          <references count="3">
            <reference field="4294967294" count="1" selected="0">
              <x v="0"/>
            </reference>
            <reference field="17" count="1">
              <x v="23"/>
            </reference>
            <reference field="20" count="1" selected="0">
              <x v="44"/>
            </reference>
          </references>
        </pivotArea>
        <pivotArea type="data" collapsedLevelsAreSubtotals="1" fieldPosition="0">
          <references count="4">
            <reference field="4294967294" count="1" selected="0">
              <x v="0"/>
            </reference>
            <reference field="4" count="1">
              <x v="49"/>
            </reference>
            <reference field="17" count="1" selected="0">
              <x v="23"/>
            </reference>
            <reference field="20" count="1" selected="0">
              <x v="44"/>
            </reference>
          </references>
        </pivotArea>
        <pivotArea type="data" collapsedLevelsAreSubtotals="1" fieldPosition="0">
          <references count="5">
            <reference field="4294967294" count="1" selected="0">
              <x v="0"/>
            </reference>
            <reference field="4" count="1" selected="0">
              <x v="49"/>
            </reference>
            <reference field="5" count="1">
              <x v="21"/>
            </reference>
            <reference field="17" count="1" selected="0">
              <x v="23"/>
            </reference>
            <reference field="20" count="1" selected="0">
              <x v="44"/>
            </reference>
          </references>
        </pivotArea>
        <pivotArea type="data" collapsedLevelsAreSubtotals="1" fieldPosition="0">
          <references count="2">
            <reference field="4294967294" count="1" selected="0">
              <x v="0"/>
            </reference>
            <reference field="20" count="1">
              <x v="45"/>
            </reference>
          </references>
        </pivotArea>
        <pivotArea type="data" collapsedLevelsAreSubtotals="1" fieldPosition="0">
          <references count="3">
            <reference field="4294967294" count="1" selected="0">
              <x v="0"/>
            </reference>
            <reference field="17" count="1">
              <x v="121"/>
            </reference>
            <reference field="20" count="1" selected="0">
              <x v="45"/>
            </reference>
          </references>
        </pivotArea>
        <pivotArea type="data" collapsedLevelsAreSubtotals="1" fieldPosition="0">
          <references count="4">
            <reference field="4294967294" count="1" selected="0">
              <x v="0"/>
            </reference>
            <reference field="4" count="1">
              <x v="122"/>
            </reference>
            <reference field="17" count="1" selected="0">
              <x v="121"/>
            </reference>
            <reference field="20" count="1" selected="0">
              <x v="45"/>
            </reference>
          </references>
        </pivotArea>
        <pivotArea type="data" collapsedLevelsAreSubtotals="1" fieldPosition="0">
          <references count="5">
            <reference field="4294967294" count="1" selected="0">
              <x v="0"/>
            </reference>
            <reference field="4" count="1" selected="0">
              <x v="122"/>
            </reference>
            <reference field="5" count="1">
              <x v="113"/>
            </reference>
            <reference field="17" count="1" selected="0">
              <x v="121"/>
            </reference>
            <reference field="20" count="1" selected="0">
              <x v="45"/>
            </reference>
          </references>
        </pivotArea>
        <pivotArea type="data" collapsedLevelsAreSubtotals="1" fieldPosition="0">
          <references count="2">
            <reference field="4294967294" count="1" selected="0">
              <x v="0"/>
            </reference>
            <reference field="20" count="1">
              <x v="47"/>
            </reference>
          </references>
        </pivotArea>
        <pivotArea type="data" collapsedLevelsAreSubtotals="1" fieldPosition="0">
          <references count="3">
            <reference field="4294967294" count="1" selected="0">
              <x v="0"/>
            </reference>
            <reference field="17" count="1">
              <x v="22"/>
            </reference>
            <reference field="20" count="1" selected="0">
              <x v="47"/>
            </reference>
          </references>
        </pivotArea>
        <pivotArea type="data" collapsedLevelsAreSubtotals="1" fieldPosition="0">
          <references count="4">
            <reference field="4294967294" count="1" selected="0">
              <x v="0"/>
            </reference>
            <reference field="4" count="1">
              <x v="81"/>
            </reference>
            <reference field="17" count="1" selected="0">
              <x v="22"/>
            </reference>
            <reference field="20" count="1" selected="0">
              <x v="47"/>
            </reference>
          </references>
        </pivotArea>
        <pivotArea type="data" collapsedLevelsAreSubtotals="1" fieldPosition="0">
          <references count="5">
            <reference field="4294967294" count="1" selected="0">
              <x v="0"/>
            </reference>
            <reference field="4" count="1" selected="0">
              <x v="81"/>
            </reference>
            <reference field="5" count="1">
              <x v="75"/>
            </reference>
            <reference field="17" count="1" selected="0">
              <x v="22"/>
            </reference>
            <reference field="20" count="1" selected="0">
              <x v="47"/>
            </reference>
          </references>
        </pivotArea>
        <pivotArea type="data" collapsedLevelsAreSubtotals="1" fieldPosition="0">
          <references count="2">
            <reference field="4294967294" count="1" selected="0">
              <x v="0"/>
            </reference>
            <reference field="20" count="1">
              <x v="50"/>
            </reference>
          </references>
        </pivotArea>
        <pivotArea type="data" collapsedLevelsAreSubtotals="1" fieldPosition="0">
          <references count="3">
            <reference field="4294967294" count="1" selected="0">
              <x v="0"/>
            </reference>
            <reference field="17" count="1">
              <x v="103"/>
            </reference>
            <reference field="20" count="1" selected="0">
              <x v="50"/>
            </reference>
          </references>
        </pivotArea>
        <pivotArea type="data" collapsedLevelsAreSubtotals="1" fieldPosition="0">
          <references count="4">
            <reference field="4294967294" count="1" selected="0">
              <x v="0"/>
            </reference>
            <reference field="4" count="1">
              <x v="104"/>
            </reference>
            <reference field="17" count="1" selected="0">
              <x v="103"/>
            </reference>
            <reference field="20" count="1" selected="0">
              <x v="50"/>
            </reference>
          </references>
        </pivotArea>
        <pivotArea type="data" collapsedLevelsAreSubtotals="1" fieldPosition="0">
          <references count="5">
            <reference field="4294967294" count="1" selected="0">
              <x v="0"/>
            </reference>
            <reference field="4" count="1" selected="0">
              <x v="104"/>
            </reference>
            <reference field="5" count="1">
              <x v="91"/>
            </reference>
            <reference field="17" count="1" selected="0">
              <x v="103"/>
            </reference>
            <reference field="20" count="1" selected="0">
              <x v="50"/>
            </reference>
          </references>
        </pivotArea>
        <pivotArea type="data" collapsedLevelsAreSubtotals="1" fieldPosition="0">
          <references count="2">
            <reference field="4294967294" count="1" selected="0">
              <x v="0"/>
            </reference>
            <reference field="20" count="1">
              <x v="51"/>
            </reference>
          </references>
        </pivotArea>
        <pivotArea type="data" collapsedLevelsAreSubtotals="1" fieldPosition="0">
          <references count="3">
            <reference field="4294967294" count="1" selected="0">
              <x v="0"/>
            </reference>
            <reference field="17" count="1">
              <x v="68"/>
            </reference>
            <reference field="20" count="1" selected="0">
              <x v="51"/>
            </reference>
          </references>
        </pivotArea>
        <pivotArea type="data" collapsedLevelsAreSubtotals="1" fieldPosition="0">
          <references count="4">
            <reference field="4294967294" count="1" selected="0">
              <x v="0"/>
            </reference>
            <reference field="4" count="1">
              <x v="94"/>
            </reference>
            <reference field="17" count="1" selected="0">
              <x v="68"/>
            </reference>
            <reference field="20" count="1" selected="0">
              <x v="51"/>
            </reference>
          </references>
        </pivotArea>
        <pivotArea type="data" collapsedLevelsAreSubtotals="1" fieldPosition="0">
          <references count="5">
            <reference field="4294967294" count="1" selected="0">
              <x v="0"/>
            </reference>
            <reference field="4" count="1" selected="0">
              <x v="94"/>
            </reference>
            <reference field="5" count="1">
              <x v="79"/>
            </reference>
            <reference field="17" count="1" selected="0">
              <x v="68"/>
            </reference>
            <reference field="20" count="1" selected="0">
              <x v="51"/>
            </reference>
          </references>
        </pivotArea>
        <pivotArea type="data" collapsedLevelsAreSubtotals="1" fieldPosition="0">
          <references count="2">
            <reference field="4294967294" count="1" selected="0">
              <x v="0"/>
            </reference>
            <reference field="20" count="1">
              <x v="53"/>
            </reference>
          </references>
        </pivotArea>
        <pivotArea type="data" collapsedLevelsAreSubtotals="1" fieldPosition="0">
          <references count="3">
            <reference field="4294967294" count="1" selected="0">
              <x v="0"/>
            </reference>
            <reference field="17" count="1">
              <x v="45"/>
            </reference>
            <reference field="20" count="1" selected="0">
              <x v="53"/>
            </reference>
          </references>
        </pivotArea>
        <pivotArea type="data" collapsedLevelsAreSubtotals="1" fieldPosition="0">
          <references count="4">
            <reference field="4294967294" count="1" selected="0">
              <x v="0"/>
            </reference>
            <reference field="4" count="1">
              <x v="2"/>
            </reference>
            <reference field="17" count="1" selected="0">
              <x v="45"/>
            </reference>
            <reference field="20" count="1" selected="0">
              <x v="53"/>
            </reference>
          </references>
        </pivotArea>
        <pivotArea type="data" collapsedLevelsAreSubtotals="1" fieldPosition="0">
          <references count="5">
            <reference field="4294967294" count="1" selected="0">
              <x v="0"/>
            </reference>
            <reference field="4" count="1" selected="0">
              <x v="2"/>
            </reference>
            <reference field="5" count="1">
              <x v="74"/>
            </reference>
            <reference field="17" count="1" selected="0">
              <x v="45"/>
            </reference>
            <reference field="20" count="1" selected="0">
              <x v="53"/>
            </reference>
          </references>
        </pivotArea>
        <pivotArea type="data" collapsedLevelsAreSubtotals="1" fieldPosition="0">
          <references count="2">
            <reference field="4294967294" count="1" selected="0">
              <x v="0"/>
            </reference>
            <reference field="20" count="1">
              <x v="54"/>
            </reference>
          </references>
        </pivotArea>
        <pivotArea type="data" collapsedLevelsAreSubtotals="1" fieldPosition="0">
          <references count="3">
            <reference field="4294967294" count="1" selected="0">
              <x v="0"/>
            </reference>
            <reference field="17" count="1">
              <x v="27"/>
            </reference>
            <reference field="20" count="1" selected="0">
              <x v="54"/>
            </reference>
          </references>
        </pivotArea>
        <pivotArea type="data" collapsedLevelsAreSubtotals="1" fieldPosition="0">
          <references count="4">
            <reference field="4294967294" count="1" selected="0">
              <x v="0"/>
            </reference>
            <reference field="4" count="1">
              <x v="16"/>
            </reference>
            <reference field="17" count="1" selected="0">
              <x v="27"/>
            </reference>
            <reference field="20" count="1" selected="0">
              <x v="54"/>
            </reference>
          </references>
        </pivotArea>
        <pivotArea type="data" collapsedLevelsAreSubtotals="1" fieldPosition="0">
          <references count="5">
            <reference field="4294967294" count="1" selected="0">
              <x v="0"/>
            </reference>
            <reference field="4" count="1" selected="0">
              <x v="16"/>
            </reference>
            <reference field="5" count="2">
              <x v="18"/>
              <x v="67"/>
            </reference>
            <reference field="17" count="1" selected="0">
              <x v="27"/>
            </reference>
            <reference field="20" count="1" selected="0">
              <x v="54"/>
            </reference>
          </references>
        </pivotArea>
        <pivotArea type="data" collapsedLevelsAreSubtotals="1" fieldPosition="0">
          <references count="2">
            <reference field="4294967294" count="1" selected="0">
              <x v="0"/>
            </reference>
            <reference field="20" count="1">
              <x v="58"/>
            </reference>
          </references>
        </pivotArea>
        <pivotArea type="data" collapsedLevelsAreSubtotals="1" fieldPosition="0">
          <references count="3">
            <reference field="4294967294" count="1" selected="0">
              <x v="0"/>
            </reference>
            <reference field="17" count="1">
              <x v="17"/>
            </reference>
            <reference field="20" count="1" selected="0">
              <x v="58"/>
            </reference>
          </references>
        </pivotArea>
        <pivotArea type="data" collapsedLevelsAreSubtotals="1" fieldPosition="0">
          <references count="4">
            <reference field="4294967294" count="1" selected="0">
              <x v="0"/>
            </reference>
            <reference field="4" count="1">
              <x v="23"/>
            </reference>
            <reference field="17" count="1" selected="0">
              <x v="17"/>
            </reference>
            <reference field="20" count="1" selected="0">
              <x v="58"/>
            </reference>
          </references>
        </pivotArea>
        <pivotArea type="data" collapsedLevelsAreSubtotals="1" fieldPosition="0">
          <references count="5">
            <reference field="4294967294" count="1" selected="0">
              <x v="0"/>
            </reference>
            <reference field="4" count="1" selected="0">
              <x v="23"/>
            </reference>
            <reference field="5" count="1">
              <x v="95"/>
            </reference>
            <reference field="17" count="1" selected="0">
              <x v="17"/>
            </reference>
            <reference field="20" count="1" selected="0">
              <x v="58"/>
            </reference>
          </references>
        </pivotArea>
        <pivotArea type="data" collapsedLevelsAreSubtotals="1" fieldPosition="0">
          <references count="2">
            <reference field="4294967294" count="1" selected="0">
              <x v="0"/>
            </reference>
            <reference field="20" count="1">
              <x v="59"/>
            </reference>
          </references>
        </pivotArea>
        <pivotArea type="data" collapsedLevelsAreSubtotals="1" fieldPosition="0">
          <references count="3">
            <reference field="4294967294" count="1" selected="0">
              <x v="0"/>
            </reference>
            <reference field="17" count="1">
              <x v="42"/>
            </reference>
            <reference field="20" count="1" selected="0">
              <x v="59"/>
            </reference>
          </references>
        </pivotArea>
        <pivotArea type="data" collapsedLevelsAreSubtotals="1" fieldPosition="0">
          <references count="4">
            <reference field="4294967294" count="1" selected="0">
              <x v="0"/>
            </reference>
            <reference field="4" count="1">
              <x v="96"/>
            </reference>
            <reference field="17" count="1" selected="0">
              <x v="42"/>
            </reference>
            <reference field="20" count="1" selected="0">
              <x v="59"/>
            </reference>
          </references>
        </pivotArea>
        <pivotArea type="data" collapsedLevelsAreSubtotals="1" fieldPosition="0">
          <references count="5">
            <reference field="4294967294" count="1" selected="0">
              <x v="0"/>
            </reference>
            <reference field="4" count="1" selected="0">
              <x v="96"/>
            </reference>
            <reference field="5" count="1">
              <x v="49"/>
            </reference>
            <reference field="17" count="1" selected="0">
              <x v="42"/>
            </reference>
            <reference field="20" count="1" selected="0">
              <x v="59"/>
            </reference>
          </references>
        </pivotArea>
        <pivotArea type="data" collapsedLevelsAreSubtotals="1" fieldPosition="0">
          <references count="2">
            <reference field="4294967294" count="1" selected="0">
              <x v="0"/>
            </reference>
            <reference field="20" count="1">
              <x v="60"/>
            </reference>
          </references>
        </pivotArea>
        <pivotArea type="data" collapsedLevelsAreSubtotals="1" fieldPosition="0">
          <references count="3">
            <reference field="4294967294" count="1" selected="0">
              <x v="0"/>
            </reference>
            <reference field="17" count="1">
              <x v="108"/>
            </reference>
            <reference field="20" count="1" selected="0">
              <x v="60"/>
            </reference>
          </references>
        </pivotArea>
        <pivotArea type="data" collapsedLevelsAreSubtotals="1" fieldPosition="0">
          <references count="4">
            <reference field="4294967294" count="1" selected="0">
              <x v="0"/>
            </reference>
            <reference field="4" count="1">
              <x v="109"/>
            </reference>
            <reference field="17" count="1" selected="0">
              <x v="108"/>
            </reference>
            <reference field="20" count="1" selected="0">
              <x v="60"/>
            </reference>
          </references>
        </pivotArea>
        <pivotArea type="data" collapsedLevelsAreSubtotals="1" fieldPosition="0">
          <references count="5">
            <reference field="4294967294" count="1" selected="0">
              <x v="0"/>
            </reference>
            <reference field="4" count="1" selected="0">
              <x v="109"/>
            </reference>
            <reference field="5" count="1">
              <x v="97"/>
            </reference>
            <reference field="17" count="1" selected="0">
              <x v="108"/>
            </reference>
            <reference field="20" count="1" selected="0">
              <x v="60"/>
            </reference>
          </references>
        </pivotArea>
        <pivotArea type="data" collapsedLevelsAreSubtotals="1" fieldPosition="0">
          <references count="2">
            <reference field="4294967294" count="1" selected="0">
              <x v="0"/>
            </reference>
            <reference field="20" count="1">
              <x v="63"/>
            </reference>
          </references>
        </pivotArea>
        <pivotArea type="data" collapsedLevelsAreSubtotals="1" fieldPosition="0">
          <references count="3">
            <reference field="4294967294" count="1" selected="0">
              <x v="0"/>
            </reference>
            <reference field="17" count="1">
              <x v="18"/>
            </reference>
            <reference field="20" count="1" selected="0">
              <x v="63"/>
            </reference>
          </references>
        </pivotArea>
        <pivotArea type="data" collapsedLevelsAreSubtotals="1" fieldPosition="0">
          <references count="4">
            <reference field="4294967294" count="1" selected="0">
              <x v="0"/>
            </reference>
            <reference field="4" count="1">
              <x v="34"/>
            </reference>
            <reference field="17" count="1" selected="0">
              <x v="18"/>
            </reference>
            <reference field="20" count="1" selected="0">
              <x v="63"/>
            </reference>
          </references>
        </pivotArea>
        <pivotArea type="data" collapsedLevelsAreSubtotals="1" fieldPosition="0">
          <references count="5">
            <reference field="4294967294" count="1" selected="0">
              <x v="0"/>
            </reference>
            <reference field="4" count="1" selected="0">
              <x v="34"/>
            </reference>
            <reference field="5" count="1">
              <x v="52"/>
            </reference>
            <reference field="17" count="1" selected="0">
              <x v="18"/>
            </reference>
            <reference field="20" count="1" selected="0">
              <x v="63"/>
            </reference>
          </references>
        </pivotArea>
        <pivotArea type="data" collapsedLevelsAreSubtotals="1" fieldPosition="0">
          <references count="2">
            <reference field="4294967294" count="1" selected="0">
              <x v="0"/>
            </reference>
            <reference field="20" count="1">
              <x v="64"/>
            </reference>
          </references>
        </pivotArea>
        <pivotArea type="data" collapsedLevelsAreSubtotals="1" fieldPosition="0">
          <references count="3">
            <reference field="4294967294" count="1" selected="0">
              <x v="0"/>
            </reference>
            <reference field="17" count="1">
              <x v="105"/>
            </reference>
            <reference field="20" count="1" selected="0">
              <x v="64"/>
            </reference>
          </references>
        </pivotArea>
        <pivotArea type="data" collapsedLevelsAreSubtotals="1" fieldPosition="0">
          <references count="4">
            <reference field="4294967294" count="1" selected="0">
              <x v="0"/>
            </reference>
            <reference field="4" count="1">
              <x v="106"/>
            </reference>
            <reference field="17" count="1" selected="0">
              <x v="105"/>
            </reference>
            <reference field="20" count="1" selected="0">
              <x v="64"/>
            </reference>
          </references>
        </pivotArea>
        <pivotArea type="data" collapsedLevelsAreSubtotals="1" fieldPosition="0">
          <references count="5">
            <reference field="4294967294" count="1" selected="0">
              <x v="0"/>
            </reference>
            <reference field="4" count="1" selected="0">
              <x v="106"/>
            </reference>
            <reference field="5" count="1">
              <x v="107"/>
            </reference>
            <reference field="17" count="1" selected="0">
              <x v="105"/>
            </reference>
            <reference field="20" count="1" selected="0">
              <x v="64"/>
            </reference>
          </references>
        </pivotArea>
        <pivotArea type="data" collapsedLevelsAreSubtotals="1" fieldPosition="0">
          <references count="2">
            <reference field="4294967294" count="1" selected="0">
              <x v="0"/>
            </reference>
            <reference field="20" count="1">
              <x v="67"/>
            </reference>
          </references>
        </pivotArea>
        <pivotArea type="data" collapsedLevelsAreSubtotals="1" fieldPosition="0">
          <references count="3">
            <reference field="4294967294" count="1" selected="0">
              <x v="0"/>
            </reference>
            <reference field="17" count="1">
              <x v="118"/>
            </reference>
            <reference field="20" count="1" selected="0">
              <x v="67"/>
            </reference>
          </references>
        </pivotArea>
        <pivotArea type="data" collapsedLevelsAreSubtotals="1" fieldPosition="0">
          <references count="4">
            <reference field="4294967294" count="1" selected="0">
              <x v="0"/>
            </reference>
            <reference field="4" count="1">
              <x v="119"/>
            </reference>
            <reference field="17" count="1" selected="0">
              <x v="118"/>
            </reference>
            <reference field="20" count="1" selected="0">
              <x v="67"/>
            </reference>
          </references>
        </pivotArea>
        <pivotArea type="data" collapsedLevelsAreSubtotals="1" fieldPosition="0">
          <references count="5">
            <reference field="4294967294" count="1" selected="0">
              <x v="0"/>
            </reference>
            <reference field="4" count="1" selected="0">
              <x v="119"/>
            </reference>
            <reference field="5" count="1">
              <x v="103"/>
            </reference>
            <reference field="17" count="1" selected="0">
              <x v="118"/>
            </reference>
            <reference field="20" count="1" selected="0">
              <x v="67"/>
            </reference>
          </references>
        </pivotArea>
        <pivotArea type="data" collapsedLevelsAreSubtotals="1" fieldPosition="0">
          <references count="2">
            <reference field="4294967294" count="1" selected="0">
              <x v="0"/>
            </reference>
            <reference field="20" count="1">
              <x v="68"/>
            </reference>
          </references>
        </pivotArea>
        <pivotArea type="data" collapsedLevelsAreSubtotals="1" fieldPosition="0">
          <references count="3">
            <reference field="4294967294" count="1" selected="0">
              <x v="0"/>
            </reference>
            <reference field="17" count="1">
              <x v="14"/>
            </reference>
            <reference field="20" count="1" selected="0">
              <x v="68"/>
            </reference>
          </references>
        </pivotArea>
        <pivotArea type="data" collapsedLevelsAreSubtotals="1" fieldPosition="0">
          <references count="4">
            <reference field="4294967294" count="1" selected="0">
              <x v="0"/>
            </reference>
            <reference field="4" count="1">
              <x v="58"/>
            </reference>
            <reference field="17" count="1" selected="0">
              <x v="14"/>
            </reference>
            <reference field="20" count="1" selected="0">
              <x v="68"/>
            </reference>
          </references>
        </pivotArea>
        <pivotArea type="data" collapsedLevelsAreSubtotals="1" fieldPosition="0">
          <references count="5">
            <reference field="4294967294" count="1" selected="0">
              <x v="0"/>
            </reference>
            <reference field="4" count="1" selected="0">
              <x v="58"/>
            </reference>
            <reference field="5" count="1">
              <x v="91"/>
            </reference>
            <reference field="17" count="1" selected="0">
              <x v="14"/>
            </reference>
            <reference field="20" count="1" selected="0">
              <x v="68"/>
            </reference>
          </references>
        </pivotArea>
        <pivotArea type="data" collapsedLevelsAreSubtotals="1" fieldPosition="0">
          <references count="2">
            <reference field="4294967294" count="1" selected="0">
              <x v="0"/>
            </reference>
            <reference field="20" count="1">
              <x v="69"/>
            </reference>
          </references>
        </pivotArea>
        <pivotArea type="data" collapsedLevelsAreSubtotals="1" fieldPosition="0">
          <references count="3">
            <reference field="4294967294" count="1" selected="0">
              <x v="0"/>
            </reference>
            <reference field="17" count="1">
              <x v="7"/>
            </reference>
            <reference field="20" count="1" selected="0">
              <x v="69"/>
            </reference>
          </references>
        </pivotArea>
        <pivotArea type="data" collapsedLevelsAreSubtotals="1" fieldPosition="0">
          <references count="4">
            <reference field="4294967294" count="1" selected="0">
              <x v="0"/>
            </reference>
            <reference field="4" count="1">
              <x v="67"/>
            </reference>
            <reference field="17" count="1" selected="0">
              <x v="7"/>
            </reference>
            <reference field="20" count="1" selected="0">
              <x v="69"/>
            </reference>
          </references>
        </pivotArea>
        <pivotArea type="data" collapsedLevelsAreSubtotals="1" fieldPosition="0">
          <references count="5">
            <reference field="4294967294" count="1" selected="0">
              <x v="0"/>
            </reference>
            <reference field="4" count="1" selected="0">
              <x v="67"/>
            </reference>
            <reference field="5" count="1">
              <x v="59"/>
            </reference>
            <reference field="17" count="1" selected="0">
              <x v="7"/>
            </reference>
            <reference field="20" count="1" selected="0">
              <x v="69"/>
            </reference>
          </references>
        </pivotArea>
        <pivotArea type="data" collapsedLevelsAreSubtotals="1" fieldPosition="0">
          <references count="2">
            <reference field="4294967294" count="1" selected="0">
              <x v="0"/>
            </reference>
            <reference field="20" count="1">
              <x v="70"/>
            </reference>
          </references>
        </pivotArea>
        <pivotArea type="data" collapsedLevelsAreSubtotals="1" fieldPosition="0">
          <references count="3">
            <reference field="4294967294" count="1" selected="0">
              <x v="0"/>
            </reference>
            <reference field="17" count="1">
              <x v="83"/>
            </reference>
            <reference field="20" count="1" selected="0">
              <x v="70"/>
            </reference>
          </references>
        </pivotArea>
        <pivotArea type="data" collapsedLevelsAreSubtotals="1" fieldPosition="0">
          <references count="4">
            <reference field="4294967294" count="1" selected="0">
              <x v="0"/>
            </reference>
            <reference field="4" count="1">
              <x v="5"/>
            </reference>
            <reference field="17" count="1" selected="0">
              <x v="83"/>
            </reference>
            <reference field="20" count="1" selected="0">
              <x v="70"/>
            </reference>
          </references>
        </pivotArea>
        <pivotArea type="data" collapsedLevelsAreSubtotals="1" fieldPosition="0">
          <references count="5">
            <reference field="4294967294" count="1" selected="0">
              <x v="0"/>
            </reference>
            <reference field="4" count="1" selected="0">
              <x v="5"/>
            </reference>
            <reference field="5" count="2">
              <x v="26"/>
              <x v="35"/>
            </reference>
            <reference field="17" count="1" selected="0">
              <x v="83"/>
            </reference>
            <reference field="20" count="1" selected="0">
              <x v="70"/>
            </reference>
          </references>
        </pivotArea>
        <pivotArea type="data" collapsedLevelsAreSubtotals="1" fieldPosition="0">
          <references count="2">
            <reference field="4294967294" count="1" selected="0">
              <x v="0"/>
            </reference>
            <reference field="20" count="1">
              <x v="72"/>
            </reference>
          </references>
        </pivotArea>
        <pivotArea type="data" collapsedLevelsAreSubtotals="1" fieldPosition="0">
          <references count="3">
            <reference field="4294967294" count="1" selected="0">
              <x v="0"/>
            </reference>
            <reference field="17" count="1">
              <x v="15"/>
            </reference>
            <reference field="20" count="1" selected="0">
              <x v="72"/>
            </reference>
          </references>
        </pivotArea>
        <pivotArea type="data" collapsedLevelsAreSubtotals="1" fieldPosition="0">
          <references count="4">
            <reference field="4294967294" count="1" selected="0">
              <x v="0"/>
            </reference>
            <reference field="4" count="1">
              <x v="56"/>
            </reference>
            <reference field="17" count="1" selected="0">
              <x v="15"/>
            </reference>
            <reference field="20" count="1" selected="0">
              <x v="72"/>
            </reference>
          </references>
        </pivotArea>
        <pivotArea type="data" collapsedLevelsAreSubtotals="1" fieldPosition="0">
          <references count="5">
            <reference field="4294967294" count="1" selected="0">
              <x v="0"/>
            </reference>
            <reference field="4" count="1" selected="0">
              <x v="56"/>
            </reference>
            <reference field="5" count="1">
              <x v="53"/>
            </reference>
            <reference field="17" count="1" selected="0">
              <x v="15"/>
            </reference>
            <reference field="20" count="1" selected="0">
              <x v="72"/>
            </reference>
          </references>
        </pivotArea>
        <pivotArea type="data" collapsedLevelsAreSubtotals="1" fieldPosition="0">
          <references count="2">
            <reference field="4294967294" count="1" selected="0">
              <x v="0"/>
            </reference>
            <reference field="20" count="1">
              <x v="74"/>
            </reference>
          </references>
        </pivotArea>
        <pivotArea type="data" collapsedLevelsAreSubtotals="1" fieldPosition="0">
          <references count="3">
            <reference field="4294967294" count="1" selected="0">
              <x v="0"/>
            </reference>
            <reference field="17" count="1">
              <x v="26"/>
            </reference>
            <reference field="20" count="1" selected="0">
              <x v="74"/>
            </reference>
          </references>
        </pivotArea>
        <pivotArea type="data" collapsedLevelsAreSubtotals="1" fieldPosition="0">
          <references count="4">
            <reference field="4294967294" count="1" selected="0">
              <x v="0"/>
            </reference>
            <reference field="4" count="1">
              <x v="38"/>
            </reference>
            <reference field="17" count="1" selected="0">
              <x v="26"/>
            </reference>
            <reference field="20" count="1" selected="0">
              <x v="74"/>
            </reference>
          </references>
        </pivotArea>
        <pivotArea type="data" collapsedLevelsAreSubtotals="1" fieldPosition="0">
          <references count="5">
            <reference field="4294967294" count="1" selected="0">
              <x v="0"/>
            </reference>
            <reference field="4" count="1" selected="0">
              <x v="38"/>
            </reference>
            <reference field="5" count="1">
              <x v="83"/>
            </reference>
            <reference field="17" count="1" selected="0">
              <x v="26"/>
            </reference>
            <reference field="20" count="1" selected="0">
              <x v="74"/>
            </reference>
          </references>
        </pivotArea>
        <pivotArea type="data" collapsedLevelsAreSubtotals="1" fieldPosition="0">
          <references count="2">
            <reference field="4294967294" count="1" selected="0">
              <x v="0"/>
            </reference>
            <reference field="20" count="1">
              <x v="75"/>
            </reference>
          </references>
        </pivotArea>
        <pivotArea type="data" collapsedLevelsAreSubtotals="1" fieldPosition="0">
          <references count="3">
            <reference field="4294967294" count="1" selected="0">
              <x v="0"/>
            </reference>
            <reference field="17" count="1">
              <x v="113"/>
            </reference>
            <reference field="20" count="1" selected="0">
              <x v="75"/>
            </reference>
          </references>
        </pivotArea>
        <pivotArea type="data" collapsedLevelsAreSubtotals="1" fieldPosition="0">
          <references count="4">
            <reference field="4294967294" count="1" selected="0">
              <x v="0"/>
            </reference>
            <reference field="4" count="1">
              <x v="114"/>
            </reference>
            <reference field="17" count="1" selected="0">
              <x v="113"/>
            </reference>
            <reference field="20" count="1" selected="0">
              <x v="75"/>
            </reference>
          </references>
        </pivotArea>
        <pivotArea type="data" collapsedLevelsAreSubtotals="1" fieldPosition="0">
          <references count="5">
            <reference field="4294967294" count="1" selected="0">
              <x v="0"/>
            </reference>
            <reference field="4" count="1" selected="0">
              <x v="114"/>
            </reference>
            <reference field="5" count="1">
              <x v="94"/>
            </reference>
            <reference field="17" count="1" selected="0">
              <x v="113"/>
            </reference>
            <reference field="20" count="1" selected="0">
              <x v="75"/>
            </reference>
          </references>
        </pivotArea>
        <pivotArea type="data" collapsedLevelsAreSubtotals="1" fieldPosition="0">
          <references count="2">
            <reference field="4294967294" count="1" selected="0">
              <x v="0"/>
            </reference>
            <reference field="20" count="1">
              <x v="77"/>
            </reference>
          </references>
        </pivotArea>
        <pivotArea type="data" collapsedLevelsAreSubtotals="1" fieldPosition="0">
          <references count="3">
            <reference field="4294967294" count="1" selected="0">
              <x v="0"/>
            </reference>
            <reference field="17" count="1">
              <x v="32"/>
            </reference>
            <reference field="20" count="1" selected="0">
              <x v="77"/>
            </reference>
          </references>
        </pivotArea>
        <pivotArea type="data" collapsedLevelsAreSubtotals="1" fieldPosition="0">
          <references count="4">
            <reference field="4294967294" count="1" selected="0">
              <x v="0"/>
            </reference>
            <reference field="4" count="1">
              <x v="24"/>
            </reference>
            <reference field="17" count="1" selected="0">
              <x v="32"/>
            </reference>
            <reference field="20" count="1" selected="0">
              <x v="77"/>
            </reference>
          </references>
        </pivotArea>
        <pivotArea type="data" collapsedLevelsAreSubtotals="1" fieldPosition="0">
          <references count="5">
            <reference field="4294967294" count="1" selected="0">
              <x v="0"/>
            </reference>
            <reference field="4" count="1" selected="0">
              <x v="24"/>
            </reference>
            <reference field="5" count="1">
              <x v="88"/>
            </reference>
            <reference field="17" count="1" selected="0">
              <x v="32"/>
            </reference>
            <reference field="20" count="1" selected="0">
              <x v="77"/>
            </reference>
          </references>
        </pivotArea>
        <pivotArea type="data" collapsedLevelsAreSubtotals="1" fieldPosition="0">
          <references count="2">
            <reference field="4294967294" count="1" selected="0">
              <x v="0"/>
            </reference>
            <reference field="20" count="1">
              <x v="79"/>
            </reference>
          </references>
        </pivotArea>
        <pivotArea type="data" collapsedLevelsAreSubtotals="1" fieldPosition="0">
          <references count="3">
            <reference field="4294967294" count="1" selected="0">
              <x v="0"/>
            </reference>
            <reference field="17" count="1">
              <x v="20"/>
            </reference>
            <reference field="20" count="1" selected="0">
              <x v="79"/>
            </reference>
          </references>
        </pivotArea>
        <pivotArea type="data" collapsedLevelsAreSubtotals="1" fieldPosition="0">
          <references count="4">
            <reference field="4294967294" count="1" selected="0">
              <x v="0"/>
            </reference>
            <reference field="4" count="1">
              <x v="0"/>
            </reference>
            <reference field="17" count="1" selected="0">
              <x v="20"/>
            </reference>
            <reference field="20" count="1" selected="0">
              <x v="79"/>
            </reference>
          </references>
        </pivotArea>
        <pivotArea type="data" collapsedLevelsAreSubtotals="1" fieldPosition="0">
          <references count="5">
            <reference field="4294967294" count="1" selected="0">
              <x v="0"/>
            </reference>
            <reference field="4" count="1" selected="0">
              <x v="0"/>
            </reference>
            <reference field="5" count="1">
              <x v="58"/>
            </reference>
            <reference field="17" count="1" selected="0">
              <x v="20"/>
            </reference>
            <reference field="20" count="1" selected="0">
              <x v="79"/>
            </reference>
          </references>
        </pivotArea>
        <pivotArea type="data" collapsedLevelsAreSubtotals="1" fieldPosition="0">
          <references count="2">
            <reference field="4294967294" count="1" selected="0">
              <x v="0"/>
            </reference>
            <reference field="20" count="1">
              <x v="80"/>
            </reference>
          </references>
        </pivotArea>
        <pivotArea type="data" collapsedLevelsAreSubtotals="1" fieldPosition="0">
          <references count="3">
            <reference field="4294967294" count="1" selected="0">
              <x v="0"/>
            </reference>
            <reference field="17" count="1">
              <x v="10"/>
            </reference>
            <reference field="20" count="1" selected="0">
              <x v="80"/>
            </reference>
          </references>
        </pivotArea>
        <pivotArea type="data" collapsedLevelsAreSubtotals="1" fieldPosition="0">
          <references count="4">
            <reference field="4294967294" count="1" selected="0">
              <x v="0"/>
            </reference>
            <reference field="4" count="1">
              <x v="10"/>
            </reference>
            <reference field="17" count="1" selected="0">
              <x v="10"/>
            </reference>
            <reference field="20" count="1" selected="0">
              <x v="80"/>
            </reference>
          </references>
        </pivotArea>
        <pivotArea type="data" collapsedLevelsAreSubtotals="1" fieldPosition="0">
          <references count="5">
            <reference field="4294967294" count="1" selected="0">
              <x v="0"/>
            </reference>
            <reference field="4" count="1" selected="0">
              <x v="10"/>
            </reference>
            <reference field="5" count="1">
              <x v="92"/>
            </reference>
            <reference field="17" count="1" selected="0">
              <x v="10"/>
            </reference>
            <reference field="20" count="1" selected="0">
              <x v="80"/>
            </reference>
          </references>
        </pivotArea>
        <pivotArea type="data" collapsedLevelsAreSubtotals="1" fieldPosition="0">
          <references count="2">
            <reference field="4294967294" count="1" selected="0">
              <x v="0"/>
            </reference>
            <reference field="20" count="1">
              <x v="81"/>
            </reference>
          </references>
        </pivotArea>
        <pivotArea type="data" collapsedLevelsAreSubtotals="1" fieldPosition="0">
          <references count="3">
            <reference field="4294967294" count="1" selected="0">
              <x v="0"/>
            </reference>
            <reference field="17" count="1">
              <x v="29"/>
            </reference>
            <reference field="20" count="1" selected="0">
              <x v="81"/>
            </reference>
          </references>
        </pivotArea>
        <pivotArea type="data" collapsedLevelsAreSubtotals="1" fieldPosition="0">
          <references count="4">
            <reference field="4294967294" count="1" selected="0">
              <x v="0"/>
            </reference>
            <reference field="4" count="1">
              <x v="44"/>
            </reference>
            <reference field="17" count="1" selected="0">
              <x v="29"/>
            </reference>
            <reference field="20" count="1" selected="0">
              <x v="81"/>
            </reference>
          </references>
        </pivotArea>
        <pivotArea type="data" collapsedLevelsAreSubtotals="1" fieldPosition="0">
          <references count="5">
            <reference field="4294967294" count="1" selected="0">
              <x v="0"/>
            </reference>
            <reference field="4" count="1" selected="0">
              <x v="44"/>
            </reference>
            <reference field="5" count="3">
              <x v="2"/>
              <x v="48"/>
              <x v="66"/>
            </reference>
            <reference field="17" count="1" selected="0">
              <x v="29"/>
            </reference>
            <reference field="20" count="1" selected="0">
              <x v="81"/>
            </reference>
          </references>
        </pivotArea>
        <pivotArea type="data" collapsedLevelsAreSubtotals="1" fieldPosition="0">
          <references count="2">
            <reference field="4294967294" count="1" selected="0">
              <x v="0"/>
            </reference>
            <reference field="20" count="1">
              <x v="85"/>
            </reference>
          </references>
        </pivotArea>
        <pivotArea type="data" collapsedLevelsAreSubtotals="1" fieldPosition="0">
          <references count="3">
            <reference field="4294967294" count="1" selected="0">
              <x v="0"/>
            </reference>
            <reference field="17" count="1">
              <x v="34"/>
            </reference>
            <reference field="20" count="1" selected="0">
              <x v="85"/>
            </reference>
          </references>
        </pivotArea>
        <pivotArea type="data" collapsedLevelsAreSubtotals="1" fieldPosition="0">
          <references count="4">
            <reference field="4294967294" count="1" selected="0">
              <x v="0"/>
            </reference>
            <reference field="4" count="1">
              <x v="80"/>
            </reference>
            <reference field="17" count="1" selected="0">
              <x v="34"/>
            </reference>
            <reference field="20" count="1" selected="0">
              <x v="85"/>
            </reference>
          </references>
        </pivotArea>
        <pivotArea type="data" collapsedLevelsAreSubtotals="1" fieldPosition="0">
          <references count="5">
            <reference field="4294967294" count="1" selected="0">
              <x v="0"/>
            </reference>
            <reference field="4" count="1" selected="0">
              <x v="80"/>
            </reference>
            <reference field="5" count="3">
              <x v="3"/>
              <x v="17"/>
              <x v="48"/>
            </reference>
            <reference field="17" count="1" selected="0">
              <x v="34"/>
            </reference>
            <reference field="20" count="1" selected="0">
              <x v="85"/>
            </reference>
          </references>
        </pivotArea>
        <pivotArea type="data" collapsedLevelsAreSubtotals="1" fieldPosition="0">
          <references count="2">
            <reference field="4294967294" count="1" selected="0">
              <x v="0"/>
            </reference>
            <reference field="20" count="1">
              <x v="88"/>
            </reference>
          </references>
        </pivotArea>
        <pivotArea type="data" collapsedLevelsAreSubtotals="1" fieldPosition="0">
          <references count="3">
            <reference field="4294967294" count="1" selected="0">
              <x v="0"/>
            </reference>
            <reference field="17" count="1">
              <x v="9"/>
            </reference>
            <reference field="20" count="1" selected="0">
              <x v="88"/>
            </reference>
          </references>
        </pivotArea>
        <pivotArea type="data" collapsedLevelsAreSubtotals="1" fieldPosition="0">
          <references count="4">
            <reference field="4294967294" count="1" selected="0">
              <x v="0"/>
            </reference>
            <reference field="4" count="1">
              <x v="61"/>
            </reference>
            <reference field="17" count="1" selected="0">
              <x v="9"/>
            </reference>
            <reference field="20" count="1" selected="0">
              <x v="88"/>
            </reference>
          </references>
        </pivotArea>
        <pivotArea type="data" collapsedLevelsAreSubtotals="1" fieldPosition="0">
          <references count="5">
            <reference field="4294967294" count="1" selected="0">
              <x v="0"/>
            </reference>
            <reference field="4" count="1" selected="0">
              <x v="61"/>
            </reference>
            <reference field="5" count="1">
              <x v="88"/>
            </reference>
            <reference field="17" count="1" selected="0">
              <x v="9"/>
            </reference>
            <reference field="20" count="1" selected="0">
              <x v="88"/>
            </reference>
          </references>
        </pivotArea>
        <pivotArea type="data" collapsedLevelsAreSubtotals="1" fieldPosition="0">
          <references count="2">
            <reference field="4294967294" count="1" selected="0">
              <x v="0"/>
            </reference>
            <reference field="20" count="1">
              <x v="90"/>
            </reference>
          </references>
        </pivotArea>
        <pivotArea type="data" collapsedLevelsAreSubtotals="1" fieldPosition="0">
          <references count="3">
            <reference field="4294967294" count="1" selected="0">
              <x v="0"/>
            </reference>
            <reference field="17" count="1">
              <x v="66"/>
            </reference>
            <reference field="20" count="1" selected="0">
              <x v="90"/>
            </reference>
          </references>
        </pivotArea>
        <pivotArea type="data" collapsedLevelsAreSubtotals="1" fieldPosition="0">
          <references count="4">
            <reference field="4294967294" count="1" selected="0">
              <x v="0"/>
            </reference>
            <reference field="4" count="1">
              <x v="84"/>
            </reference>
            <reference field="17" count="1" selected="0">
              <x v="66"/>
            </reference>
            <reference field="20" count="1" selected="0">
              <x v="90"/>
            </reference>
          </references>
        </pivotArea>
        <pivotArea type="data" collapsedLevelsAreSubtotals="1" fieldPosition="0">
          <references count="5">
            <reference field="4294967294" count="1" selected="0">
              <x v="0"/>
            </reference>
            <reference field="4" count="1" selected="0">
              <x v="84"/>
            </reference>
            <reference field="5" count="2">
              <x v="81"/>
              <x v="103"/>
            </reference>
            <reference field="17" count="1" selected="0">
              <x v="66"/>
            </reference>
            <reference field="20" count="1" selected="0">
              <x v="90"/>
            </reference>
          </references>
        </pivotArea>
        <pivotArea type="data" collapsedLevelsAreSubtotals="1" fieldPosition="0">
          <references count="2">
            <reference field="4294967294" count="1" selected="0">
              <x v="0"/>
            </reference>
            <reference field="20" count="1">
              <x v="91"/>
            </reference>
          </references>
        </pivotArea>
        <pivotArea type="data" collapsedLevelsAreSubtotals="1" fieldPosition="0">
          <references count="3">
            <reference field="4294967294" count="1" selected="0">
              <x v="0"/>
            </reference>
            <reference field="17" count="1">
              <x v="31"/>
            </reference>
            <reference field="20" count="1" selected="0">
              <x v="91"/>
            </reference>
          </references>
        </pivotArea>
        <pivotArea type="data" collapsedLevelsAreSubtotals="1" fieldPosition="0">
          <references count="4">
            <reference field="4294967294" count="1" selected="0">
              <x v="0"/>
            </reference>
            <reference field="4" count="1">
              <x v="31"/>
            </reference>
            <reference field="17" count="1" selected="0">
              <x v="31"/>
            </reference>
            <reference field="20" count="1" selected="0">
              <x v="91"/>
            </reference>
          </references>
        </pivotArea>
        <pivotArea type="data" collapsedLevelsAreSubtotals="1" fieldPosition="0">
          <references count="5">
            <reference field="4294967294" count="1" selected="0">
              <x v="0"/>
            </reference>
            <reference field="4" count="1" selected="0">
              <x v="31"/>
            </reference>
            <reference field="5" count="1">
              <x v="68"/>
            </reference>
            <reference field="17" count="1" selected="0">
              <x v="31"/>
            </reference>
            <reference field="20" count="1" selected="0">
              <x v="91"/>
            </reference>
          </references>
        </pivotArea>
        <pivotArea type="data" collapsedLevelsAreSubtotals="1" fieldPosition="0">
          <references count="2">
            <reference field="4294967294" count="1" selected="0">
              <x v="0"/>
            </reference>
            <reference field="20" count="1">
              <x v="92"/>
            </reference>
          </references>
        </pivotArea>
        <pivotArea type="data" collapsedLevelsAreSubtotals="1" fieldPosition="0">
          <references count="3">
            <reference field="4294967294" count="1" selected="0">
              <x v="0"/>
            </reference>
            <reference field="17" count="1">
              <x v="112"/>
            </reference>
            <reference field="20" count="1" selected="0">
              <x v="92"/>
            </reference>
          </references>
        </pivotArea>
        <pivotArea type="data" collapsedLevelsAreSubtotals="1" fieldPosition="0">
          <references count="4">
            <reference field="4294967294" count="1" selected="0">
              <x v="0"/>
            </reference>
            <reference field="4" count="1">
              <x v="113"/>
            </reference>
            <reference field="17" count="1" selected="0">
              <x v="112"/>
            </reference>
            <reference field="20" count="1" selected="0">
              <x v="92"/>
            </reference>
          </references>
        </pivotArea>
        <pivotArea type="data" collapsedLevelsAreSubtotals="1" fieldPosition="0">
          <references count="5">
            <reference field="4294967294" count="1" selected="0">
              <x v="0"/>
            </reference>
            <reference field="4" count="1" selected="0">
              <x v="113"/>
            </reference>
            <reference field="5" count="1">
              <x v="111"/>
            </reference>
            <reference field="17" count="1" selected="0">
              <x v="112"/>
            </reference>
            <reference field="20" count="1" selected="0">
              <x v="92"/>
            </reference>
          </references>
        </pivotArea>
        <pivotArea type="data" collapsedLevelsAreSubtotals="1" fieldPosition="0">
          <references count="2">
            <reference field="4294967294" count="1" selected="0">
              <x v="0"/>
            </reference>
            <reference field="20" count="1">
              <x v="94"/>
            </reference>
          </references>
        </pivotArea>
        <pivotArea type="data" collapsedLevelsAreSubtotals="1" fieldPosition="0">
          <references count="3">
            <reference field="4294967294" count="1" selected="0">
              <x v="0"/>
            </reference>
            <reference field="17" count="1">
              <x v="52"/>
            </reference>
            <reference field="20" count="1" selected="0">
              <x v="94"/>
            </reference>
          </references>
        </pivotArea>
        <pivotArea type="data" collapsedLevelsAreSubtotals="1" fieldPosition="0">
          <references count="4">
            <reference field="4294967294" count="1" selected="0">
              <x v="0"/>
            </reference>
            <reference field="4" count="1">
              <x v="4"/>
            </reference>
            <reference field="17" count="1" selected="0">
              <x v="52"/>
            </reference>
            <reference field="20" count="1" selected="0">
              <x v="94"/>
            </reference>
          </references>
        </pivotArea>
        <pivotArea type="data" collapsedLevelsAreSubtotals="1" fieldPosition="0">
          <references count="5">
            <reference field="4294967294" count="1" selected="0">
              <x v="0"/>
            </reference>
            <reference field="4" count="1" selected="0">
              <x v="4"/>
            </reference>
            <reference field="5" count="2">
              <x v="70"/>
              <x v="77"/>
            </reference>
            <reference field="17" count="1" selected="0">
              <x v="52"/>
            </reference>
            <reference field="20" count="1" selected="0">
              <x v="94"/>
            </reference>
          </references>
        </pivotArea>
        <pivotArea type="data" collapsedLevelsAreSubtotals="1" fieldPosition="0">
          <references count="2">
            <reference field="4294967294" count="1" selected="0">
              <x v="0"/>
            </reference>
            <reference field="20" count="1">
              <x v="95"/>
            </reference>
          </references>
        </pivotArea>
        <pivotArea type="data" collapsedLevelsAreSubtotals="1" fieldPosition="0">
          <references count="3">
            <reference field="4294967294" count="1" selected="0">
              <x v="0"/>
            </reference>
            <reference field="17" count="1">
              <x v="96"/>
            </reference>
            <reference field="20" count="1" selected="0">
              <x v="95"/>
            </reference>
          </references>
        </pivotArea>
        <pivotArea type="data" collapsedLevelsAreSubtotals="1" fieldPosition="0">
          <references count="4">
            <reference field="4294967294" count="1" selected="0">
              <x v="0"/>
            </reference>
            <reference field="4" count="1">
              <x v="66"/>
            </reference>
            <reference field="17" count="1" selected="0">
              <x v="96"/>
            </reference>
            <reference field="20" count="1" selected="0">
              <x v="95"/>
            </reference>
          </references>
        </pivotArea>
        <pivotArea type="data" collapsedLevelsAreSubtotals="1" fieldPosition="0">
          <references count="5">
            <reference field="4294967294" count="1" selected="0">
              <x v="0"/>
            </reference>
            <reference field="4" count="1" selected="0">
              <x v="66"/>
            </reference>
            <reference field="5" count="2">
              <x v="47"/>
              <x v="104"/>
            </reference>
            <reference field="17" count="1" selected="0">
              <x v="96"/>
            </reference>
            <reference field="20" count="1" selected="0">
              <x v="95"/>
            </reference>
          </references>
        </pivotArea>
        <pivotArea type="data" collapsedLevelsAreSubtotals="1" fieldPosition="0">
          <references count="2">
            <reference field="4294967294" count="1" selected="0">
              <x v="0"/>
            </reference>
            <reference field="20" count="1">
              <x v="96"/>
            </reference>
          </references>
        </pivotArea>
        <pivotArea type="data" collapsedLevelsAreSubtotals="1" fieldPosition="0">
          <references count="3">
            <reference field="4294967294" count="1" selected="0">
              <x v="0"/>
            </reference>
            <reference field="17" count="1">
              <x v="55"/>
            </reference>
            <reference field="20" count="1" selected="0">
              <x v="96"/>
            </reference>
          </references>
        </pivotArea>
        <pivotArea type="data" collapsedLevelsAreSubtotals="1" fieldPosition="0">
          <references count="4">
            <reference field="4294967294" count="1" selected="0">
              <x v="0"/>
            </reference>
            <reference field="4" count="1">
              <x v="86"/>
            </reference>
            <reference field="17" count="1" selected="0">
              <x v="55"/>
            </reference>
            <reference field="20" count="1" selected="0">
              <x v="96"/>
            </reference>
          </references>
        </pivotArea>
        <pivotArea type="data" collapsedLevelsAreSubtotals="1" fieldPosition="0">
          <references count="5">
            <reference field="4294967294" count="1" selected="0">
              <x v="0"/>
            </reference>
            <reference field="4" count="1" selected="0">
              <x v="86"/>
            </reference>
            <reference field="5" count="1">
              <x v="74"/>
            </reference>
            <reference field="17" count="1" selected="0">
              <x v="55"/>
            </reference>
            <reference field="20" count="1" selected="0">
              <x v="96"/>
            </reference>
          </references>
        </pivotArea>
        <pivotArea type="data" collapsedLevelsAreSubtotals="1" fieldPosition="0">
          <references count="2">
            <reference field="4294967294" count="1" selected="0">
              <x v="0"/>
            </reference>
            <reference field="20" count="1">
              <x v="101"/>
            </reference>
          </references>
        </pivotArea>
        <pivotArea type="data" collapsedLevelsAreSubtotals="1" fieldPosition="0">
          <references count="3">
            <reference field="4294967294" count="1" selected="0">
              <x v="0"/>
            </reference>
            <reference field="17" count="1">
              <x v="116"/>
            </reference>
            <reference field="20" count="1" selected="0">
              <x v="101"/>
            </reference>
          </references>
        </pivotArea>
        <pivotArea type="data" collapsedLevelsAreSubtotals="1" fieldPosition="0">
          <references count="4">
            <reference field="4294967294" count="1" selected="0">
              <x v="0"/>
            </reference>
            <reference field="4" count="1">
              <x v="117"/>
            </reference>
            <reference field="17" count="1" selected="0">
              <x v="116"/>
            </reference>
            <reference field="20" count="1" selected="0">
              <x v="101"/>
            </reference>
          </references>
        </pivotArea>
        <pivotArea type="data" collapsedLevelsAreSubtotals="1" fieldPosition="0">
          <references count="5">
            <reference field="4294967294" count="1" selected="0">
              <x v="0"/>
            </reference>
            <reference field="4" count="1" selected="0">
              <x v="117"/>
            </reference>
            <reference field="5" count="1">
              <x v="111"/>
            </reference>
            <reference field="17" count="1" selected="0">
              <x v="116"/>
            </reference>
            <reference field="20" count="1" selected="0">
              <x v="101"/>
            </reference>
          </references>
        </pivotArea>
        <pivotArea type="data" collapsedLevelsAreSubtotals="1" fieldPosition="0">
          <references count="2">
            <reference field="4294967294" count="1" selected="0">
              <x v="0"/>
            </reference>
            <reference field="20" count="1">
              <x v="102"/>
            </reference>
          </references>
        </pivotArea>
        <pivotArea type="data" collapsedLevelsAreSubtotals="1" fieldPosition="0">
          <references count="3">
            <reference field="4294967294" count="1" selected="0">
              <x v="0"/>
            </reference>
            <reference field="17" count="1">
              <x v="28"/>
            </reference>
            <reference field="20" count="1" selected="0">
              <x v="102"/>
            </reference>
          </references>
        </pivotArea>
        <pivotArea type="data" collapsedLevelsAreSubtotals="1" fieldPosition="0">
          <references count="4">
            <reference field="4294967294" count="1" selected="0">
              <x v="0"/>
            </reference>
            <reference field="4" count="1">
              <x v="89"/>
            </reference>
            <reference field="17" count="1" selected="0">
              <x v="28"/>
            </reference>
            <reference field="20" count="1" selected="0">
              <x v="102"/>
            </reference>
          </references>
        </pivotArea>
        <pivotArea type="data" collapsedLevelsAreSubtotals="1" fieldPosition="0">
          <references count="5">
            <reference field="4294967294" count="1" selected="0">
              <x v="0"/>
            </reference>
            <reference field="4" count="1" selected="0">
              <x v="89"/>
            </reference>
            <reference field="5" count="1">
              <x v="94"/>
            </reference>
            <reference field="17" count="1" selected="0">
              <x v="28"/>
            </reference>
            <reference field="20" count="1" selected="0">
              <x v="102"/>
            </reference>
          </references>
        </pivotArea>
        <pivotArea type="data" collapsedLevelsAreSubtotals="1" fieldPosition="0">
          <references count="2">
            <reference field="4294967294" count="1" selected="0">
              <x v="0"/>
            </reference>
            <reference field="20" count="1">
              <x v="103"/>
            </reference>
          </references>
        </pivotArea>
        <pivotArea type="data" collapsedLevelsAreSubtotals="1" fieldPosition="0">
          <references count="3">
            <reference field="4294967294" count="1" selected="0">
              <x v="0"/>
            </reference>
            <reference field="17" count="1">
              <x v="106"/>
            </reference>
            <reference field="20" count="1" selected="0">
              <x v="103"/>
            </reference>
          </references>
        </pivotArea>
        <pivotArea type="data" collapsedLevelsAreSubtotals="1" fieldPosition="0">
          <references count="4">
            <reference field="4294967294" count="1" selected="0">
              <x v="0"/>
            </reference>
            <reference field="4" count="1">
              <x v="107"/>
            </reference>
            <reference field="17" count="1" selected="0">
              <x v="106"/>
            </reference>
            <reference field="20" count="1" selected="0">
              <x v="103"/>
            </reference>
          </references>
        </pivotArea>
        <pivotArea type="data" collapsedLevelsAreSubtotals="1" fieldPosition="0">
          <references count="5">
            <reference field="4294967294" count="1" selected="0">
              <x v="0"/>
            </reference>
            <reference field="4" count="1" selected="0">
              <x v="107"/>
            </reference>
            <reference field="5" count="1">
              <x v="108"/>
            </reference>
            <reference field="17" count="1" selected="0">
              <x v="106"/>
            </reference>
            <reference field="20" count="1" selected="0">
              <x v="103"/>
            </reference>
          </references>
        </pivotArea>
        <pivotArea type="data" collapsedLevelsAreSubtotals="1" fieldPosition="0">
          <references count="2">
            <reference field="4294967294" count="1" selected="0">
              <x v="0"/>
            </reference>
            <reference field="20" count="1">
              <x v="104"/>
            </reference>
          </references>
        </pivotArea>
        <pivotArea type="data" collapsedLevelsAreSubtotals="1" fieldPosition="0">
          <references count="3">
            <reference field="4294967294" count="1" selected="0">
              <x v="0"/>
            </reference>
            <reference field="17" count="1">
              <x v="109"/>
            </reference>
            <reference field="20" count="1" selected="0">
              <x v="104"/>
            </reference>
          </references>
        </pivotArea>
        <pivotArea type="data" collapsedLevelsAreSubtotals="1" fieldPosition="0">
          <references count="4">
            <reference field="4294967294" count="1" selected="0">
              <x v="0"/>
            </reference>
            <reference field="4" count="1">
              <x v="110"/>
            </reference>
            <reference field="17" count="1" selected="0">
              <x v="109"/>
            </reference>
            <reference field="20" count="1" selected="0">
              <x v="104"/>
            </reference>
          </references>
        </pivotArea>
        <pivotArea type="data" collapsedLevelsAreSubtotals="1" fieldPosition="0">
          <references count="5">
            <reference field="4294967294" count="1" selected="0">
              <x v="0"/>
            </reference>
            <reference field="4" count="1" selected="0">
              <x v="110"/>
            </reference>
            <reference field="5" count="1">
              <x v="100"/>
            </reference>
            <reference field="17" count="1" selected="0">
              <x v="109"/>
            </reference>
            <reference field="20" count="1" selected="0">
              <x v="104"/>
            </reference>
          </references>
        </pivotArea>
        <pivotArea type="data" collapsedLevelsAreSubtotals="1" fieldPosition="0">
          <references count="2">
            <reference field="4294967294" count="1" selected="0">
              <x v="0"/>
            </reference>
            <reference field="20" count="1">
              <x v="107"/>
            </reference>
          </references>
        </pivotArea>
        <pivotArea type="data" collapsedLevelsAreSubtotals="1" fieldPosition="0">
          <references count="3">
            <reference field="4294967294" count="1" selected="0">
              <x v="0"/>
            </reference>
            <reference field="17" count="1">
              <x v="75"/>
            </reference>
            <reference field="20" count="1" selected="0">
              <x v="107"/>
            </reference>
          </references>
        </pivotArea>
        <pivotArea type="data" collapsedLevelsAreSubtotals="1" fieldPosition="0">
          <references count="4">
            <reference field="4294967294" count="1" selected="0">
              <x v="0"/>
            </reference>
            <reference field="4" count="1">
              <x v="14"/>
            </reference>
            <reference field="17" count="1" selected="0">
              <x v="75"/>
            </reference>
            <reference field="20" count="1" selected="0">
              <x v="107"/>
            </reference>
          </references>
        </pivotArea>
        <pivotArea type="data" collapsedLevelsAreSubtotals="1" fieldPosition="0">
          <references count="5">
            <reference field="4294967294" count="1" selected="0">
              <x v="0"/>
            </reference>
            <reference field="4" count="1" selected="0">
              <x v="14"/>
            </reference>
            <reference field="5" count="3">
              <x v="15"/>
              <x v="28"/>
              <x v="43"/>
            </reference>
            <reference field="17" count="1" selected="0">
              <x v="75"/>
            </reference>
            <reference field="20" count="1" selected="0">
              <x v="107"/>
            </reference>
          </references>
        </pivotArea>
        <pivotArea type="data" collapsedLevelsAreSubtotals="1" fieldPosition="0">
          <references count="2">
            <reference field="4294967294" count="1" selected="0">
              <x v="0"/>
            </reference>
            <reference field="20" count="1">
              <x v="108"/>
            </reference>
          </references>
        </pivotArea>
        <pivotArea type="data" collapsedLevelsAreSubtotals="1" fieldPosition="0">
          <references count="3">
            <reference field="4294967294" count="1" selected="0">
              <x v="0"/>
            </reference>
            <reference field="17" count="1">
              <x v="107"/>
            </reference>
            <reference field="20" count="1" selected="0">
              <x v="108"/>
            </reference>
          </references>
        </pivotArea>
        <pivotArea type="data" collapsedLevelsAreSubtotals="1" fieldPosition="0">
          <references count="4">
            <reference field="4294967294" count="1" selected="0">
              <x v="0"/>
            </reference>
            <reference field="4" count="1">
              <x v="108"/>
            </reference>
            <reference field="17" count="1" selected="0">
              <x v="107"/>
            </reference>
            <reference field="20" count="1" selected="0">
              <x v="108"/>
            </reference>
          </references>
        </pivotArea>
        <pivotArea type="data" collapsedLevelsAreSubtotals="1" fieldPosition="0">
          <references count="5">
            <reference field="4294967294" count="1" selected="0">
              <x v="0"/>
            </reference>
            <reference field="4" count="1" selected="0">
              <x v="108"/>
            </reference>
            <reference field="5" count="1">
              <x v="108"/>
            </reference>
            <reference field="17" count="1" selected="0">
              <x v="107"/>
            </reference>
            <reference field="20" count="1" selected="0">
              <x v="108"/>
            </reference>
          </references>
        </pivotArea>
        <pivotArea type="data" collapsedLevelsAreSubtotals="1" fieldPosition="0">
          <references count="2">
            <reference field="4294967294" count="1" selected="0">
              <x v="0"/>
            </reference>
            <reference field="20" count="1">
              <x v="109"/>
            </reference>
          </references>
        </pivotArea>
        <pivotArea type="data" collapsedLevelsAreSubtotals="1" fieldPosition="0">
          <references count="3">
            <reference field="4294967294" count="1" selected="0">
              <x v="0"/>
            </reference>
            <reference field="17" count="1">
              <x v="110"/>
            </reference>
            <reference field="20" count="1" selected="0">
              <x v="109"/>
            </reference>
          </references>
        </pivotArea>
        <pivotArea type="data" collapsedLevelsAreSubtotals="1" fieldPosition="0">
          <references count="4">
            <reference field="4294967294" count="1" selected="0">
              <x v="0"/>
            </reference>
            <reference field="4" count="1">
              <x v="111"/>
            </reference>
            <reference field="17" count="1" selected="0">
              <x v="110"/>
            </reference>
            <reference field="20" count="1" selected="0">
              <x v="109"/>
            </reference>
          </references>
        </pivotArea>
        <pivotArea type="data" collapsedLevelsAreSubtotals="1" fieldPosition="0">
          <references count="5">
            <reference field="4294967294" count="1" selected="0">
              <x v="0"/>
            </reference>
            <reference field="4" count="1" selected="0">
              <x v="111"/>
            </reference>
            <reference field="5" count="1">
              <x v="109"/>
            </reference>
            <reference field="17" count="1" selected="0">
              <x v="110"/>
            </reference>
            <reference field="20" count="1" selected="0">
              <x v="109"/>
            </reference>
          </references>
        </pivotArea>
        <pivotArea type="data" collapsedLevelsAreSubtotals="1" fieldPosition="0">
          <references count="2">
            <reference field="4294967294" count="1" selected="0">
              <x v="0"/>
            </reference>
            <reference field="20" count="1">
              <x v="110"/>
            </reference>
          </references>
        </pivotArea>
        <pivotArea type="data" collapsedLevelsAreSubtotals="1" fieldPosition="0">
          <references count="3">
            <reference field="4294967294" count="1" selected="0">
              <x v="0"/>
            </reference>
            <reference field="17" count="1">
              <x v="114"/>
            </reference>
            <reference field="20" count="1" selected="0">
              <x v="110"/>
            </reference>
          </references>
        </pivotArea>
        <pivotArea type="data" collapsedLevelsAreSubtotals="1" fieldPosition="0">
          <references count="4">
            <reference field="4294967294" count="1" selected="0">
              <x v="0"/>
            </reference>
            <reference field="4" count="1">
              <x v="115"/>
            </reference>
            <reference field="17" count="1" selected="0">
              <x v="114"/>
            </reference>
            <reference field="20" count="1" selected="0">
              <x v="110"/>
            </reference>
          </references>
        </pivotArea>
        <pivotArea type="data" collapsedLevelsAreSubtotals="1" fieldPosition="0">
          <references count="5">
            <reference field="4294967294" count="1" selected="0">
              <x v="0"/>
            </reference>
            <reference field="4" count="1" selected="0">
              <x v="115"/>
            </reference>
            <reference field="5" count="1">
              <x v="112"/>
            </reference>
            <reference field="17" count="1" selected="0">
              <x v="114"/>
            </reference>
            <reference field="20" count="1" selected="0">
              <x v="110"/>
            </reference>
          </references>
        </pivotArea>
        <pivotArea type="data" collapsedLevelsAreSubtotals="1" fieldPosition="0">
          <references count="2">
            <reference field="4294967294" count="1" selected="0">
              <x v="0"/>
            </reference>
            <reference field="20" count="1">
              <x v="111"/>
            </reference>
          </references>
        </pivotArea>
        <pivotArea type="data" collapsedLevelsAreSubtotals="1" fieldPosition="0">
          <references count="3">
            <reference field="4294967294" count="1" selected="0">
              <x v="0"/>
            </reference>
            <reference field="17" count="1">
              <x v="44"/>
            </reference>
            <reference field="20" count="1" selected="0">
              <x v="111"/>
            </reference>
          </references>
        </pivotArea>
        <pivotArea type="data" collapsedLevelsAreSubtotals="1" fieldPosition="0">
          <references count="4">
            <reference field="4294967294" count="1" selected="0">
              <x v="0"/>
            </reference>
            <reference field="4" count="1">
              <x v="72"/>
            </reference>
            <reference field="17" count="1" selected="0">
              <x v="44"/>
            </reference>
            <reference field="20" count="1" selected="0">
              <x v="111"/>
            </reference>
          </references>
        </pivotArea>
        <pivotArea type="data" collapsedLevelsAreSubtotals="1" fieldPosition="0">
          <references count="5">
            <reference field="4294967294" count="1" selected="0">
              <x v="0"/>
            </reference>
            <reference field="4" count="1" selected="0">
              <x v="72"/>
            </reference>
            <reference field="5" count="2">
              <x v="71"/>
              <x v="73"/>
            </reference>
            <reference field="17" count="1" selected="0">
              <x v="44"/>
            </reference>
            <reference field="20" count="1" selected="0">
              <x v="111"/>
            </reference>
          </references>
        </pivotArea>
        <pivotArea type="data" collapsedLevelsAreSubtotals="1" fieldPosition="0">
          <references count="2">
            <reference field="4294967294" count="1" selected="0">
              <x v="0"/>
            </reference>
            <reference field="20" count="1">
              <x v="114"/>
            </reference>
          </references>
        </pivotArea>
        <pivotArea type="data" collapsedLevelsAreSubtotals="1" fieldPosition="0">
          <references count="3">
            <reference field="4294967294" count="1" selected="0">
              <x v="0"/>
            </reference>
            <reference field="17" count="1">
              <x v="36"/>
            </reference>
            <reference field="20" count="1" selected="0">
              <x v="114"/>
            </reference>
          </references>
        </pivotArea>
        <pivotArea type="data" collapsedLevelsAreSubtotals="1" fieldPosition="0">
          <references count="4">
            <reference field="4294967294" count="1" selected="0">
              <x v="0"/>
            </reference>
            <reference field="4" count="1">
              <x v="48"/>
            </reference>
            <reference field="17" count="1" selected="0">
              <x v="36"/>
            </reference>
            <reference field="20" count="1" selected="0">
              <x v="114"/>
            </reference>
          </references>
        </pivotArea>
        <pivotArea type="data" collapsedLevelsAreSubtotals="1" fieldPosition="0">
          <references count="5">
            <reference field="4294967294" count="1" selected="0">
              <x v="0"/>
            </reference>
            <reference field="4" count="1" selected="0">
              <x v="48"/>
            </reference>
            <reference field="5" count="1">
              <x v="93"/>
            </reference>
            <reference field="17" count="1" selected="0">
              <x v="36"/>
            </reference>
            <reference field="20" count="1" selected="0">
              <x v="114"/>
            </reference>
          </references>
        </pivotArea>
        <pivotArea type="data" collapsedLevelsAreSubtotals="1" fieldPosition="0">
          <references count="2">
            <reference field="4294967294" count="1" selected="0">
              <x v="0"/>
            </reference>
            <reference field="20" count="1">
              <x v="117"/>
            </reference>
          </references>
        </pivotArea>
        <pivotArea type="data" collapsedLevelsAreSubtotals="1" fieldPosition="0">
          <references count="3">
            <reference field="4294967294" count="1" selected="0">
              <x v="0"/>
            </reference>
            <reference field="17" count="1">
              <x v="77"/>
            </reference>
            <reference field="20" count="1" selected="0">
              <x v="117"/>
            </reference>
          </references>
        </pivotArea>
        <pivotArea type="data" collapsedLevelsAreSubtotals="1" fieldPosition="0">
          <references count="4">
            <reference field="4294967294" count="1" selected="0">
              <x v="0"/>
            </reference>
            <reference field="4" count="1">
              <x v="13"/>
            </reference>
            <reference field="17" count="1" selected="0">
              <x v="77"/>
            </reference>
            <reference field="20" count="1" selected="0">
              <x v="117"/>
            </reference>
          </references>
        </pivotArea>
        <pivotArea type="data" collapsedLevelsAreSubtotals="1" fieldPosition="0">
          <references count="5">
            <reference field="4294967294" count="1" selected="0">
              <x v="0"/>
            </reference>
            <reference field="4" count="1" selected="0">
              <x v="13"/>
            </reference>
            <reference field="5" count="2">
              <x v="19"/>
              <x v="24"/>
            </reference>
            <reference field="17" count="1" selected="0">
              <x v="77"/>
            </reference>
            <reference field="20" count="1" selected="0">
              <x v="117"/>
            </reference>
          </references>
        </pivotArea>
        <pivotArea type="data" collapsedLevelsAreSubtotals="1" fieldPosition="0">
          <references count="2">
            <reference field="4294967294" count="1" selected="0">
              <x v="0"/>
            </reference>
            <reference field="20" count="1">
              <x v="118"/>
            </reference>
          </references>
        </pivotArea>
        <pivotArea type="data" collapsedLevelsAreSubtotals="1" fieldPosition="0">
          <references count="3">
            <reference field="4294967294" count="1" selected="0">
              <x v="0"/>
            </reference>
            <reference field="17" count="1">
              <x v="76"/>
            </reference>
            <reference field="20" count="1" selected="0">
              <x v="118"/>
            </reference>
          </references>
        </pivotArea>
        <pivotArea type="data" collapsedLevelsAreSubtotals="1" fieldPosition="0">
          <references count="4">
            <reference field="4294967294" count="1" selected="0">
              <x v="0"/>
            </reference>
            <reference field="4" count="1">
              <x v="68"/>
            </reference>
            <reference field="17" count="1" selected="0">
              <x v="76"/>
            </reference>
            <reference field="20" count="1" selected="0">
              <x v="118"/>
            </reference>
          </references>
        </pivotArea>
        <pivotArea type="data" collapsedLevelsAreSubtotals="1" fieldPosition="0">
          <references count="5">
            <reference field="4294967294" count="1" selected="0">
              <x v="0"/>
            </reference>
            <reference field="4" count="1" selected="0">
              <x v="68"/>
            </reference>
            <reference field="5" count="2">
              <x v="20"/>
              <x v="27"/>
            </reference>
            <reference field="17" count="1" selected="0">
              <x v="76"/>
            </reference>
            <reference field="20" count="1" selected="0">
              <x v="118"/>
            </reference>
          </references>
        </pivotArea>
        <pivotArea type="data" collapsedLevelsAreSubtotals="1" fieldPosition="0">
          <references count="2">
            <reference field="4294967294" count="1" selected="0">
              <x v="0"/>
            </reference>
            <reference field="20" count="1">
              <x v="119"/>
            </reference>
          </references>
        </pivotArea>
        <pivotArea type="data" collapsedLevelsAreSubtotals="1" fieldPosition="0">
          <references count="3">
            <reference field="4294967294" count="1" selected="0">
              <x v="0"/>
            </reference>
            <reference field="17" count="1">
              <x v="56"/>
            </reference>
            <reference field="20" count="1" selected="0">
              <x v="119"/>
            </reference>
          </references>
        </pivotArea>
        <pivotArea type="data" collapsedLevelsAreSubtotals="1" fieldPosition="0">
          <references count="4">
            <reference field="4294967294" count="1" selected="0">
              <x v="0"/>
            </reference>
            <reference field="4" count="1">
              <x v="87"/>
            </reference>
            <reference field="17" count="1" selected="0">
              <x v="56"/>
            </reference>
            <reference field="20" count="1" selected="0">
              <x v="119"/>
            </reference>
          </references>
        </pivotArea>
        <pivotArea type="data" collapsedLevelsAreSubtotals="1" fieldPosition="0">
          <references count="5">
            <reference field="4294967294" count="1" selected="0">
              <x v="0"/>
            </reference>
            <reference field="4" count="1" selected="0">
              <x v="87"/>
            </reference>
            <reference field="5" count="1">
              <x v="90"/>
            </reference>
            <reference field="17" count="1" selected="0">
              <x v="56"/>
            </reference>
            <reference field="20" count="1" selected="0">
              <x v="119"/>
            </reference>
          </references>
        </pivotArea>
        <pivotArea type="data" collapsedLevelsAreSubtotals="1" fieldPosition="0">
          <references count="2">
            <reference field="4294967294" count="1" selected="0">
              <x v="0"/>
            </reference>
            <reference field="20" count="1">
              <x v="121"/>
            </reference>
          </references>
        </pivotArea>
        <pivotArea type="data" collapsedLevelsAreSubtotals="1" fieldPosition="0">
          <references count="3">
            <reference field="4294967294" count="1" selected="0">
              <x v="0"/>
            </reference>
            <reference field="17" count="1">
              <x v="40"/>
            </reference>
            <reference field="20" count="1" selected="0">
              <x v="121"/>
            </reference>
          </references>
        </pivotArea>
        <pivotArea type="data" collapsedLevelsAreSubtotals="1" fieldPosition="0">
          <references count="4">
            <reference field="4294967294" count="1" selected="0">
              <x v="0"/>
            </reference>
            <reference field="4" count="1">
              <x v="83"/>
            </reference>
            <reference field="17" count="1" selected="0">
              <x v="40"/>
            </reference>
            <reference field="20" count="1" selected="0">
              <x v="121"/>
            </reference>
          </references>
        </pivotArea>
        <pivotArea type="data" collapsedLevelsAreSubtotals="1" fieldPosition="0">
          <references count="5">
            <reference field="4294967294" count="1" selected="0">
              <x v="0"/>
            </reference>
            <reference field="4" count="1" selected="0">
              <x v="83"/>
            </reference>
            <reference field="5" count="1">
              <x v="85"/>
            </reference>
            <reference field="17" count="1" selected="0">
              <x v="40"/>
            </reference>
            <reference field="20" count="1" selected="0">
              <x v="121"/>
            </reference>
          </references>
        </pivotArea>
        <pivotArea type="data" collapsedLevelsAreSubtotals="1" fieldPosition="0">
          <references count="2">
            <reference field="4294967294" count="1" selected="0">
              <x v="0"/>
            </reference>
            <reference field="20" count="1">
              <x v="123"/>
            </reference>
          </references>
        </pivotArea>
        <pivotArea type="data" collapsedLevelsAreSubtotals="1" fieldPosition="0">
          <references count="3">
            <reference field="4294967294" count="1" selected="0">
              <x v="0"/>
            </reference>
            <reference field="17" count="1">
              <x v="78"/>
            </reference>
            <reference field="20" count="1" selected="0">
              <x v="123"/>
            </reference>
          </references>
        </pivotArea>
        <pivotArea type="data" collapsedLevelsAreSubtotals="1" fieldPosition="0">
          <references count="4">
            <reference field="4294967294" count="1" selected="0">
              <x v="0"/>
            </reference>
            <reference field="4" count="1">
              <x v="103"/>
            </reference>
            <reference field="17" count="1" selected="0">
              <x v="78"/>
            </reference>
            <reference field="20" count="1" selected="0">
              <x v="123"/>
            </reference>
          </references>
        </pivotArea>
        <pivotArea type="data" collapsedLevelsAreSubtotals="1" fieldPosition="0">
          <references count="5">
            <reference field="4294967294" count="1" selected="0">
              <x v="0"/>
            </reference>
            <reference field="4" count="1" selected="0">
              <x v="103"/>
            </reference>
            <reference field="5" count="1">
              <x v="25"/>
            </reference>
            <reference field="17" count="1" selected="0">
              <x v="78"/>
            </reference>
            <reference field="20" count="1" selected="0">
              <x v="123"/>
            </reference>
          </references>
        </pivotArea>
        <pivotArea type="data" collapsedLevelsAreSubtotals="1" fieldPosition="0">
          <references count="2">
            <reference field="4294967294" count="1" selected="0">
              <x v="0"/>
            </reference>
            <reference field="20" count="1">
              <x v="129"/>
            </reference>
          </references>
        </pivotArea>
        <pivotArea type="data" collapsedLevelsAreSubtotals="1" fieldPosition="0">
          <references count="3">
            <reference field="4294967294" count="1" selected="0">
              <x v="0"/>
            </reference>
            <reference field="17" count="1">
              <x v="21"/>
            </reference>
            <reference field="20" count="1" selected="0">
              <x v="129"/>
            </reference>
          </references>
        </pivotArea>
        <pivotArea type="data" collapsedLevelsAreSubtotals="1" fieldPosition="0">
          <references count="4">
            <reference field="4294967294" count="1" selected="0">
              <x v="0"/>
            </reference>
            <reference field="4" count="1">
              <x v="21"/>
            </reference>
            <reference field="17" count="1" selected="0">
              <x v="21"/>
            </reference>
            <reference field="20" count="1" selected="0">
              <x v="129"/>
            </reference>
          </references>
        </pivotArea>
        <pivotArea type="data" collapsedLevelsAreSubtotals="1" fieldPosition="0">
          <references count="5">
            <reference field="4294967294" count="1" selected="0">
              <x v="0"/>
            </reference>
            <reference field="4" count="1" selected="0">
              <x v="21"/>
            </reference>
            <reference field="5" count="1">
              <x v="98"/>
            </reference>
            <reference field="17" count="1" selected="0">
              <x v="21"/>
            </reference>
            <reference field="20" count="1" selected="0">
              <x v="129"/>
            </reference>
          </references>
        </pivotArea>
        <pivotArea type="data" collapsedLevelsAreSubtotals="1" fieldPosition="0">
          <references count="2">
            <reference field="4294967294" count="1" selected="0">
              <x v="0"/>
            </reference>
            <reference field="20" count="1">
              <x v="130"/>
            </reference>
          </references>
        </pivotArea>
        <pivotArea type="data" collapsedLevelsAreSubtotals="1" fieldPosition="0">
          <references count="3">
            <reference field="4294967294" count="1" selected="0">
              <x v="0"/>
            </reference>
            <reference field="17" count="1">
              <x v="104"/>
            </reference>
            <reference field="20" count="1" selected="0">
              <x v="130"/>
            </reference>
          </references>
        </pivotArea>
        <pivotArea type="data" collapsedLevelsAreSubtotals="1" fieldPosition="0">
          <references count="4">
            <reference field="4294967294" count="1" selected="0">
              <x v="0"/>
            </reference>
            <reference field="4" count="1">
              <x v="105"/>
            </reference>
            <reference field="17" count="1" selected="0">
              <x v="104"/>
            </reference>
            <reference field="20" count="1" selected="0">
              <x v="130"/>
            </reference>
          </references>
        </pivotArea>
        <pivotArea type="data" collapsedLevelsAreSubtotals="1" fieldPosition="0">
          <references count="5">
            <reference field="4294967294" count="1" selected="0">
              <x v="0"/>
            </reference>
            <reference field="4" count="1" selected="0">
              <x v="105"/>
            </reference>
            <reference field="5" count="1">
              <x v="92"/>
            </reference>
            <reference field="17" count="1" selected="0">
              <x v="104"/>
            </reference>
            <reference field="20" count="1" selected="0">
              <x v="130"/>
            </reference>
          </references>
        </pivotArea>
        <pivotArea type="data" collapsedLevelsAreSubtotals="1" fieldPosition="0">
          <references count="2">
            <reference field="4294967294" count="1" selected="0">
              <x v="0"/>
            </reference>
            <reference field="20" count="1">
              <x v="131"/>
            </reference>
          </references>
        </pivotArea>
        <pivotArea type="data" collapsedLevelsAreSubtotals="1" fieldPosition="0">
          <references count="3">
            <reference field="4294967294" count="1" selected="0">
              <x v="0"/>
            </reference>
            <reference field="17" count="1">
              <x v="84"/>
            </reference>
            <reference field="20" count="1" selected="0">
              <x v="131"/>
            </reference>
          </references>
        </pivotArea>
        <pivotArea type="data" collapsedLevelsAreSubtotals="1" fieldPosition="0">
          <references count="4">
            <reference field="4294967294" count="1" selected="0">
              <x v="0"/>
            </reference>
            <reference field="4" count="1">
              <x v="40"/>
            </reference>
            <reference field="17" count="1" selected="0">
              <x v="84"/>
            </reference>
            <reference field="20" count="1" selected="0">
              <x v="131"/>
            </reference>
          </references>
        </pivotArea>
        <pivotArea type="data" collapsedLevelsAreSubtotals="1" fieldPosition="0">
          <references count="5">
            <reference field="4294967294" count="1" selected="0">
              <x v="0"/>
            </reference>
            <reference field="4" count="1" selected="0">
              <x v="40"/>
            </reference>
            <reference field="5" count="1">
              <x v="31"/>
            </reference>
            <reference field="17" count="1" selected="0">
              <x v="84"/>
            </reference>
            <reference field="20" count="1" selected="0">
              <x v="131"/>
            </reference>
          </references>
        </pivotArea>
        <pivotArea type="data" collapsedLevelsAreSubtotals="1" fieldPosition="0">
          <references count="2">
            <reference field="4294967294" count="1" selected="0">
              <x v="0"/>
            </reference>
            <reference field="20" count="1">
              <x v="132"/>
            </reference>
          </references>
        </pivotArea>
        <pivotArea type="data" collapsedLevelsAreSubtotals="1" fieldPosition="0">
          <references count="3">
            <reference field="4294967294" count="1" selected="0">
              <x v="0"/>
            </reference>
            <reference field="17" count="1">
              <x v="86"/>
            </reference>
            <reference field="20" count="1" selected="0">
              <x v="132"/>
            </reference>
          </references>
        </pivotArea>
        <pivotArea type="data" collapsedLevelsAreSubtotals="1" fieldPosition="0">
          <references count="4">
            <reference field="4294967294" count="1" selected="0">
              <x v="0"/>
            </reference>
            <reference field="4" count="1">
              <x v="78"/>
            </reference>
            <reference field="17" count="1" selected="0">
              <x v="86"/>
            </reference>
            <reference field="20" count="1" selected="0">
              <x v="132"/>
            </reference>
          </references>
        </pivotArea>
        <pivotArea type="data" collapsedLevelsAreSubtotals="1" fieldPosition="0">
          <references count="5">
            <reference field="4294967294" count="1" selected="0">
              <x v="0"/>
            </reference>
            <reference field="4" count="1" selected="0">
              <x v="78"/>
            </reference>
            <reference field="5" count="1">
              <x v="33"/>
            </reference>
            <reference field="17" count="1" selected="0">
              <x v="86"/>
            </reference>
            <reference field="20" count="1" selected="0">
              <x v="132"/>
            </reference>
          </references>
        </pivotArea>
        <pivotArea type="data" collapsedLevelsAreSubtotals="1" fieldPosition="0">
          <references count="2">
            <reference field="4294967294" count="1" selected="0">
              <x v="0"/>
            </reference>
            <reference field="20" count="1">
              <x v="133"/>
            </reference>
          </references>
        </pivotArea>
        <pivotArea type="data" collapsedLevelsAreSubtotals="1" fieldPosition="0">
          <references count="3">
            <reference field="4294967294" count="1" selected="0">
              <x v="0"/>
            </reference>
            <reference field="17" count="1">
              <x v="37"/>
            </reference>
            <reference field="20" count="1" selected="0">
              <x v="133"/>
            </reference>
          </references>
        </pivotArea>
        <pivotArea type="data" collapsedLevelsAreSubtotals="1" fieldPosition="0">
          <references count="4">
            <reference field="4294967294" count="1" selected="0">
              <x v="0"/>
            </reference>
            <reference field="4" count="1">
              <x v="71"/>
            </reference>
            <reference field="17" count="1" selected="0">
              <x v="37"/>
            </reference>
            <reference field="20" count="1" selected="0">
              <x v="133"/>
            </reference>
          </references>
        </pivotArea>
        <pivotArea type="data" collapsedLevelsAreSubtotals="1" fieldPosition="0">
          <references count="5">
            <reference field="4294967294" count="1" selected="0">
              <x v="0"/>
            </reference>
            <reference field="4" count="1" selected="0">
              <x v="71"/>
            </reference>
            <reference field="5" count="1">
              <x v="86"/>
            </reference>
            <reference field="17" count="1" selected="0">
              <x v="37"/>
            </reference>
            <reference field="20" count="1" selected="0">
              <x v="133"/>
            </reference>
          </references>
        </pivotArea>
        <pivotArea type="data" collapsedLevelsAreSubtotals="1" fieldPosition="0">
          <references count="2">
            <reference field="4294967294" count="1" selected="0">
              <x v="0"/>
            </reference>
            <reference field="20" count="1">
              <x v="134"/>
            </reference>
          </references>
        </pivotArea>
        <pivotArea type="data" collapsedLevelsAreSubtotals="1" fieldPosition="0">
          <references count="3">
            <reference field="4294967294" count="1" selected="0">
              <x v="0"/>
            </reference>
            <reference field="17" count="1">
              <x v="41"/>
            </reference>
            <reference field="20" count="1" selected="0">
              <x v="134"/>
            </reference>
          </references>
        </pivotArea>
        <pivotArea type="data" collapsedLevelsAreSubtotals="1" fieldPosition="0">
          <references count="4">
            <reference field="4294967294" count="1" selected="0">
              <x v="0"/>
            </reference>
            <reference field="4" count="1">
              <x v="73"/>
            </reference>
            <reference field="17" count="1" selected="0">
              <x v="41"/>
            </reference>
            <reference field="20" count="1" selected="0">
              <x v="134"/>
            </reference>
          </references>
        </pivotArea>
        <pivotArea type="data" collapsedLevelsAreSubtotals="1" fieldPosition="0">
          <references count="5">
            <reference field="4294967294" count="1" selected="0">
              <x v="0"/>
            </reference>
            <reference field="4" count="1" selected="0">
              <x v="73"/>
            </reference>
            <reference field="5" count="1">
              <x v="86"/>
            </reference>
            <reference field="17" count="1" selected="0">
              <x v="41"/>
            </reference>
            <reference field="20" count="1" selected="0">
              <x v="134"/>
            </reference>
          </references>
        </pivotArea>
        <pivotArea type="data" collapsedLevelsAreSubtotals="1" fieldPosition="0">
          <references count="2">
            <reference field="4294967294" count="1" selected="0">
              <x v="0"/>
            </reference>
            <reference field="20" count="1">
              <x v="135"/>
            </reference>
          </references>
        </pivotArea>
        <pivotArea type="data" collapsedLevelsAreSubtotals="1" fieldPosition="0">
          <references count="3">
            <reference field="4294967294" count="1" selected="0">
              <x v="0"/>
            </reference>
            <reference field="17" count="1">
              <x v="67"/>
            </reference>
            <reference field="20" count="1" selected="0">
              <x v="135"/>
            </reference>
          </references>
        </pivotArea>
        <pivotArea type="data" collapsedLevelsAreSubtotals="1" fieldPosition="0">
          <references count="4">
            <reference field="4294967294" count="1" selected="0">
              <x v="0"/>
            </reference>
            <reference field="4" count="1">
              <x v="70"/>
            </reference>
            <reference field="17" count="1" selected="0">
              <x v="67"/>
            </reference>
            <reference field="20" count="1" selected="0">
              <x v="135"/>
            </reference>
          </references>
        </pivotArea>
        <pivotArea type="data" collapsedLevelsAreSubtotals="1" fieldPosition="0">
          <references count="5">
            <reference field="4294967294" count="1" selected="0">
              <x v="0"/>
            </reference>
            <reference field="4" count="1" selected="0">
              <x v="70"/>
            </reference>
            <reference field="5" count="1">
              <x v="82"/>
            </reference>
            <reference field="17" count="1" selected="0">
              <x v="67"/>
            </reference>
            <reference field="20" count="1" selected="0">
              <x v="135"/>
            </reference>
          </references>
        </pivotArea>
        <pivotArea type="data" collapsedLevelsAreSubtotals="1" fieldPosition="0">
          <references count="2">
            <reference field="4294967294" count="1" selected="0">
              <x v="0"/>
            </reference>
            <reference field="20" count="1">
              <x v="137"/>
            </reference>
          </references>
        </pivotArea>
        <pivotArea type="data" collapsedLevelsAreSubtotals="1" fieldPosition="0">
          <references count="3">
            <reference field="4294967294" count="1" selected="0">
              <x v="0"/>
            </reference>
            <reference field="17" count="1">
              <x v="13"/>
            </reference>
            <reference field="20" count="1" selected="0">
              <x v="137"/>
            </reference>
          </references>
        </pivotArea>
        <pivotArea type="data" collapsedLevelsAreSubtotals="1" fieldPosition="0">
          <references count="4">
            <reference field="4294967294" count="1" selected="0">
              <x v="0"/>
            </reference>
            <reference field="4" count="1">
              <x v="64"/>
            </reference>
            <reference field="17" count="1" selected="0">
              <x v="13"/>
            </reference>
            <reference field="20" count="1" selected="0">
              <x v="137"/>
            </reference>
          </references>
        </pivotArea>
        <pivotArea type="data" collapsedLevelsAreSubtotals="1" fieldPosition="0">
          <references count="5">
            <reference field="4294967294" count="1" selected="0">
              <x v="0"/>
            </reference>
            <reference field="4" count="1" selected="0">
              <x v="64"/>
            </reference>
            <reference field="5" count="1">
              <x v="89"/>
            </reference>
            <reference field="17" count="1" selected="0">
              <x v="13"/>
            </reference>
            <reference field="20" count="1" selected="0">
              <x v="137"/>
            </reference>
          </references>
        </pivotArea>
        <pivotArea type="data" collapsedLevelsAreSubtotals="1" fieldPosition="0">
          <references count="2">
            <reference field="4294967294" count="1" selected="0">
              <x v="0"/>
            </reference>
            <reference field="20" count="1">
              <x v="140"/>
            </reference>
          </references>
        </pivotArea>
        <pivotArea type="data" collapsedLevelsAreSubtotals="1" fieldPosition="0">
          <references count="3">
            <reference field="4294967294" count="1" selected="0">
              <x v="0"/>
            </reference>
            <reference field="17" count="1">
              <x v="123"/>
            </reference>
            <reference field="20" count="1" selected="0">
              <x v="140"/>
            </reference>
          </references>
        </pivotArea>
        <pivotArea type="data" collapsedLevelsAreSubtotals="1" fieldPosition="0">
          <references count="4">
            <reference field="4294967294" count="1" selected="0">
              <x v="0"/>
            </reference>
            <reference field="4" count="1">
              <x v="124"/>
            </reference>
            <reference field="17" count="1" selected="0">
              <x v="123"/>
            </reference>
            <reference field="20" count="1" selected="0">
              <x v="140"/>
            </reference>
          </references>
        </pivotArea>
        <pivotArea type="data" collapsedLevelsAreSubtotals="1" fieldPosition="0">
          <references count="5">
            <reference field="4294967294" count="1" selected="0">
              <x v="0"/>
            </reference>
            <reference field="4" count="1" selected="0">
              <x v="124"/>
            </reference>
            <reference field="5" count="1">
              <x v="113"/>
            </reference>
            <reference field="17" count="1" selected="0">
              <x v="123"/>
            </reference>
            <reference field="20" count="1" selected="0">
              <x v="140"/>
            </reference>
          </references>
        </pivotArea>
        <pivotArea type="data" collapsedLevelsAreSubtotals="1" fieldPosition="0">
          <references count="2">
            <reference field="4294967294" count="1" selected="0">
              <x v="0"/>
            </reference>
            <reference field="20" count="1">
              <x v="141"/>
            </reference>
          </references>
        </pivotArea>
        <pivotArea type="data" collapsedLevelsAreSubtotals="1" fieldPosition="0">
          <references count="3">
            <reference field="4294967294" count="1" selected="0">
              <x v="0"/>
            </reference>
            <reference field="17" count="1">
              <x v="38"/>
            </reference>
            <reference field="20" count="1" selected="0">
              <x v="141"/>
            </reference>
          </references>
        </pivotArea>
        <pivotArea type="data" collapsedLevelsAreSubtotals="1" fieldPosition="0">
          <references count="4">
            <reference field="4294967294" count="1" selected="0">
              <x v="0"/>
            </reference>
            <reference field="4" count="1">
              <x v="63"/>
            </reference>
            <reference field="17" count="1" selected="0">
              <x v="38"/>
            </reference>
            <reference field="20" count="1" selected="0">
              <x v="141"/>
            </reference>
          </references>
        </pivotArea>
        <pivotArea type="data" collapsedLevelsAreSubtotals="1" fieldPosition="0">
          <references count="5">
            <reference field="4294967294" count="1" selected="0">
              <x v="0"/>
            </reference>
            <reference field="4" count="1" selected="0">
              <x v="63"/>
            </reference>
            <reference field="5" count="1">
              <x v="86"/>
            </reference>
            <reference field="17" count="1" selected="0">
              <x v="38"/>
            </reference>
            <reference field="20" count="1" selected="0">
              <x v="141"/>
            </reference>
          </references>
        </pivotArea>
        <pivotArea type="data" collapsedLevelsAreSubtotals="1" fieldPosition="0">
          <references count="2">
            <reference field="4294967294" count="1" selected="0">
              <x v="0"/>
            </reference>
            <reference field="20" count="1">
              <x v="143"/>
            </reference>
          </references>
        </pivotArea>
        <pivotArea type="data" collapsedLevelsAreSubtotals="1" fieldPosition="0">
          <references count="3">
            <reference field="4294967294" count="1" selected="0">
              <x v="0"/>
            </reference>
            <reference field="17" count="1">
              <x v="5"/>
            </reference>
            <reference field="20" count="1" selected="0">
              <x v="143"/>
            </reference>
          </references>
        </pivotArea>
        <pivotArea type="data" collapsedLevelsAreSubtotals="1" fieldPosition="0">
          <references count="4">
            <reference field="4294967294" count="1" selected="0">
              <x v="0"/>
            </reference>
            <reference field="4" count="1">
              <x v="65"/>
            </reference>
            <reference field="17" count="1" selected="0">
              <x v="5"/>
            </reference>
            <reference field="20" count="1" selected="0">
              <x v="143"/>
            </reference>
          </references>
        </pivotArea>
        <pivotArea type="data" collapsedLevelsAreSubtotals="1" fieldPosition="0">
          <references count="5">
            <reference field="4294967294" count="1" selected="0">
              <x v="0"/>
            </reference>
            <reference field="4" count="1" selected="0">
              <x v="65"/>
            </reference>
            <reference field="5" count="1">
              <x v="50"/>
            </reference>
            <reference field="17" count="1" selected="0">
              <x v="5"/>
            </reference>
            <reference field="20" count="1" selected="0">
              <x v="143"/>
            </reference>
          </references>
        </pivotArea>
        <pivotArea type="data" collapsedLevelsAreSubtotals="1" fieldPosition="0">
          <references count="2">
            <reference field="4294967294" count="1" selected="0">
              <x v="0"/>
            </reference>
            <reference field="20" count="1">
              <x v="145"/>
            </reference>
          </references>
        </pivotArea>
        <pivotArea type="data" collapsedLevelsAreSubtotals="1" fieldPosition="0">
          <references count="3">
            <reference field="4294967294" count="1" selected="0">
              <x v="0"/>
            </reference>
            <reference field="17" count="1">
              <x v="64"/>
            </reference>
            <reference field="20" count="1" selected="0">
              <x v="145"/>
            </reference>
          </references>
        </pivotArea>
        <pivotArea type="data" collapsedLevelsAreSubtotals="1" fieldPosition="0">
          <references count="4">
            <reference field="4294967294" count="1" selected="0">
              <x v="0"/>
            </reference>
            <reference field="4" count="1">
              <x v="15"/>
            </reference>
            <reference field="17" count="1" selected="0">
              <x v="64"/>
            </reference>
            <reference field="20" count="1" selected="0">
              <x v="145"/>
            </reference>
          </references>
        </pivotArea>
        <pivotArea type="data" collapsedLevelsAreSubtotals="1" fieldPosition="0">
          <references count="5">
            <reference field="4294967294" count="1" selected="0">
              <x v="0"/>
            </reference>
            <reference field="4" count="1" selected="0">
              <x v="15"/>
            </reference>
            <reference field="5" count="1">
              <x v="76"/>
            </reference>
            <reference field="17" count="1" selected="0">
              <x v="64"/>
            </reference>
            <reference field="20" count="1" selected="0">
              <x v="145"/>
            </reference>
          </references>
        </pivotArea>
        <pivotArea type="data" collapsedLevelsAreSubtotals="1" fieldPosition="0">
          <references count="2">
            <reference field="4294967294" count="1" selected="0">
              <x v="0"/>
            </reference>
            <reference field="20" count="1">
              <x v="146"/>
            </reference>
          </references>
        </pivotArea>
        <pivotArea type="data" collapsedLevelsAreSubtotals="1" fieldPosition="0">
          <references count="3">
            <reference field="4294967294" count="1" selected="0">
              <x v="0"/>
            </reference>
            <reference field="17" count="1">
              <x v="43"/>
            </reference>
            <reference field="20" count="1" selected="0">
              <x v="146"/>
            </reference>
          </references>
        </pivotArea>
        <pivotArea type="data" collapsedLevelsAreSubtotals="1" fieldPosition="0">
          <references count="4">
            <reference field="4294967294" count="1" selected="0">
              <x v="0"/>
            </reference>
            <reference field="4" count="1">
              <x v="95"/>
            </reference>
            <reference field="17" count="1" selected="0">
              <x v="43"/>
            </reference>
            <reference field="20" count="1" selected="0">
              <x v="146"/>
            </reference>
          </references>
        </pivotArea>
        <pivotArea type="data" collapsedLevelsAreSubtotals="1" fieldPosition="0">
          <references count="5">
            <reference field="4294967294" count="1" selected="0">
              <x v="0"/>
            </reference>
            <reference field="4" count="1" selected="0">
              <x v="95"/>
            </reference>
            <reference field="5" count="1">
              <x v="86"/>
            </reference>
            <reference field="17" count="1" selected="0">
              <x v="43"/>
            </reference>
            <reference field="20" count="1" selected="0">
              <x v="146"/>
            </reference>
          </references>
        </pivotArea>
        <pivotArea type="data" collapsedLevelsAreSubtotals="1" fieldPosition="0">
          <references count="2">
            <reference field="4294967294" count="1" selected="0">
              <x v="0"/>
            </reference>
            <reference field="20" count="1">
              <x v="148"/>
            </reference>
          </references>
        </pivotArea>
        <pivotArea type="data" collapsedLevelsAreSubtotals="1" fieldPosition="0">
          <references count="3">
            <reference field="4294967294" count="1" selected="0">
              <x v="0"/>
            </reference>
            <reference field="17" count="1">
              <x v="69"/>
            </reference>
            <reference field="20" count="1" selected="0">
              <x v="148"/>
            </reference>
          </references>
        </pivotArea>
        <pivotArea type="data" collapsedLevelsAreSubtotals="1" fieldPosition="0">
          <references count="4">
            <reference field="4294967294" count="1" selected="0">
              <x v="0"/>
            </reference>
            <reference field="4" count="1">
              <x v="26"/>
            </reference>
            <reference field="17" count="1" selected="0">
              <x v="69"/>
            </reference>
            <reference field="20" count="1" selected="0">
              <x v="148"/>
            </reference>
          </references>
        </pivotArea>
        <pivotArea type="data" collapsedLevelsAreSubtotals="1" fieldPosition="0">
          <references count="5">
            <reference field="4294967294" count="1" selected="0">
              <x v="0"/>
            </reference>
            <reference field="4" count="1" selected="0">
              <x v="26"/>
            </reference>
            <reference field="5" count="1">
              <x v="10"/>
            </reference>
            <reference field="17" count="1" selected="0">
              <x v="69"/>
            </reference>
            <reference field="20" count="1" selected="0">
              <x v="148"/>
            </reference>
          </references>
        </pivotArea>
        <pivotArea type="data" collapsedLevelsAreSubtotals="1" fieldPosition="0">
          <references count="2">
            <reference field="4294967294" count="1" selected="0">
              <x v="0"/>
            </reference>
            <reference field="20" count="1">
              <x v="149"/>
            </reference>
          </references>
        </pivotArea>
        <pivotArea type="data" collapsedLevelsAreSubtotals="1" fieldPosition="0">
          <references count="3">
            <reference field="4294967294" count="1" selected="0">
              <x v="0"/>
            </reference>
            <reference field="17" count="1">
              <x v="51"/>
            </reference>
            <reference field="20" count="1" selected="0">
              <x v="149"/>
            </reference>
          </references>
        </pivotArea>
        <pivotArea type="data" collapsedLevelsAreSubtotals="1" fieldPosition="0">
          <references count="4">
            <reference field="4294967294" count="1" selected="0">
              <x v="0"/>
            </reference>
            <reference field="4" count="1">
              <x v="88"/>
            </reference>
            <reference field="17" count="1" selected="0">
              <x v="51"/>
            </reference>
            <reference field="20" count="1" selected="0">
              <x v="149"/>
            </reference>
          </references>
        </pivotArea>
        <pivotArea type="data" collapsedLevelsAreSubtotals="1" fieldPosition="0">
          <references count="5">
            <reference field="4294967294" count="1" selected="0">
              <x v="0"/>
            </reference>
            <reference field="4" count="1" selected="0">
              <x v="88"/>
            </reference>
            <reference field="5" count="1">
              <x v="67"/>
            </reference>
            <reference field="17" count="1" selected="0">
              <x v="51"/>
            </reference>
            <reference field="20" count="1" selected="0">
              <x v="149"/>
            </reference>
          </references>
        </pivotArea>
        <pivotArea type="data" collapsedLevelsAreSubtotals="1" fieldPosition="0">
          <references count="2">
            <reference field="4294967294" count="1" selected="0">
              <x v="0"/>
            </reference>
            <reference field="20" count="1">
              <x v="150"/>
            </reference>
          </references>
        </pivotArea>
        <pivotArea type="data" collapsedLevelsAreSubtotals="1" fieldPosition="0">
          <references count="3">
            <reference field="4294967294" count="1" selected="0">
              <x v="0"/>
            </reference>
            <reference field="17" count="1">
              <x v="79"/>
            </reference>
            <reference field="20" count="1" selected="0">
              <x v="150"/>
            </reference>
          </references>
        </pivotArea>
        <pivotArea type="data" collapsedLevelsAreSubtotals="1" fieldPosition="0">
          <references count="4">
            <reference field="4294967294" count="1" selected="0">
              <x v="0"/>
            </reference>
            <reference field="4" count="1">
              <x v="59"/>
            </reference>
            <reference field="17" count="1" selected="0">
              <x v="79"/>
            </reference>
            <reference field="20" count="1" selected="0">
              <x v="150"/>
            </reference>
          </references>
        </pivotArea>
        <pivotArea type="data" collapsedLevelsAreSubtotals="1" fieldPosition="0">
          <references count="5">
            <reference field="4294967294" count="1" selected="0">
              <x v="0"/>
            </reference>
            <reference field="4" count="1" selected="0">
              <x v="59"/>
            </reference>
            <reference field="5" count="1">
              <x v="28"/>
            </reference>
            <reference field="17" count="1" selected="0">
              <x v="79"/>
            </reference>
            <reference field="20" count="1" selected="0">
              <x v="150"/>
            </reference>
          </references>
        </pivotArea>
        <pivotArea type="data" collapsedLevelsAreSubtotals="1" fieldPosition="0">
          <references count="2">
            <reference field="4294967294" count="1" selected="0">
              <x v="0"/>
            </reference>
            <reference field="20" count="1">
              <x v="152"/>
            </reference>
          </references>
        </pivotArea>
        <pivotArea type="data" collapsedLevelsAreSubtotals="1" fieldPosition="0">
          <references count="3">
            <reference field="4294967294" count="1" selected="0">
              <x v="0"/>
            </reference>
            <reference field="17" count="1">
              <x v="92"/>
            </reference>
            <reference field="20" count="1" selected="0">
              <x v="152"/>
            </reference>
          </references>
        </pivotArea>
        <pivotArea type="data" collapsedLevelsAreSubtotals="1" fieldPosition="0">
          <references count="4">
            <reference field="4294967294" count="1" selected="0">
              <x v="0"/>
            </reference>
            <reference field="4" count="1">
              <x v="54"/>
            </reference>
            <reference field="17" count="1" selected="0">
              <x v="92"/>
            </reference>
            <reference field="20" count="1" selected="0">
              <x v="152"/>
            </reference>
          </references>
        </pivotArea>
        <pivotArea type="data" collapsedLevelsAreSubtotals="1" fieldPosition="0">
          <references count="5">
            <reference field="4294967294" count="1" selected="0">
              <x v="0"/>
            </reference>
            <reference field="4" count="1" selected="0">
              <x v="54"/>
            </reference>
            <reference field="5" count="1">
              <x v="40"/>
            </reference>
            <reference field="17" count="1" selected="0">
              <x v="92"/>
            </reference>
            <reference field="20" count="1" selected="0">
              <x v="152"/>
            </reference>
          </references>
        </pivotArea>
        <pivotArea type="data" collapsedLevelsAreSubtotals="1" fieldPosition="0">
          <references count="2">
            <reference field="4294967294" count="1" selected="0">
              <x v="0"/>
            </reference>
            <reference field="20" count="1">
              <x v="153"/>
            </reference>
          </references>
        </pivotArea>
        <pivotArea type="data" collapsedLevelsAreSubtotals="1" fieldPosition="0">
          <references count="3">
            <reference field="4294967294" count="1" selected="0">
              <x v="0"/>
            </reference>
            <reference field="17" count="1">
              <x v="71"/>
            </reference>
            <reference field="20" count="1" selected="0">
              <x v="153"/>
            </reference>
          </references>
        </pivotArea>
        <pivotArea type="data" collapsedLevelsAreSubtotals="1" fieldPosition="0">
          <references count="4">
            <reference field="4294967294" count="1" selected="0">
              <x v="0"/>
            </reference>
            <reference field="4" count="1">
              <x v="51"/>
            </reference>
            <reference field="17" count="1" selected="0">
              <x v="71"/>
            </reference>
            <reference field="20" count="1" selected="0">
              <x v="153"/>
            </reference>
          </references>
        </pivotArea>
        <pivotArea type="data" collapsedLevelsAreSubtotals="1" fieldPosition="0">
          <references count="5">
            <reference field="4294967294" count="1" selected="0">
              <x v="0"/>
            </reference>
            <reference field="4" count="1" selected="0">
              <x v="51"/>
            </reference>
            <reference field="5" count="1">
              <x v="8"/>
            </reference>
            <reference field="17" count="1" selected="0">
              <x v="71"/>
            </reference>
            <reference field="20" count="1" selected="0">
              <x v="153"/>
            </reference>
          </references>
        </pivotArea>
        <pivotArea type="data" collapsedLevelsAreSubtotals="1" fieldPosition="0">
          <references count="2">
            <reference field="4294967294" count="1" selected="0">
              <x v="0"/>
            </reference>
            <reference field="20" count="1">
              <x v="155"/>
            </reference>
          </references>
        </pivotArea>
        <pivotArea type="data" collapsedLevelsAreSubtotals="1" fieldPosition="0">
          <references count="3">
            <reference field="4294967294" count="1" selected="0">
              <x v="0"/>
            </reference>
            <reference field="17" count="1">
              <x v="54"/>
            </reference>
            <reference field="20" count="1" selected="0">
              <x v="155"/>
            </reference>
          </references>
        </pivotArea>
        <pivotArea type="data" collapsedLevelsAreSubtotals="1" fieldPosition="0">
          <references count="4">
            <reference field="4294967294" count="1" selected="0">
              <x v="0"/>
            </reference>
            <reference field="4" count="1">
              <x v="85"/>
            </reference>
            <reference field="17" count="1" selected="0">
              <x v="54"/>
            </reference>
            <reference field="20" count="1" selected="0">
              <x v="155"/>
            </reference>
          </references>
        </pivotArea>
        <pivotArea type="data" collapsedLevelsAreSubtotals="1" fieldPosition="0">
          <references count="5">
            <reference field="4294967294" count="1" selected="0">
              <x v="0"/>
            </reference>
            <reference field="4" count="1" selected="0">
              <x v="85"/>
            </reference>
            <reference field="5" count="1">
              <x v="72"/>
            </reference>
            <reference field="17" count="1" selected="0">
              <x v="54"/>
            </reference>
            <reference field="20" count="1" selected="0">
              <x v="155"/>
            </reference>
          </references>
        </pivotArea>
        <pivotArea type="data" collapsedLevelsAreSubtotals="1" fieldPosition="0">
          <references count="2">
            <reference field="4294967294" count="1" selected="0">
              <x v="0"/>
            </reference>
            <reference field="20" count="1">
              <x v="156"/>
            </reference>
          </references>
        </pivotArea>
        <pivotArea type="data" collapsedLevelsAreSubtotals="1" fieldPosition="0">
          <references count="3">
            <reference field="4294967294" count="1" selected="0">
              <x v="0"/>
            </reference>
            <reference field="17" count="1">
              <x v="59"/>
            </reference>
            <reference field="20" count="1" selected="0">
              <x v="156"/>
            </reference>
          </references>
        </pivotArea>
        <pivotArea type="data" collapsedLevelsAreSubtotals="1" fieldPosition="0">
          <references count="4">
            <reference field="4294967294" count="1" selected="0">
              <x v="0"/>
            </reference>
            <reference field="4" count="1">
              <x v="98"/>
            </reference>
            <reference field="17" count="1" selected="0">
              <x v="59"/>
            </reference>
            <reference field="20" count="1" selected="0">
              <x v="156"/>
            </reference>
          </references>
        </pivotArea>
        <pivotArea type="data" collapsedLevelsAreSubtotals="1" fieldPosition="0">
          <references count="5">
            <reference field="4294967294" count="1" selected="0">
              <x v="0"/>
            </reference>
            <reference field="4" count="1" selected="0">
              <x v="98"/>
            </reference>
            <reference field="5" count="1">
              <x v="90"/>
            </reference>
            <reference field="17" count="1" selected="0">
              <x v="59"/>
            </reference>
            <reference field="20" count="1" selected="0">
              <x v="156"/>
            </reference>
          </references>
        </pivotArea>
        <pivotArea type="data" collapsedLevelsAreSubtotals="1" fieldPosition="0">
          <references count="2">
            <reference field="4294967294" count="1" selected="0">
              <x v="0"/>
            </reference>
            <reference field="20" count="1">
              <x v="157"/>
            </reference>
          </references>
        </pivotArea>
        <pivotArea type="data" collapsedLevelsAreSubtotals="1" fieldPosition="0">
          <references count="3">
            <reference field="4294967294" count="1" selected="0">
              <x v="0"/>
            </reference>
            <reference field="17" count="1">
              <x v="101"/>
            </reference>
            <reference field="20" count="1" selected="0">
              <x v="157"/>
            </reference>
          </references>
        </pivotArea>
        <pivotArea type="data" collapsedLevelsAreSubtotals="1" fieldPosition="0">
          <references count="4">
            <reference field="4294967294" count="1" selected="0">
              <x v="0"/>
            </reference>
            <reference field="4" count="1">
              <x v="79"/>
            </reference>
            <reference field="17" count="1" selected="0">
              <x v="101"/>
            </reference>
            <reference field="20" count="1" selected="0">
              <x v="157"/>
            </reference>
          </references>
        </pivotArea>
        <pivotArea type="data" collapsedLevelsAreSubtotals="1" fieldPosition="0">
          <references count="5">
            <reference field="4294967294" count="1" selected="0">
              <x v="0"/>
            </reference>
            <reference field="4" count="1" selected="0">
              <x v="79"/>
            </reference>
            <reference field="5" count="2">
              <x v="61"/>
              <x v="105"/>
            </reference>
            <reference field="17" count="1" selected="0">
              <x v="101"/>
            </reference>
            <reference field="20" count="1" selected="0">
              <x v="157"/>
            </reference>
          </references>
        </pivotArea>
        <pivotArea type="data" collapsedLevelsAreSubtotals="1" fieldPosition="0">
          <references count="2">
            <reference field="4294967294" count="1" selected="0">
              <x v="0"/>
            </reference>
            <reference field="20" count="1">
              <x v="158"/>
            </reference>
          </references>
        </pivotArea>
        <pivotArea type="data" collapsedLevelsAreSubtotals="1" fieldPosition="0">
          <references count="3">
            <reference field="4294967294" count="1" selected="0">
              <x v="0"/>
            </reference>
            <reference field="17" count="1">
              <x v="119"/>
            </reference>
            <reference field="20" count="1" selected="0">
              <x v="158"/>
            </reference>
          </references>
        </pivotArea>
        <pivotArea type="data" collapsedLevelsAreSubtotals="1" fieldPosition="0">
          <references count="4">
            <reference field="4294967294" count="1" selected="0">
              <x v="0"/>
            </reference>
            <reference field="4" count="1">
              <x v="120"/>
            </reference>
            <reference field="17" count="1" selected="0">
              <x v="119"/>
            </reference>
            <reference field="20" count="1" selected="0">
              <x v="158"/>
            </reference>
          </references>
        </pivotArea>
        <pivotArea type="data" collapsedLevelsAreSubtotals="1" fieldPosition="0">
          <references count="5">
            <reference field="4294967294" count="1" selected="0">
              <x v="0"/>
            </reference>
            <reference field="4" count="1" selected="0">
              <x v="120"/>
            </reference>
            <reference field="5" count="1">
              <x v="99"/>
            </reference>
            <reference field="17" count="1" selected="0">
              <x v="119"/>
            </reference>
            <reference field="20" count="1" selected="0">
              <x v="158"/>
            </reference>
          </references>
        </pivotArea>
        <pivotArea type="data" collapsedLevelsAreSubtotals="1" fieldPosition="0">
          <references count="2">
            <reference field="4294967294" count="1" selected="0">
              <x v="0"/>
            </reference>
            <reference field="20" count="1">
              <x v="159"/>
            </reference>
          </references>
        </pivotArea>
        <pivotArea type="data" collapsedLevelsAreSubtotals="1" fieldPosition="0">
          <references count="3">
            <reference field="4294967294" count="1" selected="0">
              <x v="0"/>
            </reference>
            <reference field="17" count="1">
              <x v="35"/>
            </reference>
            <reference field="20" count="1" selected="0">
              <x v="159"/>
            </reference>
          </references>
        </pivotArea>
        <pivotArea type="data" collapsedLevelsAreSubtotals="1" fieldPosition="0">
          <references count="4">
            <reference field="4294967294" count="1" selected="0">
              <x v="0"/>
            </reference>
            <reference field="4" count="1">
              <x v="47"/>
            </reference>
            <reference field="17" count="1" selected="0">
              <x v="35"/>
            </reference>
            <reference field="20" count="1" selected="0">
              <x v="159"/>
            </reference>
          </references>
        </pivotArea>
        <pivotArea type="data" collapsedLevelsAreSubtotals="1" fieldPosition="0">
          <references count="5">
            <reference field="4294967294" count="1" selected="0">
              <x v="0"/>
            </reference>
            <reference field="4" count="1" selected="0">
              <x v="47"/>
            </reference>
            <reference field="5" count="1">
              <x v="90"/>
            </reference>
            <reference field="17" count="1" selected="0">
              <x v="35"/>
            </reference>
            <reference field="20" count="1" selected="0">
              <x v="159"/>
            </reference>
          </references>
        </pivotArea>
        <pivotArea type="data" collapsedLevelsAreSubtotals="1" fieldPosition="0">
          <references count="2">
            <reference field="4294967294" count="1" selected="0">
              <x v="0"/>
            </reference>
            <reference field="20" count="1">
              <x v="163"/>
            </reference>
          </references>
        </pivotArea>
        <pivotArea type="data" collapsedLevelsAreSubtotals="1" fieldPosition="0">
          <references count="3">
            <reference field="4294967294" count="1" selected="0">
              <x v="0"/>
            </reference>
            <reference field="17" count="1">
              <x v="58"/>
            </reference>
            <reference field="20" count="1" selected="0">
              <x v="163"/>
            </reference>
          </references>
        </pivotArea>
        <pivotArea type="data" collapsedLevelsAreSubtotals="1" fieldPosition="0">
          <references count="4">
            <reference field="4294967294" count="1" selected="0">
              <x v="0"/>
            </reference>
            <reference field="4" count="1">
              <x v="93"/>
            </reference>
            <reference field="17" count="1" selected="0">
              <x v="58"/>
            </reference>
            <reference field="20" count="1" selected="0">
              <x v="163"/>
            </reference>
          </references>
        </pivotArea>
        <pivotArea type="data" collapsedLevelsAreSubtotals="1" fieldPosition="0">
          <references count="5">
            <reference field="4294967294" count="1" selected="0">
              <x v="0"/>
            </reference>
            <reference field="4" count="1" selected="0">
              <x v="93"/>
            </reference>
            <reference field="5" count="1">
              <x v="73"/>
            </reference>
            <reference field="17" count="1" selected="0">
              <x v="58"/>
            </reference>
            <reference field="20" count="1" selected="0">
              <x v="163"/>
            </reference>
          </references>
        </pivotArea>
        <pivotArea type="data" collapsedLevelsAreSubtotals="1" fieldPosition="0">
          <references count="2">
            <reference field="4294967294" count="1" selected="0">
              <x v="0"/>
            </reference>
            <reference field="20" count="1">
              <x v="167"/>
            </reference>
          </references>
        </pivotArea>
        <pivotArea type="data" collapsedLevelsAreSubtotals="1" fieldPosition="0">
          <references count="3">
            <reference field="4294967294" count="1" selected="0">
              <x v="0"/>
            </reference>
            <reference field="17" count="1">
              <x v="72"/>
            </reference>
            <reference field="20" count="1" selected="0">
              <x v="167"/>
            </reference>
          </references>
        </pivotArea>
        <pivotArea type="data" collapsedLevelsAreSubtotals="1" fieldPosition="0">
          <references count="4">
            <reference field="4294967294" count="1" selected="0">
              <x v="0"/>
            </reference>
            <reference field="4" count="1">
              <x v="55"/>
            </reference>
            <reference field="17" count="1" selected="0">
              <x v="72"/>
            </reference>
            <reference field="20" count="1" selected="0">
              <x v="167"/>
            </reference>
          </references>
        </pivotArea>
        <pivotArea type="data" collapsedLevelsAreSubtotals="1" fieldPosition="0">
          <references count="5">
            <reference field="4294967294" count="1" selected="0">
              <x v="0"/>
            </reference>
            <reference field="4" count="1" selected="0">
              <x v="55"/>
            </reference>
            <reference field="5" count="1">
              <x v="7"/>
            </reference>
            <reference field="17" count="1" selected="0">
              <x v="72"/>
            </reference>
            <reference field="20" count="1" selected="0">
              <x v="167"/>
            </reference>
          </references>
        </pivotArea>
        <pivotArea type="data" collapsedLevelsAreSubtotals="1" fieldPosition="0">
          <references count="2">
            <reference field="4294967294" count="1" selected="0">
              <x v="0"/>
            </reference>
            <reference field="20" count="1">
              <x v="171"/>
            </reference>
          </references>
        </pivotArea>
        <pivotArea type="data" collapsedLevelsAreSubtotals="1" fieldPosition="0">
          <references count="3">
            <reference field="4294967294" count="1" selected="0">
              <x v="0"/>
            </reference>
            <reference field="17" count="1">
              <x v="57"/>
            </reference>
            <reference field="20" count="1" selected="0">
              <x v="171"/>
            </reference>
          </references>
        </pivotArea>
        <pivotArea type="data" collapsedLevelsAreSubtotals="1" fieldPosition="0">
          <references count="4">
            <reference field="4294967294" count="1" selected="0">
              <x v="0"/>
            </reference>
            <reference field="4" count="1">
              <x v="92"/>
            </reference>
            <reference field="17" count="1" selected="0">
              <x v="57"/>
            </reference>
            <reference field="20" count="1" selected="0">
              <x v="171"/>
            </reference>
          </references>
        </pivotArea>
        <pivotArea type="data" collapsedLevelsAreSubtotals="1" fieldPosition="0">
          <references count="5">
            <reference field="4294967294" count="1" selected="0">
              <x v="0"/>
            </reference>
            <reference field="4" count="1" selected="0">
              <x v="92"/>
            </reference>
            <reference field="5" count="1">
              <x v="87"/>
            </reference>
            <reference field="17" count="1" selected="0">
              <x v="57"/>
            </reference>
            <reference field="20" count="1" selected="0">
              <x v="171"/>
            </reference>
          </references>
        </pivotArea>
        <pivotArea type="data" collapsedLevelsAreSubtotals="1" fieldPosition="0">
          <references count="2">
            <reference field="4294967294" count="1" selected="0">
              <x v="0"/>
            </reference>
            <reference field="20" count="1">
              <x v="173"/>
            </reference>
          </references>
        </pivotArea>
        <pivotArea type="data" collapsedLevelsAreSubtotals="1" fieldPosition="0">
          <references count="3">
            <reference field="4294967294" count="1" selected="0">
              <x v="0"/>
            </reference>
            <reference field="17" count="1">
              <x v="0"/>
            </reference>
            <reference field="20" count="1" selected="0">
              <x v="173"/>
            </reference>
          </references>
        </pivotArea>
        <pivotArea type="data" collapsedLevelsAreSubtotals="1" fieldPosition="0">
          <references count="4">
            <reference field="4294967294" count="1" selected="0">
              <x v="0"/>
            </reference>
            <reference field="4" count="1">
              <x v="69"/>
            </reference>
            <reference field="17" count="1" selected="0">
              <x v="0"/>
            </reference>
            <reference field="20" count="1" selected="0">
              <x v="173"/>
            </reference>
          </references>
        </pivotArea>
        <pivotArea type="data" collapsedLevelsAreSubtotals="1" fieldPosition="0">
          <references count="5">
            <reference field="4294967294" count="1" selected="0">
              <x v="0"/>
            </reference>
            <reference field="4" count="1" selected="0">
              <x v="69"/>
            </reference>
            <reference field="5" count="1">
              <x v="85"/>
            </reference>
            <reference field="17" count="1" selected="0">
              <x v="0"/>
            </reference>
            <reference field="20" count="1" selected="0">
              <x v="173"/>
            </reference>
          </references>
        </pivotArea>
        <pivotArea type="data" collapsedLevelsAreSubtotals="1" fieldPosition="0">
          <references count="2">
            <reference field="4294967294" count="1" selected="0">
              <x v="0"/>
            </reference>
            <reference field="20" count="1">
              <x v="174"/>
            </reference>
          </references>
        </pivotArea>
        <pivotArea type="data" collapsedLevelsAreSubtotals="1" fieldPosition="0">
          <references count="3">
            <reference field="4294967294" count="1" selected="0">
              <x v="0"/>
            </reference>
            <reference field="17" count="1">
              <x v="73"/>
            </reference>
            <reference field="20" count="1" selected="0">
              <x v="174"/>
            </reference>
          </references>
        </pivotArea>
        <pivotArea type="data" collapsedLevelsAreSubtotals="1" fieldPosition="0">
          <references count="4">
            <reference field="4294967294" count="1" selected="0">
              <x v="0"/>
            </reference>
            <reference field="4" count="1">
              <x v="17"/>
            </reference>
            <reference field="17" count="1" selected="0">
              <x v="73"/>
            </reference>
            <reference field="20" count="1" selected="0">
              <x v="174"/>
            </reference>
          </references>
        </pivotArea>
        <pivotArea type="data" collapsedLevelsAreSubtotals="1" fieldPosition="0">
          <references count="5">
            <reference field="4294967294" count="1" selected="0">
              <x v="0"/>
            </reference>
            <reference field="4" count="1" selected="0">
              <x v="17"/>
            </reference>
            <reference field="5" count="1">
              <x v="16"/>
            </reference>
            <reference field="17" count="1" selected="0">
              <x v="73"/>
            </reference>
            <reference field="20" count="1" selected="0">
              <x v="174"/>
            </reference>
          </references>
        </pivotArea>
        <pivotArea type="data" collapsedLevelsAreSubtotals="1" fieldPosition="0">
          <references count="2">
            <reference field="4294967294" count="1" selected="0">
              <x v="0"/>
            </reference>
            <reference field="20" count="1">
              <x v="176"/>
            </reference>
          </references>
        </pivotArea>
        <pivotArea type="data" collapsedLevelsAreSubtotals="1" fieldPosition="0">
          <references count="3">
            <reference field="4294967294" count="1" selected="0">
              <x v="0"/>
            </reference>
            <reference field="17" count="1">
              <x v="62"/>
            </reference>
            <reference field="20" count="1" selected="0">
              <x v="176"/>
            </reference>
          </references>
        </pivotArea>
        <pivotArea type="data" collapsedLevelsAreSubtotals="1" fieldPosition="0">
          <references count="4">
            <reference field="4294967294" count="1" selected="0">
              <x v="0"/>
            </reference>
            <reference field="4" count="1">
              <x v="27"/>
            </reference>
            <reference field="17" count="1" selected="0">
              <x v="62"/>
            </reference>
            <reference field="20" count="1" selected="0">
              <x v="176"/>
            </reference>
          </references>
        </pivotArea>
        <pivotArea type="data" collapsedLevelsAreSubtotals="1" fieldPosition="0">
          <references count="5">
            <reference field="4294967294" count="1" selected="0">
              <x v="0"/>
            </reference>
            <reference field="4" count="1" selected="0">
              <x v="27"/>
            </reference>
            <reference field="5" count="1">
              <x v="77"/>
            </reference>
            <reference field="17" count="1" selected="0">
              <x v="62"/>
            </reference>
            <reference field="20" count="1" selected="0">
              <x v="176"/>
            </reference>
          </references>
        </pivotArea>
        <pivotArea type="data" collapsedLevelsAreSubtotals="1" fieldPosition="0">
          <references count="2">
            <reference field="4294967294" count="1" selected="0">
              <x v="0"/>
            </reference>
            <reference field="20" count="1">
              <x v="180"/>
            </reference>
          </references>
        </pivotArea>
        <pivotArea type="data" collapsedLevelsAreSubtotals="1" fieldPosition="0">
          <references count="3">
            <reference field="4294967294" count="1" selected="0">
              <x v="0"/>
            </reference>
            <reference field="17" count="1">
              <x v="50"/>
            </reference>
            <reference field="20" count="1" selected="0">
              <x v="180"/>
            </reference>
          </references>
        </pivotArea>
        <pivotArea type="data" collapsedLevelsAreSubtotals="1" fieldPosition="0">
          <references count="4">
            <reference field="4294967294" count="1" selected="0">
              <x v="0"/>
            </reference>
            <reference field="4" count="1">
              <x v="8"/>
            </reference>
            <reference field="17" count="1" selected="0">
              <x v="50"/>
            </reference>
            <reference field="20" count="1" selected="0">
              <x v="180"/>
            </reference>
          </references>
        </pivotArea>
        <pivotArea type="data" collapsedLevelsAreSubtotals="1" fieldPosition="0">
          <references count="5">
            <reference field="4294967294" count="1" selected="0">
              <x v="0"/>
            </reference>
            <reference field="4" count="1" selected="0">
              <x v="8"/>
            </reference>
            <reference field="5" count="1">
              <x v="59"/>
            </reference>
            <reference field="17" count="1" selected="0">
              <x v="50"/>
            </reference>
            <reference field="20" count="1" selected="0">
              <x v="180"/>
            </reference>
          </references>
        </pivotArea>
        <pivotArea type="data" collapsedLevelsAreSubtotals="1" fieldPosition="0">
          <references count="2">
            <reference field="4294967294" count="1" selected="0">
              <x v="0"/>
            </reference>
            <reference field="20" count="1">
              <x v="183"/>
            </reference>
          </references>
        </pivotArea>
        <pivotArea type="data" collapsedLevelsAreSubtotals="1" fieldPosition="0">
          <references count="3">
            <reference field="4294967294" count="1" selected="0">
              <x v="0"/>
            </reference>
            <reference field="17" count="1">
              <x v="19"/>
            </reference>
            <reference field="20" count="1" selected="0">
              <x v="183"/>
            </reference>
          </references>
        </pivotArea>
        <pivotArea type="data" collapsedLevelsAreSubtotals="1" fieldPosition="0">
          <references count="4">
            <reference field="4294967294" count="1" selected="0">
              <x v="0"/>
            </reference>
            <reference field="4" count="1">
              <x v="60"/>
            </reference>
            <reference field="17" count="1" selected="0">
              <x v="19"/>
            </reference>
            <reference field="20" count="1" selected="0">
              <x v="183"/>
            </reference>
          </references>
        </pivotArea>
        <pivotArea type="data" collapsedLevelsAreSubtotals="1" fieldPosition="0">
          <references count="5">
            <reference field="4294967294" count="1" selected="0">
              <x v="0"/>
            </reference>
            <reference field="4" count="1" selected="0">
              <x v="60"/>
            </reference>
            <reference field="5" count="1">
              <x v="86"/>
            </reference>
            <reference field="17" count="1" selected="0">
              <x v="19"/>
            </reference>
            <reference field="20" count="1" selected="0">
              <x v="183"/>
            </reference>
          </references>
        </pivotArea>
        <pivotArea type="data" collapsedLevelsAreSubtotals="1" fieldPosition="0">
          <references count="2">
            <reference field="4294967294" count="1" selected="0">
              <x v="0"/>
            </reference>
            <reference field="20" count="1">
              <x v="186"/>
            </reference>
          </references>
        </pivotArea>
        <pivotArea type="data" collapsedLevelsAreSubtotals="1" fieldPosition="0">
          <references count="3">
            <reference field="4294967294" count="1" selected="0">
              <x v="0"/>
            </reference>
            <reference field="17" count="1">
              <x v="111"/>
            </reference>
            <reference field="20" count="1" selected="0">
              <x v="186"/>
            </reference>
          </references>
        </pivotArea>
        <pivotArea type="data" collapsedLevelsAreSubtotals="1" fieldPosition="0">
          <references count="4">
            <reference field="4294967294" count="1" selected="0">
              <x v="0"/>
            </reference>
            <reference field="4" count="1">
              <x v="112"/>
            </reference>
            <reference field="17" count="1" selected="0">
              <x v="111"/>
            </reference>
            <reference field="20" count="1" selected="0">
              <x v="186"/>
            </reference>
          </references>
        </pivotArea>
        <pivotArea type="data" collapsedLevelsAreSubtotals="1" fieldPosition="0">
          <references count="5">
            <reference field="4294967294" count="1" selected="0">
              <x v="0"/>
            </reference>
            <reference field="4" count="1" selected="0">
              <x v="112"/>
            </reference>
            <reference field="5" count="1">
              <x v="110"/>
            </reference>
            <reference field="17" count="1" selected="0">
              <x v="111"/>
            </reference>
            <reference field="20" count="1" selected="0">
              <x v="186"/>
            </reference>
          </references>
        </pivotArea>
        <pivotArea type="data" collapsedLevelsAreSubtotals="1" fieldPosition="0">
          <references count="2">
            <reference field="4294967294" count="1" selected="0">
              <x v="0"/>
            </reference>
            <reference field="20" count="1">
              <x v="195"/>
            </reference>
          </references>
        </pivotArea>
        <pivotArea type="data" collapsedLevelsAreSubtotals="1" fieldPosition="0">
          <references count="3">
            <reference field="4294967294" count="1" selected="0">
              <x v="0"/>
            </reference>
            <reference field="17" count="1">
              <x v="100"/>
            </reference>
            <reference field="20" count="1" selected="0">
              <x v="195"/>
            </reference>
          </references>
        </pivotArea>
        <pivotArea type="data" collapsedLevelsAreSubtotals="1" fieldPosition="0">
          <references count="4">
            <reference field="4294967294" count="1" selected="0">
              <x v="0"/>
            </reference>
            <reference field="4" count="1">
              <x v="22"/>
            </reference>
            <reference field="17" count="1" selected="0">
              <x v="100"/>
            </reference>
            <reference field="20" count="1" selected="0">
              <x v="195"/>
            </reference>
          </references>
        </pivotArea>
        <pivotArea type="data" collapsedLevelsAreSubtotals="1" fieldPosition="0">
          <references count="5">
            <reference field="4294967294" count="1" selected="0">
              <x v="0"/>
            </reference>
            <reference field="4" count="1" selected="0">
              <x v="22"/>
            </reference>
            <reference field="5" count="1">
              <x v="60"/>
            </reference>
            <reference field="17" count="1" selected="0">
              <x v="100"/>
            </reference>
            <reference field="20" count="1" selected="0">
              <x v="195"/>
            </reference>
          </references>
        </pivotArea>
        <pivotArea type="data" collapsedLevelsAreSubtotals="1" fieldPosition="0">
          <references count="2">
            <reference field="4294967294" count="1" selected="0">
              <x v="0"/>
            </reference>
            <reference field="20" count="1">
              <x v="197"/>
            </reference>
          </references>
        </pivotArea>
        <pivotArea type="data" collapsedLevelsAreSubtotals="1" fieldPosition="0">
          <references count="3">
            <reference field="4294967294" count="1" selected="0">
              <x v="0"/>
            </reference>
            <reference field="17" count="1">
              <x v="117"/>
            </reference>
            <reference field="20" count="1" selected="0">
              <x v="197"/>
            </reference>
          </references>
        </pivotArea>
        <pivotArea type="data" collapsedLevelsAreSubtotals="1" fieldPosition="0">
          <references count="4">
            <reference field="4294967294" count="1" selected="0">
              <x v="0"/>
            </reference>
            <reference field="4" count="1">
              <x v="118"/>
            </reference>
            <reference field="17" count="1" selected="0">
              <x v="117"/>
            </reference>
            <reference field="20" count="1" selected="0">
              <x v="197"/>
            </reference>
          </references>
        </pivotArea>
        <pivotArea type="data" collapsedLevelsAreSubtotals="1" fieldPosition="0">
          <references count="5">
            <reference field="4294967294" count="1" selected="0">
              <x v="0"/>
            </reference>
            <reference field="4" count="1" selected="0">
              <x v="118"/>
            </reference>
            <reference field="5" count="1">
              <x v="95"/>
            </reference>
            <reference field="17" count="1" selected="0">
              <x v="117"/>
            </reference>
            <reference field="20" count="1" selected="0">
              <x v="197"/>
            </reference>
          </references>
        </pivotArea>
        <pivotArea type="data" collapsedLevelsAreSubtotals="1" fieldPosition="0">
          <references count="2">
            <reference field="4294967294" count="1" selected="0">
              <x v="0"/>
            </reference>
            <reference field="20" count="1">
              <x v="198"/>
            </reference>
          </references>
        </pivotArea>
        <pivotArea type="data" collapsedLevelsAreSubtotals="1" fieldPosition="0">
          <references count="3">
            <reference field="4294967294" count="1" selected="0">
              <x v="0"/>
            </reference>
            <reference field="17" count="1">
              <x v="4"/>
            </reference>
            <reference field="20" count="1" selected="0">
              <x v="198"/>
            </reference>
          </references>
        </pivotArea>
        <pivotArea type="data" collapsedLevelsAreSubtotals="1" fieldPosition="0">
          <references count="4">
            <reference field="4294967294" count="1" selected="0">
              <x v="0"/>
            </reference>
            <reference field="4" count="1">
              <x v="12"/>
            </reference>
            <reference field="17" count="1" selected="0">
              <x v="4"/>
            </reference>
            <reference field="20" count="1" selected="0">
              <x v="198"/>
            </reference>
          </references>
        </pivotArea>
        <pivotArea type="data" collapsedLevelsAreSubtotals="1" fieldPosition="0">
          <references count="5">
            <reference field="4294967294" count="1" selected="0">
              <x v="0"/>
            </reference>
            <reference field="4" count="1" selected="0">
              <x v="12"/>
            </reference>
            <reference field="5" count="1">
              <x v="97"/>
            </reference>
            <reference field="17" count="1" selected="0">
              <x v="4"/>
            </reference>
            <reference field="20" count="1" selected="0">
              <x v="198"/>
            </reference>
          </references>
        </pivotArea>
        <pivotArea type="data" collapsedLevelsAreSubtotals="1" fieldPosition="0">
          <references count="2">
            <reference field="4294967294" count="1" selected="0">
              <x v="0"/>
            </reference>
            <reference field="20" count="1">
              <x v="203"/>
            </reference>
          </references>
        </pivotArea>
        <pivotArea type="data" collapsedLevelsAreSubtotals="1" fieldPosition="0">
          <references count="3">
            <reference field="4294967294" count="1" selected="0">
              <x v="0"/>
            </reference>
            <reference field="17" count="1">
              <x v="95"/>
            </reference>
            <reference field="20" count="1" selected="0">
              <x v="203"/>
            </reference>
          </references>
        </pivotArea>
        <pivotArea type="data" collapsedLevelsAreSubtotals="1" fieldPosition="0">
          <references count="4">
            <reference field="4294967294" count="1" selected="0">
              <x v="0"/>
            </reference>
            <reference field="4" count="1">
              <x v="19"/>
            </reference>
            <reference field="17" count="1" selected="0">
              <x v="95"/>
            </reference>
            <reference field="20" count="1" selected="0">
              <x v="203"/>
            </reference>
          </references>
        </pivotArea>
        <pivotArea type="data" collapsedLevelsAreSubtotals="1" fieldPosition="0">
          <references count="5">
            <reference field="4294967294" count="1" selected="0">
              <x v="0"/>
            </reference>
            <reference field="4" count="1" selected="0">
              <x v="19"/>
            </reference>
            <reference field="5" count="2">
              <x v="43"/>
              <x v="49"/>
            </reference>
            <reference field="17" count="1" selected="0">
              <x v="95"/>
            </reference>
            <reference field="20" count="1" selected="0">
              <x v="203"/>
            </reference>
          </references>
        </pivotArea>
        <pivotArea type="data" collapsedLevelsAreSubtotals="1" fieldPosition="0">
          <references count="2">
            <reference field="4294967294" count="1" selected="0">
              <x v="0"/>
            </reference>
            <reference field="20" count="1">
              <x v="207"/>
            </reference>
          </references>
        </pivotArea>
        <pivotArea type="data" collapsedLevelsAreSubtotals="1" fieldPosition="0">
          <references count="3">
            <reference field="4294967294" count="1" selected="0">
              <x v="0"/>
            </reference>
            <reference field="17" count="1">
              <x v="82"/>
            </reference>
            <reference field="20" count="1" selected="0">
              <x v="207"/>
            </reference>
          </references>
        </pivotArea>
        <pivotArea type="data" collapsedLevelsAreSubtotals="1" fieldPosition="0">
          <references count="4">
            <reference field="4294967294" count="1" selected="0">
              <x v="0"/>
            </reference>
            <reference field="4" count="1">
              <x v="102"/>
            </reference>
            <reference field="17" count="1" selected="0">
              <x v="82"/>
            </reference>
            <reference field="20" count="1" selected="0">
              <x v="207"/>
            </reference>
          </references>
        </pivotArea>
        <pivotArea type="data" collapsedLevelsAreSubtotals="1" fieldPosition="0">
          <references count="5">
            <reference field="4294967294" count="1" selected="0">
              <x v="0"/>
            </reference>
            <reference field="4" count="1" selected="0">
              <x v="102"/>
            </reference>
            <reference field="5" count="1">
              <x v="30"/>
            </reference>
            <reference field="17" count="1" selected="0">
              <x v="82"/>
            </reference>
            <reference field="20" count="1" selected="0">
              <x v="207"/>
            </reference>
          </references>
        </pivotArea>
        <pivotArea type="data" collapsedLevelsAreSubtotals="1" fieldPosition="0">
          <references count="2">
            <reference field="4294967294" count="1" selected="0">
              <x v="0"/>
            </reference>
            <reference field="20" count="1">
              <x v="210"/>
            </reference>
          </references>
        </pivotArea>
        <pivotArea type="data" collapsedLevelsAreSubtotals="1" fieldPosition="0">
          <references count="3">
            <reference field="4294967294" count="1" selected="0">
              <x v="0"/>
            </reference>
            <reference field="17" count="1">
              <x v="6"/>
            </reference>
            <reference field="20" count="1" selected="0">
              <x v="210"/>
            </reference>
          </references>
        </pivotArea>
        <pivotArea type="data" collapsedLevelsAreSubtotals="1" fieldPosition="0">
          <references count="4">
            <reference field="4294967294" count="1" selected="0">
              <x v="0"/>
            </reference>
            <reference field="4" count="1">
              <x v="7"/>
            </reference>
            <reference field="17" count="1" selected="0">
              <x v="6"/>
            </reference>
            <reference field="20" count="1" selected="0">
              <x v="210"/>
            </reference>
          </references>
        </pivotArea>
        <pivotArea type="data" collapsedLevelsAreSubtotals="1" fieldPosition="0">
          <references count="5">
            <reference field="4294967294" count="1" selected="0">
              <x v="0"/>
            </reference>
            <reference field="4" count="1" selected="0">
              <x v="7"/>
            </reference>
            <reference field="5" count="1">
              <x v="84"/>
            </reference>
            <reference field="17" count="1" selected="0">
              <x v="6"/>
            </reference>
            <reference field="20" count="1" selected="0">
              <x v="210"/>
            </reference>
          </references>
        </pivotArea>
        <pivotArea type="data" collapsedLevelsAreSubtotals="1" fieldPosition="0">
          <references count="2">
            <reference field="4294967294" count="1" selected="0">
              <x v="0"/>
            </reference>
            <reference field="20" count="1">
              <x v="213"/>
            </reference>
          </references>
        </pivotArea>
        <pivotArea type="data" collapsedLevelsAreSubtotals="1" fieldPosition="0">
          <references count="3">
            <reference field="4294967294" count="1" selected="0">
              <x v="0"/>
            </reference>
            <reference field="17" count="1">
              <x v="97"/>
            </reference>
            <reference field="20" count="1" selected="0">
              <x v="213"/>
            </reference>
          </references>
        </pivotArea>
        <pivotArea type="data" collapsedLevelsAreSubtotals="1" fieldPosition="0">
          <references count="4">
            <reference field="4294967294" count="1" selected="0">
              <x v="0"/>
            </reference>
            <reference field="4" count="1">
              <x v="75"/>
            </reference>
            <reference field="17" count="1" selected="0">
              <x v="97"/>
            </reference>
            <reference field="20" count="1" selected="0">
              <x v="213"/>
            </reference>
          </references>
        </pivotArea>
        <pivotArea type="data" collapsedLevelsAreSubtotals="1" fieldPosition="0">
          <references count="5">
            <reference field="4294967294" count="1" selected="0">
              <x v="0"/>
            </reference>
            <reference field="4" count="1" selected="0">
              <x v="75"/>
            </reference>
            <reference field="5" count="2">
              <x v="0"/>
              <x v="42"/>
            </reference>
            <reference field="17" count="1" selected="0">
              <x v="97"/>
            </reference>
            <reference field="20" count="1" selected="0">
              <x v="213"/>
            </reference>
          </references>
        </pivotArea>
        <pivotArea type="data" collapsedLevelsAreSubtotals="1" fieldPosition="0">
          <references count="2">
            <reference field="4294967294" count="1" selected="0">
              <x v="0"/>
            </reference>
            <reference field="20" count="1">
              <x v="214"/>
            </reference>
          </references>
        </pivotArea>
        <pivotArea type="data" collapsedLevelsAreSubtotals="1" fieldPosition="0">
          <references count="3">
            <reference field="4294967294" count="1" selected="0">
              <x v="0"/>
            </reference>
            <reference field="17" count="1">
              <x v="98"/>
            </reference>
            <reference field="20" count="1" selected="0">
              <x v="214"/>
            </reference>
          </references>
        </pivotArea>
        <pivotArea type="data" collapsedLevelsAreSubtotals="1" fieldPosition="0">
          <references count="4">
            <reference field="4294967294" count="1" selected="0">
              <x v="0"/>
            </reference>
            <reference field="4" count="1">
              <x v="33"/>
            </reference>
            <reference field="17" count="1" selected="0">
              <x v="98"/>
            </reference>
            <reference field="20" count="1" selected="0">
              <x v="214"/>
            </reference>
          </references>
        </pivotArea>
        <pivotArea type="data" collapsedLevelsAreSubtotals="1" fieldPosition="0">
          <references count="5">
            <reference field="4294967294" count="1" selected="0">
              <x v="0"/>
            </reference>
            <reference field="4" count="1" selected="0">
              <x v="33"/>
            </reference>
            <reference field="5" count="2">
              <x v="54"/>
              <x v="55"/>
            </reference>
            <reference field="17" count="1" selected="0">
              <x v="98"/>
            </reference>
            <reference field="20" count="1" selected="0">
              <x v="214"/>
            </reference>
          </references>
        </pivotArea>
        <pivotArea type="data" collapsedLevelsAreSubtotals="1" fieldPosition="0">
          <references count="2">
            <reference field="4294967294" count="1" selected="0">
              <x v="0"/>
            </reference>
            <reference field="20" count="1">
              <x v="215"/>
            </reference>
          </references>
        </pivotArea>
        <pivotArea type="data" collapsedLevelsAreSubtotals="1" fieldPosition="0">
          <references count="3">
            <reference field="4294967294" count="1" selected="0">
              <x v="0"/>
            </reference>
            <reference field="17" count="1">
              <x v="46"/>
            </reference>
            <reference field="20" count="1" selected="0">
              <x v="215"/>
            </reference>
          </references>
        </pivotArea>
        <pivotArea type="data" collapsedLevelsAreSubtotals="1" fieldPosition="0">
          <references count="4">
            <reference field="4294967294" count="1" selected="0">
              <x v="0"/>
            </reference>
            <reference field="4" count="1">
              <x v="28"/>
            </reference>
            <reference field="17" count="1" selected="0">
              <x v="46"/>
            </reference>
            <reference field="20" count="1" selected="0">
              <x v="215"/>
            </reference>
          </references>
        </pivotArea>
        <pivotArea type="data" collapsedLevelsAreSubtotals="1" fieldPosition="0">
          <references count="5">
            <reference field="4294967294" count="1" selected="0">
              <x v="0"/>
            </reference>
            <reference field="4" count="1" selected="0">
              <x v="28"/>
            </reference>
            <reference field="5" count="2">
              <x v="21"/>
              <x v="22"/>
            </reference>
            <reference field="17" count="1" selected="0">
              <x v="46"/>
            </reference>
            <reference field="20" count="1" selected="0">
              <x v="215"/>
            </reference>
          </references>
        </pivotArea>
        <pivotArea type="data" collapsedLevelsAreSubtotals="1" fieldPosition="0">
          <references count="2">
            <reference field="4294967294" count="1" selected="0">
              <x v="0"/>
            </reference>
            <reference field="20" count="1">
              <x v="217"/>
            </reference>
          </references>
        </pivotArea>
        <pivotArea type="data" collapsedLevelsAreSubtotals="1" fieldPosition="0">
          <references count="3">
            <reference field="4294967294" count="1" selected="0">
              <x v="0"/>
            </reference>
            <reference field="17" count="1">
              <x v="25"/>
            </reference>
            <reference field="20" count="1" selected="0">
              <x v="217"/>
            </reference>
          </references>
        </pivotArea>
        <pivotArea type="data" collapsedLevelsAreSubtotals="1" fieldPosition="0">
          <references count="4">
            <reference field="4294967294" count="1" selected="0">
              <x v="0"/>
            </reference>
            <reference field="4" count="1">
              <x v="11"/>
            </reference>
            <reference field="17" count="1" selected="0">
              <x v="25"/>
            </reference>
            <reference field="20" count="1" selected="0">
              <x v="217"/>
            </reference>
          </references>
        </pivotArea>
        <pivotArea type="data" collapsedLevelsAreSubtotals="1" fieldPosition="0">
          <references count="5">
            <reference field="4294967294" count="1" selected="0">
              <x v="0"/>
            </reference>
            <reference field="4" count="1" selected="0">
              <x v="11"/>
            </reference>
            <reference field="5" count="1">
              <x v="96"/>
            </reference>
            <reference field="17" count="1" selected="0">
              <x v="25"/>
            </reference>
            <reference field="20" count="1" selected="0">
              <x v="217"/>
            </reference>
          </references>
        </pivotArea>
        <pivotArea type="data" collapsedLevelsAreSubtotals="1" fieldPosition="0">
          <references count="2">
            <reference field="4294967294" count="1" selected="0">
              <x v="0"/>
            </reference>
            <reference field="20" count="1">
              <x v="218"/>
            </reference>
          </references>
        </pivotArea>
        <pivotArea type="data" collapsedLevelsAreSubtotals="1" fieldPosition="0">
          <references count="3">
            <reference field="4294967294" count="1" selected="0">
              <x v="0"/>
            </reference>
            <reference field="17" count="1">
              <x v="49"/>
            </reference>
            <reference field="20" count="1" selected="0">
              <x v="218"/>
            </reference>
          </references>
        </pivotArea>
        <pivotArea type="data" collapsedLevelsAreSubtotals="1" fieldPosition="0">
          <references count="4">
            <reference field="4294967294" count="1" selected="0">
              <x v="0"/>
            </reference>
            <reference field="4" count="1">
              <x v="82"/>
            </reference>
            <reference field="17" count="1" selected="0">
              <x v="49"/>
            </reference>
            <reference field="20" count="1" selected="0">
              <x v="218"/>
            </reference>
          </references>
        </pivotArea>
        <pivotArea type="data" collapsedLevelsAreSubtotals="1" fieldPosition="0">
          <references count="5">
            <reference field="4294967294" count="1" selected="0">
              <x v="0"/>
            </reference>
            <reference field="4" count="1" selected="0">
              <x v="82"/>
            </reference>
            <reference field="5" count="2">
              <x v="78"/>
              <x v="86"/>
            </reference>
            <reference field="17" count="1" selected="0">
              <x v="49"/>
            </reference>
            <reference field="20" count="1" selected="0">
              <x v="218"/>
            </reference>
          </references>
        </pivotArea>
        <pivotArea type="data" collapsedLevelsAreSubtotals="1" fieldPosition="0">
          <references count="2">
            <reference field="4294967294" count="1" selected="0">
              <x v="0"/>
            </reference>
            <reference field="20" count="1">
              <x v="219"/>
            </reference>
          </references>
        </pivotArea>
        <pivotArea type="data" collapsedLevelsAreSubtotals="1" fieldPosition="0">
          <references count="3">
            <reference field="4294967294" count="1" selected="0">
              <x v="0"/>
            </reference>
            <reference field="17" count="1">
              <x v="115"/>
            </reference>
            <reference field="20" count="1" selected="0">
              <x v="219"/>
            </reference>
          </references>
        </pivotArea>
        <pivotArea type="data" collapsedLevelsAreSubtotals="1" fieldPosition="0">
          <references count="4">
            <reference field="4294967294" count="1" selected="0">
              <x v="0"/>
            </reference>
            <reference field="4" count="1">
              <x v="116"/>
            </reference>
            <reference field="17" count="1" selected="0">
              <x v="115"/>
            </reference>
            <reference field="20" count="1" selected="0">
              <x v="219"/>
            </reference>
          </references>
        </pivotArea>
        <pivotArea type="data" collapsedLevelsAreSubtotals="1" fieldPosition="0">
          <references count="5">
            <reference field="4294967294" count="1" selected="0">
              <x v="0"/>
            </reference>
            <reference field="4" count="1" selected="0">
              <x v="116"/>
            </reference>
            <reference field="5" count="1">
              <x v="109"/>
            </reference>
            <reference field="17" count="1" selected="0">
              <x v="115"/>
            </reference>
            <reference field="20" count="1" selected="0">
              <x v="219"/>
            </reference>
          </references>
        </pivotArea>
        <pivotArea type="data" collapsedLevelsAreSubtotals="1" fieldPosition="0">
          <references count="2">
            <reference field="4294967294" count="1" selected="0">
              <x v="0"/>
            </reference>
            <reference field="20" count="1">
              <x v="220"/>
            </reference>
          </references>
        </pivotArea>
        <pivotArea type="data" collapsedLevelsAreSubtotals="1" fieldPosition="0">
          <references count="3">
            <reference field="4294967294" count="1" selected="0">
              <x v="0"/>
            </reference>
            <reference field="17" count="1">
              <x v="33"/>
            </reference>
            <reference field="20" count="1" selected="0">
              <x v="220"/>
            </reference>
          </references>
        </pivotArea>
        <pivotArea type="data" collapsedLevelsAreSubtotals="1" fieldPosition="0">
          <references count="4">
            <reference field="4294967294" count="1" selected="0">
              <x v="0"/>
            </reference>
            <reference field="4" count="1">
              <x v="36"/>
            </reference>
            <reference field="17" count="1" selected="0">
              <x v="33"/>
            </reference>
            <reference field="20" count="1" selected="0">
              <x v="220"/>
            </reference>
          </references>
        </pivotArea>
        <pivotArea type="data" collapsedLevelsAreSubtotals="1" fieldPosition="0">
          <references count="5">
            <reference field="4294967294" count="1" selected="0">
              <x v="0"/>
            </reference>
            <reference field="4" count="1" selected="0">
              <x v="36"/>
            </reference>
            <reference field="5" count="2">
              <x v="57"/>
              <x v="58"/>
            </reference>
            <reference field="17" count="1" selected="0">
              <x v="33"/>
            </reference>
            <reference field="20" count="1" selected="0">
              <x v="220"/>
            </reference>
          </references>
        </pivotArea>
        <pivotArea type="data" collapsedLevelsAreSubtotals="1" fieldPosition="0">
          <references count="2">
            <reference field="4294967294" count="1" selected="0">
              <x v="0"/>
            </reference>
            <reference field="20" count="1">
              <x v="221"/>
            </reference>
          </references>
        </pivotArea>
        <pivotArea type="data" collapsedLevelsAreSubtotals="1" fieldPosition="0">
          <references count="3">
            <reference field="4294967294" count="1" selected="0">
              <x v="0"/>
            </reference>
            <reference field="17" count="1">
              <x v="80"/>
            </reference>
            <reference field="20" count="1" selected="0">
              <x v="221"/>
            </reference>
          </references>
        </pivotArea>
        <pivotArea type="data" collapsedLevelsAreSubtotals="1" fieldPosition="0">
          <references count="4">
            <reference field="4294967294" count="1" selected="0">
              <x v="0"/>
            </reference>
            <reference field="4" count="1">
              <x v="3"/>
            </reference>
            <reference field="17" count="1" selected="0">
              <x v="80"/>
            </reference>
            <reference field="20" count="1" selected="0">
              <x v="221"/>
            </reference>
          </references>
        </pivotArea>
        <pivotArea type="data" collapsedLevelsAreSubtotals="1" fieldPosition="0">
          <references count="5">
            <reference field="4294967294" count="1" selected="0">
              <x v="0"/>
            </reference>
            <reference field="4" count="1" selected="0">
              <x v="3"/>
            </reference>
            <reference field="5" count="1">
              <x v="22"/>
            </reference>
            <reference field="17" count="1" selected="0">
              <x v="80"/>
            </reference>
            <reference field="20" count="1" selected="0">
              <x v="221"/>
            </reference>
          </references>
        </pivotArea>
        <pivotArea type="data" collapsedLevelsAreSubtotals="1" fieldPosition="0">
          <references count="2">
            <reference field="4294967294" count="1" selected="0">
              <x v="0"/>
            </reference>
            <reference field="20" count="1">
              <x v="222"/>
            </reference>
          </references>
        </pivotArea>
        <pivotArea type="data" collapsedLevelsAreSubtotals="1" fieldPosition="0">
          <references count="3">
            <reference field="4294967294" count="1" selected="0">
              <x v="0"/>
            </reference>
            <reference field="17" count="1">
              <x v="12"/>
            </reference>
            <reference field="20" count="1" selected="0">
              <x v="222"/>
            </reference>
          </references>
        </pivotArea>
        <pivotArea type="data" collapsedLevelsAreSubtotals="1" fieldPosition="0">
          <references count="4">
            <reference field="4294967294" count="1" selected="0">
              <x v="0"/>
            </reference>
            <reference field="4" count="1">
              <x v="76"/>
            </reference>
            <reference field="17" count="1" selected="0">
              <x v="12"/>
            </reference>
            <reference field="20" count="1" selected="0">
              <x v="222"/>
            </reference>
          </references>
        </pivotArea>
        <pivotArea type="data" collapsedLevelsAreSubtotals="1" fieldPosition="0">
          <references count="5">
            <reference field="4294967294" count="1" selected="0">
              <x v="0"/>
            </reference>
            <reference field="4" count="1" selected="0">
              <x v="76"/>
            </reference>
            <reference field="5" count="1">
              <x v="106"/>
            </reference>
            <reference field="17" count="1" selected="0">
              <x v="12"/>
            </reference>
            <reference field="20" count="1" selected="0">
              <x v="222"/>
            </reference>
          </references>
        </pivotArea>
        <pivotArea type="data" collapsedLevelsAreSubtotals="1" fieldPosition="0">
          <references count="2">
            <reference field="4294967294" count="1" selected="0">
              <x v="0"/>
            </reference>
            <reference field="20" count="1">
              <x v="223"/>
            </reference>
          </references>
        </pivotArea>
        <pivotArea type="data" collapsedLevelsAreSubtotals="1" fieldPosition="0">
          <references count="3">
            <reference field="4294967294" count="1" selected="0">
              <x v="0"/>
            </reference>
            <reference field="17" count="1">
              <x v="91"/>
            </reference>
            <reference field="20" count="1" selected="0">
              <x v="223"/>
            </reference>
          </references>
        </pivotArea>
        <pivotArea type="data" collapsedLevelsAreSubtotals="1" fieldPosition="0">
          <references count="4">
            <reference field="4294967294" count="1" selected="0">
              <x v="0"/>
            </reference>
            <reference field="4" count="1">
              <x v="1"/>
            </reference>
            <reference field="17" count="1" selected="0">
              <x v="91"/>
            </reference>
            <reference field="20" count="1" selected="0">
              <x v="223"/>
            </reference>
          </references>
        </pivotArea>
        <pivotArea type="data" collapsedLevelsAreSubtotals="1" fieldPosition="0">
          <references count="5">
            <reference field="4294967294" count="1" selected="0">
              <x v="0"/>
            </reference>
            <reference field="4" count="1" selected="0">
              <x v="1"/>
            </reference>
            <reference field="5" count="1">
              <x v="38"/>
            </reference>
            <reference field="17" count="1" selected="0">
              <x v="91"/>
            </reference>
            <reference field="20" count="1" selected="0">
              <x v="223"/>
            </reference>
          </references>
        </pivotArea>
        <pivotArea type="data" collapsedLevelsAreSubtotals="1" fieldPosition="0">
          <references count="2">
            <reference field="4294967294" count="1" selected="0">
              <x v="0"/>
            </reference>
            <reference field="20" count="1">
              <x v="224"/>
            </reference>
          </references>
        </pivotArea>
        <pivotArea type="data" collapsedLevelsAreSubtotals="1" fieldPosition="0">
          <references count="3">
            <reference field="4294967294" count="1" selected="0">
              <x v="0"/>
            </reference>
            <reference field="17" count="1">
              <x v="93"/>
            </reference>
            <reference field="20" count="1" selected="0">
              <x v="224"/>
            </reference>
          </references>
        </pivotArea>
        <pivotArea type="data" collapsedLevelsAreSubtotals="1" fieldPosition="0">
          <references count="4">
            <reference field="4294967294" count="1" selected="0">
              <x v="0"/>
            </reference>
            <reference field="4" count="1">
              <x v="32"/>
            </reference>
            <reference field="17" count="1" selected="0">
              <x v="93"/>
            </reference>
            <reference field="20" count="1" selected="0">
              <x v="224"/>
            </reference>
          </references>
        </pivotArea>
        <pivotArea type="data" collapsedLevelsAreSubtotals="1" fieldPosition="0">
          <references count="5">
            <reference field="4294967294" count="1" selected="0">
              <x v="0"/>
            </reference>
            <reference field="4" count="1" selected="0">
              <x v="32"/>
            </reference>
            <reference field="5" count="3">
              <x v="12"/>
              <x v="14"/>
              <x v="46"/>
            </reference>
            <reference field="17" count="1" selected="0">
              <x v="93"/>
            </reference>
            <reference field="20" count="1" selected="0">
              <x v="224"/>
            </reference>
          </references>
        </pivotArea>
        <pivotArea type="data" collapsedLevelsAreSubtotals="1" fieldPosition="0">
          <references count="2">
            <reference field="4294967294" count="1" selected="0">
              <x v="0"/>
            </reference>
            <reference field="20" count="1">
              <x v="225"/>
            </reference>
          </references>
        </pivotArea>
        <pivotArea type="data" collapsedLevelsAreSubtotals="1" fieldPosition="0">
          <references count="3">
            <reference field="4294967294" count="1" selected="0">
              <x v="0"/>
            </reference>
            <reference field="17" count="1">
              <x v="60"/>
            </reference>
            <reference field="20" count="1" selected="0">
              <x v="225"/>
            </reference>
          </references>
        </pivotArea>
        <pivotArea type="data" collapsedLevelsAreSubtotals="1" fieldPosition="0">
          <references count="4">
            <reference field="4294967294" count="1" selected="0">
              <x v="0"/>
            </reference>
            <reference field="4" count="1">
              <x v="99"/>
            </reference>
            <reference field="17" count="1" selected="0">
              <x v="60"/>
            </reference>
            <reference field="20" count="1" selected="0">
              <x v="225"/>
            </reference>
          </references>
        </pivotArea>
        <pivotArea type="data" collapsedLevelsAreSubtotals="1" fieldPosition="0">
          <references count="5">
            <reference field="4294967294" count="1" selected="0">
              <x v="0"/>
            </reference>
            <reference field="4" count="1" selected="0">
              <x v="99"/>
            </reference>
            <reference field="5" count="1">
              <x v="82"/>
            </reference>
            <reference field="17" count="1" selected="0">
              <x v="60"/>
            </reference>
            <reference field="20" count="1" selected="0">
              <x v="225"/>
            </reference>
          </references>
        </pivotArea>
        <pivotArea type="data" collapsedLevelsAreSubtotals="1" fieldPosition="0">
          <references count="2">
            <reference field="4294967294" count="1" selected="0">
              <x v="0"/>
            </reference>
            <reference field="20" count="1">
              <x v="226"/>
            </reference>
          </references>
        </pivotArea>
        <pivotArea type="data" collapsedLevelsAreSubtotals="1" fieldPosition="0">
          <references count="3">
            <reference field="4294967294" count="1" selected="0">
              <x v="0"/>
            </reference>
            <reference field="17" count="1">
              <x v="61"/>
            </reference>
            <reference field="20" count="1" selected="0">
              <x v="226"/>
            </reference>
          </references>
        </pivotArea>
        <pivotArea type="data" collapsedLevelsAreSubtotals="1" fieldPosition="0">
          <references count="4">
            <reference field="4294967294" count="1" selected="0">
              <x v="0"/>
            </reference>
            <reference field="4" count="1">
              <x v="100"/>
            </reference>
            <reference field="17" count="1" selected="0">
              <x v="61"/>
            </reference>
            <reference field="20" count="1" selected="0">
              <x v="226"/>
            </reference>
          </references>
        </pivotArea>
        <pivotArea type="data" collapsedLevelsAreSubtotals="1" fieldPosition="0">
          <references count="5">
            <reference field="4294967294" count="1" selected="0">
              <x v="0"/>
            </reference>
            <reference field="4" count="1" selected="0">
              <x v="100"/>
            </reference>
            <reference field="5" count="1">
              <x v="101"/>
            </reference>
            <reference field="17" count="1" selected="0">
              <x v="61"/>
            </reference>
            <reference field="20" count="1" selected="0">
              <x v="226"/>
            </reference>
          </references>
        </pivotArea>
      </pivotAreas>
    </conditionalFormat>
  </conditional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ables/table1.xml><?xml version="1.0" encoding="utf-8"?>
<table xmlns="http://schemas.openxmlformats.org/spreadsheetml/2006/main" id="1" name="Tabla1" displayName="Tabla1" ref="C8:AA2437" totalsRowShown="0" headerRowDxfId="44" dataDxfId="43" tableBorderDxfId="42">
  <sortState ref="C9:AA2354">
    <sortCondition ref="H8"/>
  </sortState>
  <tableColumns count="25">
    <tableColumn id="1" name="Tipo de paciente" dataDxfId="41">
      <calculatedColumnFormula>IF(OR(H9="",T9=""),"",IF((H9-T9)/12/30&lt;18,"Pediátrico","Adulto"))</calculatedColumnFormula>
    </tableColumn>
    <tableColumn id="2" name="Apellido 1" dataDxfId="40"/>
    <tableColumn id="3" name="Apellido 2" dataDxfId="39"/>
    <tableColumn id="4" name="Nombre" dataDxfId="38"/>
    <tableColumn id="5" name="SIP" dataDxfId="37"/>
    <tableColumn id="6" name="Fecha de la dosis" dataDxfId="36"/>
    <tableColumn id="7" name="Kerma en aire acumulada (Gy)" dataDxfId="35"/>
    <tableColumn id="8" name="Zona corporal" dataDxfId="34"/>
    <tableColumn id="9" name="Columna1" dataDxfId="33"/>
    <tableColumn id="10" name="Columna2" dataDxfId="32"/>
    <tableColumn id="11" name="Columna3" dataDxfId="31"/>
    <tableColumn id="12" name="Columna4" dataDxfId="30"/>
    <tableColumn id="13" name="Columna5" dataDxfId="29"/>
    <tableColumn id="14" name="Columna6" dataDxfId="28"/>
    <tableColumn id="15" name="Columna7" dataDxfId="27"/>
    <tableColumn id="16" name="Columna8" dataDxfId="26"/>
    <tableColumn id="17" name="Columna9" dataDxfId="25"/>
    <tableColumn id="18" name="Fecha de nacimiento" dataDxfId="24"/>
    <tableColumn id="19" name="Apuntado" dataDxfId="23"/>
    <tableColumn id="20" name="Examen" dataDxfId="22"/>
    <tableColumn id="21" name="Nombre completo" dataDxfId="21"/>
    <tableColumn id="22" name="Mes" dataDxfId="20"/>
    <tableColumn id="23" name="Año" dataDxfId="19"/>
    <tableColumn id="24" name="Equipo" dataDxfId="18"/>
    <tableColumn id="25" name="Kerma acumulado (Gy)" dataDxfId="17">
      <calculatedColumnFormula>IF(Tabla1[[#This Row],[Kerma en aire acumulada (Gy)]]&gt;1,SUMIF(G:G,Tabla1[[#This Row],[SIP]],I:I)-Tabla1[[#This Row],[Kerma en aire acumulada (Gy)]],"")</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a2" displayName="Tabla2" ref="C8:R278" totalsRowShown="0" headerRowDxfId="16" headerRowBorderDxfId="15" tableBorderDxfId="14">
  <autoFilter ref="C8:R278"/>
  <tableColumns count="16">
    <tableColumn id="1" name="Apellido 1"/>
    <tableColumn id="2" name="Apellido 2"/>
    <tableColumn id="3" name="Nombre"/>
    <tableColumn id="4" name="SIP"/>
    <tableColumn id="5" name="Fecha de la dosis"/>
    <tableColumn id="6" name="Dosis (Gy)"/>
    <tableColumn id="7" name="PDA fluoro (Gy·cm2)"/>
    <tableColumn id="8" name="PDA expo (Gy·cm2)"/>
    <tableColumn id="9" name="PDA total (Gy·cm2)"/>
    <tableColumn id="10" name="Fecha de nacimiento"/>
    <tableColumn id="11" name="Nombre completo"/>
    <tableColumn id="12" name="Mes"/>
    <tableColumn id="13" name="Año"/>
    <tableColumn id="14" name="Ips"/>
    <tableColumn id="16" name="Peso (kg)"/>
    <tableColumn id="15" name="Intervenció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Transmisión de listas">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5.xml"/><Relationship Id="rId1"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dimension ref="A6:N9206"/>
  <sheetViews>
    <sheetView topLeftCell="A4" zoomScale="70" zoomScaleNormal="70" workbookViewId="0">
      <selection activeCell="H6" sqref="H6:H7"/>
    </sheetView>
  </sheetViews>
  <sheetFormatPr baseColWidth="10" defaultRowHeight="15"/>
  <cols>
    <col min="1" max="1" width="30.28515625" bestFit="1" customWidth="1"/>
    <col min="2" max="2" width="11.7109375" bestFit="1" customWidth="1"/>
    <col min="7" max="7" width="99.140625" bestFit="1" customWidth="1"/>
    <col min="8" max="12" width="18.140625" customWidth="1"/>
    <col min="13" max="13" width="17.5703125" customWidth="1"/>
    <col min="14" max="14" width="18.140625" customWidth="1"/>
    <col min="15" max="81" width="10.7109375" customWidth="1"/>
    <col min="82" max="82" width="12.5703125" customWidth="1"/>
    <col min="83" max="83" width="8.28515625" customWidth="1"/>
    <col min="84" max="84" width="11.28515625" customWidth="1"/>
    <col min="85" max="85" width="8" customWidth="1"/>
    <col min="86" max="86" width="11" customWidth="1"/>
    <col min="87" max="87" width="9.5703125" customWidth="1"/>
    <col min="88" max="88" width="12.5703125" customWidth="1"/>
    <col min="89" max="89" width="11.140625" customWidth="1"/>
    <col min="90" max="90" width="14.140625" customWidth="1"/>
    <col min="91" max="91" width="8" customWidth="1"/>
    <col min="92" max="92" width="11" customWidth="1"/>
    <col min="93" max="93" width="8.42578125" customWidth="1"/>
    <col min="94" max="94" width="11.42578125" customWidth="1"/>
    <col min="95" max="95" width="7.42578125" customWidth="1"/>
    <col min="96" max="97" width="10.42578125" customWidth="1"/>
    <col min="98" max="98" width="13.42578125" customWidth="1"/>
    <col min="99" max="99" width="7.5703125" customWidth="1"/>
    <col min="100" max="100" width="10.5703125" customWidth="1"/>
    <col min="101" max="101" width="8.28515625" customWidth="1"/>
    <col min="102" max="102" width="10.85546875" customWidth="1"/>
    <col min="103" max="103" width="8.7109375" customWidth="1"/>
    <col min="104" max="104" width="11.7109375" customWidth="1"/>
    <col min="105" max="105" width="10.42578125" customWidth="1"/>
    <col min="106" max="106" width="13.42578125" customWidth="1"/>
    <col min="107" max="107" width="10.85546875" customWidth="1"/>
    <col min="108" max="108" width="13.85546875" customWidth="1"/>
    <col min="109" max="109" width="10" customWidth="1"/>
    <col min="110" max="110" width="13" customWidth="1"/>
    <col min="111" max="111" width="7.42578125" customWidth="1"/>
    <col min="112" max="112" width="10.42578125" customWidth="1"/>
    <col min="113" max="113" width="10.28515625" customWidth="1"/>
    <col min="114" max="114" width="13.28515625" customWidth="1"/>
    <col min="115" max="115" width="12.28515625" customWidth="1"/>
    <col min="116" max="116" width="15.28515625" customWidth="1"/>
    <col min="117" max="117" width="8.42578125" customWidth="1"/>
    <col min="118" max="118" width="11.42578125" customWidth="1"/>
    <col min="119" max="119" width="7.5703125" customWidth="1"/>
    <col min="120" max="120" width="10.28515625" customWidth="1"/>
    <col min="121" max="121" width="10" customWidth="1"/>
    <col min="122" max="122" width="13" customWidth="1"/>
    <col min="123" max="123" width="8.5703125" customWidth="1"/>
    <col min="124" max="124" width="11.5703125" customWidth="1"/>
    <col min="125" max="125" width="7.5703125" customWidth="1"/>
    <col min="126" max="126" width="10.42578125" customWidth="1"/>
    <col min="127" max="127" width="7.5703125" customWidth="1"/>
    <col min="128" max="128" width="10.5703125" customWidth="1"/>
    <col min="129" max="129" width="11" customWidth="1"/>
    <col min="130" max="130" width="11.85546875" bestFit="1" customWidth="1"/>
    <col min="131" max="131" width="12.5703125" bestFit="1" customWidth="1"/>
  </cols>
  <sheetData>
    <row r="6" spans="1:14">
      <c r="A6" s="4" t="s">
        <v>185</v>
      </c>
      <c r="B6" t="s">
        <v>188</v>
      </c>
      <c r="G6" s="4" t="s">
        <v>185</v>
      </c>
      <c r="M6" s="4" t="s">
        <v>185</v>
      </c>
      <c r="N6" t="s">
        <v>187</v>
      </c>
    </row>
    <row r="7" spans="1:14">
      <c r="A7" s="5" t="s">
        <v>192</v>
      </c>
      <c r="B7" s="6">
        <v>6203670</v>
      </c>
      <c r="G7" s="5">
        <v>15513</v>
      </c>
      <c r="I7" s="6"/>
      <c r="J7" s="6"/>
      <c r="K7" s="6"/>
      <c r="L7" s="6"/>
      <c r="M7" s="5">
        <v>2018</v>
      </c>
      <c r="N7" s="6">
        <v>7.3289999999999997</v>
      </c>
    </row>
    <row r="8" spans="1:14">
      <c r="A8" s="5" t="s">
        <v>193</v>
      </c>
      <c r="B8" s="6">
        <v>3189874</v>
      </c>
      <c r="G8" s="7">
        <v>44566</v>
      </c>
      <c r="I8" s="6"/>
      <c r="J8" s="6"/>
      <c r="K8" s="6"/>
      <c r="L8" s="6"/>
      <c r="M8" s="5">
        <v>2019</v>
      </c>
      <c r="N8" s="6">
        <v>35.470999999999997</v>
      </c>
    </row>
    <row r="9" spans="1:14">
      <c r="A9" s="5" t="s">
        <v>194</v>
      </c>
      <c r="B9" s="6">
        <v>4715136</v>
      </c>
      <c r="G9" s="19" t="s">
        <v>1653</v>
      </c>
      <c r="I9" s="6"/>
      <c r="J9" s="6"/>
      <c r="K9" s="6"/>
      <c r="L9" s="6"/>
      <c r="M9" s="5">
        <v>2020</v>
      </c>
      <c r="N9" s="6">
        <v>151.71900000000002</v>
      </c>
    </row>
    <row r="10" spans="1:14">
      <c r="A10" s="5" t="s">
        <v>195</v>
      </c>
      <c r="B10" s="6">
        <v>3194477</v>
      </c>
      <c r="G10" s="7"/>
      <c r="I10" s="6"/>
      <c r="J10" s="6"/>
      <c r="K10" s="6"/>
      <c r="L10" s="6"/>
      <c r="M10" s="5">
        <v>2021</v>
      </c>
      <c r="N10" s="6">
        <v>19.063499999999998</v>
      </c>
    </row>
    <row r="11" spans="1:14">
      <c r="A11" s="5" t="s">
        <v>196</v>
      </c>
      <c r="B11" s="6">
        <v>93062</v>
      </c>
      <c r="G11" s="5">
        <v>18078</v>
      </c>
      <c r="I11" s="6"/>
      <c r="J11" s="6"/>
      <c r="K11" s="6"/>
      <c r="L11" s="6"/>
      <c r="M11" s="5" t="s">
        <v>186</v>
      </c>
      <c r="N11" s="6">
        <v>213.58250000000001</v>
      </c>
    </row>
    <row r="12" spans="1:14">
      <c r="A12" s="5" t="s">
        <v>197</v>
      </c>
      <c r="B12" s="6">
        <v>11728328</v>
      </c>
      <c r="G12" s="7">
        <v>44482</v>
      </c>
      <c r="I12" s="6"/>
      <c r="J12" s="6"/>
      <c r="K12" s="6"/>
      <c r="L12" s="6"/>
    </row>
    <row r="13" spans="1:14">
      <c r="A13" s="5" t="s">
        <v>198</v>
      </c>
      <c r="B13" s="6">
        <v>2401168</v>
      </c>
      <c r="G13" s="19" t="s">
        <v>1312</v>
      </c>
      <c r="I13" s="6"/>
      <c r="J13" s="6"/>
      <c r="K13" s="6"/>
      <c r="L13" s="6"/>
    </row>
    <row r="14" spans="1:14">
      <c r="A14" s="5" t="s">
        <v>199</v>
      </c>
      <c r="B14" s="6">
        <v>25115112</v>
      </c>
      <c r="G14" s="7"/>
      <c r="I14" s="6"/>
      <c r="J14" s="6"/>
      <c r="K14" s="6"/>
      <c r="L14" s="6"/>
    </row>
    <row r="15" spans="1:14">
      <c r="A15" s="5" t="s">
        <v>200</v>
      </c>
      <c r="B15" s="6">
        <v>6962472</v>
      </c>
      <c r="G15" s="5">
        <v>18576</v>
      </c>
      <c r="I15" s="6"/>
      <c r="J15" s="6"/>
      <c r="K15" s="6"/>
      <c r="L15" s="6"/>
    </row>
    <row r="16" spans="1:14">
      <c r="A16" s="5" t="s">
        <v>201</v>
      </c>
      <c r="B16" s="6">
        <v>2608848</v>
      </c>
      <c r="G16" s="7">
        <v>44678</v>
      </c>
      <c r="I16" s="6"/>
      <c r="J16" s="6"/>
      <c r="K16" s="6"/>
      <c r="L16" s="6"/>
    </row>
    <row r="17" spans="1:12">
      <c r="A17" s="5" t="s">
        <v>202</v>
      </c>
      <c r="B17" s="6">
        <v>4664774</v>
      </c>
      <c r="G17" s="19" t="s">
        <v>563</v>
      </c>
      <c r="I17" s="6"/>
      <c r="J17" s="6"/>
      <c r="K17" s="6"/>
      <c r="L17" s="6"/>
    </row>
    <row r="18" spans="1:12">
      <c r="A18" s="5" t="s">
        <v>203</v>
      </c>
      <c r="B18" s="6">
        <v>8491398</v>
      </c>
      <c r="G18" s="7"/>
      <c r="I18" s="6"/>
      <c r="J18" s="6"/>
      <c r="K18" s="6"/>
      <c r="L18" s="6"/>
    </row>
    <row r="19" spans="1:12">
      <c r="A19" s="5" t="s">
        <v>204</v>
      </c>
      <c r="B19" s="6">
        <v>3130505</v>
      </c>
      <c r="G19" s="5">
        <v>34748</v>
      </c>
      <c r="I19" s="6"/>
      <c r="J19" s="6"/>
      <c r="K19" s="6"/>
      <c r="L19" s="6"/>
    </row>
    <row r="20" spans="1:12">
      <c r="A20" s="5" t="s">
        <v>205</v>
      </c>
      <c r="B20" s="6">
        <v>4343935</v>
      </c>
      <c r="G20" s="7">
        <v>44498</v>
      </c>
      <c r="I20" s="6"/>
      <c r="J20" s="6"/>
      <c r="K20" s="6"/>
      <c r="L20" s="6"/>
    </row>
    <row r="21" spans="1:12">
      <c r="A21" s="5" t="s">
        <v>206</v>
      </c>
      <c r="B21" s="6">
        <v>1862484</v>
      </c>
      <c r="G21" s="19" t="s">
        <v>128</v>
      </c>
      <c r="I21" s="6"/>
      <c r="J21" s="6"/>
      <c r="K21" s="6"/>
      <c r="L21" s="6"/>
    </row>
    <row r="22" spans="1:12">
      <c r="A22" s="5" t="s">
        <v>207</v>
      </c>
      <c r="B22" s="6">
        <v>3386511</v>
      </c>
      <c r="G22" s="7"/>
      <c r="I22" s="6"/>
      <c r="J22" s="6"/>
      <c r="K22" s="6"/>
      <c r="L22" s="6"/>
    </row>
    <row r="23" spans="1:12">
      <c r="A23" s="5" t="s">
        <v>208</v>
      </c>
      <c r="B23" s="6">
        <v>2932156</v>
      </c>
      <c r="G23" s="5">
        <v>42108</v>
      </c>
      <c r="I23" s="6"/>
      <c r="J23" s="6"/>
      <c r="K23" s="6"/>
      <c r="L23" s="6"/>
    </row>
    <row r="24" spans="1:12">
      <c r="A24" s="5" t="s">
        <v>209</v>
      </c>
      <c r="B24" s="6">
        <v>2334536</v>
      </c>
      <c r="G24" s="7">
        <v>44139</v>
      </c>
      <c r="I24" s="6"/>
      <c r="J24" s="6"/>
      <c r="K24" s="6"/>
      <c r="L24" s="6"/>
    </row>
    <row r="25" spans="1:12">
      <c r="A25" s="5" t="s">
        <v>210</v>
      </c>
      <c r="B25" s="6">
        <v>5350920</v>
      </c>
      <c r="G25" s="19" t="s">
        <v>95</v>
      </c>
      <c r="I25" s="6"/>
      <c r="J25" s="6"/>
      <c r="K25" s="6"/>
      <c r="L25" s="6"/>
    </row>
    <row r="26" spans="1:12">
      <c r="A26" s="5" t="s">
        <v>211</v>
      </c>
      <c r="B26" s="6">
        <v>6700426</v>
      </c>
      <c r="G26" s="7"/>
      <c r="I26" s="6"/>
      <c r="J26" s="6"/>
      <c r="K26" s="6"/>
      <c r="L26" s="6"/>
    </row>
    <row r="27" spans="1:12">
      <c r="A27" s="5" t="s">
        <v>212</v>
      </c>
      <c r="B27" s="6">
        <v>2908045</v>
      </c>
      <c r="G27" s="5">
        <v>48579</v>
      </c>
      <c r="I27" s="6"/>
      <c r="J27" s="6"/>
      <c r="K27" s="6"/>
      <c r="L27" s="6"/>
    </row>
    <row r="28" spans="1:12">
      <c r="A28" s="5" t="s">
        <v>213</v>
      </c>
      <c r="B28" s="6">
        <v>13027262</v>
      </c>
      <c r="G28" s="7">
        <v>44659</v>
      </c>
      <c r="I28" s="6"/>
      <c r="J28" s="6"/>
      <c r="K28" s="6"/>
      <c r="L28" s="6"/>
    </row>
    <row r="29" spans="1:12">
      <c r="A29" s="5" t="s">
        <v>214</v>
      </c>
      <c r="B29" s="6">
        <v>2878193</v>
      </c>
      <c r="G29" s="19" t="s">
        <v>563</v>
      </c>
      <c r="I29" s="6"/>
      <c r="J29" s="6"/>
      <c r="K29" s="6"/>
      <c r="L29" s="6"/>
    </row>
    <row r="30" spans="1:12">
      <c r="A30" s="5" t="s">
        <v>215</v>
      </c>
      <c r="B30" s="6">
        <v>264626</v>
      </c>
      <c r="G30" s="7"/>
      <c r="I30" s="6"/>
      <c r="J30" s="6"/>
      <c r="K30" s="6"/>
      <c r="L30" s="6"/>
    </row>
    <row r="31" spans="1:12">
      <c r="A31" s="5" t="s">
        <v>216</v>
      </c>
      <c r="B31" s="6">
        <v>11132642</v>
      </c>
      <c r="G31" s="5">
        <v>50748</v>
      </c>
      <c r="I31" s="6"/>
      <c r="J31" s="6"/>
      <c r="K31" s="6"/>
      <c r="L31" s="6"/>
    </row>
    <row r="32" spans="1:12">
      <c r="A32" s="5" t="s">
        <v>217</v>
      </c>
      <c r="B32" s="6">
        <v>14173782</v>
      </c>
      <c r="G32" s="7">
        <v>44669</v>
      </c>
      <c r="I32" s="6"/>
      <c r="J32" s="6"/>
      <c r="K32" s="6"/>
      <c r="L32" s="6"/>
    </row>
    <row r="33" spans="1:12">
      <c r="A33" s="5" t="s">
        <v>218</v>
      </c>
      <c r="B33" s="6">
        <v>3801370</v>
      </c>
      <c r="G33" s="19" t="s">
        <v>563</v>
      </c>
      <c r="I33" s="6"/>
      <c r="J33" s="6"/>
      <c r="K33" s="6"/>
      <c r="L33" s="6"/>
    </row>
    <row r="34" spans="1:12">
      <c r="A34" s="5" t="s">
        <v>219</v>
      </c>
      <c r="B34" s="6">
        <v>4484462</v>
      </c>
      <c r="G34" s="7"/>
      <c r="I34" s="6"/>
      <c r="J34" s="6"/>
      <c r="K34" s="6"/>
      <c r="L34" s="6"/>
    </row>
    <row r="35" spans="1:12">
      <c r="A35" s="5" t="s">
        <v>220</v>
      </c>
      <c r="B35" s="6">
        <v>4726973</v>
      </c>
      <c r="G35" s="5">
        <v>50995</v>
      </c>
      <c r="I35" s="6"/>
      <c r="J35" s="6"/>
      <c r="K35" s="6"/>
      <c r="L35" s="6"/>
    </row>
    <row r="36" spans="1:12">
      <c r="A36" s="5" t="s">
        <v>221</v>
      </c>
      <c r="B36" s="6">
        <v>2398262</v>
      </c>
      <c r="G36" s="7">
        <v>44763</v>
      </c>
      <c r="I36" s="6"/>
      <c r="J36" s="6"/>
      <c r="K36" s="6"/>
      <c r="L36" s="6"/>
    </row>
    <row r="37" spans="1:12">
      <c r="A37" s="5" t="s">
        <v>222</v>
      </c>
      <c r="B37" s="6">
        <v>6232950</v>
      </c>
      <c r="G37" s="19" t="s">
        <v>2383</v>
      </c>
      <c r="I37" s="6"/>
      <c r="J37" s="6"/>
      <c r="K37" s="6"/>
      <c r="L37" s="6"/>
    </row>
    <row r="38" spans="1:12">
      <c r="A38" s="5" t="s">
        <v>223</v>
      </c>
      <c r="B38" s="6">
        <v>146669</v>
      </c>
      <c r="G38" s="7"/>
      <c r="I38" s="6"/>
      <c r="J38" s="6"/>
      <c r="K38" s="6"/>
      <c r="L38" s="6"/>
    </row>
    <row r="39" spans="1:12">
      <c r="A39" s="5" t="s">
        <v>224</v>
      </c>
      <c r="B39" s="6">
        <v>2281733</v>
      </c>
      <c r="G39" s="5">
        <v>61573</v>
      </c>
      <c r="I39" s="6"/>
      <c r="J39" s="6"/>
      <c r="K39" s="6"/>
      <c r="L39" s="6"/>
    </row>
    <row r="40" spans="1:12">
      <c r="A40" s="5" t="s">
        <v>225</v>
      </c>
      <c r="B40" s="6">
        <v>2910430</v>
      </c>
      <c r="G40" s="7">
        <v>44741</v>
      </c>
      <c r="I40" s="6"/>
      <c r="J40" s="6"/>
      <c r="K40" s="6"/>
      <c r="L40" s="6"/>
    </row>
    <row r="41" spans="1:12">
      <c r="A41" s="5" t="s">
        <v>226</v>
      </c>
      <c r="B41" s="6">
        <v>7454055</v>
      </c>
      <c r="G41" s="19" t="s">
        <v>2190</v>
      </c>
      <c r="I41" s="6"/>
      <c r="J41" s="6"/>
      <c r="K41" s="6"/>
      <c r="L41" s="6"/>
    </row>
    <row r="42" spans="1:12">
      <c r="A42" s="5" t="s">
        <v>227</v>
      </c>
      <c r="B42" s="6">
        <v>2316361</v>
      </c>
      <c r="G42" s="7"/>
      <c r="I42" s="6"/>
      <c r="J42" s="6"/>
      <c r="K42" s="6"/>
      <c r="L42" s="6"/>
    </row>
    <row r="43" spans="1:12">
      <c r="A43" s="5" t="s">
        <v>228</v>
      </c>
      <c r="B43" s="6">
        <v>3720067</v>
      </c>
      <c r="G43" s="5">
        <v>66728</v>
      </c>
      <c r="I43" s="6"/>
      <c r="J43" s="6"/>
      <c r="K43" s="6"/>
      <c r="L43" s="6"/>
    </row>
    <row r="44" spans="1:12">
      <c r="A44" s="5" t="s">
        <v>229</v>
      </c>
      <c r="B44" s="6">
        <v>3273662</v>
      </c>
      <c r="G44" s="7">
        <v>44742</v>
      </c>
      <c r="I44" s="6"/>
      <c r="J44" s="6"/>
      <c r="K44" s="6"/>
      <c r="L44" s="6"/>
    </row>
    <row r="45" spans="1:12">
      <c r="A45" s="5" t="s">
        <v>230</v>
      </c>
      <c r="B45" s="6">
        <v>2418238</v>
      </c>
      <c r="G45" s="19" t="s">
        <v>2383</v>
      </c>
      <c r="I45" s="6"/>
      <c r="J45" s="6"/>
      <c r="K45" s="6"/>
      <c r="L45" s="6"/>
    </row>
    <row r="46" spans="1:12">
      <c r="A46" s="5" t="s">
        <v>231</v>
      </c>
      <c r="B46" s="6">
        <v>7253924</v>
      </c>
      <c r="G46" s="7"/>
      <c r="I46" s="6"/>
      <c r="J46" s="6"/>
      <c r="K46" s="6"/>
      <c r="L46" s="6"/>
    </row>
    <row r="47" spans="1:12">
      <c r="A47" s="5" t="s">
        <v>232</v>
      </c>
      <c r="B47" s="6">
        <v>4976109</v>
      </c>
      <c r="G47" s="5">
        <v>73534</v>
      </c>
      <c r="I47" s="6"/>
      <c r="J47" s="6"/>
      <c r="K47" s="6"/>
      <c r="L47" s="6"/>
    </row>
    <row r="48" spans="1:12">
      <c r="A48" s="5" t="s">
        <v>233</v>
      </c>
      <c r="B48" s="6">
        <v>7900199</v>
      </c>
      <c r="G48" s="7">
        <v>44649</v>
      </c>
      <c r="I48" s="6"/>
      <c r="J48" s="6"/>
      <c r="K48" s="6"/>
      <c r="L48" s="6"/>
    </row>
    <row r="49" spans="1:12">
      <c r="A49" s="5" t="s">
        <v>234</v>
      </c>
      <c r="B49" s="6">
        <v>3824620</v>
      </c>
      <c r="G49" s="19" t="s">
        <v>563</v>
      </c>
      <c r="I49" s="6"/>
      <c r="J49" s="6"/>
      <c r="K49" s="6"/>
      <c r="L49" s="6"/>
    </row>
    <row r="50" spans="1:12">
      <c r="A50" s="5" t="s">
        <v>235</v>
      </c>
      <c r="B50" s="6">
        <v>2343053</v>
      </c>
      <c r="G50" s="7"/>
      <c r="I50" s="6"/>
      <c r="J50" s="6"/>
      <c r="K50" s="6"/>
      <c r="L50" s="6"/>
    </row>
    <row r="51" spans="1:12">
      <c r="A51" s="5" t="s">
        <v>236</v>
      </c>
      <c r="B51" s="6">
        <v>1819791</v>
      </c>
      <c r="G51" s="5">
        <v>89582</v>
      </c>
      <c r="I51" s="6"/>
      <c r="J51" s="6"/>
      <c r="K51" s="6"/>
      <c r="L51" s="6"/>
    </row>
    <row r="52" spans="1:12">
      <c r="A52" s="5" t="s">
        <v>237</v>
      </c>
      <c r="B52" s="6">
        <v>6733815</v>
      </c>
      <c r="G52" s="7">
        <v>44576</v>
      </c>
      <c r="I52" s="6"/>
      <c r="J52" s="6"/>
      <c r="K52" s="6"/>
      <c r="L52" s="6"/>
    </row>
    <row r="53" spans="1:12">
      <c r="A53" s="5" t="s">
        <v>238</v>
      </c>
      <c r="B53" s="6">
        <v>3395822</v>
      </c>
      <c r="G53" s="19" t="s">
        <v>151</v>
      </c>
      <c r="I53" s="6"/>
      <c r="J53" s="6"/>
      <c r="K53" s="6"/>
      <c r="L53" s="6"/>
    </row>
    <row r="54" spans="1:12">
      <c r="A54" s="5" t="s">
        <v>239</v>
      </c>
      <c r="B54" s="6">
        <v>196981</v>
      </c>
      <c r="G54" s="7"/>
      <c r="I54" s="6"/>
      <c r="J54" s="6"/>
      <c r="K54" s="6"/>
      <c r="L54" s="6"/>
    </row>
    <row r="55" spans="1:12">
      <c r="A55" s="5" t="s">
        <v>240</v>
      </c>
      <c r="B55" s="6">
        <v>8047148</v>
      </c>
      <c r="G55" s="5">
        <v>89641</v>
      </c>
      <c r="I55" s="6"/>
      <c r="J55" s="6"/>
      <c r="K55" s="6"/>
      <c r="L55" s="6"/>
    </row>
    <row r="56" spans="1:12">
      <c r="A56" s="5" t="s">
        <v>241</v>
      </c>
      <c r="B56" s="6">
        <v>3190819</v>
      </c>
      <c r="G56" s="7">
        <v>44349</v>
      </c>
      <c r="I56" s="6"/>
      <c r="J56" s="6"/>
      <c r="K56" s="6"/>
      <c r="L56" s="6"/>
    </row>
    <row r="57" spans="1:12">
      <c r="A57" s="5" t="s">
        <v>242</v>
      </c>
      <c r="B57" s="6">
        <v>755575</v>
      </c>
      <c r="G57" s="19" t="s">
        <v>563</v>
      </c>
      <c r="I57" s="6"/>
      <c r="J57" s="6"/>
      <c r="K57" s="6"/>
      <c r="L57" s="6"/>
    </row>
    <row r="58" spans="1:12">
      <c r="A58" s="5" t="s">
        <v>243</v>
      </c>
      <c r="B58" s="6">
        <v>2334536</v>
      </c>
      <c r="G58" s="7"/>
      <c r="I58" s="6"/>
      <c r="J58" s="6"/>
      <c r="K58" s="6"/>
      <c r="L58" s="6"/>
    </row>
    <row r="59" spans="1:12">
      <c r="A59" s="5" t="s">
        <v>244</v>
      </c>
      <c r="B59" s="6">
        <v>1867828</v>
      </c>
      <c r="G59" s="5">
        <v>89701</v>
      </c>
      <c r="I59" s="6"/>
      <c r="J59" s="6"/>
      <c r="K59" s="6"/>
      <c r="L59" s="6"/>
    </row>
    <row r="60" spans="1:12">
      <c r="A60" s="5" t="s">
        <v>245</v>
      </c>
      <c r="B60" s="6">
        <v>116680</v>
      </c>
      <c r="G60" s="7">
        <v>44606</v>
      </c>
      <c r="I60" s="6"/>
      <c r="J60" s="6"/>
      <c r="K60" s="6"/>
      <c r="L60" s="6"/>
    </row>
    <row r="61" spans="1:12">
      <c r="A61" s="5" t="s">
        <v>246</v>
      </c>
      <c r="B61" s="6">
        <v>2874613</v>
      </c>
      <c r="G61" s="19" t="s">
        <v>1203</v>
      </c>
      <c r="I61" s="6"/>
      <c r="J61" s="6"/>
      <c r="K61" s="6"/>
      <c r="L61" s="6"/>
    </row>
    <row r="62" spans="1:12">
      <c r="A62" s="5" t="s">
        <v>247</v>
      </c>
      <c r="B62" s="6">
        <v>1858960</v>
      </c>
      <c r="G62" s="7"/>
      <c r="I62" s="6"/>
      <c r="J62" s="6"/>
      <c r="K62" s="6"/>
      <c r="L62" s="6"/>
    </row>
    <row r="63" spans="1:12">
      <c r="A63" s="5" t="s">
        <v>248</v>
      </c>
      <c r="B63" s="6">
        <v>5096463</v>
      </c>
      <c r="G63" s="5">
        <v>89812</v>
      </c>
      <c r="I63" s="6"/>
      <c r="J63" s="6"/>
      <c r="K63" s="6"/>
      <c r="L63" s="6"/>
    </row>
    <row r="64" spans="1:12">
      <c r="A64" s="5" t="s">
        <v>249</v>
      </c>
      <c r="B64" s="6">
        <v>496962</v>
      </c>
      <c r="G64" s="7">
        <v>44658</v>
      </c>
      <c r="I64" s="6"/>
      <c r="J64" s="6"/>
      <c r="K64" s="6"/>
      <c r="L64" s="6"/>
    </row>
    <row r="65" spans="1:12">
      <c r="A65" s="5" t="s">
        <v>250</v>
      </c>
      <c r="B65" s="6">
        <v>2552796</v>
      </c>
      <c r="G65" s="19" t="s">
        <v>2237</v>
      </c>
      <c r="I65" s="6"/>
      <c r="J65" s="6"/>
      <c r="K65" s="6"/>
      <c r="L65" s="6"/>
    </row>
    <row r="66" spans="1:12">
      <c r="A66" s="5" t="s">
        <v>251</v>
      </c>
      <c r="B66" s="6">
        <v>1987869</v>
      </c>
      <c r="G66" s="7"/>
      <c r="I66" s="6"/>
      <c r="J66" s="6"/>
      <c r="K66" s="6"/>
      <c r="L66" s="6"/>
    </row>
    <row r="67" spans="1:12">
      <c r="A67" s="5" t="s">
        <v>252</v>
      </c>
      <c r="B67" s="6">
        <v>5032908</v>
      </c>
      <c r="G67" s="5">
        <v>93062</v>
      </c>
      <c r="I67" s="6"/>
      <c r="J67" s="6"/>
      <c r="K67" s="6"/>
      <c r="L67" s="6"/>
    </row>
    <row r="68" spans="1:12">
      <c r="A68" s="9" t="s">
        <v>186</v>
      </c>
      <c r="B68" s="10">
        <v>274617045</v>
      </c>
      <c r="G68" s="7">
        <v>44059</v>
      </c>
      <c r="I68" s="6"/>
      <c r="J68" s="6"/>
      <c r="K68" s="6"/>
      <c r="L68" s="6"/>
    </row>
    <row r="69" spans="1:12">
      <c r="G69" s="19" t="s">
        <v>155</v>
      </c>
      <c r="I69" s="6"/>
      <c r="J69" s="6"/>
      <c r="K69" s="6"/>
      <c r="L69" s="6"/>
    </row>
    <row r="70" spans="1:12">
      <c r="G70" s="7"/>
      <c r="I70" s="6"/>
      <c r="J70" s="6"/>
      <c r="K70" s="6"/>
      <c r="L70" s="6"/>
    </row>
    <row r="71" spans="1:12">
      <c r="G71" s="5">
        <v>94321</v>
      </c>
      <c r="I71" s="6"/>
      <c r="J71" s="6"/>
      <c r="K71" s="6"/>
      <c r="L71" s="6"/>
    </row>
    <row r="72" spans="1:12">
      <c r="G72" s="7">
        <v>44651</v>
      </c>
      <c r="I72" s="6"/>
      <c r="J72" s="6"/>
      <c r="K72" s="6"/>
      <c r="L72" s="6"/>
    </row>
    <row r="73" spans="1:12">
      <c r="G73" s="19" t="s">
        <v>2505</v>
      </c>
      <c r="I73" s="6"/>
      <c r="J73" s="6"/>
      <c r="K73" s="6"/>
      <c r="L73" s="6"/>
    </row>
    <row r="74" spans="1:12">
      <c r="G74" s="7"/>
      <c r="I74" s="6"/>
      <c r="J74" s="6"/>
      <c r="K74" s="6"/>
      <c r="L74" s="6"/>
    </row>
    <row r="75" spans="1:12">
      <c r="G75" s="5">
        <v>101622</v>
      </c>
      <c r="I75" s="6"/>
      <c r="J75" s="6"/>
      <c r="K75" s="6"/>
      <c r="L75" s="6"/>
    </row>
    <row r="76" spans="1:12">
      <c r="G76" s="7">
        <v>44707</v>
      </c>
      <c r="I76" s="6"/>
      <c r="J76" s="6"/>
      <c r="K76" s="6"/>
      <c r="L76" s="6"/>
    </row>
    <row r="77" spans="1:12">
      <c r="G77" s="19" t="s">
        <v>89</v>
      </c>
      <c r="I77" s="6"/>
      <c r="J77" s="6"/>
      <c r="K77" s="6"/>
      <c r="L77" s="6"/>
    </row>
    <row r="78" spans="1:12">
      <c r="G78" s="7"/>
      <c r="I78" s="6"/>
      <c r="J78" s="6"/>
      <c r="K78" s="6"/>
      <c r="L78" s="6"/>
    </row>
    <row r="79" spans="1:12">
      <c r="G79" s="5">
        <v>102773</v>
      </c>
      <c r="I79" s="6"/>
      <c r="J79" s="6"/>
      <c r="K79" s="6"/>
      <c r="L79" s="6"/>
    </row>
    <row r="80" spans="1:12">
      <c r="G80" s="7">
        <v>44474</v>
      </c>
      <c r="I80" s="6"/>
      <c r="J80" s="6"/>
      <c r="K80" s="6"/>
      <c r="L80" s="6"/>
    </row>
    <row r="81" spans="7:12">
      <c r="G81" s="19" t="s">
        <v>1293</v>
      </c>
      <c r="I81" s="6"/>
      <c r="J81" s="6"/>
      <c r="K81" s="6"/>
      <c r="L81" s="6"/>
    </row>
    <row r="82" spans="7:12">
      <c r="G82" s="7"/>
      <c r="I82" s="6"/>
      <c r="J82" s="6"/>
      <c r="K82" s="6"/>
      <c r="L82" s="6"/>
    </row>
    <row r="83" spans="7:12">
      <c r="G83" s="5">
        <v>107024</v>
      </c>
      <c r="I83" s="6"/>
      <c r="J83" s="6"/>
      <c r="K83" s="6"/>
      <c r="L83" s="6"/>
    </row>
    <row r="84" spans="7:12">
      <c r="G84" s="7">
        <v>44399</v>
      </c>
      <c r="I84" s="6"/>
      <c r="J84" s="6"/>
      <c r="K84" s="6"/>
      <c r="L84" s="6"/>
    </row>
    <row r="85" spans="7:12">
      <c r="G85" s="19" t="s">
        <v>1097</v>
      </c>
      <c r="I85" s="6"/>
      <c r="J85" s="6"/>
      <c r="K85" s="6"/>
      <c r="L85" s="6"/>
    </row>
    <row r="86" spans="7:12">
      <c r="G86" s="7"/>
      <c r="I86" s="6"/>
      <c r="J86" s="6"/>
      <c r="K86" s="6"/>
      <c r="L86" s="6"/>
    </row>
    <row r="87" spans="7:12">
      <c r="G87" s="5">
        <v>108052</v>
      </c>
      <c r="I87" s="6"/>
      <c r="J87" s="6"/>
      <c r="K87" s="6"/>
      <c r="L87" s="6"/>
    </row>
    <row r="88" spans="7:12">
      <c r="G88" s="7">
        <v>44545</v>
      </c>
      <c r="I88" s="6"/>
      <c r="J88" s="6"/>
      <c r="K88" s="6"/>
      <c r="L88" s="6"/>
    </row>
    <row r="89" spans="7:12">
      <c r="G89" s="19" t="s">
        <v>1214</v>
      </c>
      <c r="I89" s="6"/>
      <c r="J89" s="6"/>
      <c r="K89" s="6"/>
      <c r="L89" s="6"/>
    </row>
    <row r="90" spans="7:12">
      <c r="G90" s="7"/>
      <c r="I90" s="6"/>
      <c r="J90" s="6"/>
      <c r="K90" s="6"/>
      <c r="L90" s="6"/>
    </row>
    <row r="91" spans="7:12">
      <c r="G91" s="5">
        <v>110067</v>
      </c>
      <c r="I91" s="6"/>
      <c r="J91" s="6"/>
      <c r="K91" s="6"/>
      <c r="L91" s="6"/>
    </row>
    <row r="92" spans="7:12">
      <c r="G92" s="7">
        <v>44322</v>
      </c>
      <c r="I92" s="6"/>
      <c r="J92" s="6"/>
      <c r="K92" s="6"/>
      <c r="L92" s="6"/>
    </row>
    <row r="93" spans="7:12">
      <c r="G93" s="19" t="s">
        <v>563</v>
      </c>
      <c r="I93" s="6"/>
      <c r="J93" s="6"/>
      <c r="K93" s="6"/>
      <c r="L93" s="6"/>
    </row>
    <row r="94" spans="7:12">
      <c r="G94" s="7"/>
      <c r="I94" s="6"/>
      <c r="J94" s="6"/>
      <c r="K94" s="6"/>
      <c r="L94" s="6"/>
    </row>
    <row r="95" spans="7:12">
      <c r="G95" s="5">
        <v>114223</v>
      </c>
      <c r="I95" s="6"/>
      <c r="J95" s="6"/>
      <c r="K95" s="6"/>
      <c r="L95" s="6"/>
    </row>
    <row r="96" spans="7:12">
      <c r="G96" s="7">
        <v>44732</v>
      </c>
      <c r="I96" s="6"/>
      <c r="J96" s="6"/>
      <c r="K96" s="6"/>
      <c r="L96" s="6"/>
    </row>
    <row r="97" spans="7:12">
      <c r="G97" s="19" t="s">
        <v>1711</v>
      </c>
      <c r="I97" s="6"/>
      <c r="J97" s="6"/>
      <c r="K97" s="6"/>
      <c r="L97" s="6"/>
    </row>
    <row r="98" spans="7:12">
      <c r="G98" s="7"/>
      <c r="I98" s="6"/>
      <c r="J98" s="6"/>
      <c r="K98" s="6"/>
      <c r="L98" s="6"/>
    </row>
    <row r="99" spans="7:12">
      <c r="G99" s="5">
        <v>116680</v>
      </c>
      <c r="I99" s="6"/>
      <c r="J99" s="6"/>
      <c r="K99" s="6"/>
      <c r="L99" s="6"/>
    </row>
    <row r="100" spans="7:12">
      <c r="G100" s="7">
        <v>44245</v>
      </c>
      <c r="I100" s="6"/>
      <c r="J100" s="6"/>
      <c r="K100" s="6"/>
      <c r="L100" s="6"/>
    </row>
    <row r="101" spans="7:12">
      <c r="G101" s="19" t="s">
        <v>173</v>
      </c>
      <c r="I101" s="6"/>
      <c r="J101" s="6"/>
      <c r="K101" s="6"/>
      <c r="L101" s="6"/>
    </row>
    <row r="102" spans="7:12">
      <c r="G102" s="7"/>
      <c r="I102" s="6"/>
      <c r="J102" s="6"/>
      <c r="K102" s="6"/>
      <c r="L102" s="6"/>
    </row>
    <row r="103" spans="7:12">
      <c r="G103" s="5">
        <v>117258</v>
      </c>
      <c r="I103" s="6"/>
      <c r="J103" s="6"/>
      <c r="K103" s="6"/>
      <c r="L103" s="6"/>
    </row>
    <row r="104" spans="7:12">
      <c r="G104" s="7">
        <v>44705</v>
      </c>
      <c r="I104" s="6"/>
      <c r="J104" s="6"/>
      <c r="K104" s="6"/>
      <c r="L104" s="6"/>
    </row>
    <row r="105" spans="7:12">
      <c r="G105" s="19" t="s">
        <v>563</v>
      </c>
      <c r="I105" s="6"/>
      <c r="J105" s="6"/>
      <c r="K105" s="6"/>
      <c r="L105" s="6"/>
    </row>
    <row r="106" spans="7:12">
      <c r="G106" s="7"/>
      <c r="I106" s="6"/>
      <c r="J106" s="6"/>
      <c r="K106" s="6"/>
      <c r="L106" s="6"/>
    </row>
    <row r="107" spans="7:12">
      <c r="G107" s="5">
        <v>120012</v>
      </c>
      <c r="I107" s="6"/>
      <c r="J107" s="6"/>
      <c r="K107" s="6"/>
      <c r="L107" s="6"/>
    </row>
    <row r="108" spans="7:12">
      <c r="G108" s="7">
        <v>44339</v>
      </c>
      <c r="I108" s="6"/>
      <c r="J108" s="6"/>
      <c r="K108" s="6"/>
      <c r="L108" s="6"/>
    </row>
    <row r="109" spans="7:12">
      <c r="G109" s="19" t="s">
        <v>550</v>
      </c>
      <c r="I109" s="6"/>
      <c r="J109" s="6"/>
      <c r="K109" s="6"/>
      <c r="L109" s="6"/>
    </row>
    <row r="110" spans="7:12">
      <c r="G110" s="7"/>
      <c r="I110" s="6"/>
      <c r="J110" s="6"/>
      <c r="K110" s="6"/>
      <c r="L110" s="6"/>
    </row>
    <row r="111" spans="7:12">
      <c r="G111" s="5">
        <v>120967</v>
      </c>
      <c r="I111" s="6"/>
      <c r="J111" s="6"/>
      <c r="K111" s="6"/>
      <c r="L111" s="6"/>
    </row>
    <row r="112" spans="7:12">
      <c r="G112" s="7">
        <v>44666</v>
      </c>
      <c r="I112" s="6"/>
      <c r="J112" s="6"/>
      <c r="K112" s="6"/>
      <c r="L112" s="6"/>
    </row>
    <row r="113" spans="7:12">
      <c r="G113" s="19" t="s">
        <v>563</v>
      </c>
      <c r="I113" s="6"/>
      <c r="J113" s="6"/>
      <c r="K113" s="6"/>
      <c r="L113" s="6"/>
    </row>
    <row r="114" spans="7:12">
      <c r="G114" s="7"/>
    </row>
    <row r="115" spans="7:12">
      <c r="G115" s="5">
        <v>136098</v>
      </c>
    </row>
    <row r="116" spans="7:12">
      <c r="G116" s="7">
        <v>44710</v>
      </c>
    </row>
    <row r="117" spans="7:12">
      <c r="G117" s="19" t="s">
        <v>563</v>
      </c>
    </row>
    <row r="118" spans="7:12">
      <c r="G118" s="7"/>
    </row>
    <row r="119" spans="7:12">
      <c r="G119" s="5">
        <v>137486</v>
      </c>
    </row>
    <row r="120" spans="7:12">
      <c r="G120" s="7">
        <v>44648</v>
      </c>
    </row>
    <row r="121" spans="7:12">
      <c r="G121" s="19" t="s">
        <v>2383</v>
      </c>
    </row>
    <row r="122" spans="7:12">
      <c r="G122" s="7"/>
    </row>
    <row r="123" spans="7:12">
      <c r="G123" s="5">
        <v>138293</v>
      </c>
    </row>
    <row r="124" spans="7:12">
      <c r="G124" s="7">
        <v>44712</v>
      </c>
    </row>
    <row r="125" spans="7:12">
      <c r="G125" s="19" t="s">
        <v>563</v>
      </c>
    </row>
    <row r="126" spans="7:12">
      <c r="G126" s="7"/>
    </row>
    <row r="127" spans="7:12">
      <c r="G127" s="5">
        <v>145095</v>
      </c>
    </row>
    <row r="128" spans="7:12">
      <c r="G128" s="7">
        <v>44648</v>
      </c>
    </row>
    <row r="129" spans="7:7">
      <c r="G129" s="19" t="s">
        <v>2383</v>
      </c>
    </row>
    <row r="130" spans="7:7">
      <c r="G130" s="7"/>
    </row>
    <row r="131" spans="7:7">
      <c r="G131" s="5">
        <v>146669</v>
      </c>
    </row>
    <row r="132" spans="7:7">
      <c r="G132" s="7">
        <v>43980</v>
      </c>
    </row>
    <row r="133" spans="7:7">
      <c r="G133" s="19" t="s">
        <v>122</v>
      </c>
    </row>
    <row r="134" spans="7:7">
      <c r="G134" s="7"/>
    </row>
    <row r="135" spans="7:7">
      <c r="G135" s="5">
        <v>147707</v>
      </c>
    </row>
    <row r="136" spans="7:7">
      <c r="G136" s="7">
        <v>44688</v>
      </c>
    </row>
    <row r="137" spans="7:7">
      <c r="G137" s="19" t="s">
        <v>563</v>
      </c>
    </row>
    <row r="138" spans="7:7">
      <c r="G138" s="7"/>
    </row>
    <row r="139" spans="7:7">
      <c r="G139" s="5">
        <v>147735</v>
      </c>
    </row>
    <row r="140" spans="7:7">
      <c r="G140" s="7">
        <v>44650</v>
      </c>
    </row>
    <row r="141" spans="7:7">
      <c r="G141" s="19" t="s">
        <v>563</v>
      </c>
    </row>
    <row r="142" spans="7:7">
      <c r="G142" s="7"/>
    </row>
    <row r="143" spans="7:7">
      <c r="G143" s="5">
        <v>153842</v>
      </c>
    </row>
    <row r="144" spans="7:7">
      <c r="G144" s="7">
        <v>44700</v>
      </c>
    </row>
    <row r="145" spans="7:7">
      <c r="G145" s="19" t="s">
        <v>563</v>
      </c>
    </row>
    <row r="146" spans="7:7">
      <c r="G146" s="7"/>
    </row>
    <row r="147" spans="7:7">
      <c r="G147" s="5">
        <v>158920</v>
      </c>
    </row>
    <row r="148" spans="7:7">
      <c r="G148" s="7">
        <v>44669</v>
      </c>
    </row>
    <row r="149" spans="7:7">
      <c r="G149" s="19" t="s">
        <v>563</v>
      </c>
    </row>
    <row r="150" spans="7:7">
      <c r="G150" s="7"/>
    </row>
    <row r="151" spans="7:7">
      <c r="G151" s="5">
        <v>159095</v>
      </c>
    </row>
    <row r="152" spans="7:7">
      <c r="G152" s="7">
        <v>44427</v>
      </c>
    </row>
    <row r="153" spans="7:7">
      <c r="G153" s="19" t="s">
        <v>1233</v>
      </c>
    </row>
    <row r="154" spans="7:7">
      <c r="G154" s="7"/>
    </row>
    <row r="155" spans="7:7">
      <c r="G155" s="7">
        <v>44421</v>
      </c>
    </row>
    <row r="156" spans="7:7">
      <c r="G156" s="19" t="s">
        <v>1214</v>
      </c>
    </row>
    <row r="157" spans="7:7">
      <c r="G157" s="7"/>
    </row>
    <row r="158" spans="7:7">
      <c r="G158" s="7">
        <v>44418</v>
      </c>
    </row>
    <row r="159" spans="7:7">
      <c r="G159" s="19" t="s">
        <v>1233</v>
      </c>
    </row>
    <row r="160" spans="7:7">
      <c r="G160" s="7"/>
    </row>
    <row r="161" spans="7:7">
      <c r="G161" s="7">
        <v>44413</v>
      </c>
    </row>
    <row r="162" spans="7:7">
      <c r="G162" s="19" t="s">
        <v>143</v>
      </c>
    </row>
    <row r="163" spans="7:7">
      <c r="G163" s="7"/>
    </row>
    <row r="164" spans="7:7">
      <c r="G164" s="7">
        <v>44407</v>
      </c>
    </row>
    <row r="165" spans="7:7">
      <c r="G165" s="19" t="s">
        <v>1087</v>
      </c>
    </row>
    <row r="166" spans="7:7">
      <c r="G166" s="7"/>
    </row>
    <row r="167" spans="7:7">
      <c r="G167" s="7">
        <v>44390</v>
      </c>
    </row>
    <row r="168" spans="7:7">
      <c r="G168" s="19" t="s">
        <v>841</v>
      </c>
    </row>
    <row r="169" spans="7:7">
      <c r="G169" s="7"/>
    </row>
    <row r="170" spans="7:7">
      <c r="G170" s="7">
        <v>44494</v>
      </c>
    </row>
    <row r="171" spans="7:7">
      <c r="G171" s="19" t="s">
        <v>1293</v>
      </c>
    </row>
    <row r="172" spans="7:7">
      <c r="G172" s="7"/>
    </row>
    <row r="173" spans="7:7">
      <c r="G173" s="7">
        <v>44488</v>
      </c>
    </row>
    <row r="174" spans="7:7">
      <c r="G174" s="19" t="s">
        <v>1300</v>
      </c>
    </row>
    <row r="175" spans="7:7">
      <c r="G175" s="7"/>
    </row>
    <row r="176" spans="7:7">
      <c r="G176" s="7">
        <v>44498</v>
      </c>
    </row>
    <row r="177" spans="7:7">
      <c r="G177" s="19" t="s">
        <v>143</v>
      </c>
    </row>
    <row r="178" spans="7:7">
      <c r="G178" s="7"/>
    </row>
    <row r="179" spans="7:7">
      <c r="G179" s="5">
        <v>160383</v>
      </c>
    </row>
    <row r="180" spans="7:7">
      <c r="G180" s="7">
        <v>44770</v>
      </c>
    </row>
    <row r="181" spans="7:7">
      <c r="G181" s="19" t="s">
        <v>2383</v>
      </c>
    </row>
    <row r="182" spans="7:7">
      <c r="G182" s="7"/>
    </row>
    <row r="183" spans="7:7">
      <c r="G183" s="5">
        <v>164032</v>
      </c>
    </row>
    <row r="184" spans="7:7">
      <c r="G184" s="7">
        <v>44433</v>
      </c>
    </row>
    <row r="185" spans="7:7">
      <c r="G185" s="19" t="s">
        <v>950</v>
      </c>
    </row>
    <row r="186" spans="7:7">
      <c r="G186" s="7"/>
    </row>
    <row r="187" spans="7:7">
      <c r="G187" s="7">
        <v>44351</v>
      </c>
    </row>
    <row r="188" spans="7:7">
      <c r="G188" s="19" t="s">
        <v>838</v>
      </c>
    </row>
    <row r="189" spans="7:7">
      <c r="G189" s="7"/>
    </row>
    <row r="190" spans="7:7">
      <c r="G190" s="7">
        <v>44546</v>
      </c>
    </row>
    <row r="191" spans="7:7">
      <c r="G191" s="19" t="s">
        <v>1742</v>
      </c>
    </row>
    <row r="192" spans="7:7">
      <c r="G192" s="7"/>
    </row>
    <row r="193" spans="7:7">
      <c r="G193" s="5">
        <v>164039</v>
      </c>
    </row>
    <row r="194" spans="7:7">
      <c r="G194" s="7">
        <v>44608</v>
      </c>
    </row>
    <row r="195" spans="7:7">
      <c r="G195" s="19" t="s">
        <v>563</v>
      </c>
    </row>
    <row r="196" spans="7:7">
      <c r="G196" s="7"/>
    </row>
    <row r="197" spans="7:7">
      <c r="G197" s="5">
        <v>164237</v>
      </c>
    </row>
    <row r="198" spans="7:7">
      <c r="G198" s="7">
        <v>44735</v>
      </c>
    </row>
    <row r="199" spans="7:7">
      <c r="G199" s="19" t="s">
        <v>2383</v>
      </c>
    </row>
    <row r="200" spans="7:7">
      <c r="G200" s="7"/>
    </row>
    <row r="201" spans="7:7">
      <c r="G201" s="5">
        <v>174739</v>
      </c>
    </row>
    <row r="202" spans="7:7">
      <c r="G202" s="7">
        <v>44647</v>
      </c>
    </row>
    <row r="203" spans="7:7">
      <c r="G203" s="19" t="s">
        <v>2383</v>
      </c>
    </row>
    <row r="204" spans="7:7">
      <c r="G204" s="7"/>
    </row>
    <row r="205" spans="7:7">
      <c r="G205" s="5">
        <v>175634</v>
      </c>
    </row>
    <row r="206" spans="7:7">
      <c r="G206" s="7">
        <v>44686</v>
      </c>
    </row>
    <row r="207" spans="7:7">
      <c r="G207" s="19" t="s">
        <v>563</v>
      </c>
    </row>
    <row r="208" spans="7:7">
      <c r="G208" s="7"/>
    </row>
    <row r="209" spans="7:7">
      <c r="G209" s="5">
        <v>178922</v>
      </c>
    </row>
    <row r="210" spans="7:7">
      <c r="G210" s="7">
        <v>44642</v>
      </c>
    </row>
    <row r="211" spans="7:7">
      <c r="G211" s="19" t="s">
        <v>563</v>
      </c>
    </row>
    <row r="212" spans="7:7">
      <c r="G212" s="7"/>
    </row>
    <row r="213" spans="7:7">
      <c r="G213" s="5">
        <v>184007</v>
      </c>
    </row>
    <row r="214" spans="7:7">
      <c r="G214" s="7">
        <v>44698</v>
      </c>
    </row>
    <row r="215" spans="7:7">
      <c r="G215" s="19" t="s">
        <v>128</v>
      </c>
    </row>
    <row r="216" spans="7:7">
      <c r="G216" s="7"/>
    </row>
    <row r="217" spans="7:7">
      <c r="G217" s="5">
        <v>184178</v>
      </c>
    </row>
    <row r="218" spans="7:7">
      <c r="G218" s="7">
        <v>44677</v>
      </c>
    </row>
    <row r="219" spans="7:7">
      <c r="G219" s="19" t="s">
        <v>563</v>
      </c>
    </row>
    <row r="220" spans="7:7">
      <c r="G220" s="7"/>
    </row>
    <row r="221" spans="7:7">
      <c r="G221" s="5">
        <v>185316</v>
      </c>
    </row>
    <row r="222" spans="7:7">
      <c r="G222" s="7">
        <v>44681</v>
      </c>
    </row>
    <row r="223" spans="7:7">
      <c r="G223" s="19" t="s">
        <v>563</v>
      </c>
    </row>
    <row r="224" spans="7:7">
      <c r="G224" s="7"/>
    </row>
    <row r="225" spans="7:7">
      <c r="G225" s="5">
        <v>186781</v>
      </c>
    </row>
    <row r="226" spans="7:7">
      <c r="G226" s="7">
        <v>44768</v>
      </c>
    </row>
    <row r="227" spans="7:7">
      <c r="G227" s="19" t="s">
        <v>2383</v>
      </c>
    </row>
    <row r="228" spans="7:7">
      <c r="G228" s="7"/>
    </row>
    <row r="229" spans="7:7">
      <c r="G229" s="5">
        <v>191125</v>
      </c>
    </row>
    <row r="230" spans="7:7">
      <c r="G230" s="7">
        <v>44755</v>
      </c>
    </row>
    <row r="231" spans="7:7">
      <c r="G231" s="19" t="s">
        <v>1711</v>
      </c>
    </row>
    <row r="232" spans="7:7">
      <c r="G232" s="7"/>
    </row>
    <row r="233" spans="7:7">
      <c r="G233" s="5">
        <v>195079</v>
      </c>
    </row>
    <row r="234" spans="7:7">
      <c r="G234" s="7">
        <v>44724</v>
      </c>
    </row>
    <row r="235" spans="7:7">
      <c r="G235" s="19" t="s">
        <v>2383</v>
      </c>
    </row>
    <row r="236" spans="7:7">
      <c r="G236" s="7"/>
    </row>
    <row r="237" spans="7:7">
      <c r="G237" s="5">
        <v>196789</v>
      </c>
    </row>
    <row r="238" spans="7:7">
      <c r="G238" s="7">
        <v>44773</v>
      </c>
    </row>
    <row r="239" spans="7:7">
      <c r="G239" s="19" t="s">
        <v>2383</v>
      </c>
    </row>
    <row r="240" spans="7:7">
      <c r="G240" s="7"/>
    </row>
    <row r="241" spans="7:7">
      <c r="G241" s="5">
        <v>196981</v>
      </c>
    </row>
    <row r="242" spans="7:7">
      <c r="G242" s="7">
        <v>44252</v>
      </c>
    </row>
    <row r="243" spans="7:7">
      <c r="G243" s="19" t="s">
        <v>502</v>
      </c>
    </row>
    <row r="244" spans="7:7">
      <c r="G244" s="7"/>
    </row>
    <row r="245" spans="7:7">
      <c r="G245" s="7">
        <v>44240</v>
      </c>
    </row>
    <row r="246" spans="7:7">
      <c r="G246" s="19" t="s">
        <v>501</v>
      </c>
    </row>
    <row r="247" spans="7:7">
      <c r="G247" s="7"/>
    </row>
    <row r="248" spans="7:7">
      <c r="G248" s="5">
        <v>197786</v>
      </c>
    </row>
    <row r="249" spans="7:7">
      <c r="G249" s="7">
        <v>44658</v>
      </c>
    </row>
    <row r="250" spans="7:7">
      <c r="G250" s="19" t="s">
        <v>563</v>
      </c>
    </row>
    <row r="251" spans="7:7">
      <c r="G251" s="7"/>
    </row>
    <row r="252" spans="7:7">
      <c r="G252" s="5">
        <v>199677</v>
      </c>
    </row>
    <row r="253" spans="7:7">
      <c r="G253" s="7">
        <v>44727</v>
      </c>
    </row>
    <row r="254" spans="7:7">
      <c r="G254" s="19" t="s">
        <v>2383</v>
      </c>
    </row>
    <row r="255" spans="7:7">
      <c r="G255" s="7"/>
    </row>
    <row r="256" spans="7:7">
      <c r="G256" s="5">
        <v>207277</v>
      </c>
    </row>
    <row r="257" spans="7:7">
      <c r="G257" s="7">
        <v>44573</v>
      </c>
    </row>
    <row r="258" spans="7:7">
      <c r="G258" s="19" t="s">
        <v>1711</v>
      </c>
    </row>
    <row r="259" spans="7:7">
      <c r="G259" s="7"/>
    </row>
    <row r="260" spans="7:7">
      <c r="G260" s="5">
        <v>210073</v>
      </c>
    </row>
    <row r="261" spans="7:7">
      <c r="G261" s="7">
        <v>44357</v>
      </c>
    </row>
    <row r="262" spans="7:7">
      <c r="G262" s="19" t="s">
        <v>953</v>
      </c>
    </row>
    <row r="263" spans="7:7">
      <c r="G263" s="7"/>
    </row>
    <row r="264" spans="7:7">
      <c r="G264" s="5">
        <v>212041</v>
      </c>
    </row>
    <row r="265" spans="7:7">
      <c r="G265" s="7">
        <v>44726</v>
      </c>
    </row>
    <row r="266" spans="7:7">
      <c r="G266" s="19" t="s">
        <v>2962</v>
      </c>
    </row>
    <row r="267" spans="7:7">
      <c r="G267" s="7"/>
    </row>
    <row r="268" spans="7:7">
      <c r="G268" s="5">
        <v>214738</v>
      </c>
    </row>
    <row r="269" spans="7:7">
      <c r="G269" s="7">
        <v>44691</v>
      </c>
    </row>
    <row r="270" spans="7:7">
      <c r="G270" s="19" t="s">
        <v>89</v>
      </c>
    </row>
    <row r="271" spans="7:7">
      <c r="G271" s="7"/>
    </row>
    <row r="272" spans="7:7">
      <c r="G272" s="5">
        <v>214802</v>
      </c>
    </row>
    <row r="273" spans="7:7">
      <c r="G273" s="7">
        <v>44653</v>
      </c>
    </row>
    <row r="274" spans="7:7">
      <c r="G274" s="19" t="s">
        <v>563</v>
      </c>
    </row>
    <row r="275" spans="7:7">
      <c r="G275" s="7"/>
    </row>
    <row r="276" spans="7:7">
      <c r="G276" s="5">
        <v>214841</v>
      </c>
    </row>
    <row r="277" spans="7:7">
      <c r="G277" s="7">
        <v>44599</v>
      </c>
    </row>
    <row r="278" spans="7:7">
      <c r="G278" s="19" t="s">
        <v>1268</v>
      </c>
    </row>
    <row r="279" spans="7:7">
      <c r="G279" s="7"/>
    </row>
    <row r="280" spans="7:7">
      <c r="G280" s="5">
        <v>221667</v>
      </c>
    </row>
    <row r="281" spans="7:7">
      <c r="G281" s="7">
        <v>44294</v>
      </c>
    </row>
    <row r="282" spans="7:7">
      <c r="G282" s="19" t="s">
        <v>180</v>
      </c>
    </row>
    <row r="283" spans="7:7">
      <c r="G283" s="7"/>
    </row>
    <row r="284" spans="7:7">
      <c r="G284" s="7">
        <v>44594</v>
      </c>
    </row>
    <row r="285" spans="7:7">
      <c r="G285" s="19" t="s">
        <v>2102</v>
      </c>
    </row>
    <row r="286" spans="7:7">
      <c r="G286" s="7"/>
    </row>
    <row r="287" spans="7:7">
      <c r="G287" s="7">
        <v>44614</v>
      </c>
    </row>
    <row r="288" spans="7:7">
      <c r="G288" s="19" t="s">
        <v>180</v>
      </c>
    </row>
    <row r="289" spans="7:7">
      <c r="G289" s="7"/>
    </row>
    <row r="290" spans="7:7">
      <c r="G290" s="5">
        <v>222970</v>
      </c>
    </row>
    <row r="291" spans="7:7">
      <c r="G291" s="7">
        <v>44657</v>
      </c>
    </row>
    <row r="292" spans="7:7">
      <c r="G292" s="19" t="s">
        <v>563</v>
      </c>
    </row>
    <row r="293" spans="7:7">
      <c r="G293" s="7"/>
    </row>
    <row r="294" spans="7:7">
      <c r="G294" s="5">
        <v>227001</v>
      </c>
    </row>
    <row r="295" spans="7:7">
      <c r="G295" s="7">
        <v>44707</v>
      </c>
    </row>
    <row r="296" spans="7:7">
      <c r="G296" s="19" t="s">
        <v>563</v>
      </c>
    </row>
    <row r="297" spans="7:7">
      <c r="G297" s="7"/>
    </row>
    <row r="298" spans="7:7">
      <c r="G298" s="5">
        <v>227424</v>
      </c>
    </row>
    <row r="299" spans="7:7">
      <c r="G299" s="7">
        <v>44653</v>
      </c>
    </row>
    <row r="300" spans="7:7">
      <c r="G300" s="19" t="s">
        <v>563</v>
      </c>
    </row>
    <row r="301" spans="7:7">
      <c r="G301" s="7"/>
    </row>
    <row r="302" spans="7:7">
      <c r="G302" s="5">
        <v>230408</v>
      </c>
    </row>
    <row r="303" spans="7:7">
      <c r="G303" s="7">
        <v>44694</v>
      </c>
    </row>
    <row r="304" spans="7:7">
      <c r="G304" s="19" t="s">
        <v>563</v>
      </c>
    </row>
    <row r="305" spans="7:7">
      <c r="G305" s="7"/>
    </row>
    <row r="306" spans="7:7">
      <c r="G306" s="5">
        <v>232985</v>
      </c>
    </row>
    <row r="307" spans="7:7">
      <c r="G307" s="7">
        <v>44717</v>
      </c>
    </row>
    <row r="308" spans="7:7">
      <c r="G308" s="19" t="s">
        <v>2383</v>
      </c>
    </row>
    <row r="309" spans="7:7">
      <c r="G309" s="7"/>
    </row>
    <row r="310" spans="7:7">
      <c r="G310" s="5">
        <v>239932</v>
      </c>
    </row>
    <row r="311" spans="7:7">
      <c r="G311" s="7">
        <v>44671</v>
      </c>
    </row>
    <row r="312" spans="7:7">
      <c r="G312" s="19" t="s">
        <v>1312</v>
      </c>
    </row>
    <row r="313" spans="7:7">
      <c r="G313" s="7"/>
    </row>
    <row r="314" spans="7:7">
      <c r="G314" s="7">
        <v>44714</v>
      </c>
    </row>
    <row r="315" spans="7:7">
      <c r="G315" s="19" t="s">
        <v>1304</v>
      </c>
    </row>
    <row r="316" spans="7:7">
      <c r="G316" s="7"/>
    </row>
    <row r="317" spans="7:7">
      <c r="G317" s="5">
        <v>242936</v>
      </c>
    </row>
    <row r="318" spans="7:7">
      <c r="G318" s="7">
        <v>44356</v>
      </c>
    </row>
    <row r="319" spans="7:7">
      <c r="G319" s="19" t="s">
        <v>175</v>
      </c>
    </row>
    <row r="320" spans="7:7">
      <c r="G320" s="7"/>
    </row>
    <row r="321" spans="7:7">
      <c r="G321" s="7">
        <v>44559</v>
      </c>
    </row>
    <row r="322" spans="7:7">
      <c r="G322" s="19" t="s">
        <v>1126</v>
      </c>
    </row>
    <row r="323" spans="7:7">
      <c r="G323" s="7"/>
    </row>
    <row r="324" spans="7:7">
      <c r="G324" s="5">
        <v>244541</v>
      </c>
    </row>
    <row r="325" spans="7:7">
      <c r="G325" s="7">
        <v>44301</v>
      </c>
    </row>
    <row r="326" spans="7:7">
      <c r="G326" s="19" t="s">
        <v>100</v>
      </c>
    </row>
    <row r="327" spans="7:7">
      <c r="G327" s="7"/>
    </row>
    <row r="328" spans="7:7">
      <c r="G328" s="5">
        <v>244889</v>
      </c>
    </row>
    <row r="329" spans="7:7">
      <c r="G329" s="7">
        <v>44682</v>
      </c>
    </row>
    <row r="330" spans="7:7">
      <c r="G330" s="19" t="s">
        <v>563</v>
      </c>
    </row>
    <row r="331" spans="7:7">
      <c r="G331" s="7"/>
    </row>
    <row r="332" spans="7:7">
      <c r="G332" s="5">
        <v>245149</v>
      </c>
    </row>
    <row r="333" spans="7:7">
      <c r="G333" s="7">
        <v>44700</v>
      </c>
    </row>
    <row r="334" spans="7:7">
      <c r="G334" s="19" t="s">
        <v>563</v>
      </c>
    </row>
    <row r="335" spans="7:7">
      <c r="G335" s="7"/>
    </row>
    <row r="336" spans="7:7">
      <c r="G336" s="5">
        <v>245828</v>
      </c>
    </row>
    <row r="337" spans="7:7">
      <c r="G337" s="7">
        <v>44312</v>
      </c>
    </row>
    <row r="338" spans="7:7">
      <c r="G338" s="19" t="s">
        <v>586</v>
      </c>
    </row>
    <row r="339" spans="7:7">
      <c r="G339" s="7"/>
    </row>
    <row r="340" spans="7:7">
      <c r="G340" s="5">
        <v>245834</v>
      </c>
    </row>
    <row r="341" spans="7:7">
      <c r="G341" s="7">
        <v>44676</v>
      </c>
    </row>
    <row r="342" spans="7:7">
      <c r="G342" s="19" t="s">
        <v>563</v>
      </c>
    </row>
    <row r="343" spans="7:7">
      <c r="G343" s="7"/>
    </row>
    <row r="344" spans="7:7">
      <c r="G344" s="5">
        <v>248481</v>
      </c>
    </row>
    <row r="345" spans="7:7">
      <c r="G345" s="7">
        <v>43992</v>
      </c>
    </row>
    <row r="346" spans="7:7">
      <c r="G346" s="19" t="s">
        <v>100</v>
      </c>
    </row>
    <row r="347" spans="7:7">
      <c r="G347" s="7"/>
    </row>
    <row r="348" spans="7:7">
      <c r="G348" s="7">
        <v>44043</v>
      </c>
    </row>
    <row r="349" spans="7:7">
      <c r="G349" s="19" t="s">
        <v>147</v>
      </c>
    </row>
    <row r="350" spans="7:7">
      <c r="G350" s="7"/>
    </row>
    <row r="351" spans="7:7">
      <c r="G351" s="5">
        <v>249961</v>
      </c>
    </row>
    <row r="352" spans="7:7">
      <c r="G352" s="7">
        <v>44737</v>
      </c>
    </row>
    <row r="353" spans="7:7">
      <c r="G353" s="19" t="s">
        <v>2383</v>
      </c>
    </row>
    <row r="354" spans="7:7">
      <c r="G354" s="7"/>
    </row>
    <row r="355" spans="7:7">
      <c r="G355" s="5">
        <v>254663</v>
      </c>
    </row>
    <row r="356" spans="7:7">
      <c r="G356" s="7">
        <v>44704</v>
      </c>
    </row>
    <row r="357" spans="7:7">
      <c r="G357" s="19" t="s">
        <v>563</v>
      </c>
    </row>
    <row r="358" spans="7:7">
      <c r="G358" s="7"/>
    </row>
    <row r="359" spans="7:7">
      <c r="G359" s="5">
        <v>255439</v>
      </c>
    </row>
    <row r="360" spans="7:7">
      <c r="G360" s="7">
        <v>44622</v>
      </c>
    </row>
    <row r="361" spans="7:7">
      <c r="G361" s="19" t="s">
        <v>1836</v>
      </c>
    </row>
    <row r="362" spans="7:7">
      <c r="G362" s="7"/>
    </row>
    <row r="363" spans="7:7">
      <c r="G363" s="5">
        <v>255907</v>
      </c>
    </row>
    <row r="364" spans="7:7">
      <c r="G364" s="7">
        <v>44644</v>
      </c>
    </row>
    <row r="365" spans="7:7">
      <c r="G365" s="19" t="s">
        <v>1836</v>
      </c>
    </row>
    <row r="366" spans="7:7">
      <c r="G366" s="7"/>
    </row>
    <row r="367" spans="7:7">
      <c r="G367" s="5">
        <v>261290</v>
      </c>
    </row>
    <row r="368" spans="7:7">
      <c r="G368" s="7">
        <v>44518</v>
      </c>
    </row>
    <row r="369" spans="7:7">
      <c r="G369" s="19" t="s">
        <v>1916</v>
      </c>
    </row>
    <row r="370" spans="7:7">
      <c r="G370" s="7"/>
    </row>
    <row r="371" spans="7:7">
      <c r="G371" s="5">
        <v>264626</v>
      </c>
    </row>
    <row r="372" spans="7:7">
      <c r="G372" s="7">
        <v>43985</v>
      </c>
    </row>
    <row r="373" spans="7:7">
      <c r="G373" s="19" t="s">
        <v>89</v>
      </c>
    </row>
    <row r="374" spans="7:7">
      <c r="G374" s="7"/>
    </row>
    <row r="375" spans="7:7">
      <c r="G375" s="7">
        <v>44257</v>
      </c>
    </row>
    <row r="376" spans="7:7">
      <c r="G376" s="19" t="s">
        <v>89</v>
      </c>
    </row>
    <row r="377" spans="7:7">
      <c r="G377" s="7"/>
    </row>
    <row r="378" spans="7:7">
      <c r="G378" s="5">
        <v>280595</v>
      </c>
    </row>
    <row r="379" spans="7:7">
      <c r="G379" s="7">
        <v>44595</v>
      </c>
    </row>
    <row r="380" spans="7:7">
      <c r="G380" s="19" t="s">
        <v>1934</v>
      </c>
    </row>
    <row r="381" spans="7:7">
      <c r="G381" s="7"/>
    </row>
    <row r="382" spans="7:7">
      <c r="G382" s="5">
        <v>283654</v>
      </c>
    </row>
    <row r="383" spans="7:7">
      <c r="G383" s="7">
        <v>44646</v>
      </c>
    </row>
    <row r="384" spans="7:7">
      <c r="G384" s="19" t="s">
        <v>2383</v>
      </c>
    </row>
    <row r="385" spans="7:7">
      <c r="G385" s="7"/>
    </row>
    <row r="386" spans="7:7">
      <c r="G386" s="5">
        <v>287689</v>
      </c>
    </row>
    <row r="387" spans="7:7">
      <c r="G387" s="7">
        <v>44684</v>
      </c>
    </row>
    <row r="388" spans="7:7">
      <c r="G388" s="19" t="s">
        <v>2713</v>
      </c>
    </row>
    <row r="389" spans="7:7">
      <c r="G389" s="7"/>
    </row>
    <row r="390" spans="7:7">
      <c r="G390" s="5">
        <v>290541</v>
      </c>
    </row>
    <row r="391" spans="7:7">
      <c r="G391" s="7">
        <v>44517</v>
      </c>
    </row>
    <row r="392" spans="7:7">
      <c r="G392" s="19" t="s">
        <v>1300</v>
      </c>
    </row>
    <row r="393" spans="7:7">
      <c r="G393" s="7"/>
    </row>
    <row r="394" spans="7:7">
      <c r="G394" s="5">
        <v>297110</v>
      </c>
    </row>
    <row r="395" spans="7:7">
      <c r="G395" s="7">
        <v>44650</v>
      </c>
    </row>
    <row r="396" spans="7:7">
      <c r="G396" s="19" t="s">
        <v>563</v>
      </c>
    </row>
    <row r="397" spans="7:7">
      <c r="G397" s="7"/>
    </row>
    <row r="398" spans="7:7">
      <c r="G398" s="5">
        <v>297575</v>
      </c>
    </row>
    <row r="399" spans="7:7">
      <c r="G399" s="7">
        <v>44762</v>
      </c>
    </row>
    <row r="400" spans="7:7">
      <c r="G400" s="19" t="s">
        <v>1116</v>
      </c>
    </row>
    <row r="401" spans="7:7">
      <c r="G401" s="7"/>
    </row>
    <row r="402" spans="7:7">
      <c r="G402" s="7">
        <v>44761</v>
      </c>
    </row>
    <row r="403" spans="7:7">
      <c r="G403" s="19" t="s">
        <v>1116</v>
      </c>
    </row>
    <row r="404" spans="7:7">
      <c r="G404" s="7"/>
    </row>
    <row r="405" spans="7:7">
      <c r="G405" s="7">
        <v>44763</v>
      </c>
    </row>
    <row r="406" spans="7:7">
      <c r="G406" s="19" t="s">
        <v>1116</v>
      </c>
    </row>
    <row r="407" spans="7:7">
      <c r="G407" s="7"/>
    </row>
    <row r="408" spans="7:7">
      <c r="G408" s="7">
        <v>44764</v>
      </c>
    </row>
    <row r="409" spans="7:7">
      <c r="G409" s="19" t="s">
        <v>1174</v>
      </c>
    </row>
    <row r="410" spans="7:7">
      <c r="G410" s="7"/>
    </row>
    <row r="411" spans="7:7">
      <c r="G411" s="5">
        <v>304503</v>
      </c>
    </row>
    <row r="412" spans="7:7">
      <c r="G412" s="7">
        <v>44632</v>
      </c>
    </row>
    <row r="413" spans="7:7">
      <c r="G413" s="19" t="s">
        <v>1653</v>
      </c>
    </row>
    <row r="414" spans="7:7">
      <c r="G414" s="7"/>
    </row>
    <row r="415" spans="7:7">
      <c r="G415" s="5">
        <v>307201</v>
      </c>
    </row>
    <row r="416" spans="7:7">
      <c r="G416" s="7">
        <v>44717</v>
      </c>
    </row>
    <row r="417" spans="7:7">
      <c r="G417" s="19" t="s">
        <v>2383</v>
      </c>
    </row>
    <row r="418" spans="7:7">
      <c r="G418" s="7"/>
    </row>
    <row r="419" spans="7:7">
      <c r="G419" s="5">
        <v>321938</v>
      </c>
    </row>
    <row r="420" spans="7:7">
      <c r="G420" s="7">
        <v>44375</v>
      </c>
    </row>
    <row r="421" spans="7:7">
      <c r="G421" s="19" t="s">
        <v>550</v>
      </c>
    </row>
    <row r="422" spans="7:7">
      <c r="G422" s="7"/>
    </row>
    <row r="423" spans="7:7">
      <c r="G423" s="7">
        <v>44343</v>
      </c>
    </row>
    <row r="424" spans="7:7">
      <c r="G424" s="19" t="s">
        <v>100</v>
      </c>
    </row>
    <row r="425" spans="7:7">
      <c r="G425" s="7"/>
    </row>
    <row r="426" spans="7:7">
      <c r="G426" s="5">
        <v>323546</v>
      </c>
    </row>
    <row r="427" spans="7:7">
      <c r="G427" s="7">
        <v>44263</v>
      </c>
    </row>
    <row r="428" spans="7:7">
      <c r="G428" s="19" t="s">
        <v>166</v>
      </c>
    </row>
    <row r="429" spans="7:7">
      <c r="G429" s="7"/>
    </row>
    <row r="430" spans="7:7">
      <c r="G430" s="5">
        <v>324158</v>
      </c>
    </row>
    <row r="431" spans="7:7">
      <c r="G431" s="7">
        <v>44748</v>
      </c>
    </row>
    <row r="432" spans="7:7">
      <c r="G432" s="19" t="s">
        <v>2383</v>
      </c>
    </row>
    <row r="433" spans="7:7">
      <c r="G433" s="7"/>
    </row>
    <row r="434" spans="7:7">
      <c r="G434" s="5">
        <v>324526</v>
      </c>
    </row>
    <row r="435" spans="7:7">
      <c r="G435" s="7">
        <v>44480</v>
      </c>
    </row>
    <row r="436" spans="7:7">
      <c r="G436" s="19" t="s">
        <v>1324</v>
      </c>
    </row>
    <row r="437" spans="7:7">
      <c r="G437" s="7"/>
    </row>
    <row r="438" spans="7:7">
      <c r="G438" s="5">
        <v>326612</v>
      </c>
    </row>
    <row r="439" spans="7:7">
      <c r="G439" s="7">
        <v>44743</v>
      </c>
    </row>
    <row r="440" spans="7:7">
      <c r="G440" s="19" t="s">
        <v>2383</v>
      </c>
    </row>
    <row r="441" spans="7:7">
      <c r="G441" s="7"/>
    </row>
    <row r="442" spans="7:7">
      <c r="G442" s="5">
        <v>327516</v>
      </c>
    </row>
    <row r="443" spans="7:7">
      <c r="G443" s="7">
        <v>44596</v>
      </c>
    </row>
    <row r="444" spans="7:7">
      <c r="G444" s="19" t="s">
        <v>107</v>
      </c>
    </row>
    <row r="445" spans="7:7">
      <c r="G445" s="7"/>
    </row>
    <row r="446" spans="7:7">
      <c r="G446" s="7">
        <v>44585</v>
      </c>
    </row>
    <row r="447" spans="7:7">
      <c r="G447" s="19" t="s">
        <v>2144</v>
      </c>
    </row>
    <row r="448" spans="7:7">
      <c r="G448" s="7"/>
    </row>
    <row r="449" spans="7:7">
      <c r="G449" s="7">
        <v>44606</v>
      </c>
    </row>
    <row r="450" spans="7:7">
      <c r="G450" s="19" t="s">
        <v>2184</v>
      </c>
    </row>
    <row r="451" spans="7:7">
      <c r="G451" s="7"/>
    </row>
    <row r="452" spans="7:7">
      <c r="G452" s="7">
        <v>44664</v>
      </c>
    </row>
    <row r="453" spans="7:7">
      <c r="G453" s="19" t="s">
        <v>107</v>
      </c>
    </row>
    <row r="454" spans="7:7">
      <c r="G454" s="7"/>
    </row>
    <row r="455" spans="7:7">
      <c r="G455" s="5">
        <v>333314</v>
      </c>
    </row>
    <row r="456" spans="7:7">
      <c r="G456" s="7">
        <v>44752</v>
      </c>
    </row>
    <row r="457" spans="7:7">
      <c r="G457" s="19" t="s">
        <v>3221</v>
      </c>
    </row>
    <row r="458" spans="7:7">
      <c r="G458" s="7"/>
    </row>
    <row r="459" spans="7:7">
      <c r="G459" s="5">
        <v>333315</v>
      </c>
    </row>
    <row r="460" spans="7:7">
      <c r="G460" s="7">
        <v>44651</v>
      </c>
    </row>
    <row r="461" spans="7:7">
      <c r="G461" s="19" t="s">
        <v>563</v>
      </c>
    </row>
    <row r="462" spans="7:7">
      <c r="G462" s="7"/>
    </row>
    <row r="463" spans="7:7">
      <c r="G463" s="5">
        <v>334019</v>
      </c>
    </row>
    <row r="464" spans="7:7">
      <c r="G464" s="7">
        <v>44652</v>
      </c>
    </row>
    <row r="465" spans="7:7">
      <c r="G465" s="19" t="s">
        <v>563</v>
      </c>
    </row>
    <row r="466" spans="7:7">
      <c r="G466" s="7"/>
    </row>
    <row r="467" spans="7:7">
      <c r="G467" s="5">
        <v>336145</v>
      </c>
    </row>
    <row r="468" spans="7:7">
      <c r="G468" s="7">
        <v>44622</v>
      </c>
    </row>
    <row r="469" spans="7:7">
      <c r="G469" s="19" t="s">
        <v>2223</v>
      </c>
    </row>
    <row r="470" spans="7:7">
      <c r="G470" s="7"/>
    </row>
    <row r="471" spans="7:7">
      <c r="G471" s="7">
        <v>44641</v>
      </c>
    </row>
    <row r="472" spans="7:7">
      <c r="G472" s="19" t="s">
        <v>1293</v>
      </c>
    </row>
    <row r="473" spans="7:7">
      <c r="G473" s="7"/>
    </row>
    <row r="474" spans="7:7">
      <c r="G474" s="7">
        <v>44664</v>
      </c>
    </row>
    <row r="475" spans="7:7">
      <c r="G475" s="19" t="s">
        <v>1312</v>
      </c>
    </row>
    <row r="476" spans="7:7">
      <c r="G476" s="7"/>
    </row>
    <row r="477" spans="7:7">
      <c r="G477" s="7">
        <v>44714</v>
      </c>
    </row>
    <row r="478" spans="7:7">
      <c r="G478" s="19" t="s">
        <v>260</v>
      </c>
    </row>
    <row r="479" spans="7:7">
      <c r="G479" s="7"/>
    </row>
    <row r="480" spans="7:7">
      <c r="G480" s="7">
        <v>44732</v>
      </c>
    </row>
    <row r="481" spans="7:7">
      <c r="G481" s="19" t="s">
        <v>1086</v>
      </c>
    </row>
    <row r="482" spans="7:7">
      <c r="G482" s="7"/>
    </row>
    <row r="483" spans="7:7">
      <c r="G483" s="5">
        <v>336415</v>
      </c>
    </row>
    <row r="484" spans="7:7">
      <c r="G484" s="7">
        <v>44545</v>
      </c>
    </row>
    <row r="485" spans="7:7">
      <c r="G485" s="19" t="s">
        <v>89</v>
      </c>
    </row>
    <row r="486" spans="7:7">
      <c r="G486" s="7"/>
    </row>
    <row r="487" spans="7:7">
      <c r="G487" s="7">
        <v>44627</v>
      </c>
    </row>
    <row r="488" spans="7:7">
      <c r="G488" s="19" t="s">
        <v>89</v>
      </c>
    </row>
    <row r="489" spans="7:7">
      <c r="G489" s="7"/>
    </row>
    <row r="490" spans="7:7">
      <c r="G490" s="5">
        <v>338341</v>
      </c>
    </row>
    <row r="491" spans="7:7">
      <c r="G491" s="7">
        <v>44440</v>
      </c>
    </row>
    <row r="492" spans="7:7">
      <c r="G492" s="19" t="s">
        <v>1304</v>
      </c>
    </row>
    <row r="493" spans="7:7">
      <c r="G493" s="7"/>
    </row>
    <row r="494" spans="7:7">
      <c r="G494" s="7">
        <v>44427</v>
      </c>
    </row>
    <row r="495" spans="7:7">
      <c r="G495" s="19" t="s">
        <v>143</v>
      </c>
    </row>
    <row r="496" spans="7:7">
      <c r="G496" s="7"/>
    </row>
    <row r="497" spans="7:7">
      <c r="G497" s="7">
        <v>44449</v>
      </c>
    </row>
    <row r="498" spans="7:7">
      <c r="G498" s="19" t="s">
        <v>1312</v>
      </c>
    </row>
    <row r="499" spans="7:7">
      <c r="G499" s="7"/>
    </row>
    <row r="500" spans="7:7">
      <c r="G500" s="5">
        <v>339746</v>
      </c>
    </row>
    <row r="501" spans="7:7">
      <c r="G501" s="7">
        <v>44140</v>
      </c>
    </row>
    <row r="502" spans="7:7">
      <c r="G502" s="19" t="s">
        <v>298</v>
      </c>
    </row>
    <row r="503" spans="7:7">
      <c r="G503" s="7"/>
    </row>
    <row r="504" spans="7:7">
      <c r="G504" s="5">
        <v>343915</v>
      </c>
    </row>
    <row r="505" spans="7:7">
      <c r="G505" s="7">
        <v>44491</v>
      </c>
    </row>
    <row r="506" spans="7:7">
      <c r="G506" s="19" t="s">
        <v>1742</v>
      </c>
    </row>
    <row r="507" spans="7:7">
      <c r="G507" s="7"/>
    </row>
    <row r="508" spans="7:7">
      <c r="G508" s="7">
        <v>44531</v>
      </c>
    </row>
    <row r="509" spans="7:7">
      <c r="G509" s="19" t="s">
        <v>1927</v>
      </c>
    </row>
    <row r="510" spans="7:7">
      <c r="G510" s="7"/>
    </row>
    <row r="511" spans="7:7">
      <c r="G511" s="7">
        <v>44533</v>
      </c>
    </row>
    <row r="512" spans="7:7">
      <c r="G512" s="19" t="s">
        <v>1947</v>
      </c>
    </row>
    <row r="513" spans="7:7">
      <c r="G513" s="7"/>
    </row>
    <row r="514" spans="7:7">
      <c r="G514" s="5">
        <v>353699</v>
      </c>
    </row>
    <row r="515" spans="7:7">
      <c r="G515" s="7">
        <v>44587</v>
      </c>
    </row>
    <row r="516" spans="7:7">
      <c r="G516" s="19" t="s">
        <v>2109</v>
      </c>
    </row>
    <row r="517" spans="7:7">
      <c r="G517" s="7"/>
    </row>
    <row r="518" spans="7:7">
      <c r="G518" s="5">
        <v>364225</v>
      </c>
    </row>
    <row r="519" spans="7:7">
      <c r="G519" s="7">
        <v>44687</v>
      </c>
    </row>
    <row r="520" spans="7:7">
      <c r="G520" s="19" t="s">
        <v>563</v>
      </c>
    </row>
    <row r="521" spans="7:7">
      <c r="G521" s="7"/>
    </row>
    <row r="522" spans="7:7">
      <c r="G522" s="5">
        <v>367564</v>
      </c>
    </row>
    <row r="523" spans="7:7">
      <c r="G523" s="7">
        <v>44768</v>
      </c>
    </row>
    <row r="524" spans="7:7">
      <c r="G524" s="19" t="s">
        <v>89</v>
      </c>
    </row>
    <row r="525" spans="7:7">
      <c r="G525" s="7"/>
    </row>
    <row r="526" spans="7:7">
      <c r="G526" s="5">
        <v>368492</v>
      </c>
    </row>
    <row r="527" spans="7:7">
      <c r="G527" s="7">
        <v>44685</v>
      </c>
    </row>
    <row r="528" spans="7:7">
      <c r="G528" s="19" t="s">
        <v>563</v>
      </c>
    </row>
    <row r="529" spans="7:7">
      <c r="G529" s="7"/>
    </row>
    <row r="530" spans="7:7">
      <c r="G530" s="5">
        <v>378881</v>
      </c>
    </row>
    <row r="531" spans="7:7">
      <c r="G531" s="7">
        <v>44713</v>
      </c>
    </row>
    <row r="532" spans="7:7">
      <c r="G532" s="19" t="s">
        <v>563</v>
      </c>
    </row>
    <row r="533" spans="7:7">
      <c r="G533" s="7"/>
    </row>
    <row r="534" spans="7:7">
      <c r="G534" s="5">
        <v>381347</v>
      </c>
    </row>
    <row r="535" spans="7:7">
      <c r="G535" s="7">
        <v>44620</v>
      </c>
    </row>
    <row r="536" spans="7:7">
      <c r="G536" s="19" t="s">
        <v>2201</v>
      </c>
    </row>
    <row r="537" spans="7:7">
      <c r="G537" s="7"/>
    </row>
    <row r="538" spans="7:7">
      <c r="G538" s="5">
        <v>384426</v>
      </c>
    </row>
    <row r="539" spans="7:7">
      <c r="G539" s="7">
        <v>44724</v>
      </c>
    </row>
    <row r="540" spans="7:7">
      <c r="G540" s="19" t="s">
        <v>2383</v>
      </c>
    </row>
    <row r="541" spans="7:7">
      <c r="G541" s="7"/>
    </row>
    <row r="542" spans="7:7">
      <c r="G542" s="5">
        <v>391857</v>
      </c>
    </row>
    <row r="543" spans="7:7">
      <c r="G543" s="7">
        <v>44650</v>
      </c>
    </row>
    <row r="544" spans="7:7">
      <c r="G544" s="19" t="s">
        <v>552</v>
      </c>
    </row>
    <row r="545" spans="7:7">
      <c r="G545" s="7"/>
    </row>
    <row r="546" spans="7:7">
      <c r="G546" s="5">
        <v>393847</v>
      </c>
    </row>
    <row r="547" spans="7:7">
      <c r="G547" s="7">
        <v>44517</v>
      </c>
    </row>
    <row r="548" spans="7:7">
      <c r="G548" s="19" t="s">
        <v>1921</v>
      </c>
    </row>
    <row r="549" spans="7:7">
      <c r="G549" s="7"/>
    </row>
    <row r="550" spans="7:7">
      <c r="G550" s="5">
        <v>394671</v>
      </c>
    </row>
    <row r="551" spans="7:7">
      <c r="G551" s="7">
        <v>44725</v>
      </c>
    </row>
    <row r="552" spans="7:7">
      <c r="G552" s="19" t="s">
        <v>2962</v>
      </c>
    </row>
    <row r="553" spans="7:7">
      <c r="G553" s="7"/>
    </row>
    <row r="554" spans="7:7">
      <c r="G554" s="5">
        <v>398271</v>
      </c>
    </row>
    <row r="555" spans="7:7">
      <c r="G555" s="7">
        <v>44751</v>
      </c>
    </row>
    <row r="556" spans="7:7">
      <c r="G556" s="19" t="s">
        <v>2383</v>
      </c>
    </row>
    <row r="557" spans="7:7">
      <c r="G557" s="7"/>
    </row>
    <row r="558" spans="7:7">
      <c r="G558" s="5">
        <v>419516</v>
      </c>
    </row>
    <row r="559" spans="7:7">
      <c r="G559" s="7">
        <v>44750</v>
      </c>
    </row>
    <row r="560" spans="7:7">
      <c r="G560" s="19" t="s">
        <v>1203</v>
      </c>
    </row>
    <row r="561" spans="7:7">
      <c r="G561" s="7"/>
    </row>
    <row r="562" spans="7:7">
      <c r="G562" s="5">
        <v>450015</v>
      </c>
    </row>
    <row r="563" spans="7:7">
      <c r="G563" s="7">
        <v>44667</v>
      </c>
    </row>
    <row r="564" spans="7:7">
      <c r="G564" s="19" t="s">
        <v>563</v>
      </c>
    </row>
    <row r="565" spans="7:7">
      <c r="G565" s="7"/>
    </row>
    <row r="566" spans="7:7">
      <c r="G566" s="5">
        <v>450467</v>
      </c>
    </row>
    <row r="567" spans="7:7">
      <c r="G567" s="7">
        <v>44742</v>
      </c>
    </row>
    <row r="568" spans="7:7">
      <c r="G568" s="19" t="s">
        <v>2383</v>
      </c>
    </row>
    <row r="569" spans="7:7">
      <c r="G569" s="7"/>
    </row>
    <row r="570" spans="7:7">
      <c r="G570" s="5">
        <v>453606</v>
      </c>
    </row>
    <row r="571" spans="7:7">
      <c r="G571" s="7">
        <v>44641</v>
      </c>
    </row>
    <row r="572" spans="7:7">
      <c r="G572" s="19" t="s">
        <v>1289</v>
      </c>
    </row>
    <row r="573" spans="7:7">
      <c r="G573" s="7"/>
    </row>
    <row r="574" spans="7:7">
      <c r="G574" s="7">
        <v>44645</v>
      </c>
    </row>
    <row r="575" spans="7:7">
      <c r="G575" s="19" t="s">
        <v>1312</v>
      </c>
    </row>
    <row r="576" spans="7:7">
      <c r="G576" s="7"/>
    </row>
    <row r="577" spans="7:7">
      <c r="G577" s="7">
        <v>44686</v>
      </c>
    </row>
    <row r="578" spans="7:7">
      <c r="G578" s="19" t="s">
        <v>541</v>
      </c>
    </row>
    <row r="579" spans="7:7">
      <c r="G579" s="7"/>
    </row>
    <row r="580" spans="7:7">
      <c r="G580" s="7">
        <v>44680</v>
      </c>
    </row>
    <row r="581" spans="7:7">
      <c r="G581" s="19" t="s">
        <v>1289</v>
      </c>
    </row>
    <row r="582" spans="7:7">
      <c r="G582" s="7"/>
    </row>
    <row r="583" spans="7:7">
      <c r="G583" s="7">
        <v>44679</v>
      </c>
    </row>
    <row r="584" spans="7:7">
      <c r="G584" s="19" t="s">
        <v>1026</v>
      </c>
    </row>
    <row r="585" spans="7:7">
      <c r="G585" s="7"/>
    </row>
    <row r="586" spans="7:7">
      <c r="G586" s="5">
        <v>464250</v>
      </c>
    </row>
    <row r="587" spans="7:7">
      <c r="G587" s="7">
        <v>44648</v>
      </c>
    </row>
    <row r="588" spans="7:7">
      <c r="G588" s="19" t="s">
        <v>563</v>
      </c>
    </row>
    <row r="589" spans="7:7">
      <c r="G589" s="7"/>
    </row>
    <row r="590" spans="7:7">
      <c r="G590" s="5">
        <v>466149</v>
      </c>
    </row>
    <row r="591" spans="7:7">
      <c r="G591" s="7">
        <v>44701</v>
      </c>
    </row>
    <row r="592" spans="7:7">
      <c r="G592" s="19" t="s">
        <v>563</v>
      </c>
    </row>
    <row r="593" spans="7:7">
      <c r="G593" s="7"/>
    </row>
    <row r="594" spans="7:7">
      <c r="G594" s="5">
        <v>538628</v>
      </c>
    </row>
    <row r="595" spans="7:7">
      <c r="G595" s="7">
        <v>44693</v>
      </c>
    </row>
    <row r="596" spans="7:7">
      <c r="G596" s="19" t="s">
        <v>2696</v>
      </c>
    </row>
    <row r="597" spans="7:7">
      <c r="G597" s="7"/>
    </row>
    <row r="598" spans="7:7">
      <c r="G598" s="5">
        <v>576611</v>
      </c>
    </row>
    <row r="599" spans="7:7">
      <c r="G599" s="7">
        <v>44389</v>
      </c>
    </row>
    <row r="600" spans="7:7">
      <c r="G600" s="19" t="s">
        <v>1061</v>
      </c>
    </row>
    <row r="601" spans="7:7">
      <c r="G601" s="7"/>
    </row>
    <row r="602" spans="7:7">
      <c r="G602" s="7">
        <v>44627</v>
      </c>
    </row>
    <row r="603" spans="7:7">
      <c r="G603" s="19" t="s">
        <v>1061</v>
      </c>
    </row>
    <row r="604" spans="7:7">
      <c r="G604" s="7"/>
    </row>
    <row r="605" spans="7:7">
      <c r="G605" s="5">
        <v>630236</v>
      </c>
    </row>
    <row r="606" spans="7:7">
      <c r="G606" s="7">
        <v>44754</v>
      </c>
    </row>
    <row r="607" spans="7:7">
      <c r="G607" s="19" t="s">
        <v>2073</v>
      </c>
    </row>
    <row r="608" spans="7:7">
      <c r="G608" s="7"/>
    </row>
    <row r="609" spans="7:7">
      <c r="G609" s="5">
        <v>645204</v>
      </c>
    </row>
    <row r="610" spans="7:7">
      <c r="G610" s="7">
        <v>44735</v>
      </c>
    </row>
    <row r="611" spans="7:7">
      <c r="G611" s="19" t="s">
        <v>2383</v>
      </c>
    </row>
    <row r="612" spans="7:7">
      <c r="G612" s="7"/>
    </row>
    <row r="613" spans="7:7">
      <c r="G613" s="5">
        <v>658967</v>
      </c>
    </row>
    <row r="614" spans="7:7">
      <c r="G614" s="7">
        <v>44524</v>
      </c>
    </row>
    <row r="615" spans="7:7">
      <c r="G615" s="19" t="s">
        <v>502</v>
      </c>
    </row>
    <row r="616" spans="7:7">
      <c r="G616" s="7"/>
    </row>
    <row r="617" spans="7:7">
      <c r="G617" s="5">
        <v>722684</v>
      </c>
    </row>
    <row r="618" spans="7:7">
      <c r="G618" s="7">
        <v>44754</v>
      </c>
    </row>
    <row r="619" spans="7:7">
      <c r="G619" s="19" t="s">
        <v>3357</v>
      </c>
    </row>
    <row r="620" spans="7:7">
      <c r="G620" s="7"/>
    </row>
    <row r="621" spans="7:7">
      <c r="G621" s="5">
        <v>769722</v>
      </c>
    </row>
    <row r="622" spans="7:7">
      <c r="G622" s="7">
        <v>44764</v>
      </c>
    </row>
    <row r="623" spans="7:7">
      <c r="G623" s="19" t="s">
        <v>1203</v>
      </c>
    </row>
    <row r="624" spans="7:7">
      <c r="G624" s="7"/>
    </row>
    <row r="625" spans="7:7">
      <c r="G625" s="5">
        <v>805641</v>
      </c>
    </row>
    <row r="626" spans="7:7">
      <c r="G626" s="7">
        <v>44272</v>
      </c>
    </row>
    <row r="627" spans="7:7">
      <c r="G627" s="19" t="s">
        <v>563</v>
      </c>
    </row>
    <row r="628" spans="7:7">
      <c r="G628" s="7"/>
    </row>
    <row r="629" spans="7:7">
      <c r="G629" s="5">
        <v>879716</v>
      </c>
    </row>
    <row r="630" spans="7:7">
      <c r="G630" s="7">
        <v>44509</v>
      </c>
    </row>
    <row r="631" spans="7:7">
      <c r="G631" s="19" t="s">
        <v>1116</v>
      </c>
    </row>
    <row r="632" spans="7:7">
      <c r="G632" s="7"/>
    </row>
    <row r="633" spans="7:7">
      <c r="G633" s="5">
        <v>893549</v>
      </c>
    </row>
    <row r="634" spans="7:7">
      <c r="G634" s="7">
        <v>44469</v>
      </c>
    </row>
    <row r="635" spans="7:7">
      <c r="G635" s="19" t="s">
        <v>1300</v>
      </c>
    </row>
    <row r="636" spans="7:7">
      <c r="G636" s="7"/>
    </row>
    <row r="637" spans="7:7">
      <c r="G637" s="5">
        <v>898955</v>
      </c>
    </row>
    <row r="638" spans="7:7">
      <c r="G638" s="7">
        <v>44491</v>
      </c>
    </row>
    <row r="639" spans="7:7">
      <c r="G639" s="19" t="s">
        <v>1300</v>
      </c>
    </row>
    <row r="640" spans="7:7">
      <c r="G640" s="7"/>
    </row>
    <row r="641" spans="7:7">
      <c r="G641" s="7">
        <v>44487</v>
      </c>
    </row>
    <row r="642" spans="7:7">
      <c r="G642" s="19" t="s">
        <v>552</v>
      </c>
    </row>
    <row r="643" spans="7:7">
      <c r="G643" s="7"/>
    </row>
    <row r="644" spans="7:7">
      <c r="G644" s="5">
        <v>917674</v>
      </c>
    </row>
    <row r="645" spans="7:7">
      <c r="G645" s="7">
        <v>44483</v>
      </c>
    </row>
    <row r="646" spans="7:7">
      <c r="G646" s="19" t="s">
        <v>1734</v>
      </c>
    </row>
    <row r="647" spans="7:7">
      <c r="G647" s="7"/>
    </row>
    <row r="648" spans="7:7">
      <c r="G648" s="5">
        <v>922642</v>
      </c>
    </row>
    <row r="649" spans="7:7">
      <c r="G649" s="7">
        <v>44719</v>
      </c>
    </row>
    <row r="650" spans="7:7">
      <c r="G650" s="19" t="s">
        <v>2383</v>
      </c>
    </row>
    <row r="651" spans="7:7">
      <c r="G651" s="7"/>
    </row>
    <row r="652" spans="7:7">
      <c r="G652" s="5">
        <v>929450</v>
      </c>
    </row>
    <row r="653" spans="7:7">
      <c r="G653" s="7">
        <v>44679</v>
      </c>
    </row>
    <row r="654" spans="7:7">
      <c r="G654" s="19" t="s">
        <v>552</v>
      </c>
    </row>
    <row r="655" spans="7:7">
      <c r="G655" s="7"/>
    </row>
    <row r="656" spans="7:7">
      <c r="G656" s="5">
        <v>950490</v>
      </c>
    </row>
    <row r="657" spans="7:7">
      <c r="G657" s="7">
        <v>44764</v>
      </c>
    </row>
    <row r="658" spans="7:7">
      <c r="G658" s="19" t="s">
        <v>2383</v>
      </c>
    </row>
    <row r="659" spans="7:7">
      <c r="G659" s="7"/>
    </row>
    <row r="660" spans="7:7">
      <c r="G660" s="7">
        <v>44769</v>
      </c>
    </row>
    <row r="661" spans="7:7">
      <c r="G661" s="19" t="s">
        <v>2962</v>
      </c>
    </row>
    <row r="662" spans="7:7">
      <c r="G662" s="7"/>
    </row>
    <row r="663" spans="7:7">
      <c r="G663" s="5">
        <v>950614</v>
      </c>
    </row>
    <row r="664" spans="7:7">
      <c r="G664" s="7">
        <v>44441</v>
      </c>
    </row>
    <row r="665" spans="7:7">
      <c r="G665" s="19" t="s">
        <v>550</v>
      </c>
    </row>
    <row r="666" spans="7:7">
      <c r="G666" s="7"/>
    </row>
    <row r="667" spans="7:7">
      <c r="G667" s="5">
        <v>954164</v>
      </c>
    </row>
    <row r="668" spans="7:7">
      <c r="G668" s="7">
        <v>44435</v>
      </c>
    </row>
    <row r="669" spans="7:7">
      <c r="G669" s="19" t="s">
        <v>1246</v>
      </c>
    </row>
    <row r="670" spans="7:7">
      <c r="G670" s="7"/>
    </row>
    <row r="671" spans="7:7">
      <c r="G671" s="5">
        <v>955974</v>
      </c>
    </row>
    <row r="672" spans="7:7">
      <c r="G672" s="7">
        <v>44727</v>
      </c>
    </row>
    <row r="673" spans="7:7">
      <c r="G673" s="19" t="s">
        <v>1246</v>
      </c>
    </row>
    <row r="674" spans="7:7">
      <c r="G674" s="7"/>
    </row>
    <row r="675" spans="7:7">
      <c r="G675" s="5">
        <v>976630</v>
      </c>
    </row>
    <row r="676" spans="7:7">
      <c r="G676" s="7">
        <v>44508</v>
      </c>
    </row>
    <row r="677" spans="7:7">
      <c r="G677" s="19" t="s">
        <v>1822</v>
      </c>
    </row>
    <row r="678" spans="7:7">
      <c r="G678" s="7"/>
    </row>
    <row r="679" spans="7:7">
      <c r="G679" s="7">
        <v>44509</v>
      </c>
    </row>
    <row r="680" spans="7:7">
      <c r="G680" s="19" t="s">
        <v>1853</v>
      </c>
    </row>
    <row r="681" spans="7:7">
      <c r="G681" s="7"/>
    </row>
    <row r="682" spans="7:7">
      <c r="G682" s="5">
        <v>997195</v>
      </c>
    </row>
    <row r="683" spans="7:7">
      <c r="G683" s="7">
        <v>44355</v>
      </c>
    </row>
    <row r="684" spans="7:7">
      <c r="G684" s="19" t="s">
        <v>107</v>
      </c>
    </row>
    <row r="685" spans="7:7">
      <c r="G685" s="7"/>
    </row>
    <row r="686" spans="7:7">
      <c r="G686" s="5">
        <v>1006232</v>
      </c>
    </row>
    <row r="687" spans="7:7">
      <c r="G687" s="7">
        <v>44300</v>
      </c>
    </row>
    <row r="688" spans="7:7">
      <c r="G688" s="19" t="s">
        <v>563</v>
      </c>
    </row>
    <row r="689" spans="7:7">
      <c r="G689" s="7"/>
    </row>
    <row r="690" spans="7:7">
      <c r="G690" s="5">
        <v>1022017</v>
      </c>
    </row>
    <row r="691" spans="7:7">
      <c r="G691" s="7">
        <v>44747</v>
      </c>
    </row>
    <row r="692" spans="7:7">
      <c r="G692" s="19" t="s">
        <v>107</v>
      </c>
    </row>
    <row r="693" spans="7:7">
      <c r="G693" s="7"/>
    </row>
    <row r="694" spans="7:7">
      <c r="G694" s="5">
        <v>1023701</v>
      </c>
    </row>
    <row r="695" spans="7:7">
      <c r="G695" s="7">
        <v>44594</v>
      </c>
    </row>
    <row r="696" spans="7:7">
      <c r="G696" s="19" t="s">
        <v>550</v>
      </c>
    </row>
    <row r="697" spans="7:7">
      <c r="G697" s="7"/>
    </row>
    <row r="698" spans="7:7">
      <c r="G698" s="5">
        <v>1027473</v>
      </c>
    </row>
    <row r="699" spans="7:7">
      <c r="G699" s="7">
        <v>44462</v>
      </c>
    </row>
    <row r="700" spans="7:7">
      <c r="G700" s="19" t="s">
        <v>1214</v>
      </c>
    </row>
    <row r="701" spans="7:7">
      <c r="G701" s="7"/>
    </row>
    <row r="702" spans="7:7">
      <c r="G702" s="5">
        <v>1060204</v>
      </c>
    </row>
    <row r="703" spans="7:7">
      <c r="G703" s="7">
        <v>44718</v>
      </c>
    </row>
    <row r="704" spans="7:7">
      <c r="G704" s="19" t="s">
        <v>1246</v>
      </c>
    </row>
    <row r="705" spans="7:7">
      <c r="G705" s="7"/>
    </row>
    <row r="706" spans="7:7">
      <c r="G706" s="7">
        <v>44762</v>
      </c>
    </row>
    <row r="707" spans="7:7">
      <c r="G707" s="19" t="s">
        <v>2383</v>
      </c>
    </row>
    <row r="708" spans="7:7">
      <c r="G708" s="7"/>
    </row>
    <row r="709" spans="7:7">
      <c r="G709" s="5">
        <v>1089863</v>
      </c>
    </row>
    <row r="710" spans="7:7">
      <c r="G710" s="7">
        <v>44579</v>
      </c>
    </row>
    <row r="711" spans="7:7">
      <c r="G711" s="19" t="s">
        <v>1274</v>
      </c>
    </row>
    <row r="712" spans="7:7">
      <c r="G712" s="7"/>
    </row>
    <row r="713" spans="7:7">
      <c r="G713" s="5">
        <v>1094226</v>
      </c>
    </row>
    <row r="714" spans="7:7">
      <c r="G714" s="7">
        <v>44350</v>
      </c>
    </row>
    <row r="715" spans="7:7">
      <c r="G715" s="19" t="s">
        <v>563</v>
      </c>
    </row>
    <row r="716" spans="7:7">
      <c r="G716" s="7"/>
    </row>
    <row r="717" spans="7:7">
      <c r="G717" s="7">
        <v>44651</v>
      </c>
    </row>
    <row r="718" spans="7:7">
      <c r="G718" s="19" t="s">
        <v>563</v>
      </c>
    </row>
    <row r="719" spans="7:7">
      <c r="G719" s="7"/>
    </row>
    <row r="720" spans="7:7">
      <c r="G720" s="5">
        <v>1104155</v>
      </c>
    </row>
    <row r="721" spans="7:7">
      <c r="G721" s="7">
        <v>44400</v>
      </c>
    </row>
    <row r="722" spans="7:7">
      <c r="G722" s="19" t="s">
        <v>260</v>
      </c>
    </row>
    <row r="723" spans="7:7">
      <c r="G723" s="7"/>
    </row>
    <row r="724" spans="7:7">
      <c r="G724" s="5">
        <v>1115050</v>
      </c>
    </row>
    <row r="725" spans="7:7">
      <c r="G725" s="7">
        <v>44673</v>
      </c>
    </row>
    <row r="726" spans="7:7">
      <c r="G726" s="19" t="s">
        <v>563</v>
      </c>
    </row>
    <row r="727" spans="7:7">
      <c r="G727" s="7"/>
    </row>
    <row r="728" spans="7:7">
      <c r="G728" s="5">
        <v>1120305</v>
      </c>
    </row>
    <row r="729" spans="7:7">
      <c r="G729" s="7">
        <v>44537</v>
      </c>
    </row>
    <row r="730" spans="7:7">
      <c r="G730" s="19" t="s">
        <v>128</v>
      </c>
    </row>
    <row r="731" spans="7:7">
      <c r="G731" s="7"/>
    </row>
    <row r="732" spans="7:7">
      <c r="G732" s="7">
        <v>44580</v>
      </c>
    </row>
    <row r="733" spans="7:7">
      <c r="G733" s="19" t="s">
        <v>1653</v>
      </c>
    </row>
    <row r="734" spans="7:7">
      <c r="G734" s="7"/>
    </row>
    <row r="735" spans="7:7">
      <c r="G735" s="7">
        <v>44575</v>
      </c>
    </row>
    <row r="736" spans="7:7">
      <c r="G736" s="19" t="s">
        <v>929</v>
      </c>
    </row>
    <row r="737" spans="7:7">
      <c r="G737" s="7"/>
    </row>
    <row r="738" spans="7:7">
      <c r="G738" s="5">
        <v>1135133</v>
      </c>
    </row>
    <row r="739" spans="7:7">
      <c r="G739" s="7">
        <v>44644</v>
      </c>
    </row>
    <row r="740" spans="7:7">
      <c r="G740" s="19" t="s">
        <v>2237</v>
      </c>
    </row>
    <row r="741" spans="7:7">
      <c r="G741" s="7"/>
    </row>
    <row r="742" spans="7:7">
      <c r="G742" s="5">
        <v>1156542</v>
      </c>
    </row>
    <row r="743" spans="7:7">
      <c r="G743" s="7">
        <v>44676</v>
      </c>
    </row>
    <row r="744" spans="7:7">
      <c r="G744" s="19" t="s">
        <v>563</v>
      </c>
    </row>
    <row r="745" spans="7:7">
      <c r="G745" s="7"/>
    </row>
    <row r="746" spans="7:7">
      <c r="G746" s="5">
        <v>1166054</v>
      </c>
    </row>
    <row r="747" spans="7:7">
      <c r="G747" s="7">
        <v>44735</v>
      </c>
    </row>
    <row r="748" spans="7:7">
      <c r="G748" s="19" t="s">
        <v>2383</v>
      </c>
    </row>
    <row r="749" spans="7:7">
      <c r="G749" s="7"/>
    </row>
    <row r="750" spans="7:7">
      <c r="G750" s="5">
        <v>1168114</v>
      </c>
    </row>
    <row r="751" spans="7:7">
      <c r="G751" s="7">
        <v>44702</v>
      </c>
    </row>
    <row r="752" spans="7:7">
      <c r="G752" s="19" t="s">
        <v>563</v>
      </c>
    </row>
    <row r="753" spans="7:7">
      <c r="G753" s="7"/>
    </row>
    <row r="754" spans="7:7">
      <c r="G754" s="5">
        <v>1169290</v>
      </c>
    </row>
    <row r="755" spans="7:7">
      <c r="G755" s="7">
        <v>44378</v>
      </c>
    </row>
    <row r="756" spans="7:7">
      <c r="G756" s="19" t="s">
        <v>550</v>
      </c>
    </row>
    <row r="757" spans="7:7">
      <c r="G757" s="7"/>
    </row>
    <row r="758" spans="7:7">
      <c r="G758" s="7">
        <v>44711</v>
      </c>
    </row>
    <row r="759" spans="7:7">
      <c r="G759" s="19" t="s">
        <v>89</v>
      </c>
    </row>
    <row r="760" spans="7:7">
      <c r="G760" s="7"/>
    </row>
    <row r="761" spans="7:7">
      <c r="G761" s="5">
        <v>1173367</v>
      </c>
    </row>
    <row r="762" spans="7:7">
      <c r="G762" s="7">
        <v>44673</v>
      </c>
    </row>
    <row r="763" spans="7:7">
      <c r="G763" s="19" t="s">
        <v>563</v>
      </c>
    </row>
    <row r="764" spans="7:7">
      <c r="G764" s="7"/>
    </row>
    <row r="765" spans="7:7">
      <c r="G765" s="5">
        <v>1177602</v>
      </c>
    </row>
    <row r="766" spans="7:7">
      <c r="G766" s="7">
        <v>44482</v>
      </c>
    </row>
    <row r="767" spans="7:7">
      <c r="G767" s="19" t="s">
        <v>1300</v>
      </c>
    </row>
    <row r="768" spans="7:7">
      <c r="G768" s="7"/>
    </row>
    <row r="769" spans="7:7">
      <c r="G769" s="5">
        <v>1180987</v>
      </c>
    </row>
    <row r="770" spans="7:7">
      <c r="G770" s="7">
        <v>44645</v>
      </c>
    </row>
    <row r="771" spans="7:7">
      <c r="G771" s="19" t="s">
        <v>563</v>
      </c>
    </row>
    <row r="772" spans="7:7">
      <c r="G772" s="7"/>
    </row>
    <row r="773" spans="7:7">
      <c r="G773" s="5">
        <v>1182216</v>
      </c>
    </row>
    <row r="774" spans="7:7">
      <c r="G774" s="7">
        <v>44753</v>
      </c>
    </row>
    <row r="775" spans="7:7">
      <c r="G775" s="19" t="s">
        <v>1116</v>
      </c>
    </row>
    <row r="776" spans="7:7">
      <c r="G776" s="7"/>
    </row>
    <row r="777" spans="7:7">
      <c r="G777" s="7">
        <v>44760</v>
      </c>
    </row>
    <row r="778" spans="7:7">
      <c r="G778" s="19" t="s">
        <v>1116</v>
      </c>
    </row>
    <row r="779" spans="7:7">
      <c r="G779" s="7"/>
    </row>
    <row r="780" spans="7:7">
      <c r="G780" s="5">
        <v>1184097</v>
      </c>
    </row>
    <row r="781" spans="7:7">
      <c r="G781" s="7">
        <v>44677</v>
      </c>
    </row>
    <row r="782" spans="7:7">
      <c r="G782" s="19" t="s">
        <v>2309</v>
      </c>
    </row>
    <row r="783" spans="7:7">
      <c r="G783" s="7"/>
    </row>
    <row r="784" spans="7:7">
      <c r="G784" s="5">
        <v>1187462</v>
      </c>
    </row>
    <row r="785" spans="7:7">
      <c r="G785" s="7">
        <v>44757</v>
      </c>
    </row>
    <row r="786" spans="7:7">
      <c r="G786" s="19" t="s">
        <v>2383</v>
      </c>
    </row>
    <row r="787" spans="7:7">
      <c r="G787" s="7"/>
    </row>
    <row r="788" spans="7:7">
      <c r="G788" s="5">
        <v>1187767</v>
      </c>
    </row>
    <row r="789" spans="7:7">
      <c r="G789" s="7">
        <v>44419</v>
      </c>
    </row>
    <row r="790" spans="7:7">
      <c r="G790" s="19" t="s">
        <v>1168</v>
      </c>
    </row>
    <row r="791" spans="7:7">
      <c r="G791" s="7"/>
    </row>
    <row r="792" spans="7:7">
      <c r="G792" s="5">
        <v>1187897</v>
      </c>
    </row>
    <row r="793" spans="7:7">
      <c r="G793" s="7">
        <v>44659</v>
      </c>
    </row>
    <row r="794" spans="7:7">
      <c r="G794" s="19" t="s">
        <v>1921</v>
      </c>
    </row>
    <row r="795" spans="7:7">
      <c r="G795" s="7"/>
    </row>
    <row r="796" spans="7:7">
      <c r="G796" s="5">
        <v>1188313</v>
      </c>
    </row>
    <row r="797" spans="7:7">
      <c r="G797" s="7">
        <v>44428</v>
      </c>
    </row>
    <row r="798" spans="7:7">
      <c r="G798" s="19" t="s">
        <v>89</v>
      </c>
    </row>
    <row r="799" spans="7:7">
      <c r="G799" s="7"/>
    </row>
    <row r="800" spans="7:7">
      <c r="G800" s="7">
        <v>44545</v>
      </c>
    </row>
    <row r="801" spans="7:7">
      <c r="G801" s="19" t="s">
        <v>89</v>
      </c>
    </row>
    <row r="802" spans="7:7">
      <c r="G802" s="7"/>
    </row>
    <row r="803" spans="7:7">
      <c r="G803" s="5">
        <v>1191701</v>
      </c>
    </row>
    <row r="804" spans="7:7">
      <c r="G804" s="7">
        <v>44726</v>
      </c>
    </row>
    <row r="805" spans="7:7">
      <c r="G805" s="19" t="s">
        <v>3135</v>
      </c>
    </row>
    <row r="806" spans="7:7">
      <c r="G806" s="7"/>
    </row>
    <row r="807" spans="7:7">
      <c r="G807" s="7">
        <v>44725</v>
      </c>
    </row>
    <row r="808" spans="7:7">
      <c r="G808" s="19" t="s">
        <v>1921</v>
      </c>
    </row>
    <row r="809" spans="7:7">
      <c r="G809" s="7"/>
    </row>
    <row r="810" spans="7:7">
      <c r="G810" s="5">
        <v>1193794</v>
      </c>
    </row>
    <row r="811" spans="7:7">
      <c r="G811" s="7">
        <v>44746</v>
      </c>
    </row>
    <row r="812" spans="7:7">
      <c r="G812" s="19" t="s">
        <v>2383</v>
      </c>
    </row>
    <row r="813" spans="7:7">
      <c r="G813" s="7"/>
    </row>
    <row r="814" spans="7:7">
      <c r="G814" s="5">
        <v>1199265</v>
      </c>
    </row>
    <row r="815" spans="7:7">
      <c r="G815" s="7">
        <v>44645</v>
      </c>
    </row>
    <row r="816" spans="7:7">
      <c r="G816" s="19" t="s">
        <v>2335</v>
      </c>
    </row>
    <row r="817" spans="7:7">
      <c r="G817" s="7"/>
    </row>
    <row r="818" spans="7:7">
      <c r="G818" s="5">
        <v>1202114</v>
      </c>
    </row>
    <row r="819" spans="7:7">
      <c r="G819" s="7">
        <v>44410</v>
      </c>
    </row>
    <row r="820" spans="7:7">
      <c r="G820" s="19" t="s">
        <v>1126</v>
      </c>
    </row>
    <row r="821" spans="7:7">
      <c r="G821" s="7"/>
    </row>
    <row r="822" spans="7:7">
      <c r="G822" s="5">
        <v>1202586</v>
      </c>
    </row>
    <row r="823" spans="7:7">
      <c r="G823" s="7">
        <v>44762</v>
      </c>
    </row>
    <row r="824" spans="7:7">
      <c r="G824" s="19" t="s">
        <v>2383</v>
      </c>
    </row>
    <row r="825" spans="7:7">
      <c r="G825" s="7"/>
    </row>
    <row r="826" spans="7:7">
      <c r="G826" s="5">
        <v>1203786</v>
      </c>
    </row>
    <row r="827" spans="7:7">
      <c r="G827" s="7">
        <v>44721</v>
      </c>
    </row>
    <row r="828" spans="7:7">
      <c r="G828" s="19" t="s">
        <v>2383</v>
      </c>
    </row>
    <row r="829" spans="7:7">
      <c r="G829" s="7"/>
    </row>
    <row r="830" spans="7:7">
      <c r="G830" s="5">
        <v>1204490</v>
      </c>
    </row>
    <row r="831" spans="7:7">
      <c r="G831" s="7">
        <v>44734</v>
      </c>
    </row>
    <row r="832" spans="7:7">
      <c r="G832" s="19" t="s">
        <v>2383</v>
      </c>
    </row>
    <row r="833" spans="7:7">
      <c r="G833" s="7"/>
    </row>
    <row r="834" spans="7:7">
      <c r="G834" s="7">
        <v>44755</v>
      </c>
    </row>
    <row r="835" spans="7:7">
      <c r="G835" s="19" t="s">
        <v>2383</v>
      </c>
    </row>
    <row r="836" spans="7:7">
      <c r="G836" s="7"/>
    </row>
    <row r="837" spans="7:7">
      <c r="G837" s="5">
        <v>1205244</v>
      </c>
    </row>
    <row r="838" spans="7:7">
      <c r="G838" s="7">
        <v>44735</v>
      </c>
    </row>
    <row r="839" spans="7:7">
      <c r="G839" s="19" t="s">
        <v>2383</v>
      </c>
    </row>
    <row r="840" spans="7:7">
      <c r="G840" s="7"/>
    </row>
    <row r="841" spans="7:7">
      <c r="G841" s="5">
        <v>1206353</v>
      </c>
    </row>
    <row r="842" spans="7:7">
      <c r="G842" s="7">
        <v>44526</v>
      </c>
    </row>
    <row r="843" spans="7:7">
      <c r="G843" s="19" t="s">
        <v>1653</v>
      </c>
    </row>
    <row r="844" spans="7:7">
      <c r="G844" s="7"/>
    </row>
    <row r="845" spans="7:7">
      <c r="G845" s="5">
        <v>1207927</v>
      </c>
    </row>
    <row r="846" spans="7:7">
      <c r="G846" s="7">
        <v>44762</v>
      </c>
    </row>
    <row r="847" spans="7:7">
      <c r="G847" s="19" t="s">
        <v>2309</v>
      </c>
    </row>
    <row r="848" spans="7:7">
      <c r="G848" s="7"/>
    </row>
    <row r="849" spans="7:7">
      <c r="G849" s="5">
        <v>1208801</v>
      </c>
    </row>
    <row r="850" spans="7:7">
      <c r="G850" s="7">
        <v>44445</v>
      </c>
    </row>
    <row r="851" spans="7:7">
      <c r="G851" s="19" t="s">
        <v>552</v>
      </c>
    </row>
    <row r="852" spans="7:7">
      <c r="G852" s="7"/>
    </row>
    <row r="853" spans="7:7">
      <c r="G853" s="5">
        <v>1210376</v>
      </c>
    </row>
    <row r="854" spans="7:7">
      <c r="G854" s="7">
        <v>44715</v>
      </c>
    </row>
    <row r="855" spans="7:7">
      <c r="G855" s="19" t="s">
        <v>2190</v>
      </c>
    </row>
    <row r="856" spans="7:7">
      <c r="G856" s="7"/>
    </row>
    <row r="857" spans="7:7">
      <c r="G857" s="5">
        <v>1210473</v>
      </c>
    </row>
    <row r="858" spans="7:7">
      <c r="G858" s="7">
        <v>44695</v>
      </c>
    </row>
    <row r="859" spans="7:7">
      <c r="G859" s="19" t="s">
        <v>2144</v>
      </c>
    </row>
    <row r="860" spans="7:7">
      <c r="G860" s="7"/>
    </row>
    <row r="861" spans="7:7">
      <c r="G861" s="5">
        <v>1213680</v>
      </c>
    </row>
    <row r="862" spans="7:7">
      <c r="G862" s="7">
        <v>44301</v>
      </c>
    </row>
    <row r="863" spans="7:7">
      <c r="G863" s="19" t="s">
        <v>563</v>
      </c>
    </row>
    <row r="864" spans="7:7">
      <c r="G864" s="7"/>
    </row>
    <row r="865" spans="7:7">
      <c r="G865" s="5">
        <v>1240294</v>
      </c>
    </row>
    <row r="866" spans="7:7">
      <c r="G866" s="7">
        <v>44482</v>
      </c>
    </row>
    <row r="867" spans="7:7">
      <c r="G867" s="19" t="s">
        <v>1274</v>
      </c>
    </row>
    <row r="868" spans="7:7">
      <c r="G868" s="7"/>
    </row>
    <row r="869" spans="7:7">
      <c r="G869" s="5">
        <v>1242009</v>
      </c>
    </row>
    <row r="870" spans="7:7">
      <c r="G870" s="7">
        <v>44553</v>
      </c>
    </row>
    <row r="871" spans="7:7">
      <c r="G871" s="19" t="s">
        <v>107</v>
      </c>
    </row>
    <row r="872" spans="7:7">
      <c r="G872" s="7"/>
    </row>
    <row r="873" spans="7:7">
      <c r="G873" s="5">
        <v>1244519</v>
      </c>
    </row>
    <row r="874" spans="7:7">
      <c r="G874" s="7">
        <v>44307</v>
      </c>
    </row>
    <row r="875" spans="7:7">
      <c r="G875" s="19" t="s">
        <v>92</v>
      </c>
    </row>
    <row r="876" spans="7:7">
      <c r="G876" s="7"/>
    </row>
    <row r="877" spans="7:7">
      <c r="G877" s="5">
        <v>1253765</v>
      </c>
    </row>
    <row r="878" spans="7:7">
      <c r="G878" s="7">
        <v>44608</v>
      </c>
    </row>
    <row r="879" spans="7:7">
      <c r="G879" s="19" t="s">
        <v>173</v>
      </c>
    </row>
    <row r="880" spans="7:7">
      <c r="G880" s="7"/>
    </row>
    <row r="881" spans="7:7">
      <c r="G881" s="5">
        <v>1254187</v>
      </c>
    </row>
    <row r="882" spans="7:7">
      <c r="G882" s="7">
        <v>44475</v>
      </c>
    </row>
    <row r="883" spans="7:7">
      <c r="G883" s="19" t="s">
        <v>563</v>
      </c>
    </row>
    <row r="884" spans="7:7">
      <c r="G884" s="7"/>
    </row>
    <row r="885" spans="7:7">
      <c r="G885" s="5">
        <v>1254698</v>
      </c>
    </row>
    <row r="886" spans="7:7">
      <c r="G886" s="7">
        <v>44742</v>
      </c>
    </row>
    <row r="887" spans="7:7">
      <c r="G887" s="19" t="s">
        <v>3244</v>
      </c>
    </row>
    <row r="888" spans="7:7">
      <c r="G888" s="7"/>
    </row>
    <row r="889" spans="7:7">
      <c r="G889" s="7">
        <v>44740</v>
      </c>
    </row>
    <row r="890" spans="7:7">
      <c r="G890" s="19" t="s">
        <v>3244</v>
      </c>
    </row>
    <row r="891" spans="7:7">
      <c r="G891" s="7"/>
    </row>
    <row r="892" spans="7:7">
      <c r="G892" s="5">
        <v>1256226</v>
      </c>
    </row>
    <row r="893" spans="7:7">
      <c r="G893" s="7">
        <v>44727</v>
      </c>
    </row>
    <row r="894" spans="7:7">
      <c r="G894" s="19" t="s">
        <v>2383</v>
      </c>
    </row>
    <row r="895" spans="7:7">
      <c r="G895" s="7"/>
    </row>
    <row r="896" spans="7:7">
      <c r="G896" s="5">
        <v>1275519</v>
      </c>
    </row>
    <row r="897" spans="7:7">
      <c r="G897" s="7">
        <v>44727</v>
      </c>
    </row>
    <row r="898" spans="7:7">
      <c r="G898" s="19" t="s">
        <v>107</v>
      </c>
    </row>
    <row r="899" spans="7:7">
      <c r="G899" s="7"/>
    </row>
    <row r="900" spans="7:7">
      <c r="G900" s="5">
        <v>1276398</v>
      </c>
    </row>
    <row r="901" spans="7:7">
      <c r="G901" s="7">
        <v>43955</v>
      </c>
    </row>
    <row r="902" spans="7:7">
      <c r="G902" s="19" t="s">
        <v>111</v>
      </c>
    </row>
    <row r="903" spans="7:7">
      <c r="G903" s="7"/>
    </row>
    <row r="904" spans="7:7">
      <c r="G904" s="7">
        <v>43985</v>
      </c>
    </row>
    <row r="905" spans="7:7">
      <c r="G905" s="19" t="s">
        <v>108</v>
      </c>
    </row>
    <row r="906" spans="7:7">
      <c r="G906" s="7"/>
    </row>
    <row r="907" spans="7:7">
      <c r="G907" s="5">
        <v>1290954</v>
      </c>
    </row>
    <row r="908" spans="7:7">
      <c r="G908" s="7">
        <v>44316</v>
      </c>
    </row>
    <row r="909" spans="7:7">
      <c r="G909" s="19" t="s">
        <v>583</v>
      </c>
    </row>
    <row r="910" spans="7:7">
      <c r="G910" s="7"/>
    </row>
    <row r="911" spans="7:7">
      <c r="G911" s="5">
        <v>1312476</v>
      </c>
    </row>
    <row r="912" spans="7:7">
      <c r="G912" s="7">
        <v>44706</v>
      </c>
    </row>
    <row r="913" spans="7:7">
      <c r="G913" s="19" t="s">
        <v>2237</v>
      </c>
    </row>
    <row r="914" spans="7:7">
      <c r="G914" s="7"/>
    </row>
    <row r="915" spans="7:7">
      <c r="G915" s="5">
        <v>1353262</v>
      </c>
    </row>
    <row r="916" spans="7:7">
      <c r="G916" s="7">
        <v>44630</v>
      </c>
    </row>
    <row r="917" spans="7:7">
      <c r="G917" s="19" t="s">
        <v>2237</v>
      </c>
    </row>
    <row r="918" spans="7:7">
      <c r="G918" s="7"/>
    </row>
    <row r="919" spans="7:7">
      <c r="G919" s="5">
        <v>1353263</v>
      </c>
    </row>
    <row r="920" spans="7:7">
      <c r="G920" s="7">
        <v>44700</v>
      </c>
    </row>
    <row r="921" spans="7:7">
      <c r="G921" s="19" t="s">
        <v>2237</v>
      </c>
    </row>
    <row r="922" spans="7:7">
      <c r="G922" s="7"/>
    </row>
    <row r="923" spans="7:7">
      <c r="G923" s="5">
        <v>1426237</v>
      </c>
    </row>
    <row r="924" spans="7:7">
      <c r="G924" s="7">
        <v>44609</v>
      </c>
    </row>
    <row r="925" spans="7:7">
      <c r="G925" s="19" t="s">
        <v>1943</v>
      </c>
    </row>
    <row r="926" spans="7:7">
      <c r="G926" s="7"/>
    </row>
    <row r="927" spans="7:7">
      <c r="G927" s="5">
        <v>1515117</v>
      </c>
    </row>
    <row r="928" spans="7:7">
      <c r="G928" s="7">
        <v>44438</v>
      </c>
    </row>
    <row r="929" spans="7:7">
      <c r="G929" s="19" t="s">
        <v>1324</v>
      </c>
    </row>
    <row r="930" spans="7:7">
      <c r="G930" s="7"/>
    </row>
    <row r="931" spans="7:7">
      <c r="G931" s="5">
        <v>1540846</v>
      </c>
    </row>
    <row r="932" spans="7:7">
      <c r="G932" s="7">
        <v>44718</v>
      </c>
    </row>
    <row r="933" spans="7:7">
      <c r="G933" s="19" t="s">
        <v>2383</v>
      </c>
    </row>
    <row r="934" spans="7:7">
      <c r="G934" s="7"/>
    </row>
    <row r="935" spans="7:7">
      <c r="G935" s="5">
        <v>1552593</v>
      </c>
    </row>
    <row r="936" spans="7:7">
      <c r="G936" s="7">
        <v>44725</v>
      </c>
    </row>
    <row r="937" spans="7:7">
      <c r="G937" s="19" t="s">
        <v>2383</v>
      </c>
    </row>
    <row r="938" spans="7:7">
      <c r="G938" s="7"/>
    </row>
    <row r="939" spans="7:7">
      <c r="G939" s="5">
        <v>1566142</v>
      </c>
    </row>
    <row r="940" spans="7:7">
      <c r="G940" s="7">
        <v>44650</v>
      </c>
    </row>
    <row r="941" spans="7:7">
      <c r="G941" s="19" t="s">
        <v>2237</v>
      </c>
    </row>
    <row r="942" spans="7:7">
      <c r="G942" s="7"/>
    </row>
    <row r="943" spans="7:7">
      <c r="G943" s="5">
        <v>1626399</v>
      </c>
    </row>
    <row r="944" spans="7:7">
      <c r="G944" s="7">
        <v>44656</v>
      </c>
    </row>
    <row r="945" spans="7:7">
      <c r="G945" s="19" t="s">
        <v>1293</v>
      </c>
    </row>
    <row r="946" spans="7:7">
      <c r="G946" s="7"/>
    </row>
    <row r="947" spans="7:7">
      <c r="G947" s="7">
        <v>44692</v>
      </c>
    </row>
    <row r="948" spans="7:7">
      <c r="G948" s="19" t="s">
        <v>1312</v>
      </c>
    </row>
    <row r="949" spans="7:7">
      <c r="G949" s="7"/>
    </row>
    <row r="950" spans="7:7">
      <c r="G950" s="7">
        <v>44691</v>
      </c>
    </row>
    <row r="951" spans="7:7">
      <c r="G951" s="19" t="s">
        <v>541</v>
      </c>
    </row>
    <row r="952" spans="7:7">
      <c r="G952" s="7"/>
    </row>
    <row r="953" spans="7:7">
      <c r="G953" s="5">
        <v>1681877</v>
      </c>
    </row>
    <row r="954" spans="7:7">
      <c r="G954" s="7">
        <v>44757</v>
      </c>
    </row>
    <row r="955" spans="7:7">
      <c r="G955" s="19" t="s">
        <v>2075</v>
      </c>
    </row>
    <row r="956" spans="7:7">
      <c r="G956" s="7"/>
    </row>
    <row r="957" spans="7:7">
      <c r="G957" s="5">
        <v>1697319</v>
      </c>
    </row>
    <row r="958" spans="7:7">
      <c r="G958" s="7">
        <v>44435</v>
      </c>
    </row>
    <row r="959" spans="7:7">
      <c r="G959" s="19" t="s">
        <v>95</v>
      </c>
    </row>
    <row r="960" spans="7:7">
      <c r="G960" s="7"/>
    </row>
    <row r="961" spans="7:7">
      <c r="G961" s="5">
        <v>1698821</v>
      </c>
    </row>
    <row r="962" spans="7:7">
      <c r="G962" s="7">
        <v>43865</v>
      </c>
    </row>
    <row r="963" spans="7:7">
      <c r="G963" s="19" t="s">
        <v>89</v>
      </c>
    </row>
    <row r="964" spans="7:7">
      <c r="G964" s="7"/>
    </row>
    <row r="965" spans="7:7">
      <c r="G965" s="7">
        <v>44004</v>
      </c>
    </row>
    <row r="966" spans="7:7">
      <c r="G966" s="19" t="s">
        <v>89</v>
      </c>
    </row>
    <row r="967" spans="7:7">
      <c r="G967" s="7"/>
    </row>
    <row r="968" spans="7:7">
      <c r="G968" s="7">
        <v>44092</v>
      </c>
    </row>
    <row r="969" spans="7:7">
      <c r="G969" s="19" t="s">
        <v>89</v>
      </c>
    </row>
    <row r="970" spans="7:7">
      <c r="G970" s="7"/>
    </row>
    <row r="971" spans="7:7">
      <c r="G971" s="5">
        <v>1701466</v>
      </c>
    </row>
    <row r="972" spans="7:7">
      <c r="G972" s="7">
        <v>44603</v>
      </c>
    </row>
    <row r="973" spans="7:7">
      <c r="G973" s="19" t="s">
        <v>2079</v>
      </c>
    </row>
    <row r="974" spans="7:7">
      <c r="G974" s="7"/>
    </row>
    <row r="975" spans="7:7">
      <c r="G975" s="5">
        <v>1730275</v>
      </c>
    </row>
    <row r="976" spans="7:7">
      <c r="G976" s="7">
        <v>44431</v>
      </c>
    </row>
    <row r="977" spans="7:7">
      <c r="G977" s="19" t="s">
        <v>1132</v>
      </c>
    </row>
    <row r="978" spans="7:7">
      <c r="G978" s="7"/>
    </row>
    <row r="979" spans="7:7">
      <c r="G979" s="7">
        <v>44418</v>
      </c>
    </row>
    <row r="980" spans="7:7">
      <c r="G980" s="19" t="s">
        <v>1214</v>
      </c>
    </row>
    <row r="981" spans="7:7">
      <c r="G981" s="7"/>
    </row>
    <row r="982" spans="7:7">
      <c r="G982" s="5">
        <v>1731798</v>
      </c>
    </row>
    <row r="983" spans="7:7">
      <c r="G983" s="7">
        <v>44636</v>
      </c>
    </row>
    <row r="984" spans="7:7">
      <c r="G984" s="19" t="s">
        <v>533</v>
      </c>
    </row>
    <row r="985" spans="7:7">
      <c r="G985" s="7"/>
    </row>
    <row r="986" spans="7:7">
      <c r="G986" s="5">
        <v>1746391</v>
      </c>
    </row>
    <row r="987" spans="7:7">
      <c r="G987" s="7">
        <v>44363</v>
      </c>
    </row>
    <row r="988" spans="7:7">
      <c r="G988" s="19" t="s">
        <v>940</v>
      </c>
    </row>
    <row r="989" spans="7:7">
      <c r="G989" s="7"/>
    </row>
    <row r="990" spans="7:7">
      <c r="G990" s="5">
        <v>1746954</v>
      </c>
    </row>
    <row r="991" spans="7:7">
      <c r="G991" s="7">
        <v>44572</v>
      </c>
    </row>
    <row r="992" spans="7:7">
      <c r="G992" s="19" t="s">
        <v>502</v>
      </c>
    </row>
    <row r="993" spans="7:7">
      <c r="G993" s="7"/>
    </row>
    <row r="994" spans="7:7">
      <c r="G994" s="7">
        <v>44734</v>
      </c>
    </row>
    <row r="995" spans="7:7">
      <c r="G995" s="19" t="s">
        <v>3051</v>
      </c>
    </row>
    <row r="996" spans="7:7">
      <c r="G996" s="7"/>
    </row>
    <row r="997" spans="7:7">
      <c r="G997" s="5">
        <v>1747027</v>
      </c>
    </row>
    <row r="998" spans="7:7">
      <c r="G998" s="7">
        <v>44375</v>
      </c>
    </row>
    <row r="999" spans="7:7">
      <c r="G999" s="19" t="s">
        <v>95</v>
      </c>
    </row>
    <row r="1000" spans="7:7">
      <c r="G1000" s="7"/>
    </row>
    <row r="1001" spans="7:7">
      <c r="G1001" s="5">
        <v>1747159</v>
      </c>
    </row>
    <row r="1002" spans="7:7">
      <c r="G1002" s="7">
        <v>44705</v>
      </c>
    </row>
    <row r="1003" spans="7:7">
      <c r="G1003" s="19" t="s">
        <v>563</v>
      </c>
    </row>
    <row r="1004" spans="7:7">
      <c r="G1004" s="7"/>
    </row>
    <row r="1005" spans="7:7">
      <c r="G1005" s="5">
        <v>1748273</v>
      </c>
    </row>
    <row r="1006" spans="7:7">
      <c r="G1006" s="7">
        <v>44722</v>
      </c>
    </row>
    <row r="1007" spans="7:7">
      <c r="G1007" s="19" t="s">
        <v>2383</v>
      </c>
    </row>
    <row r="1008" spans="7:7">
      <c r="G1008" s="7"/>
    </row>
    <row r="1009" spans="7:7">
      <c r="G1009" s="5">
        <v>1755575</v>
      </c>
    </row>
    <row r="1010" spans="7:7">
      <c r="G1010" s="7">
        <v>44008</v>
      </c>
    </row>
    <row r="1011" spans="7:7">
      <c r="G1011" s="19" t="s">
        <v>128</v>
      </c>
    </row>
    <row r="1012" spans="7:7">
      <c r="G1012" s="7"/>
    </row>
    <row r="1013" spans="7:7">
      <c r="G1013" s="5">
        <v>1764197</v>
      </c>
    </row>
    <row r="1014" spans="7:7">
      <c r="G1014" s="7">
        <v>44383</v>
      </c>
    </row>
    <row r="1015" spans="7:7">
      <c r="G1015" s="19" t="s">
        <v>995</v>
      </c>
    </row>
    <row r="1016" spans="7:7">
      <c r="G1016" s="7"/>
    </row>
    <row r="1017" spans="7:7">
      <c r="G1017" s="5">
        <v>1766403</v>
      </c>
    </row>
    <row r="1018" spans="7:7">
      <c r="G1018" s="7">
        <v>44715</v>
      </c>
    </row>
    <row r="1019" spans="7:7">
      <c r="G1019" s="19" t="s">
        <v>3043</v>
      </c>
    </row>
    <row r="1020" spans="7:7">
      <c r="G1020" s="7"/>
    </row>
    <row r="1021" spans="7:7">
      <c r="G1021" s="5">
        <v>1777454</v>
      </c>
    </row>
    <row r="1022" spans="7:7">
      <c r="G1022" s="7">
        <v>44406</v>
      </c>
    </row>
    <row r="1023" spans="7:7">
      <c r="G1023" s="19" t="s">
        <v>1086</v>
      </c>
    </row>
    <row r="1024" spans="7:7">
      <c r="G1024" s="7"/>
    </row>
    <row r="1025" spans="7:7">
      <c r="G1025" s="7">
        <v>44404</v>
      </c>
    </row>
    <row r="1026" spans="7:7">
      <c r="G1026" s="19" t="s">
        <v>1087</v>
      </c>
    </row>
    <row r="1027" spans="7:7">
      <c r="G1027" s="7"/>
    </row>
    <row r="1028" spans="7:7">
      <c r="G1028" s="7">
        <v>44383</v>
      </c>
    </row>
    <row r="1029" spans="7:7">
      <c r="G1029" s="19" t="s">
        <v>1026</v>
      </c>
    </row>
    <row r="1030" spans="7:7">
      <c r="G1030" s="7"/>
    </row>
    <row r="1031" spans="7:7">
      <c r="G1031" s="7">
        <v>44377</v>
      </c>
    </row>
    <row r="1032" spans="7:7">
      <c r="G1032" s="19" t="s">
        <v>143</v>
      </c>
    </row>
    <row r="1033" spans="7:7">
      <c r="G1033" s="7"/>
    </row>
    <row r="1034" spans="7:7">
      <c r="G1034" s="7">
        <v>44369</v>
      </c>
    </row>
    <row r="1035" spans="7:7">
      <c r="G1035" s="19" t="s">
        <v>541</v>
      </c>
    </row>
    <row r="1036" spans="7:7">
      <c r="G1036" s="7"/>
    </row>
    <row r="1037" spans="7:7">
      <c r="G1037" s="7">
        <v>44482</v>
      </c>
    </row>
    <row r="1038" spans="7:7">
      <c r="G1038" s="19" t="s">
        <v>143</v>
      </c>
    </row>
    <row r="1039" spans="7:7">
      <c r="G1039" s="7"/>
    </row>
    <row r="1040" spans="7:7">
      <c r="G1040" s="7">
        <v>44474</v>
      </c>
    </row>
    <row r="1041" spans="7:7">
      <c r="G1041" s="19" t="s">
        <v>1293</v>
      </c>
    </row>
    <row r="1042" spans="7:7">
      <c r="G1042" s="7"/>
    </row>
    <row r="1043" spans="7:7">
      <c r="G1043" s="7">
        <v>44637</v>
      </c>
    </row>
    <row r="1044" spans="7:7">
      <c r="G1044" s="19" t="s">
        <v>1293</v>
      </c>
    </row>
    <row r="1045" spans="7:7">
      <c r="G1045" s="7"/>
    </row>
    <row r="1046" spans="7:7">
      <c r="G1046" s="5">
        <v>1781471</v>
      </c>
    </row>
    <row r="1047" spans="7:7">
      <c r="G1047" s="7">
        <v>44631</v>
      </c>
    </row>
    <row r="1048" spans="7:7">
      <c r="G1048" s="19" t="s">
        <v>2237</v>
      </c>
    </row>
    <row r="1049" spans="7:7">
      <c r="G1049" s="7"/>
    </row>
    <row r="1050" spans="7:7">
      <c r="G1050" s="5">
        <v>1781720</v>
      </c>
    </row>
    <row r="1051" spans="7:7">
      <c r="G1051" s="7">
        <v>44355</v>
      </c>
    </row>
    <row r="1052" spans="7:7">
      <c r="G1052" s="19" t="s">
        <v>89</v>
      </c>
    </row>
    <row r="1053" spans="7:7">
      <c r="G1053" s="7"/>
    </row>
    <row r="1054" spans="7:7">
      <c r="G1054" s="5">
        <v>1798421</v>
      </c>
    </row>
    <row r="1055" spans="7:7">
      <c r="G1055" s="7">
        <v>44697</v>
      </c>
    </row>
    <row r="1056" spans="7:7">
      <c r="G1056" s="19" t="s">
        <v>151</v>
      </c>
    </row>
    <row r="1057" spans="7:7">
      <c r="G1057" s="7"/>
    </row>
    <row r="1058" spans="7:7">
      <c r="G1058" s="5">
        <v>1798521</v>
      </c>
    </row>
    <row r="1059" spans="7:7">
      <c r="G1059" s="7">
        <v>44439</v>
      </c>
    </row>
    <row r="1060" spans="7:7">
      <c r="G1060" s="19" t="s">
        <v>541</v>
      </c>
    </row>
    <row r="1061" spans="7:7">
      <c r="G1061" s="7"/>
    </row>
    <row r="1062" spans="7:7">
      <c r="G1062" s="7">
        <v>44425</v>
      </c>
    </row>
    <row r="1063" spans="7:7">
      <c r="G1063" s="19" t="s">
        <v>541</v>
      </c>
    </row>
    <row r="1064" spans="7:7">
      <c r="G1064" s="7"/>
    </row>
    <row r="1065" spans="7:7">
      <c r="G1065" s="7">
        <v>44467</v>
      </c>
    </row>
    <row r="1066" spans="7:7">
      <c r="G1066" s="19" t="s">
        <v>541</v>
      </c>
    </row>
    <row r="1067" spans="7:7">
      <c r="G1067" s="7"/>
    </row>
    <row r="1068" spans="7:7">
      <c r="G1068" s="7">
        <v>44510</v>
      </c>
    </row>
    <row r="1069" spans="7:7">
      <c r="G1069" s="19" t="s">
        <v>1289</v>
      </c>
    </row>
    <row r="1070" spans="7:7">
      <c r="G1070" s="7"/>
    </row>
    <row r="1071" spans="7:7">
      <c r="G1071" s="5">
        <v>1804143</v>
      </c>
    </row>
    <row r="1072" spans="7:7">
      <c r="G1072" s="7">
        <v>44685</v>
      </c>
    </row>
    <row r="1073" spans="7:7">
      <c r="G1073" s="19" t="s">
        <v>563</v>
      </c>
    </row>
    <row r="1074" spans="7:7">
      <c r="G1074" s="7"/>
    </row>
    <row r="1075" spans="7:7">
      <c r="G1075" s="7">
        <v>44701</v>
      </c>
    </row>
    <row r="1076" spans="7:7">
      <c r="G1076" s="19" t="s">
        <v>2241</v>
      </c>
    </row>
    <row r="1077" spans="7:7">
      <c r="G1077" s="7"/>
    </row>
    <row r="1078" spans="7:7">
      <c r="G1078" s="5">
        <v>1807351</v>
      </c>
    </row>
    <row r="1079" spans="7:7">
      <c r="G1079" s="7">
        <v>44365</v>
      </c>
    </row>
    <row r="1080" spans="7:7">
      <c r="G1080" s="19" t="s">
        <v>812</v>
      </c>
    </row>
    <row r="1081" spans="7:7">
      <c r="G1081" s="7"/>
    </row>
    <row r="1082" spans="7:7">
      <c r="G1082" s="5">
        <v>1808031</v>
      </c>
    </row>
    <row r="1083" spans="7:7">
      <c r="G1083" s="7">
        <v>44477</v>
      </c>
    </row>
    <row r="1084" spans="7:7">
      <c r="G1084" s="19" t="s">
        <v>139</v>
      </c>
    </row>
    <row r="1085" spans="7:7">
      <c r="G1085" s="7"/>
    </row>
    <row r="1086" spans="7:7">
      <c r="G1086" s="5">
        <v>1810734</v>
      </c>
    </row>
    <row r="1087" spans="7:7">
      <c r="G1087" s="7">
        <v>44764</v>
      </c>
    </row>
    <row r="1088" spans="7:7">
      <c r="G1088" s="19" t="s">
        <v>1622</v>
      </c>
    </row>
    <row r="1089" spans="7:7">
      <c r="G1089" s="7"/>
    </row>
    <row r="1090" spans="7:7">
      <c r="G1090" s="5">
        <v>1816190</v>
      </c>
    </row>
    <row r="1091" spans="7:7">
      <c r="G1091" s="7">
        <v>44697</v>
      </c>
    </row>
    <row r="1092" spans="7:7">
      <c r="G1092" s="19" t="s">
        <v>1826</v>
      </c>
    </row>
    <row r="1093" spans="7:7">
      <c r="G1093" s="7"/>
    </row>
    <row r="1094" spans="7:7">
      <c r="G1094" s="5">
        <v>1816644</v>
      </c>
    </row>
    <row r="1095" spans="7:7">
      <c r="G1095" s="7">
        <v>44452</v>
      </c>
    </row>
    <row r="1096" spans="7:7">
      <c r="G1096" s="19" t="s">
        <v>1589</v>
      </c>
    </row>
    <row r="1097" spans="7:7">
      <c r="G1097" s="7"/>
    </row>
    <row r="1098" spans="7:7">
      <c r="G1098" s="5">
        <v>1819173</v>
      </c>
    </row>
    <row r="1099" spans="7:7">
      <c r="G1099" s="7">
        <v>44631</v>
      </c>
    </row>
    <row r="1100" spans="7:7">
      <c r="G1100" s="19" t="s">
        <v>2237</v>
      </c>
    </row>
    <row r="1101" spans="7:7">
      <c r="G1101" s="7"/>
    </row>
    <row r="1102" spans="7:7">
      <c r="G1102" s="5">
        <v>1819791</v>
      </c>
    </row>
    <row r="1103" spans="7:7">
      <c r="G1103" s="7">
        <v>44249</v>
      </c>
    </row>
    <row r="1104" spans="7:7">
      <c r="G1104" s="19" t="s">
        <v>397</v>
      </c>
    </row>
    <row r="1105" spans="7:7">
      <c r="G1105" s="7"/>
    </row>
    <row r="1106" spans="7:7">
      <c r="G1106" s="5">
        <v>1824809</v>
      </c>
    </row>
    <row r="1107" spans="7:7">
      <c r="G1107" s="7">
        <v>44761</v>
      </c>
    </row>
    <row r="1108" spans="7:7">
      <c r="G1108" s="19" t="s">
        <v>2383</v>
      </c>
    </row>
    <row r="1109" spans="7:7">
      <c r="G1109" s="7"/>
    </row>
    <row r="1110" spans="7:7">
      <c r="G1110" s="5">
        <v>1825041</v>
      </c>
    </row>
    <row r="1111" spans="7:7">
      <c r="G1111" s="7">
        <v>44449</v>
      </c>
    </row>
    <row r="1112" spans="7:7">
      <c r="G1112" s="19" t="s">
        <v>1193</v>
      </c>
    </row>
    <row r="1113" spans="7:7">
      <c r="G1113" s="7"/>
    </row>
    <row r="1114" spans="7:7">
      <c r="G1114" s="5">
        <v>1827081</v>
      </c>
    </row>
    <row r="1115" spans="7:7">
      <c r="G1115" s="7">
        <v>44525</v>
      </c>
    </row>
    <row r="1116" spans="7:7">
      <c r="G1116" s="19" t="s">
        <v>1858</v>
      </c>
    </row>
    <row r="1117" spans="7:7">
      <c r="G1117" s="7"/>
    </row>
    <row r="1118" spans="7:7">
      <c r="G1118" s="5">
        <v>1834653</v>
      </c>
    </row>
    <row r="1119" spans="7:7">
      <c r="G1119" s="7">
        <v>44525</v>
      </c>
    </row>
    <row r="1120" spans="7:7">
      <c r="G1120" s="19" t="s">
        <v>1895</v>
      </c>
    </row>
    <row r="1121" spans="7:7">
      <c r="G1121" s="7"/>
    </row>
    <row r="1122" spans="7:7">
      <c r="G1122" s="5">
        <v>1839576</v>
      </c>
    </row>
    <row r="1123" spans="7:7">
      <c r="G1123" s="7">
        <v>44714</v>
      </c>
    </row>
    <row r="1124" spans="7:7">
      <c r="G1124" s="19" t="s">
        <v>2383</v>
      </c>
    </row>
    <row r="1125" spans="7:7">
      <c r="G1125" s="7"/>
    </row>
    <row r="1126" spans="7:7">
      <c r="G1126" s="5">
        <v>1847325</v>
      </c>
    </row>
    <row r="1127" spans="7:7">
      <c r="G1127" s="7">
        <v>44271</v>
      </c>
    </row>
    <row r="1128" spans="7:7">
      <c r="G1128" s="19" t="s">
        <v>128</v>
      </c>
    </row>
    <row r="1129" spans="7:7">
      <c r="G1129" s="7"/>
    </row>
    <row r="1130" spans="7:7">
      <c r="G1130" s="5">
        <v>1849414</v>
      </c>
    </row>
    <row r="1131" spans="7:7">
      <c r="G1131" s="7">
        <v>44553</v>
      </c>
    </row>
    <row r="1132" spans="7:7">
      <c r="G1132" s="19" t="s">
        <v>550</v>
      </c>
    </row>
    <row r="1133" spans="7:7">
      <c r="G1133" s="7"/>
    </row>
    <row r="1134" spans="7:7">
      <c r="G1134" s="5">
        <v>1851710</v>
      </c>
    </row>
    <row r="1135" spans="7:7">
      <c r="G1135" s="7">
        <v>44637</v>
      </c>
    </row>
    <row r="1136" spans="7:7">
      <c r="G1136" s="19" t="s">
        <v>563</v>
      </c>
    </row>
    <row r="1137" spans="7:7">
      <c r="G1137" s="7"/>
    </row>
    <row r="1138" spans="7:7">
      <c r="G1138" s="5">
        <v>1854049</v>
      </c>
    </row>
    <row r="1139" spans="7:7">
      <c r="G1139" s="7">
        <v>44720</v>
      </c>
    </row>
    <row r="1140" spans="7:7">
      <c r="G1140" s="19" t="s">
        <v>2383</v>
      </c>
    </row>
    <row r="1141" spans="7:7">
      <c r="G1141" s="7"/>
    </row>
    <row r="1142" spans="7:7">
      <c r="G1142" s="5">
        <v>1854528</v>
      </c>
    </row>
    <row r="1143" spans="7:7">
      <c r="G1143" s="7">
        <v>44330</v>
      </c>
    </row>
    <row r="1144" spans="7:7">
      <c r="G1144" s="19" t="s">
        <v>563</v>
      </c>
    </row>
    <row r="1145" spans="7:7">
      <c r="G1145" s="7"/>
    </row>
    <row r="1146" spans="7:7">
      <c r="G1146" s="5">
        <v>1855707</v>
      </c>
    </row>
    <row r="1147" spans="7:7">
      <c r="G1147" s="7">
        <v>44753</v>
      </c>
    </row>
    <row r="1148" spans="7:7">
      <c r="G1148" s="19" t="s">
        <v>3077</v>
      </c>
    </row>
    <row r="1149" spans="7:7">
      <c r="G1149" s="7"/>
    </row>
    <row r="1150" spans="7:7">
      <c r="G1150" s="5">
        <v>1856473</v>
      </c>
    </row>
    <row r="1151" spans="7:7">
      <c r="G1151" s="7">
        <v>44508</v>
      </c>
    </row>
    <row r="1152" spans="7:7">
      <c r="G1152" s="19" t="s">
        <v>563</v>
      </c>
    </row>
    <row r="1153" spans="7:7">
      <c r="G1153" s="7"/>
    </row>
    <row r="1154" spans="7:7">
      <c r="G1154" s="5">
        <v>1856760</v>
      </c>
    </row>
    <row r="1155" spans="7:7">
      <c r="G1155" s="7">
        <v>44636</v>
      </c>
    </row>
    <row r="1156" spans="7:7">
      <c r="G1156" s="19" t="s">
        <v>563</v>
      </c>
    </row>
    <row r="1157" spans="7:7">
      <c r="G1157" s="7"/>
    </row>
    <row r="1158" spans="7:7">
      <c r="G1158" s="5">
        <v>1856811</v>
      </c>
    </row>
    <row r="1159" spans="7:7">
      <c r="G1159" s="7">
        <v>44760</v>
      </c>
    </row>
    <row r="1160" spans="7:7">
      <c r="G1160" s="19" t="s">
        <v>2383</v>
      </c>
    </row>
    <row r="1161" spans="7:7">
      <c r="G1161" s="7"/>
    </row>
    <row r="1162" spans="7:7">
      <c r="G1162" s="5">
        <v>1857041</v>
      </c>
    </row>
    <row r="1163" spans="7:7">
      <c r="G1163" s="7">
        <v>44321</v>
      </c>
    </row>
    <row r="1164" spans="7:7">
      <c r="G1164" s="19" t="s">
        <v>92</v>
      </c>
    </row>
    <row r="1165" spans="7:7">
      <c r="G1165" s="7"/>
    </row>
    <row r="1166" spans="7:7">
      <c r="G1166" s="7">
        <v>44454</v>
      </c>
    </row>
    <row r="1167" spans="7:7">
      <c r="G1167" s="19" t="s">
        <v>1635</v>
      </c>
    </row>
    <row r="1168" spans="7:7">
      <c r="G1168" s="7"/>
    </row>
    <row r="1169" spans="7:7">
      <c r="G1169" s="7">
        <v>44524</v>
      </c>
    </row>
    <row r="1170" spans="7:7">
      <c r="G1170" s="19" t="s">
        <v>1871</v>
      </c>
    </row>
    <row r="1171" spans="7:7">
      <c r="G1171" s="7"/>
    </row>
    <row r="1172" spans="7:7">
      <c r="G1172" s="5">
        <v>1857136</v>
      </c>
    </row>
    <row r="1173" spans="7:7">
      <c r="G1173" s="7">
        <v>44733</v>
      </c>
    </row>
    <row r="1174" spans="7:7">
      <c r="G1174" s="19" t="s">
        <v>2383</v>
      </c>
    </row>
    <row r="1175" spans="7:7">
      <c r="G1175" s="7"/>
    </row>
    <row r="1176" spans="7:7">
      <c r="G1176" s="5">
        <v>1857202</v>
      </c>
    </row>
    <row r="1177" spans="7:7">
      <c r="G1177" s="7">
        <v>44687</v>
      </c>
    </row>
    <row r="1178" spans="7:7">
      <c r="G1178" s="19" t="s">
        <v>563</v>
      </c>
    </row>
    <row r="1179" spans="7:7">
      <c r="G1179" s="7"/>
    </row>
    <row r="1180" spans="7:7">
      <c r="G1180" s="5">
        <v>1857545</v>
      </c>
    </row>
    <row r="1181" spans="7:7">
      <c r="G1181" s="7">
        <v>44643</v>
      </c>
    </row>
    <row r="1182" spans="7:7">
      <c r="G1182" s="19" t="s">
        <v>563</v>
      </c>
    </row>
    <row r="1183" spans="7:7">
      <c r="G1183" s="7"/>
    </row>
    <row r="1184" spans="7:7">
      <c r="G1184" s="7">
        <v>44768</v>
      </c>
    </row>
    <row r="1185" spans="7:7">
      <c r="G1185" s="19" t="s">
        <v>3077</v>
      </c>
    </row>
    <row r="1186" spans="7:7">
      <c r="G1186" s="7"/>
    </row>
    <row r="1187" spans="7:7">
      <c r="G1187" s="5">
        <v>1857561</v>
      </c>
    </row>
    <row r="1188" spans="7:7">
      <c r="G1188" s="7">
        <v>44690</v>
      </c>
    </row>
    <row r="1189" spans="7:7">
      <c r="G1189" s="19" t="s">
        <v>563</v>
      </c>
    </row>
    <row r="1190" spans="7:7">
      <c r="G1190" s="7"/>
    </row>
    <row r="1191" spans="7:7">
      <c r="G1191" s="5">
        <v>1857812</v>
      </c>
    </row>
    <row r="1192" spans="7:7">
      <c r="G1192" s="7">
        <v>44566</v>
      </c>
    </row>
    <row r="1193" spans="7:7">
      <c r="G1193" s="19" t="s">
        <v>1300</v>
      </c>
    </row>
    <row r="1194" spans="7:7">
      <c r="G1194" s="7"/>
    </row>
    <row r="1195" spans="7:7">
      <c r="G1195" s="5">
        <v>1857814</v>
      </c>
    </row>
    <row r="1196" spans="7:7">
      <c r="G1196" s="7">
        <v>44428</v>
      </c>
    </row>
    <row r="1197" spans="7:7">
      <c r="G1197" s="19" t="s">
        <v>143</v>
      </c>
    </row>
    <row r="1198" spans="7:7">
      <c r="G1198" s="7"/>
    </row>
    <row r="1199" spans="7:7">
      <c r="G1199" s="7">
        <v>44449</v>
      </c>
    </row>
    <row r="1200" spans="7:7">
      <c r="G1200" s="19" t="s">
        <v>1312</v>
      </c>
    </row>
    <row r="1201" spans="7:7">
      <c r="G1201" s="7"/>
    </row>
    <row r="1202" spans="7:7">
      <c r="G1202" s="7">
        <v>44566</v>
      </c>
    </row>
    <row r="1203" spans="7:7">
      <c r="G1203" s="19" t="s">
        <v>1214</v>
      </c>
    </row>
    <row r="1204" spans="7:7">
      <c r="G1204" s="7"/>
    </row>
    <row r="1205" spans="7:7">
      <c r="G1205" s="7">
        <v>44645</v>
      </c>
    </row>
    <row r="1206" spans="7:7">
      <c r="G1206" s="19" t="s">
        <v>1653</v>
      </c>
    </row>
    <row r="1207" spans="7:7">
      <c r="G1207" s="7"/>
    </row>
    <row r="1208" spans="7:7">
      <c r="G1208" s="7">
        <v>44673</v>
      </c>
    </row>
    <row r="1209" spans="7:7">
      <c r="G1209" s="19" t="s">
        <v>2650</v>
      </c>
    </row>
    <row r="1210" spans="7:7">
      <c r="G1210" s="7"/>
    </row>
    <row r="1211" spans="7:7">
      <c r="G1211" s="7">
        <v>44686</v>
      </c>
    </row>
    <row r="1212" spans="7:7">
      <c r="G1212" s="19" t="s">
        <v>1233</v>
      </c>
    </row>
    <row r="1213" spans="7:7">
      <c r="G1213" s="7"/>
    </row>
    <row r="1214" spans="7:7">
      <c r="G1214" s="7">
        <v>44693</v>
      </c>
    </row>
    <row r="1215" spans="7:7">
      <c r="G1215" s="19" t="s">
        <v>1233</v>
      </c>
    </row>
    <row r="1216" spans="7:7">
      <c r="G1216" s="7"/>
    </row>
    <row r="1217" spans="7:7">
      <c r="G1217" s="5">
        <v>1857869</v>
      </c>
    </row>
    <row r="1218" spans="7:7">
      <c r="G1218" s="7">
        <v>44657</v>
      </c>
    </row>
    <row r="1219" spans="7:7">
      <c r="G1219" s="19" t="s">
        <v>563</v>
      </c>
    </row>
    <row r="1220" spans="7:7">
      <c r="G1220" s="7"/>
    </row>
    <row r="1221" spans="7:7">
      <c r="G1221" s="5">
        <v>1858178</v>
      </c>
    </row>
    <row r="1222" spans="7:7">
      <c r="G1222" s="7">
        <v>44722</v>
      </c>
    </row>
    <row r="1223" spans="7:7">
      <c r="G1223" s="19" t="s">
        <v>2383</v>
      </c>
    </row>
    <row r="1224" spans="7:7">
      <c r="G1224" s="7"/>
    </row>
    <row r="1225" spans="7:7">
      <c r="G1225" s="5">
        <v>1858215</v>
      </c>
    </row>
    <row r="1226" spans="7:7">
      <c r="G1226" s="7">
        <v>44644</v>
      </c>
    </row>
    <row r="1227" spans="7:7">
      <c r="G1227" s="19" t="s">
        <v>2383</v>
      </c>
    </row>
    <row r="1228" spans="7:7">
      <c r="G1228" s="7"/>
    </row>
    <row r="1229" spans="7:7">
      <c r="G1229" s="5">
        <v>1858314</v>
      </c>
    </row>
    <row r="1230" spans="7:7">
      <c r="G1230" s="7">
        <v>44692</v>
      </c>
    </row>
    <row r="1231" spans="7:7">
      <c r="G1231" s="19" t="s">
        <v>502</v>
      </c>
    </row>
    <row r="1232" spans="7:7">
      <c r="G1232" s="7"/>
    </row>
    <row r="1233" spans="7:7">
      <c r="G1233" s="5">
        <v>1858417</v>
      </c>
    </row>
    <row r="1234" spans="7:7">
      <c r="G1234" s="7">
        <v>44764</v>
      </c>
    </row>
    <row r="1235" spans="7:7">
      <c r="G1235" s="19" t="s">
        <v>1152</v>
      </c>
    </row>
    <row r="1236" spans="7:7">
      <c r="G1236" s="7"/>
    </row>
    <row r="1237" spans="7:7">
      <c r="G1237" s="5">
        <v>1858515</v>
      </c>
    </row>
    <row r="1238" spans="7:7">
      <c r="G1238" s="7">
        <v>44750</v>
      </c>
    </row>
    <row r="1239" spans="7:7">
      <c r="G1239" s="19" t="s">
        <v>2383</v>
      </c>
    </row>
    <row r="1240" spans="7:7">
      <c r="G1240" s="7"/>
    </row>
    <row r="1241" spans="7:7">
      <c r="G1241" s="5">
        <v>1858614</v>
      </c>
    </row>
    <row r="1242" spans="7:7">
      <c r="G1242" s="7">
        <v>44683</v>
      </c>
    </row>
    <row r="1243" spans="7:7">
      <c r="G1243" s="19" t="s">
        <v>563</v>
      </c>
    </row>
    <row r="1244" spans="7:7">
      <c r="G1244" s="7"/>
    </row>
    <row r="1245" spans="7:7">
      <c r="G1245" s="5">
        <v>1858932</v>
      </c>
    </row>
    <row r="1246" spans="7:7">
      <c r="G1246" s="7">
        <v>44510</v>
      </c>
    </row>
    <row r="1247" spans="7:7">
      <c r="G1247" s="19" t="s">
        <v>1233</v>
      </c>
    </row>
    <row r="1248" spans="7:7">
      <c r="G1248" s="7"/>
    </row>
    <row r="1249" spans="7:7">
      <c r="G1249" s="7">
        <v>44524</v>
      </c>
    </row>
    <row r="1250" spans="7:7">
      <c r="G1250" s="19" t="s">
        <v>1233</v>
      </c>
    </row>
    <row r="1251" spans="7:7">
      <c r="G1251" s="7"/>
    </row>
    <row r="1252" spans="7:7">
      <c r="G1252" s="5">
        <v>1858960</v>
      </c>
    </row>
    <row r="1253" spans="7:7">
      <c r="G1253" s="7">
        <v>44231</v>
      </c>
    </row>
    <row r="1254" spans="7:7">
      <c r="G1254" s="19" t="s">
        <v>89</v>
      </c>
    </row>
    <row r="1255" spans="7:7">
      <c r="G1255" s="7"/>
    </row>
    <row r="1256" spans="7:7">
      <c r="G1256" s="7">
        <v>43944</v>
      </c>
    </row>
    <row r="1257" spans="7:7">
      <c r="G1257" s="19" t="s">
        <v>89</v>
      </c>
    </row>
    <row r="1258" spans="7:7">
      <c r="G1258" s="7"/>
    </row>
    <row r="1259" spans="7:7">
      <c r="G1259" s="5">
        <v>1859461</v>
      </c>
    </row>
    <row r="1260" spans="7:7">
      <c r="G1260" s="7">
        <v>44754</v>
      </c>
    </row>
    <row r="1261" spans="7:7">
      <c r="G1261" s="19" t="s">
        <v>1923</v>
      </c>
    </row>
    <row r="1262" spans="7:7">
      <c r="G1262" s="7"/>
    </row>
    <row r="1263" spans="7:7">
      <c r="G1263" s="5">
        <v>1859653</v>
      </c>
    </row>
    <row r="1264" spans="7:7">
      <c r="G1264" s="7">
        <v>44347</v>
      </c>
    </row>
    <row r="1265" spans="7:7">
      <c r="G1265" s="19" t="s">
        <v>563</v>
      </c>
    </row>
    <row r="1266" spans="7:7">
      <c r="G1266" s="7"/>
    </row>
    <row r="1267" spans="7:7">
      <c r="G1267" s="5">
        <v>1859733</v>
      </c>
    </row>
    <row r="1268" spans="7:7">
      <c r="G1268" s="7">
        <v>44483</v>
      </c>
    </row>
    <row r="1269" spans="7:7">
      <c r="G1269" s="19" t="s">
        <v>1683</v>
      </c>
    </row>
    <row r="1270" spans="7:7">
      <c r="G1270" s="7"/>
    </row>
    <row r="1271" spans="7:7">
      <c r="G1271" s="5">
        <v>1860244</v>
      </c>
    </row>
    <row r="1272" spans="7:7">
      <c r="G1272" s="7">
        <v>44769</v>
      </c>
    </row>
    <row r="1273" spans="7:7">
      <c r="G1273" s="19" t="s">
        <v>3483</v>
      </c>
    </row>
    <row r="1274" spans="7:7">
      <c r="G1274" s="7"/>
    </row>
    <row r="1275" spans="7:7">
      <c r="G1275" s="5">
        <v>1860522</v>
      </c>
    </row>
    <row r="1276" spans="7:7">
      <c r="G1276" s="7">
        <v>44630</v>
      </c>
    </row>
    <row r="1277" spans="7:7">
      <c r="G1277" s="19" t="s">
        <v>2237</v>
      </c>
    </row>
    <row r="1278" spans="7:7">
      <c r="G1278" s="7"/>
    </row>
    <row r="1279" spans="7:7">
      <c r="G1279" s="5">
        <v>1861443</v>
      </c>
    </row>
    <row r="1280" spans="7:7">
      <c r="G1280" s="7">
        <v>44720</v>
      </c>
    </row>
    <row r="1281" spans="7:7">
      <c r="G1281" s="19" t="s">
        <v>1174</v>
      </c>
    </row>
    <row r="1282" spans="7:7">
      <c r="G1282" s="7"/>
    </row>
    <row r="1283" spans="7:7">
      <c r="G1283" s="7">
        <v>44748</v>
      </c>
    </row>
    <row r="1284" spans="7:7">
      <c r="G1284" s="19" t="s">
        <v>1174</v>
      </c>
    </row>
    <row r="1285" spans="7:7">
      <c r="G1285" s="7"/>
    </row>
    <row r="1286" spans="7:7">
      <c r="G1286" s="5">
        <v>1862156</v>
      </c>
    </row>
    <row r="1287" spans="7:7">
      <c r="G1287" s="7">
        <v>44739</v>
      </c>
    </row>
    <row r="1288" spans="7:7">
      <c r="G1288" s="19" t="s">
        <v>2383</v>
      </c>
    </row>
    <row r="1289" spans="7:7">
      <c r="G1289" s="7"/>
    </row>
    <row r="1290" spans="7:7">
      <c r="G1290" s="5">
        <v>1862484</v>
      </c>
    </row>
    <row r="1291" spans="7:7">
      <c r="G1291" s="7">
        <v>43873</v>
      </c>
    </row>
    <row r="1292" spans="7:7">
      <c r="G1292" s="19" t="s">
        <v>99</v>
      </c>
    </row>
    <row r="1293" spans="7:7">
      <c r="G1293" s="7"/>
    </row>
    <row r="1294" spans="7:7">
      <c r="G1294" s="5">
        <v>1862886</v>
      </c>
    </row>
    <row r="1295" spans="7:7">
      <c r="G1295" s="7">
        <v>44412</v>
      </c>
    </row>
    <row r="1296" spans="7:7">
      <c r="G1296" s="19" t="s">
        <v>929</v>
      </c>
    </row>
    <row r="1297" spans="7:7">
      <c r="G1297" s="7"/>
    </row>
    <row r="1298" spans="7:7">
      <c r="G1298" s="5">
        <v>1863010</v>
      </c>
    </row>
    <row r="1299" spans="7:7">
      <c r="G1299" s="7">
        <v>44697</v>
      </c>
    </row>
    <row r="1300" spans="7:7">
      <c r="G1300" s="19" t="s">
        <v>563</v>
      </c>
    </row>
    <row r="1301" spans="7:7">
      <c r="G1301" s="7"/>
    </row>
    <row r="1302" spans="7:7">
      <c r="G1302" s="7">
        <v>44708</v>
      </c>
    </row>
    <row r="1303" spans="7:7">
      <c r="G1303" s="19" t="s">
        <v>563</v>
      </c>
    </row>
    <row r="1304" spans="7:7">
      <c r="G1304" s="7"/>
    </row>
    <row r="1305" spans="7:7">
      <c r="G1305" s="5">
        <v>1863169</v>
      </c>
    </row>
    <row r="1306" spans="7:7">
      <c r="G1306" s="7">
        <v>44658</v>
      </c>
    </row>
    <row r="1307" spans="7:7">
      <c r="G1307" s="19" t="s">
        <v>107</v>
      </c>
    </row>
    <row r="1308" spans="7:7">
      <c r="G1308" s="7"/>
    </row>
    <row r="1309" spans="7:7">
      <c r="G1309" s="5">
        <v>1863952</v>
      </c>
    </row>
    <row r="1310" spans="7:7">
      <c r="G1310" s="7">
        <v>44611</v>
      </c>
    </row>
    <row r="1311" spans="7:7">
      <c r="G1311" s="19" t="s">
        <v>1286</v>
      </c>
    </row>
    <row r="1312" spans="7:7">
      <c r="G1312" s="7"/>
    </row>
    <row r="1313" spans="7:7">
      <c r="G1313" s="7">
        <v>44610</v>
      </c>
    </row>
    <row r="1314" spans="7:7">
      <c r="G1314" s="19" t="s">
        <v>1826</v>
      </c>
    </row>
    <row r="1315" spans="7:7">
      <c r="G1315" s="7"/>
    </row>
    <row r="1316" spans="7:7">
      <c r="G1316" s="5">
        <v>1864093</v>
      </c>
    </row>
    <row r="1317" spans="7:7">
      <c r="G1317" s="7">
        <v>44725</v>
      </c>
    </row>
    <row r="1318" spans="7:7">
      <c r="G1318" s="19" t="s">
        <v>2383</v>
      </c>
    </row>
    <row r="1319" spans="7:7">
      <c r="G1319" s="7"/>
    </row>
    <row r="1320" spans="7:7">
      <c r="G1320" s="5">
        <v>1864903</v>
      </c>
    </row>
    <row r="1321" spans="7:7">
      <c r="G1321" s="7">
        <v>44658</v>
      </c>
    </row>
    <row r="1322" spans="7:7">
      <c r="G1322" s="19" t="s">
        <v>563</v>
      </c>
    </row>
    <row r="1323" spans="7:7">
      <c r="G1323" s="7"/>
    </row>
    <row r="1324" spans="7:7">
      <c r="G1324" s="7">
        <v>44729</v>
      </c>
    </row>
    <row r="1325" spans="7:7">
      <c r="G1325" s="19" t="s">
        <v>2383</v>
      </c>
    </row>
    <row r="1326" spans="7:7">
      <c r="G1326" s="7"/>
    </row>
    <row r="1327" spans="7:7">
      <c r="G1327" s="5">
        <v>1865853</v>
      </c>
    </row>
    <row r="1328" spans="7:7">
      <c r="G1328" s="7">
        <v>44662</v>
      </c>
    </row>
    <row r="1329" spans="7:7">
      <c r="G1329" s="19" t="s">
        <v>2190</v>
      </c>
    </row>
    <row r="1330" spans="7:7">
      <c r="G1330" s="7"/>
    </row>
    <row r="1331" spans="7:7">
      <c r="G1331" s="5">
        <v>1866555</v>
      </c>
    </row>
    <row r="1332" spans="7:7">
      <c r="G1332" s="7">
        <v>44693</v>
      </c>
    </row>
    <row r="1333" spans="7:7">
      <c r="G1333" s="19" t="s">
        <v>563</v>
      </c>
    </row>
    <row r="1334" spans="7:7">
      <c r="G1334" s="7"/>
    </row>
    <row r="1335" spans="7:7">
      <c r="G1335" s="5">
        <v>1866692</v>
      </c>
    </row>
    <row r="1336" spans="7:7">
      <c r="G1336" s="7">
        <v>44648</v>
      </c>
    </row>
    <row r="1337" spans="7:7">
      <c r="G1337" s="19" t="s">
        <v>2383</v>
      </c>
    </row>
    <row r="1338" spans="7:7">
      <c r="G1338" s="7"/>
    </row>
    <row r="1339" spans="7:7">
      <c r="G1339" s="5">
        <v>1866759</v>
      </c>
    </row>
    <row r="1340" spans="7:7">
      <c r="G1340" s="7">
        <v>44650</v>
      </c>
    </row>
    <row r="1341" spans="7:7">
      <c r="G1341" s="19" t="s">
        <v>563</v>
      </c>
    </row>
    <row r="1342" spans="7:7">
      <c r="G1342" s="7"/>
    </row>
    <row r="1343" spans="7:7">
      <c r="G1343" s="5">
        <v>1866776</v>
      </c>
    </row>
    <row r="1344" spans="7:7">
      <c r="G1344" s="7">
        <v>44664</v>
      </c>
    </row>
    <row r="1345" spans="7:7">
      <c r="G1345" s="19" t="s">
        <v>563</v>
      </c>
    </row>
    <row r="1346" spans="7:7">
      <c r="G1346" s="7"/>
    </row>
    <row r="1347" spans="7:7">
      <c r="G1347" s="5">
        <v>1866782</v>
      </c>
    </row>
    <row r="1348" spans="7:7">
      <c r="G1348" s="7">
        <v>44594</v>
      </c>
    </row>
    <row r="1349" spans="7:7">
      <c r="G1349" s="19" t="s">
        <v>2098</v>
      </c>
    </row>
    <row r="1350" spans="7:7">
      <c r="G1350" s="7"/>
    </row>
    <row r="1351" spans="7:7">
      <c r="G1351" s="7">
        <v>44592</v>
      </c>
    </row>
    <row r="1352" spans="7:7">
      <c r="G1352" s="19" t="s">
        <v>2098</v>
      </c>
    </row>
    <row r="1353" spans="7:7">
      <c r="G1353" s="7"/>
    </row>
    <row r="1354" spans="7:7">
      <c r="G1354" s="5">
        <v>1866810</v>
      </c>
    </row>
    <row r="1355" spans="7:7">
      <c r="G1355" s="7">
        <v>44698</v>
      </c>
    </row>
    <row r="1356" spans="7:7">
      <c r="G1356" s="19" t="s">
        <v>563</v>
      </c>
    </row>
    <row r="1357" spans="7:7">
      <c r="G1357" s="7"/>
    </row>
    <row r="1358" spans="7:7">
      <c r="G1358" s="5">
        <v>1867269</v>
      </c>
    </row>
    <row r="1359" spans="7:7">
      <c r="G1359" s="7">
        <v>44489</v>
      </c>
    </row>
    <row r="1360" spans="7:7">
      <c r="G1360" s="19" t="s">
        <v>1635</v>
      </c>
    </row>
    <row r="1361" spans="7:7">
      <c r="G1361" s="7"/>
    </row>
    <row r="1362" spans="7:7">
      <c r="G1362" s="5">
        <v>1867504</v>
      </c>
    </row>
    <row r="1363" spans="7:7">
      <c r="G1363" s="7">
        <v>44697</v>
      </c>
    </row>
    <row r="1364" spans="7:7">
      <c r="G1364" s="19" t="s">
        <v>563</v>
      </c>
    </row>
    <row r="1365" spans="7:7">
      <c r="G1365" s="7"/>
    </row>
    <row r="1366" spans="7:7">
      <c r="G1366" s="5">
        <v>1867828</v>
      </c>
    </row>
    <row r="1367" spans="7:7">
      <c r="G1367" s="7">
        <v>44239</v>
      </c>
    </row>
    <row r="1368" spans="7:7">
      <c r="G1368" s="19" t="s">
        <v>503</v>
      </c>
    </row>
    <row r="1369" spans="7:7">
      <c r="G1369" s="7"/>
    </row>
    <row r="1370" spans="7:7">
      <c r="G1370" s="5">
        <v>1867919</v>
      </c>
    </row>
    <row r="1371" spans="7:7">
      <c r="G1371" s="7">
        <v>44480</v>
      </c>
    </row>
    <row r="1372" spans="7:7">
      <c r="G1372" s="19" t="s">
        <v>139</v>
      </c>
    </row>
    <row r="1373" spans="7:7">
      <c r="G1373" s="7"/>
    </row>
    <row r="1374" spans="7:7">
      <c r="G1374" s="5">
        <v>1867949</v>
      </c>
    </row>
    <row r="1375" spans="7:7">
      <c r="G1375" s="7">
        <v>44398</v>
      </c>
    </row>
    <row r="1376" spans="7:7">
      <c r="G1376" s="19" t="s">
        <v>502</v>
      </c>
    </row>
    <row r="1377" spans="7:7">
      <c r="G1377" s="7"/>
    </row>
    <row r="1378" spans="7:7">
      <c r="G1378" s="5">
        <v>1869160</v>
      </c>
    </row>
    <row r="1379" spans="7:7">
      <c r="G1379" s="7">
        <v>44657</v>
      </c>
    </row>
    <row r="1380" spans="7:7">
      <c r="G1380" s="19" t="s">
        <v>563</v>
      </c>
    </row>
    <row r="1381" spans="7:7">
      <c r="G1381" s="7"/>
    </row>
    <row r="1382" spans="7:7">
      <c r="G1382" s="5">
        <v>1869696</v>
      </c>
    </row>
    <row r="1383" spans="7:7">
      <c r="G1383" s="7">
        <v>44727</v>
      </c>
    </row>
    <row r="1384" spans="7:7">
      <c r="G1384" s="19" t="s">
        <v>2383</v>
      </c>
    </row>
    <row r="1385" spans="7:7">
      <c r="G1385" s="7"/>
    </row>
    <row r="1386" spans="7:7">
      <c r="G1386" s="5">
        <v>1869729</v>
      </c>
    </row>
    <row r="1387" spans="7:7">
      <c r="G1387" s="7">
        <v>44706</v>
      </c>
    </row>
    <row r="1388" spans="7:7">
      <c r="G1388" s="19" t="s">
        <v>563</v>
      </c>
    </row>
    <row r="1389" spans="7:7">
      <c r="G1389" s="7"/>
    </row>
    <row r="1390" spans="7:7">
      <c r="G1390" s="5">
        <v>1870825</v>
      </c>
    </row>
    <row r="1391" spans="7:7">
      <c r="G1391" s="7">
        <v>44459</v>
      </c>
    </row>
    <row r="1392" spans="7:7">
      <c r="G1392" s="19" t="s">
        <v>1300</v>
      </c>
    </row>
    <row r="1393" spans="7:7">
      <c r="G1393" s="7"/>
    </row>
    <row r="1394" spans="7:7">
      <c r="G1394" s="5">
        <v>1871002</v>
      </c>
    </row>
    <row r="1395" spans="7:7">
      <c r="G1395" s="7">
        <v>44763</v>
      </c>
    </row>
    <row r="1396" spans="7:7">
      <c r="G1396" s="19" t="s">
        <v>2383</v>
      </c>
    </row>
    <row r="1397" spans="7:7">
      <c r="G1397" s="7"/>
    </row>
    <row r="1398" spans="7:7">
      <c r="G1398" s="5">
        <v>1871193</v>
      </c>
    </row>
    <row r="1399" spans="7:7">
      <c r="G1399" s="7">
        <v>44653</v>
      </c>
    </row>
    <row r="1400" spans="7:7">
      <c r="G1400" s="19" t="s">
        <v>563</v>
      </c>
    </row>
    <row r="1401" spans="7:7">
      <c r="G1401" s="7"/>
    </row>
    <row r="1402" spans="7:7">
      <c r="G1402" s="5">
        <v>1871230</v>
      </c>
    </row>
    <row r="1403" spans="7:7">
      <c r="G1403" s="7">
        <v>44761</v>
      </c>
    </row>
    <row r="1404" spans="7:7">
      <c r="G1404" s="19" t="s">
        <v>2383</v>
      </c>
    </row>
    <row r="1405" spans="7:7">
      <c r="G1405" s="7"/>
    </row>
    <row r="1406" spans="7:7">
      <c r="G1406" s="5">
        <v>1872147</v>
      </c>
    </row>
    <row r="1407" spans="7:7">
      <c r="G1407" s="7">
        <v>44658</v>
      </c>
    </row>
    <row r="1408" spans="7:7">
      <c r="G1408" s="19" t="s">
        <v>563</v>
      </c>
    </row>
    <row r="1409" spans="7:7">
      <c r="G1409" s="7"/>
    </row>
    <row r="1410" spans="7:7">
      <c r="G1410" s="5">
        <v>1895471</v>
      </c>
    </row>
    <row r="1411" spans="7:7">
      <c r="G1411" s="7">
        <v>44571</v>
      </c>
    </row>
    <row r="1412" spans="7:7">
      <c r="G1412" s="19" t="s">
        <v>180</v>
      </c>
    </row>
    <row r="1413" spans="7:7">
      <c r="G1413" s="7"/>
    </row>
    <row r="1414" spans="7:7">
      <c r="G1414" s="7">
        <v>44585</v>
      </c>
    </row>
    <row r="1415" spans="7:7">
      <c r="G1415" s="19" t="s">
        <v>89</v>
      </c>
    </row>
    <row r="1416" spans="7:7">
      <c r="G1416" s="7"/>
    </row>
    <row r="1417" spans="7:7">
      <c r="G1417" s="5">
        <v>1896448</v>
      </c>
    </row>
    <row r="1418" spans="7:7">
      <c r="G1418" s="7">
        <v>44356</v>
      </c>
    </row>
    <row r="1419" spans="7:7">
      <c r="G1419" s="19" t="s">
        <v>863</v>
      </c>
    </row>
    <row r="1420" spans="7:7">
      <c r="G1420" s="7"/>
    </row>
    <row r="1421" spans="7:7">
      <c r="G1421" s="5">
        <v>1896540</v>
      </c>
    </row>
    <row r="1422" spans="7:7">
      <c r="G1422" s="7">
        <v>44516</v>
      </c>
    </row>
    <row r="1423" spans="7:7">
      <c r="G1423" s="19" t="s">
        <v>550</v>
      </c>
    </row>
    <row r="1424" spans="7:7">
      <c r="G1424" s="7"/>
    </row>
    <row r="1425" spans="7:7">
      <c r="G1425" s="5">
        <v>1899186</v>
      </c>
    </row>
    <row r="1426" spans="7:7">
      <c r="G1426" s="7">
        <v>44771</v>
      </c>
    </row>
    <row r="1427" spans="7:7">
      <c r="G1427" s="19" t="s">
        <v>2383</v>
      </c>
    </row>
    <row r="1428" spans="7:7">
      <c r="G1428" s="7"/>
    </row>
    <row r="1429" spans="7:7">
      <c r="G1429" s="5">
        <v>1900054</v>
      </c>
    </row>
    <row r="1430" spans="7:7">
      <c r="G1430" s="7">
        <v>44747</v>
      </c>
    </row>
    <row r="1431" spans="7:7">
      <c r="G1431" s="19" t="s">
        <v>2383</v>
      </c>
    </row>
    <row r="1432" spans="7:7">
      <c r="G1432" s="7"/>
    </row>
    <row r="1433" spans="7:7">
      <c r="G1433" s="5">
        <v>1900685</v>
      </c>
    </row>
    <row r="1434" spans="7:7">
      <c r="G1434" s="7">
        <v>44092</v>
      </c>
    </row>
    <row r="1435" spans="7:7">
      <c r="G1435" s="19" t="s">
        <v>166</v>
      </c>
    </row>
    <row r="1436" spans="7:7">
      <c r="G1436" s="7"/>
    </row>
    <row r="1437" spans="7:7">
      <c r="G1437" s="7">
        <v>44119</v>
      </c>
    </row>
    <row r="1438" spans="7:7">
      <c r="G1438" s="19" t="s">
        <v>147</v>
      </c>
    </row>
    <row r="1439" spans="7:7">
      <c r="G1439" s="7"/>
    </row>
    <row r="1440" spans="7:7">
      <c r="G1440" s="7">
        <v>44349</v>
      </c>
    </row>
    <row r="1441" spans="7:7">
      <c r="G1441" s="19" t="s">
        <v>89</v>
      </c>
    </row>
    <row r="1442" spans="7:7">
      <c r="G1442" s="7"/>
    </row>
    <row r="1443" spans="7:7">
      <c r="G1443" s="5">
        <v>1904836</v>
      </c>
    </row>
    <row r="1444" spans="7:7">
      <c r="G1444" s="7">
        <v>44442</v>
      </c>
    </row>
    <row r="1445" spans="7:7">
      <c r="G1445" s="19" t="s">
        <v>1293</v>
      </c>
    </row>
    <row r="1446" spans="7:7">
      <c r="G1446" s="7"/>
    </row>
    <row r="1447" spans="7:7">
      <c r="G1447" s="7">
        <v>44468</v>
      </c>
    </row>
    <row r="1448" spans="7:7">
      <c r="G1448" s="19" t="s">
        <v>143</v>
      </c>
    </row>
    <row r="1449" spans="7:7">
      <c r="G1449" s="7"/>
    </row>
    <row r="1450" spans="7:7">
      <c r="G1450" s="5">
        <v>1906942</v>
      </c>
    </row>
    <row r="1451" spans="7:7">
      <c r="G1451" s="7">
        <v>44343</v>
      </c>
    </row>
    <row r="1452" spans="7:7">
      <c r="G1452" s="19" t="s">
        <v>128</v>
      </c>
    </row>
    <row r="1453" spans="7:7">
      <c r="G1453" s="7"/>
    </row>
    <row r="1454" spans="7:7">
      <c r="G1454" s="7">
        <v>44713</v>
      </c>
    </row>
    <row r="1455" spans="7:7">
      <c r="G1455" s="19" t="s">
        <v>650</v>
      </c>
    </row>
    <row r="1456" spans="7:7">
      <c r="G1456" s="7"/>
    </row>
    <row r="1457" spans="7:7">
      <c r="G1457" s="5">
        <v>1912468</v>
      </c>
    </row>
    <row r="1458" spans="7:7">
      <c r="G1458" s="7">
        <v>44618</v>
      </c>
    </row>
    <row r="1459" spans="7:7">
      <c r="G1459" s="19" t="s">
        <v>1653</v>
      </c>
    </row>
    <row r="1460" spans="7:7">
      <c r="G1460" s="7"/>
    </row>
    <row r="1461" spans="7:7">
      <c r="G1461" s="7">
        <v>44617</v>
      </c>
    </row>
    <row r="1462" spans="7:7">
      <c r="G1462" s="19" t="s">
        <v>550</v>
      </c>
    </row>
    <row r="1463" spans="7:7">
      <c r="G1463" s="7"/>
    </row>
    <row r="1464" spans="7:7">
      <c r="G1464" s="5">
        <v>1912775</v>
      </c>
    </row>
    <row r="1465" spans="7:7">
      <c r="G1465" s="7">
        <v>44700</v>
      </c>
    </row>
    <row r="1466" spans="7:7">
      <c r="G1466" s="19" t="s">
        <v>552</v>
      </c>
    </row>
    <row r="1467" spans="7:7">
      <c r="G1467" s="7"/>
    </row>
    <row r="1468" spans="7:7">
      <c r="G1468" s="5">
        <v>1939480</v>
      </c>
    </row>
    <row r="1469" spans="7:7">
      <c r="G1469" s="7">
        <v>44770</v>
      </c>
    </row>
    <row r="1470" spans="7:7">
      <c r="G1470" s="19" t="s">
        <v>1126</v>
      </c>
    </row>
    <row r="1471" spans="7:7">
      <c r="G1471" s="7"/>
    </row>
    <row r="1472" spans="7:7">
      <c r="G1472" s="5">
        <v>1943567</v>
      </c>
    </row>
    <row r="1473" spans="7:7">
      <c r="G1473" s="7">
        <v>44532</v>
      </c>
    </row>
    <row r="1474" spans="7:7">
      <c r="G1474" s="19" t="s">
        <v>1880</v>
      </c>
    </row>
    <row r="1475" spans="7:7">
      <c r="G1475" s="7"/>
    </row>
    <row r="1476" spans="7:7">
      <c r="G1476" s="5">
        <v>1955815</v>
      </c>
    </row>
    <row r="1477" spans="7:7">
      <c r="G1477" s="7">
        <v>44533</v>
      </c>
    </row>
    <row r="1478" spans="7:7">
      <c r="G1478" s="19" t="s">
        <v>1289</v>
      </c>
    </row>
    <row r="1479" spans="7:7">
      <c r="G1479" s="7"/>
    </row>
    <row r="1480" spans="7:7">
      <c r="G1480" s="7">
        <v>44673</v>
      </c>
    </row>
    <row r="1481" spans="7:7">
      <c r="G1481" s="19" t="s">
        <v>541</v>
      </c>
    </row>
    <row r="1482" spans="7:7">
      <c r="G1482" s="7"/>
    </row>
    <row r="1483" spans="7:7">
      <c r="G1483" s="7">
        <v>44684</v>
      </c>
    </row>
    <row r="1484" spans="7:7">
      <c r="G1484" s="19" t="s">
        <v>541</v>
      </c>
    </row>
    <row r="1485" spans="7:7">
      <c r="G1485" s="7"/>
    </row>
    <row r="1486" spans="7:7">
      <c r="G1486" s="7">
        <v>44728</v>
      </c>
    </row>
    <row r="1487" spans="7:7">
      <c r="G1487" s="19" t="s">
        <v>3154</v>
      </c>
    </row>
    <row r="1488" spans="7:7">
      <c r="G1488" s="7"/>
    </row>
    <row r="1489" spans="7:7">
      <c r="G1489" s="5">
        <v>1959160</v>
      </c>
    </row>
    <row r="1490" spans="7:7">
      <c r="G1490" s="7">
        <v>44449</v>
      </c>
    </row>
    <row r="1491" spans="7:7">
      <c r="G1491" s="19" t="s">
        <v>516</v>
      </c>
    </row>
    <row r="1492" spans="7:7">
      <c r="G1492" s="7"/>
    </row>
    <row r="1493" spans="7:7">
      <c r="G1493" s="5">
        <v>1961558</v>
      </c>
    </row>
    <row r="1494" spans="7:7">
      <c r="G1494" s="7">
        <v>44706</v>
      </c>
    </row>
    <row r="1495" spans="7:7">
      <c r="G1495" s="19" t="s">
        <v>563</v>
      </c>
    </row>
    <row r="1496" spans="7:7">
      <c r="G1496" s="7"/>
    </row>
    <row r="1497" spans="7:7">
      <c r="G1497" s="5">
        <v>1962323</v>
      </c>
    </row>
    <row r="1498" spans="7:7">
      <c r="G1498" s="7">
        <v>44536</v>
      </c>
    </row>
    <row r="1499" spans="7:7">
      <c r="G1499" s="19" t="s">
        <v>1653</v>
      </c>
    </row>
    <row r="1500" spans="7:7">
      <c r="G1500" s="7"/>
    </row>
    <row r="1501" spans="7:7">
      <c r="G1501" s="5">
        <v>1962388</v>
      </c>
    </row>
    <row r="1502" spans="7:7">
      <c r="G1502" s="7">
        <v>44447</v>
      </c>
    </row>
    <row r="1503" spans="7:7">
      <c r="G1503" s="19" t="s">
        <v>1300</v>
      </c>
    </row>
    <row r="1504" spans="7:7">
      <c r="G1504" s="7"/>
    </row>
    <row r="1505" spans="7:7">
      <c r="G1505" s="5">
        <v>1962465</v>
      </c>
    </row>
    <row r="1506" spans="7:7">
      <c r="G1506" s="7">
        <v>44747</v>
      </c>
    </row>
    <row r="1507" spans="7:7">
      <c r="G1507" s="19" t="s">
        <v>3077</v>
      </c>
    </row>
    <row r="1508" spans="7:7">
      <c r="G1508" s="7"/>
    </row>
    <row r="1509" spans="7:7">
      <c r="G1509" s="5">
        <v>1963164</v>
      </c>
    </row>
    <row r="1510" spans="7:7">
      <c r="G1510" s="7">
        <v>44720</v>
      </c>
    </row>
    <row r="1511" spans="7:7">
      <c r="G1511" s="19" t="s">
        <v>2383</v>
      </c>
    </row>
    <row r="1512" spans="7:7">
      <c r="G1512" s="7"/>
    </row>
    <row r="1513" spans="7:7">
      <c r="G1513" s="5">
        <v>1969709</v>
      </c>
    </row>
    <row r="1514" spans="7:7">
      <c r="G1514" s="7">
        <v>44762</v>
      </c>
    </row>
    <row r="1515" spans="7:7">
      <c r="G1515" s="19" t="s">
        <v>1086</v>
      </c>
    </row>
    <row r="1516" spans="7:7">
      <c r="G1516" s="7"/>
    </row>
    <row r="1517" spans="7:7">
      <c r="G1517" s="5">
        <v>1972973</v>
      </c>
    </row>
    <row r="1518" spans="7:7">
      <c r="G1518" s="7">
        <v>44635</v>
      </c>
    </row>
    <row r="1519" spans="7:7">
      <c r="G1519" s="19" t="s">
        <v>2237</v>
      </c>
    </row>
    <row r="1520" spans="7:7">
      <c r="G1520" s="7"/>
    </row>
    <row r="1521" spans="7:7">
      <c r="G1521" s="5">
        <v>1972988</v>
      </c>
    </row>
    <row r="1522" spans="7:7">
      <c r="G1522" s="7">
        <v>44565</v>
      </c>
    </row>
    <row r="1523" spans="7:7">
      <c r="G1523" s="19" t="s">
        <v>516</v>
      </c>
    </row>
    <row r="1524" spans="7:7">
      <c r="G1524" s="7"/>
    </row>
    <row r="1525" spans="7:7">
      <c r="G1525" s="5">
        <v>1974758</v>
      </c>
    </row>
    <row r="1526" spans="7:7">
      <c r="G1526" s="7">
        <v>44741</v>
      </c>
    </row>
    <row r="1527" spans="7:7">
      <c r="G1527" s="19" t="s">
        <v>2383</v>
      </c>
    </row>
    <row r="1528" spans="7:7">
      <c r="G1528" s="7"/>
    </row>
    <row r="1529" spans="7:7">
      <c r="G1529" s="5">
        <v>1976944</v>
      </c>
    </row>
    <row r="1530" spans="7:7">
      <c r="G1530" s="7">
        <v>44721</v>
      </c>
    </row>
    <row r="1531" spans="7:7">
      <c r="G1531" s="19" t="s">
        <v>1934</v>
      </c>
    </row>
    <row r="1532" spans="7:7">
      <c r="G1532" s="7"/>
    </row>
    <row r="1533" spans="7:7">
      <c r="G1533" s="5">
        <v>1979326</v>
      </c>
    </row>
    <row r="1534" spans="7:7">
      <c r="G1534" s="7">
        <v>44386</v>
      </c>
    </row>
    <row r="1535" spans="7:7">
      <c r="G1535" s="19" t="s">
        <v>143</v>
      </c>
    </row>
    <row r="1536" spans="7:7">
      <c r="G1536" s="7"/>
    </row>
    <row r="1537" spans="7:7">
      <c r="G1537" s="5">
        <v>1979506</v>
      </c>
    </row>
    <row r="1538" spans="7:7">
      <c r="G1538" s="7">
        <v>44650</v>
      </c>
    </row>
    <row r="1539" spans="7:7">
      <c r="G1539" s="19" t="s">
        <v>563</v>
      </c>
    </row>
    <row r="1540" spans="7:7">
      <c r="G1540" s="7"/>
    </row>
    <row r="1541" spans="7:7">
      <c r="G1541" s="5">
        <v>1984648</v>
      </c>
    </row>
    <row r="1542" spans="7:7">
      <c r="G1542" s="7">
        <v>44767</v>
      </c>
    </row>
    <row r="1543" spans="7:7">
      <c r="G1543" s="19" t="s">
        <v>2383</v>
      </c>
    </row>
    <row r="1544" spans="7:7">
      <c r="G1544" s="7"/>
    </row>
    <row r="1545" spans="7:7">
      <c r="G1545" s="5">
        <v>1987869</v>
      </c>
    </row>
    <row r="1546" spans="7:7">
      <c r="G1546" s="7">
        <v>43669</v>
      </c>
    </row>
    <row r="1547" spans="7:7">
      <c r="G1547" s="19" t="s">
        <v>92</v>
      </c>
    </row>
    <row r="1548" spans="7:7">
      <c r="G1548" s="7"/>
    </row>
    <row r="1549" spans="7:7">
      <c r="G1549" s="5">
        <v>1987904</v>
      </c>
    </row>
    <row r="1550" spans="7:7">
      <c r="G1550" s="7">
        <v>44377</v>
      </c>
    </row>
    <row r="1551" spans="7:7">
      <c r="G1551" s="19" t="s">
        <v>995</v>
      </c>
    </row>
    <row r="1552" spans="7:7">
      <c r="G1552" s="7"/>
    </row>
    <row r="1553" spans="7:7">
      <c r="G1553" s="5">
        <v>2010166</v>
      </c>
    </row>
    <row r="1554" spans="7:7">
      <c r="G1554" s="7">
        <v>44491</v>
      </c>
    </row>
    <row r="1555" spans="7:7">
      <c r="G1555" s="19" t="s">
        <v>1780</v>
      </c>
    </row>
    <row r="1556" spans="7:7">
      <c r="G1556" s="7"/>
    </row>
    <row r="1557" spans="7:7">
      <c r="G1557" s="5">
        <v>2020095</v>
      </c>
    </row>
    <row r="1558" spans="7:7">
      <c r="G1558" s="7">
        <v>44762</v>
      </c>
    </row>
    <row r="1559" spans="7:7">
      <c r="G1559" s="19" t="s">
        <v>2383</v>
      </c>
    </row>
    <row r="1560" spans="7:7">
      <c r="G1560" s="7"/>
    </row>
    <row r="1561" spans="7:7">
      <c r="G1561" s="5">
        <v>2028244</v>
      </c>
    </row>
    <row r="1562" spans="7:7">
      <c r="G1562" s="7">
        <v>44417</v>
      </c>
    </row>
    <row r="1563" spans="7:7">
      <c r="G1563" s="19" t="s">
        <v>89</v>
      </c>
    </row>
    <row r="1564" spans="7:7">
      <c r="G1564" s="7"/>
    </row>
    <row r="1565" spans="7:7">
      <c r="G1565" s="5">
        <v>2032954</v>
      </c>
    </row>
    <row r="1566" spans="7:7">
      <c r="G1566" s="7">
        <v>44350</v>
      </c>
    </row>
    <row r="1567" spans="7:7">
      <c r="G1567" s="19" t="s">
        <v>819</v>
      </c>
    </row>
    <row r="1568" spans="7:7">
      <c r="G1568" s="7"/>
    </row>
    <row r="1569" spans="7:7">
      <c r="G1569" s="5">
        <v>2033370</v>
      </c>
    </row>
    <row r="1570" spans="7:7">
      <c r="G1570" s="7">
        <v>44631</v>
      </c>
    </row>
    <row r="1571" spans="7:7">
      <c r="G1571" s="19" t="s">
        <v>2079</v>
      </c>
    </row>
    <row r="1572" spans="7:7">
      <c r="G1572" s="7"/>
    </row>
    <row r="1573" spans="7:7">
      <c r="G1573" s="5">
        <v>2033753</v>
      </c>
    </row>
    <row r="1574" spans="7:7">
      <c r="G1574" s="7">
        <v>44707</v>
      </c>
    </row>
    <row r="1575" spans="7:7">
      <c r="G1575" s="19" t="s">
        <v>2201</v>
      </c>
    </row>
    <row r="1576" spans="7:7">
      <c r="G1576" s="7"/>
    </row>
    <row r="1577" spans="7:7">
      <c r="G1577" s="5">
        <v>2033811</v>
      </c>
    </row>
    <row r="1578" spans="7:7">
      <c r="G1578" s="7">
        <v>44420</v>
      </c>
    </row>
    <row r="1579" spans="7:7">
      <c r="G1579" s="19" t="s">
        <v>1190</v>
      </c>
    </row>
    <row r="1580" spans="7:7">
      <c r="G1580" s="7"/>
    </row>
    <row r="1581" spans="7:7">
      <c r="G1581" s="5">
        <v>2033975</v>
      </c>
    </row>
    <row r="1582" spans="7:7">
      <c r="G1582" s="7">
        <v>44636</v>
      </c>
    </row>
    <row r="1583" spans="7:7">
      <c r="G1583" s="19" t="s">
        <v>563</v>
      </c>
    </row>
    <row r="1584" spans="7:7">
      <c r="G1584" s="7"/>
    </row>
    <row r="1585" spans="7:7">
      <c r="G1585" s="5">
        <v>2034592</v>
      </c>
    </row>
    <row r="1586" spans="7:7">
      <c r="G1586" s="7">
        <v>44769</v>
      </c>
    </row>
    <row r="1587" spans="7:7">
      <c r="G1587" s="19" t="s">
        <v>2383</v>
      </c>
    </row>
    <row r="1588" spans="7:7">
      <c r="G1588" s="7"/>
    </row>
    <row r="1589" spans="7:7">
      <c r="G1589" s="5">
        <v>2034916</v>
      </c>
    </row>
    <row r="1590" spans="7:7">
      <c r="G1590" s="7">
        <v>44550</v>
      </c>
    </row>
    <row r="1591" spans="7:7">
      <c r="G1591" s="19" t="s">
        <v>1921</v>
      </c>
    </row>
    <row r="1592" spans="7:7">
      <c r="G1592" s="7"/>
    </row>
    <row r="1593" spans="7:7">
      <c r="G1593" s="5">
        <v>2035478</v>
      </c>
    </row>
    <row r="1594" spans="7:7">
      <c r="G1594" s="7">
        <v>44427</v>
      </c>
    </row>
    <row r="1595" spans="7:7">
      <c r="G1595" s="19" t="s">
        <v>1292</v>
      </c>
    </row>
    <row r="1596" spans="7:7">
      <c r="G1596" s="7"/>
    </row>
    <row r="1597" spans="7:7">
      <c r="G1597" s="5">
        <v>2036158</v>
      </c>
    </row>
    <row r="1598" spans="7:7">
      <c r="G1598" s="7">
        <v>44357</v>
      </c>
    </row>
    <row r="1599" spans="7:7">
      <c r="G1599" s="19" t="s">
        <v>953</v>
      </c>
    </row>
    <row r="1600" spans="7:7">
      <c r="G1600" s="7"/>
    </row>
    <row r="1601" spans="7:7">
      <c r="G1601" s="5">
        <v>2036804</v>
      </c>
    </row>
    <row r="1602" spans="7:7">
      <c r="G1602" s="7">
        <v>44564</v>
      </c>
    </row>
    <row r="1603" spans="7:7">
      <c r="G1603" s="19" t="s">
        <v>1300</v>
      </c>
    </row>
    <row r="1604" spans="7:7">
      <c r="G1604" s="7"/>
    </row>
    <row r="1605" spans="7:7">
      <c r="G1605" s="5">
        <v>2036987</v>
      </c>
    </row>
    <row r="1606" spans="7:7">
      <c r="G1606" s="7">
        <v>44358</v>
      </c>
    </row>
    <row r="1607" spans="7:7">
      <c r="G1607" s="19" t="s">
        <v>675</v>
      </c>
    </row>
    <row r="1608" spans="7:7">
      <c r="G1608" s="7"/>
    </row>
    <row r="1609" spans="7:7">
      <c r="G1609" s="7">
        <v>44357</v>
      </c>
    </row>
    <row r="1610" spans="7:7">
      <c r="G1610" s="19" t="s">
        <v>675</v>
      </c>
    </row>
    <row r="1611" spans="7:7">
      <c r="G1611" s="7"/>
    </row>
    <row r="1612" spans="7:7">
      <c r="G1612" s="5">
        <v>2037044</v>
      </c>
    </row>
    <row r="1613" spans="7:7">
      <c r="G1613" s="7">
        <v>44741</v>
      </c>
    </row>
    <row r="1614" spans="7:7">
      <c r="G1614" s="19" t="s">
        <v>2383</v>
      </c>
    </row>
    <row r="1615" spans="7:7">
      <c r="G1615" s="7"/>
    </row>
    <row r="1616" spans="7:7">
      <c r="G1616" s="5">
        <v>2037286</v>
      </c>
    </row>
    <row r="1617" spans="7:7">
      <c r="G1617" s="7">
        <v>44658</v>
      </c>
    </row>
    <row r="1618" spans="7:7">
      <c r="G1618" s="19" t="s">
        <v>563</v>
      </c>
    </row>
    <row r="1619" spans="7:7">
      <c r="G1619" s="7"/>
    </row>
    <row r="1620" spans="7:7">
      <c r="G1620" s="5">
        <v>2040103</v>
      </c>
    </row>
    <row r="1621" spans="7:7">
      <c r="G1621" s="7">
        <v>44742</v>
      </c>
    </row>
    <row r="1622" spans="7:7">
      <c r="G1622" s="19" t="s">
        <v>2383</v>
      </c>
    </row>
    <row r="1623" spans="7:7">
      <c r="G1623" s="7"/>
    </row>
    <row r="1624" spans="7:7">
      <c r="G1624" s="5">
        <v>2070752</v>
      </c>
    </row>
    <row r="1625" spans="7:7">
      <c r="G1625" s="7">
        <v>44739</v>
      </c>
    </row>
    <row r="1626" spans="7:7">
      <c r="G1626" s="19" t="s">
        <v>2383</v>
      </c>
    </row>
    <row r="1627" spans="7:7">
      <c r="G1627" s="7"/>
    </row>
    <row r="1628" spans="7:7">
      <c r="G1628" s="5">
        <v>2071000</v>
      </c>
    </row>
    <row r="1629" spans="7:7">
      <c r="G1629" s="7">
        <v>44503</v>
      </c>
    </row>
    <row r="1630" spans="7:7">
      <c r="G1630" s="19" t="s">
        <v>550</v>
      </c>
    </row>
    <row r="1631" spans="7:7">
      <c r="G1631" s="7"/>
    </row>
    <row r="1632" spans="7:7">
      <c r="G1632" s="5">
        <v>2076555</v>
      </c>
    </row>
    <row r="1633" spans="7:7">
      <c r="G1633" s="7">
        <v>44642</v>
      </c>
    </row>
    <row r="1634" spans="7:7">
      <c r="G1634" s="19" t="s">
        <v>563</v>
      </c>
    </row>
    <row r="1635" spans="7:7">
      <c r="G1635" s="7"/>
    </row>
    <row r="1636" spans="7:7">
      <c r="G1636" s="7">
        <v>44671</v>
      </c>
    </row>
    <row r="1637" spans="7:7">
      <c r="G1637" s="19" t="s">
        <v>563</v>
      </c>
    </row>
    <row r="1638" spans="7:7">
      <c r="G1638" s="7"/>
    </row>
    <row r="1639" spans="7:7">
      <c r="G1639" s="7">
        <v>44713</v>
      </c>
    </row>
    <row r="1640" spans="7:7">
      <c r="G1640" s="19" t="s">
        <v>563</v>
      </c>
    </row>
    <row r="1641" spans="7:7">
      <c r="G1641" s="7"/>
    </row>
    <row r="1642" spans="7:7">
      <c r="G1642" s="5">
        <v>2082970</v>
      </c>
    </row>
    <row r="1643" spans="7:7">
      <c r="G1643" s="7">
        <v>44664</v>
      </c>
    </row>
    <row r="1644" spans="7:7">
      <c r="G1644" s="19" t="s">
        <v>2539</v>
      </c>
    </row>
    <row r="1645" spans="7:7">
      <c r="G1645" s="7"/>
    </row>
    <row r="1646" spans="7:7">
      <c r="G1646" s="5">
        <v>2087502</v>
      </c>
    </row>
    <row r="1647" spans="7:7">
      <c r="G1647" s="7">
        <v>44628</v>
      </c>
    </row>
    <row r="1648" spans="7:7">
      <c r="G1648" s="19" t="s">
        <v>1203</v>
      </c>
    </row>
    <row r="1649" spans="7:7">
      <c r="G1649" s="7"/>
    </row>
    <row r="1650" spans="7:7">
      <c r="G1650" s="5">
        <v>2091683</v>
      </c>
    </row>
    <row r="1651" spans="7:7">
      <c r="G1651" s="7">
        <v>44603</v>
      </c>
    </row>
    <row r="1652" spans="7:7">
      <c r="G1652" s="19" t="s">
        <v>2083</v>
      </c>
    </row>
    <row r="1653" spans="7:7">
      <c r="G1653" s="7"/>
    </row>
    <row r="1654" spans="7:7">
      <c r="G1654" s="5">
        <v>2091916</v>
      </c>
    </row>
    <row r="1655" spans="7:7">
      <c r="G1655" s="7">
        <v>44635</v>
      </c>
    </row>
    <row r="1656" spans="7:7">
      <c r="G1656" s="19" t="s">
        <v>1293</v>
      </c>
    </row>
    <row r="1657" spans="7:7">
      <c r="G1657" s="7"/>
    </row>
    <row r="1658" spans="7:7">
      <c r="G1658" s="5">
        <v>2091946</v>
      </c>
    </row>
    <row r="1659" spans="7:7">
      <c r="G1659" s="7">
        <v>44413</v>
      </c>
    </row>
    <row r="1660" spans="7:7">
      <c r="G1660" s="19" t="s">
        <v>1174</v>
      </c>
    </row>
    <row r="1661" spans="7:7">
      <c r="G1661" s="7"/>
    </row>
    <row r="1662" spans="7:7">
      <c r="G1662" s="7">
        <v>44468</v>
      </c>
    </row>
    <row r="1663" spans="7:7">
      <c r="G1663" s="19" t="s">
        <v>1140</v>
      </c>
    </row>
    <row r="1664" spans="7:7">
      <c r="G1664" s="7"/>
    </row>
    <row r="1665" spans="7:7">
      <c r="G1665" s="5">
        <v>2092360</v>
      </c>
    </row>
    <row r="1666" spans="7:7">
      <c r="G1666" s="7">
        <v>44721</v>
      </c>
    </row>
    <row r="1667" spans="7:7">
      <c r="G1667" s="19" t="s">
        <v>2962</v>
      </c>
    </row>
    <row r="1668" spans="7:7">
      <c r="G1668" s="7"/>
    </row>
    <row r="1669" spans="7:7">
      <c r="G1669" s="5">
        <v>2094221</v>
      </c>
    </row>
    <row r="1670" spans="7:7">
      <c r="G1670" s="7">
        <v>44418</v>
      </c>
    </row>
    <row r="1671" spans="7:7">
      <c r="G1671" s="19" t="s">
        <v>1168</v>
      </c>
    </row>
    <row r="1672" spans="7:7">
      <c r="G1672" s="7"/>
    </row>
    <row r="1673" spans="7:7">
      <c r="G1673" s="5">
        <v>2146154</v>
      </c>
    </row>
    <row r="1674" spans="7:7">
      <c r="G1674" s="7">
        <v>44484</v>
      </c>
    </row>
    <row r="1675" spans="7:7">
      <c r="G1675" s="19" t="s">
        <v>1324</v>
      </c>
    </row>
    <row r="1676" spans="7:7">
      <c r="G1676" s="7"/>
    </row>
    <row r="1677" spans="7:7">
      <c r="G1677" s="7">
        <v>44524</v>
      </c>
    </row>
    <row r="1678" spans="7:7">
      <c r="G1678" s="19" t="s">
        <v>1653</v>
      </c>
    </row>
    <row r="1679" spans="7:7">
      <c r="G1679" s="7"/>
    </row>
    <row r="1680" spans="7:7">
      <c r="G1680" s="7">
        <v>44553</v>
      </c>
    </row>
    <row r="1681" spans="7:7">
      <c r="G1681" s="19" t="s">
        <v>1653</v>
      </c>
    </row>
    <row r="1682" spans="7:7">
      <c r="G1682" s="7"/>
    </row>
    <row r="1683" spans="7:7">
      <c r="G1683" s="5">
        <v>2147684</v>
      </c>
    </row>
    <row r="1684" spans="7:7">
      <c r="G1684" s="7">
        <v>44719</v>
      </c>
    </row>
    <row r="1685" spans="7:7">
      <c r="G1685" s="19" t="s">
        <v>2383</v>
      </c>
    </row>
    <row r="1686" spans="7:7">
      <c r="G1686" s="7"/>
    </row>
    <row r="1687" spans="7:7">
      <c r="G1687" s="5">
        <v>2148653</v>
      </c>
    </row>
    <row r="1688" spans="7:7">
      <c r="G1688" s="7">
        <v>44712</v>
      </c>
    </row>
    <row r="1689" spans="7:7">
      <c r="G1689" s="19" t="s">
        <v>563</v>
      </c>
    </row>
    <row r="1690" spans="7:7">
      <c r="G1690" s="7"/>
    </row>
    <row r="1691" spans="7:7">
      <c r="G1691" s="5">
        <v>2149040</v>
      </c>
    </row>
    <row r="1692" spans="7:7">
      <c r="G1692" s="7">
        <v>44630</v>
      </c>
    </row>
    <row r="1693" spans="7:7">
      <c r="G1693" s="19" t="s">
        <v>516</v>
      </c>
    </row>
    <row r="1694" spans="7:7">
      <c r="G1694" s="7"/>
    </row>
    <row r="1695" spans="7:7">
      <c r="G1695" s="5">
        <v>2150851</v>
      </c>
    </row>
    <row r="1696" spans="7:7">
      <c r="G1696" s="7">
        <v>44468</v>
      </c>
    </row>
    <row r="1697" spans="7:7">
      <c r="G1697" s="19" t="s">
        <v>1226</v>
      </c>
    </row>
    <row r="1698" spans="7:7">
      <c r="G1698" s="7"/>
    </row>
    <row r="1699" spans="7:7">
      <c r="G1699" s="5">
        <v>2151289</v>
      </c>
    </row>
    <row r="1700" spans="7:7">
      <c r="G1700" s="7">
        <v>44600</v>
      </c>
    </row>
    <row r="1701" spans="7:7">
      <c r="G1701" s="19" t="s">
        <v>1929</v>
      </c>
    </row>
    <row r="1702" spans="7:7">
      <c r="G1702" s="7"/>
    </row>
    <row r="1703" spans="7:7">
      <c r="G1703" s="5">
        <v>2152403</v>
      </c>
    </row>
    <row r="1704" spans="7:7">
      <c r="G1704" s="7">
        <v>44767</v>
      </c>
    </row>
    <row r="1705" spans="7:7">
      <c r="G1705" s="19" t="s">
        <v>2383</v>
      </c>
    </row>
    <row r="1706" spans="7:7">
      <c r="G1706" s="7"/>
    </row>
    <row r="1707" spans="7:7">
      <c r="G1707" s="5">
        <v>2153654</v>
      </c>
    </row>
    <row r="1708" spans="7:7">
      <c r="G1708" s="7">
        <v>44617</v>
      </c>
    </row>
    <row r="1709" spans="7:7">
      <c r="G1709" s="19" t="s">
        <v>2237</v>
      </c>
    </row>
    <row r="1710" spans="7:7">
      <c r="G1710" s="7"/>
    </row>
    <row r="1711" spans="7:7">
      <c r="G1711" s="5">
        <v>2157186</v>
      </c>
    </row>
    <row r="1712" spans="7:7">
      <c r="G1712" s="7">
        <v>44337</v>
      </c>
    </row>
    <row r="1713" spans="7:7">
      <c r="G1713" s="19" t="s">
        <v>563</v>
      </c>
    </row>
    <row r="1714" spans="7:7">
      <c r="G1714" s="7"/>
    </row>
    <row r="1715" spans="7:7">
      <c r="G1715" s="5">
        <v>2163340</v>
      </c>
    </row>
    <row r="1716" spans="7:7">
      <c r="G1716" s="7">
        <v>44711</v>
      </c>
    </row>
    <row r="1717" spans="7:7">
      <c r="G1717" s="19" t="s">
        <v>563</v>
      </c>
    </row>
    <row r="1718" spans="7:7">
      <c r="G1718" s="7"/>
    </row>
    <row r="1719" spans="7:7">
      <c r="G1719" s="5">
        <v>2164517</v>
      </c>
    </row>
    <row r="1720" spans="7:7">
      <c r="G1720" s="7">
        <v>44657</v>
      </c>
    </row>
    <row r="1721" spans="7:7">
      <c r="G1721" s="19" t="s">
        <v>563</v>
      </c>
    </row>
    <row r="1722" spans="7:7">
      <c r="G1722" s="7"/>
    </row>
    <row r="1723" spans="7:7">
      <c r="G1723" s="5">
        <v>2165508</v>
      </c>
    </row>
    <row r="1724" spans="7:7">
      <c r="G1724" s="7">
        <v>44726</v>
      </c>
    </row>
    <row r="1725" spans="7:7">
      <c r="G1725" s="19" t="s">
        <v>1711</v>
      </c>
    </row>
    <row r="1726" spans="7:7">
      <c r="G1726" s="7"/>
    </row>
    <row r="1727" spans="7:7">
      <c r="G1727" s="5">
        <v>2180112</v>
      </c>
    </row>
    <row r="1728" spans="7:7">
      <c r="G1728" s="7">
        <v>44760</v>
      </c>
    </row>
    <row r="1729" spans="7:7">
      <c r="G1729" s="19" t="s">
        <v>2383</v>
      </c>
    </row>
    <row r="1730" spans="7:7">
      <c r="G1730" s="7"/>
    </row>
    <row r="1731" spans="7:7">
      <c r="G1731" s="5">
        <v>2180214</v>
      </c>
    </row>
    <row r="1732" spans="7:7">
      <c r="G1732" s="7">
        <v>44622</v>
      </c>
    </row>
    <row r="1733" spans="7:7">
      <c r="G1733" s="19" t="s">
        <v>1711</v>
      </c>
    </row>
    <row r="1734" spans="7:7">
      <c r="G1734" s="7"/>
    </row>
    <row r="1735" spans="7:7">
      <c r="G1735" s="5">
        <v>2180527</v>
      </c>
    </row>
    <row r="1736" spans="7:7">
      <c r="G1736" s="7">
        <v>44620</v>
      </c>
    </row>
    <row r="1737" spans="7:7">
      <c r="G1737" s="19" t="s">
        <v>2241</v>
      </c>
    </row>
    <row r="1738" spans="7:7">
      <c r="G1738" s="7"/>
    </row>
    <row r="1739" spans="7:7">
      <c r="G1739" s="5">
        <v>2180976</v>
      </c>
    </row>
    <row r="1740" spans="7:7">
      <c r="G1740" s="7">
        <v>44651</v>
      </c>
    </row>
    <row r="1741" spans="7:7">
      <c r="G1741" s="19" t="s">
        <v>503</v>
      </c>
    </row>
    <row r="1742" spans="7:7">
      <c r="G1742" s="7"/>
    </row>
    <row r="1743" spans="7:7">
      <c r="G1743" s="5">
        <v>2180999</v>
      </c>
    </row>
    <row r="1744" spans="7:7">
      <c r="G1744" s="7">
        <v>44698</v>
      </c>
    </row>
    <row r="1745" spans="7:7">
      <c r="G1745" s="19" t="s">
        <v>563</v>
      </c>
    </row>
    <row r="1746" spans="7:7">
      <c r="G1746" s="7"/>
    </row>
    <row r="1747" spans="7:7">
      <c r="G1747" s="5">
        <v>2182282</v>
      </c>
    </row>
    <row r="1748" spans="7:7">
      <c r="G1748" s="7">
        <v>44347</v>
      </c>
    </row>
    <row r="1749" spans="7:7">
      <c r="G1749" s="19" t="s">
        <v>835</v>
      </c>
    </row>
    <row r="1750" spans="7:7">
      <c r="G1750" s="7"/>
    </row>
    <row r="1751" spans="7:7">
      <c r="G1751" s="5">
        <v>2182440</v>
      </c>
    </row>
    <row r="1752" spans="7:7">
      <c r="G1752" s="7">
        <v>44715</v>
      </c>
    </row>
    <row r="1753" spans="7:7">
      <c r="G1753" s="19" t="s">
        <v>3034</v>
      </c>
    </row>
    <row r="1754" spans="7:7">
      <c r="G1754" s="7"/>
    </row>
    <row r="1755" spans="7:7">
      <c r="G1755" s="7">
        <v>44714</v>
      </c>
    </row>
    <row r="1756" spans="7:7">
      <c r="G1756" s="19" t="s">
        <v>1284</v>
      </c>
    </row>
    <row r="1757" spans="7:7">
      <c r="G1757" s="7"/>
    </row>
    <row r="1758" spans="7:7">
      <c r="G1758" s="7">
        <v>44729</v>
      </c>
    </row>
    <row r="1759" spans="7:7">
      <c r="G1759" s="19" t="s">
        <v>1113</v>
      </c>
    </row>
    <row r="1760" spans="7:7">
      <c r="G1760" s="7"/>
    </row>
    <row r="1761" spans="7:7">
      <c r="G1761" s="5">
        <v>2182963</v>
      </c>
    </row>
    <row r="1762" spans="7:7">
      <c r="G1762" s="7">
        <v>44412</v>
      </c>
    </row>
    <row r="1763" spans="7:7">
      <c r="G1763" s="19" t="s">
        <v>503</v>
      </c>
    </row>
    <row r="1764" spans="7:7">
      <c r="G1764" s="7"/>
    </row>
    <row r="1765" spans="7:7">
      <c r="G1765" s="7">
        <v>44442</v>
      </c>
    </row>
    <row r="1766" spans="7:7">
      <c r="G1766" s="19" t="s">
        <v>1274</v>
      </c>
    </row>
    <row r="1767" spans="7:7">
      <c r="G1767" s="7"/>
    </row>
    <row r="1768" spans="7:7">
      <c r="G1768" s="5">
        <v>2185376</v>
      </c>
    </row>
    <row r="1769" spans="7:7">
      <c r="G1769" s="7">
        <v>44641</v>
      </c>
    </row>
    <row r="1770" spans="7:7">
      <c r="G1770" s="19" t="s">
        <v>563</v>
      </c>
    </row>
    <row r="1771" spans="7:7">
      <c r="G1771" s="7"/>
    </row>
    <row r="1772" spans="7:7">
      <c r="G1772" s="5">
        <v>2185899</v>
      </c>
    </row>
    <row r="1773" spans="7:7">
      <c r="G1773" s="7">
        <v>44637</v>
      </c>
    </row>
    <row r="1774" spans="7:7">
      <c r="G1774" s="19" t="s">
        <v>563</v>
      </c>
    </row>
    <row r="1775" spans="7:7">
      <c r="G1775" s="7"/>
    </row>
    <row r="1776" spans="7:7">
      <c r="G1776" s="5">
        <v>2186977</v>
      </c>
    </row>
    <row r="1777" spans="7:7">
      <c r="G1777" s="7">
        <v>44708</v>
      </c>
    </row>
    <row r="1778" spans="7:7">
      <c r="G1778" s="19" t="s">
        <v>563</v>
      </c>
    </row>
    <row r="1779" spans="7:7">
      <c r="G1779" s="7"/>
    </row>
    <row r="1780" spans="7:7">
      <c r="G1780" s="5">
        <v>2186988</v>
      </c>
    </row>
    <row r="1781" spans="7:7">
      <c r="G1781" s="7">
        <v>44644</v>
      </c>
    </row>
    <row r="1782" spans="7:7">
      <c r="G1782" s="19" t="s">
        <v>563</v>
      </c>
    </row>
    <row r="1783" spans="7:7">
      <c r="G1783" s="7"/>
    </row>
    <row r="1784" spans="7:7">
      <c r="G1784" s="7">
        <v>44749</v>
      </c>
    </row>
    <row r="1785" spans="7:7">
      <c r="G1785" s="19" t="s">
        <v>2383</v>
      </c>
    </row>
    <row r="1786" spans="7:7">
      <c r="G1786" s="7"/>
    </row>
    <row r="1787" spans="7:7">
      <c r="G1787" s="5">
        <v>2187229</v>
      </c>
    </row>
    <row r="1788" spans="7:7">
      <c r="G1788" s="7">
        <v>44667</v>
      </c>
    </row>
    <row r="1789" spans="7:7">
      <c r="G1789" s="19" t="s">
        <v>107</v>
      </c>
    </row>
    <row r="1790" spans="7:7">
      <c r="G1790" s="7"/>
    </row>
    <row r="1791" spans="7:7">
      <c r="G1791" s="5">
        <v>2187826</v>
      </c>
    </row>
    <row r="1792" spans="7:7">
      <c r="G1792" s="7">
        <v>44440</v>
      </c>
    </row>
    <row r="1793" spans="7:7">
      <c r="G1793" s="19" t="s">
        <v>550</v>
      </c>
    </row>
    <row r="1794" spans="7:7">
      <c r="G1794" s="7"/>
    </row>
    <row r="1795" spans="7:7">
      <c r="G1795" s="7">
        <v>44466</v>
      </c>
    </row>
    <row r="1796" spans="7:7">
      <c r="G1796" s="19" t="s">
        <v>180</v>
      </c>
    </row>
    <row r="1797" spans="7:7">
      <c r="G1797" s="7"/>
    </row>
    <row r="1798" spans="7:7">
      <c r="G1798" s="5">
        <v>2187892</v>
      </c>
    </row>
    <row r="1799" spans="7:7">
      <c r="G1799" s="7">
        <v>44375</v>
      </c>
    </row>
    <row r="1800" spans="7:7">
      <c r="G1800" s="19" t="s">
        <v>729</v>
      </c>
    </row>
    <row r="1801" spans="7:7">
      <c r="G1801" s="7"/>
    </row>
    <row r="1802" spans="7:7">
      <c r="G1802" s="5">
        <v>2188402</v>
      </c>
    </row>
    <row r="1803" spans="7:7">
      <c r="G1803" s="7">
        <v>44673</v>
      </c>
    </row>
    <row r="1804" spans="7:7">
      <c r="G1804" s="19" t="s">
        <v>2237</v>
      </c>
    </row>
    <row r="1805" spans="7:7">
      <c r="G1805" s="7"/>
    </row>
    <row r="1806" spans="7:7">
      <c r="G1806" s="5">
        <v>2189459</v>
      </c>
    </row>
    <row r="1807" spans="7:7">
      <c r="G1807" s="7">
        <v>44770</v>
      </c>
    </row>
    <row r="1808" spans="7:7">
      <c r="G1808" s="19" t="s">
        <v>1883</v>
      </c>
    </row>
    <row r="1809" spans="7:7">
      <c r="G1809" s="7"/>
    </row>
    <row r="1810" spans="7:7">
      <c r="G1810" s="5">
        <v>2190592</v>
      </c>
    </row>
    <row r="1811" spans="7:7">
      <c r="G1811" s="7">
        <v>44767</v>
      </c>
    </row>
    <row r="1812" spans="7:7">
      <c r="G1812" s="19" t="s">
        <v>2383</v>
      </c>
    </row>
    <row r="1813" spans="7:7">
      <c r="G1813" s="7"/>
    </row>
    <row r="1814" spans="7:7">
      <c r="G1814" s="5">
        <v>2191107</v>
      </c>
    </row>
    <row r="1815" spans="7:7">
      <c r="G1815" s="7">
        <v>44750</v>
      </c>
    </row>
    <row r="1816" spans="7:7">
      <c r="G1816" s="19" t="s">
        <v>2309</v>
      </c>
    </row>
    <row r="1817" spans="7:7">
      <c r="G1817" s="7"/>
    </row>
    <row r="1818" spans="7:7">
      <c r="G1818" s="5">
        <v>2191422</v>
      </c>
    </row>
    <row r="1819" spans="7:7">
      <c r="G1819" s="7">
        <v>44461</v>
      </c>
    </row>
    <row r="1820" spans="7:7">
      <c r="G1820" s="19" t="s">
        <v>509</v>
      </c>
    </row>
    <row r="1821" spans="7:7">
      <c r="G1821" s="7"/>
    </row>
    <row r="1822" spans="7:7">
      <c r="G1822" s="5">
        <v>2192918</v>
      </c>
    </row>
    <row r="1823" spans="7:7">
      <c r="G1823" s="7">
        <v>44434</v>
      </c>
    </row>
    <row r="1824" spans="7:7">
      <c r="G1824" s="19" t="s">
        <v>502</v>
      </c>
    </row>
    <row r="1825" spans="7:7">
      <c r="G1825" s="7"/>
    </row>
    <row r="1826" spans="7:7">
      <c r="G1826" s="5">
        <v>2194961</v>
      </c>
    </row>
    <row r="1827" spans="7:7">
      <c r="G1827" s="7">
        <v>44417</v>
      </c>
    </row>
    <row r="1828" spans="7:7">
      <c r="G1828" s="19" t="s">
        <v>1204</v>
      </c>
    </row>
    <row r="1829" spans="7:7">
      <c r="G1829" s="7"/>
    </row>
    <row r="1830" spans="7:7">
      <c r="G1830" s="5">
        <v>2195067</v>
      </c>
    </row>
    <row r="1831" spans="7:7">
      <c r="G1831" s="7">
        <v>44515</v>
      </c>
    </row>
    <row r="1832" spans="7:7">
      <c r="G1832" s="19" t="s">
        <v>166</v>
      </c>
    </row>
    <row r="1833" spans="7:7">
      <c r="G1833" s="7"/>
    </row>
    <row r="1834" spans="7:7">
      <c r="G1834" s="5">
        <v>2203390</v>
      </c>
    </row>
    <row r="1835" spans="7:7">
      <c r="G1835" s="7">
        <v>44356</v>
      </c>
    </row>
    <row r="1836" spans="7:7">
      <c r="G1836" s="19" t="s">
        <v>563</v>
      </c>
    </row>
    <row r="1837" spans="7:7">
      <c r="G1837" s="7"/>
    </row>
    <row r="1838" spans="7:7">
      <c r="G1838" s="5">
        <v>2206920</v>
      </c>
    </row>
    <row r="1839" spans="7:7">
      <c r="G1839" s="7">
        <v>44677</v>
      </c>
    </row>
    <row r="1840" spans="7:7">
      <c r="G1840" s="19" t="s">
        <v>563</v>
      </c>
    </row>
    <row r="1841" spans="7:7">
      <c r="G1841" s="7"/>
    </row>
    <row r="1842" spans="7:7">
      <c r="G1842" s="5">
        <v>2210166</v>
      </c>
    </row>
    <row r="1843" spans="7:7">
      <c r="G1843" s="7">
        <v>44769</v>
      </c>
    </row>
    <row r="1844" spans="7:7">
      <c r="G1844" s="19" t="s">
        <v>2383</v>
      </c>
    </row>
    <row r="1845" spans="7:7">
      <c r="G1845" s="7"/>
    </row>
    <row r="1846" spans="7:7">
      <c r="G1846" s="5">
        <v>2210770</v>
      </c>
    </row>
    <row r="1847" spans="7:7">
      <c r="G1847" s="7">
        <v>44441</v>
      </c>
    </row>
    <row r="1848" spans="7:7">
      <c r="G1848" s="19" t="s">
        <v>1286</v>
      </c>
    </row>
    <row r="1849" spans="7:7">
      <c r="G1849" s="7"/>
    </row>
    <row r="1850" spans="7:7">
      <c r="G1850" s="7">
        <v>44442</v>
      </c>
    </row>
    <row r="1851" spans="7:7">
      <c r="G1851" s="19" t="s">
        <v>1116</v>
      </c>
    </row>
    <row r="1852" spans="7:7">
      <c r="G1852" s="7"/>
    </row>
    <row r="1853" spans="7:7">
      <c r="G1853" s="5">
        <v>2212602</v>
      </c>
    </row>
    <row r="1854" spans="7:7">
      <c r="G1854" s="7">
        <v>44767</v>
      </c>
    </row>
    <row r="1855" spans="7:7">
      <c r="G1855" s="19" t="s">
        <v>2383</v>
      </c>
    </row>
    <row r="1856" spans="7:7">
      <c r="G1856" s="7"/>
    </row>
    <row r="1857" spans="7:7">
      <c r="G1857" s="5">
        <v>2215136</v>
      </c>
    </row>
    <row r="1858" spans="7:7">
      <c r="G1858" s="7">
        <v>44337</v>
      </c>
    </row>
    <row r="1859" spans="7:7">
      <c r="G1859" s="19" t="s">
        <v>752</v>
      </c>
    </row>
    <row r="1860" spans="7:7">
      <c r="G1860" s="7"/>
    </row>
    <row r="1861" spans="7:7">
      <c r="G1861" s="5">
        <v>2215474</v>
      </c>
    </row>
    <row r="1862" spans="7:7">
      <c r="G1862" s="7">
        <v>44670</v>
      </c>
    </row>
    <row r="1863" spans="7:7">
      <c r="G1863" s="19" t="s">
        <v>563</v>
      </c>
    </row>
    <row r="1864" spans="7:7">
      <c r="G1864" s="7"/>
    </row>
    <row r="1865" spans="7:7">
      <c r="G1865" s="7">
        <v>44734</v>
      </c>
    </row>
    <row r="1866" spans="7:7">
      <c r="G1866" s="19" t="s">
        <v>2383</v>
      </c>
    </row>
    <row r="1867" spans="7:7">
      <c r="G1867" s="7"/>
    </row>
    <row r="1868" spans="7:7">
      <c r="G1868" s="5">
        <v>2219729</v>
      </c>
    </row>
    <row r="1869" spans="7:7">
      <c r="G1869" s="7">
        <v>44667</v>
      </c>
    </row>
    <row r="1870" spans="7:7">
      <c r="G1870" s="19" t="s">
        <v>563</v>
      </c>
    </row>
    <row r="1871" spans="7:7">
      <c r="G1871" s="7"/>
    </row>
    <row r="1872" spans="7:7">
      <c r="G1872" s="5">
        <v>2222044</v>
      </c>
    </row>
    <row r="1873" spans="7:7">
      <c r="G1873" s="7">
        <v>44582</v>
      </c>
    </row>
    <row r="1874" spans="7:7">
      <c r="G1874" s="19" t="s">
        <v>1300</v>
      </c>
    </row>
    <row r="1875" spans="7:7">
      <c r="G1875" s="7"/>
    </row>
    <row r="1876" spans="7:7">
      <c r="G1876" s="5">
        <v>2222048</v>
      </c>
    </row>
    <row r="1877" spans="7:7">
      <c r="G1877" s="7">
        <v>44694</v>
      </c>
    </row>
    <row r="1878" spans="7:7">
      <c r="G1878" s="19" t="s">
        <v>563</v>
      </c>
    </row>
    <row r="1879" spans="7:7">
      <c r="G1879" s="7"/>
    </row>
    <row r="1880" spans="7:7">
      <c r="G1880" s="5">
        <v>2222675</v>
      </c>
    </row>
    <row r="1881" spans="7:7">
      <c r="G1881" s="7">
        <v>44722</v>
      </c>
    </row>
    <row r="1882" spans="7:7">
      <c r="G1882" s="19" t="s">
        <v>1767</v>
      </c>
    </row>
    <row r="1883" spans="7:7">
      <c r="G1883" s="7"/>
    </row>
    <row r="1884" spans="7:7">
      <c r="G1884" s="5">
        <v>2222684</v>
      </c>
    </row>
    <row r="1885" spans="7:7">
      <c r="G1885" s="7">
        <v>44476</v>
      </c>
    </row>
    <row r="1886" spans="7:7">
      <c r="G1886" s="19" t="s">
        <v>143</v>
      </c>
    </row>
    <row r="1887" spans="7:7">
      <c r="G1887" s="7"/>
    </row>
    <row r="1888" spans="7:7">
      <c r="G1888" s="7">
        <v>44474</v>
      </c>
    </row>
    <row r="1889" spans="7:7">
      <c r="G1889" s="19" t="s">
        <v>550</v>
      </c>
    </row>
    <row r="1890" spans="7:7">
      <c r="G1890" s="7"/>
    </row>
    <row r="1891" spans="7:7">
      <c r="G1891" s="7">
        <v>44488</v>
      </c>
    </row>
    <row r="1892" spans="7:7">
      <c r="G1892" s="19" t="s">
        <v>1233</v>
      </c>
    </row>
    <row r="1893" spans="7:7">
      <c r="G1893" s="7"/>
    </row>
    <row r="1894" spans="7:7">
      <c r="G1894" s="5">
        <v>2225963</v>
      </c>
    </row>
    <row r="1895" spans="7:7">
      <c r="G1895" s="7">
        <v>44762</v>
      </c>
    </row>
    <row r="1896" spans="7:7">
      <c r="G1896" s="19" t="s">
        <v>1100</v>
      </c>
    </row>
    <row r="1897" spans="7:7">
      <c r="G1897" s="7"/>
    </row>
    <row r="1898" spans="7:7">
      <c r="G1898" s="5">
        <v>2226741</v>
      </c>
    </row>
    <row r="1899" spans="7:7">
      <c r="G1899" s="7">
        <v>44686</v>
      </c>
    </row>
    <row r="1900" spans="7:7">
      <c r="G1900" s="19" t="s">
        <v>563</v>
      </c>
    </row>
    <row r="1901" spans="7:7">
      <c r="G1901" s="7"/>
    </row>
    <row r="1902" spans="7:7">
      <c r="G1902" s="7">
        <v>44711</v>
      </c>
    </row>
    <row r="1903" spans="7:7">
      <c r="G1903" s="19" t="s">
        <v>563</v>
      </c>
    </row>
    <row r="1904" spans="7:7">
      <c r="G1904" s="7"/>
    </row>
    <row r="1905" spans="7:7">
      <c r="G1905" s="5">
        <v>2226867</v>
      </c>
    </row>
    <row r="1906" spans="7:7">
      <c r="G1906" s="7">
        <v>44662</v>
      </c>
    </row>
    <row r="1907" spans="7:7">
      <c r="G1907" s="19" t="s">
        <v>563</v>
      </c>
    </row>
    <row r="1908" spans="7:7">
      <c r="G1908" s="7"/>
    </row>
    <row r="1909" spans="7:7">
      <c r="G1909" s="5">
        <v>2228481</v>
      </c>
    </row>
    <row r="1910" spans="7:7">
      <c r="G1910" s="7">
        <v>44678</v>
      </c>
    </row>
    <row r="1911" spans="7:7">
      <c r="G1911" s="19" t="s">
        <v>563</v>
      </c>
    </row>
    <row r="1912" spans="7:7">
      <c r="G1912" s="7"/>
    </row>
    <row r="1913" spans="7:7">
      <c r="G1913" s="5">
        <v>2228973</v>
      </c>
    </row>
    <row r="1914" spans="7:7">
      <c r="G1914" s="7">
        <v>44677</v>
      </c>
    </row>
    <row r="1915" spans="7:7">
      <c r="G1915" s="19" t="s">
        <v>563</v>
      </c>
    </row>
    <row r="1916" spans="7:7">
      <c r="G1916" s="7"/>
    </row>
    <row r="1917" spans="7:7">
      <c r="G1917" s="5">
        <v>2230143</v>
      </c>
    </row>
    <row r="1918" spans="7:7">
      <c r="G1918" s="7">
        <v>44741</v>
      </c>
    </row>
    <row r="1919" spans="7:7">
      <c r="G1919" s="19" t="s">
        <v>2383</v>
      </c>
    </row>
    <row r="1920" spans="7:7">
      <c r="G1920" s="7"/>
    </row>
    <row r="1921" spans="7:7">
      <c r="G1921" s="5">
        <v>2231754</v>
      </c>
    </row>
    <row r="1922" spans="7:7">
      <c r="G1922" s="7">
        <v>44351</v>
      </c>
    </row>
    <row r="1923" spans="7:7">
      <c r="G1923" s="19" t="s">
        <v>563</v>
      </c>
    </row>
    <row r="1924" spans="7:7">
      <c r="G1924" s="7"/>
    </row>
    <row r="1925" spans="7:7">
      <c r="G1925" s="5">
        <v>2233576</v>
      </c>
    </row>
    <row r="1926" spans="7:7">
      <c r="G1926" s="7">
        <v>44714</v>
      </c>
    </row>
    <row r="1927" spans="7:7">
      <c r="G1927" s="19" t="s">
        <v>2383</v>
      </c>
    </row>
    <row r="1928" spans="7:7">
      <c r="G1928" s="7"/>
    </row>
    <row r="1929" spans="7:7">
      <c r="G1929" s="5">
        <v>2233884</v>
      </c>
    </row>
    <row r="1930" spans="7:7">
      <c r="G1930" s="7">
        <v>44644</v>
      </c>
    </row>
    <row r="1931" spans="7:7">
      <c r="G1931" s="19" t="s">
        <v>2354</v>
      </c>
    </row>
    <row r="1932" spans="7:7">
      <c r="G1932" s="7"/>
    </row>
    <row r="1933" spans="7:7">
      <c r="G1933" s="7">
        <v>44714</v>
      </c>
    </row>
    <row r="1934" spans="7:7">
      <c r="G1934" s="19" t="s">
        <v>3015</v>
      </c>
    </row>
    <row r="1935" spans="7:7">
      <c r="G1935" s="7"/>
    </row>
    <row r="1936" spans="7:7">
      <c r="G1936" s="5">
        <v>2234428</v>
      </c>
    </row>
    <row r="1937" spans="7:7">
      <c r="G1937" s="7">
        <v>44718</v>
      </c>
    </row>
    <row r="1938" spans="7:7">
      <c r="G1938" s="19" t="s">
        <v>2383</v>
      </c>
    </row>
    <row r="1939" spans="7:7">
      <c r="G1939" s="7"/>
    </row>
    <row r="1940" spans="7:7">
      <c r="G1940" s="5">
        <v>2236766</v>
      </c>
    </row>
    <row r="1941" spans="7:7">
      <c r="G1941" s="7">
        <v>44692</v>
      </c>
    </row>
    <row r="1942" spans="7:7">
      <c r="G1942" s="19" t="s">
        <v>503</v>
      </c>
    </row>
    <row r="1943" spans="7:7">
      <c r="G1943" s="7"/>
    </row>
    <row r="1944" spans="7:7">
      <c r="G1944" s="7">
        <v>44746</v>
      </c>
    </row>
    <row r="1945" spans="7:7">
      <c r="G1945" s="19" t="s">
        <v>3305</v>
      </c>
    </row>
    <row r="1946" spans="7:7">
      <c r="G1946" s="7"/>
    </row>
    <row r="1947" spans="7:7">
      <c r="G1947" s="5">
        <v>2237430</v>
      </c>
    </row>
    <row r="1948" spans="7:7">
      <c r="G1948" s="7">
        <v>44378</v>
      </c>
    </row>
    <row r="1949" spans="7:7">
      <c r="G1949" s="19" t="s">
        <v>988</v>
      </c>
    </row>
    <row r="1950" spans="7:7">
      <c r="G1950" s="7"/>
    </row>
    <row r="1951" spans="7:7">
      <c r="G1951" s="5">
        <v>2238633</v>
      </c>
    </row>
    <row r="1952" spans="7:7">
      <c r="G1952" s="7">
        <v>44652</v>
      </c>
    </row>
    <row r="1953" spans="7:7">
      <c r="G1953" s="19" t="s">
        <v>563</v>
      </c>
    </row>
    <row r="1954" spans="7:7">
      <c r="G1954" s="7"/>
    </row>
    <row r="1955" spans="7:7">
      <c r="G1955" s="5">
        <v>2241432</v>
      </c>
    </row>
    <row r="1956" spans="7:7">
      <c r="G1956" s="7">
        <v>44652</v>
      </c>
    </row>
    <row r="1957" spans="7:7">
      <c r="G1957" s="19" t="s">
        <v>563</v>
      </c>
    </row>
    <row r="1958" spans="7:7">
      <c r="G1958" s="7"/>
    </row>
    <row r="1959" spans="7:7">
      <c r="G1959" s="5">
        <v>2241715</v>
      </c>
    </row>
    <row r="1960" spans="7:7">
      <c r="G1960" s="7">
        <v>44711</v>
      </c>
    </row>
    <row r="1961" spans="7:7">
      <c r="G1961" s="19" t="s">
        <v>89</v>
      </c>
    </row>
    <row r="1962" spans="7:7">
      <c r="G1962" s="7"/>
    </row>
    <row r="1963" spans="7:7">
      <c r="G1963" s="5">
        <v>2242455</v>
      </c>
    </row>
    <row r="1964" spans="7:7">
      <c r="G1964" s="7">
        <v>44398</v>
      </c>
    </row>
    <row r="1965" spans="7:7">
      <c r="G1965" s="19" t="s">
        <v>1134</v>
      </c>
    </row>
    <row r="1966" spans="7:7">
      <c r="G1966" s="7"/>
    </row>
    <row r="1967" spans="7:7">
      <c r="G1967" s="5">
        <v>2242704</v>
      </c>
    </row>
    <row r="1968" spans="7:7">
      <c r="G1968" s="7">
        <v>44721</v>
      </c>
    </row>
    <row r="1969" spans="7:7">
      <c r="G1969" s="19" t="s">
        <v>2383</v>
      </c>
    </row>
    <row r="1970" spans="7:7">
      <c r="G1970" s="7"/>
    </row>
    <row r="1971" spans="7:7">
      <c r="G1971" s="5">
        <v>2242896</v>
      </c>
    </row>
    <row r="1972" spans="7:7">
      <c r="G1972" s="7">
        <v>44688</v>
      </c>
    </row>
    <row r="1973" spans="7:7">
      <c r="G1973" s="19" t="s">
        <v>563</v>
      </c>
    </row>
    <row r="1974" spans="7:7">
      <c r="G1974" s="7"/>
    </row>
    <row r="1975" spans="7:7">
      <c r="G1975" s="5">
        <v>2242980</v>
      </c>
    </row>
    <row r="1976" spans="7:7">
      <c r="G1976" s="7">
        <v>44711</v>
      </c>
    </row>
    <row r="1977" spans="7:7">
      <c r="G1977" s="19" t="s">
        <v>516</v>
      </c>
    </row>
    <row r="1978" spans="7:7">
      <c r="G1978" s="7"/>
    </row>
    <row r="1979" spans="7:7">
      <c r="G1979" s="5">
        <v>2243827</v>
      </c>
    </row>
    <row r="1980" spans="7:7">
      <c r="G1980" s="7">
        <v>44715</v>
      </c>
    </row>
    <row r="1981" spans="7:7">
      <c r="G1981" s="19" t="s">
        <v>2383</v>
      </c>
    </row>
    <row r="1982" spans="7:7">
      <c r="G1982" s="7"/>
    </row>
    <row r="1983" spans="7:7">
      <c r="G1983" s="5">
        <v>2243890</v>
      </c>
    </row>
    <row r="1984" spans="7:7">
      <c r="G1984" s="7">
        <v>44683</v>
      </c>
    </row>
    <row r="1985" spans="7:7">
      <c r="G1985" s="19" t="s">
        <v>563</v>
      </c>
    </row>
    <row r="1986" spans="7:7">
      <c r="G1986" s="7"/>
    </row>
    <row r="1987" spans="7:7">
      <c r="G1987" s="5">
        <v>2244249</v>
      </c>
    </row>
    <row r="1988" spans="7:7">
      <c r="G1988" s="7">
        <v>44649</v>
      </c>
    </row>
    <row r="1989" spans="7:7">
      <c r="G1989" s="19" t="s">
        <v>563</v>
      </c>
    </row>
    <row r="1990" spans="7:7">
      <c r="G1990" s="7"/>
    </row>
    <row r="1991" spans="7:7">
      <c r="G1991" s="5">
        <v>2244595</v>
      </c>
    </row>
    <row r="1992" spans="7:7">
      <c r="G1992" s="7">
        <v>44679</v>
      </c>
    </row>
    <row r="1993" spans="7:7">
      <c r="G1993" s="19" t="s">
        <v>563</v>
      </c>
    </row>
    <row r="1994" spans="7:7">
      <c r="G1994" s="7"/>
    </row>
    <row r="1995" spans="7:7">
      <c r="G1995" s="5">
        <v>2245048</v>
      </c>
    </row>
    <row r="1996" spans="7:7">
      <c r="G1996" s="7">
        <v>44634</v>
      </c>
    </row>
    <row r="1997" spans="7:7">
      <c r="G1997" s="19" t="s">
        <v>1274</v>
      </c>
    </row>
    <row r="1998" spans="7:7">
      <c r="G1998" s="7"/>
    </row>
    <row r="1999" spans="7:7">
      <c r="G1999" s="5">
        <v>2245535</v>
      </c>
    </row>
    <row r="2000" spans="7:7">
      <c r="G2000" s="7">
        <v>44718</v>
      </c>
    </row>
    <row r="2001" spans="7:7">
      <c r="G2001" s="19" t="s">
        <v>3052</v>
      </c>
    </row>
    <row r="2002" spans="7:7">
      <c r="G2002" s="7"/>
    </row>
    <row r="2003" spans="7:7">
      <c r="G2003" s="5">
        <v>2246209</v>
      </c>
    </row>
    <row r="2004" spans="7:7">
      <c r="G2004" s="7">
        <v>44677</v>
      </c>
    </row>
    <row r="2005" spans="7:7">
      <c r="G2005" s="19" t="s">
        <v>563</v>
      </c>
    </row>
    <row r="2006" spans="7:7">
      <c r="G2006" s="7"/>
    </row>
    <row r="2007" spans="7:7">
      <c r="G2007" s="5">
        <v>2246575</v>
      </c>
    </row>
    <row r="2008" spans="7:7">
      <c r="G2008" s="7">
        <v>44656</v>
      </c>
    </row>
    <row r="2009" spans="7:7">
      <c r="G2009" s="19" t="s">
        <v>2241</v>
      </c>
    </row>
    <row r="2010" spans="7:7">
      <c r="G2010" s="7"/>
    </row>
    <row r="2011" spans="7:7">
      <c r="G2011" s="5">
        <v>2246700</v>
      </c>
    </row>
    <row r="2012" spans="7:7">
      <c r="G2012" s="7">
        <v>44725</v>
      </c>
    </row>
    <row r="2013" spans="7:7">
      <c r="G2013" s="19" t="s">
        <v>2383</v>
      </c>
    </row>
    <row r="2014" spans="7:7">
      <c r="G2014" s="7"/>
    </row>
    <row r="2015" spans="7:7">
      <c r="G2015" s="5">
        <v>2247191</v>
      </c>
    </row>
    <row r="2016" spans="7:7">
      <c r="G2016" s="7">
        <v>44468</v>
      </c>
    </row>
    <row r="2017" spans="7:7">
      <c r="G2017" s="19" t="s">
        <v>1274</v>
      </c>
    </row>
    <row r="2018" spans="7:7">
      <c r="G2018" s="7"/>
    </row>
    <row r="2019" spans="7:7">
      <c r="G2019" s="7">
        <v>44615</v>
      </c>
    </row>
    <row r="2020" spans="7:7">
      <c r="G2020" s="19" t="s">
        <v>503</v>
      </c>
    </row>
    <row r="2021" spans="7:7">
      <c r="G2021" s="7"/>
    </row>
    <row r="2022" spans="7:7">
      <c r="G2022" s="7">
        <v>44693</v>
      </c>
    </row>
    <row r="2023" spans="7:7">
      <c r="G2023" s="19" t="s">
        <v>1921</v>
      </c>
    </row>
    <row r="2024" spans="7:7">
      <c r="G2024" s="7"/>
    </row>
    <row r="2025" spans="7:7">
      <c r="G2025" s="7">
        <v>44764</v>
      </c>
    </row>
    <row r="2026" spans="7:7">
      <c r="G2026" s="19" t="s">
        <v>2383</v>
      </c>
    </row>
    <row r="2027" spans="7:7">
      <c r="G2027" s="7"/>
    </row>
    <row r="2028" spans="7:7">
      <c r="G2028" s="5">
        <v>2247719</v>
      </c>
    </row>
    <row r="2029" spans="7:7">
      <c r="G2029" s="7">
        <v>44685</v>
      </c>
    </row>
    <row r="2030" spans="7:7">
      <c r="G2030" s="19" t="s">
        <v>2237</v>
      </c>
    </row>
    <row r="2031" spans="7:7">
      <c r="G2031" s="7"/>
    </row>
    <row r="2032" spans="7:7">
      <c r="G2032" s="5">
        <v>2247726</v>
      </c>
    </row>
    <row r="2033" spans="7:7">
      <c r="G2033" s="7">
        <v>44714</v>
      </c>
    </row>
    <row r="2034" spans="7:7">
      <c r="G2034" s="19" t="s">
        <v>950</v>
      </c>
    </row>
    <row r="2035" spans="7:7">
      <c r="G2035" s="7"/>
    </row>
    <row r="2036" spans="7:7">
      <c r="G2036" s="7">
        <v>44729</v>
      </c>
    </row>
    <row r="2037" spans="7:7">
      <c r="G2037" s="19" t="s">
        <v>950</v>
      </c>
    </row>
    <row r="2038" spans="7:7">
      <c r="G2038" s="7"/>
    </row>
    <row r="2039" spans="7:7">
      <c r="G2039" s="5">
        <v>2247738</v>
      </c>
    </row>
    <row r="2040" spans="7:7">
      <c r="G2040" s="7">
        <v>44673</v>
      </c>
    </row>
    <row r="2041" spans="7:7">
      <c r="G2041" s="19" t="s">
        <v>563</v>
      </c>
    </row>
    <row r="2042" spans="7:7">
      <c r="G2042" s="7"/>
    </row>
    <row r="2043" spans="7:7">
      <c r="G2043" s="5">
        <v>2248436</v>
      </c>
    </row>
    <row r="2044" spans="7:7">
      <c r="G2044" s="7">
        <v>44743</v>
      </c>
    </row>
    <row r="2045" spans="7:7">
      <c r="G2045" s="19" t="s">
        <v>2383</v>
      </c>
    </row>
    <row r="2046" spans="7:7">
      <c r="G2046" s="7"/>
    </row>
    <row r="2047" spans="7:7">
      <c r="G2047" s="5">
        <v>2249221</v>
      </c>
    </row>
    <row r="2048" spans="7:7">
      <c r="G2048" s="7">
        <v>44741</v>
      </c>
    </row>
    <row r="2049" spans="7:7">
      <c r="G2049" s="19" t="s">
        <v>2383</v>
      </c>
    </row>
    <row r="2050" spans="7:7">
      <c r="G2050" s="7"/>
    </row>
    <row r="2051" spans="7:7">
      <c r="G2051" s="5">
        <v>2249869</v>
      </c>
    </row>
    <row r="2052" spans="7:7">
      <c r="G2052" s="7">
        <v>44454</v>
      </c>
    </row>
    <row r="2053" spans="7:7">
      <c r="G2053" s="19" t="s">
        <v>1622</v>
      </c>
    </row>
    <row r="2054" spans="7:7">
      <c r="G2054" s="7"/>
    </row>
    <row r="2055" spans="7:7">
      <c r="G2055" s="7">
        <v>44461</v>
      </c>
    </row>
    <row r="2056" spans="7:7">
      <c r="G2056" s="19" t="s">
        <v>1653</v>
      </c>
    </row>
    <row r="2057" spans="7:7">
      <c r="G2057" s="7"/>
    </row>
    <row r="2058" spans="7:7">
      <c r="G2058" s="5">
        <v>2250505</v>
      </c>
    </row>
    <row r="2059" spans="7:7">
      <c r="G2059" s="7">
        <v>44670</v>
      </c>
    </row>
    <row r="2060" spans="7:7">
      <c r="G2060" s="19" t="s">
        <v>563</v>
      </c>
    </row>
    <row r="2061" spans="7:7">
      <c r="G2061" s="7"/>
    </row>
    <row r="2062" spans="7:7">
      <c r="G2062" s="7">
        <v>44664</v>
      </c>
    </row>
    <row r="2063" spans="7:7">
      <c r="G2063" s="19" t="s">
        <v>563</v>
      </c>
    </row>
    <row r="2064" spans="7:7">
      <c r="G2064" s="7"/>
    </row>
    <row r="2065" spans="7:7">
      <c r="G2065" s="5">
        <v>2251149</v>
      </c>
    </row>
    <row r="2066" spans="7:7">
      <c r="G2066" s="7">
        <v>44631</v>
      </c>
    </row>
    <row r="2067" spans="7:7">
      <c r="G2067" s="19" t="s">
        <v>503</v>
      </c>
    </row>
    <row r="2068" spans="7:7">
      <c r="G2068" s="7"/>
    </row>
    <row r="2069" spans="7:7">
      <c r="G2069" s="7">
        <v>44684</v>
      </c>
    </row>
    <row r="2070" spans="7:7">
      <c r="G2070" s="19" t="s">
        <v>1742</v>
      </c>
    </row>
    <row r="2071" spans="7:7">
      <c r="G2071" s="7"/>
    </row>
    <row r="2072" spans="7:7">
      <c r="G2072" s="5">
        <v>2251743</v>
      </c>
    </row>
    <row r="2073" spans="7:7">
      <c r="G2073" s="7">
        <v>44606</v>
      </c>
    </row>
    <row r="2074" spans="7:7">
      <c r="G2074" s="19" t="s">
        <v>1203</v>
      </c>
    </row>
    <row r="2075" spans="7:7">
      <c r="G2075" s="7"/>
    </row>
    <row r="2076" spans="7:7">
      <c r="G2076" s="5">
        <v>2253322</v>
      </c>
    </row>
    <row r="2077" spans="7:7">
      <c r="G2077" s="7">
        <v>44713</v>
      </c>
    </row>
    <row r="2078" spans="7:7">
      <c r="G2078" s="19" t="s">
        <v>563</v>
      </c>
    </row>
    <row r="2079" spans="7:7">
      <c r="G2079" s="7"/>
    </row>
    <row r="2080" spans="7:7">
      <c r="G2080" s="5">
        <v>2254554</v>
      </c>
    </row>
    <row r="2081" spans="7:7">
      <c r="G2081" s="7">
        <v>44470</v>
      </c>
    </row>
    <row r="2082" spans="7:7">
      <c r="G2082" s="19" t="s">
        <v>1116</v>
      </c>
    </row>
    <row r="2083" spans="7:7">
      <c r="G2083" s="7"/>
    </row>
    <row r="2084" spans="7:7">
      <c r="G2084" s="5">
        <v>2254723</v>
      </c>
    </row>
    <row r="2085" spans="7:7">
      <c r="G2085" s="7">
        <v>44706</v>
      </c>
    </row>
    <row r="2086" spans="7:7">
      <c r="G2086" s="19" t="s">
        <v>563</v>
      </c>
    </row>
    <row r="2087" spans="7:7">
      <c r="G2087" s="7"/>
    </row>
    <row r="2088" spans="7:7">
      <c r="G2088" s="5">
        <v>2255113</v>
      </c>
    </row>
    <row r="2089" spans="7:7">
      <c r="G2089" s="7">
        <v>44740</v>
      </c>
    </row>
    <row r="2090" spans="7:7">
      <c r="G2090" s="19" t="s">
        <v>1711</v>
      </c>
    </row>
    <row r="2091" spans="7:7">
      <c r="G2091" s="7"/>
    </row>
    <row r="2092" spans="7:7">
      <c r="G2092" s="5">
        <v>2255229</v>
      </c>
    </row>
    <row r="2093" spans="7:7">
      <c r="G2093" s="7">
        <v>44685</v>
      </c>
    </row>
    <row r="2094" spans="7:7">
      <c r="G2094" s="19" t="s">
        <v>563</v>
      </c>
    </row>
    <row r="2095" spans="7:7">
      <c r="G2095" s="7"/>
    </row>
    <row r="2096" spans="7:7">
      <c r="G2096" s="7">
        <v>44679</v>
      </c>
    </row>
    <row r="2097" spans="7:7">
      <c r="G2097" s="19" t="s">
        <v>563</v>
      </c>
    </row>
    <row r="2098" spans="7:7">
      <c r="G2098" s="7"/>
    </row>
    <row r="2099" spans="7:7">
      <c r="G2099" s="5">
        <v>2255651</v>
      </c>
    </row>
    <row r="2100" spans="7:7">
      <c r="G2100" s="7">
        <v>44719</v>
      </c>
    </row>
    <row r="2101" spans="7:7">
      <c r="G2101" s="19" t="s">
        <v>3043</v>
      </c>
    </row>
    <row r="2102" spans="7:7">
      <c r="G2102" s="7"/>
    </row>
    <row r="2103" spans="7:7">
      <c r="G2103" s="5">
        <v>2256855</v>
      </c>
    </row>
    <row r="2104" spans="7:7">
      <c r="G2104" s="7">
        <v>44761</v>
      </c>
    </row>
    <row r="2105" spans="7:7">
      <c r="G2105" s="19" t="s">
        <v>2383</v>
      </c>
    </row>
    <row r="2106" spans="7:7">
      <c r="G2106" s="7"/>
    </row>
    <row r="2107" spans="7:7">
      <c r="G2107" s="5">
        <v>2259742</v>
      </c>
    </row>
    <row r="2108" spans="7:7">
      <c r="G2108" s="7">
        <v>44420</v>
      </c>
    </row>
    <row r="2109" spans="7:7">
      <c r="G2109" s="19" t="s">
        <v>503</v>
      </c>
    </row>
    <row r="2110" spans="7:7">
      <c r="G2110" s="7"/>
    </row>
    <row r="2111" spans="7:7">
      <c r="G2111" s="5">
        <v>2261999</v>
      </c>
    </row>
    <row r="2112" spans="7:7">
      <c r="G2112" s="7">
        <v>44708</v>
      </c>
    </row>
    <row r="2113" spans="7:7">
      <c r="G2113" s="19" t="s">
        <v>563</v>
      </c>
    </row>
    <row r="2114" spans="7:7">
      <c r="G2114" s="7"/>
    </row>
    <row r="2115" spans="7:7">
      <c r="G2115" s="5">
        <v>2262841</v>
      </c>
    </row>
    <row r="2116" spans="7:7">
      <c r="G2116" s="7">
        <v>44690</v>
      </c>
    </row>
    <row r="2117" spans="7:7">
      <c r="G2117" s="19" t="s">
        <v>563</v>
      </c>
    </row>
    <row r="2118" spans="7:7">
      <c r="G2118" s="7"/>
    </row>
    <row r="2119" spans="7:7">
      <c r="G2119" s="5">
        <v>2263937</v>
      </c>
    </row>
    <row r="2120" spans="7:7">
      <c r="G2120" s="7">
        <v>44649</v>
      </c>
    </row>
    <row r="2121" spans="7:7">
      <c r="G2121" s="19" t="s">
        <v>563</v>
      </c>
    </row>
    <row r="2122" spans="7:7">
      <c r="G2122" s="7"/>
    </row>
    <row r="2123" spans="7:7">
      <c r="G2123" s="5">
        <v>2264017</v>
      </c>
    </row>
    <row r="2124" spans="7:7">
      <c r="G2124" s="7">
        <v>44718</v>
      </c>
    </row>
    <row r="2125" spans="7:7">
      <c r="G2125" s="19" t="s">
        <v>2383</v>
      </c>
    </row>
    <row r="2126" spans="7:7">
      <c r="G2126" s="7"/>
    </row>
    <row r="2127" spans="7:7">
      <c r="G2127" s="5">
        <v>2264410</v>
      </c>
    </row>
    <row r="2128" spans="7:7">
      <c r="G2128" s="7">
        <v>44732</v>
      </c>
    </row>
    <row r="2129" spans="7:7">
      <c r="G2129" s="19" t="s">
        <v>2383</v>
      </c>
    </row>
    <row r="2130" spans="7:7">
      <c r="G2130" s="7"/>
    </row>
    <row r="2131" spans="7:7">
      <c r="G2131" s="5">
        <v>2264732</v>
      </c>
    </row>
    <row r="2132" spans="7:7">
      <c r="G2132" s="7">
        <v>44760</v>
      </c>
    </row>
    <row r="2133" spans="7:7">
      <c r="G2133" s="19" t="s">
        <v>2309</v>
      </c>
    </row>
    <row r="2134" spans="7:7">
      <c r="G2134" s="7"/>
    </row>
    <row r="2135" spans="7:7">
      <c r="G2135" s="5">
        <v>2264751</v>
      </c>
    </row>
    <row r="2136" spans="7:7">
      <c r="G2136" s="7">
        <v>44662</v>
      </c>
    </row>
    <row r="2137" spans="7:7">
      <c r="G2137" s="19" t="s">
        <v>563</v>
      </c>
    </row>
    <row r="2138" spans="7:7">
      <c r="G2138" s="7"/>
    </row>
    <row r="2139" spans="7:7">
      <c r="G2139" s="5">
        <v>2266689</v>
      </c>
    </row>
    <row r="2140" spans="7:7">
      <c r="G2140" s="7">
        <v>44770</v>
      </c>
    </row>
    <row r="2141" spans="7:7">
      <c r="G2141" s="19" t="s">
        <v>2383</v>
      </c>
    </row>
    <row r="2142" spans="7:7">
      <c r="G2142" s="7"/>
    </row>
    <row r="2143" spans="7:7">
      <c r="G2143" s="5">
        <v>2267364</v>
      </c>
    </row>
    <row r="2144" spans="7:7">
      <c r="G2144" s="7">
        <v>44683</v>
      </c>
    </row>
    <row r="2145" spans="7:7">
      <c r="G2145" s="19" t="s">
        <v>563</v>
      </c>
    </row>
    <row r="2146" spans="7:7">
      <c r="G2146" s="7"/>
    </row>
    <row r="2147" spans="7:7">
      <c r="G2147" s="7">
        <v>44693</v>
      </c>
    </row>
    <row r="2148" spans="7:7">
      <c r="G2148" s="19" t="s">
        <v>563</v>
      </c>
    </row>
    <row r="2149" spans="7:7">
      <c r="G2149" s="7"/>
    </row>
    <row r="2150" spans="7:7">
      <c r="G2150" s="5">
        <v>2267674</v>
      </c>
    </row>
    <row r="2151" spans="7:7">
      <c r="G2151" s="7">
        <v>44742</v>
      </c>
    </row>
    <row r="2152" spans="7:7">
      <c r="G2152" s="19" t="s">
        <v>2309</v>
      </c>
    </row>
    <row r="2153" spans="7:7">
      <c r="G2153" s="7"/>
    </row>
    <row r="2154" spans="7:7">
      <c r="G2154" s="5">
        <v>2268610</v>
      </c>
    </row>
    <row r="2155" spans="7:7">
      <c r="G2155" s="7">
        <v>44454</v>
      </c>
    </row>
    <row r="2156" spans="7:7">
      <c r="G2156" s="19" t="s">
        <v>503</v>
      </c>
    </row>
    <row r="2157" spans="7:7">
      <c r="G2157" s="7"/>
    </row>
    <row r="2158" spans="7:7">
      <c r="G2158" s="7">
        <v>44573</v>
      </c>
    </row>
    <row r="2159" spans="7:7">
      <c r="G2159" s="19" t="s">
        <v>1767</v>
      </c>
    </row>
    <row r="2160" spans="7:7">
      <c r="G2160" s="7"/>
    </row>
    <row r="2161" spans="7:7">
      <c r="G2161" s="7">
        <v>44650</v>
      </c>
    </row>
    <row r="2162" spans="7:7">
      <c r="G2162" s="19" t="s">
        <v>1921</v>
      </c>
    </row>
    <row r="2163" spans="7:7">
      <c r="G2163" s="7"/>
    </row>
    <row r="2164" spans="7:7">
      <c r="G2164" s="7">
        <v>44743</v>
      </c>
    </row>
    <row r="2165" spans="7:7">
      <c r="G2165" s="19" t="s">
        <v>1113</v>
      </c>
    </row>
    <row r="2166" spans="7:7">
      <c r="G2166" s="7"/>
    </row>
    <row r="2167" spans="7:7">
      <c r="G2167" s="5">
        <v>2268658</v>
      </c>
    </row>
    <row r="2168" spans="7:7">
      <c r="G2168" s="7">
        <v>44683</v>
      </c>
    </row>
    <row r="2169" spans="7:7">
      <c r="G2169" s="19" t="s">
        <v>563</v>
      </c>
    </row>
    <row r="2170" spans="7:7">
      <c r="G2170" s="7"/>
    </row>
    <row r="2171" spans="7:7">
      <c r="G2171" s="5">
        <v>2269082</v>
      </c>
    </row>
    <row r="2172" spans="7:7">
      <c r="G2172" s="7">
        <v>44690</v>
      </c>
    </row>
    <row r="2173" spans="7:7">
      <c r="G2173" s="19" t="s">
        <v>563</v>
      </c>
    </row>
    <row r="2174" spans="7:7">
      <c r="G2174" s="7"/>
    </row>
    <row r="2175" spans="7:7">
      <c r="G2175" s="5">
        <v>2269214</v>
      </c>
    </row>
    <row r="2176" spans="7:7">
      <c r="G2176" s="7">
        <v>44732</v>
      </c>
    </row>
    <row r="2177" spans="7:7">
      <c r="G2177" s="19" t="s">
        <v>2383</v>
      </c>
    </row>
    <row r="2178" spans="7:7">
      <c r="G2178" s="7"/>
    </row>
    <row r="2179" spans="7:7">
      <c r="G2179" s="5">
        <v>2269932</v>
      </c>
    </row>
    <row r="2180" spans="7:7">
      <c r="G2180" s="7">
        <v>44334</v>
      </c>
    </row>
    <row r="2181" spans="7:7">
      <c r="G2181" s="19" t="s">
        <v>89</v>
      </c>
    </row>
    <row r="2182" spans="7:7">
      <c r="G2182" s="7"/>
    </row>
    <row r="2183" spans="7:7">
      <c r="G2183" s="7">
        <v>44608</v>
      </c>
    </row>
    <row r="2184" spans="7:7">
      <c r="G2184" s="19" t="s">
        <v>89</v>
      </c>
    </row>
    <row r="2185" spans="7:7">
      <c r="G2185" s="7"/>
    </row>
    <row r="2186" spans="7:7">
      <c r="G2186" s="5">
        <v>2270226</v>
      </c>
    </row>
    <row r="2187" spans="7:7">
      <c r="G2187" s="7">
        <v>44767</v>
      </c>
    </row>
    <row r="2188" spans="7:7">
      <c r="G2188" s="19" t="s">
        <v>2383</v>
      </c>
    </row>
    <row r="2189" spans="7:7">
      <c r="G2189" s="7"/>
    </row>
    <row r="2190" spans="7:7">
      <c r="G2190" s="5">
        <v>2270814</v>
      </c>
    </row>
    <row r="2191" spans="7:7">
      <c r="G2191" s="7">
        <v>44750</v>
      </c>
    </row>
    <row r="2192" spans="7:7">
      <c r="G2192" s="19" t="s">
        <v>2383</v>
      </c>
    </row>
    <row r="2193" spans="7:7">
      <c r="G2193" s="7"/>
    </row>
    <row r="2194" spans="7:7">
      <c r="G2194" s="5">
        <v>2271062</v>
      </c>
    </row>
    <row r="2195" spans="7:7">
      <c r="G2195" s="7">
        <v>44735</v>
      </c>
    </row>
    <row r="2196" spans="7:7">
      <c r="G2196" s="19" t="s">
        <v>3052</v>
      </c>
    </row>
    <row r="2197" spans="7:7">
      <c r="G2197" s="7"/>
    </row>
    <row r="2198" spans="7:7">
      <c r="G2198" s="5">
        <v>2271347</v>
      </c>
    </row>
    <row r="2199" spans="7:7">
      <c r="G2199" s="7">
        <v>44711</v>
      </c>
    </row>
    <row r="2200" spans="7:7">
      <c r="G2200" s="19" t="s">
        <v>563</v>
      </c>
    </row>
    <row r="2201" spans="7:7">
      <c r="G2201" s="7"/>
    </row>
    <row r="2202" spans="7:7">
      <c r="G2202" s="5">
        <v>2271653</v>
      </c>
    </row>
    <row r="2203" spans="7:7">
      <c r="G2203" s="7">
        <v>44359</v>
      </c>
    </row>
    <row r="2204" spans="7:7">
      <c r="G2204" s="19" t="s">
        <v>924</v>
      </c>
    </row>
    <row r="2205" spans="7:7">
      <c r="G2205" s="7"/>
    </row>
    <row r="2206" spans="7:7">
      <c r="G2206" s="5">
        <v>2272024</v>
      </c>
    </row>
    <row r="2207" spans="7:7">
      <c r="G2207" s="7">
        <v>44302</v>
      </c>
    </row>
    <row r="2208" spans="7:7">
      <c r="G2208" s="19" t="s">
        <v>563</v>
      </c>
    </row>
    <row r="2209" spans="7:7">
      <c r="G2209" s="7"/>
    </row>
    <row r="2210" spans="7:7">
      <c r="G2210" s="5">
        <v>2272729</v>
      </c>
    </row>
    <row r="2211" spans="7:7">
      <c r="G2211" s="7">
        <v>44714</v>
      </c>
    </row>
    <row r="2212" spans="7:7">
      <c r="G2212" s="19" t="s">
        <v>2383</v>
      </c>
    </row>
    <row r="2213" spans="7:7">
      <c r="G2213" s="7"/>
    </row>
    <row r="2214" spans="7:7">
      <c r="G2214" s="5">
        <v>2273468</v>
      </c>
    </row>
    <row r="2215" spans="7:7">
      <c r="G2215" s="7">
        <v>44679</v>
      </c>
    </row>
    <row r="2216" spans="7:7">
      <c r="G2216" s="19" t="s">
        <v>563</v>
      </c>
    </row>
    <row r="2217" spans="7:7">
      <c r="G2217" s="7"/>
    </row>
    <row r="2218" spans="7:7">
      <c r="G2218" s="5">
        <v>2273469</v>
      </c>
    </row>
    <row r="2219" spans="7:7">
      <c r="G2219" s="7">
        <v>44732</v>
      </c>
    </row>
    <row r="2220" spans="7:7">
      <c r="G2220" s="19" t="s">
        <v>2383</v>
      </c>
    </row>
    <row r="2221" spans="7:7">
      <c r="G2221" s="7"/>
    </row>
    <row r="2222" spans="7:7">
      <c r="G2222" s="5">
        <v>2273875</v>
      </c>
    </row>
    <row r="2223" spans="7:7">
      <c r="G2223" s="7">
        <v>44676</v>
      </c>
    </row>
    <row r="2224" spans="7:7">
      <c r="G2224" s="19" t="s">
        <v>2649</v>
      </c>
    </row>
    <row r="2225" spans="7:7">
      <c r="G2225" s="7"/>
    </row>
    <row r="2226" spans="7:7">
      <c r="G2226" s="5">
        <v>2273881</v>
      </c>
    </row>
    <row r="2227" spans="7:7">
      <c r="G2227" s="7">
        <v>44694</v>
      </c>
    </row>
    <row r="2228" spans="7:7">
      <c r="G2228" s="19" t="s">
        <v>563</v>
      </c>
    </row>
    <row r="2229" spans="7:7">
      <c r="G2229" s="7"/>
    </row>
    <row r="2230" spans="7:7">
      <c r="G2230" s="5">
        <v>2274151</v>
      </c>
    </row>
    <row r="2231" spans="7:7">
      <c r="G2231" s="7">
        <v>44594</v>
      </c>
    </row>
    <row r="2232" spans="7:7">
      <c r="G2232" s="19" t="s">
        <v>1826</v>
      </c>
    </row>
    <row r="2233" spans="7:7">
      <c r="G2233" s="7"/>
    </row>
    <row r="2234" spans="7:7">
      <c r="G2234" s="7">
        <v>44593</v>
      </c>
    </row>
    <row r="2235" spans="7:7">
      <c r="G2235" s="19" t="s">
        <v>1286</v>
      </c>
    </row>
    <row r="2236" spans="7:7">
      <c r="G2236" s="7"/>
    </row>
    <row r="2237" spans="7:7">
      <c r="G2237" s="5">
        <v>2275619</v>
      </c>
    </row>
    <row r="2238" spans="7:7">
      <c r="G2238" s="7">
        <v>44349</v>
      </c>
    </row>
    <row r="2239" spans="7:7">
      <c r="G2239" s="19" t="s">
        <v>563</v>
      </c>
    </row>
    <row r="2240" spans="7:7">
      <c r="G2240" s="7"/>
    </row>
    <row r="2241" spans="7:7">
      <c r="G2241" s="5">
        <v>2277458</v>
      </c>
    </row>
    <row r="2242" spans="7:7">
      <c r="G2242" s="7">
        <v>44771</v>
      </c>
    </row>
    <row r="2243" spans="7:7">
      <c r="G2243" s="19" t="s">
        <v>2383</v>
      </c>
    </row>
    <row r="2244" spans="7:7">
      <c r="G2244" s="7"/>
    </row>
    <row r="2245" spans="7:7">
      <c r="G2245" s="5">
        <v>2279406</v>
      </c>
    </row>
    <row r="2246" spans="7:7">
      <c r="G2246" s="7">
        <v>44732</v>
      </c>
    </row>
    <row r="2247" spans="7:7">
      <c r="G2247" s="19" t="s">
        <v>2383</v>
      </c>
    </row>
    <row r="2248" spans="7:7">
      <c r="G2248" s="7"/>
    </row>
    <row r="2249" spans="7:7">
      <c r="G2249" s="5">
        <v>2279801</v>
      </c>
    </row>
    <row r="2250" spans="7:7">
      <c r="G2250" s="7">
        <v>44694</v>
      </c>
    </row>
    <row r="2251" spans="7:7">
      <c r="G2251" s="19" t="s">
        <v>563</v>
      </c>
    </row>
    <row r="2252" spans="7:7">
      <c r="G2252" s="7"/>
    </row>
    <row r="2253" spans="7:7">
      <c r="G2253" s="5">
        <v>2280103</v>
      </c>
    </row>
    <row r="2254" spans="7:7">
      <c r="G2254" s="7">
        <v>44678</v>
      </c>
    </row>
    <row r="2255" spans="7:7">
      <c r="G2255" s="19" t="s">
        <v>563</v>
      </c>
    </row>
    <row r="2256" spans="7:7">
      <c r="G2256" s="7"/>
    </row>
    <row r="2257" spans="7:7">
      <c r="G2257" s="5">
        <v>2280231</v>
      </c>
    </row>
    <row r="2258" spans="7:7">
      <c r="G2258" s="7">
        <v>44697</v>
      </c>
    </row>
    <row r="2259" spans="7:7">
      <c r="G2259" s="19" t="s">
        <v>563</v>
      </c>
    </row>
    <row r="2260" spans="7:7">
      <c r="G2260" s="7"/>
    </row>
    <row r="2261" spans="7:7">
      <c r="G2261" s="5">
        <v>2280395</v>
      </c>
    </row>
    <row r="2262" spans="7:7">
      <c r="G2262" s="7">
        <v>44730</v>
      </c>
    </row>
    <row r="2263" spans="7:7">
      <c r="G2263" s="19" t="s">
        <v>2383</v>
      </c>
    </row>
    <row r="2264" spans="7:7">
      <c r="G2264" s="7"/>
    </row>
    <row r="2265" spans="7:7">
      <c r="G2265" s="5">
        <v>2281733</v>
      </c>
    </row>
    <row r="2266" spans="7:7">
      <c r="G2266" s="7">
        <v>44152</v>
      </c>
    </row>
    <row r="2267" spans="7:7">
      <c r="G2267" s="19" t="s">
        <v>89</v>
      </c>
    </row>
    <row r="2268" spans="7:7">
      <c r="G2268" s="7"/>
    </row>
    <row r="2269" spans="7:7">
      <c r="G2269" s="5">
        <v>2282465</v>
      </c>
    </row>
    <row r="2270" spans="7:7">
      <c r="G2270" s="7">
        <v>44646</v>
      </c>
    </row>
    <row r="2271" spans="7:7">
      <c r="G2271" s="19" t="s">
        <v>2383</v>
      </c>
    </row>
    <row r="2272" spans="7:7">
      <c r="G2272" s="7"/>
    </row>
    <row r="2273" spans="7:7">
      <c r="G2273" s="5">
        <v>2283238</v>
      </c>
    </row>
    <row r="2274" spans="7:7">
      <c r="G2274" s="7">
        <v>44588</v>
      </c>
    </row>
    <row r="2275" spans="7:7">
      <c r="G2275" s="19" t="s">
        <v>1742</v>
      </c>
    </row>
    <row r="2276" spans="7:7">
      <c r="G2276" s="7"/>
    </row>
    <row r="2277" spans="7:7">
      <c r="G2277" s="7">
        <v>44587</v>
      </c>
    </row>
    <row r="2278" spans="7:7">
      <c r="G2278" s="19" t="s">
        <v>1742</v>
      </c>
    </row>
    <row r="2279" spans="7:7">
      <c r="G2279" s="7"/>
    </row>
    <row r="2280" spans="7:7">
      <c r="G2280" s="5">
        <v>2284441</v>
      </c>
    </row>
    <row r="2281" spans="7:7">
      <c r="G2281" s="7">
        <v>44629</v>
      </c>
    </row>
    <row r="2282" spans="7:7">
      <c r="G2282" s="19" t="s">
        <v>1274</v>
      </c>
    </row>
    <row r="2283" spans="7:7">
      <c r="G2283" s="7"/>
    </row>
    <row r="2284" spans="7:7">
      <c r="G2284" s="5">
        <v>2285767</v>
      </c>
    </row>
    <row r="2285" spans="7:7">
      <c r="G2285" s="7">
        <v>44648</v>
      </c>
    </row>
    <row r="2286" spans="7:7">
      <c r="G2286" s="19" t="s">
        <v>563</v>
      </c>
    </row>
    <row r="2287" spans="7:7">
      <c r="G2287" s="7"/>
    </row>
    <row r="2288" spans="7:7">
      <c r="G2288" s="5">
        <v>2286956</v>
      </c>
    </row>
    <row r="2289" spans="7:7">
      <c r="G2289" s="7">
        <v>44761</v>
      </c>
    </row>
    <row r="2290" spans="7:7">
      <c r="G2290" s="19" t="s">
        <v>2309</v>
      </c>
    </row>
    <row r="2291" spans="7:7">
      <c r="G2291" s="7"/>
    </row>
    <row r="2292" spans="7:7">
      <c r="G2292" s="5">
        <v>2287162</v>
      </c>
    </row>
    <row r="2293" spans="7:7">
      <c r="G2293" s="7">
        <v>44455</v>
      </c>
    </row>
    <row r="2294" spans="7:7">
      <c r="G2294" s="19" t="s">
        <v>502</v>
      </c>
    </row>
    <row r="2295" spans="7:7">
      <c r="G2295" s="7"/>
    </row>
    <row r="2296" spans="7:7">
      <c r="G2296" s="7">
        <v>44552</v>
      </c>
    </row>
    <row r="2297" spans="7:7">
      <c r="G2297" s="19" t="s">
        <v>1061</v>
      </c>
    </row>
    <row r="2298" spans="7:7">
      <c r="G2298" s="7"/>
    </row>
    <row r="2299" spans="7:7">
      <c r="G2299" s="5">
        <v>2287631</v>
      </c>
    </row>
    <row r="2300" spans="7:7">
      <c r="G2300" s="7">
        <v>44641</v>
      </c>
    </row>
    <row r="2301" spans="7:7">
      <c r="G2301" s="19" t="s">
        <v>2309</v>
      </c>
    </row>
    <row r="2302" spans="7:7">
      <c r="G2302" s="7"/>
    </row>
    <row r="2303" spans="7:7">
      <c r="G2303" s="5">
        <v>2288525</v>
      </c>
    </row>
    <row r="2304" spans="7:7">
      <c r="G2304" s="7">
        <v>44650</v>
      </c>
    </row>
    <row r="2305" spans="7:7">
      <c r="G2305" s="19" t="s">
        <v>563</v>
      </c>
    </row>
    <row r="2306" spans="7:7">
      <c r="G2306" s="7"/>
    </row>
    <row r="2307" spans="7:7">
      <c r="G2307" s="5">
        <v>2288618</v>
      </c>
    </row>
    <row r="2308" spans="7:7">
      <c r="G2308" s="7">
        <v>44630</v>
      </c>
    </row>
    <row r="2309" spans="7:7">
      <c r="G2309" s="19" t="s">
        <v>1767</v>
      </c>
    </row>
    <row r="2310" spans="7:7">
      <c r="G2310" s="7"/>
    </row>
    <row r="2311" spans="7:7">
      <c r="G2311" s="5">
        <v>2289277</v>
      </c>
    </row>
    <row r="2312" spans="7:7">
      <c r="G2312" s="7">
        <v>44768</v>
      </c>
    </row>
    <row r="2313" spans="7:7">
      <c r="G2313" s="19" t="s">
        <v>2383</v>
      </c>
    </row>
    <row r="2314" spans="7:7">
      <c r="G2314" s="7"/>
    </row>
    <row r="2315" spans="7:7">
      <c r="G2315" s="5">
        <v>2289359</v>
      </c>
    </row>
    <row r="2316" spans="7:7">
      <c r="G2316" s="7">
        <v>44664</v>
      </c>
    </row>
    <row r="2317" spans="7:7">
      <c r="G2317" s="19" t="s">
        <v>563</v>
      </c>
    </row>
    <row r="2318" spans="7:7">
      <c r="G2318" s="7"/>
    </row>
    <row r="2319" spans="7:7">
      <c r="G2319" s="5">
        <v>2290059</v>
      </c>
    </row>
    <row r="2320" spans="7:7">
      <c r="G2320" s="7">
        <v>44284</v>
      </c>
    </row>
    <row r="2321" spans="7:7">
      <c r="G2321" s="19" t="s">
        <v>563</v>
      </c>
    </row>
    <row r="2322" spans="7:7">
      <c r="G2322" s="7"/>
    </row>
    <row r="2323" spans="7:7">
      <c r="G2323" s="5">
        <v>2290124</v>
      </c>
    </row>
    <row r="2324" spans="7:7">
      <c r="G2324" s="7">
        <v>44677</v>
      </c>
    </row>
    <row r="2325" spans="7:7">
      <c r="G2325" s="19" t="s">
        <v>509</v>
      </c>
    </row>
    <row r="2326" spans="7:7">
      <c r="G2326" s="7"/>
    </row>
    <row r="2327" spans="7:7">
      <c r="G2327" s="5">
        <v>2290378</v>
      </c>
    </row>
    <row r="2328" spans="7:7">
      <c r="G2328" s="7">
        <v>44690</v>
      </c>
    </row>
    <row r="2329" spans="7:7">
      <c r="G2329" s="19" t="s">
        <v>563</v>
      </c>
    </row>
    <row r="2330" spans="7:7">
      <c r="G2330" s="7"/>
    </row>
    <row r="2331" spans="7:7">
      <c r="G2331" s="5">
        <v>2290800</v>
      </c>
    </row>
    <row r="2332" spans="7:7">
      <c r="G2332" s="7">
        <v>44679</v>
      </c>
    </row>
    <row r="2333" spans="7:7">
      <c r="G2333" s="19" t="s">
        <v>563</v>
      </c>
    </row>
    <row r="2334" spans="7:7">
      <c r="G2334" s="7"/>
    </row>
    <row r="2335" spans="7:7">
      <c r="G2335" s="7">
        <v>44722</v>
      </c>
    </row>
    <row r="2336" spans="7:7">
      <c r="G2336" s="19" t="s">
        <v>2383</v>
      </c>
    </row>
    <row r="2337" spans="7:7">
      <c r="G2337" s="7"/>
    </row>
    <row r="2338" spans="7:7">
      <c r="G2338" s="5">
        <v>2291005</v>
      </c>
    </row>
    <row r="2339" spans="7:7">
      <c r="G2339" s="7">
        <v>44393</v>
      </c>
    </row>
    <row r="2340" spans="7:7">
      <c r="G2340" s="19" t="s">
        <v>1081</v>
      </c>
    </row>
    <row r="2341" spans="7:7">
      <c r="G2341" s="7"/>
    </row>
    <row r="2342" spans="7:7">
      <c r="G2342" s="5">
        <v>2291022</v>
      </c>
    </row>
    <row r="2343" spans="7:7">
      <c r="G2343" s="7">
        <v>44643</v>
      </c>
    </row>
    <row r="2344" spans="7:7">
      <c r="G2344" s="19" t="s">
        <v>1711</v>
      </c>
    </row>
    <row r="2345" spans="7:7">
      <c r="G2345" s="7"/>
    </row>
    <row r="2346" spans="7:7">
      <c r="G2346" s="5">
        <v>2292002</v>
      </c>
    </row>
    <row r="2347" spans="7:7">
      <c r="G2347" s="7">
        <v>44659</v>
      </c>
    </row>
    <row r="2348" spans="7:7">
      <c r="G2348" s="19" t="s">
        <v>563</v>
      </c>
    </row>
    <row r="2349" spans="7:7">
      <c r="G2349" s="7"/>
    </row>
    <row r="2350" spans="7:7">
      <c r="G2350" s="5">
        <v>2294726</v>
      </c>
    </row>
    <row r="2351" spans="7:7">
      <c r="G2351" s="7">
        <v>44678</v>
      </c>
    </row>
    <row r="2352" spans="7:7">
      <c r="G2352" s="19" t="s">
        <v>2644</v>
      </c>
    </row>
    <row r="2353" spans="7:7">
      <c r="G2353" s="7"/>
    </row>
    <row r="2354" spans="7:7">
      <c r="G2354" s="5">
        <v>2294733</v>
      </c>
    </row>
    <row r="2355" spans="7:7">
      <c r="G2355" s="7">
        <v>44657</v>
      </c>
    </row>
    <row r="2356" spans="7:7">
      <c r="G2356" s="19" t="s">
        <v>563</v>
      </c>
    </row>
    <row r="2357" spans="7:7">
      <c r="G2357" s="7"/>
    </row>
    <row r="2358" spans="7:7">
      <c r="G2358" s="5">
        <v>2298109</v>
      </c>
    </row>
    <row r="2359" spans="7:7">
      <c r="G2359" s="7">
        <v>44379</v>
      </c>
    </row>
    <row r="2360" spans="7:7">
      <c r="G2360" s="19" t="s">
        <v>563</v>
      </c>
    </row>
    <row r="2361" spans="7:7">
      <c r="G2361" s="7"/>
    </row>
    <row r="2362" spans="7:7">
      <c r="G2362" s="5">
        <v>2299209</v>
      </c>
    </row>
    <row r="2363" spans="7:7">
      <c r="G2363" s="7">
        <v>44740</v>
      </c>
    </row>
    <row r="2364" spans="7:7">
      <c r="G2364" s="19" t="s">
        <v>2383</v>
      </c>
    </row>
    <row r="2365" spans="7:7">
      <c r="G2365" s="7"/>
    </row>
    <row r="2366" spans="7:7">
      <c r="G2366" s="5">
        <v>2299634</v>
      </c>
    </row>
    <row r="2367" spans="7:7">
      <c r="G2367" s="7">
        <v>44690</v>
      </c>
    </row>
    <row r="2368" spans="7:7">
      <c r="G2368" s="19" t="s">
        <v>563</v>
      </c>
    </row>
    <row r="2369" spans="7:7">
      <c r="G2369" s="7"/>
    </row>
    <row r="2370" spans="7:7">
      <c r="G2370" s="5">
        <v>2299815</v>
      </c>
    </row>
    <row r="2371" spans="7:7">
      <c r="G2371" s="7">
        <v>44672</v>
      </c>
    </row>
    <row r="2372" spans="7:7">
      <c r="G2372" s="19" t="s">
        <v>1300</v>
      </c>
    </row>
    <row r="2373" spans="7:7">
      <c r="G2373" s="7"/>
    </row>
    <row r="2374" spans="7:7">
      <c r="G2374" s="5">
        <v>2301796</v>
      </c>
    </row>
    <row r="2375" spans="7:7">
      <c r="G2375" s="7">
        <v>44645</v>
      </c>
    </row>
    <row r="2376" spans="7:7">
      <c r="G2376" s="19" t="s">
        <v>2383</v>
      </c>
    </row>
    <row r="2377" spans="7:7">
      <c r="G2377" s="7"/>
    </row>
    <row r="2378" spans="7:7">
      <c r="G2378" s="5">
        <v>2302261</v>
      </c>
    </row>
    <row r="2379" spans="7:7">
      <c r="G2379" s="7">
        <v>44425</v>
      </c>
    </row>
    <row r="2380" spans="7:7">
      <c r="G2380" s="19" t="s">
        <v>1214</v>
      </c>
    </row>
    <row r="2381" spans="7:7">
      <c r="G2381" s="7"/>
    </row>
    <row r="2382" spans="7:7">
      <c r="G2382" s="5">
        <v>2302298</v>
      </c>
    </row>
    <row r="2383" spans="7:7">
      <c r="G2383" s="7">
        <v>44679</v>
      </c>
    </row>
    <row r="2384" spans="7:7">
      <c r="G2384" s="19" t="s">
        <v>563</v>
      </c>
    </row>
    <row r="2385" spans="7:7">
      <c r="G2385" s="7"/>
    </row>
    <row r="2386" spans="7:7">
      <c r="G2386" s="5">
        <v>2302678</v>
      </c>
    </row>
    <row r="2387" spans="7:7">
      <c r="G2387" s="7">
        <v>44718</v>
      </c>
    </row>
    <row r="2388" spans="7:7">
      <c r="G2388" s="19" t="s">
        <v>89</v>
      </c>
    </row>
    <row r="2389" spans="7:7">
      <c r="G2389" s="7"/>
    </row>
    <row r="2390" spans="7:7">
      <c r="G2390" s="5">
        <v>2303472</v>
      </c>
    </row>
    <row r="2391" spans="7:7">
      <c r="G2391" s="7">
        <v>44718</v>
      </c>
    </row>
    <row r="2392" spans="7:7">
      <c r="G2392" s="19" t="s">
        <v>2383</v>
      </c>
    </row>
    <row r="2393" spans="7:7">
      <c r="G2393" s="7"/>
    </row>
    <row r="2394" spans="7:7">
      <c r="G2394" s="5">
        <v>2303676</v>
      </c>
    </row>
    <row r="2395" spans="7:7">
      <c r="G2395" s="7">
        <v>44659</v>
      </c>
    </row>
    <row r="2396" spans="7:7">
      <c r="G2396" s="19" t="s">
        <v>2526</v>
      </c>
    </row>
    <row r="2397" spans="7:7">
      <c r="G2397" s="7"/>
    </row>
    <row r="2398" spans="7:7">
      <c r="G2398" s="5">
        <v>2304537</v>
      </c>
    </row>
    <row r="2399" spans="7:7">
      <c r="G2399" s="7">
        <v>44656</v>
      </c>
    </row>
    <row r="2400" spans="7:7">
      <c r="G2400" s="19" t="s">
        <v>563</v>
      </c>
    </row>
    <row r="2401" spans="7:7">
      <c r="G2401" s="7"/>
    </row>
    <row r="2402" spans="7:7">
      <c r="G2402" s="5">
        <v>2307657</v>
      </c>
    </row>
    <row r="2403" spans="7:7">
      <c r="G2403" s="7">
        <v>44747</v>
      </c>
    </row>
    <row r="2404" spans="7:7">
      <c r="G2404" s="19" t="s">
        <v>3077</v>
      </c>
    </row>
    <row r="2405" spans="7:7">
      <c r="G2405" s="7"/>
    </row>
    <row r="2406" spans="7:7">
      <c r="G2406" s="5">
        <v>2308120</v>
      </c>
    </row>
    <row r="2407" spans="7:7">
      <c r="G2407" s="7">
        <v>44349</v>
      </c>
    </row>
    <row r="2408" spans="7:7">
      <c r="G2408" s="19" t="s">
        <v>563</v>
      </c>
    </row>
    <row r="2409" spans="7:7">
      <c r="G2409" s="7"/>
    </row>
    <row r="2410" spans="7:7">
      <c r="G2410" s="5">
        <v>2308228</v>
      </c>
    </row>
    <row r="2411" spans="7:7">
      <c r="G2411" s="7">
        <v>44663</v>
      </c>
    </row>
    <row r="2412" spans="7:7">
      <c r="G2412" s="19" t="s">
        <v>563</v>
      </c>
    </row>
    <row r="2413" spans="7:7">
      <c r="G2413" s="7"/>
    </row>
    <row r="2414" spans="7:7">
      <c r="G2414" s="7">
        <v>44720</v>
      </c>
    </row>
    <row r="2415" spans="7:7">
      <c r="G2415" s="19" t="s">
        <v>2309</v>
      </c>
    </row>
    <row r="2416" spans="7:7">
      <c r="G2416" s="7"/>
    </row>
    <row r="2417" spans="7:7">
      <c r="G2417" s="5">
        <v>2308483</v>
      </c>
    </row>
    <row r="2418" spans="7:7">
      <c r="G2418" s="7">
        <v>44657</v>
      </c>
    </row>
    <row r="2419" spans="7:7">
      <c r="G2419" s="19" t="s">
        <v>563</v>
      </c>
    </row>
    <row r="2420" spans="7:7">
      <c r="G2420" s="7"/>
    </row>
    <row r="2421" spans="7:7">
      <c r="G2421" s="5">
        <v>2309029</v>
      </c>
    </row>
    <row r="2422" spans="7:7">
      <c r="G2422" s="7">
        <v>44655</v>
      </c>
    </row>
    <row r="2423" spans="7:7">
      <c r="G2423" s="19" t="s">
        <v>563</v>
      </c>
    </row>
    <row r="2424" spans="7:7">
      <c r="G2424" s="7"/>
    </row>
    <row r="2425" spans="7:7">
      <c r="G2425" s="5">
        <v>2309540</v>
      </c>
    </row>
    <row r="2426" spans="7:7">
      <c r="G2426" s="7">
        <v>44440</v>
      </c>
    </row>
    <row r="2427" spans="7:7">
      <c r="G2427" s="19" t="s">
        <v>650</v>
      </c>
    </row>
    <row r="2428" spans="7:7">
      <c r="G2428" s="7"/>
    </row>
    <row r="2429" spans="7:7">
      <c r="G2429" s="7">
        <v>44419</v>
      </c>
    </row>
    <row r="2430" spans="7:7">
      <c r="G2430" s="19" t="s">
        <v>1193</v>
      </c>
    </row>
    <row r="2431" spans="7:7">
      <c r="G2431" s="7"/>
    </row>
    <row r="2432" spans="7:7">
      <c r="G2432" s="7">
        <v>44364</v>
      </c>
    </row>
    <row r="2433" spans="7:7">
      <c r="G2433" s="19" t="s">
        <v>735</v>
      </c>
    </row>
    <row r="2434" spans="7:7">
      <c r="G2434" s="7"/>
    </row>
    <row r="2435" spans="7:7">
      <c r="G2435" s="7">
        <v>44338</v>
      </c>
    </row>
    <row r="2436" spans="7:7">
      <c r="G2436" s="19" t="s">
        <v>155</v>
      </c>
    </row>
    <row r="2437" spans="7:7">
      <c r="G2437" s="7"/>
    </row>
    <row r="2438" spans="7:7">
      <c r="G2438" s="5">
        <v>2309838</v>
      </c>
    </row>
    <row r="2439" spans="7:7">
      <c r="G2439" s="7">
        <v>44267</v>
      </c>
    </row>
    <row r="2440" spans="7:7">
      <c r="G2440" s="19" t="s">
        <v>175</v>
      </c>
    </row>
    <row r="2441" spans="7:7">
      <c r="G2441" s="7"/>
    </row>
    <row r="2442" spans="7:7">
      <c r="G2442" s="5">
        <v>2309933</v>
      </c>
    </row>
    <row r="2443" spans="7:7">
      <c r="G2443" s="7">
        <v>44428</v>
      </c>
    </row>
    <row r="2444" spans="7:7">
      <c r="G2444" s="19" t="s">
        <v>1252</v>
      </c>
    </row>
    <row r="2445" spans="7:7">
      <c r="G2445" s="7"/>
    </row>
    <row r="2446" spans="7:7">
      <c r="G2446" s="5">
        <v>2310518</v>
      </c>
    </row>
    <row r="2447" spans="7:7">
      <c r="G2447" s="7">
        <v>44768</v>
      </c>
    </row>
    <row r="2448" spans="7:7">
      <c r="G2448" s="19" t="s">
        <v>2383</v>
      </c>
    </row>
    <row r="2449" spans="7:7">
      <c r="G2449" s="7"/>
    </row>
    <row r="2450" spans="7:7">
      <c r="G2450" s="5">
        <v>2310674</v>
      </c>
    </row>
    <row r="2451" spans="7:7">
      <c r="G2451" s="7">
        <v>44636</v>
      </c>
    </row>
    <row r="2452" spans="7:7">
      <c r="G2452" s="19" t="s">
        <v>563</v>
      </c>
    </row>
    <row r="2453" spans="7:7">
      <c r="G2453" s="7"/>
    </row>
    <row r="2454" spans="7:7">
      <c r="G2454" s="5">
        <v>2312292</v>
      </c>
    </row>
    <row r="2455" spans="7:7">
      <c r="G2455" s="7">
        <v>44741</v>
      </c>
    </row>
    <row r="2456" spans="7:7">
      <c r="G2456" s="19" t="s">
        <v>2383</v>
      </c>
    </row>
    <row r="2457" spans="7:7">
      <c r="G2457" s="7"/>
    </row>
    <row r="2458" spans="7:7">
      <c r="G2458" s="5">
        <v>2313297</v>
      </c>
    </row>
    <row r="2459" spans="7:7">
      <c r="G2459" s="7">
        <v>44754</v>
      </c>
    </row>
    <row r="2460" spans="7:7">
      <c r="G2460" s="19" t="s">
        <v>2383</v>
      </c>
    </row>
    <row r="2461" spans="7:7">
      <c r="G2461" s="7"/>
    </row>
    <row r="2462" spans="7:7">
      <c r="G2462" s="5">
        <v>2313416</v>
      </c>
    </row>
    <row r="2463" spans="7:7">
      <c r="G2463" s="7">
        <v>44593</v>
      </c>
    </row>
    <row r="2464" spans="7:7">
      <c r="G2464" s="19" t="s">
        <v>819</v>
      </c>
    </row>
    <row r="2465" spans="7:7">
      <c r="G2465" s="7"/>
    </row>
    <row r="2466" spans="7:7">
      <c r="G2466" s="5">
        <v>2314977</v>
      </c>
    </row>
    <row r="2467" spans="7:7">
      <c r="G2467" s="7">
        <v>44706</v>
      </c>
    </row>
    <row r="2468" spans="7:7">
      <c r="G2468" s="19" t="s">
        <v>563</v>
      </c>
    </row>
    <row r="2469" spans="7:7">
      <c r="G2469" s="7"/>
    </row>
    <row r="2470" spans="7:7">
      <c r="G2470" s="5">
        <v>2315736</v>
      </c>
    </row>
    <row r="2471" spans="7:7">
      <c r="G2471" s="7">
        <v>44721</v>
      </c>
    </row>
    <row r="2472" spans="7:7">
      <c r="G2472" s="19" t="s">
        <v>2383</v>
      </c>
    </row>
    <row r="2473" spans="7:7">
      <c r="G2473" s="7"/>
    </row>
    <row r="2474" spans="7:7">
      <c r="G2474" s="7">
        <v>44728</v>
      </c>
    </row>
    <row r="2475" spans="7:7">
      <c r="G2475" s="19" t="s">
        <v>2383</v>
      </c>
    </row>
    <row r="2476" spans="7:7">
      <c r="G2476" s="7"/>
    </row>
    <row r="2477" spans="7:7">
      <c r="G2477" s="5">
        <v>2315854</v>
      </c>
    </row>
    <row r="2478" spans="7:7">
      <c r="G2478" s="7">
        <v>44643</v>
      </c>
    </row>
    <row r="2479" spans="7:7">
      <c r="G2479" s="19" t="s">
        <v>563</v>
      </c>
    </row>
    <row r="2480" spans="7:7">
      <c r="G2480" s="7"/>
    </row>
    <row r="2481" spans="7:7">
      <c r="G2481" s="5">
        <v>2316361</v>
      </c>
    </row>
    <row r="2482" spans="7:7">
      <c r="G2482" s="7">
        <v>44245</v>
      </c>
    </row>
    <row r="2483" spans="7:7">
      <c r="G2483" s="19" t="s">
        <v>1025</v>
      </c>
    </row>
    <row r="2484" spans="7:7">
      <c r="G2484" s="7"/>
    </row>
    <row r="2485" spans="7:7">
      <c r="G2485" s="7">
        <v>44225</v>
      </c>
    </row>
    <row r="2486" spans="7:7">
      <c r="G2486" s="19" t="s">
        <v>506</v>
      </c>
    </row>
    <row r="2487" spans="7:7">
      <c r="G2487" s="7"/>
    </row>
    <row r="2488" spans="7:7">
      <c r="G2488" s="7">
        <v>44176</v>
      </c>
    </row>
    <row r="2489" spans="7:7">
      <c r="G2489" s="19" t="s">
        <v>505</v>
      </c>
    </row>
    <row r="2490" spans="7:7">
      <c r="G2490" s="7"/>
    </row>
    <row r="2491" spans="7:7">
      <c r="G2491" s="7">
        <v>44134</v>
      </c>
    </row>
    <row r="2492" spans="7:7">
      <c r="G2492" s="19" t="s">
        <v>504</v>
      </c>
    </row>
    <row r="2493" spans="7:7">
      <c r="G2493" s="7"/>
    </row>
    <row r="2494" spans="7:7">
      <c r="G2494" s="7">
        <v>44084</v>
      </c>
    </row>
    <row r="2495" spans="7:7">
      <c r="G2495" s="19" t="s">
        <v>397</v>
      </c>
    </row>
    <row r="2496" spans="7:7">
      <c r="G2496" s="7"/>
    </row>
    <row r="2497" spans="7:7">
      <c r="G2497" s="5">
        <v>2316417</v>
      </c>
    </row>
    <row r="2498" spans="7:7">
      <c r="G2498" s="7">
        <v>44663</v>
      </c>
    </row>
    <row r="2499" spans="7:7">
      <c r="G2499" s="19" t="s">
        <v>563</v>
      </c>
    </row>
    <row r="2500" spans="7:7">
      <c r="G2500" s="7"/>
    </row>
    <row r="2501" spans="7:7">
      <c r="G2501" s="5">
        <v>2316872</v>
      </c>
    </row>
    <row r="2502" spans="7:7">
      <c r="G2502" s="7">
        <v>44753</v>
      </c>
    </row>
    <row r="2503" spans="7:7">
      <c r="G2503" s="19" t="s">
        <v>2383</v>
      </c>
    </row>
    <row r="2504" spans="7:7">
      <c r="G2504" s="7"/>
    </row>
    <row r="2505" spans="7:7">
      <c r="G2505" s="5">
        <v>2316976</v>
      </c>
    </row>
    <row r="2506" spans="7:7">
      <c r="G2506" s="7">
        <v>44706</v>
      </c>
    </row>
    <row r="2507" spans="7:7">
      <c r="G2507" s="19" t="s">
        <v>552</v>
      </c>
    </row>
    <row r="2508" spans="7:7">
      <c r="G2508" s="7"/>
    </row>
    <row r="2509" spans="7:7">
      <c r="G2509" s="5">
        <v>2317504</v>
      </c>
    </row>
    <row r="2510" spans="7:7">
      <c r="G2510" s="7">
        <v>44708</v>
      </c>
    </row>
    <row r="2511" spans="7:7">
      <c r="G2511" s="19" t="s">
        <v>533</v>
      </c>
    </row>
    <row r="2512" spans="7:7">
      <c r="G2512" s="7"/>
    </row>
    <row r="2513" spans="7:7">
      <c r="G2513" s="5">
        <v>2317731</v>
      </c>
    </row>
    <row r="2514" spans="7:7">
      <c r="G2514" s="7">
        <v>44693</v>
      </c>
    </row>
    <row r="2515" spans="7:7">
      <c r="G2515" s="19" t="s">
        <v>2789</v>
      </c>
    </row>
    <row r="2516" spans="7:7">
      <c r="G2516" s="7"/>
    </row>
    <row r="2517" spans="7:7">
      <c r="G2517" s="5">
        <v>2320999</v>
      </c>
    </row>
    <row r="2518" spans="7:7">
      <c r="G2518" s="7">
        <v>44712</v>
      </c>
    </row>
    <row r="2519" spans="7:7">
      <c r="G2519" s="19" t="s">
        <v>563</v>
      </c>
    </row>
    <row r="2520" spans="7:7">
      <c r="G2520" s="7"/>
    </row>
    <row r="2521" spans="7:7">
      <c r="G2521" s="5">
        <v>2321633</v>
      </c>
    </row>
    <row r="2522" spans="7:7">
      <c r="G2522" s="7">
        <v>44526</v>
      </c>
    </row>
    <row r="2523" spans="7:7">
      <c r="G2523" s="19" t="s">
        <v>509</v>
      </c>
    </row>
    <row r="2524" spans="7:7">
      <c r="G2524" s="7"/>
    </row>
    <row r="2525" spans="7:7">
      <c r="G2525" s="5">
        <v>2322310</v>
      </c>
    </row>
    <row r="2526" spans="7:7">
      <c r="G2526" s="7">
        <v>44741</v>
      </c>
    </row>
    <row r="2527" spans="7:7">
      <c r="G2527" s="19" t="s">
        <v>2190</v>
      </c>
    </row>
    <row r="2528" spans="7:7">
      <c r="G2528" s="7"/>
    </row>
    <row r="2529" spans="7:7">
      <c r="G2529" s="5">
        <v>2323101</v>
      </c>
    </row>
    <row r="2530" spans="7:7">
      <c r="G2530" s="7">
        <v>44652</v>
      </c>
    </row>
    <row r="2531" spans="7:7">
      <c r="G2531" s="19" t="s">
        <v>563</v>
      </c>
    </row>
    <row r="2532" spans="7:7">
      <c r="G2532" s="7"/>
    </row>
    <row r="2533" spans="7:7">
      <c r="G2533" s="5">
        <v>2323586</v>
      </c>
    </row>
    <row r="2534" spans="7:7">
      <c r="G2534" s="7">
        <v>44698</v>
      </c>
    </row>
    <row r="2535" spans="7:7">
      <c r="G2535" s="19" t="s">
        <v>563</v>
      </c>
    </row>
    <row r="2536" spans="7:7">
      <c r="G2536" s="7"/>
    </row>
    <row r="2537" spans="7:7">
      <c r="G2537" s="5">
        <v>2323595</v>
      </c>
    </row>
    <row r="2538" spans="7:7">
      <c r="G2538" s="7">
        <v>44629</v>
      </c>
    </row>
    <row r="2539" spans="7:7">
      <c r="G2539" s="19" t="s">
        <v>128</v>
      </c>
    </row>
    <row r="2540" spans="7:7">
      <c r="G2540" s="7"/>
    </row>
    <row r="2541" spans="7:7">
      <c r="G2541" s="7">
        <v>44763</v>
      </c>
    </row>
    <row r="2542" spans="7:7">
      <c r="G2542" s="19" t="s">
        <v>1086</v>
      </c>
    </row>
    <row r="2543" spans="7:7">
      <c r="G2543" s="7"/>
    </row>
    <row r="2544" spans="7:7">
      <c r="G2544" s="5">
        <v>2323663</v>
      </c>
    </row>
    <row r="2545" spans="7:7">
      <c r="G2545" s="7">
        <v>44711</v>
      </c>
    </row>
    <row r="2546" spans="7:7">
      <c r="G2546" s="19" t="s">
        <v>563</v>
      </c>
    </row>
    <row r="2547" spans="7:7">
      <c r="G2547" s="7"/>
    </row>
    <row r="2548" spans="7:7">
      <c r="G2548" s="5">
        <v>2323672</v>
      </c>
    </row>
    <row r="2549" spans="7:7">
      <c r="G2549" s="7">
        <v>44642</v>
      </c>
    </row>
    <row r="2550" spans="7:7">
      <c r="G2550" s="19" t="s">
        <v>2237</v>
      </c>
    </row>
    <row r="2551" spans="7:7">
      <c r="G2551" s="7"/>
    </row>
    <row r="2552" spans="7:7">
      <c r="G2552" s="5">
        <v>2324782</v>
      </c>
    </row>
    <row r="2553" spans="7:7">
      <c r="G2553" s="7">
        <v>44493</v>
      </c>
    </row>
    <row r="2554" spans="7:7">
      <c r="G2554" s="19" t="s">
        <v>516</v>
      </c>
    </row>
    <row r="2555" spans="7:7">
      <c r="G2555" s="7"/>
    </row>
    <row r="2556" spans="7:7">
      <c r="G2556" s="5">
        <v>2326427</v>
      </c>
    </row>
    <row r="2557" spans="7:7">
      <c r="G2557" s="7">
        <v>44711</v>
      </c>
    </row>
    <row r="2558" spans="7:7">
      <c r="G2558" s="19" t="s">
        <v>563</v>
      </c>
    </row>
    <row r="2559" spans="7:7">
      <c r="G2559" s="7"/>
    </row>
    <row r="2560" spans="7:7">
      <c r="G2560" s="5">
        <v>2327873</v>
      </c>
    </row>
    <row r="2561" spans="7:7">
      <c r="G2561" s="7">
        <v>44769</v>
      </c>
    </row>
    <row r="2562" spans="7:7">
      <c r="G2562" s="19" t="s">
        <v>3077</v>
      </c>
    </row>
    <row r="2563" spans="7:7">
      <c r="G2563" s="7"/>
    </row>
    <row r="2564" spans="7:7">
      <c r="G2564" s="5">
        <v>2328003</v>
      </c>
    </row>
    <row r="2565" spans="7:7">
      <c r="G2565" s="7">
        <v>44664</v>
      </c>
    </row>
    <row r="2566" spans="7:7">
      <c r="G2566" s="19" t="s">
        <v>2175</v>
      </c>
    </row>
    <row r="2567" spans="7:7">
      <c r="G2567" s="7"/>
    </row>
    <row r="2568" spans="7:7">
      <c r="G2568" s="5">
        <v>2328135</v>
      </c>
    </row>
    <row r="2569" spans="7:7">
      <c r="G2569" s="7">
        <v>44704</v>
      </c>
    </row>
    <row r="2570" spans="7:7">
      <c r="G2570" s="19" t="s">
        <v>563</v>
      </c>
    </row>
    <row r="2571" spans="7:7">
      <c r="G2571" s="7"/>
    </row>
    <row r="2572" spans="7:7">
      <c r="G2572" s="7">
        <v>44720</v>
      </c>
    </row>
    <row r="2573" spans="7:7">
      <c r="G2573" s="19" t="s">
        <v>2383</v>
      </c>
    </row>
    <row r="2574" spans="7:7">
      <c r="G2574" s="7"/>
    </row>
    <row r="2575" spans="7:7">
      <c r="G2575" s="5">
        <v>2329294</v>
      </c>
    </row>
    <row r="2576" spans="7:7">
      <c r="G2576" s="7">
        <v>44713</v>
      </c>
    </row>
    <row r="2577" spans="7:7">
      <c r="G2577" s="19" t="s">
        <v>1120</v>
      </c>
    </row>
    <row r="2578" spans="7:7">
      <c r="G2578" s="7"/>
    </row>
    <row r="2579" spans="7:7">
      <c r="G2579" s="5">
        <v>2330187</v>
      </c>
    </row>
    <row r="2580" spans="7:7">
      <c r="G2580" s="7">
        <v>44641</v>
      </c>
    </row>
    <row r="2581" spans="7:7">
      <c r="G2581" s="19" t="s">
        <v>563</v>
      </c>
    </row>
    <row r="2582" spans="7:7">
      <c r="G2582" s="7"/>
    </row>
    <row r="2583" spans="7:7">
      <c r="G2583" s="5">
        <v>2332845</v>
      </c>
    </row>
    <row r="2584" spans="7:7">
      <c r="G2584" s="7">
        <v>44627</v>
      </c>
    </row>
    <row r="2585" spans="7:7">
      <c r="G2585" s="19" t="s">
        <v>2190</v>
      </c>
    </row>
    <row r="2586" spans="7:7">
      <c r="G2586" s="7"/>
    </row>
    <row r="2587" spans="7:7">
      <c r="G2587" s="5">
        <v>2334536</v>
      </c>
    </row>
    <row r="2588" spans="7:7">
      <c r="G2588" s="7">
        <v>43815</v>
      </c>
    </row>
    <row r="2589" spans="7:7">
      <c r="G2589" s="19" t="s">
        <v>85</v>
      </c>
    </row>
    <row r="2590" spans="7:7">
      <c r="G2590" s="7"/>
    </row>
    <row r="2591" spans="7:7">
      <c r="G2591" s="5">
        <v>2334642</v>
      </c>
    </row>
    <row r="2592" spans="7:7">
      <c r="G2592" s="7">
        <v>44600</v>
      </c>
    </row>
    <row r="2593" spans="7:7">
      <c r="G2593" s="19" t="s">
        <v>1742</v>
      </c>
    </row>
    <row r="2594" spans="7:7">
      <c r="G2594" s="7"/>
    </row>
    <row r="2595" spans="7:7">
      <c r="G2595" s="7">
        <v>44607</v>
      </c>
    </row>
    <row r="2596" spans="7:7">
      <c r="G2596" s="19" t="s">
        <v>1742</v>
      </c>
    </row>
    <row r="2597" spans="7:7">
      <c r="G2597" s="7"/>
    </row>
    <row r="2598" spans="7:7">
      <c r="G2598" s="7">
        <v>44757</v>
      </c>
    </row>
    <row r="2599" spans="7:7">
      <c r="G2599" s="19" t="s">
        <v>3034</v>
      </c>
    </row>
    <row r="2600" spans="7:7">
      <c r="G2600" s="7"/>
    </row>
    <row r="2601" spans="7:7">
      <c r="G2601" s="5">
        <v>2335001</v>
      </c>
    </row>
    <row r="2602" spans="7:7">
      <c r="G2602" s="7">
        <v>44384</v>
      </c>
    </row>
    <row r="2603" spans="7:7">
      <c r="G2603" s="19" t="s">
        <v>552</v>
      </c>
    </row>
    <row r="2604" spans="7:7">
      <c r="G2604" s="7"/>
    </row>
    <row r="2605" spans="7:7">
      <c r="G2605" s="7">
        <v>44496</v>
      </c>
    </row>
    <row r="2606" spans="7:7">
      <c r="G2606" s="19" t="s">
        <v>180</v>
      </c>
    </row>
    <row r="2607" spans="7:7">
      <c r="G2607" s="7"/>
    </row>
    <row r="2608" spans="7:7">
      <c r="G2608" s="5">
        <v>2335537</v>
      </c>
    </row>
    <row r="2609" spans="7:7">
      <c r="G2609" s="7">
        <v>44637</v>
      </c>
    </row>
    <row r="2610" spans="7:7">
      <c r="G2610" s="19" t="s">
        <v>118</v>
      </c>
    </row>
    <row r="2611" spans="7:7">
      <c r="G2611" s="7"/>
    </row>
    <row r="2612" spans="7:7">
      <c r="G2612" s="5">
        <v>2336284</v>
      </c>
    </row>
    <row r="2613" spans="7:7">
      <c r="G2613" s="7">
        <v>44628</v>
      </c>
    </row>
    <row r="2614" spans="7:7">
      <c r="G2614" s="19" t="s">
        <v>1203</v>
      </c>
    </row>
    <row r="2615" spans="7:7">
      <c r="G2615" s="7"/>
    </row>
    <row r="2616" spans="7:7">
      <c r="G2616" s="5">
        <v>2338260</v>
      </c>
    </row>
    <row r="2617" spans="7:7">
      <c r="G2617" s="7">
        <v>44637</v>
      </c>
    </row>
    <row r="2618" spans="7:7">
      <c r="G2618" s="19" t="s">
        <v>563</v>
      </c>
    </row>
    <row r="2619" spans="7:7">
      <c r="G2619" s="7"/>
    </row>
    <row r="2620" spans="7:7">
      <c r="G2620" s="5">
        <v>2339336</v>
      </c>
    </row>
    <row r="2621" spans="7:7">
      <c r="G2621" s="7">
        <v>44680</v>
      </c>
    </row>
    <row r="2622" spans="7:7">
      <c r="G2622" s="19" t="s">
        <v>563</v>
      </c>
    </row>
    <row r="2623" spans="7:7">
      <c r="G2623" s="7"/>
    </row>
    <row r="2624" spans="7:7">
      <c r="G2624" s="5">
        <v>2339349</v>
      </c>
    </row>
    <row r="2625" spans="7:7">
      <c r="G2625" s="7">
        <v>44721</v>
      </c>
    </row>
    <row r="2626" spans="7:7">
      <c r="G2626" s="19" t="s">
        <v>2547</v>
      </c>
    </row>
    <row r="2627" spans="7:7">
      <c r="G2627" s="7"/>
    </row>
    <row r="2628" spans="7:7">
      <c r="G2628" s="5">
        <v>2341376</v>
      </c>
    </row>
    <row r="2629" spans="7:7">
      <c r="G2629" s="7">
        <v>44663</v>
      </c>
    </row>
    <row r="2630" spans="7:7">
      <c r="G2630" s="19" t="s">
        <v>563</v>
      </c>
    </row>
    <row r="2631" spans="7:7">
      <c r="G2631" s="7"/>
    </row>
    <row r="2632" spans="7:7">
      <c r="G2632" s="5">
        <v>2342072</v>
      </c>
    </row>
    <row r="2633" spans="7:7">
      <c r="G2633" s="7">
        <v>44748</v>
      </c>
    </row>
    <row r="2634" spans="7:7">
      <c r="G2634" s="19" t="s">
        <v>1113</v>
      </c>
    </row>
    <row r="2635" spans="7:7">
      <c r="G2635" s="7"/>
    </row>
    <row r="2636" spans="7:7">
      <c r="G2636" s="5">
        <v>2342639</v>
      </c>
    </row>
    <row r="2637" spans="7:7">
      <c r="G2637" s="7">
        <v>44659</v>
      </c>
    </row>
    <row r="2638" spans="7:7">
      <c r="G2638" s="19" t="s">
        <v>516</v>
      </c>
    </row>
    <row r="2639" spans="7:7">
      <c r="G2639" s="7"/>
    </row>
    <row r="2640" spans="7:7">
      <c r="G2640" s="5">
        <v>2343053</v>
      </c>
    </row>
    <row r="2641" spans="7:7">
      <c r="G2641" s="7">
        <v>44252</v>
      </c>
    </row>
    <row r="2642" spans="7:7">
      <c r="G2642" s="19" t="s">
        <v>397</v>
      </c>
    </row>
    <row r="2643" spans="7:7">
      <c r="G2643" s="7"/>
    </row>
    <row r="2644" spans="7:7">
      <c r="G2644" s="5">
        <v>2344421</v>
      </c>
    </row>
    <row r="2645" spans="7:7">
      <c r="G2645" s="7">
        <v>44663</v>
      </c>
    </row>
    <row r="2646" spans="7:7">
      <c r="G2646" s="19" t="s">
        <v>1711</v>
      </c>
    </row>
    <row r="2647" spans="7:7">
      <c r="G2647" s="7"/>
    </row>
    <row r="2648" spans="7:7">
      <c r="G2648" s="5">
        <v>2345280</v>
      </c>
    </row>
    <row r="2649" spans="7:7">
      <c r="G2649" s="7">
        <v>44767</v>
      </c>
    </row>
    <row r="2650" spans="7:7">
      <c r="G2650" s="19" t="s">
        <v>2383</v>
      </c>
    </row>
    <row r="2651" spans="7:7">
      <c r="G2651" s="7"/>
    </row>
    <row r="2652" spans="7:7">
      <c r="G2652" s="5">
        <v>2345481</v>
      </c>
    </row>
    <row r="2653" spans="7:7">
      <c r="G2653" s="7">
        <v>44742</v>
      </c>
    </row>
    <row r="2654" spans="7:7">
      <c r="G2654" s="19" t="s">
        <v>2383</v>
      </c>
    </row>
    <row r="2655" spans="7:7">
      <c r="G2655" s="7"/>
    </row>
    <row r="2656" spans="7:7">
      <c r="G2656" s="5">
        <v>2345540</v>
      </c>
    </row>
    <row r="2657" spans="7:7">
      <c r="G2657" s="7">
        <v>44616</v>
      </c>
    </row>
    <row r="2658" spans="7:7">
      <c r="G2658" s="19" t="s">
        <v>552</v>
      </c>
    </row>
    <row r="2659" spans="7:7">
      <c r="G2659" s="7"/>
    </row>
    <row r="2660" spans="7:7">
      <c r="G2660" s="5">
        <v>2347086</v>
      </c>
    </row>
    <row r="2661" spans="7:7">
      <c r="G2661" s="7">
        <v>44741</v>
      </c>
    </row>
    <row r="2662" spans="7:7">
      <c r="G2662" s="19" t="s">
        <v>2383</v>
      </c>
    </row>
    <row r="2663" spans="7:7">
      <c r="G2663" s="7"/>
    </row>
    <row r="2664" spans="7:7">
      <c r="G2664" s="5">
        <v>2347222</v>
      </c>
    </row>
    <row r="2665" spans="7:7">
      <c r="G2665" s="7">
        <v>44636</v>
      </c>
    </row>
    <row r="2666" spans="7:7">
      <c r="G2666" s="19" t="s">
        <v>503</v>
      </c>
    </row>
    <row r="2667" spans="7:7">
      <c r="G2667" s="7"/>
    </row>
    <row r="2668" spans="7:7">
      <c r="G2668" s="5">
        <v>2347995</v>
      </c>
    </row>
    <row r="2669" spans="7:7">
      <c r="G2669" s="7">
        <v>44719</v>
      </c>
    </row>
    <row r="2670" spans="7:7">
      <c r="G2670" s="19" t="s">
        <v>2383</v>
      </c>
    </row>
    <row r="2671" spans="7:7">
      <c r="G2671" s="7"/>
    </row>
    <row r="2672" spans="7:7">
      <c r="G2672" s="5">
        <v>2352065</v>
      </c>
    </row>
    <row r="2673" spans="7:7">
      <c r="G2673" s="7">
        <v>44391</v>
      </c>
    </row>
    <row r="2674" spans="7:7">
      <c r="G2674" s="19" t="s">
        <v>128</v>
      </c>
    </row>
    <row r="2675" spans="7:7">
      <c r="G2675" s="7"/>
    </row>
    <row r="2676" spans="7:7">
      <c r="G2676" s="5">
        <v>2353292</v>
      </c>
    </row>
    <row r="2677" spans="7:7">
      <c r="G2677" s="7">
        <v>44732</v>
      </c>
    </row>
    <row r="2678" spans="7:7">
      <c r="G2678" s="19" t="s">
        <v>2383</v>
      </c>
    </row>
    <row r="2679" spans="7:7">
      <c r="G2679" s="7"/>
    </row>
    <row r="2680" spans="7:7">
      <c r="G2680" s="5">
        <v>2353865</v>
      </c>
    </row>
    <row r="2681" spans="7:7">
      <c r="G2681" s="7">
        <v>44697</v>
      </c>
    </row>
    <row r="2682" spans="7:7">
      <c r="G2682" s="19" t="s">
        <v>563</v>
      </c>
    </row>
    <row r="2683" spans="7:7">
      <c r="G2683" s="7"/>
    </row>
    <row r="2684" spans="7:7">
      <c r="G2684" s="5">
        <v>2355801</v>
      </c>
    </row>
    <row r="2685" spans="7:7">
      <c r="G2685" s="7">
        <v>44644</v>
      </c>
    </row>
    <row r="2686" spans="7:7">
      <c r="G2686" s="19" t="s">
        <v>166</v>
      </c>
    </row>
    <row r="2687" spans="7:7">
      <c r="G2687" s="19" t="s">
        <v>2337</v>
      </c>
    </row>
    <row r="2688" spans="7:7">
      <c r="G2688" s="7"/>
    </row>
    <row r="2689" spans="7:7">
      <c r="G2689" s="5">
        <v>2356730</v>
      </c>
    </row>
    <row r="2690" spans="7:7">
      <c r="G2690" s="7">
        <v>44454</v>
      </c>
    </row>
    <row r="2691" spans="7:7">
      <c r="G2691" s="19" t="s">
        <v>1300</v>
      </c>
    </row>
    <row r="2692" spans="7:7">
      <c r="G2692" s="7"/>
    </row>
    <row r="2693" spans="7:7">
      <c r="G2693" s="7">
        <v>44519</v>
      </c>
    </row>
    <row r="2694" spans="7:7">
      <c r="G2694" s="19" t="s">
        <v>128</v>
      </c>
    </row>
    <row r="2695" spans="7:7">
      <c r="G2695" s="7"/>
    </row>
    <row r="2696" spans="7:7">
      <c r="G2696" s="5">
        <v>2357868</v>
      </c>
    </row>
    <row r="2697" spans="7:7">
      <c r="G2697" s="7">
        <v>43980</v>
      </c>
    </row>
    <row r="2698" spans="7:7">
      <c r="G2698" s="19" t="s">
        <v>397</v>
      </c>
    </row>
    <row r="2699" spans="7:7">
      <c r="G2699" s="7"/>
    </row>
    <row r="2700" spans="7:7">
      <c r="G2700" s="7">
        <v>43979</v>
      </c>
    </row>
    <row r="2701" spans="7:7">
      <c r="G2701" s="19" t="s">
        <v>397</v>
      </c>
    </row>
    <row r="2702" spans="7:7">
      <c r="G2702" s="7"/>
    </row>
    <row r="2703" spans="7:7">
      <c r="G2703" s="5">
        <v>2358339</v>
      </c>
    </row>
    <row r="2704" spans="7:7">
      <c r="G2704" s="7">
        <v>44754</v>
      </c>
    </row>
    <row r="2705" spans="7:7">
      <c r="G2705" s="19" t="s">
        <v>3077</v>
      </c>
    </row>
    <row r="2706" spans="7:7">
      <c r="G2706" s="7"/>
    </row>
    <row r="2707" spans="7:7">
      <c r="G2707" s="5">
        <v>2359721</v>
      </c>
    </row>
    <row r="2708" spans="7:7">
      <c r="G2708" s="7">
        <v>44523</v>
      </c>
    </row>
    <row r="2709" spans="7:7">
      <c r="G2709" s="19" t="s">
        <v>819</v>
      </c>
    </row>
    <row r="2710" spans="7:7">
      <c r="G2710" s="7"/>
    </row>
    <row r="2711" spans="7:7">
      <c r="G2711" s="5">
        <v>2360515</v>
      </c>
    </row>
    <row r="2712" spans="7:7">
      <c r="G2712" s="7">
        <v>44741</v>
      </c>
    </row>
    <row r="2713" spans="7:7">
      <c r="G2713" s="19" t="s">
        <v>2383</v>
      </c>
    </row>
    <row r="2714" spans="7:7">
      <c r="G2714" s="7"/>
    </row>
    <row r="2715" spans="7:7">
      <c r="G2715" s="5">
        <v>2360552</v>
      </c>
    </row>
    <row r="2716" spans="7:7">
      <c r="G2716" s="7">
        <v>44678</v>
      </c>
    </row>
    <row r="2717" spans="7:7">
      <c r="G2717" s="19" t="s">
        <v>563</v>
      </c>
    </row>
    <row r="2718" spans="7:7">
      <c r="G2718" s="7"/>
    </row>
    <row r="2719" spans="7:7">
      <c r="G2719" s="5">
        <v>2362274</v>
      </c>
    </row>
    <row r="2720" spans="7:7">
      <c r="G2720" s="7">
        <v>44699</v>
      </c>
    </row>
    <row r="2721" spans="7:7">
      <c r="G2721" s="19" t="s">
        <v>563</v>
      </c>
    </row>
    <row r="2722" spans="7:7">
      <c r="G2722" s="7"/>
    </row>
    <row r="2723" spans="7:7">
      <c r="G2723" s="5">
        <v>2362290</v>
      </c>
    </row>
    <row r="2724" spans="7:7">
      <c r="G2724" s="7">
        <v>44715</v>
      </c>
    </row>
    <row r="2725" spans="7:7">
      <c r="G2725" s="19" t="s">
        <v>2383</v>
      </c>
    </row>
    <row r="2726" spans="7:7">
      <c r="G2726" s="7"/>
    </row>
    <row r="2727" spans="7:7">
      <c r="G2727" s="5">
        <v>2363451</v>
      </c>
    </row>
    <row r="2728" spans="7:7">
      <c r="G2728" s="7">
        <v>44671</v>
      </c>
    </row>
    <row r="2729" spans="7:7">
      <c r="G2729" s="19" t="s">
        <v>2241</v>
      </c>
    </row>
    <row r="2730" spans="7:7">
      <c r="G2730" s="7"/>
    </row>
    <row r="2731" spans="7:7">
      <c r="G2731" s="5">
        <v>2363476</v>
      </c>
    </row>
    <row r="2732" spans="7:7">
      <c r="G2732" s="7">
        <v>44370</v>
      </c>
    </row>
    <row r="2733" spans="7:7">
      <c r="G2733" s="19" t="s">
        <v>175</v>
      </c>
    </row>
    <row r="2734" spans="7:7">
      <c r="G2734" s="7"/>
    </row>
    <row r="2735" spans="7:7">
      <c r="G2735" s="7">
        <v>44678</v>
      </c>
    </row>
    <row r="2736" spans="7:7">
      <c r="G2736" s="19" t="s">
        <v>2098</v>
      </c>
    </row>
    <row r="2737" spans="7:7">
      <c r="G2737" s="7"/>
    </row>
    <row r="2738" spans="7:7">
      <c r="G2738" s="5">
        <v>2366010</v>
      </c>
    </row>
    <row r="2739" spans="7:7">
      <c r="G2739" s="7">
        <v>44448</v>
      </c>
    </row>
    <row r="2740" spans="7:7">
      <c r="G2740" s="19" t="s">
        <v>1218</v>
      </c>
    </row>
    <row r="2741" spans="7:7">
      <c r="G2741" s="7"/>
    </row>
    <row r="2742" spans="7:7">
      <c r="G2742" s="7">
        <v>44447</v>
      </c>
    </row>
    <row r="2743" spans="7:7">
      <c r="G2743" s="19" t="s">
        <v>1174</v>
      </c>
    </row>
    <row r="2744" spans="7:7">
      <c r="G2744" s="7"/>
    </row>
    <row r="2745" spans="7:7">
      <c r="G2745" s="7">
        <v>44449</v>
      </c>
    </row>
    <row r="2746" spans="7:7">
      <c r="G2746" s="19" t="s">
        <v>1631</v>
      </c>
    </row>
    <row r="2747" spans="7:7">
      <c r="G2747" s="7"/>
    </row>
    <row r="2748" spans="7:7">
      <c r="G2748" s="5">
        <v>2367233</v>
      </c>
    </row>
    <row r="2749" spans="7:7">
      <c r="G2749" s="7">
        <v>44623</v>
      </c>
    </row>
    <row r="2750" spans="7:7">
      <c r="G2750" s="19" t="s">
        <v>503</v>
      </c>
    </row>
    <row r="2751" spans="7:7">
      <c r="G2751" s="7"/>
    </row>
    <row r="2752" spans="7:7">
      <c r="G2752" s="5">
        <v>2367848</v>
      </c>
    </row>
    <row r="2753" spans="7:7">
      <c r="G2753" s="7">
        <v>44720</v>
      </c>
    </row>
    <row r="2754" spans="7:7">
      <c r="G2754" s="19" t="s">
        <v>2383</v>
      </c>
    </row>
    <row r="2755" spans="7:7">
      <c r="G2755" s="7"/>
    </row>
    <row r="2756" spans="7:7">
      <c r="G2756" s="5">
        <v>2370380</v>
      </c>
    </row>
    <row r="2757" spans="7:7">
      <c r="G2757" s="7">
        <v>44741</v>
      </c>
    </row>
    <row r="2758" spans="7:7">
      <c r="G2758" s="19" t="s">
        <v>3221</v>
      </c>
    </row>
    <row r="2759" spans="7:7">
      <c r="G2759" s="7"/>
    </row>
    <row r="2760" spans="7:7">
      <c r="G2760" s="5">
        <v>2371196</v>
      </c>
    </row>
    <row r="2761" spans="7:7">
      <c r="G2761" s="7">
        <v>44649</v>
      </c>
    </row>
    <row r="2762" spans="7:7">
      <c r="G2762" s="19" t="s">
        <v>563</v>
      </c>
    </row>
    <row r="2763" spans="7:7">
      <c r="G2763" s="7"/>
    </row>
    <row r="2764" spans="7:7">
      <c r="G2764" s="5">
        <v>2372586</v>
      </c>
    </row>
    <row r="2765" spans="7:7">
      <c r="G2765" s="7">
        <v>44498</v>
      </c>
    </row>
    <row r="2766" spans="7:7">
      <c r="G2766" s="19" t="s">
        <v>1836</v>
      </c>
    </row>
    <row r="2767" spans="7:7">
      <c r="G2767" s="7"/>
    </row>
    <row r="2768" spans="7:7">
      <c r="G2768" s="5">
        <v>2373854</v>
      </c>
    </row>
    <row r="2769" spans="7:7">
      <c r="G2769" s="7">
        <v>44656</v>
      </c>
    </row>
    <row r="2770" spans="7:7">
      <c r="G2770" s="19" t="s">
        <v>563</v>
      </c>
    </row>
    <row r="2771" spans="7:7">
      <c r="G2771" s="7"/>
    </row>
    <row r="2772" spans="7:7">
      <c r="G2772" s="7">
        <v>44652</v>
      </c>
    </row>
    <row r="2773" spans="7:7">
      <c r="G2773" s="19" t="s">
        <v>563</v>
      </c>
    </row>
    <row r="2774" spans="7:7">
      <c r="G2774" s="7"/>
    </row>
    <row r="2775" spans="7:7">
      <c r="G2775" s="5">
        <v>2376341</v>
      </c>
    </row>
    <row r="2776" spans="7:7">
      <c r="G2776" s="7">
        <v>44734</v>
      </c>
    </row>
    <row r="2777" spans="7:7">
      <c r="G2777" s="19" t="s">
        <v>2383</v>
      </c>
    </row>
    <row r="2778" spans="7:7">
      <c r="G2778" s="7"/>
    </row>
    <row r="2779" spans="7:7">
      <c r="G2779" s="5">
        <v>2379738</v>
      </c>
    </row>
    <row r="2780" spans="7:7">
      <c r="G2780" s="7">
        <v>44697</v>
      </c>
    </row>
    <row r="2781" spans="7:7">
      <c r="G2781" s="19" t="s">
        <v>563</v>
      </c>
    </row>
    <row r="2782" spans="7:7">
      <c r="G2782" s="7"/>
    </row>
    <row r="2783" spans="7:7">
      <c r="G2783" s="5">
        <v>2381654</v>
      </c>
    </row>
    <row r="2784" spans="7:7">
      <c r="G2784" s="7">
        <v>44362</v>
      </c>
    </row>
    <row r="2785" spans="7:7">
      <c r="G2785" s="19" t="s">
        <v>89</v>
      </c>
    </row>
    <row r="2786" spans="7:7">
      <c r="G2786" s="7"/>
    </row>
    <row r="2787" spans="7:7">
      <c r="G2787" s="5">
        <v>2383416</v>
      </c>
    </row>
    <row r="2788" spans="7:7">
      <c r="G2788" s="7">
        <v>44369</v>
      </c>
    </row>
    <row r="2789" spans="7:7">
      <c r="G2789" s="19" t="s">
        <v>118</v>
      </c>
    </row>
    <row r="2790" spans="7:7">
      <c r="G2790" s="7"/>
    </row>
    <row r="2791" spans="7:7">
      <c r="G2791" s="5">
        <v>2391051</v>
      </c>
    </row>
    <row r="2792" spans="7:7">
      <c r="G2792" s="7">
        <v>44743</v>
      </c>
    </row>
    <row r="2793" spans="7:7">
      <c r="G2793" s="19" t="s">
        <v>259</v>
      </c>
    </row>
    <row r="2794" spans="7:7">
      <c r="G2794" s="7"/>
    </row>
    <row r="2795" spans="7:7">
      <c r="G2795" s="5">
        <v>2392091</v>
      </c>
    </row>
    <row r="2796" spans="7:7">
      <c r="G2796" s="7">
        <v>44747</v>
      </c>
    </row>
    <row r="2797" spans="7:7">
      <c r="G2797" s="19" t="s">
        <v>2383</v>
      </c>
    </row>
    <row r="2798" spans="7:7">
      <c r="G2798" s="7"/>
    </row>
    <row r="2799" spans="7:7">
      <c r="G2799" s="5">
        <v>2395826</v>
      </c>
    </row>
    <row r="2800" spans="7:7">
      <c r="G2800" s="7">
        <v>44350</v>
      </c>
    </row>
    <row r="2801" spans="7:7">
      <c r="G2801" s="19" t="s">
        <v>563</v>
      </c>
    </row>
    <row r="2802" spans="7:7">
      <c r="G2802" s="7"/>
    </row>
    <row r="2803" spans="7:7">
      <c r="G2803" s="5">
        <v>2397148</v>
      </c>
    </row>
    <row r="2804" spans="7:7">
      <c r="G2804" s="7">
        <v>44685</v>
      </c>
    </row>
    <row r="2805" spans="7:7">
      <c r="G2805" s="19" t="s">
        <v>2710</v>
      </c>
    </row>
    <row r="2806" spans="7:7">
      <c r="G2806" s="7"/>
    </row>
    <row r="2807" spans="7:7">
      <c r="G2807" s="5">
        <v>2397401</v>
      </c>
    </row>
    <row r="2808" spans="7:7">
      <c r="G2808" s="7">
        <v>44754</v>
      </c>
    </row>
    <row r="2809" spans="7:7">
      <c r="G2809" s="19" t="s">
        <v>1203</v>
      </c>
    </row>
    <row r="2810" spans="7:7">
      <c r="G2810" s="7"/>
    </row>
    <row r="2811" spans="7:7">
      <c r="G2811" s="5">
        <v>2398120</v>
      </c>
    </row>
    <row r="2812" spans="7:7">
      <c r="G2812" s="7">
        <v>44705</v>
      </c>
    </row>
    <row r="2813" spans="7:7">
      <c r="G2813" s="19" t="s">
        <v>563</v>
      </c>
    </row>
    <row r="2814" spans="7:7">
      <c r="G2814" s="7"/>
    </row>
    <row r="2815" spans="7:7">
      <c r="G2815" s="5">
        <v>2398234</v>
      </c>
    </row>
    <row r="2816" spans="7:7">
      <c r="G2816" s="7">
        <v>44700</v>
      </c>
    </row>
    <row r="2817" spans="7:7">
      <c r="G2817" s="19" t="s">
        <v>563</v>
      </c>
    </row>
    <row r="2818" spans="7:7">
      <c r="G2818" s="7"/>
    </row>
    <row r="2819" spans="7:7">
      <c r="G2819" s="7">
        <v>44733</v>
      </c>
    </row>
    <row r="2820" spans="7:7">
      <c r="G2820" s="19" t="s">
        <v>2383</v>
      </c>
    </row>
    <row r="2821" spans="7:7">
      <c r="G2821" s="7"/>
    </row>
    <row r="2822" spans="7:7">
      <c r="G2822" s="7">
        <v>44735</v>
      </c>
    </row>
    <row r="2823" spans="7:7">
      <c r="G2823" s="19" t="s">
        <v>2309</v>
      </c>
    </row>
    <row r="2824" spans="7:7">
      <c r="G2824" s="7"/>
    </row>
    <row r="2825" spans="7:7">
      <c r="G2825" s="5">
        <v>2398262</v>
      </c>
    </row>
    <row r="2826" spans="7:7">
      <c r="G2826" s="7">
        <v>43981</v>
      </c>
    </row>
    <row r="2827" spans="7:7">
      <c r="G2827" s="19" t="s">
        <v>85</v>
      </c>
    </row>
    <row r="2828" spans="7:7">
      <c r="G2828" s="7"/>
    </row>
    <row r="2829" spans="7:7">
      <c r="G2829" s="7">
        <v>44441</v>
      </c>
    </row>
    <row r="2830" spans="7:7">
      <c r="G2830" s="19" t="s">
        <v>89</v>
      </c>
    </row>
    <row r="2831" spans="7:7">
      <c r="G2831" s="7"/>
    </row>
    <row r="2832" spans="7:7">
      <c r="G2832" s="5">
        <v>2398410</v>
      </c>
    </row>
    <row r="2833" spans="7:7">
      <c r="G2833" s="7">
        <v>44643</v>
      </c>
    </row>
    <row r="2834" spans="7:7">
      <c r="G2834" s="19" t="s">
        <v>2237</v>
      </c>
    </row>
    <row r="2835" spans="7:7">
      <c r="G2835" s="7"/>
    </row>
    <row r="2836" spans="7:7">
      <c r="G2836" s="5">
        <v>2398550</v>
      </c>
    </row>
    <row r="2837" spans="7:7">
      <c r="G2837" s="7">
        <v>44672</v>
      </c>
    </row>
    <row r="2838" spans="7:7">
      <c r="G2838" s="19" t="s">
        <v>563</v>
      </c>
    </row>
    <row r="2839" spans="7:7">
      <c r="G2839" s="7"/>
    </row>
    <row r="2840" spans="7:7">
      <c r="G2840" s="5">
        <v>2399517</v>
      </c>
    </row>
    <row r="2841" spans="7:7">
      <c r="G2841" s="7">
        <v>44455</v>
      </c>
    </row>
    <row r="2842" spans="7:7">
      <c r="G2842" s="19" t="s">
        <v>1274</v>
      </c>
    </row>
    <row r="2843" spans="7:7">
      <c r="G2843" s="7"/>
    </row>
    <row r="2844" spans="7:7">
      <c r="G2844" s="7">
        <v>44468</v>
      </c>
    </row>
    <row r="2845" spans="7:7">
      <c r="G2845" s="19" t="s">
        <v>1274</v>
      </c>
    </row>
    <row r="2846" spans="7:7">
      <c r="G2846" s="7"/>
    </row>
    <row r="2847" spans="7:7">
      <c r="G2847" s="7">
        <v>44503</v>
      </c>
    </row>
    <row r="2848" spans="7:7">
      <c r="G2848" s="19" t="s">
        <v>1274</v>
      </c>
    </row>
    <row r="2849" spans="7:7">
      <c r="G2849" s="7"/>
    </row>
    <row r="2850" spans="7:7">
      <c r="G2850" s="5">
        <v>2400056</v>
      </c>
    </row>
    <row r="2851" spans="7:7">
      <c r="G2851" s="7">
        <v>44699</v>
      </c>
    </row>
    <row r="2852" spans="7:7">
      <c r="G2852" s="19" t="s">
        <v>1293</v>
      </c>
    </row>
    <row r="2853" spans="7:7">
      <c r="G2853" s="7"/>
    </row>
    <row r="2854" spans="7:7">
      <c r="G2854" s="7">
        <v>44728</v>
      </c>
    </row>
    <row r="2855" spans="7:7">
      <c r="G2855" s="19" t="s">
        <v>1152</v>
      </c>
    </row>
    <row r="2856" spans="7:7">
      <c r="G2856" s="7"/>
    </row>
    <row r="2857" spans="7:7">
      <c r="G2857" s="7">
        <v>44735</v>
      </c>
    </row>
    <row r="2858" spans="7:7">
      <c r="G2858" s="19" t="s">
        <v>1152</v>
      </c>
    </row>
    <row r="2859" spans="7:7">
      <c r="G2859" s="7"/>
    </row>
    <row r="2860" spans="7:7">
      <c r="G2860" s="5">
        <v>2400073</v>
      </c>
    </row>
    <row r="2861" spans="7:7">
      <c r="G2861" s="7">
        <v>44756</v>
      </c>
    </row>
    <row r="2862" spans="7:7">
      <c r="G2862" s="19" t="s">
        <v>2383</v>
      </c>
    </row>
    <row r="2863" spans="7:7">
      <c r="G2863" s="7"/>
    </row>
    <row r="2864" spans="7:7">
      <c r="G2864" s="5">
        <v>2400618</v>
      </c>
    </row>
    <row r="2865" spans="7:7">
      <c r="G2865" s="7">
        <v>44706</v>
      </c>
    </row>
    <row r="2866" spans="7:7">
      <c r="G2866" s="19" t="s">
        <v>2122</v>
      </c>
    </row>
    <row r="2867" spans="7:7">
      <c r="G2867" s="7"/>
    </row>
    <row r="2868" spans="7:7">
      <c r="G2868" s="5">
        <v>2400981</v>
      </c>
    </row>
    <row r="2869" spans="7:7">
      <c r="G2869" s="7">
        <v>44679</v>
      </c>
    </row>
    <row r="2870" spans="7:7">
      <c r="G2870" s="19" t="s">
        <v>563</v>
      </c>
    </row>
    <row r="2871" spans="7:7">
      <c r="G2871" s="7"/>
    </row>
    <row r="2872" spans="7:7">
      <c r="G2872" s="5">
        <v>2401036</v>
      </c>
    </row>
    <row r="2873" spans="7:7">
      <c r="G2873" s="7">
        <v>44657</v>
      </c>
    </row>
    <row r="2874" spans="7:7">
      <c r="G2874" s="19" t="s">
        <v>563</v>
      </c>
    </row>
    <row r="2875" spans="7:7">
      <c r="G2875" s="7"/>
    </row>
    <row r="2876" spans="7:7">
      <c r="G2876" s="5">
        <v>2401168</v>
      </c>
    </row>
    <row r="2877" spans="7:7">
      <c r="G2877" s="7">
        <v>44121</v>
      </c>
    </row>
    <row r="2878" spans="7:7">
      <c r="G2878" s="19" t="s">
        <v>179</v>
      </c>
    </row>
    <row r="2879" spans="7:7">
      <c r="G2879" s="7"/>
    </row>
    <row r="2880" spans="7:7">
      <c r="G2880" s="5">
        <v>2405070</v>
      </c>
    </row>
    <row r="2881" spans="7:7">
      <c r="G2881" s="7">
        <v>44720</v>
      </c>
    </row>
    <row r="2882" spans="7:7">
      <c r="G2882" s="19" t="s">
        <v>3077</v>
      </c>
    </row>
    <row r="2883" spans="7:7">
      <c r="G2883" s="7"/>
    </row>
    <row r="2884" spans="7:7">
      <c r="G2884" s="5">
        <v>2405995</v>
      </c>
    </row>
    <row r="2885" spans="7:7">
      <c r="G2885" s="7">
        <v>44390</v>
      </c>
    </row>
    <row r="2886" spans="7:7">
      <c r="G2886" s="19" t="s">
        <v>999</v>
      </c>
    </row>
    <row r="2887" spans="7:7">
      <c r="G2887" s="7"/>
    </row>
    <row r="2888" spans="7:7">
      <c r="G2888" s="7">
        <v>44522</v>
      </c>
    </row>
    <row r="2889" spans="7:7">
      <c r="G2889" s="19" t="s">
        <v>1912</v>
      </c>
    </row>
    <row r="2890" spans="7:7">
      <c r="G2890" s="7"/>
    </row>
    <row r="2891" spans="7:7">
      <c r="G2891" s="5">
        <v>2406075</v>
      </c>
    </row>
    <row r="2892" spans="7:7">
      <c r="G2892" s="7">
        <v>44349</v>
      </c>
    </row>
    <row r="2893" spans="7:7">
      <c r="G2893" s="19" t="s">
        <v>812</v>
      </c>
    </row>
    <row r="2894" spans="7:7">
      <c r="G2894" s="7"/>
    </row>
    <row r="2895" spans="7:7">
      <c r="G2895" s="5">
        <v>2406339</v>
      </c>
    </row>
    <row r="2896" spans="7:7">
      <c r="G2896" s="7">
        <v>44670</v>
      </c>
    </row>
    <row r="2897" spans="7:7">
      <c r="G2897" s="19" t="s">
        <v>1304</v>
      </c>
    </row>
    <row r="2898" spans="7:7">
      <c r="G2898" s="7"/>
    </row>
    <row r="2899" spans="7:7">
      <c r="G2899" s="5">
        <v>2406632</v>
      </c>
    </row>
    <row r="2900" spans="7:7">
      <c r="G2900" s="7">
        <v>44683</v>
      </c>
    </row>
    <row r="2901" spans="7:7">
      <c r="G2901" s="19" t="s">
        <v>2704</v>
      </c>
    </row>
    <row r="2902" spans="7:7">
      <c r="G2902" s="7"/>
    </row>
    <row r="2903" spans="7:7">
      <c r="G2903" s="7">
        <v>44729</v>
      </c>
    </row>
    <row r="2904" spans="7:7">
      <c r="G2904" s="19" t="s">
        <v>2434</v>
      </c>
    </row>
    <row r="2905" spans="7:7">
      <c r="G2905" s="7"/>
    </row>
    <row r="2906" spans="7:7">
      <c r="G2906" s="5">
        <v>2407157</v>
      </c>
    </row>
    <row r="2907" spans="7:7">
      <c r="G2907" s="7">
        <v>44664</v>
      </c>
    </row>
    <row r="2908" spans="7:7">
      <c r="G2908" s="19" t="s">
        <v>563</v>
      </c>
    </row>
    <row r="2909" spans="7:7">
      <c r="G2909" s="7"/>
    </row>
    <row r="2910" spans="7:7">
      <c r="G2910" s="5">
        <v>2407212</v>
      </c>
    </row>
    <row r="2911" spans="7:7">
      <c r="G2911" s="7">
        <v>44749</v>
      </c>
    </row>
    <row r="2912" spans="7:7">
      <c r="G2912" s="19" t="s">
        <v>2383</v>
      </c>
    </row>
    <row r="2913" spans="7:7">
      <c r="G2913" s="7"/>
    </row>
    <row r="2914" spans="7:7">
      <c r="G2914" s="5">
        <v>2407343</v>
      </c>
    </row>
    <row r="2915" spans="7:7">
      <c r="G2915" s="7">
        <v>44494</v>
      </c>
    </row>
    <row r="2916" spans="7:7">
      <c r="G2916" s="19" t="s">
        <v>1774</v>
      </c>
    </row>
    <row r="2917" spans="7:7">
      <c r="G2917" s="7"/>
    </row>
    <row r="2918" spans="7:7">
      <c r="G2918" s="5">
        <v>2407392</v>
      </c>
    </row>
    <row r="2919" spans="7:7">
      <c r="G2919" s="7">
        <v>44389</v>
      </c>
    </row>
    <row r="2920" spans="7:7">
      <c r="G2920" s="19" t="s">
        <v>1053</v>
      </c>
    </row>
    <row r="2921" spans="7:7">
      <c r="G2921" s="7"/>
    </row>
    <row r="2922" spans="7:7">
      <c r="G2922" s="5">
        <v>2407845</v>
      </c>
    </row>
    <row r="2923" spans="7:7">
      <c r="G2923" s="7">
        <v>44770</v>
      </c>
    </row>
    <row r="2924" spans="7:7">
      <c r="G2924" s="19" t="s">
        <v>107</v>
      </c>
    </row>
    <row r="2925" spans="7:7">
      <c r="G2925" s="7"/>
    </row>
    <row r="2926" spans="7:7">
      <c r="G2926" s="5">
        <v>2407977</v>
      </c>
    </row>
    <row r="2927" spans="7:7">
      <c r="G2927" s="7">
        <v>44670</v>
      </c>
    </row>
    <row r="2928" spans="7:7">
      <c r="G2928" s="19" t="s">
        <v>1312</v>
      </c>
    </row>
    <row r="2929" spans="7:7">
      <c r="G2929" s="7"/>
    </row>
    <row r="2930" spans="7:7">
      <c r="G2930" s="7">
        <v>44764</v>
      </c>
    </row>
    <row r="2931" spans="7:7">
      <c r="G2931" s="19" t="s">
        <v>1622</v>
      </c>
    </row>
    <row r="2932" spans="7:7">
      <c r="G2932" s="7"/>
    </row>
    <row r="2933" spans="7:7">
      <c r="G2933" s="5">
        <v>2408615</v>
      </c>
    </row>
    <row r="2934" spans="7:7">
      <c r="G2934" s="7">
        <v>44505</v>
      </c>
    </row>
    <row r="2935" spans="7:7">
      <c r="G2935" s="19" t="s">
        <v>1274</v>
      </c>
    </row>
    <row r="2936" spans="7:7">
      <c r="G2936" s="7"/>
    </row>
    <row r="2937" spans="7:7">
      <c r="G2937" s="5">
        <v>2409111</v>
      </c>
    </row>
    <row r="2938" spans="7:7">
      <c r="G2938" s="7">
        <v>44733</v>
      </c>
    </row>
    <row r="2939" spans="7:7">
      <c r="G2939" s="19" t="s">
        <v>1742</v>
      </c>
    </row>
    <row r="2940" spans="7:7">
      <c r="G2940" s="7"/>
    </row>
    <row r="2941" spans="7:7">
      <c r="G2941" s="5">
        <v>2409224</v>
      </c>
    </row>
    <row r="2942" spans="7:7">
      <c r="G2942" s="7">
        <v>44299</v>
      </c>
    </row>
    <row r="2943" spans="7:7">
      <c r="G2943" s="19" t="s">
        <v>175</v>
      </c>
    </row>
    <row r="2944" spans="7:7">
      <c r="G2944" s="7"/>
    </row>
    <row r="2945" spans="7:7">
      <c r="G2945" s="5">
        <v>2409387</v>
      </c>
    </row>
    <row r="2946" spans="7:7">
      <c r="G2946" s="7">
        <v>44357</v>
      </c>
    </row>
    <row r="2947" spans="7:7">
      <c r="G2947" s="19" t="s">
        <v>100</v>
      </c>
    </row>
    <row r="2948" spans="7:7">
      <c r="G2948" s="7"/>
    </row>
    <row r="2949" spans="7:7">
      <c r="G2949" s="5">
        <v>2409850</v>
      </c>
    </row>
    <row r="2950" spans="7:7">
      <c r="G2950" s="7">
        <v>44692</v>
      </c>
    </row>
    <row r="2951" spans="7:7">
      <c r="G2951" s="19" t="s">
        <v>563</v>
      </c>
    </row>
    <row r="2952" spans="7:7">
      <c r="G2952" s="7"/>
    </row>
    <row r="2953" spans="7:7">
      <c r="G2953" s="5">
        <v>2410905</v>
      </c>
    </row>
    <row r="2954" spans="7:7">
      <c r="G2954" s="7">
        <v>44749</v>
      </c>
    </row>
    <row r="2955" spans="7:7">
      <c r="G2955" s="19" t="s">
        <v>2383</v>
      </c>
    </row>
    <row r="2956" spans="7:7">
      <c r="G2956" s="7"/>
    </row>
    <row r="2957" spans="7:7">
      <c r="G2957" s="5">
        <v>2413155</v>
      </c>
    </row>
    <row r="2958" spans="7:7">
      <c r="G2958" s="7">
        <v>44680</v>
      </c>
    </row>
    <row r="2959" spans="7:7">
      <c r="G2959" s="19" t="s">
        <v>563</v>
      </c>
    </row>
    <row r="2960" spans="7:7">
      <c r="G2960" s="7"/>
    </row>
    <row r="2961" spans="7:7">
      <c r="G2961" s="5">
        <v>2413336</v>
      </c>
    </row>
    <row r="2962" spans="7:7">
      <c r="G2962" s="7">
        <v>44690</v>
      </c>
    </row>
    <row r="2963" spans="7:7">
      <c r="G2963" s="19" t="s">
        <v>1929</v>
      </c>
    </row>
    <row r="2964" spans="7:7">
      <c r="G2964" s="7"/>
    </row>
    <row r="2965" spans="7:7">
      <c r="G2965" s="5">
        <v>2413346</v>
      </c>
    </row>
    <row r="2966" spans="7:7">
      <c r="G2966" s="7">
        <v>44425</v>
      </c>
    </row>
    <row r="2967" spans="7:7">
      <c r="G2967" s="19" t="s">
        <v>1274</v>
      </c>
    </row>
    <row r="2968" spans="7:7">
      <c r="G2968" s="7"/>
    </row>
    <row r="2969" spans="7:7">
      <c r="G2969" s="5">
        <v>2413701</v>
      </c>
    </row>
    <row r="2970" spans="7:7">
      <c r="G2970" s="7">
        <v>44733</v>
      </c>
    </row>
    <row r="2971" spans="7:7">
      <c r="G2971" s="19" t="s">
        <v>2383</v>
      </c>
    </row>
    <row r="2972" spans="7:7">
      <c r="G2972" s="7"/>
    </row>
    <row r="2973" spans="7:7">
      <c r="G2973" s="5">
        <v>2413881</v>
      </c>
    </row>
    <row r="2974" spans="7:7">
      <c r="G2974" s="7">
        <v>44386</v>
      </c>
    </row>
    <row r="2975" spans="7:7">
      <c r="G2975" s="19" t="s">
        <v>812</v>
      </c>
    </row>
    <row r="2976" spans="7:7">
      <c r="G2976" s="7"/>
    </row>
    <row r="2977" spans="7:7">
      <c r="G2977" s="5">
        <v>2414051</v>
      </c>
    </row>
    <row r="2978" spans="7:7">
      <c r="G2978" s="7">
        <v>44750</v>
      </c>
    </row>
    <row r="2979" spans="7:7">
      <c r="G2979" s="19" t="s">
        <v>2383</v>
      </c>
    </row>
    <row r="2980" spans="7:7">
      <c r="G2980" s="7"/>
    </row>
    <row r="2981" spans="7:7">
      <c r="G2981" s="5">
        <v>2414114</v>
      </c>
    </row>
    <row r="2982" spans="7:7">
      <c r="G2982" s="7">
        <v>44515</v>
      </c>
    </row>
    <row r="2983" spans="7:7">
      <c r="G2983" s="19" t="s">
        <v>1890</v>
      </c>
    </row>
    <row r="2984" spans="7:7">
      <c r="G2984" s="7"/>
    </row>
    <row r="2985" spans="7:7">
      <c r="G2985" s="5">
        <v>2415119</v>
      </c>
    </row>
    <row r="2986" spans="7:7">
      <c r="G2986" s="7">
        <v>44602</v>
      </c>
    </row>
    <row r="2987" spans="7:7">
      <c r="G2987" s="19" t="s">
        <v>1934</v>
      </c>
    </row>
    <row r="2988" spans="7:7">
      <c r="G2988" s="7"/>
    </row>
    <row r="2989" spans="7:7">
      <c r="G2989" s="5">
        <v>2417020</v>
      </c>
    </row>
    <row r="2990" spans="7:7">
      <c r="G2990" s="7">
        <v>44524</v>
      </c>
    </row>
    <row r="2991" spans="7:7">
      <c r="G2991" s="19" t="s">
        <v>550</v>
      </c>
    </row>
    <row r="2992" spans="7:7">
      <c r="G2992" s="7"/>
    </row>
    <row r="2993" spans="7:7">
      <c r="G2993" s="7">
        <v>44518</v>
      </c>
    </row>
    <row r="2994" spans="7:7">
      <c r="G2994" s="19" t="s">
        <v>550</v>
      </c>
    </row>
    <row r="2995" spans="7:7">
      <c r="G2995" s="7"/>
    </row>
    <row r="2996" spans="7:7">
      <c r="G2996" s="5">
        <v>2417753</v>
      </c>
    </row>
    <row r="2997" spans="7:7">
      <c r="G2997" s="7">
        <v>44734</v>
      </c>
    </row>
    <row r="2998" spans="7:7">
      <c r="G2998" s="19" t="s">
        <v>2995</v>
      </c>
    </row>
    <row r="2999" spans="7:7">
      <c r="G2999" s="7"/>
    </row>
    <row r="3000" spans="7:7">
      <c r="G3000" s="5">
        <v>2417856</v>
      </c>
    </row>
    <row r="3001" spans="7:7">
      <c r="G3001" s="7">
        <v>44423</v>
      </c>
    </row>
    <row r="3002" spans="7:7">
      <c r="G3002" s="19" t="s">
        <v>1116</v>
      </c>
    </row>
    <row r="3003" spans="7:7">
      <c r="G3003" s="7"/>
    </row>
    <row r="3004" spans="7:7">
      <c r="G3004" s="7">
        <v>44422</v>
      </c>
    </row>
    <row r="3005" spans="7:7">
      <c r="G3005" s="19" t="s">
        <v>1116</v>
      </c>
    </row>
    <row r="3006" spans="7:7">
      <c r="G3006" s="7"/>
    </row>
    <row r="3007" spans="7:7">
      <c r="G3007" s="5">
        <v>2417866</v>
      </c>
    </row>
    <row r="3008" spans="7:7">
      <c r="G3008" s="7">
        <v>44521</v>
      </c>
    </row>
    <row r="3009" spans="7:7">
      <c r="G3009" s="19" t="s">
        <v>1631</v>
      </c>
    </row>
    <row r="3010" spans="7:7">
      <c r="G3010" s="7"/>
    </row>
    <row r="3011" spans="7:7">
      <c r="G3011" s="7">
        <v>44520</v>
      </c>
    </row>
    <row r="3012" spans="7:7">
      <c r="G3012" s="19" t="s">
        <v>1286</v>
      </c>
    </row>
    <row r="3013" spans="7:7">
      <c r="G3013" s="7"/>
    </row>
    <row r="3014" spans="7:7">
      <c r="G3014" s="7">
        <v>44519</v>
      </c>
    </row>
    <row r="3015" spans="7:7">
      <c r="G3015" s="19" t="s">
        <v>1631</v>
      </c>
    </row>
    <row r="3016" spans="7:7">
      <c r="G3016" s="7"/>
    </row>
    <row r="3017" spans="7:7">
      <c r="G3017" s="5">
        <v>2417884</v>
      </c>
    </row>
    <row r="3018" spans="7:7">
      <c r="G3018" s="7">
        <v>44713</v>
      </c>
    </row>
    <row r="3019" spans="7:7">
      <c r="G3019" s="19" t="s">
        <v>563</v>
      </c>
    </row>
    <row r="3020" spans="7:7">
      <c r="G3020" s="7"/>
    </row>
    <row r="3021" spans="7:7">
      <c r="G3021" s="5">
        <v>2417976</v>
      </c>
    </row>
    <row r="3022" spans="7:7">
      <c r="G3022" s="7">
        <v>44657</v>
      </c>
    </row>
    <row r="3023" spans="7:7">
      <c r="G3023" s="19" t="s">
        <v>563</v>
      </c>
    </row>
    <row r="3024" spans="7:7">
      <c r="G3024" s="7"/>
    </row>
    <row r="3025" spans="7:7">
      <c r="G3025" s="5">
        <v>2418108</v>
      </c>
    </row>
    <row r="3026" spans="7:7">
      <c r="G3026" s="7">
        <v>44748</v>
      </c>
    </row>
    <row r="3027" spans="7:7">
      <c r="G3027" s="19" t="s">
        <v>3077</v>
      </c>
    </row>
    <row r="3028" spans="7:7">
      <c r="G3028" s="7"/>
    </row>
    <row r="3029" spans="7:7">
      <c r="G3029" s="5">
        <v>2418238</v>
      </c>
    </row>
    <row r="3030" spans="7:7">
      <c r="G3030" s="7">
        <v>44236</v>
      </c>
    </row>
    <row r="3031" spans="7:7">
      <c r="G3031" s="19" t="s">
        <v>260</v>
      </c>
    </row>
    <row r="3032" spans="7:7">
      <c r="G3032" s="7"/>
    </row>
    <row r="3033" spans="7:7">
      <c r="G3033" s="5">
        <v>2418597</v>
      </c>
    </row>
    <row r="3034" spans="7:7">
      <c r="G3034" s="7">
        <v>44728</v>
      </c>
    </row>
    <row r="3035" spans="7:7">
      <c r="G3035" s="19" t="s">
        <v>2383</v>
      </c>
    </row>
    <row r="3036" spans="7:7">
      <c r="G3036" s="7"/>
    </row>
    <row r="3037" spans="7:7">
      <c r="G3037" s="5">
        <v>2418679</v>
      </c>
    </row>
    <row r="3038" spans="7:7">
      <c r="G3038" s="7">
        <v>44581</v>
      </c>
    </row>
    <row r="3039" spans="7:7">
      <c r="G3039" s="19" t="s">
        <v>1921</v>
      </c>
    </row>
    <row r="3040" spans="7:7">
      <c r="G3040" s="7"/>
    </row>
    <row r="3041" spans="7:7">
      <c r="G3041" s="5">
        <v>2418929</v>
      </c>
    </row>
    <row r="3042" spans="7:7">
      <c r="G3042" s="7">
        <v>44644</v>
      </c>
    </row>
    <row r="3043" spans="7:7">
      <c r="G3043" s="19" t="s">
        <v>563</v>
      </c>
    </row>
    <row r="3044" spans="7:7">
      <c r="G3044" s="7"/>
    </row>
    <row r="3045" spans="7:7">
      <c r="G3045" s="5">
        <v>2419379</v>
      </c>
    </row>
    <row r="3046" spans="7:7">
      <c r="G3046" s="7">
        <v>44671</v>
      </c>
    </row>
    <row r="3047" spans="7:7">
      <c r="G3047" s="19" t="s">
        <v>563</v>
      </c>
    </row>
    <row r="3048" spans="7:7">
      <c r="G3048" s="7"/>
    </row>
    <row r="3049" spans="7:7">
      <c r="G3049" s="5">
        <v>2419819</v>
      </c>
    </row>
    <row r="3050" spans="7:7">
      <c r="G3050" s="7">
        <v>44694</v>
      </c>
    </row>
    <row r="3051" spans="7:7">
      <c r="G3051" s="19" t="s">
        <v>563</v>
      </c>
    </row>
    <row r="3052" spans="7:7">
      <c r="G3052" s="7"/>
    </row>
    <row r="3053" spans="7:7">
      <c r="G3053" s="5">
        <v>2420624</v>
      </c>
    </row>
    <row r="3054" spans="7:7">
      <c r="G3054" s="7">
        <v>44657</v>
      </c>
    </row>
    <row r="3055" spans="7:7">
      <c r="G3055" s="19" t="s">
        <v>563</v>
      </c>
    </row>
    <row r="3056" spans="7:7">
      <c r="G3056" s="7"/>
    </row>
    <row r="3057" spans="7:7">
      <c r="G3057" s="5">
        <v>2422295</v>
      </c>
    </row>
    <row r="3058" spans="7:7">
      <c r="G3058" s="7">
        <v>44682</v>
      </c>
    </row>
    <row r="3059" spans="7:7">
      <c r="G3059" s="19" t="s">
        <v>563</v>
      </c>
    </row>
    <row r="3060" spans="7:7">
      <c r="G3060" s="7"/>
    </row>
    <row r="3061" spans="7:7">
      <c r="G3061" s="5">
        <v>2423925</v>
      </c>
    </row>
    <row r="3062" spans="7:7">
      <c r="G3062" s="7">
        <v>44644</v>
      </c>
    </row>
    <row r="3063" spans="7:7">
      <c r="G3063" s="19" t="s">
        <v>563</v>
      </c>
    </row>
    <row r="3064" spans="7:7">
      <c r="G3064" s="7"/>
    </row>
    <row r="3065" spans="7:7">
      <c r="G3065" s="5">
        <v>2424312</v>
      </c>
    </row>
    <row r="3066" spans="7:7">
      <c r="G3066" s="7">
        <v>44383</v>
      </c>
    </row>
    <row r="3067" spans="7:7">
      <c r="G3067" s="19" t="s">
        <v>1032</v>
      </c>
    </row>
    <row r="3068" spans="7:7">
      <c r="G3068" s="7"/>
    </row>
    <row r="3069" spans="7:7">
      <c r="G3069" s="5">
        <v>2425149</v>
      </c>
    </row>
    <row r="3070" spans="7:7">
      <c r="G3070" s="7">
        <v>44771</v>
      </c>
    </row>
    <row r="3071" spans="7:7">
      <c r="G3071" s="19" t="s">
        <v>3499</v>
      </c>
    </row>
    <row r="3072" spans="7:7">
      <c r="G3072" s="7"/>
    </row>
    <row r="3073" spans="7:7">
      <c r="G3073" s="5">
        <v>2425539</v>
      </c>
    </row>
    <row r="3074" spans="7:7">
      <c r="G3074" s="7">
        <v>44754</v>
      </c>
    </row>
    <row r="3075" spans="7:7">
      <c r="G3075" s="19" t="s">
        <v>2383</v>
      </c>
    </row>
    <row r="3076" spans="7:7">
      <c r="G3076" s="7"/>
    </row>
    <row r="3077" spans="7:7">
      <c r="G3077" s="5">
        <v>2425790</v>
      </c>
    </row>
    <row r="3078" spans="7:7">
      <c r="G3078" s="7">
        <v>44672</v>
      </c>
    </row>
    <row r="3079" spans="7:7">
      <c r="G3079" s="19" t="s">
        <v>563</v>
      </c>
    </row>
    <row r="3080" spans="7:7">
      <c r="G3080" s="7"/>
    </row>
    <row r="3081" spans="7:7">
      <c r="G3081" s="5">
        <v>2426255</v>
      </c>
    </row>
    <row r="3082" spans="7:7">
      <c r="G3082" s="7">
        <v>44768</v>
      </c>
    </row>
    <row r="3083" spans="7:7">
      <c r="G3083" s="19" t="s">
        <v>2383</v>
      </c>
    </row>
    <row r="3084" spans="7:7">
      <c r="G3084" s="7"/>
    </row>
    <row r="3085" spans="7:7">
      <c r="G3085" s="5">
        <v>2426762</v>
      </c>
    </row>
    <row r="3086" spans="7:7">
      <c r="G3086" s="7">
        <v>44364</v>
      </c>
    </row>
    <row r="3087" spans="7:7">
      <c r="G3087" s="19" t="s">
        <v>505</v>
      </c>
    </row>
    <row r="3088" spans="7:7">
      <c r="G3088" s="7"/>
    </row>
    <row r="3089" spans="7:7">
      <c r="G3089" s="5">
        <v>2427107</v>
      </c>
    </row>
    <row r="3090" spans="7:7">
      <c r="G3090" s="7">
        <v>44720</v>
      </c>
    </row>
    <row r="3091" spans="7:7">
      <c r="G3091" s="19" t="s">
        <v>2383</v>
      </c>
    </row>
    <row r="3092" spans="7:7">
      <c r="G3092" s="7"/>
    </row>
    <row r="3093" spans="7:7">
      <c r="G3093" s="7">
        <v>44733</v>
      </c>
    </row>
    <row r="3094" spans="7:7">
      <c r="G3094" s="19" t="s">
        <v>2383</v>
      </c>
    </row>
    <row r="3095" spans="7:7">
      <c r="G3095" s="7"/>
    </row>
    <row r="3096" spans="7:7">
      <c r="G3096" s="5">
        <v>2428077</v>
      </c>
    </row>
    <row r="3097" spans="7:7">
      <c r="G3097" s="7">
        <v>44451</v>
      </c>
    </row>
    <row r="3098" spans="7:7">
      <c r="G3098" s="19" t="s">
        <v>151</v>
      </c>
    </row>
    <row r="3099" spans="7:7">
      <c r="G3099" s="7"/>
    </row>
    <row r="3100" spans="7:7">
      <c r="G3100" s="5">
        <v>2428285</v>
      </c>
    </row>
    <row r="3101" spans="7:7">
      <c r="G3101" s="7">
        <v>44662</v>
      </c>
    </row>
    <row r="3102" spans="7:7">
      <c r="G3102" s="19" t="s">
        <v>2237</v>
      </c>
    </row>
    <row r="3103" spans="7:7">
      <c r="G3103" s="7"/>
    </row>
    <row r="3104" spans="7:7">
      <c r="G3104" s="5">
        <v>2429187</v>
      </c>
    </row>
    <row r="3105" spans="7:7">
      <c r="G3105" s="7">
        <v>44652</v>
      </c>
    </row>
    <row r="3106" spans="7:7">
      <c r="G3106" s="19" t="s">
        <v>563</v>
      </c>
    </row>
    <row r="3107" spans="7:7">
      <c r="G3107" s="7"/>
    </row>
    <row r="3108" spans="7:7">
      <c r="G3108" s="7">
        <v>44754</v>
      </c>
    </row>
    <row r="3109" spans="7:7">
      <c r="G3109" s="19" t="s">
        <v>2309</v>
      </c>
    </row>
    <row r="3110" spans="7:7">
      <c r="G3110" s="7"/>
    </row>
    <row r="3111" spans="7:7">
      <c r="G3111" s="5">
        <v>2431316</v>
      </c>
    </row>
    <row r="3112" spans="7:7">
      <c r="G3112" s="7">
        <v>44684</v>
      </c>
    </row>
    <row r="3113" spans="7:7">
      <c r="G3113" s="19" t="s">
        <v>2711</v>
      </c>
    </row>
    <row r="3114" spans="7:7">
      <c r="G3114" s="7"/>
    </row>
    <row r="3115" spans="7:7">
      <c r="G3115" s="7">
        <v>44683</v>
      </c>
    </row>
    <row r="3116" spans="7:7">
      <c r="G3116" s="19" t="s">
        <v>2703</v>
      </c>
    </row>
    <row r="3117" spans="7:7">
      <c r="G3117" s="7"/>
    </row>
    <row r="3118" spans="7:7">
      <c r="G3118" s="5">
        <v>2436928</v>
      </c>
    </row>
    <row r="3119" spans="7:7">
      <c r="G3119" s="7">
        <v>44582</v>
      </c>
    </row>
    <row r="3120" spans="7:7">
      <c r="G3120" s="19" t="s">
        <v>1300</v>
      </c>
    </row>
    <row r="3121" spans="7:7">
      <c r="G3121" s="7"/>
    </row>
    <row r="3122" spans="7:7">
      <c r="G3122" s="5">
        <v>2437203</v>
      </c>
    </row>
    <row r="3123" spans="7:7">
      <c r="G3123" s="7">
        <v>44683</v>
      </c>
    </row>
    <row r="3124" spans="7:7">
      <c r="G3124" s="19" t="s">
        <v>563</v>
      </c>
    </row>
    <row r="3125" spans="7:7">
      <c r="G3125" s="7"/>
    </row>
    <row r="3126" spans="7:7">
      <c r="G3126" s="5">
        <v>2439944</v>
      </c>
    </row>
    <row r="3127" spans="7:7">
      <c r="G3127" s="7">
        <v>44657</v>
      </c>
    </row>
    <row r="3128" spans="7:7">
      <c r="G3128" s="19" t="s">
        <v>563</v>
      </c>
    </row>
    <row r="3129" spans="7:7">
      <c r="G3129" s="7"/>
    </row>
    <row r="3130" spans="7:7">
      <c r="G3130" s="5">
        <v>2446275</v>
      </c>
    </row>
    <row r="3131" spans="7:7">
      <c r="G3131" s="7">
        <v>44603</v>
      </c>
    </row>
    <row r="3132" spans="7:7">
      <c r="G3132" s="19" t="s">
        <v>1126</v>
      </c>
    </row>
    <row r="3133" spans="7:7">
      <c r="G3133" s="7"/>
    </row>
    <row r="3134" spans="7:7">
      <c r="G3134" s="5">
        <v>2446501</v>
      </c>
    </row>
    <row r="3135" spans="7:7">
      <c r="G3135" s="7">
        <v>44655</v>
      </c>
    </row>
    <row r="3136" spans="7:7">
      <c r="G3136" s="19" t="s">
        <v>2309</v>
      </c>
    </row>
    <row r="3137" spans="7:7">
      <c r="G3137" s="7"/>
    </row>
    <row r="3138" spans="7:7">
      <c r="G3138" s="5">
        <v>2448220</v>
      </c>
    </row>
    <row r="3139" spans="7:7">
      <c r="G3139" s="7">
        <v>44731</v>
      </c>
    </row>
    <row r="3140" spans="7:7">
      <c r="G3140" s="19" t="s">
        <v>2383</v>
      </c>
    </row>
    <row r="3141" spans="7:7">
      <c r="G3141" s="7"/>
    </row>
    <row r="3142" spans="7:7">
      <c r="G3142" s="5">
        <v>2450622</v>
      </c>
    </row>
    <row r="3143" spans="7:7">
      <c r="G3143" s="7">
        <v>44747</v>
      </c>
    </row>
    <row r="3144" spans="7:7">
      <c r="G3144" s="19" t="s">
        <v>2383</v>
      </c>
    </row>
    <row r="3145" spans="7:7">
      <c r="G3145" s="7"/>
    </row>
    <row r="3146" spans="7:7">
      <c r="G3146" s="5">
        <v>2451058</v>
      </c>
    </row>
    <row r="3147" spans="7:7">
      <c r="G3147" s="7">
        <v>44426</v>
      </c>
    </row>
    <row r="3148" spans="7:7">
      <c r="G3148" s="19" t="s">
        <v>1252</v>
      </c>
    </row>
    <row r="3149" spans="7:7">
      <c r="G3149" s="7"/>
    </row>
    <row r="3150" spans="7:7">
      <c r="G3150" s="5">
        <v>2451242</v>
      </c>
    </row>
    <row r="3151" spans="7:7">
      <c r="G3151" s="7">
        <v>44663</v>
      </c>
    </row>
    <row r="3152" spans="7:7">
      <c r="G3152" s="19" t="s">
        <v>563</v>
      </c>
    </row>
    <row r="3153" spans="7:7">
      <c r="G3153" s="7"/>
    </row>
    <row r="3154" spans="7:7">
      <c r="G3154" s="5">
        <v>2451419</v>
      </c>
    </row>
    <row r="3155" spans="7:7">
      <c r="G3155" s="7">
        <v>44589</v>
      </c>
    </row>
    <row r="3156" spans="7:7">
      <c r="G3156" s="19" t="s">
        <v>1921</v>
      </c>
    </row>
    <row r="3157" spans="7:7">
      <c r="G3157" s="7"/>
    </row>
    <row r="3158" spans="7:7">
      <c r="G3158" s="5">
        <v>2452161</v>
      </c>
    </row>
    <row r="3159" spans="7:7">
      <c r="G3159" s="7">
        <v>44657</v>
      </c>
    </row>
    <row r="3160" spans="7:7">
      <c r="G3160" s="19" t="s">
        <v>2253</v>
      </c>
    </row>
    <row r="3161" spans="7:7">
      <c r="G3161" s="7"/>
    </row>
    <row r="3162" spans="7:7">
      <c r="G3162" s="5">
        <v>2452556</v>
      </c>
    </row>
    <row r="3163" spans="7:7">
      <c r="G3163" s="7">
        <v>44750</v>
      </c>
    </row>
    <row r="3164" spans="7:7">
      <c r="G3164" s="19" t="s">
        <v>259</v>
      </c>
    </row>
    <row r="3165" spans="7:7">
      <c r="G3165" s="7"/>
    </row>
    <row r="3166" spans="7:7">
      <c r="G3166" s="5">
        <v>2452661</v>
      </c>
    </row>
    <row r="3167" spans="7:7">
      <c r="G3167" s="7">
        <v>44644</v>
      </c>
    </row>
    <row r="3168" spans="7:7">
      <c r="G3168" s="19" t="s">
        <v>2383</v>
      </c>
    </row>
    <row r="3169" spans="7:7">
      <c r="G3169" s="7"/>
    </row>
    <row r="3170" spans="7:7">
      <c r="G3170" s="5">
        <v>2453990</v>
      </c>
    </row>
    <row r="3171" spans="7:7">
      <c r="G3171" s="7">
        <v>44326</v>
      </c>
    </row>
    <row r="3172" spans="7:7">
      <c r="G3172" s="19" t="s">
        <v>563</v>
      </c>
    </row>
    <row r="3173" spans="7:7">
      <c r="G3173" s="7"/>
    </row>
    <row r="3174" spans="7:7">
      <c r="G3174" s="5">
        <v>2454161</v>
      </c>
    </row>
    <row r="3175" spans="7:7">
      <c r="G3175" s="7">
        <v>44770</v>
      </c>
    </row>
    <row r="3176" spans="7:7">
      <c r="G3176" s="19" t="s">
        <v>1883</v>
      </c>
    </row>
    <row r="3177" spans="7:7">
      <c r="G3177" s="7"/>
    </row>
    <row r="3178" spans="7:7">
      <c r="G3178" s="5">
        <v>2455525</v>
      </c>
    </row>
    <row r="3179" spans="7:7">
      <c r="G3179" s="7">
        <v>44511</v>
      </c>
    </row>
    <row r="3180" spans="7:7">
      <c r="G3180" s="19" t="s">
        <v>1304</v>
      </c>
    </row>
    <row r="3181" spans="7:7">
      <c r="G3181" s="7"/>
    </row>
    <row r="3182" spans="7:7">
      <c r="G3182" s="5">
        <v>2456744</v>
      </c>
    </row>
    <row r="3183" spans="7:7">
      <c r="G3183" s="7">
        <v>44662</v>
      </c>
    </row>
    <row r="3184" spans="7:7">
      <c r="G3184" s="19" t="s">
        <v>563</v>
      </c>
    </row>
    <row r="3185" spans="7:7">
      <c r="G3185" s="7"/>
    </row>
    <row r="3186" spans="7:7">
      <c r="G3186" s="5">
        <v>2458489</v>
      </c>
    </row>
    <row r="3187" spans="7:7">
      <c r="G3187" s="7">
        <v>44693</v>
      </c>
    </row>
    <row r="3188" spans="7:7">
      <c r="G3188" s="19" t="s">
        <v>1300</v>
      </c>
    </row>
    <row r="3189" spans="7:7">
      <c r="G3189" s="7"/>
    </row>
    <row r="3190" spans="7:7">
      <c r="G3190" s="5">
        <v>2458734</v>
      </c>
    </row>
    <row r="3191" spans="7:7">
      <c r="G3191" s="7">
        <v>44697</v>
      </c>
    </row>
    <row r="3192" spans="7:7">
      <c r="G3192" s="19" t="s">
        <v>563</v>
      </c>
    </row>
    <row r="3193" spans="7:7">
      <c r="G3193" s="7"/>
    </row>
    <row r="3194" spans="7:7">
      <c r="G3194" s="5">
        <v>2458851</v>
      </c>
    </row>
    <row r="3195" spans="7:7">
      <c r="G3195" s="7">
        <v>44700</v>
      </c>
    </row>
    <row r="3196" spans="7:7">
      <c r="G3196" s="19" t="s">
        <v>563</v>
      </c>
    </row>
    <row r="3197" spans="7:7">
      <c r="G3197" s="7"/>
    </row>
    <row r="3198" spans="7:7">
      <c r="G3198" s="5">
        <v>2459055</v>
      </c>
    </row>
    <row r="3199" spans="7:7">
      <c r="G3199" s="7">
        <v>44699</v>
      </c>
    </row>
    <row r="3200" spans="7:7">
      <c r="G3200" s="19" t="s">
        <v>563</v>
      </c>
    </row>
    <row r="3201" spans="7:7">
      <c r="G3201" s="7"/>
    </row>
    <row r="3202" spans="7:7">
      <c r="G3202" s="5">
        <v>2459629</v>
      </c>
    </row>
    <row r="3203" spans="7:7">
      <c r="G3203" s="7">
        <v>44738</v>
      </c>
    </row>
    <row r="3204" spans="7:7">
      <c r="G3204" s="19" t="s">
        <v>3052</v>
      </c>
    </row>
    <row r="3205" spans="7:7">
      <c r="G3205" s="7"/>
    </row>
    <row r="3206" spans="7:7">
      <c r="G3206" s="5">
        <v>2461357</v>
      </c>
    </row>
    <row r="3207" spans="7:7">
      <c r="G3207" s="7">
        <v>44770</v>
      </c>
    </row>
    <row r="3208" spans="7:7">
      <c r="G3208" s="19" t="s">
        <v>2309</v>
      </c>
    </row>
    <row r="3209" spans="7:7">
      <c r="G3209" s="7"/>
    </row>
    <row r="3210" spans="7:7">
      <c r="G3210" s="5">
        <v>2462578</v>
      </c>
    </row>
    <row r="3211" spans="7:7">
      <c r="G3211" s="7">
        <v>44504</v>
      </c>
    </row>
    <row r="3212" spans="7:7">
      <c r="G3212" s="19" t="s">
        <v>1711</v>
      </c>
    </row>
    <row r="3213" spans="7:7">
      <c r="G3213" s="7"/>
    </row>
    <row r="3214" spans="7:7">
      <c r="G3214" s="5">
        <v>2464026</v>
      </c>
    </row>
    <row r="3215" spans="7:7">
      <c r="G3215" s="7">
        <v>44687</v>
      </c>
    </row>
    <row r="3216" spans="7:7">
      <c r="G3216" s="19" t="s">
        <v>1274</v>
      </c>
    </row>
    <row r="3217" spans="7:7">
      <c r="G3217" s="7"/>
    </row>
    <row r="3218" spans="7:7">
      <c r="G3218" s="7">
        <v>44739</v>
      </c>
    </row>
    <row r="3219" spans="7:7">
      <c r="G3219" s="19" t="s">
        <v>1113</v>
      </c>
    </row>
    <row r="3220" spans="7:7">
      <c r="G3220" s="7"/>
    </row>
    <row r="3221" spans="7:7">
      <c r="G3221" s="5">
        <v>2464181</v>
      </c>
    </row>
    <row r="3222" spans="7:7">
      <c r="G3222" s="7">
        <v>44721</v>
      </c>
    </row>
    <row r="3223" spans="7:7">
      <c r="G3223" s="19" t="s">
        <v>2383</v>
      </c>
    </row>
    <row r="3224" spans="7:7">
      <c r="G3224" s="7"/>
    </row>
    <row r="3225" spans="7:7">
      <c r="G3225" s="5">
        <v>2464475</v>
      </c>
    </row>
    <row r="3226" spans="7:7">
      <c r="G3226" s="7">
        <v>44735</v>
      </c>
    </row>
    <row r="3227" spans="7:7">
      <c r="G3227" s="19" t="s">
        <v>3077</v>
      </c>
    </row>
    <row r="3228" spans="7:7">
      <c r="G3228" s="7"/>
    </row>
    <row r="3229" spans="7:7">
      <c r="G3229" s="5">
        <v>2464824</v>
      </c>
    </row>
    <row r="3230" spans="7:7">
      <c r="G3230" s="7">
        <v>44482</v>
      </c>
    </row>
    <row r="3231" spans="7:7">
      <c r="G3231" s="19" t="s">
        <v>143</v>
      </c>
    </row>
    <row r="3232" spans="7:7">
      <c r="G3232" s="7"/>
    </row>
    <row r="3233" spans="7:7">
      <c r="G3233" s="5">
        <v>2466184</v>
      </c>
    </row>
    <row r="3234" spans="7:7">
      <c r="G3234" s="7">
        <v>44743</v>
      </c>
    </row>
    <row r="3235" spans="7:7">
      <c r="G3235" s="19" t="s">
        <v>2383</v>
      </c>
    </row>
    <row r="3236" spans="7:7">
      <c r="G3236" s="7"/>
    </row>
    <row r="3237" spans="7:7">
      <c r="G3237" s="5">
        <v>2480851</v>
      </c>
    </row>
    <row r="3238" spans="7:7">
      <c r="G3238" s="7">
        <v>44753</v>
      </c>
    </row>
    <row r="3239" spans="7:7">
      <c r="G3239" s="19" t="s">
        <v>2383</v>
      </c>
    </row>
    <row r="3240" spans="7:7">
      <c r="G3240" s="7"/>
    </row>
    <row r="3241" spans="7:7">
      <c r="G3241" s="5">
        <v>2481406</v>
      </c>
    </row>
    <row r="3242" spans="7:7">
      <c r="G3242" s="7">
        <v>44603</v>
      </c>
    </row>
    <row r="3243" spans="7:7">
      <c r="G3243" s="19" t="s">
        <v>533</v>
      </c>
    </row>
    <row r="3244" spans="7:7">
      <c r="G3244" s="7"/>
    </row>
    <row r="3245" spans="7:7">
      <c r="G3245" s="7">
        <v>44722</v>
      </c>
    </row>
    <row r="3246" spans="7:7">
      <c r="G3246" s="19" t="s">
        <v>1679</v>
      </c>
    </row>
    <row r="3247" spans="7:7">
      <c r="G3247" s="7"/>
    </row>
    <row r="3248" spans="7:7">
      <c r="G3248" s="5">
        <v>2484069</v>
      </c>
    </row>
    <row r="3249" spans="7:7">
      <c r="G3249" s="7">
        <v>44652</v>
      </c>
    </row>
    <row r="3250" spans="7:7">
      <c r="G3250" s="19" t="s">
        <v>1653</v>
      </c>
    </row>
    <row r="3251" spans="7:7">
      <c r="G3251" s="7"/>
    </row>
    <row r="3252" spans="7:7">
      <c r="G3252" s="7">
        <v>44661</v>
      </c>
    </row>
    <row r="3253" spans="7:7">
      <c r="G3253" s="19" t="s">
        <v>1653</v>
      </c>
    </row>
    <row r="3254" spans="7:7">
      <c r="G3254" s="7"/>
    </row>
    <row r="3255" spans="7:7">
      <c r="G3255" s="7">
        <v>44693</v>
      </c>
    </row>
    <row r="3256" spans="7:7">
      <c r="G3256" s="19" t="s">
        <v>1214</v>
      </c>
    </row>
    <row r="3257" spans="7:7">
      <c r="G3257" s="7"/>
    </row>
    <row r="3258" spans="7:7">
      <c r="G3258" s="5">
        <v>2484142</v>
      </c>
    </row>
    <row r="3259" spans="7:7">
      <c r="G3259" s="7">
        <v>44645</v>
      </c>
    </row>
    <row r="3260" spans="7:7">
      <c r="G3260" s="19" t="s">
        <v>2383</v>
      </c>
    </row>
    <row r="3261" spans="7:7">
      <c r="G3261" s="7"/>
    </row>
    <row r="3262" spans="7:7">
      <c r="G3262" s="5">
        <v>2484458</v>
      </c>
    </row>
    <row r="3263" spans="7:7">
      <c r="G3263" s="7">
        <v>44677</v>
      </c>
    </row>
    <row r="3264" spans="7:7">
      <c r="G3264" s="19" t="s">
        <v>128</v>
      </c>
    </row>
    <row r="3265" spans="7:7">
      <c r="G3265" s="7"/>
    </row>
    <row r="3266" spans="7:7">
      <c r="G3266" s="5">
        <v>2484613</v>
      </c>
    </row>
    <row r="3267" spans="7:7">
      <c r="G3267" s="7">
        <v>44574</v>
      </c>
    </row>
    <row r="3268" spans="7:7">
      <c r="G3268" s="19" t="s">
        <v>1274</v>
      </c>
    </row>
    <row r="3269" spans="7:7">
      <c r="G3269" s="7"/>
    </row>
    <row r="3270" spans="7:7">
      <c r="G3270" s="7">
        <v>44572</v>
      </c>
    </row>
    <row r="3271" spans="7:7">
      <c r="G3271" s="19" t="s">
        <v>1653</v>
      </c>
    </row>
    <row r="3272" spans="7:7">
      <c r="G3272" s="7"/>
    </row>
    <row r="3273" spans="7:7">
      <c r="G3273" s="7">
        <v>44586</v>
      </c>
    </row>
    <row r="3274" spans="7:7">
      <c r="G3274" s="19" t="s">
        <v>1214</v>
      </c>
    </row>
    <row r="3275" spans="7:7">
      <c r="G3275" s="7"/>
    </row>
    <row r="3276" spans="7:7">
      <c r="G3276" s="5">
        <v>2484685</v>
      </c>
    </row>
    <row r="3277" spans="7:7">
      <c r="G3277" s="7">
        <v>43844</v>
      </c>
    </row>
    <row r="3278" spans="7:7">
      <c r="G3278" s="19" t="s">
        <v>89</v>
      </c>
    </row>
    <row r="3279" spans="7:7">
      <c r="G3279" s="7"/>
    </row>
    <row r="3280" spans="7:7">
      <c r="G3280" s="7">
        <v>43853</v>
      </c>
    </row>
    <row r="3281" spans="7:7">
      <c r="G3281" s="19" t="s">
        <v>89</v>
      </c>
    </row>
    <row r="3282" spans="7:7">
      <c r="G3282" s="7"/>
    </row>
    <row r="3283" spans="7:7">
      <c r="G3283" s="7">
        <v>44105</v>
      </c>
    </row>
    <row r="3284" spans="7:7">
      <c r="G3284" s="19" t="s">
        <v>89</v>
      </c>
    </row>
    <row r="3285" spans="7:7">
      <c r="G3285" s="7"/>
    </row>
    <row r="3286" spans="7:7">
      <c r="G3286" s="5">
        <v>2484940</v>
      </c>
    </row>
    <row r="3287" spans="7:7">
      <c r="G3287" s="7">
        <v>44671</v>
      </c>
    </row>
    <row r="3288" spans="7:7">
      <c r="G3288" s="19" t="s">
        <v>563</v>
      </c>
    </row>
    <row r="3289" spans="7:7">
      <c r="G3289" s="7"/>
    </row>
    <row r="3290" spans="7:7">
      <c r="G3290" s="5">
        <v>2486405</v>
      </c>
    </row>
    <row r="3291" spans="7:7">
      <c r="G3291" s="7">
        <v>44596</v>
      </c>
    </row>
    <row r="3292" spans="7:7">
      <c r="G3292" s="19" t="s">
        <v>1185</v>
      </c>
    </row>
    <row r="3293" spans="7:7">
      <c r="G3293" s="7"/>
    </row>
    <row r="3294" spans="7:7">
      <c r="G3294" s="5">
        <v>2488143</v>
      </c>
    </row>
    <row r="3295" spans="7:7">
      <c r="G3295" s="7">
        <v>44644</v>
      </c>
    </row>
    <row r="3296" spans="7:7">
      <c r="G3296" s="19" t="s">
        <v>1711</v>
      </c>
    </row>
    <row r="3297" spans="7:7">
      <c r="G3297" s="7"/>
    </row>
    <row r="3298" spans="7:7">
      <c r="G3298" s="5">
        <v>2516454</v>
      </c>
    </row>
    <row r="3299" spans="7:7">
      <c r="G3299" s="7">
        <v>44126</v>
      </c>
    </row>
    <row r="3300" spans="7:7">
      <c r="G3300" s="19" t="s">
        <v>175</v>
      </c>
    </row>
    <row r="3301" spans="7:7">
      <c r="G3301" s="7"/>
    </row>
    <row r="3302" spans="7:7">
      <c r="G3302" s="7">
        <v>44127</v>
      </c>
    </row>
    <row r="3303" spans="7:7">
      <c r="G3303" s="19" t="s">
        <v>175</v>
      </c>
    </row>
    <row r="3304" spans="7:7">
      <c r="G3304" s="7"/>
    </row>
    <row r="3305" spans="7:7">
      <c r="G3305" s="5">
        <v>2523157</v>
      </c>
    </row>
    <row r="3306" spans="7:7">
      <c r="G3306" s="7">
        <v>44763</v>
      </c>
    </row>
    <row r="3307" spans="7:7">
      <c r="G3307" s="19" t="s">
        <v>2383</v>
      </c>
    </row>
    <row r="3308" spans="7:7">
      <c r="G3308" s="7"/>
    </row>
    <row r="3309" spans="7:7">
      <c r="G3309" s="5">
        <v>2526874</v>
      </c>
    </row>
    <row r="3310" spans="7:7">
      <c r="G3310" s="7">
        <v>44647</v>
      </c>
    </row>
    <row r="3311" spans="7:7">
      <c r="G3311" s="19" t="s">
        <v>2144</v>
      </c>
    </row>
    <row r="3312" spans="7:7">
      <c r="G3312" s="7"/>
    </row>
    <row r="3313" spans="7:7">
      <c r="G3313" s="5">
        <v>2527533</v>
      </c>
    </row>
    <row r="3314" spans="7:7">
      <c r="G3314" s="7">
        <v>44326</v>
      </c>
    </row>
    <row r="3315" spans="7:7">
      <c r="G3315" s="19" t="s">
        <v>563</v>
      </c>
    </row>
    <row r="3316" spans="7:7">
      <c r="G3316" s="7"/>
    </row>
    <row r="3317" spans="7:7">
      <c r="G3317" s="5">
        <v>2530715</v>
      </c>
    </row>
    <row r="3318" spans="7:7">
      <c r="G3318" s="7">
        <v>44124</v>
      </c>
    </row>
    <row r="3319" spans="7:7">
      <c r="G3319" s="19" t="s">
        <v>315</v>
      </c>
    </row>
    <row r="3320" spans="7:7">
      <c r="G3320" s="7"/>
    </row>
    <row r="3321" spans="7:7">
      <c r="G3321" s="5">
        <v>2531319</v>
      </c>
    </row>
    <row r="3322" spans="7:7">
      <c r="G3322" s="7">
        <v>44370</v>
      </c>
    </row>
    <row r="3323" spans="7:7">
      <c r="G3323" s="19" t="s">
        <v>325</v>
      </c>
    </row>
    <row r="3324" spans="7:7">
      <c r="G3324" s="7"/>
    </row>
    <row r="3325" spans="7:7">
      <c r="G3325" s="7">
        <v>44363</v>
      </c>
    </row>
    <row r="3326" spans="7:7">
      <c r="G3326" s="19" t="s">
        <v>586</v>
      </c>
    </row>
    <row r="3327" spans="7:7">
      <c r="G3327" s="7"/>
    </row>
    <row r="3328" spans="7:7">
      <c r="G3328" s="7">
        <v>44600</v>
      </c>
    </row>
    <row r="3329" spans="7:7">
      <c r="G3329" s="19" t="s">
        <v>1293</v>
      </c>
    </row>
    <row r="3330" spans="7:7">
      <c r="G3330" s="7"/>
    </row>
    <row r="3331" spans="7:7">
      <c r="G3331" s="7">
        <v>44621</v>
      </c>
    </row>
    <row r="3332" spans="7:7">
      <c r="G3332" s="19" t="s">
        <v>1312</v>
      </c>
    </row>
    <row r="3333" spans="7:7">
      <c r="G3333" s="7"/>
    </row>
    <row r="3334" spans="7:7">
      <c r="G3334" s="7">
        <v>44648</v>
      </c>
    </row>
    <row r="3335" spans="7:7">
      <c r="G3335" s="19" t="s">
        <v>1233</v>
      </c>
    </row>
    <row r="3336" spans="7:7">
      <c r="G3336" s="7"/>
    </row>
    <row r="3337" spans="7:7">
      <c r="G3337" s="5">
        <v>2531372</v>
      </c>
    </row>
    <row r="3338" spans="7:7">
      <c r="G3338" s="7">
        <v>44510</v>
      </c>
    </row>
    <row r="3339" spans="7:7">
      <c r="G3339" s="19" t="s">
        <v>1300</v>
      </c>
    </row>
    <row r="3340" spans="7:7">
      <c r="G3340" s="7"/>
    </row>
    <row r="3341" spans="7:7">
      <c r="G3341" s="5">
        <v>2538641</v>
      </c>
    </row>
    <row r="3342" spans="7:7">
      <c r="G3342" s="7">
        <v>44396</v>
      </c>
    </row>
    <row r="3343" spans="7:7">
      <c r="G3343" s="19" t="s">
        <v>151</v>
      </c>
    </row>
    <row r="3344" spans="7:7">
      <c r="G3344" s="19" t="s">
        <v>1159</v>
      </c>
    </row>
    <row r="3345" spans="7:7">
      <c r="G3345" s="7"/>
    </row>
    <row r="3346" spans="7:7">
      <c r="G3346" s="5">
        <v>2543798</v>
      </c>
    </row>
    <row r="3347" spans="7:7">
      <c r="G3347" s="7">
        <v>44707</v>
      </c>
    </row>
    <row r="3348" spans="7:7">
      <c r="G3348" s="19" t="s">
        <v>950</v>
      </c>
    </row>
    <row r="3349" spans="7:7">
      <c r="G3349" s="7"/>
    </row>
    <row r="3350" spans="7:7">
      <c r="G3350" s="5">
        <v>2554325</v>
      </c>
    </row>
    <row r="3351" spans="7:7">
      <c r="G3351" s="7">
        <v>44682</v>
      </c>
    </row>
    <row r="3352" spans="7:7">
      <c r="G3352" s="19" t="s">
        <v>563</v>
      </c>
    </row>
    <row r="3353" spans="7:7">
      <c r="G3353" s="7"/>
    </row>
    <row r="3354" spans="7:7">
      <c r="G3354" s="7">
        <v>44722</v>
      </c>
    </row>
    <row r="3355" spans="7:7">
      <c r="G3355" s="19" t="s">
        <v>2383</v>
      </c>
    </row>
    <row r="3356" spans="7:7">
      <c r="G3356" s="7"/>
    </row>
    <row r="3357" spans="7:7">
      <c r="G3357" s="5">
        <v>2560267</v>
      </c>
    </row>
    <row r="3358" spans="7:7">
      <c r="G3358" s="7">
        <v>44706</v>
      </c>
    </row>
    <row r="3359" spans="7:7">
      <c r="G3359" s="19" t="s">
        <v>563</v>
      </c>
    </row>
    <row r="3360" spans="7:7">
      <c r="G3360" s="7"/>
    </row>
    <row r="3361" spans="7:7">
      <c r="G3361" s="5">
        <v>2570110</v>
      </c>
    </row>
    <row r="3362" spans="7:7">
      <c r="G3362" s="7">
        <v>44740</v>
      </c>
    </row>
    <row r="3363" spans="7:7">
      <c r="G3363" s="19" t="s">
        <v>2995</v>
      </c>
    </row>
    <row r="3364" spans="7:7">
      <c r="G3364" s="7"/>
    </row>
    <row r="3365" spans="7:7">
      <c r="G3365" s="5">
        <v>2570635</v>
      </c>
    </row>
    <row r="3366" spans="7:7">
      <c r="G3366" s="7">
        <v>44434</v>
      </c>
    </row>
    <row r="3367" spans="7:7">
      <c r="G3367" s="19" t="s">
        <v>1264</v>
      </c>
    </row>
    <row r="3368" spans="7:7">
      <c r="G3368" s="7"/>
    </row>
    <row r="3369" spans="7:7">
      <c r="G3369" s="5">
        <v>2570760</v>
      </c>
    </row>
    <row r="3370" spans="7:7">
      <c r="G3370" s="7">
        <v>44763</v>
      </c>
    </row>
    <row r="3371" spans="7:7">
      <c r="G3371" s="19" t="s">
        <v>1113</v>
      </c>
    </row>
    <row r="3372" spans="7:7">
      <c r="G3372" s="7"/>
    </row>
    <row r="3373" spans="7:7">
      <c r="G3373" s="5">
        <v>2573683</v>
      </c>
    </row>
    <row r="3374" spans="7:7">
      <c r="G3374" s="7">
        <v>44428</v>
      </c>
    </row>
    <row r="3375" spans="7:7">
      <c r="G3375" s="19" t="s">
        <v>1286</v>
      </c>
    </row>
    <row r="3376" spans="7:7">
      <c r="G3376" s="7"/>
    </row>
    <row r="3377" spans="7:7">
      <c r="G3377" s="5">
        <v>2574253</v>
      </c>
    </row>
    <row r="3378" spans="7:7">
      <c r="G3378" s="7">
        <v>44755</v>
      </c>
    </row>
    <row r="3379" spans="7:7">
      <c r="G3379" s="19" t="s">
        <v>1100</v>
      </c>
    </row>
    <row r="3380" spans="7:7">
      <c r="G3380" s="7"/>
    </row>
    <row r="3381" spans="7:7">
      <c r="G3381" s="5">
        <v>2579422</v>
      </c>
    </row>
    <row r="3382" spans="7:7">
      <c r="G3382" s="7">
        <v>44705</v>
      </c>
    </row>
    <row r="3383" spans="7:7">
      <c r="G3383" s="19" t="s">
        <v>563</v>
      </c>
    </row>
    <row r="3384" spans="7:7">
      <c r="G3384" s="7"/>
    </row>
    <row r="3385" spans="7:7">
      <c r="G3385" s="5">
        <v>2582374</v>
      </c>
    </row>
    <row r="3386" spans="7:7">
      <c r="G3386" s="7">
        <v>44689</v>
      </c>
    </row>
    <row r="3387" spans="7:7">
      <c r="G3387" s="19" t="s">
        <v>563</v>
      </c>
    </row>
    <row r="3388" spans="7:7">
      <c r="G3388" s="7"/>
    </row>
    <row r="3389" spans="7:7">
      <c r="G3389" s="5">
        <v>2582723</v>
      </c>
    </row>
    <row r="3390" spans="7:7">
      <c r="G3390" s="7">
        <v>44747</v>
      </c>
    </row>
    <row r="3391" spans="7:7">
      <c r="G3391" s="19" t="s">
        <v>2383</v>
      </c>
    </row>
    <row r="3392" spans="7:7">
      <c r="G3392" s="7"/>
    </row>
    <row r="3393" spans="7:7">
      <c r="G3393" s="5">
        <v>2585572</v>
      </c>
    </row>
    <row r="3394" spans="7:7">
      <c r="G3394" s="7">
        <v>44686</v>
      </c>
    </row>
    <row r="3395" spans="7:7">
      <c r="G3395" s="19" t="s">
        <v>586</v>
      </c>
    </row>
    <row r="3396" spans="7:7">
      <c r="G3396" s="7"/>
    </row>
    <row r="3397" spans="7:7">
      <c r="G3397" s="5">
        <v>2586058</v>
      </c>
    </row>
    <row r="3398" spans="7:7">
      <c r="G3398" s="7">
        <v>44673</v>
      </c>
    </row>
    <row r="3399" spans="7:7">
      <c r="G3399" s="19" t="s">
        <v>1653</v>
      </c>
    </row>
    <row r="3400" spans="7:7">
      <c r="G3400" s="7"/>
    </row>
    <row r="3401" spans="7:7">
      <c r="G3401" s="7">
        <v>44704</v>
      </c>
    </row>
    <row r="3402" spans="7:7">
      <c r="G3402" s="19" t="s">
        <v>1214</v>
      </c>
    </row>
    <row r="3403" spans="7:7">
      <c r="G3403" s="7"/>
    </row>
    <row r="3404" spans="7:7">
      <c r="G3404" s="7">
        <v>44711</v>
      </c>
    </row>
    <row r="3405" spans="7:7">
      <c r="G3405" s="19" t="s">
        <v>1086</v>
      </c>
    </row>
    <row r="3406" spans="7:7">
      <c r="G3406" s="7"/>
    </row>
    <row r="3407" spans="7:7">
      <c r="G3407" s="5">
        <v>2589591</v>
      </c>
    </row>
    <row r="3408" spans="7:7">
      <c r="G3408" s="7">
        <v>44677</v>
      </c>
    </row>
    <row r="3409" spans="7:7">
      <c r="G3409" s="19" t="s">
        <v>563</v>
      </c>
    </row>
    <row r="3410" spans="7:7">
      <c r="G3410" s="7"/>
    </row>
    <row r="3411" spans="7:7">
      <c r="G3411" s="5">
        <v>2591530</v>
      </c>
    </row>
    <row r="3412" spans="7:7">
      <c r="G3412" s="7">
        <v>44726</v>
      </c>
    </row>
    <row r="3413" spans="7:7">
      <c r="G3413" s="19" t="s">
        <v>2383</v>
      </c>
    </row>
    <row r="3414" spans="7:7">
      <c r="G3414" s="7"/>
    </row>
    <row r="3415" spans="7:7">
      <c r="G3415" s="5">
        <v>2592160</v>
      </c>
    </row>
    <row r="3416" spans="7:7">
      <c r="G3416" s="7">
        <v>44685</v>
      </c>
    </row>
    <row r="3417" spans="7:7">
      <c r="G3417" s="19" t="s">
        <v>563</v>
      </c>
    </row>
    <row r="3418" spans="7:7">
      <c r="G3418" s="7"/>
    </row>
    <row r="3419" spans="7:7">
      <c r="G3419" s="5">
        <v>2594237</v>
      </c>
    </row>
    <row r="3420" spans="7:7">
      <c r="G3420" s="7">
        <v>44762</v>
      </c>
    </row>
    <row r="3421" spans="7:7">
      <c r="G3421" s="19" t="s">
        <v>2383</v>
      </c>
    </row>
    <row r="3422" spans="7:7">
      <c r="G3422" s="7"/>
    </row>
    <row r="3423" spans="7:7">
      <c r="G3423" s="5">
        <v>2595335</v>
      </c>
    </row>
    <row r="3424" spans="7:7">
      <c r="G3424" s="7">
        <v>44731</v>
      </c>
    </row>
    <row r="3425" spans="7:7">
      <c r="G3425" s="19" t="s">
        <v>2383</v>
      </c>
    </row>
    <row r="3426" spans="7:7">
      <c r="G3426" s="7"/>
    </row>
    <row r="3427" spans="7:7">
      <c r="G3427" s="5">
        <v>2604066</v>
      </c>
    </row>
    <row r="3428" spans="7:7">
      <c r="G3428" s="7">
        <v>44772</v>
      </c>
    </row>
    <row r="3429" spans="7:7">
      <c r="G3429" s="19" t="s">
        <v>2383</v>
      </c>
    </row>
    <row r="3430" spans="7:7">
      <c r="G3430" s="7"/>
    </row>
    <row r="3431" spans="7:7">
      <c r="G3431" s="5">
        <v>2605676</v>
      </c>
    </row>
    <row r="3432" spans="7:7">
      <c r="G3432" s="7">
        <v>44670</v>
      </c>
    </row>
    <row r="3433" spans="7:7">
      <c r="G3433" s="19" t="s">
        <v>563</v>
      </c>
    </row>
    <row r="3434" spans="7:7">
      <c r="G3434" s="7"/>
    </row>
    <row r="3435" spans="7:7">
      <c r="G3435" s="5">
        <v>2607441</v>
      </c>
    </row>
    <row r="3436" spans="7:7">
      <c r="G3436" s="7">
        <v>44652</v>
      </c>
    </row>
    <row r="3437" spans="7:7">
      <c r="G3437" s="19" t="s">
        <v>563</v>
      </c>
    </row>
    <row r="3438" spans="7:7">
      <c r="G3438" s="7"/>
    </row>
    <row r="3439" spans="7:7">
      <c r="G3439" s="5">
        <v>2608848</v>
      </c>
    </row>
    <row r="3440" spans="7:7">
      <c r="G3440" s="7">
        <v>44007</v>
      </c>
    </row>
    <row r="3441" spans="7:7">
      <c r="G3441" s="19" t="s">
        <v>107</v>
      </c>
    </row>
    <row r="3442" spans="7:7">
      <c r="G3442" s="7"/>
    </row>
    <row r="3443" spans="7:7">
      <c r="G3443" s="5">
        <v>2610857</v>
      </c>
    </row>
    <row r="3444" spans="7:7">
      <c r="G3444" s="7">
        <v>44725</v>
      </c>
    </row>
    <row r="3445" spans="7:7">
      <c r="G3445" s="19" t="s">
        <v>1152</v>
      </c>
    </row>
    <row r="3446" spans="7:7">
      <c r="G3446" s="7"/>
    </row>
    <row r="3447" spans="7:7">
      <c r="G3447" s="7">
        <v>44750</v>
      </c>
    </row>
    <row r="3448" spans="7:7">
      <c r="G3448" s="19" t="s">
        <v>1152</v>
      </c>
    </row>
    <row r="3449" spans="7:7">
      <c r="G3449" s="7"/>
    </row>
    <row r="3450" spans="7:7">
      <c r="G3450" s="7">
        <v>44755</v>
      </c>
    </row>
    <row r="3451" spans="7:7">
      <c r="G3451" s="19" t="s">
        <v>1100</v>
      </c>
    </row>
    <row r="3452" spans="7:7">
      <c r="G3452" s="7"/>
    </row>
    <row r="3453" spans="7:7">
      <c r="G3453" s="5">
        <v>2612548</v>
      </c>
    </row>
    <row r="3454" spans="7:7">
      <c r="G3454" s="7">
        <v>44699</v>
      </c>
    </row>
    <row r="3455" spans="7:7">
      <c r="G3455" s="19" t="s">
        <v>563</v>
      </c>
    </row>
    <row r="3456" spans="7:7">
      <c r="G3456" s="7"/>
    </row>
    <row r="3457" spans="7:7">
      <c r="G3457" s="5">
        <v>2615026</v>
      </c>
    </row>
    <row r="3458" spans="7:7">
      <c r="G3458" s="7">
        <v>44663</v>
      </c>
    </row>
    <row r="3459" spans="7:7">
      <c r="G3459" s="19" t="s">
        <v>2544</v>
      </c>
    </row>
    <row r="3460" spans="7:7">
      <c r="G3460" s="7"/>
    </row>
    <row r="3461" spans="7:7">
      <c r="G3461" s="5">
        <v>2616014</v>
      </c>
    </row>
    <row r="3462" spans="7:7">
      <c r="G3462" s="7">
        <v>44713</v>
      </c>
    </row>
    <row r="3463" spans="7:7">
      <c r="G3463" s="19" t="s">
        <v>1304</v>
      </c>
    </row>
    <row r="3464" spans="7:7">
      <c r="G3464" s="19" t="s">
        <v>2995</v>
      </c>
    </row>
    <row r="3465" spans="7:7">
      <c r="G3465" s="7"/>
    </row>
    <row r="3466" spans="7:7">
      <c r="G3466" s="5">
        <v>2616513</v>
      </c>
    </row>
    <row r="3467" spans="7:7">
      <c r="G3467" s="7">
        <v>44139</v>
      </c>
    </row>
    <row r="3468" spans="7:7">
      <c r="G3468" s="19" t="s">
        <v>310</v>
      </c>
    </row>
    <row r="3469" spans="7:7">
      <c r="G3469" s="7"/>
    </row>
    <row r="3470" spans="7:7">
      <c r="G3470" s="7">
        <v>44138</v>
      </c>
    </row>
    <row r="3471" spans="7:7">
      <c r="G3471" s="19" t="s">
        <v>309</v>
      </c>
    </row>
    <row r="3472" spans="7:7">
      <c r="G3472" s="7"/>
    </row>
    <row r="3473" spans="7:7">
      <c r="G3473" s="5">
        <v>2617034</v>
      </c>
    </row>
    <row r="3474" spans="7:7">
      <c r="G3474" s="7">
        <v>44614</v>
      </c>
    </row>
    <row r="3475" spans="7:7">
      <c r="G3475" s="19" t="s">
        <v>118</v>
      </c>
    </row>
    <row r="3476" spans="7:7">
      <c r="G3476" s="19" t="s">
        <v>89</v>
      </c>
    </row>
    <row r="3477" spans="7:7">
      <c r="G3477" s="7"/>
    </row>
    <row r="3478" spans="7:7">
      <c r="G3478" s="5">
        <v>2629910</v>
      </c>
    </row>
    <row r="3479" spans="7:7">
      <c r="G3479" s="7">
        <v>44367</v>
      </c>
    </row>
    <row r="3480" spans="7:7">
      <c r="G3480" s="19" t="s">
        <v>151</v>
      </c>
    </row>
    <row r="3481" spans="7:7">
      <c r="G3481" s="7"/>
    </row>
    <row r="3482" spans="7:7">
      <c r="G3482" s="5">
        <v>2631139</v>
      </c>
    </row>
    <row r="3483" spans="7:7">
      <c r="G3483" s="7">
        <v>44634</v>
      </c>
    </row>
    <row r="3484" spans="7:7">
      <c r="G3484" s="19" t="s">
        <v>107</v>
      </c>
    </row>
    <row r="3485" spans="7:7">
      <c r="G3485" s="7"/>
    </row>
    <row r="3486" spans="7:7">
      <c r="G3486" s="5">
        <v>2634637</v>
      </c>
    </row>
    <row r="3487" spans="7:7">
      <c r="G3487" s="7">
        <v>44357</v>
      </c>
    </row>
    <row r="3488" spans="7:7">
      <c r="G3488" s="19" t="s">
        <v>953</v>
      </c>
    </row>
    <row r="3489" spans="7:7">
      <c r="G3489" s="7"/>
    </row>
    <row r="3490" spans="7:7">
      <c r="G3490" s="7">
        <v>44651</v>
      </c>
    </row>
    <row r="3491" spans="7:7">
      <c r="G3491" s="19" t="s">
        <v>1934</v>
      </c>
    </row>
    <row r="3492" spans="7:7">
      <c r="G3492" s="7"/>
    </row>
    <row r="3493" spans="7:7">
      <c r="G3493" s="5">
        <v>2636229</v>
      </c>
    </row>
    <row r="3494" spans="7:7">
      <c r="G3494" s="7">
        <v>44636</v>
      </c>
    </row>
    <row r="3495" spans="7:7">
      <c r="G3495" s="19" t="s">
        <v>2237</v>
      </c>
    </row>
    <row r="3496" spans="7:7">
      <c r="G3496" s="7"/>
    </row>
    <row r="3497" spans="7:7">
      <c r="G3497" s="5">
        <v>2636334</v>
      </c>
    </row>
    <row r="3498" spans="7:7">
      <c r="G3498" s="7">
        <v>44542</v>
      </c>
    </row>
    <row r="3499" spans="7:7">
      <c r="G3499" s="19" t="s">
        <v>151</v>
      </c>
    </row>
    <row r="3500" spans="7:7">
      <c r="G3500" s="7"/>
    </row>
    <row r="3501" spans="7:7">
      <c r="G3501" s="5">
        <v>2636661</v>
      </c>
    </row>
    <row r="3502" spans="7:7">
      <c r="G3502" s="7">
        <v>44733</v>
      </c>
    </row>
    <row r="3503" spans="7:7">
      <c r="G3503" s="19" t="s">
        <v>2383</v>
      </c>
    </row>
    <row r="3504" spans="7:7">
      <c r="G3504" s="7"/>
    </row>
    <row r="3505" spans="7:7">
      <c r="G3505" s="5">
        <v>2648415</v>
      </c>
    </row>
    <row r="3506" spans="7:7">
      <c r="G3506" s="7">
        <v>44746</v>
      </c>
    </row>
    <row r="3507" spans="7:7">
      <c r="G3507" s="19" t="s">
        <v>1174</v>
      </c>
    </row>
    <row r="3508" spans="7:7">
      <c r="G3508" s="7"/>
    </row>
    <row r="3509" spans="7:7">
      <c r="G3509" s="5">
        <v>2652081</v>
      </c>
    </row>
    <row r="3510" spans="7:7">
      <c r="G3510" s="7">
        <v>44401</v>
      </c>
    </row>
    <row r="3511" spans="7:7">
      <c r="G3511" s="19" t="s">
        <v>1147</v>
      </c>
    </row>
    <row r="3512" spans="7:7">
      <c r="G3512" s="7"/>
    </row>
    <row r="3513" spans="7:7">
      <c r="G3513" s="5">
        <v>2653819</v>
      </c>
    </row>
    <row r="3514" spans="7:7">
      <c r="G3514" s="7">
        <v>44364</v>
      </c>
    </row>
    <row r="3515" spans="7:7">
      <c r="G3515" s="19" t="s">
        <v>812</v>
      </c>
    </row>
    <row r="3516" spans="7:7">
      <c r="G3516" s="7"/>
    </row>
    <row r="3517" spans="7:7">
      <c r="G3517" s="5">
        <v>2658174</v>
      </c>
    </row>
    <row r="3518" spans="7:7">
      <c r="G3518" s="7">
        <v>44480</v>
      </c>
    </row>
    <row r="3519" spans="7:7">
      <c r="G3519" s="19" t="s">
        <v>1225</v>
      </c>
    </row>
    <row r="3520" spans="7:7">
      <c r="G3520" s="19" t="s">
        <v>1107</v>
      </c>
    </row>
    <row r="3521" spans="7:7">
      <c r="G3521" s="7"/>
    </row>
    <row r="3522" spans="7:7">
      <c r="G3522" s="5">
        <v>2659406</v>
      </c>
    </row>
    <row r="3523" spans="7:7">
      <c r="G3523" s="7">
        <v>44483</v>
      </c>
    </row>
    <row r="3524" spans="7:7">
      <c r="G3524" s="19" t="s">
        <v>1734</v>
      </c>
    </row>
    <row r="3525" spans="7:7">
      <c r="G3525" s="7"/>
    </row>
    <row r="3526" spans="7:7">
      <c r="G3526" s="5">
        <v>2659517</v>
      </c>
    </row>
    <row r="3527" spans="7:7">
      <c r="G3527" s="7">
        <v>44607</v>
      </c>
    </row>
    <row r="3528" spans="7:7">
      <c r="G3528" s="19" t="s">
        <v>2176</v>
      </c>
    </row>
    <row r="3529" spans="7:7">
      <c r="G3529" s="7"/>
    </row>
    <row r="3530" spans="7:7">
      <c r="G3530" s="5">
        <v>2664111</v>
      </c>
    </row>
    <row r="3531" spans="7:7">
      <c r="G3531" s="7">
        <v>44620</v>
      </c>
    </row>
    <row r="3532" spans="7:7">
      <c r="G3532" s="19" t="s">
        <v>118</v>
      </c>
    </row>
    <row r="3533" spans="7:7">
      <c r="G3533" s="19" t="s">
        <v>1132</v>
      </c>
    </row>
    <row r="3534" spans="7:7">
      <c r="G3534" s="7"/>
    </row>
    <row r="3535" spans="7:7">
      <c r="G3535" s="5">
        <v>2664492</v>
      </c>
    </row>
    <row r="3536" spans="7:7">
      <c r="G3536" s="7">
        <v>44760</v>
      </c>
    </row>
    <row r="3537" spans="7:7">
      <c r="G3537" s="19" t="s">
        <v>2383</v>
      </c>
    </row>
    <row r="3538" spans="7:7">
      <c r="G3538" s="7"/>
    </row>
    <row r="3539" spans="7:7">
      <c r="G3539" s="5">
        <v>2664891</v>
      </c>
    </row>
    <row r="3540" spans="7:7">
      <c r="G3540" s="7">
        <v>44764</v>
      </c>
    </row>
    <row r="3541" spans="7:7">
      <c r="G3541" s="19" t="s">
        <v>2383</v>
      </c>
    </row>
    <row r="3542" spans="7:7">
      <c r="G3542" s="7"/>
    </row>
    <row r="3543" spans="7:7">
      <c r="G3543" s="7">
        <v>44770</v>
      </c>
    </row>
    <row r="3544" spans="7:7">
      <c r="G3544" s="19" t="s">
        <v>2383</v>
      </c>
    </row>
    <row r="3545" spans="7:7">
      <c r="G3545" s="7"/>
    </row>
    <row r="3546" spans="7:7">
      <c r="G3546" s="5">
        <v>2665756</v>
      </c>
    </row>
    <row r="3547" spans="7:7">
      <c r="G3547" s="7">
        <v>44582</v>
      </c>
    </row>
    <row r="3548" spans="7:7">
      <c r="G3548" s="19" t="s">
        <v>2041</v>
      </c>
    </row>
    <row r="3549" spans="7:7">
      <c r="G3549" s="7"/>
    </row>
    <row r="3550" spans="7:7">
      <c r="G3550" s="5">
        <v>2669276</v>
      </c>
    </row>
    <row r="3551" spans="7:7">
      <c r="G3551" s="7">
        <v>44400</v>
      </c>
    </row>
    <row r="3552" spans="7:7">
      <c r="G3552" s="19" t="s">
        <v>1111</v>
      </c>
    </row>
    <row r="3553" spans="7:7">
      <c r="G3553" s="7"/>
    </row>
    <row r="3554" spans="7:7">
      <c r="G3554" s="5">
        <v>2671170</v>
      </c>
    </row>
    <row r="3555" spans="7:7">
      <c r="G3555" s="7">
        <v>44589</v>
      </c>
    </row>
    <row r="3556" spans="7:7">
      <c r="G3556" s="19" t="s">
        <v>1772</v>
      </c>
    </row>
    <row r="3557" spans="7:7">
      <c r="G3557" s="7"/>
    </row>
    <row r="3558" spans="7:7">
      <c r="G3558" s="5">
        <v>2671673</v>
      </c>
    </row>
    <row r="3559" spans="7:7">
      <c r="G3559" s="7">
        <v>44473</v>
      </c>
    </row>
    <row r="3560" spans="7:7">
      <c r="G3560" s="19" t="s">
        <v>1761</v>
      </c>
    </row>
    <row r="3561" spans="7:7">
      <c r="G3561" s="7"/>
    </row>
    <row r="3562" spans="7:7">
      <c r="G3562" s="5">
        <v>2677681</v>
      </c>
    </row>
    <row r="3563" spans="7:7">
      <c r="G3563" s="7">
        <v>44707</v>
      </c>
    </row>
    <row r="3564" spans="7:7">
      <c r="G3564" s="19" t="s">
        <v>563</v>
      </c>
    </row>
    <row r="3565" spans="7:7">
      <c r="G3565" s="7"/>
    </row>
    <row r="3566" spans="7:7">
      <c r="G3566" s="5">
        <v>2686128</v>
      </c>
    </row>
    <row r="3567" spans="7:7">
      <c r="G3567" s="7">
        <v>44525</v>
      </c>
    </row>
    <row r="3568" spans="7:7">
      <c r="G3568" s="19" t="s">
        <v>1734</v>
      </c>
    </row>
    <row r="3569" spans="7:7">
      <c r="G3569" s="7"/>
    </row>
    <row r="3570" spans="7:7">
      <c r="G3570" s="5">
        <v>2688951</v>
      </c>
    </row>
    <row r="3571" spans="7:7">
      <c r="G3571" s="7">
        <v>44761</v>
      </c>
    </row>
    <row r="3572" spans="7:7">
      <c r="G3572" s="19" t="s">
        <v>1622</v>
      </c>
    </row>
    <row r="3573" spans="7:7">
      <c r="G3573" s="7"/>
    </row>
    <row r="3574" spans="7:7">
      <c r="G3574" s="5">
        <v>2691987</v>
      </c>
    </row>
    <row r="3575" spans="7:7">
      <c r="G3575" s="7">
        <v>44351</v>
      </c>
    </row>
    <row r="3576" spans="7:7">
      <c r="G3576" s="19" t="s">
        <v>563</v>
      </c>
    </row>
    <row r="3577" spans="7:7">
      <c r="G3577" s="7"/>
    </row>
    <row r="3578" spans="7:7">
      <c r="G3578" s="5">
        <v>2700558</v>
      </c>
    </row>
    <row r="3579" spans="7:7">
      <c r="G3579" s="7">
        <v>44672</v>
      </c>
    </row>
    <row r="3580" spans="7:7">
      <c r="G3580" s="19" t="s">
        <v>563</v>
      </c>
    </row>
    <row r="3581" spans="7:7">
      <c r="G3581" s="7"/>
    </row>
    <row r="3582" spans="7:7">
      <c r="G3582" s="5">
        <v>2706900</v>
      </c>
    </row>
    <row r="3583" spans="7:7">
      <c r="G3583" s="7">
        <v>44712</v>
      </c>
    </row>
    <row r="3584" spans="7:7">
      <c r="G3584" s="19" t="s">
        <v>563</v>
      </c>
    </row>
    <row r="3585" spans="7:7">
      <c r="G3585" s="7"/>
    </row>
    <row r="3586" spans="7:7">
      <c r="G3586" s="5">
        <v>2711030</v>
      </c>
    </row>
    <row r="3587" spans="7:7">
      <c r="G3587" s="7">
        <v>44336</v>
      </c>
    </row>
    <row r="3588" spans="7:7">
      <c r="G3588" s="19" t="s">
        <v>750</v>
      </c>
    </row>
    <row r="3589" spans="7:7">
      <c r="G3589" s="7"/>
    </row>
    <row r="3590" spans="7:7">
      <c r="G3590" s="5">
        <v>2711538</v>
      </c>
    </row>
    <row r="3591" spans="7:7">
      <c r="G3591" s="7">
        <v>44727</v>
      </c>
    </row>
    <row r="3592" spans="7:7">
      <c r="G3592" s="19" t="s">
        <v>2383</v>
      </c>
    </row>
    <row r="3593" spans="7:7">
      <c r="G3593" s="7"/>
    </row>
    <row r="3594" spans="7:7">
      <c r="G3594" s="7">
        <v>44749</v>
      </c>
    </row>
    <row r="3595" spans="7:7">
      <c r="G3595" s="19" t="s">
        <v>2383</v>
      </c>
    </row>
    <row r="3596" spans="7:7">
      <c r="G3596" s="7"/>
    </row>
    <row r="3597" spans="7:7">
      <c r="G3597" s="5">
        <v>2712284</v>
      </c>
    </row>
    <row r="3598" spans="7:7">
      <c r="G3598" s="7">
        <v>44662</v>
      </c>
    </row>
    <row r="3599" spans="7:7">
      <c r="G3599" s="19" t="s">
        <v>563</v>
      </c>
    </row>
    <row r="3600" spans="7:7">
      <c r="G3600" s="7"/>
    </row>
    <row r="3601" spans="7:7">
      <c r="G3601" s="5">
        <v>2712642</v>
      </c>
    </row>
    <row r="3602" spans="7:7">
      <c r="G3602" s="7">
        <v>44685</v>
      </c>
    </row>
    <row r="3603" spans="7:7">
      <c r="G3603" s="19" t="s">
        <v>563</v>
      </c>
    </row>
    <row r="3604" spans="7:7">
      <c r="G3604" s="7"/>
    </row>
    <row r="3605" spans="7:7">
      <c r="G3605" s="7">
        <v>44698</v>
      </c>
    </row>
    <row r="3606" spans="7:7">
      <c r="G3606" s="19" t="s">
        <v>563</v>
      </c>
    </row>
    <row r="3607" spans="7:7">
      <c r="G3607" s="7"/>
    </row>
    <row r="3608" spans="7:7">
      <c r="G3608" s="5">
        <v>2802968</v>
      </c>
    </row>
    <row r="3609" spans="7:7">
      <c r="G3609" s="7">
        <v>44704</v>
      </c>
    </row>
    <row r="3610" spans="7:7">
      <c r="G3610" s="19" t="s">
        <v>563</v>
      </c>
    </row>
    <row r="3611" spans="7:7">
      <c r="G3611" s="7"/>
    </row>
    <row r="3612" spans="7:7">
      <c r="G3612" s="5">
        <v>2803018</v>
      </c>
    </row>
    <row r="3613" spans="7:7">
      <c r="G3613" s="7">
        <v>44292</v>
      </c>
    </row>
    <row r="3614" spans="7:7">
      <c r="G3614" s="19" t="s">
        <v>89</v>
      </c>
    </row>
    <row r="3615" spans="7:7">
      <c r="G3615" s="7"/>
    </row>
    <row r="3616" spans="7:7">
      <c r="G3616" s="5">
        <v>2803723</v>
      </c>
    </row>
    <row r="3617" spans="7:7">
      <c r="G3617" s="7">
        <v>44747</v>
      </c>
    </row>
    <row r="3618" spans="7:7">
      <c r="G3618" s="19" t="s">
        <v>2383</v>
      </c>
    </row>
    <row r="3619" spans="7:7">
      <c r="G3619" s="7"/>
    </row>
    <row r="3620" spans="7:7">
      <c r="G3620" s="5">
        <v>2805169</v>
      </c>
    </row>
    <row r="3621" spans="7:7">
      <c r="G3621" s="7">
        <v>44711</v>
      </c>
    </row>
    <row r="3622" spans="7:7">
      <c r="G3622" s="19" t="s">
        <v>563</v>
      </c>
    </row>
    <row r="3623" spans="7:7">
      <c r="G3623" s="7"/>
    </row>
    <row r="3624" spans="7:7">
      <c r="G3624" s="5">
        <v>2805474</v>
      </c>
    </row>
    <row r="3625" spans="7:7">
      <c r="G3625" s="7">
        <v>44707</v>
      </c>
    </row>
    <row r="3626" spans="7:7">
      <c r="G3626" s="19" t="s">
        <v>2962</v>
      </c>
    </row>
    <row r="3627" spans="7:7">
      <c r="G3627" s="7"/>
    </row>
    <row r="3628" spans="7:7">
      <c r="G3628" s="5">
        <v>2805929</v>
      </c>
    </row>
    <row r="3629" spans="7:7">
      <c r="G3629" s="7">
        <v>44764</v>
      </c>
    </row>
    <row r="3630" spans="7:7">
      <c r="G3630" s="19" t="s">
        <v>2383</v>
      </c>
    </row>
    <row r="3631" spans="7:7">
      <c r="G3631" s="7"/>
    </row>
    <row r="3632" spans="7:7">
      <c r="G3632" s="5">
        <v>2806102</v>
      </c>
    </row>
    <row r="3633" spans="7:7">
      <c r="G3633" s="7">
        <v>44613</v>
      </c>
    </row>
    <row r="3634" spans="7:7">
      <c r="G3634" s="19" t="s">
        <v>1203</v>
      </c>
    </row>
    <row r="3635" spans="7:7">
      <c r="G3635" s="7"/>
    </row>
    <row r="3636" spans="7:7">
      <c r="G3636" s="5">
        <v>2807647</v>
      </c>
    </row>
    <row r="3637" spans="7:7">
      <c r="G3637" s="7">
        <v>44734</v>
      </c>
    </row>
    <row r="3638" spans="7:7">
      <c r="G3638" s="19" t="s">
        <v>2383</v>
      </c>
    </row>
    <row r="3639" spans="7:7">
      <c r="G3639" s="7"/>
    </row>
    <row r="3640" spans="7:7">
      <c r="G3640" s="7">
        <v>44761</v>
      </c>
    </row>
    <row r="3641" spans="7:7">
      <c r="G3641" s="19" t="s">
        <v>2383</v>
      </c>
    </row>
    <row r="3642" spans="7:7">
      <c r="G3642" s="7"/>
    </row>
    <row r="3643" spans="7:7">
      <c r="G3643" s="5">
        <v>2807796</v>
      </c>
    </row>
    <row r="3644" spans="7:7">
      <c r="G3644" s="7">
        <v>44755</v>
      </c>
    </row>
    <row r="3645" spans="7:7">
      <c r="G3645" s="19" t="s">
        <v>2383</v>
      </c>
    </row>
    <row r="3646" spans="7:7">
      <c r="G3646" s="7"/>
    </row>
    <row r="3647" spans="7:7">
      <c r="G3647" s="5">
        <v>2807868</v>
      </c>
    </row>
    <row r="3648" spans="7:7">
      <c r="G3648" s="7">
        <v>44348</v>
      </c>
    </row>
    <row r="3649" spans="7:7">
      <c r="G3649" s="19" t="s">
        <v>563</v>
      </c>
    </row>
    <row r="3650" spans="7:7">
      <c r="G3650" s="7"/>
    </row>
    <row r="3651" spans="7:7">
      <c r="G3651" s="5">
        <v>2808270</v>
      </c>
    </row>
    <row r="3652" spans="7:7">
      <c r="G3652" s="7">
        <v>44741</v>
      </c>
    </row>
    <row r="3653" spans="7:7">
      <c r="G3653" s="19" t="s">
        <v>2383</v>
      </c>
    </row>
    <row r="3654" spans="7:7">
      <c r="G3654" s="7"/>
    </row>
    <row r="3655" spans="7:7">
      <c r="G3655" s="5">
        <v>2808675</v>
      </c>
    </row>
    <row r="3656" spans="7:7">
      <c r="G3656" s="7">
        <v>44433</v>
      </c>
    </row>
    <row r="3657" spans="7:7">
      <c r="G3657" s="19" t="s">
        <v>1204</v>
      </c>
    </row>
    <row r="3658" spans="7:7">
      <c r="G3658" s="7"/>
    </row>
    <row r="3659" spans="7:7">
      <c r="G3659" s="7">
        <v>44428</v>
      </c>
    </row>
    <row r="3660" spans="7:7">
      <c r="G3660" s="19" t="s">
        <v>1284</v>
      </c>
    </row>
    <row r="3661" spans="7:7">
      <c r="G3661" s="7"/>
    </row>
    <row r="3662" spans="7:7">
      <c r="G3662" s="7">
        <v>44421</v>
      </c>
    </row>
    <row r="3663" spans="7:7">
      <c r="G3663" s="19" t="s">
        <v>950</v>
      </c>
    </row>
    <row r="3664" spans="7:7">
      <c r="G3664" s="7"/>
    </row>
    <row r="3665" spans="7:7">
      <c r="G3665" s="5">
        <v>2809006</v>
      </c>
    </row>
    <row r="3666" spans="7:7">
      <c r="G3666" s="7">
        <v>44333</v>
      </c>
    </row>
    <row r="3667" spans="7:7">
      <c r="G3667" s="19" t="s">
        <v>100</v>
      </c>
    </row>
    <row r="3668" spans="7:7">
      <c r="G3668" s="7"/>
    </row>
    <row r="3669" spans="7:7">
      <c r="G3669" s="5">
        <v>2809245</v>
      </c>
    </row>
    <row r="3670" spans="7:7">
      <c r="G3670" s="7">
        <v>44655</v>
      </c>
    </row>
    <row r="3671" spans="7:7">
      <c r="G3671" s="19" t="s">
        <v>563</v>
      </c>
    </row>
    <row r="3672" spans="7:7">
      <c r="G3672" s="7"/>
    </row>
    <row r="3673" spans="7:7">
      <c r="G3673" s="5">
        <v>2809455</v>
      </c>
    </row>
    <row r="3674" spans="7:7">
      <c r="G3674" s="7">
        <v>44771</v>
      </c>
    </row>
    <row r="3675" spans="7:7">
      <c r="G3675" s="19" t="s">
        <v>2383</v>
      </c>
    </row>
    <row r="3676" spans="7:7">
      <c r="G3676" s="7"/>
    </row>
    <row r="3677" spans="7:7">
      <c r="G3677" s="5">
        <v>2810676</v>
      </c>
    </row>
    <row r="3678" spans="7:7">
      <c r="G3678" s="7">
        <v>44337</v>
      </c>
    </row>
    <row r="3679" spans="7:7">
      <c r="G3679" s="19" t="s">
        <v>563</v>
      </c>
    </row>
    <row r="3680" spans="7:7">
      <c r="G3680" s="7"/>
    </row>
    <row r="3681" spans="7:7">
      <c r="G3681" s="5">
        <v>2810857</v>
      </c>
    </row>
    <row r="3682" spans="7:7">
      <c r="G3682" s="7">
        <v>44679</v>
      </c>
    </row>
    <row r="3683" spans="7:7">
      <c r="G3683" s="19" t="s">
        <v>2122</v>
      </c>
    </row>
    <row r="3684" spans="7:7">
      <c r="G3684" s="7"/>
    </row>
    <row r="3685" spans="7:7">
      <c r="G3685" s="5">
        <v>2811489</v>
      </c>
    </row>
    <row r="3686" spans="7:7">
      <c r="G3686" s="7">
        <v>44418</v>
      </c>
    </row>
    <row r="3687" spans="7:7">
      <c r="G3687" s="19" t="s">
        <v>1226</v>
      </c>
    </row>
    <row r="3688" spans="7:7">
      <c r="G3688" s="7"/>
    </row>
    <row r="3689" spans="7:7">
      <c r="G3689" s="7">
        <v>44718</v>
      </c>
    </row>
    <row r="3690" spans="7:7">
      <c r="G3690" s="19" t="s">
        <v>2383</v>
      </c>
    </row>
    <row r="3691" spans="7:7">
      <c r="G3691" s="7"/>
    </row>
    <row r="3692" spans="7:7">
      <c r="G3692" s="5">
        <v>2811683</v>
      </c>
    </row>
    <row r="3693" spans="7:7">
      <c r="G3693" s="7">
        <v>44743</v>
      </c>
    </row>
    <row r="3694" spans="7:7">
      <c r="G3694" s="19" t="s">
        <v>2383</v>
      </c>
    </row>
    <row r="3695" spans="7:7">
      <c r="G3695" s="7"/>
    </row>
    <row r="3696" spans="7:7">
      <c r="G3696" s="5">
        <v>2812507</v>
      </c>
    </row>
    <row r="3697" spans="7:7">
      <c r="G3697" s="7">
        <v>44663</v>
      </c>
    </row>
    <row r="3698" spans="7:7">
      <c r="G3698" s="19" t="s">
        <v>563</v>
      </c>
    </row>
    <row r="3699" spans="7:7">
      <c r="G3699" s="7"/>
    </row>
    <row r="3700" spans="7:7">
      <c r="G3700" s="5">
        <v>2812927</v>
      </c>
    </row>
    <row r="3701" spans="7:7">
      <c r="G3701" s="7">
        <v>44643</v>
      </c>
    </row>
    <row r="3702" spans="7:7">
      <c r="G3702" s="19" t="s">
        <v>1274</v>
      </c>
    </row>
    <row r="3703" spans="7:7">
      <c r="G3703" s="7"/>
    </row>
    <row r="3704" spans="7:7">
      <c r="G3704" s="5">
        <v>2813374</v>
      </c>
    </row>
    <row r="3705" spans="7:7">
      <c r="G3705" s="7">
        <v>44475</v>
      </c>
    </row>
    <row r="3706" spans="7:7">
      <c r="G3706" s="19" t="s">
        <v>1758</v>
      </c>
    </row>
    <row r="3707" spans="7:7">
      <c r="G3707" s="7"/>
    </row>
    <row r="3708" spans="7:7">
      <c r="G3708" s="5">
        <v>2813443</v>
      </c>
    </row>
    <row r="3709" spans="7:7">
      <c r="G3709" s="7">
        <v>44650</v>
      </c>
    </row>
    <row r="3710" spans="7:7">
      <c r="G3710" s="19" t="s">
        <v>563</v>
      </c>
    </row>
    <row r="3711" spans="7:7">
      <c r="G3711" s="7"/>
    </row>
    <row r="3712" spans="7:7">
      <c r="G3712" s="5">
        <v>2814312</v>
      </c>
    </row>
    <row r="3713" spans="7:7">
      <c r="G3713" s="7">
        <v>44461</v>
      </c>
    </row>
    <row r="3714" spans="7:7">
      <c r="G3714" s="19" t="s">
        <v>1670</v>
      </c>
    </row>
    <row r="3715" spans="7:7">
      <c r="G3715" s="7"/>
    </row>
    <row r="3716" spans="7:7">
      <c r="G3716" s="5">
        <v>2814474</v>
      </c>
    </row>
    <row r="3717" spans="7:7">
      <c r="G3717" s="7">
        <v>44763</v>
      </c>
    </row>
    <row r="3718" spans="7:7">
      <c r="G3718" s="19" t="s">
        <v>2962</v>
      </c>
    </row>
    <row r="3719" spans="7:7">
      <c r="G3719" s="7"/>
    </row>
    <row r="3720" spans="7:7">
      <c r="G3720" s="5">
        <v>2815943</v>
      </c>
    </row>
    <row r="3721" spans="7:7">
      <c r="G3721" s="7">
        <v>44770</v>
      </c>
    </row>
    <row r="3722" spans="7:7">
      <c r="G3722" s="19" t="s">
        <v>2383</v>
      </c>
    </row>
    <row r="3723" spans="7:7">
      <c r="G3723" s="7"/>
    </row>
    <row r="3724" spans="7:7">
      <c r="G3724" s="5">
        <v>2816484</v>
      </c>
    </row>
    <row r="3725" spans="7:7">
      <c r="G3725" s="7">
        <v>44564</v>
      </c>
    </row>
    <row r="3726" spans="7:7">
      <c r="G3726" s="19" t="s">
        <v>1274</v>
      </c>
    </row>
    <row r="3727" spans="7:7">
      <c r="G3727" s="7"/>
    </row>
    <row r="3728" spans="7:7">
      <c r="G3728" s="5">
        <v>2816657</v>
      </c>
    </row>
    <row r="3729" spans="7:7">
      <c r="G3729" s="7">
        <v>44742</v>
      </c>
    </row>
    <row r="3730" spans="7:7">
      <c r="G3730" s="19" t="s">
        <v>2383</v>
      </c>
    </row>
    <row r="3731" spans="7:7">
      <c r="G3731" s="7"/>
    </row>
    <row r="3732" spans="7:7">
      <c r="G3732" s="5">
        <v>2816814</v>
      </c>
    </row>
    <row r="3733" spans="7:7">
      <c r="G3733" s="7">
        <v>44743</v>
      </c>
    </row>
    <row r="3734" spans="7:7">
      <c r="G3734" s="19" t="s">
        <v>2383</v>
      </c>
    </row>
    <row r="3735" spans="7:7">
      <c r="G3735" s="7"/>
    </row>
    <row r="3736" spans="7:7">
      <c r="G3736" s="5">
        <v>2816998</v>
      </c>
    </row>
    <row r="3737" spans="7:7">
      <c r="G3737" s="7">
        <v>44564</v>
      </c>
    </row>
    <row r="3738" spans="7:7">
      <c r="G3738" s="19" t="s">
        <v>1274</v>
      </c>
    </row>
    <row r="3739" spans="7:7">
      <c r="G3739" s="7"/>
    </row>
    <row r="3740" spans="7:7">
      <c r="G3740" s="5">
        <v>2817498</v>
      </c>
    </row>
    <row r="3741" spans="7:7">
      <c r="G3741" s="7">
        <v>44740</v>
      </c>
    </row>
    <row r="3742" spans="7:7">
      <c r="G3742" s="19" t="s">
        <v>2383</v>
      </c>
    </row>
    <row r="3743" spans="7:7">
      <c r="G3743" s="7"/>
    </row>
    <row r="3744" spans="7:7">
      <c r="G3744" s="5">
        <v>2818175</v>
      </c>
    </row>
    <row r="3745" spans="7:7">
      <c r="G3745" s="7">
        <v>44351</v>
      </c>
    </row>
    <row r="3746" spans="7:7">
      <c r="G3746" s="19" t="s">
        <v>841</v>
      </c>
    </row>
    <row r="3747" spans="7:7">
      <c r="G3747" s="7"/>
    </row>
    <row r="3748" spans="7:7">
      <c r="G3748" s="5">
        <v>2818366</v>
      </c>
    </row>
    <row r="3749" spans="7:7">
      <c r="G3749" s="7">
        <v>44641</v>
      </c>
    </row>
    <row r="3750" spans="7:7">
      <c r="G3750" s="19" t="s">
        <v>563</v>
      </c>
    </row>
    <row r="3751" spans="7:7">
      <c r="G3751" s="7"/>
    </row>
    <row r="3752" spans="7:7">
      <c r="G3752" s="5">
        <v>2818506</v>
      </c>
    </row>
    <row r="3753" spans="7:7">
      <c r="G3753" s="7">
        <v>44756</v>
      </c>
    </row>
    <row r="3754" spans="7:7">
      <c r="G3754" s="19" t="s">
        <v>2383</v>
      </c>
    </row>
    <row r="3755" spans="7:7">
      <c r="G3755" s="7"/>
    </row>
    <row r="3756" spans="7:7">
      <c r="G3756" s="5">
        <v>2819158</v>
      </c>
    </row>
    <row r="3757" spans="7:7">
      <c r="G3757" s="7">
        <v>44740</v>
      </c>
    </row>
    <row r="3758" spans="7:7">
      <c r="G3758" s="19" t="s">
        <v>2383</v>
      </c>
    </row>
    <row r="3759" spans="7:7">
      <c r="G3759" s="7"/>
    </row>
    <row r="3760" spans="7:7">
      <c r="G3760" s="5">
        <v>2819933</v>
      </c>
    </row>
    <row r="3761" spans="7:7">
      <c r="G3761" s="7">
        <v>44732</v>
      </c>
    </row>
    <row r="3762" spans="7:7">
      <c r="G3762" s="19" t="s">
        <v>2383</v>
      </c>
    </row>
    <row r="3763" spans="7:7">
      <c r="G3763" s="7"/>
    </row>
    <row r="3764" spans="7:7">
      <c r="G3764" s="5">
        <v>2820193</v>
      </c>
    </row>
    <row r="3765" spans="7:7">
      <c r="G3765" s="7">
        <v>44719</v>
      </c>
    </row>
    <row r="3766" spans="7:7">
      <c r="G3766" s="19" t="s">
        <v>3077</v>
      </c>
    </row>
    <row r="3767" spans="7:7">
      <c r="G3767" s="7"/>
    </row>
    <row r="3768" spans="7:7">
      <c r="G3768" s="5">
        <v>2821878</v>
      </c>
    </row>
    <row r="3769" spans="7:7">
      <c r="G3769" s="7">
        <v>44629</v>
      </c>
    </row>
    <row r="3770" spans="7:7">
      <c r="G3770" s="19" t="s">
        <v>950</v>
      </c>
    </row>
    <row r="3771" spans="7:7">
      <c r="G3771" s="7"/>
    </row>
    <row r="3772" spans="7:7">
      <c r="G3772" s="5">
        <v>2822437</v>
      </c>
    </row>
    <row r="3773" spans="7:7">
      <c r="G3773" s="7">
        <v>44699</v>
      </c>
    </row>
    <row r="3774" spans="7:7">
      <c r="G3774" s="19" t="s">
        <v>563</v>
      </c>
    </row>
    <row r="3775" spans="7:7">
      <c r="G3775" s="7"/>
    </row>
    <row r="3776" spans="7:7">
      <c r="G3776" s="5">
        <v>2822469</v>
      </c>
    </row>
    <row r="3777" spans="7:7">
      <c r="G3777" s="7">
        <v>44726</v>
      </c>
    </row>
    <row r="3778" spans="7:7">
      <c r="G3778" s="19" t="s">
        <v>2383</v>
      </c>
    </row>
    <row r="3779" spans="7:7">
      <c r="G3779" s="7"/>
    </row>
    <row r="3780" spans="7:7">
      <c r="G3780" s="5">
        <v>2824281</v>
      </c>
    </row>
    <row r="3781" spans="7:7">
      <c r="G3781" s="7">
        <v>44393</v>
      </c>
    </row>
    <row r="3782" spans="7:7">
      <c r="G3782" s="19" t="s">
        <v>1053</v>
      </c>
    </row>
    <row r="3783" spans="7:7">
      <c r="G3783" s="7"/>
    </row>
    <row r="3784" spans="7:7">
      <c r="G3784" s="5">
        <v>2825576</v>
      </c>
    </row>
    <row r="3785" spans="7:7">
      <c r="G3785" s="7">
        <v>44704</v>
      </c>
    </row>
    <row r="3786" spans="7:7">
      <c r="G3786" s="19" t="s">
        <v>2241</v>
      </c>
    </row>
    <row r="3787" spans="7:7">
      <c r="G3787" s="7"/>
    </row>
    <row r="3788" spans="7:7">
      <c r="G3788" s="5">
        <v>2825604</v>
      </c>
    </row>
    <row r="3789" spans="7:7">
      <c r="G3789" s="7">
        <v>44622</v>
      </c>
    </row>
    <row r="3790" spans="7:7">
      <c r="G3790" s="19" t="s">
        <v>516</v>
      </c>
    </row>
    <row r="3791" spans="7:7">
      <c r="G3791" s="7"/>
    </row>
    <row r="3792" spans="7:7">
      <c r="G3792" s="7">
        <v>44629</v>
      </c>
    </row>
    <row r="3793" spans="7:7">
      <c r="G3793" s="19" t="s">
        <v>516</v>
      </c>
    </row>
    <row r="3794" spans="7:7">
      <c r="G3794" s="7"/>
    </row>
    <row r="3795" spans="7:7">
      <c r="G3795" s="5">
        <v>2825883</v>
      </c>
    </row>
    <row r="3796" spans="7:7">
      <c r="G3796" s="7">
        <v>44714</v>
      </c>
    </row>
    <row r="3797" spans="7:7">
      <c r="G3797" s="19" t="s">
        <v>2383</v>
      </c>
    </row>
    <row r="3798" spans="7:7">
      <c r="G3798" s="7"/>
    </row>
    <row r="3799" spans="7:7">
      <c r="G3799" s="5">
        <v>2826286</v>
      </c>
    </row>
    <row r="3800" spans="7:7">
      <c r="G3800" s="7">
        <v>44476</v>
      </c>
    </row>
    <row r="3801" spans="7:7">
      <c r="G3801" s="19" t="s">
        <v>139</v>
      </c>
    </row>
    <row r="3802" spans="7:7">
      <c r="G3802" s="7"/>
    </row>
    <row r="3803" spans="7:7">
      <c r="G3803" s="5">
        <v>2826611</v>
      </c>
    </row>
    <row r="3804" spans="7:7">
      <c r="G3804" s="7">
        <v>44733</v>
      </c>
    </row>
    <row r="3805" spans="7:7">
      <c r="G3805" s="19" t="s">
        <v>1246</v>
      </c>
    </row>
    <row r="3806" spans="7:7">
      <c r="G3806" s="7"/>
    </row>
    <row r="3807" spans="7:7">
      <c r="G3807" s="5">
        <v>2828037</v>
      </c>
    </row>
    <row r="3808" spans="7:7">
      <c r="G3808" s="7">
        <v>44728</v>
      </c>
    </row>
    <row r="3809" spans="7:7">
      <c r="G3809" s="19" t="s">
        <v>2383</v>
      </c>
    </row>
    <row r="3810" spans="7:7">
      <c r="G3810" s="7"/>
    </row>
    <row r="3811" spans="7:7">
      <c r="G3811" s="7">
        <v>44734</v>
      </c>
    </row>
    <row r="3812" spans="7:7">
      <c r="G3812" s="19" t="s">
        <v>2383</v>
      </c>
    </row>
    <row r="3813" spans="7:7">
      <c r="G3813" s="7"/>
    </row>
    <row r="3814" spans="7:7">
      <c r="G3814" s="5">
        <v>2830455</v>
      </c>
    </row>
    <row r="3815" spans="7:7">
      <c r="G3815" s="7">
        <v>44750</v>
      </c>
    </row>
    <row r="3816" spans="7:7">
      <c r="G3816" s="19" t="s">
        <v>2383</v>
      </c>
    </row>
    <row r="3817" spans="7:7">
      <c r="G3817" s="7"/>
    </row>
    <row r="3818" spans="7:7">
      <c r="G3818" s="5">
        <v>2832055</v>
      </c>
    </row>
    <row r="3819" spans="7:7">
      <c r="G3819" s="7">
        <v>44396</v>
      </c>
    </row>
    <row r="3820" spans="7:7">
      <c r="G3820" s="19" t="s">
        <v>1100</v>
      </c>
    </row>
    <row r="3821" spans="7:7">
      <c r="G3821" s="7"/>
    </row>
    <row r="3822" spans="7:7">
      <c r="G3822" s="5">
        <v>2832343</v>
      </c>
    </row>
    <row r="3823" spans="7:7">
      <c r="G3823" s="7">
        <v>44491</v>
      </c>
    </row>
    <row r="3824" spans="7:7">
      <c r="G3824" s="19" t="s">
        <v>502</v>
      </c>
    </row>
    <row r="3825" spans="7:7">
      <c r="G3825" s="7"/>
    </row>
    <row r="3826" spans="7:7">
      <c r="G3826" s="5">
        <v>2833455</v>
      </c>
    </row>
    <row r="3827" spans="7:7">
      <c r="G3827" s="7">
        <v>44721</v>
      </c>
    </row>
    <row r="3828" spans="7:7">
      <c r="G3828" s="19" t="s">
        <v>2861</v>
      </c>
    </row>
    <row r="3829" spans="7:7">
      <c r="G3829" s="7"/>
    </row>
    <row r="3830" spans="7:7">
      <c r="G3830" s="5">
        <v>2837459</v>
      </c>
    </row>
    <row r="3831" spans="7:7">
      <c r="G3831" s="7">
        <v>44770</v>
      </c>
    </row>
    <row r="3832" spans="7:7">
      <c r="G3832" s="19" t="s">
        <v>2309</v>
      </c>
    </row>
    <row r="3833" spans="7:7">
      <c r="G3833" s="7"/>
    </row>
    <row r="3834" spans="7:7">
      <c r="G3834" s="5">
        <v>2838001</v>
      </c>
    </row>
    <row r="3835" spans="7:7">
      <c r="G3835" s="7">
        <v>44495</v>
      </c>
    </row>
    <row r="3836" spans="7:7">
      <c r="G3836" s="19" t="s">
        <v>1293</v>
      </c>
    </row>
    <row r="3837" spans="7:7">
      <c r="G3837" s="7"/>
    </row>
    <row r="3838" spans="7:7">
      <c r="G3838" s="5">
        <v>2838098</v>
      </c>
    </row>
    <row r="3839" spans="7:7">
      <c r="G3839" s="7">
        <v>44463</v>
      </c>
    </row>
    <row r="3840" spans="7:7">
      <c r="G3840" s="19" t="s">
        <v>1653</v>
      </c>
    </row>
    <row r="3841" spans="7:7">
      <c r="G3841" s="7"/>
    </row>
    <row r="3842" spans="7:7">
      <c r="G3842" s="5">
        <v>2838383</v>
      </c>
    </row>
    <row r="3843" spans="7:7">
      <c r="G3843" s="7">
        <v>44677</v>
      </c>
    </row>
    <row r="3844" spans="7:7">
      <c r="G3844" s="19" t="s">
        <v>563</v>
      </c>
    </row>
    <row r="3845" spans="7:7">
      <c r="G3845" s="7"/>
    </row>
    <row r="3846" spans="7:7">
      <c r="G3846" s="5">
        <v>2840229</v>
      </c>
    </row>
    <row r="3847" spans="7:7">
      <c r="G3847" s="7">
        <v>44699</v>
      </c>
    </row>
    <row r="3848" spans="7:7">
      <c r="G3848" s="19" t="s">
        <v>563</v>
      </c>
    </row>
    <row r="3849" spans="7:7">
      <c r="G3849" s="7"/>
    </row>
    <row r="3850" spans="7:7">
      <c r="G3850" s="5">
        <v>2840467</v>
      </c>
    </row>
    <row r="3851" spans="7:7">
      <c r="G3851" s="7">
        <v>44698</v>
      </c>
    </row>
    <row r="3852" spans="7:7">
      <c r="G3852" s="19" t="s">
        <v>563</v>
      </c>
    </row>
    <row r="3853" spans="7:7">
      <c r="G3853" s="7"/>
    </row>
    <row r="3854" spans="7:7">
      <c r="G3854" s="5">
        <v>2841836</v>
      </c>
    </row>
    <row r="3855" spans="7:7">
      <c r="G3855" s="7">
        <v>44651</v>
      </c>
    </row>
    <row r="3856" spans="7:7">
      <c r="G3856" s="19" t="s">
        <v>2241</v>
      </c>
    </row>
    <row r="3857" spans="7:7">
      <c r="G3857" s="7"/>
    </row>
    <row r="3858" spans="7:7">
      <c r="G3858" s="5">
        <v>2844774</v>
      </c>
    </row>
    <row r="3859" spans="7:7">
      <c r="G3859" s="7">
        <v>44348</v>
      </c>
    </row>
    <row r="3860" spans="7:7">
      <c r="G3860" s="19" t="s">
        <v>173</v>
      </c>
    </row>
    <row r="3861" spans="7:7">
      <c r="G3861" s="7"/>
    </row>
    <row r="3862" spans="7:7">
      <c r="G3862" s="5">
        <v>2845641</v>
      </c>
    </row>
    <row r="3863" spans="7:7">
      <c r="G3863" s="7">
        <v>44714</v>
      </c>
    </row>
    <row r="3864" spans="7:7">
      <c r="G3864" s="19" t="s">
        <v>2383</v>
      </c>
    </row>
    <row r="3865" spans="7:7">
      <c r="G3865" s="7"/>
    </row>
    <row r="3866" spans="7:7">
      <c r="G3866" s="5">
        <v>2847352</v>
      </c>
    </row>
    <row r="3867" spans="7:7">
      <c r="G3867" s="7">
        <v>44644</v>
      </c>
    </row>
    <row r="3868" spans="7:7">
      <c r="G3868" s="19" t="s">
        <v>1293</v>
      </c>
    </row>
    <row r="3869" spans="7:7">
      <c r="G3869" s="7"/>
    </row>
    <row r="3870" spans="7:7">
      <c r="G3870" s="5">
        <v>2847917</v>
      </c>
    </row>
    <row r="3871" spans="7:7">
      <c r="G3871" s="7">
        <v>44361</v>
      </c>
    </row>
    <row r="3872" spans="7:7">
      <c r="G3872" s="19" t="s">
        <v>502</v>
      </c>
    </row>
    <row r="3873" spans="7:7">
      <c r="G3873" s="7"/>
    </row>
    <row r="3874" spans="7:7">
      <c r="G3874" s="7">
        <v>44504</v>
      </c>
    </row>
    <row r="3875" spans="7:7">
      <c r="G3875" s="19" t="s">
        <v>502</v>
      </c>
    </row>
    <row r="3876" spans="7:7">
      <c r="G3876" s="7"/>
    </row>
    <row r="3877" spans="7:7">
      <c r="G3877" s="5">
        <v>2849235</v>
      </c>
    </row>
    <row r="3878" spans="7:7">
      <c r="G3878" s="7">
        <v>44427</v>
      </c>
    </row>
    <row r="3879" spans="7:7">
      <c r="G3879" s="19" t="s">
        <v>1289</v>
      </c>
    </row>
    <row r="3880" spans="7:7">
      <c r="G3880" s="7"/>
    </row>
    <row r="3881" spans="7:7">
      <c r="G3881" s="7">
        <v>44446</v>
      </c>
    </row>
    <row r="3882" spans="7:7">
      <c r="G3882" s="19" t="s">
        <v>541</v>
      </c>
    </row>
    <row r="3883" spans="7:7">
      <c r="G3883" s="7"/>
    </row>
    <row r="3884" spans="7:7">
      <c r="G3884" s="7">
        <v>44462</v>
      </c>
    </row>
    <row r="3885" spans="7:7">
      <c r="G3885" s="19" t="s">
        <v>1668</v>
      </c>
    </row>
    <row r="3886" spans="7:7">
      <c r="G3886" s="7"/>
    </row>
    <row r="3887" spans="7:7">
      <c r="G3887" s="7">
        <v>44475</v>
      </c>
    </row>
    <row r="3888" spans="7:7">
      <c r="G3888" s="19" t="s">
        <v>143</v>
      </c>
    </row>
    <row r="3889" spans="7:7">
      <c r="G3889" s="7"/>
    </row>
    <row r="3890" spans="7:7">
      <c r="G3890" s="7">
        <v>44490</v>
      </c>
    </row>
    <row r="3891" spans="7:7">
      <c r="G3891" s="19" t="s">
        <v>541</v>
      </c>
    </row>
    <row r="3892" spans="7:7">
      <c r="G3892" s="7"/>
    </row>
    <row r="3893" spans="7:7">
      <c r="G3893" s="7">
        <v>44519</v>
      </c>
    </row>
    <row r="3894" spans="7:7">
      <c r="G3894" s="19" t="s">
        <v>143</v>
      </c>
    </row>
    <row r="3895" spans="7:7">
      <c r="G3895" s="7"/>
    </row>
    <row r="3896" spans="7:7">
      <c r="G3896" s="7">
        <v>44670</v>
      </c>
    </row>
    <row r="3897" spans="7:7">
      <c r="G3897" s="19" t="s">
        <v>541</v>
      </c>
    </row>
    <row r="3898" spans="7:7">
      <c r="G3898" s="7"/>
    </row>
    <row r="3899" spans="7:7">
      <c r="G3899" s="7">
        <v>44720</v>
      </c>
    </row>
    <row r="3900" spans="7:7">
      <c r="G3900" s="19" t="s">
        <v>2223</v>
      </c>
    </row>
    <row r="3901" spans="7:7">
      <c r="G3901" s="7"/>
    </row>
    <row r="3902" spans="7:7">
      <c r="G3902" s="5">
        <v>2849264</v>
      </c>
    </row>
    <row r="3903" spans="7:7">
      <c r="G3903" s="7">
        <v>44467</v>
      </c>
    </row>
    <row r="3904" spans="7:7">
      <c r="G3904" s="19" t="s">
        <v>1203</v>
      </c>
    </row>
    <row r="3905" spans="7:7">
      <c r="G3905" s="7"/>
    </row>
    <row r="3906" spans="7:7">
      <c r="G3906" s="7">
        <v>44635</v>
      </c>
    </row>
    <row r="3907" spans="7:7">
      <c r="G3907" s="19" t="s">
        <v>1203</v>
      </c>
    </row>
    <row r="3908" spans="7:7">
      <c r="G3908" s="19" t="s">
        <v>2253</v>
      </c>
    </row>
    <row r="3909" spans="7:7">
      <c r="G3909" s="7"/>
    </row>
    <row r="3910" spans="7:7">
      <c r="G3910" s="5">
        <v>2849517</v>
      </c>
    </row>
    <row r="3911" spans="7:7">
      <c r="G3911" s="7">
        <v>44603</v>
      </c>
    </row>
    <row r="3912" spans="7:7">
      <c r="G3912" s="19" t="s">
        <v>1711</v>
      </c>
    </row>
    <row r="3913" spans="7:7">
      <c r="G3913" s="7"/>
    </row>
    <row r="3914" spans="7:7">
      <c r="G3914" s="5">
        <v>2851104</v>
      </c>
    </row>
    <row r="3915" spans="7:7">
      <c r="G3915" s="7">
        <v>44720</v>
      </c>
    </row>
    <row r="3916" spans="7:7">
      <c r="G3916" s="19" t="s">
        <v>2383</v>
      </c>
    </row>
    <row r="3917" spans="7:7">
      <c r="G3917" s="7"/>
    </row>
    <row r="3918" spans="7:7">
      <c r="G3918" s="5">
        <v>2851790</v>
      </c>
    </row>
    <row r="3919" spans="7:7">
      <c r="G3919" s="7">
        <v>44768</v>
      </c>
    </row>
    <row r="3920" spans="7:7">
      <c r="G3920" s="19" t="s">
        <v>3077</v>
      </c>
    </row>
    <row r="3921" spans="7:7">
      <c r="G3921" s="7"/>
    </row>
    <row r="3922" spans="7:7">
      <c r="G3922" s="5">
        <v>2852078</v>
      </c>
    </row>
    <row r="3923" spans="7:7">
      <c r="G3923" s="7">
        <v>44453</v>
      </c>
    </row>
    <row r="3924" spans="7:7">
      <c r="G3924" s="19" t="s">
        <v>1274</v>
      </c>
    </row>
    <row r="3925" spans="7:7">
      <c r="G3925" s="7"/>
    </row>
    <row r="3926" spans="7:7">
      <c r="G3926" s="5">
        <v>2852493</v>
      </c>
    </row>
    <row r="3927" spans="7:7">
      <c r="G3927" s="7">
        <v>44763</v>
      </c>
    </row>
    <row r="3928" spans="7:7">
      <c r="G3928" s="19" t="s">
        <v>2434</v>
      </c>
    </row>
    <row r="3929" spans="7:7">
      <c r="G3929" s="7"/>
    </row>
    <row r="3930" spans="7:7">
      <c r="G3930" s="5">
        <v>2852635</v>
      </c>
    </row>
    <row r="3931" spans="7:7">
      <c r="G3931" s="7">
        <v>44529</v>
      </c>
    </row>
    <row r="3932" spans="7:7">
      <c r="G3932" s="19" t="s">
        <v>1929</v>
      </c>
    </row>
    <row r="3933" spans="7:7">
      <c r="G3933" s="7"/>
    </row>
    <row r="3934" spans="7:7">
      <c r="G3934" s="5">
        <v>2855298</v>
      </c>
    </row>
    <row r="3935" spans="7:7">
      <c r="G3935" s="7">
        <v>44589</v>
      </c>
    </row>
    <row r="3936" spans="7:7">
      <c r="G3936" s="19" t="s">
        <v>533</v>
      </c>
    </row>
    <row r="3937" spans="7:7">
      <c r="G3937" s="7"/>
    </row>
    <row r="3938" spans="7:7">
      <c r="G3938" s="5">
        <v>2855318</v>
      </c>
    </row>
    <row r="3939" spans="7:7">
      <c r="G3939" s="7">
        <v>44646</v>
      </c>
    </row>
    <row r="3940" spans="7:7">
      <c r="G3940" s="19" t="s">
        <v>1653</v>
      </c>
    </row>
    <row r="3941" spans="7:7">
      <c r="G3941" s="7"/>
    </row>
    <row r="3942" spans="7:7">
      <c r="G3942" s="5">
        <v>2855768</v>
      </c>
    </row>
    <row r="3943" spans="7:7">
      <c r="G3943" s="7">
        <v>44642</v>
      </c>
    </row>
    <row r="3944" spans="7:7">
      <c r="G3944" s="19" t="s">
        <v>516</v>
      </c>
    </row>
    <row r="3945" spans="7:7">
      <c r="G3945" s="7"/>
    </row>
    <row r="3946" spans="7:7">
      <c r="G3946" s="7">
        <v>44663</v>
      </c>
    </row>
    <row r="3947" spans="7:7">
      <c r="G3947" s="19" t="s">
        <v>1312</v>
      </c>
    </row>
    <row r="3948" spans="7:7">
      <c r="G3948" s="7"/>
    </row>
    <row r="3949" spans="7:7">
      <c r="G3949" s="5">
        <v>2856992</v>
      </c>
    </row>
    <row r="3950" spans="7:7">
      <c r="G3950" s="7">
        <v>44390</v>
      </c>
    </row>
    <row r="3951" spans="7:7">
      <c r="G3951" s="19" t="s">
        <v>1053</v>
      </c>
    </row>
    <row r="3952" spans="7:7">
      <c r="G3952" s="7"/>
    </row>
    <row r="3953" spans="7:7">
      <c r="G3953" s="7">
        <v>44389</v>
      </c>
    </row>
    <row r="3954" spans="7:7">
      <c r="G3954" s="19" t="s">
        <v>1053</v>
      </c>
    </row>
    <row r="3955" spans="7:7">
      <c r="G3955" s="7"/>
    </row>
    <row r="3956" spans="7:7">
      <c r="G3956" s="5">
        <v>2857745</v>
      </c>
    </row>
    <row r="3957" spans="7:7">
      <c r="G3957" s="7">
        <v>44642</v>
      </c>
    </row>
    <row r="3958" spans="7:7">
      <c r="G3958" s="19" t="s">
        <v>516</v>
      </c>
    </row>
    <row r="3959" spans="7:7">
      <c r="G3959" s="7"/>
    </row>
    <row r="3960" spans="7:7">
      <c r="G3960" s="5">
        <v>2858016</v>
      </c>
    </row>
    <row r="3961" spans="7:7">
      <c r="G3961" s="7">
        <v>44354</v>
      </c>
    </row>
    <row r="3962" spans="7:7">
      <c r="G3962" s="19" t="s">
        <v>563</v>
      </c>
    </row>
    <row r="3963" spans="7:7">
      <c r="G3963" s="7"/>
    </row>
    <row r="3964" spans="7:7">
      <c r="G3964" s="5">
        <v>2858619</v>
      </c>
    </row>
    <row r="3965" spans="7:7">
      <c r="G3965" s="7">
        <v>44658</v>
      </c>
    </row>
    <row r="3966" spans="7:7">
      <c r="G3966" s="19" t="s">
        <v>563</v>
      </c>
    </row>
    <row r="3967" spans="7:7">
      <c r="G3967" s="7"/>
    </row>
    <row r="3968" spans="7:7">
      <c r="G3968" s="5">
        <v>2859429</v>
      </c>
    </row>
    <row r="3969" spans="7:7">
      <c r="G3969" s="7">
        <v>44673</v>
      </c>
    </row>
    <row r="3970" spans="7:7">
      <c r="G3970" s="19" t="s">
        <v>563</v>
      </c>
    </row>
    <row r="3971" spans="7:7">
      <c r="G3971" s="7"/>
    </row>
    <row r="3972" spans="7:7">
      <c r="G3972" s="5">
        <v>2860214</v>
      </c>
    </row>
    <row r="3973" spans="7:7">
      <c r="G3973" s="7">
        <v>44335</v>
      </c>
    </row>
    <row r="3974" spans="7:7">
      <c r="G3974" s="19" t="s">
        <v>675</v>
      </c>
    </row>
    <row r="3975" spans="7:7">
      <c r="G3975" s="7"/>
    </row>
    <row r="3976" spans="7:7">
      <c r="G3976" s="5">
        <v>2861579</v>
      </c>
    </row>
    <row r="3977" spans="7:7">
      <c r="G3977" s="7">
        <v>44257</v>
      </c>
    </row>
    <row r="3978" spans="7:7">
      <c r="G3978" s="19" t="s">
        <v>563</v>
      </c>
    </row>
    <row r="3979" spans="7:7">
      <c r="G3979" s="7"/>
    </row>
    <row r="3980" spans="7:7">
      <c r="G3980" s="5">
        <v>2862167</v>
      </c>
    </row>
    <row r="3981" spans="7:7">
      <c r="G3981" s="7">
        <v>44391</v>
      </c>
    </row>
    <row r="3982" spans="7:7">
      <c r="G3982" s="19" t="s">
        <v>1058</v>
      </c>
    </row>
    <row r="3983" spans="7:7">
      <c r="G3983" s="7"/>
    </row>
    <row r="3984" spans="7:7">
      <c r="G3984" s="7">
        <v>44586</v>
      </c>
    </row>
    <row r="3985" spans="7:7">
      <c r="G3985" s="19" t="s">
        <v>118</v>
      </c>
    </row>
    <row r="3986" spans="7:7">
      <c r="G3986" s="7"/>
    </row>
    <row r="3987" spans="7:7">
      <c r="G3987" s="7">
        <v>44672</v>
      </c>
    </row>
    <row r="3988" spans="7:7">
      <c r="G3988" s="19" t="s">
        <v>107</v>
      </c>
    </row>
    <row r="3989" spans="7:7">
      <c r="G3989" s="19" t="s">
        <v>550</v>
      </c>
    </row>
    <row r="3990" spans="7:7">
      <c r="G3990" s="7"/>
    </row>
    <row r="3991" spans="7:7">
      <c r="G3991" s="5">
        <v>2862234</v>
      </c>
    </row>
    <row r="3992" spans="7:7">
      <c r="G3992" s="7">
        <v>44602</v>
      </c>
    </row>
    <row r="3993" spans="7:7">
      <c r="G3993" s="19" t="s">
        <v>2059</v>
      </c>
    </row>
    <row r="3994" spans="7:7">
      <c r="G3994" s="7"/>
    </row>
    <row r="3995" spans="7:7">
      <c r="G3995" s="5">
        <v>2862501</v>
      </c>
    </row>
    <row r="3996" spans="7:7">
      <c r="G3996" s="7">
        <v>44468</v>
      </c>
    </row>
    <row r="3997" spans="7:7">
      <c r="G3997" s="19" t="s">
        <v>1274</v>
      </c>
    </row>
    <row r="3998" spans="7:7">
      <c r="G3998" s="7"/>
    </row>
    <row r="3999" spans="7:7">
      <c r="G3999" s="5">
        <v>2862515</v>
      </c>
    </row>
    <row r="4000" spans="7:7">
      <c r="G4000" s="7">
        <v>44482</v>
      </c>
    </row>
    <row r="4001" spans="7:7">
      <c r="G4001" s="19" t="s">
        <v>1772</v>
      </c>
    </row>
    <row r="4002" spans="7:7">
      <c r="G4002" s="7"/>
    </row>
    <row r="4003" spans="7:7">
      <c r="G4003" s="5">
        <v>2863065</v>
      </c>
    </row>
    <row r="4004" spans="7:7">
      <c r="G4004" s="7">
        <v>44677</v>
      </c>
    </row>
    <row r="4005" spans="7:7">
      <c r="G4005" s="19" t="s">
        <v>563</v>
      </c>
    </row>
    <row r="4006" spans="7:7">
      <c r="G4006" s="7"/>
    </row>
    <row r="4007" spans="7:7">
      <c r="G4007" s="5">
        <v>2863254</v>
      </c>
    </row>
    <row r="4008" spans="7:7">
      <c r="G4008" s="7">
        <v>44768</v>
      </c>
    </row>
    <row r="4009" spans="7:7">
      <c r="G4009" s="19" t="s">
        <v>2383</v>
      </c>
    </row>
    <row r="4010" spans="7:7">
      <c r="G4010" s="7"/>
    </row>
    <row r="4011" spans="7:7">
      <c r="G4011" s="5">
        <v>2863463</v>
      </c>
    </row>
    <row r="4012" spans="7:7">
      <c r="G4012" s="7">
        <v>44351</v>
      </c>
    </row>
    <row r="4013" spans="7:7">
      <c r="G4013" s="19" t="s">
        <v>502</v>
      </c>
    </row>
    <row r="4014" spans="7:7">
      <c r="G4014" s="7"/>
    </row>
    <row r="4015" spans="7:7">
      <c r="G4015" s="5">
        <v>2864321</v>
      </c>
    </row>
    <row r="4016" spans="7:7">
      <c r="G4016" s="7">
        <v>44707</v>
      </c>
    </row>
    <row r="4017" spans="7:7">
      <c r="G4017" s="19" t="s">
        <v>1742</v>
      </c>
    </row>
    <row r="4018" spans="7:7">
      <c r="G4018" s="7"/>
    </row>
    <row r="4019" spans="7:7">
      <c r="G4019" s="5">
        <v>2864538</v>
      </c>
    </row>
    <row r="4020" spans="7:7">
      <c r="G4020" s="7">
        <v>44732</v>
      </c>
    </row>
    <row r="4021" spans="7:7">
      <c r="G4021" s="19" t="s">
        <v>2383</v>
      </c>
    </row>
    <row r="4022" spans="7:7">
      <c r="G4022" s="7"/>
    </row>
    <row r="4023" spans="7:7">
      <c r="G4023" s="5">
        <v>2864776</v>
      </c>
    </row>
    <row r="4024" spans="7:7">
      <c r="G4024" s="7">
        <v>44568</v>
      </c>
    </row>
    <row r="4025" spans="7:7">
      <c r="G4025" s="19" t="s">
        <v>1300</v>
      </c>
    </row>
    <row r="4026" spans="7:7">
      <c r="G4026" s="7"/>
    </row>
    <row r="4027" spans="7:7">
      <c r="G4027" s="5">
        <v>2864903</v>
      </c>
    </row>
    <row r="4028" spans="7:7">
      <c r="G4028" s="7">
        <v>44609</v>
      </c>
    </row>
    <row r="4029" spans="7:7">
      <c r="G4029" s="19" t="s">
        <v>1934</v>
      </c>
    </row>
    <row r="4030" spans="7:7">
      <c r="G4030" s="7"/>
    </row>
    <row r="4031" spans="7:7">
      <c r="G4031" s="5">
        <v>2866438</v>
      </c>
    </row>
    <row r="4032" spans="7:7">
      <c r="G4032" s="7">
        <v>44714</v>
      </c>
    </row>
    <row r="4033" spans="7:7">
      <c r="G4033" s="19" t="s">
        <v>1921</v>
      </c>
    </row>
    <row r="4034" spans="7:7">
      <c r="G4034" s="7"/>
    </row>
    <row r="4035" spans="7:7">
      <c r="G4035" s="7">
        <v>44725</v>
      </c>
    </row>
    <row r="4036" spans="7:7">
      <c r="G4036" s="19" t="s">
        <v>2962</v>
      </c>
    </row>
    <row r="4037" spans="7:7">
      <c r="G4037" s="7"/>
    </row>
    <row r="4038" spans="7:7">
      <c r="G4038" s="5">
        <v>2867166</v>
      </c>
    </row>
    <row r="4039" spans="7:7">
      <c r="G4039" s="7">
        <v>44746</v>
      </c>
    </row>
    <row r="4040" spans="7:7">
      <c r="G4040" s="19" t="s">
        <v>1853</v>
      </c>
    </row>
    <row r="4041" spans="7:7">
      <c r="G4041" s="7"/>
    </row>
    <row r="4042" spans="7:7">
      <c r="G4042" s="5">
        <v>2867240</v>
      </c>
    </row>
    <row r="4043" spans="7:7">
      <c r="G4043" s="7">
        <v>44358</v>
      </c>
    </row>
    <row r="4044" spans="7:7">
      <c r="G4044" s="19" t="s">
        <v>143</v>
      </c>
    </row>
    <row r="4045" spans="7:7">
      <c r="G4045" s="7"/>
    </row>
    <row r="4046" spans="7:7">
      <c r="G4046" s="5">
        <v>2867533</v>
      </c>
    </row>
    <row r="4047" spans="7:7">
      <c r="G4047" s="7">
        <v>44754</v>
      </c>
    </row>
    <row r="4048" spans="7:7">
      <c r="G4048" s="19" t="s">
        <v>2383</v>
      </c>
    </row>
    <row r="4049" spans="7:7">
      <c r="G4049" s="7"/>
    </row>
    <row r="4050" spans="7:7">
      <c r="G4050" s="5">
        <v>2868174</v>
      </c>
    </row>
    <row r="4051" spans="7:7">
      <c r="G4051" s="7">
        <v>44341</v>
      </c>
    </row>
    <row r="4052" spans="7:7">
      <c r="G4052" s="19" t="s">
        <v>735</v>
      </c>
    </row>
    <row r="4053" spans="7:7">
      <c r="G4053" s="7"/>
    </row>
    <row r="4054" spans="7:7">
      <c r="G4054" s="5">
        <v>2868686</v>
      </c>
    </row>
    <row r="4055" spans="7:7">
      <c r="G4055" s="7">
        <v>44581</v>
      </c>
    </row>
    <row r="4056" spans="7:7">
      <c r="G4056" s="19" t="s">
        <v>1734</v>
      </c>
    </row>
    <row r="4057" spans="7:7">
      <c r="G4057" s="7"/>
    </row>
    <row r="4058" spans="7:7">
      <c r="G4058" s="5">
        <v>2868715</v>
      </c>
    </row>
    <row r="4059" spans="7:7">
      <c r="G4059" s="7">
        <v>44692</v>
      </c>
    </row>
    <row r="4060" spans="7:7">
      <c r="G4060" s="19" t="s">
        <v>173</v>
      </c>
    </row>
    <row r="4061" spans="7:7">
      <c r="G4061" s="7"/>
    </row>
    <row r="4062" spans="7:7">
      <c r="G4062" s="5">
        <v>2868875</v>
      </c>
    </row>
    <row r="4063" spans="7:7">
      <c r="G4063" s="7">
        <v>44692</v>
      </c>
    </row>
    <row r="4064" spans="7:7">
      <c r="G4064" s="19" t="s">
        <v>563</v>
      </c>
    </row>
    <row r="4065" spans="7:7">
      <c r="G4065" s="7"/>
    </row>
    <row r="4066" spans="7:7">
      <c r="G4066" s="5">
        <v>2870228</v>
      </c>
    </row>
    <row r="4067" spans="7:7">
      <c r="G4067" s="7">
        <v>44773</v>
      </c>
    </row>
    <row r="4068" spans="7:7">
      <c r="G4068" s="19" t="s">
        <v>2383</v>
      </c>
    </row>
    <row r="4069" spans="7:7">
      <c r="G4069" s="7"/>
    </row>
    <row r="4070" spans="7:7">
      <c r="G4070" s="5">
        <v>2870387</v>
      </c>
    </row>
    <row r="4071" spans="7:7">
      <c r="G4071" s="7">
        <v>44370</v>
      </c>
    </row>
    <row r="4072" spans="7:7">
      <c r="G4072" s="19" t="s">
        <v>544</v>
      </c>
    </row>
    <row r="4073" spans="7:7">
      <c r="G4073" s="7"/>
    </row>
    <row r="4074" spans="7:7">
      <c r="G4074" s="5">
        <v>2872936</v>
      </c>
    </row>
    <row r="4075" spans="7:7">
      <c r="G4075" s="7">
        <v>44739</v>
      </c>
    </row>
    <row r="4076" spans="7:7">
      <c r="G4076" s="19" t="s">
        <v>3230</v>
      </c>
    </row>
    <row r="4077" spans="7:7">
      <c r="G4077" s="7"/>
    </row>
    <row r="4078" spans="7:7">
      <c r="G4078" s="7">
        <v>44735</v>
      </c>
    </row>
    <row r="4079" spans="7:7">
      <c r="G4079" s="19" t="s">
        <v>2995</v>
      </c>
    </row>
    <row r="4080" spans="7:7">
      <c r="G4080" s="7"/>
    </row>
    <row r="4081" spans="7:7">
      <c r="G4081" s="5">
        <v>2873539</v>
      </c>
    </row>
    <row r="4082" spans="7:7">
      <c r="G4082" s="7">
        <v>44383</v>
      </c>
    </row>
    <row r="4083" spans="7:7">
      <c r="G4083" s="19" t="s">
        <v>995</v>
      </c>
    </row>
    <row r="4084" spans="7:7">
      <c r="G4084" s="7"/>
    </row>
    <row r="4085" spans="7:7">
      <c r="G4085" s="5">
        <v>2873895</v>
      </c>
    </row>
    <row r="4086" spans="7:7">
      <c r="G4086" s="7">
        <v>44624</v>
      </c>
    </row>
    <row r="4087" spans="7:7">
      <c r="G4087" s="19" t="s">
        <v>2237</v>
      </c>
    </row>
    <row r="4088" spans="7:7">
      <c r="G4088" s="7"/>
    </row>
    <row r="4089" spans="7:7">
      <c r="G4089" s="5">
        <v>2874306</v>
      </c>
    </row>
    <row r="4090" spans="7:7">
      <c r="G4090" s="7">
        <v>44425</v>
      </c>
    </row>
    <row r="4091" spans="7:7">
      <c r="G4091" s="19" t="s">
        <v>1174</v>
      </c>
    </row>
    <row r="4092" spans="7:7">
      <c r="G4092" s="7"/>
    </row>
    <row r="4093" spans="7:7">
      <c r="G4093" s="5">
        <v>2874613</v>
      </c>
    </row>
    <row r="4094" spans="7:7">
      <c r="G4094" s="7">
        <v>44260</v>
      </c>
    </row>
    <row r="4095" spans="7:7">
      <c r="G4095" s="19" t="s">
        <v>100</v>
      </c>
    </row>
    <row r="4096" spans="7:7">
      <c r="G4096" s="19" t="s">
        <v>107</v>
      </c>
    </row>
    <row r="4097" spans="7:7">
      <c r="G4097" s="7"/>
    </row>
    <row r="4098" spans="7:7">
      <c r="G4098" s="5">
        <v>2875718</v>
      </c>
    </row>
    <row r="4099" spans="7:7">
      <c r="G4099" s="7">
        <v>44768</v>
      </c>
    </row>
    <row r="4100" spans="7:7">
      <c r="G4100" s="19" t="s">
        <v>3468</v>
      </c>
    </row>
    <row r="4101" spans="7:7">
      <c r="G4101" s="7"/>
    </row>
    <row r="4102" spans="7:7">
      <c r="G4102" s="5">
        <v>2875831</v>
      </c>
    </row>
    <row r="4103" spans="7:7">
      <c r="G4103" s="7">
        <v>44686</v>
      </c>
    </row>
    <row r="4104" spans="7:7">
      <c r="G4104" s="19" t="s">
        <v>563</v>
      </c>
    </row>
    <row r="4105" spans="7:7">
      <c r="G4105" s="7"/>
    </row>
    <row r="4106" spans="7:7">
      <c r="G4106" s="5">
        <v>2876248</v>
      </c>
    </row>
    <row r="4107" spans="7:7">
      <c r="G4107" s="7">
        <v>44583</v>
      </c>
    </row>
    <row r="4108" spans="7:7">
      <c r="G4108" s="19" t="s">
        <v>1890</v>
      </c>
    </row>
    <row r="4109" spans="7:7">
      <c r="G4109" s="7"/>
    </row>
    <row r="4110" spans="7:7">
      <c r="G4110" s="5">
        <v>2876839</v>
      </c>
    </row>
    <row r="4111" spans="7:7">
      <c r="G4111" s="7">
        <v>44641</v>
      </c>
    </row>
    <row r="4112" spans="7:7">
      <c r="G4112" s="19" t="s">
        <v>563</v>
      </c>
    </row>
    <row r="4113" spans="7:7">
      <c r="G4113" s="7"/>
    </row>
    <row r="4114" spans="7:7">
      <c r="G4114" s="5">
        <v>2878193</v>
      </c>
    </row>
    <row r="4115" spans="7:7">
      <c r="G4115" s="7">
        <v>44253</v>
      </c>
    </row>
    <row r="4116" spans="7:7">
      <c r="G4116" s="19" t="s">
        <v>89</v>
      </c>
    </row>
    <row r="4117" spans="7:7">
      <c r="G4117" s="7"/>
    </row>
    <row r="4118" spans="7:7">
      <c r="G4118" s="7">
        <v>44314</v>
      </c>
    </row>
    <row r="4119" spans="7:7">
      <c r="G4119" s="19" t="s">
        <v>552</v>
      </c>
    </row>
    <row r="4120" spans="7:7">
      <c r="G4120" s="7"/>
    </row>
    <row r="4121" spans="7:7">
      <c r="G4121" s="7">
        <v>44242</v>
      </c>
    </row>
    <row r="4122" spans="7:7">
      <c r="G4122" s="19" t="s">
        <v>89</v>
      </c>
    </row>
    <row r="4123" spans="7:7">
      <c r="G4123" s="7"/>
    </row>
    <row r="4124" spans="7:7">
      <c r="G4124" s="5">
        <v>2878525</v>
      </c>
    </row>
    <row r="4125" spans="7:7">
      <c r="G4125" s="7">
        <v>44760</v>
      </c>
    </row>
    <row r="4126" spans="7:7">
      <c r="G4126" s="19" t="s">
        <v>2383</v>
      </c>
    </row>
    <row r="4127" spans="7:7">
      <c r="G4127" s="7"/>
    </row>
    <row r="4128" spans="7:7">
      <c r="G4128" s="5">
        <v>2878661</v>
      </c>
    </row>
    <row r="4129" spans="7:7">
      <c r="G4129" s="7">
        <v>44721</v>
      </c>
    </row>
    <row r="4130" spans="7:7">
      <c r="G4130" s="19" t="s">
        <v>2383</v>
      </c>
    </row>
    <row r="4131" spans="7:7">
      <c r="G4131" s="7"/>
    </row>
    <row r="4132" spans="7:7">
      <c r="G4132" s="5">
        <v>2880427</v>
      </c>
    </row>
    <row r="4133" spans="7:7">
      <c r="G4133" s="7">
        <v>44417</v>
      </c>
    </row>
    <row r="4134" spans="7:7">
      <c r="G4134" s="19" t="s">
        <v>1168</v>
      </c>
    </row>
    <row r="4135" spans="7:7">
      <c r="G4135" s="7"/>
    </row>
    <row r="4136" spans="7:7">
      <c r="G4136" s="5">
        <v>2880583</v>
      </c>
    </row>
    <row r="4137" spans="7:7">
      <c r="G4137" s="7">
        <v>44705</v>
      </c>
    </row>
    <row r="4138" spans="7:7">
      <c r="G4138" s="19" t="s">
        <v>563</v>
      </c>
    </row>
    <row r="4139" spans="7:7">
      <c r="G4139" s="7"/>
    </row>
    <row r="4140" spans="7:7">
      <c r="G4140" s="5">
        <v>2881069</v>
      </c>
    </row>
    <row r="4141" spans="7:7">
      <c r="G4141" s="7">
        <v>44691</v>
      </c>
    </row>
    <row r="4142" spans="7:7">
      <c r="G4142" s="19" t="s">
        <v>516</v>
      </c>
    </row>
    <row r="4143" spans="7:7">
      <c r="G4143" s="7"/>
    </row>
    <row r="4144" spans="7:7">
      <c r="G4144" s="5">
        <v>2881585</v>
      </c>
    </row>
    <row r="4145" spans="7:7">
      <c r="G4145" s="7">
        <v>44278</v>
      </c>
    </row>
    <row r="4146" spans="7:7">
      <c r="G4146" s="19" t="s">
        <v>544</v>
      </c>
    </row>
    <row r="4147" spans="7:7">
      <c r="G4147" s="7"/>
    </row>
    <row r="4148" spans="7:7">
      <c r="G4148" s="5">
        <v>2883771</v>
      </c>
    </row>
    <row r="4149" spans="7:7">
      <c r="G4149" s="7">
        <v>44742</v>
      </c>
    </row>
    <row r="4150" spans="7:7">
      <c r="G4150" s="19" t="s">
        <v>2383</v>
      </c>
    </row>
    <row r="4151" spans="7:7">
      <c r="G4151" s="7"/>
    </row>
    <row r="4152" spans="7:7">
      <c r="G4152" s="5">
        <v>2884396</v>
      </c>
    </row>
    <row r="4153" spans="7:7">
      <c r="G4153" s="7">
        <v>44730</v>
      </c>
    </row>
    <row r="4154" spans="7:7">
      <c r="G4154" s="19" t="s">
        <v>2383</v>
      </c>
    </row>
    <row r="4155" spans="7:7">
      <c r="G4155" s="7"/>
    </row>
    <row r="4156" spans="7:7">
      <c r="G4156" s="5">
        <v>2884982</v>
      </c>
    </row>
    <row r="4157" spans="7:7">
      <c r="G4157" s="7">
        <v>44622</v>
      </c>
    </row>
    <row r="4158" spans="7:7">
      <c r="G4158" s="19" t="s">
        <v>1116</v>
      </c>
    </row>
    <row r="4159" spans="7:7">
      <c r="G4159" s="7"/>
    </row>
    <row r="4160" spans="7:7">
      <c r="G4160" s="5">
        <v>2885907</v>
      </c>
    </row>
    <row r="4161" spans="7:7">
      <c r="G4161" s="7">
        <v>44725</v>
      </c>
    </row>
    <row r="4162" spans="7:7">
      <c r="G4162" s="19" t="s">
        <v>2383</v>
      </c>
    </row>
    <row r="4163" spans="7:7">
      <c r="G4163" s="7"/>
    </row>
    <row r="4164" spans="7:7">
      <c r="G4164" s="5">
        <v>2889757</v>
      </c>
    </row>
    <row r="4165" spans="7:7">
      <c r="G4165" s="7">
        <v>44739</v>
      </c>
    </row>
    <row r="4166" spans="7:7">
      <c r="G4166" s="19" t="s">
        <v>2383</v>
      </c>
    </row>
    <row r="4167" spans="7:7">
      <c r="G4167" s="7"/>
    </row>
    <row r="4168" spans="7:7">
      <c r="G4168" s="5">
        <v>2890726</v>
      </c>
    </row>
    <row r="4169" spans="7:7">
      <c r="G4169" s="7">
        <v>44716</v>
      </c>
    </row>
    <row r="4170" spans="7:7">
      <c r="G4170" s="19" t="s">
        <v>2383</v>
      </c>
    </row>
    <row r="4171" spans="7:7">
      <c r="G4171" s="7"/>
    </row>
    <row r="4172" spans="7:7">
      <c r="G4172" s="5">
        <v>2891268</v>
      </c>
    </row>
    <row r="4173" spans="7:7">
      <c r="G4173" s="7">
        <v>44677</v>
      </c>
    </row>
    <row r="4174" spans="7:7">
      <c r="G4174" s="19" t="s">
        <v>563</v>
      </c>
    </row>
    <row r="4175" spans="7:7">
      <c r="G4175" s="7"/>
    </row>
    <row r="4176" spans="7:7">
      <c r="G4176" s="5">
        <v>2893766</v>
      </c>
    </row>
    <row r="4177" spans="7:7">
      <c r="G4177" s="7">
        <v>44681</v>
      </c>
    </row>
    <row r="4178" spans="7:7">
      <c r="G4178" s="19" t="s">
        <v>563</v>
      </c>
    </row>
    <row r="4179" spans="7:7">
      <c r="G4179" s="7"/>
    </row>
    <row r="4180" spans="7:7">
      <c r="G4180" s="5">
        <v>2897472</v>
      </c>
    </row>
    <row r="4181" spans="7:7">
      <c r="G4181" s="7">
        <v>44552</v>
      </c>
    </row>
    <row r="4182" spans="7:7">
      <c r="G4182" s="19" t="s">
        <v>819</v>
      </c>
    </row>
    <row r="4183" spans="7:7">
      <c r="G4183" s="7"/>
    </row>
    <row r="4184" spans="7:7">
      <c r="G4184" s="5">
        <v>2902203</v>
      </c>
    </row>
    <row r="4185" spans="7:7">
      <c r="G4185" s="7">
        <v>44342</v>
      </c>
    </row>
    <row r="4186" spans="7:7">
      <c r="G4186" s="19" t="s">
        <v>92</v>
      </c>
    </row>
    <row r="4187" spans="7:7">
      <c r="G4187" s="7"/>
    </row>
    <row r="4188" spans="7:7">
      <c r="G4188" s="5">
        <v>2902534</v>
      </c>
    </row>
    <row r="4189" spans="7:7">
      <c r="G4189" s="7">
        <v>44692</v>
      </c>
    </row>
    <row r="4190" spans="7:7">
      <c r="G4190" s="19" t="s">
        <v>563</v>
      </c>
    </row>
    <row r="4191" spans="7:7">
      <c r="G4191" s="7"/>
    </row>
    <row r="4192" spans="7:7">
      <c r="G4192" s="5">
        <v>2903026</v>
      </c>
    </row>
    <row r="4193" spans="7:7">
      <c r="G4193" s="7">
        <v>44503</v>
      </c>
    </row>
    <row r="4194" spans="7:7">
      <c r="G4194" s="19" t="s">
        <v>143</v>
      </c>
    </row>
    <row r="4195" spans="7:7">
      <c r="G4195" s="7"/>
    </row>
    <row r="4196" spans="7:7">
      <c r="G4196" s="5">
        <v>2903325</v>
      </c>
    </row>
    <row r="4197" spans="7:7">
      <c r="G4197" s="7">
        <v>44559</v>
      </c>
    </row>
    <row r="4198" spans="7:7">
      <c r="G4198" s="19" t="s">
        <v>1300</v>
      </c>
    </row>
    <row r="4199" spans="7:7">
      <c r="G4199" s="7"/>
    </row>
    <row r="4200" spans="7:7">
      <c r="G4200" s="5">
        <v>2903349</v>
      </c>
    </row>
    <row r="4201" spans="7:7">
      <c r="G4201" s="7">
        <v>44767</v>
      </c>
    </row>
    <row r="4202" spans="7:7">
      <c r="G4202" s="19" t="s">
        <v>2383</v>
      </c>
    </row>
    <row r="4203" spans="7:7">
      <c r="G4203" s="7"/>
    </row>
    <row r="4204" spans="7:7">
      <c r="G4204" s="5">
        <v>2904538</v>
      </c>
    </row>
    <row r="4205" spans="7:7">
      <c r="G4205" s="7">
        <v>44439</v>
      </c>
    </row>
    <row r="4206" spans="7:7">
      <c r="G4206" s="19" t="s">
        <v>950</v>
      </c>
    </row>
    <row r="4207" spans="7:7">
      <c r="G4207" s="7"/>
    </row>
    <row r="4208" spans="7:7">
      <c r="G4208" s="5">
        <v>2905267</v>
      </c>
    </row>
    <row r="4209" spans="7:7">
      <c r="G4209" s="7">
        <v>44442</v>
      </c>
    </row>
    <row r="4210" spans="7:7">
      <c r="G4210" s="19" t="s">
        <v>1152</v>
      </c>
    </row>
    <row r="4211" spans="7:7">
      <c r="G4211" s="7"/>
    </row>
    <row r="4212" spans="7:7">
      <c r="G4212" s="7">
        <v>44462</v>
      </c>
    </row>
    <row r="4213" spans="7:7">
      <c r="G4213" s="19" t="s">
        <v>1214</v>
      </c>
    </row>
    <row r="4214" spans="7:7">
      <c r="G4214" s="7"/>
    </row>
    <row r="4215" spans="7:7">
      <c r="G4215" s="7">
        <v>44459</v>
      </c>
    </row>
    <row r="4216" spans="7:7">
      <c r="G4216" s="19" t="s">
        <v>1674</v>
      </c>
    </row>
    <row r="4217" spans="7:7">
      <c r="G4217" s="7"/>
    </row>
    <row r="4218" spans="7:7">
      <c r="G4218" s="7">
        <v>44477</v>
      </c>
    </row>
    <row r="4219" spans="7:7">
      <c r="G4219" s="19" t="s">
        <v>1293</v>
      </c>
    </row>
    <row r="4220" spans="7:7">
      <c r="G4220" s="7"/>
    </row>
    <row r="4221" spans="7:7">
      <c r="G4221" s="5">
        <v>2905419</v>
      </c>
    </row>
    <row r="4222" spans="7:7">
      <c r="G4222" s="7">
        <v>44443</v>
      </c>
    </row>
    <row r="4223" spans="7:7">
      <c r="G4223" s="19" t="s">
        <v>1324</v>
      </c>
    </row>
    <row r="4224" spans="7:7">
      <c r="G4224" s="7"/>
    </row>
    <row r="4225" spans="7:7">
      <c r="G4225" s="7">
        <v>44626</v>
      </c>
    </row>
    <row r="4226" spans="7:7">
      <c r="G4226" s="19" t="s">
        <v>2214</v>
      </c>
    </row>
    <row r="4227" spans="7:7">
      <c r="G4227" s="7"/>
    </row>
    <row r="4228" spans="7:7">
      <c r="G4228" s="7">
        <v>44734</v>
      </c>
    </row>
    <row r="4229" spans="7:7">
      <c r="G4229" s="19" t="s">
        <v>1174</v>
      </c>
    </row>
    <row r="4230" spans="7:7">
      <c r="G4230" s="7"/>
    </row>
    <row r="4231" spans="7:7">
      <c r="G4231" s="5">
        <v>2907018</v>
      </c>
    </row>
    <row r="4232" spans="7:7">
      <c r="G4232" s="7">
        <v>44722</v>
      </c>
    </row>
    <row r="4233" spans="7:7">
      <c r="G4233" s="19" t="s">
        <v>2962</v>
      </c>
    </row>
    <row r="4234" spans="7:7">
      <c r="G4234" s="7"/>
    </row>
    <row r="4235" spans="7:7">
      <c r="G4235" s="5">
        <v>2907160</v>
      </c>
    </row>
    <row r="4236" spans="7:7">
      <c r="G4236" s="7">
        <v>44687</v>
      </c>
    </row>
    <row r="4237" spans="7:7">
      <c r="G4237" s="19" t="s">
        <v>563</v>
      </c>
    </row>
    <row r="4238" spans="7:7">
      <c r="G4238" s="7"/>
    </row>
    <row r="4239" spans="7:7">
      <c r="G4239" s="5">
        <v>2908045</v>
      </c>
    </row>
    <row r="4240" spans="7:7">
      <c r="G4240" s="7">
        <v>44012</v>
      </c>
    </row>
    <row r="4241" spans="7:7">
      <c r="G4241" s="19" t="s">
        <v>138</v>
      </c>
    </row>
    <row r="4242" spans="7:7">
      <c r="G4242" s="7"/>
    </row>
    <row r="4243" spans="7:7">
      <c r="G4243" s="5">
        <v>2908549</v>
      </c>
    </row>
    <row r="4244" spans="7:7">
      <c r="G4244" s="7">
        <v>44438</v>
      </c>
    </row>
    <row r="4245" spans="7:7">
      <c r="G4245" s="19" t="s">
        <v>1315</v>
      </c>
    </row>
    <row r="4246" spans="7:7">
      <c r="G4246" s="7"/>
    </row>
    <row r="4247" spans="7:7">
      <c r="G4247" s="5">
        <v>2910430</v>
      </c>
    </row>
    <row r="4248" spans="7:7">
      <c r="G4248" s="7">
        <v>43873</v>
      </c>
    </row>
    <row r="4249" spans="7:7">
      <c r="G4249" s="19" t="s">
        <v>89</v>
      </c>
    </row>
    <row r="4250" spans="7:7">
      <c r="G4250" s="7"/>
    </row>
    <row r="4251" spans="7:7">
      <c r="G4251" s="7">
        <v>44054</v>
      </c>
    </row>
    <row r="4252" spans="7:7">
      <c r="G4252" s="19" t="s">
        <v>89</v>
      </c>
    </row>
    <row r="4253" spans="7:7">
      <c r="G4253" s="7"/>
    </row>
    <row r="4254" spans="7:7">
      <c r="G4254" s="5">
        <v>2910854</v>
      </c>
    </row>
    <row r="4255" spans="7:7">
      <c r="G4255" s="7">
        <v>44726</v>
      </c>
    </row>
    <row r="4256" spans="7:7">
      <c r="G4256" s="19" t="s">
        <v>2962</v>
      </c>
    </row>
    <row r="4257" spans="7:7">
      <c r="G4257" s="7"/>
    </row>
    <row r="4258" spans="7:7">
      <c r="G4258" s="5">
        <v>2910929</v>
      </c>
    </row>
    <row r="4259" spans="7:7">
      <c r="G4259" s="7">
        <v>44568</v>
      </c>
    </row>
    <row r="4260" spans="7:7">
      <c r="G4260" s="19" t="s">
        <v>1274</v>
      </c>
    </row>
    <row r="4261" spans="7:7">
      <c r="G4261" s="7"/>
    </row>
    <row r="4262" spans="7:7">
      <c r="G4262" s="5">
        <v>2911715</v>
      </c>
    </row>
    <row r="4263" spans="7:7">
      <c r="G4263" s="7">
        <v>44636</v>
      </c>
    </row>
    <row r="4264" spans="7:7">
      <c r="G4264" s="19" t="s">
        <v>2316</v>
      </c>
    </row>
    <row r="4265" spans="7:7">
      <c r="G4265" s="7"/>
    </row>
    <row r="4266" spans="7:7">
      <c r="G4266" s="5">
        <v>2911947</v>
      </c>
    </row>
    <row r="4267" spans="7:7">
      <c r="G4267" s="7">
        <v>44351</v>
      </c>
    </row>
    <row r="4268" spans="7:7">
      <c r="G4268" s="19" t="s">
        <v>563</v>
      </c>
    </row>
    <row r="4269" spans="7:7">
      <c r="G4269" s="7"/>
    </row>
    <row r="4270" spans="7:7">
      <c r="G4270" s="5">
        <v>2913226</v>
      </c>
    </row>
    <row r="4271" spans="7:7">
      <c r="G4271" s="7">
        <v>44587</v>
      </c>
    </row>
    <row r="4272" spans="7:7">
      <c r="G4272" s="19" t="s">
        <v>1214</v>
      </c>
    </row>
    <row r="4273" spans="7:7">
      <c r="G4273" s="7"/>
    </row>
    <row r="4274" spans="7:7">
      <c r="G4274" s="5">
        <v>2913258</v>
      </c>
    </row>
    <row r="4275" spans="7:7">
      <c r="G4275" s="7">
        <v>44599</v>
      </c>
    </row>
    <row r="4276" spans="7:7">
      <c r="G4276" s="19" t="s">
        <v>2067</v>
      </c>
    </row>
    <row r="4277" spans="7:7">
      <c r="G4277" s="7"/>
    </row>
    <row r="4278" spans="7:7">
      <c r="G4278" s="5">
        <v>2913437</v>
      </c>
    </row>
    <row r="4279" spans="7:7">
      <c r="G4279" s="7">
        <v>44690</v>
      </c>
    </row>
    <row r="4280" spans="7:7">
      <c r="G4280" s="19" t="s">
        <v>139</v>
      </c>
    </row>
    <row r="4281" spans="7:7">
      <c r="G4281" s="7"/>
    </row>
    <row r="4282" spans="7:7">
      <c r="G4282" s="5">
        <v>2913812</v>
      </c>
    </row>
    <row r="4283" spans="7:7">
      <c r="G4283" s="7">
        <v>44705</v>
      </c>
    </row>
    <row r="4284" spans="7:7">
      <c r="G4284" s="19" t="s">
        <v>563</v>
      </c>
    </row>
    <row r="4285" spans="7:7">
      <c r="G4285" s="7"/>
    </row>
    <row r="4286" spans="7:7">
      <c r="G4286" s="5">
        <v>2913996</v>
      </c>
    </row>
    <row r="4287" spans="7:7">
      <c r="G4287" s="7">
        <v>44739</v>
      </c>
    </row>
    <row r="4288" spans="7:7">
      <c r="G4288" s="19" t="s">
        <v>2383</v>
      </c>
    </row>
    <row r="4289" spans="7:7">
      <c r="G4289" s="7"/>
    </row>
    <row r="4290" spans="7:7">
      <c r="G4290" s="5">
        <v>2914618</v>
      </c>
    </row>
    <row r="4291" spans="7:7">
      <c r="G4291" s="7">
        <v>44343</v>
      </c>
    </row>
    <row r="4292" spans="7:7">
      <c r="G4292" s="19" t="s">
        <v>100</v>
      </c>
    </row>
    <row r="4293" spans="7:7">
      <c r="G4293" s="7"/>
    </row>
    <row r="4294" spans="7:7">
      <c r="G4294" s="5">
        <v>2914920</v>
      </c>
    </row>
    <row r="4295" spans="7:7">
      <c r="G4295" s="7">
        <v>44740</v>
      </c>
    </row>
    <row r="4296" spans="7:7">
      <c r="G4296" s="19" t="s">
        <v>2383</v>
      </c>
    </row>
    <row r="4297" spans="7:7">
      <c r="G4297" s="7"/>
    </row>
    <row r="4298" spans="7:7">
      <c r="G4298" s="5">
        <v>2915230</v>
      </c>
    </row>
    <row r="4299" spans="7:7">
      <c r="G4299" s="7">
        <v>44407</v>
      </c>
    </row>
    <row r="4300" spans="7:7">
      <c r="G4300" s="19" t="s">
        <v>1185</v>
      </c>
    </row>
    <row r="4301" spans="7:7">
      <c r="G4301" s="7"/>
    </row>
    <row r="4302" spans="7:7">
      <c r="G4302" s="5">
        <v>2916872</v>
      </c>
    </row>
    <row r="4303" spans="7:7">
      <c r="G4303" s="7">
        <v>44575</v>
      </c>
    </row>
    <row r="4304" spans="7:7">
      <c r="G4304" s="19" t="s">
        <v>108</v>
      </c>
    </row>
    <row r="4305" spans="7:7">
      <c r="G4305" s="7"/>
    </row>
    <row r="4306" spans="7:7">
      <c r="G4306" s="5">
        <v>2918980</v>
      </c>
    </row>
    <row r="4307" spans="7:7">
      <c r="G4307" s="7">
        <v>44405</v>
      </c>
    </row>
    <row r="4308" spans="7:7">
      <c r="G4308" s="19" t="s">
        <v>89</v>
      </c>
    </row>
    <row r="4309" spans="7:7">
      <c r="G4309" s="7"/>
    </row>
    <row r="4310" spans="7:7">
      <c r="G4310" s="7">
        <v>44769</v>
      </c>
    </row>
    <row r="4311" spans="7:7">
      <c r="G4311" s="19" t="s">
        <v>1622</v>
      </c>
    </row>
    <row r="4312" spans="7:7">
      <c r="G4312" s="7"/>
    </row>
    <row r="4313" spans="7:7">
      <c r="G4313" s="5">
        <v>2919317</v>
      </c>
    </row>
    <row r="4314" spans="7:7">
      <c r="G4314" s="7">
        <v>44749</v>
      </c>
    </row>
    <row r="4315" spans="7:7">
      <c r="G4315" s="19" t="s">
        <v>3077</v>
      </c>
    </row>
    <row r="4316" spans="7:7">
      <c r="G4316" s="7"/>
    </row>
    <row r="4317" spans="7:7">
      <c r="G4317" s="5">
        <v>2919770</v>
      </c>
    </row>
    <row r="4318" spans="7:7">
      <c r="G4318" s="7">
        <v>44715</v>
      </c>
    </row>
    <row r="4319" spans="7:7">
      <c r="G4319" s="19" t="s">
        <v>2383</v>
      </c>
    </row>
    <row r="4320" spans="7:7">
      <c r="G4320" s="7"/>
    </row>
    <row r="4321" spans="7:7">
      <c r="G4321" s="7">
        <v>44725</v>
      </c>
    </row>
    <row r="4322" spans="7:7">
      <c r="G4322" s="19" t="s">
        <v>2962</v>
      </c>
    </row>
    <row r="4323" spans="7:7">
      <c r="G4323" s="7"/>
    </row>
    <row r="4324" spans="7:7">
      <c r="G4324" s="5">
        <v>2919885</v>
      </c>
    </row>
    <row r="4325" spans="7:7">
      <c r="G4325" s="7">
        <v>44755</v>
      </c>
    </row>
    <row r="4326" spans="7:7">
      <c r="G4326" s="19" t="s">
        <v>1100</v>
      </c>
    </row>
    <row r="4327" spans="7:7">
      <c r="G4327" s="7"/>
    </row>
    <row r="4328" spans="7:7">
      <c r="G4328" s="5">
        <v>2920105</v>
      </c>
    </row>
    <row r="4329" spans="7:7">
      <c r="G4329" s="7">
        <v>44697</v>
      </c>
    </row>
    <row r="4330" spans="7:7">
      <c r="G4330" s="19" t="s">
        <v>563</v>
      </c>
    </row>
    <row r="4331" spans="7:7">
      <c r="G4331" s="7"/>
    </row>
    <row r="4332" spans="7:7">
      <c r="G4332" s="7">
        <v>44748</v>
      </c>
    </row>
    <row r="4333" spans="7:7">
      <c r="G4333" s="19" t="s">
        <v>2383</v>
      </c>
    </row>
    <row r="4334" spans="7:7">
      <c r="G4334" s="7"/>
    </row>
    <row r="4335" spans="7:7">
      <c r="G4335" s="5">
        <v>2922192</v>
      </c>
    </row>
    <row r="4336" spans="7:7">
      <c r="G4336" s="7">
        <v>44541</v>
      </c>
    </row>
    <row r="4337" spans="7:7">
      <c r="G4337" s="19" t="s">
        <v>1107</v>
      </c>
    </row>
    <row r="4338" spans="7:7">
      <c r="G4338" s="7"/>
    </row>
    <row r="4339" spans="7:7">
      <c r="G4339" s="7">
        <v>44629</v>
      </c>
    </row>
    <row r="4340" spans="7:7">
      <c r="G4340" s="19" t="s">
        <v>1061</v>
      </c>
    </row>
    <row r="4341" spans="7:7">
      <c r="G4341" s="7"/>
    </row>
    <row r="4342" spans="7:7">
      <c r="G4342" s="5">
        <v>2922695</v>
      </c>
    </row>
    <row r="4343" spans="7:7">
      <c r="G4343" s="7">
        <v>44396</v>
      </c>
    </row>
    <row r="4344" spans="7:7">
      <c r="G4344" s="19" t="s">
        <v>1086</v>
      </c>
    </row>
    <row r="4345" spans="7:7">
      <c r="G4345" s="7"/>
    </row>
    <row r="4346" spans="7:7">
      <c r="G4346" s="7">
        <v>44384</v>
      </c>
    </row>
    <row r="4347" spans="7:7">
      <c r="G4347" s="19" t="s">
        <v>143</v>
      </c>
    </row>
    <row r="4348" spans="7:7">
      <c r="G4348" s="7"/>
    </row>
    <row r="4349" spans="7:7">
      <c r="G4349" s="5">
        <v>2922934</v>
      </c>
    </row>
    <row r="4350" spans="7:7">
      <c r="G4350" s="7">
        <v>44742</v>
      </c>
    </row>
    <row r="4351" spans="7:7">
      <c r="G4351" s="19" t="s">
        <v>2383</v>
      </c>
    </row>
    <row r="4352" spans="7:7">
      <c r="G4352" s="7"/>
    </row>
    <row r="4353" spans="7:7">
      <c r="G4353" s="5">
        <v>2923307</v>
      </c>
    </row>
    <row r="4354" spans="7:7">
      <c r="G4354" s="7">
        <v>44511</v>
      </c>
    </row>
    <row r="4355" spans="7:7">
      <c r="G4355" s="19" t="s">
        <v>1858</v>
      </c>
    </row>
    <row r="4356" spans="7:7">
      <c r="G4356" s="7"/>
    </row>
    <row r="4357" spans="7:7">
      <c r="G4357" s="5">
        <v>2923516</v>
      </c>
    </row>
    <row r="4358" spans="7:7">
      <c r="G4358" s="7">
        <v>44650</v>
      </c>
    </row>
    <row r="4359" spans="7:7">
      <c r="G4359" s="19" t="s">
        <v>563</v>
      </c>
    </row>
    <row r="4360" spans="7:7">
      <c r="G4360" s="7"/>
    </row>
    <row r="4361" spans="7:7">
      <c r="G4361" s="5">
        <v>2925628</v>
      </c>
    </row>
    <row r="4362" spans="7:7">
      <c r="G4362" s="7">
        <v>44281</v>
      </c>
    </row>
    <row r="4363" spans="7:7">
      <c r="G4363" s="19" t="s">
        <v>563</v>
      </c>
    </row>
    <row r="4364" spans="7:7">
      <c r="G4364" s="7"/>
    </row>
    <row r="4365" spans="7:7">
      <c r="G4365" s="5">
        <v>2925662</v>
      </c>
    </row>
    <row r="4366" spans="7:7">
      <c r="G4366" s="7">
        <v>44438</v>
      </c>
    </row>
    <row r="4367" spans="7:7">
      <c r="G4367" s="19" t="s">
        <v>1312</v>
      </c>
    </row>
    <row r="4368" spans="7:7">
      <c r="G4368" s="7"/>
    </row>
    <row r="4369" spans="7:7">
      <c r="G4369" s="7">
        <v>44424</v>
      </c>
    </row>
    <row r="4370" spans="7:7">
      <c r="G4370" s="19" t="s">
        <v>143</v>
      </c>
    </row>
    <row r="4371" spans="7:7">
      <c r="G4371" s="7"/>
    </row>
    <row r="4372" spans="7:7">
      <c r="G4372" s="7">
        <v>44448</v>
      </c>
    </row>
    <row r="4373" spans="7:7">
      <c r="G4373" s="19" t="s">
        <v>1214</v>
      </c>
    </row>
    <row r="4374" spans="7:7">
      <c r="G4374" s="7"/>
    </row>
    <row r="4375" spans="7:7">
      <c r="G4375" s="7">
        <v>44469</v>
      </c>
    </row>
    <row r="4376" spans="7:7">
      <c r="G4376" s="19" t="s">
        <v>143</v>
      </c>
    </row>
    <row r="4377" spans="7:7">
      <c r="G4377" s="7"/>
    </row>
    <row r="4378" spans="7:7">
      <c r="G4378" s="5">
        <v>2926503</v>
      </c>
    </row>
    <row r="4379" spans="7:7">
      <c r="G4379" s="7">
        <v>44649</v>
      </c>
    </row>
    <row r="4380" spans="7:7">
      <c r="G4380" s="19" t="s">
        <v>2144</v>
      </c>
    </row>
    <row r="4381" spans="7:7">
      <c r="G4381" s="7"/>
    </row>
    <row r="4382" spans="7:7">
      <c r="G4382" s="5">
        <v>2926702</v>
      </c>
    </row>
    <row r="4383" spans="7:7">
      <c r="G4383" s="7">
        <v>44480</v>
      </c>
    </row>
    <row r="4384" spans="7:7">
      <c r="G4384" s="19" t="s">
        <v>552</v>
      </c>
    </row>
    <row r="4385" spans="7:7">
      <c r="G4385" s="7"/>
    </row>
    <row r="4386" spans="7:7">
      <c r="G4386" s="5">
        <v>2927396</v>
      </c>
    </row>
    <row r="4387" spans="7:7">
      <c r="G4387" s="7">
        <v>44769</v>
      </c>
    </row>
    <row r="4388" spans="7:7">
      <c r="G4388" s="19" t="s">
        <v>2309</v>
      </c>
    </row>
    <row r="4389" spans="7:7">
      <c r="G4389" s="7"/>
    </row>
    <row r="4390" spans="7:7">
      <c r="G4390" s="5">
        <v>2927701</v>
      </c>
    </row>
    <row r="4391" spans="7:7">
      <c r="G4391" s="7">
        <v>44550</v>
      </c>
    </row>
    <row r="4392" spans="7:7">
      <c r="G4392" s="19" t="s">
        <v>151</v>
      </c>
    </row>
    <row r="4393" spans="7:7">
      <c r="G4393" s="7"/>
    </row>
    <row r="4394" spans="7:7">
      <c r="G4394" s="5">
        <v>2929072</v>
      </c>
    </row>
    <row r="4395" spans="7:7">
      <c r="G4395" s="7">
        <v>44586</v>
      </c>
    </row>
    <row r="4396" spans="7:7">
      <c r="G4396" s="19" t="s">
        <v>1284</v>
      </c>
    </row>
    <row r="4397" spans="7:7">
      <c r="G4397" s="7"/>
    </row>
    <row r="4398" spans="7:7">
      <c r="G4398" s="5">
        <v>2929079</v>
      </c>
    </row>
    <row r="4399" spans="7:7">
      <c r="G4399" s="7">
        <v>44580</v>
      </c>
    </row>
    <row r="4400" spans="7:7">
      <c r="G4400" s="19" t="s">
        <v>552</v>
      </c>
    </row>
    <row r="4401" spans="7:7">
      <c r="G4401" s="7"/>
    </row>
    <row r="4402" spans="7:7">
      <c r="G4402" s="5">
        <v>2930400</v>
      </c>
    </row>
    <row r="4403" spans="7:7">
      <c r="G4403" s="7">
        <v>44687</v>
      </c>
    </row>
    <row r="4404" spans="7:7">
      <c r="G4404" s="19" t="s">
        <v>2241</v>
      </c>
    </row>
    <row r="4405" spans="7:7">
      <c r="G4405" s="7"/>
    </row>
    <row r="4406" spans="7:7">
      <c r="G4406" s="5">
        <v>2930907</v>
      </c>
    </row>
    <row r="4407" spans="7:7">
      <c r="G4407" s="7">
        <v>44704</v>
      </c>
    </row>
    <row r="4408" spans="7:7">
      <c r="G4408" s="19" t="s">
        <v>2237</v>
      </c>
    </row>
    <row r="4409" spans="7:7">
      <c r="G4409" s="7"/>
    </row>
    <row r="4410" spans="7:7">
      <c r="G4410" s="5">
        <v>2931232</v>
      </c>
    </row>
    <row r="4411" spans="7:7">
      <c r="G4411" s="7">
        <v>44621</v>
      </c>
    </row>
    <row r="4412" spans="7:7">
      <c r="G4412" s="19" t="s">
        <v>1286</v>
      </c>
    </row>
    <row r="4413" spans="7:7">
      <c r="G4413" s="7"/>
    </row>
    <row r="4414" spans="7:7">
      <c r="G4414" s="7">
        <v>44701</v>
      </c>
    </row>
    <row r="4415" spans="7:7">
      <c r="G4415" s="19" t="s">
        <v>1286</v>
      </c>
    </row>
    <row r="4416" spans="7:7">
      <c r="G4416" s="7"/>
    </row>
    <row r="4417" spans="7:7">
      <c r="G4417" s="7">
        <v>44753</v>
      </c>
    </row>
    <row r="4418" spans="7:7">
      <c r="G4418" s="19" t="s">
        <v>1174</v>
      </c>
    </row>
    <row r="4419" spans="7:7">
      <c r="G4419" s="7"/>
    </row>
    <row r="4420" spans="7:7">
      <c r="G4420" s="7">
        <v>44760</v>
      </c>
    </row>
    <row r="4421" spans="7:7">
      <c r="G4421" s="19" t="s">
        <v>1174</v>
      </c>
    </row>
    <row r="4422" spans="7:7">
      <c r="G4422" s="7"/>
    </row>
    <row r="4423" spans="7:7">
      <c r="G4423" s="5">
        <v>2932035</v>
      </c>
    </row>
    <row r="4424" spans="7:7">
      <c r="G4424" s="7">
        <v>44370</v>
      </c>
    </row>
    <row r="4425" spans="7:7">
      <c r="G4425" s="19" t="s">
        <v>841</v>
      </c>
    </row>
    <row r="4426" spans="7:7">
      <c r="G4426" s="7"/>
    </row>
    <row r="4427" spans="7:7">
      <c r="G4427" s="5">
        <v>2932082</v>
      </c>
    </row>
    <row r="4428" spans="7:7">
      <c r="G4428" s="7">
        <v>43157</v>
      </c>
    </row>
    <row r="4429" spans="7:7">
      <c r="G4429" s="19" t="s">
        <v>89</v>
      </c>
    </row>
    <row r="4430" spans="7:7">
      <c r="G4430" s="7"/>
    </row>
    <row r="4431" spans="7:7">
      <c r="G4431" s="7">
        <v>43731</v>
      </c>
    </row>
    <row r="4432" spans="7:7">
      <c r="G4432" s="19" t="s">
        <v>89</v>
      </c>
    </row>
    <row r="4433" spans="7:7">
      <c r="G4433" s="7"/>
    </row>
    <row r="4434" spans="7:7">
      <c r="G4434" s="7">
        <v>43802</v>
      </c>
    </row>
    <row r="4435" spans="7:7">
      <c r="G4435" s="19" t="s">
        <v>89</v>
      </c>
    </row>
    <row r="4436" spans="7:7">
      <c r="G4436" s="7"/>
    </row>
    <row r="4437" spans="7:7">
      <c r="G4437" s="7">
        <v>44203</v>
      </c>
    </row>
    <row r="4438" spans="7:7">
      <c r="G4438" s="19" t="s">
        <v>180</v>
      </c>
    </row>
    <row r="4439" spans="7:7">
      <c r="G4439" s="7"/>
    </row>
    <row r="4440" spans="7:7">
      <c r="G4440" s="7">
        <v>43825</v>
      </c>
    </row>
    <row r="4441" spans="7:7">
      <c r="G4441" s="19" t="s">
        <v>258</v>
      </c>
    </row>
    <row r="4442" spans="7:7">
      <c r="G4442" s="7"/>
    </row>
    <row r="4443" spans="7:7">
      <c r="G4443" s="5">
        <v>2932156</v>
      </c>
    </row>
    <row r="4444" spans="7:7">
      <c r="G4444" s="7">
        <v>44111</v>
      </c>
    </row>
    <row r="4445" spans="7:7">
      <c r="G4445" s="19" t="s">
        <v>257</v>
      </c>
    </row>
    <row r="4446" spans="7:7">
      <c r="G4446" s="7"/>
    </row>
    <row r="4447" spans="7:7">
      <c r="G4447" s="7">
        <v>44230</v>
      </c>
    </row>
    <row r="4448" spans="7:7">
      <c r="G4448" s="19" t="s">
        <v>89</v>
      </c>
    </row>
    <row r="4449" spans="7:7">
      <c r="G4449" s="7"/>
    </row>
    <row r="4450" spans="7:7">
      <c r="G4450" s="7">
        <v>44403</v>
      </c>
    </row>
    <row r="4451" spans="7:7">
      <c r="G4451" s="19" t="s">
        <v>89</v>
      </c>
    </row>
    <row r="4452" spans="7:7">
      <c r="G4452" s="7"/>
    </row>
    <row r="4453" spans="7:7">
      <c r="G4453" s="7">
        <v>44386</v>
      </c>
    </row>
    <row r="4454" spans="7:7">
      <c r="G4454" s="19" t="s">
        <v>89</v>
      </c>
    </row>
    <row r="4455" spans="7:7">
      <c r="G4455" s="7"/>
    </row>
    <row r="4456" spans="7:7">
      <c r="G4456" s="7">
        <v>43262</v>
      </c>
    </row>
    <row r="4457" spans="7:7">
      <c r="G4457" s="19" t="s">
        <v>89</v>
      </c>
    </row>
    <row r="4458" spans="7:7">
      <c r="G4458" s="7"/>
    </row>
    <row r="4459" spans="7:7">
      <c r="G4459" s="7">
        <v>44566</v>
      </c>
    </row>
    <row r="4460" spans="7:7">
      <c r="G4460" s="19" t="s">
        <v>2020</v>
      </c>
    </row>
    <row r="4461" spans="7:7">
      <c r="G4461" s="7"/>
    </row>
    <row r="4462" spans="7:7">
      <c r="G4462" s="5">
        <v>2932182</v>
      </c>
    </row>
    <row r="4463" spans="7:7">
      <c r="G4463" s="7">
        <v>44644</v>
      </c>
    </row>
    <row r="4464" spans="7:7">
      <c r="G4464" s="19" t="s">
        <v>509</v>
      </c>
    </row>
    <row r="4465" spans="7:7">
      <c r="G4465" s="7"/>
    </row>
    <row r="4466" spans="7:7">
      <c r="G4466" s="5">
        <v>2932608</v>
      </c>
    </row>
    <row r="4467" spans="7:7">
      <c r="G4467" s="7">
        <v>44761</v>
      </c>
    </row>
    <row r="4468" spans="7:7">
      <c r="G4468" s="19" t="s">
        <v>1086</v>
      </c>
    </row>
    <row r="4469" spans="7:7">
      <c r="G4469" s="7"/>
    </row>
    <row r="4470" spans="7:7">
      <c r="G4470" s="5">
        <v>2934067</v>
      </c>
    </row>
    <row r="4471" spans="7:7">
      <c r="G4471" s="7">
        <v>44658</v>
      </c>
    </row>
    <row r="4472" spans="7:7">
      <c r="G4472" s="19" t="s">
        <v>2547</v>
      </c>
    </row>
    <row r="4473" spans="7:7">
      <c r="G4473" s="7"/>
    </row>
    <row r="4474" spans="7:7">
      <c r="G4474" s="5">
        <v>2934308</v>
      </c>
    </row>
    <row r="4475" spans="7:7">
      <c r="G4475" s="7">
        <v>44654</v>
      </c>
    </row>
    <row r="4476" spans="7:7">
      <c r="G4476" s="19" t="s">
        <v>563</v>
      </c>
    </row>
    <row r="4477" spans="7:7">
      <c r="G4477" s="7"/>
    </row>
    <row r="4478" spans="7:7">
      <c r="G4478" s="5">
        <v>2934546</v>
      </c>
    </row>
    <row r="4479" spans="7:7">
      <c r="G4479" s="7">
        <v>44699</v>
      </c>
    </row>
    <row r="4480" spans="7:7">
      <c r="G4480" s="19" t="s">
        <v>1286</v>
      </c>
    </row>
    <row r="4481" spans="7:7">
      <c r="G4481" s="7"/>
    </row>
    <row r="4482" spans="7:7">
      <c r="G4482" s="5">
        <v>2936152</v>
      </c>
    </row>
    <row r="4483" spans="7:7">
      <c r="G4483" s="7">
        <v>44731</v>
      </c>
    </row>
    <row r="4484" spans="7:7">
      <c r="G4484" s="19" t="s">
        <v>2383</v>
      </c>
    </row>
    <row r="4485" spans="7:7">
      <c r="G4485" s="7"/>
    </row>
    <row r="4486" spans="7:7">
      <c r="G4486" s="7">
        <v>44739</v>
      </c>
    </row>
    <row r="4487" spans="7:7">
      <c r="G4487" s="19" t="s">
        <v>2383</v>
      </c>
    </row>
    <row r="4488" spans="7:7">
      <c r="G4488" s="7"/>
    </row>
    <row r="4489" spans="7:7">
      <c r="G4489" s="5">
        <v>2938646</v>
      </c>
    </row>
    <row r="4490" spans="7:7">
      <c r="G4490" s="7">
        <v>44693</v>
      </c>
    </row>
    <row r="4491" spans="7:7">
      <c r="G4491" s="19" t="s">
        <v>563</v>
      </c>
    </row>
    <row r="4492" spans="7:7">
      <c r="G4492" s="7"/>
    </row>
    <row r="4493" spans="7:7">
      <c r="G4493" s="7">
        <v>44715</v>
      </c>
    </row>
    <row r="4494" spans="7:7">
      <c r="G4494" s="19" t="s">
        <v>2383</v>
      </c>
    </row>
    <row r="4495" spans="7:7">
      <c r="G4495" s="7"/>
    </row>
    <row r="4496" spans="7:7">
      <c r="G4496" s="5">
        <v>2940183</v>
      </c>
    </row>
    <row r="4497" spans="7:7">
      <c r="G4497" s="7">
        <v>44711</v>
      </c>
    </row>
    <row r="4498" spans="7:7">
      <c r="G4498" s="19" t="s">
        <v>563</v>
      </c>
    </row>
    <row r="4499" spans="7:7">
      <c r="G4499" s="7"/>
    </row>
    <row r="4500" spans="7:7">
      <c r="G4500" s="5">
        <v>2941137</v>
      </c>
    </row>
    <row r="4501" spans="7:7">
      <c r="G4501" s="7">
        <v>44397</v>
      </c>
    </row>
    <row r="4502" spans="7:7">
      <c r="G4502" s="19" t="s">
        <v>1086</v>
      </c>
    </row>
    <row r="4503" spans="7:7">
      <c r="G4503" s="19" t="s">
        <v>1152</v>
      </c>
    </row>
    <row r="4504" spans="7:7">
      <c r="G4504" s="7"/>
    </row>
    <row r="4505" spans="7:7">
      <c r="G4505" s="7">
        <v>44376</v>
      </c>
    </row>
    <row r="4506" spans="7:7">
      <c r="G4506" s="19" t="s">
        <v>541</v>
      </c>
    </row>
    <row r="4507" spans="7:7">
      <c r="G4507" s="7"/>
    </row>
    <row r="4508" spans="7:7">
      <c r="G4508" s="5">
        <v>2943813</v>
      </c>
    </row>
    <row r="4509" spans="7:7">
      <c r="G4509" s="7">
        <v>44747</v>
      </c>
    </row>
    <row r="4510" spans="7:7">
      <c r="G4510" s="19" t="s">
        <v>2383</v>
      </c>
    </row>
    <row r="4511" spans="7:7">
      <c r="G4511" s="7"/>
    </row>
    <row r="4512" spans="7:7">
      <c r="G4512" s="5">
        <v>2944290</v>
      </c>
    </row>
    <row r="4513" spans="7:7">
      <c r="G4513" s="7">
        <v>44766</v>
      </c>
    </row>
    <row r="4514" spans="7:7">
      <c r="G4514" s="19" t="s">
        <v>2383</v>
      </c>
    </row>
    <row r="4515" spans="7:7">
      <c r="G4515" s="7"/>
    </row>
    <row r="4516" spans="7:7">
      <c r="G4516" s="5">
        <v>2945935</v>
      </c>
    </row>
    <row r="4517" spans="7:7">
      <c r="G4517" s="7">
        <v>44469</v>
      </c>
    </row>
    <row r="4518" spans="7:7">
      <c r="G4518" s="19" t="s">
        <v>1300</v>
      </c>
    </row>
    <row r="4519" spans="7:7">
      <c r="G4519" s="7"/>
    </row>
    <row r="4520" spans="7:7">
      <c r="G4520" s="5">
        <v>2949196</v>
      </c>
    </row>
    <row r="4521" spans="7:7">
      <c r="G4521" s="7">
        <v>44305</v>
      </c>
    </row>
    <row r="4522" spans="7:7">
      <c r="G4522" s="19" t="s">
        <v>563</v>
      </c>
    </row>
    <row r="4523" spans="7:7">
      <c r="G4523" s="7"/>
    </row>
    <row r="4524" spans="7:7">
      <c r="G4524" s="5">
        <v>2950102</v>
      </c>
    </row>
    <row r="4525" spans="7:7">
      <c r="G4525" s="7">
        <v>44659</v>
      </c>
    </row>
    <row r="4526" spans="7:7">
      <c r="G4526" s="19" t="s">
        <v>563</v>
      </c>
    </row>
    <row r="4527" spans="7:7">
      <c r="G4527" s="7"/>
    </row>
    <row r="4528" spans="7:7">
      <c r="G4528" s="5">
        <v>2950401</v>
      </c>
    </row>
    <row r="4529" spans="7:7">
      <c r="G4529" s="7">
        <v>44601</v>
      </c>
    </row>
    <row r="4530" spans="7:7">
      <c r="G4530" s="19" t="s">
        <v>502</v>
      </c>
    </row>
    <row r="4531" spans="7:7">
      <c r="G4531" s="7"/>
    </row>
    <row r="4532" spans="7:7">
      <c r="G4532" s="7">
        <v>44746</v>
      </c>
    </row>
    <row r="4533" spans="7:7">
      <c r="G4533" s="19" t="s">
        <v>3051</v>
      </c>
    </row>
    <row r="4534" spans="7:7">
      <c r="G4534" s="7"/>
    </row>
    <row r="4535" spans="7:7">
      <c r="G4535" s="5">
        <v>2950417</v>
      </c>
    </row>
    <row r="4536" spans="7:7">
      <c r="G4536" s="7">
        <v>44362</v>
      </c>
    </row>
    <row r="4537" spans="7:7">
      <c r="G4537" s="19" t="s">
        <v>552</v>
      </c>
    </row>
    <row r="4538" spans="7:7">
      <c r="G4538" s="7"/>
    </row>
    <row r="4539" spans="7:7">
      <c r="G4539" s="5">
        <v>2953995</v>
      </c>
    </row>
    <row r="4540" spans="7:7">
      <c r="G4540" s="7">
        <v>44743</v>
      </c>
    </row>
    <row r="4541" spans="7:7">
      <c r="G4541" s="19" t="s">
        <v>1116</v>
      </c>
    </row>
    <row r="4542" spans="7:7">
      <c r="G4542" s="7"/>
    </row>
    <row r="4543" spans="7:7">
      <c r="G4543" s="5">
        <v>2954054</v>
      </c>
    </row>
    <row r="4544" spans="7:7">
      <c r="G4544" s="7">
        <v>44672</v>
      </c>
    </row>
    <row r="4545" spans="7:7">
      <c r="G4545" s="19" t="s">
        <v>563</v>
      </c>
    </row>
    <row r="4546" spans="7:7">
      <c r="G4546" s="7"/>
    </row>
    <row r="4547" spans="7:7">
      <c r="G4547" s="7">
        <v>44707</v>
      </c>
    </row>
    <row r="4548" spans="7:7">
      <c r="G4548" s="19" t="s">
        <v>563</v>
      </c>
    </row>
    <row r="4549" spans="7:7">
      <c r="G4549" s="7"/>
    </row>
    <row r="4550" spans="7:7">
      <c r="G4550" s="5">
        <v>2954634</v>
      </c>
    </row>
    <row r="4551" spans="7:7">
      <c r="G4551" s="7">
        <v>44706</v>
      </c>
    </row>
    <row r="4552" spans="7:7">
      <c r="G4552" s="19" t="s">
        <v>563</v>
      </c>
    </row>
    <row r="4553" spans="7:7">
      <c r="G4553" s="7"/>
    </row>
    <row r="4554" spans="7:7">
      <c r="G4554" s="5">
        <v>2955837</v>
      </c>
    </row>
    <row r="4555" spans="7:7">
      <c r="G4555" s="7">
        <v>44368</v>
      </c>
    </row>
    <row r="4556" spans="7:7">
      <c r="G4556" s="19" t="s">
        <v>819</v>
      </c>
    </row>
    <row r="4557" spans="7:7">
      <c r="G4557" s="7"/>
    </row>
    <row r="4558" spans="7:7">
      <c r="G4558" s="7">
        <v>44362</v>
      </c>
    </row>
    <row r="4559" spans="7:7">
      <c r="G4559" s="19" t="s">
        <v>89</v>
      </c>
    </row>
    <row r="4560" spans="7:7">
      <c r="G4560" s="7"/>
    </row>
    <row r="4561" spans="7:7">
      <c r="G4561" s="7">
        <v>44532</v>
      </c>
    </row>
    <row r="4562" spans="7:7">
      <c r="G4562" s="19" t="s">
        <v>940</v>
      </c>
    </row>
    <row r="4563" spans="7:7">
      <c r="G4563" s="7"/>
    </row>
    <row r="4564" spans="7:7">
      <c r="G4564" s="5">
        <v>2960626</v>
      </c>
    </row>
    <row r="4565" spans="7:7">
      <c r="G4565" s="7">
        <v>44368</v>
      </c>
    </row>
    <row r="4566" spans="7:7">
      <c r="G4566" s="19" t="s">
        <v>180</v>
      </c>
    </row>
    <row r="4567" spans="7:7">
      <c r="G4567" s="7"/>
    </row>
    <row r="4568" spans="7:7">
      <c r="G4568" s="7">
        <v>44336</v>
      </c>
    </row>
    <row r="4569" spans="7:7">
      <c r="G4569" s="19" t="s">
        <v>166</v>
      </c>
    </row>
    <row r="4570" spans="7:7">
      <c r="G4570" s="7"/>
    </row>
    <row r="4571" spans="7:7">
      <c r="G4571" s="7">
        <v>44571</v>
      </c>
    </row>
    <row r="4572" spans="7:7">
      <c r="G4572" s="19" t="s">
        <v>166</v>
      </c>
    </row>
    <row r="4573" spans="7:7">
      <c r="G4573" s="7"/>
    </row>
    <row r="4574" spans="7:7">
      <c r="G4574" s="5">
        <v>2960684</v>
      </c>
    </row>
    <row r="4575" spans="7:7">
      <c r="G4575" s="7">
        <v>44753</v>
      </c>
    </row>
    <row r="4576" spans="7:7">
      <c r="G4576" s="19" t="s">
        <v>2383</v>
      </c>
    </row>
    <row r="4577" spans="7:7">
      <c r="G4577" s="7"/>
    </row>
    <row r="4578" spans="7:7">
      <c r="G4578" s="5">
        <v>2961469</v>
      </c>
    </row>
    <row r="4579" spans="7:7">
      <c r="G4579" s="7">
        <v>44614</v>
      </c>
    </row>
    <row r="4580" spans="7:7">
      <c r="G4580" s="19" t="s">
        <v>173</v>
      </c>
    </row>
    <row r="4581" spans="7:7">
      <c r="G4581" s="7"/>
    </row>
    <row r="4582" spans="7:7">
      <c r="G4582" s="5">
        <v>2962215</v>
      </c>
    </row>
    <row r="4583" spans="7:7">
      <c r="G4583" s="7">
        <v>44587</v>
      </c>
    </row>
    <row r="4584" spans="7:7">
      <c r="G4584" s="19" t="s">
        <v>2136</v>
      </c>
    </row>
    <row r="4585" spans="7:7">
      <c r="G4585" s="7"/>
    </row>
    <row r="4586" spans="7:7">
      <c r="G4586" s="5">
        <v>2963902</v>
      </c>
    </row>
    <row r="4587" spans="7:7">
      <c r="G4587" s="7">
        <v>44668</v>
      </c>
    </row>
    <row r="4588" spans="7:7">
      <c r="G4588" s="19" t="s">
        <v>563</v>
      </c>
    </row>
    <row r="4589" spans="7:7">
      <c r="G4589" s="7"/>
    </row>
    <row r="4590" spans="7:7">
      <c r="G4590" s="5">
        <v>2965323</v>
      </c>
    </row>
    <row r="4591" spans="7:7">
      <c r="G4591" s="7">
        <v>44350</v>
      </c>
    </row>
    <row r="4592" spans="7:7">
      <c r="G4592" s="19" t="s">
        <v>816</v>
      </c>
    </row>
    <row r="4593" spans="7:7">
      <c r="G4593" s="7"/>
    </row>
    <row r="4594" spans="7:7">
      <c r="G4594" s="5">
        <v>2967804</v>
      </c>
    </row>
    <row r="4595" spans="7:7">
      <c r="G4595" s="7">
        <v>44718</v>
      </c>
    </row>
    <row r="4596" spans="7:7">
      <c r="G4596" s="19" t="s">
        <v>2383</v>
      </c>
    </row>
    <row r="4597" spans="7:7">
      <c r="G4597" s="7"/>
    </row>
    <row r="4598" spans="7:7">
      <c r="G4598" s="5">
        <v>2968897</v>
      </c>
    </row>
    <row r="4599" spans="7:7">
      <c r="G4599" s="7">
        <v>44386</v>
      </c>
    </row>
    <row r="4600" spans="7:7">
      <c r="G4600" s="19" t="s">
        <v>995</v>
      </c>
    </row>
    <row r="4601" spans="7:7">
      <c r="G4601" s="7"/>
    </row>
    <row r="4602" spans="7:7">
      <c r="G4602" s="7">
        <v>44453</v>
      </c>
    </row>
    <row r="4603" spans="7:7">
      <c r="G4603" s="19" t="s">
        <v>128</v>
      </c>
    </row>
    <row r="4604" spans="7:7">
      <c r="G4604" s="7"/>
    </row>
    <row r="4605" spans="7:7">
      <c r="G4605" s="5">
        <v>2971514</v>
      </c>
    </row>
    <row r="4606" spans="7:7">
      <c r="G4606" s="7">
        <v>44568</v>
      </c>
    </row>
    <row r="4607" spans="7:7">
      <c r="G4607" s="19" t="s">
        <v>1589</v>
      </c>
    </row>
    <row r="4608" spans="7:7">
      <c r="G4608" s="7"/>
    </row>
    <row r="4609" spans="7:7">
      <c r="G4609" s="5">
        <v>2971625</v>
      </c>
    </row>
    <row r="4610" spans="7:7">
      <c r="G4610" s="7">
        <v>44668</v>
      </c>
    </row>
    <row r="4611" spans="7:7">
      <c r="G4611" s="19" t="s">
        <v>563</v>
      </c>
    </row>
    <row r="4612" spans="7:7">
      <c r="G4612" s="7"/>
    </row>
    <row r="4613" spans="7:7">
      <c r="G4613" s="7">
        <v>44673</v>
      </c>
    </row>
    <row r="4614" spans="7:7">
      <c r="G4614" s="19" t="s">
        <v>563</v>
      </c>
    </row>
    <row r="4615" spans="7:7">
      <c r="G4615" s="7"/>
    </row>
    <row r="4616" spans="7:7">
      <c r="G4616" s="5">
        <v>2972909</v>
      </c>
    </row>
    <row r="4617" spans="7:7">
      <c r="G4617" s="7">
        <v>44523</v>
      </c>
    </row>
    <row r="4618" spans="7:7">
      <c r="G4618" s="19" t="s">
        <v>1594</v>
      </c>
    </row>
    <row r="4619" spans="7:7">
      <c r="G4619" s="7"/>
    </row>
    <row r="4620" spans="7:7">
      <c r="G4620" s="7">
        <v>44518</v>
      </c>
    </row>
    <row r="4621" spans="7:7">
      <c r="G4621" s="19" t="s">
        <v>1233</v>
      </c>
    </row>
    <row r="4622" spans="7:7">
      <c r="G4622" s="7"/>
    </row>
    <row r="4623" spans="7:7">
      <c r="G4623" s="7">
        <v>44539</v>
      </c>
    </row>
    <row r="4624" spans="7:7">
      <c r="G4624" s="19" t="s">
        <v>143</v>
      </c>
    </row>
    <row r="4625" spans="7:7">
      <c r="G4625" s="7"/>
    </row>
    <row r="4626" spans="7:7">
      <c r="G4626" s="5">
        <v>2979491</v>
      </c>
    </row>
    <row r="4627" spans="7:7">
      <c r="G4627" s="7">
        <v>44733</v>
      </c>
    </row>
    <row r="4628" spans="7:7">
      <c r="G4628" s="19" t="s">
        <v>2383</v>
      </c>
    </row>
    <row r="4629" spans="7:7">
      <c r="G4629" s="7"/>
    </row>
    <row r="4630" spans="7:7">
      <c r="G4630" s="5">
        <v>2981379</v>
      </c>
    </row>
    <row r="4631" spans="7:7">
      <c r="G4631" s="7">
        <v>44714</v>
      </c>
    </row>
    <row r="4632" spans="7:7">
      <c r="G4632" s="19" t="s">
        <v>259</v>
      </c>
    </row>
    <row r="4633" spans="7:7">
      <c r="G4633" s="7"/>
    </row>
    <row r="4634" spans="7:7">
      <c r="G4634" s="5">
        <v>2982120</v>
      </c>
    </row>
    <row r="4635" spans="7:7">
      <c r="G4635" s="7">
        <v>44692</v>
      </c>
    </row>
    <row r="4636" spans="7:7">
      <c r="G4636" s="19" t="s">
        <v>563</v>
      </c>
    </row>
    <row r="4637" spans="7:7">
      <c r="G4637" s="7"/>
    </row>
    <row r="4638" spans="7:7">
      <c r="G4638" s="5">
        <v>2983950</v>
      </c>
    </row>
    <row r="4639" spans="7:7">
      <c r="G4639" s="7">
        <v>44627</v>
      </c>
    </row>
    <row r="4640" spans="7:7">
      <c r="G4640" s="19" t="s">
        <v>516</v>
      </c>
    </row>
    <row r="4641" spans="7:7">
      <c r="G4641" s="7"/>
    </row>
    <row r="4642" spans="7:7">
      <c r="G4642" s="5">
        <v>2983985</v>
      </c>
    </row>
    <row r="4643" spans="7:7">
      <c r="G4643" s="7">
        <v>43848</v>
      </c>
    </row>
    <row r="4644" spans="7:7">
      <c r="G4644" s="19" t="s">
        <v>563</v>
      </c>
    </row>
    <row r="4645" spans="7:7">
      <c r="G4645" s="7"/>
    </row>
    <row r="4646" spans="7:7">
      <c r="G4646" s="5">
        <v>2984402</v>
      </c>
    </row>
    <row r="4647" spans="7:7">
      <c r="G4647" s="7">
        <v>44467</v>
      </c>
    </row>
    <row r="4648" spans="7:7">
      <c r="G4648" s="19" t="s">
        <v>1203</v>
      </c>
    </row>
    <row r="4649" spans="7:7">
      <c r="G4649" s="7"/>
    </row>
    <row r="4650" spans="7:7">
      <c r="G4650" s="5">
        <v>2984880</v>
      </c>
    </row>
    <row r="4651" spans="7:7">
      <c r="G4651" s="7">
        <v>44670</v>
      </c>
    </row>
    <row r="4652" spans="7:7">
      <c r="G4652" s="19" t="s">
        <v>1293</v>
      </c>
    </row>
    <row r="4653" spans="7:7">
      <c r="G4653" s="7"/>
    </row>
    <row r="4654" spans="7:7">
      <c r="G4654" s="7">
        <v>44673</v>
      </c>
    </row>
    <row r="4655" spans="7:7">
      <c r="G4655" s="19" t="s">
        <v>1233</v>
      </c>
    </row>
    <row r="4656" spans="7:7">
      <c r="G4656" s="7"/>
    </row>
    <row r="4657" spans="7:7">
      <c r="G4657" s="5">
        <v>2985376</v>
      </c>
    </row>
    <row r="4658" spans="7:7">
      <c r="G4658" s="7">
        <v>44406</v>
      </c>
    </row>
    <row r="4659" spans="7:7">
      <c r="G4659" s="19" t="s">
        <v>1105</v>
      </c>
    </row>
    <row r="4660" spans="7:7">
      <c r="G4660" s="7"/>
    </row>
    <row r="4661" spans="7:7">
      <c r="G4661" s="5">
        <v>2985988</v>
      </c>
    </row>
    <row r="4662" spans="7:7">
      <c r="G4662" s="7">
        <v>44683</v>
      </c>
    </row>
    <row r="4663" spans="7:7">
      <c r="G4663" s="19" t="s">
        <v>2241</v>
      </c>
    </row>
    <row r="4664" spans="7:7">
      <c r="G4664" s="7"/>
    </row>
    <row r="4665" spans="7:7">
      <c r="G4665" s="5">
        <v>2986311</v>
      </c>
    </row>
    <row r="4666" spans="7:7">
      <c r="G4666" s="7">
        <v>44677</v>
      </c>
    </row>
    <row r="4667" spans="7:7">
      <c r="G4667" s="19" t="s">
        <v>563</v>
      </c>
    </row>
    <row r="4668" spans="7:7">
      <c r="G4668" s="7"/>
    </row>
    <row r="4669" spans="7:7">
      <c r="G4669" s="5">
        <v>2987256</v>
      </c>
    </row>
    <row r="4670" spans="7:7">
      <c r="G4670" s="7">
        <v>44469</v>
      </c>
    </row>
    <row r="4671" spans="7:7">
      <c r="G4671" s="19" t="s">
        <v>1594</v>
      </c>
    </row>
    <row r="4672" spans="7:7">
      <c r="G4672" s="7"/>
    </row>
    <row r="4673" spans="7:7">
      <c r="G4673" s="7">
        <v>44505</v>
      </c>
    </row>
    <row r="4674" spans="7:7">
      <c r="G4674" s="19" t="s">
        <v>1824</v>
      </c>
    </row>
    <row r="4675" spans="7:7">
      <c r="G4675" s="7"/>
    </row>
    <row r="4676" spans="7:7">
      <c r="G4676" s="7">
        <v>44497</v>
      </c>
    </row>
    <row r="4677" spans="7:7">
      <c r="G4677" s="19" t="s">
        <v>1214</v>
      </c>
    </row>
    <row r="4678" spans="7:7">
      <c r="G4678" s="7"/>
    </row>
    <row r="4679" spans="7:7">
      <c r="G4679" s="5">
        <v>2987571</v>
      </c>
    </row>
    <row r="4680" spans="7:7">
      <c r="G4680" s="7">
        <v>44305</v>
      </c>
    </row>
    <row r="4681" spans="7:7">
      <c r="G4681" s="19" t="s">
        <v>397</v>
      </c>
    </row>
    <row r="4682" spans="7:7">
      <c r="G4682" s="7"/>
    </row>
    <row r="4683" spans="7:7">
      <c r="G4683" s="7">
        <v>44565</v>
      </c>
    </row>
    <row r="4684" spans="7:7">
      <c r="G4684" s="19" t="s">
        <v>89</v>
      </c>
    </row>
    <row r="4685" spans="7:7">
      <c r="G4685" s="7"/>
    </row>
    <row r="4686" spans="7:7">
      <c r="G4686" s="5">
        <v>2988072</v>
      </c>
    </row>
    <row r="4687" spans="7:7">
      <c r="G4687" s="7">
        <v>44690</v>
      </c>
    </row>
    <row r="4688" spans="7:7">
      <c r="G4688" s="19" t="s">
        <v>563</v>
      </c>
    </row>
    <row r="4689" spans="7:7">
      <c r="G4689" s="7"/>
    </row>
    <row r="4690" spans="7:7">
      <c r="G4690" s="5">
        <v>2988103</v>
      </c>
    </row>
    <row r="4691" spans="7:7">
      <c r="G4691" s="7">
        <v>44678</v>
      </c>
    </row>
    <row r="4692" spans="7:7">
      <c r="G4692" s="19" t="s">
        <v>563</v>
      </c>
    </row>
    <row r="4693" spans="7:7">
      <c r="G4693" s="7"/>
    </row>
    <row r="4694" spans="7:7">
      <c r="G4694" s="7">
        <v>44677</v>
      </c>
    </row>
    <row r="4695" spans="7:7">
      <c r="G4695" s="19" t="s">
        <v>563</v>
      </c>
    </row>
    <row r="4696" spans="7:7">
      <c r="G4696" s="7"/>
    </row>
    <row r="4697" spans="7:7">
      <c r="G4697" s="7">
        <v>44768</v>
      </c>
    </row>
    <row r="4698" spans="7:7">
      <c r="G4698" s="19" t="s">
        <v>2383</v>
      </c>
    </row>
    <row r="4699" spans="7:7">
      <c r="G4699" s="7"/>
    </row>
    <row r="4700" spans="7:7">
      <c r="G4700" s="5">
        <v>2990767</v>
      </c>
    </row>
    <row r="4701" spans="7:7">
      <c r="G4701" s="7">
        <v>44427</v>
      </c>
    </row>
    <row r="4702" spans="7:7">
      <c r="G4702" s="19" t="s">
        <v>1252</v>
      </c>
    </row>
    <row r="4703" spans="7:7">
      <c r="G4703" s="7"/>
    </row>
    <row r="4704" spans="7:7">
      <c r="G4704" s="5">
        <v>2991127</v>
      </c>
    </row>
    <row r="4705" spans="7:7">
      <c r="G4705" s="7">
        <v>44714</v>
      </c>
    </row>
    <row r="4706" spans="7:7">
      <c r="G4706" s="19" t="s">
        <v>2383</v>
      </c>
    </row>
    <row r="4707" spans="7:7">
      <c r="G4707" s="7"/>
    </row>
    <row r="4708" spans="7:7">
      <c r="G4708" s="5">
        <v>2993897</v>
      </c>
    </row>
    <row r="4709" spans="7:7">
      <c r="G4709" s="7">
        <v>44327</v>
      </c>
    </row>
    <row r="4710" spans="7:7">
      <c r="G4710" s="19" t="s">
        <v>563</v>
      </c>
    </row>
    <row r="4711" spans="7:7">
      <c r="G4711" s="7"/>
    </row>
    <row r="4712" spans="7:7">
      <c r="G4712" s="5">
        <v>2996422</v>
      </c>
    </row>
    <row r="4713" spans="7:7">
      <c r="G4713" s="7">
        <v>44687</v>
      </c>
    </row>
    <row r="4714" spans="7:7">
      <c r="G4714" s="19" t="s">
        <v>563</v>
      </c>
    </row>
    <row r="4715" spans="7:7">
      <c r="G4715" s="7"/>
    </row>
    <row r="4716" spans="7:7">
      <c r="G4716" s="5">
        <v>3004993</v>
      </c>
    </row>
    <row r="4717" spans="7:7">
      <c r="G4717" s="7">
        <v>44476</v>
      </c>
    </row>
    <row r="4718" spans="7:7">
      <c r="G4718" s="19" t="s">
        <v>139</v>
      </c>
    </row>
    <row r="4719" spans="7:7">
      <c r="G4719" s="7"/>
    </row>
    <row r="4720" spans="7:7">
      <c r="G4720" s="5">
        <v>3005144</v>
      </c>
    </row>
    <row r="4721" spans="7:7">
      <c r="G4721" s="7">
        <v>44714</v>
      </c>
    </row>
    <row r="4722" spans="7:7">
      <c r="G4722" s="19" t="s">
        <v>2383</v>
      </c>
    </row>
    <row r="4723" spans="7:7">
      <c r="G4723" s="7"/>
    </row>
    <row r="4724" spans="7:7">
      <c r="G4724" s="5">
        <v>3006816</v>
      </c>
    </row>
    <row r="4725" spans="7:7">
      <c r="G4725" s="7">
        <v>44437</v>
      </c>
    </row>
    <row r="4726" spans="7:7">
      <c r="G4726" s="19" t="s">
        <v>1126</v>
      </c>
    </row>
    <row r="4727" spans="7:7">
      <c r="G4727" s="7"/>
    </row>
    <row r="4728" spans="7:7">
      <c r="G4728" s="5">
        <v>3009428</v>
      </c>
    </row>
    <row r="4729" spans="7:7">
      <c r="G4729" s="7">
        <v>44466</v>
      </c>
    </row>
    <row r="4730" spans="7:7">
      <c r="G4730" s="19" t="s">
        <v>1274</v>
      </c>
    </row>
    <row r="4731" spans="7:7">
      <c r="G4731" s="7"/>
    </row>
    <row r="4732" spans="7:7">
      <c r="G4732" s="5">
        <v>3009460</v>
      </c>
    </row>
    <row r="4733" spans="7:7">
      <c r="G4733" s="7">
        <v>44733</v>
      </c>
    </row>
    <row r="4734" spans="7:7">
      <c r="G4734" s="19" t="s">
        <v>2383</v>
      </c>
    </row>
    <row r="4735" spans="7:7">
      <c r="G4735" s="7"/>
    </row>
    <row r="4736" spans="7:7">
      <c r="G4736" s="5">
        <v>3010031</v>
      </c>
    </row>
    <row r="4737" spans="7:7">
      <c r="G4737" s="7">
        <v>44418</v>
      </c>
    </row>
    <row r="4738" spans="7:7">
      <c r="G4738" s="19" t="s">
        <v>1226</v>
      </c>
    </row>
    <row r="4739" spans="7:7">
      <c r="G4739" s="7"/>
    </row>
    <row r="4740" spans="7:7">
      <c r="G4740" s="5">
        <v>3010345</v>
      </c>
    </row>
    <row r="4741" spans="7:7">
      <c r="G4741" s="7">
        <v>44755</v>
      </c>
    </row>
    <row r="4742" spans="7:7">
      <c r="G4742" s="19" t="s">
        <v>2383</v>
      </c>
    </row>
    <row r="4743" spans="7:7">
      <c r="G4743" s="7"/>
    </row>
    <row r="4744" spans="7:7">
      <c r="G4744" s="5">
        <v>3018034</v>
      </c>
    </row>
    <row r="4745" spans="7:7">
      <c r="G4745" s="7">
        <v>44406</v>
      </c>
    </row>
    <row r="4746" spans="7:7">
      <c r="G4746" s="19" t="s">
        <v>1140</v>
      </c>
    </row>
    <row r="4747" spans="7:7">
      <c r="G4747" s="7"/>
    </row>
    <row r="4748" spans="7:7">
      <c r="G4748" s="7">
        <v>44404</v>
      </c>
    </row>
    <row r="4749" spans="7:7">
      <c r="G4749" s="19" t="s">
        <v>1142</v>
      </c>
    </row>
    <row r="4750" spans="7:7">
      <c r="G4750" s="7"/>
    </row>
    <row r="4751" spans="7:7">
      <c r="G4751" s="7">
        <v>44592</v>
      </c>
    </row>
    <row r="4752" spans="7:7">
      <c r="G4752" s="19" t="s">
        <v>1026</v>
      </c>
    </row>
    <row r="4753" spans="7:7">
      <c r="G4753" s="7"/>
    </row>
    <row r="4754" spans="7:7">
      <c r="G4754" s="7">
        <v>44607</v>
      </c>
    </row>
    <row r="4755" spans="7:7">
      <c r="G4755" s="19" t="s">
        <v>2180</v>
      </c>
    </row>
    <row r="4756" spans="7:7">
      <c r="G4756" s="7"/>
    </row>
    <row r="4757" spans="7:7">
      <c r="G4757" s="7">
        <v>44621</v>
      </c>
    </row>
    <row r="4758" spans="7:7">
      <c r="G4758" s="19" t="s">
        <v>1312</v>
      </c>
    </row>
    <row r="4759" spans="7:7">
      <c r="G4759" s="7"/>
    </row>
    <row r="4760" spans="7:7">
      <c r="G4760" s="5">
        <v>3018906</v>
      </c>
    </row>
    <row r="4761" spans="7:7">
      <c r="G4761" s="7">
        <v>44635</v>
      </c>
    </row>
    <row r="4762" spans="7:7">
      <c r="G4762" s="19" t="s">
        <v>563</v>
      </c>
    </row>
    <row r="4763" spans="7:7">
      <c r="G4763" s="7"/>
    </row>
    <row r="4764" spans="7:7">
      <c r="G4764" s="5">
        <v>3020240</v>
      </c>
    </row>
    <row r="4765" spans="7:7">
      <c r="G4765" s="7">
        <v>44711</v>
      </c>
    </row>
    <row r="4766" spans="7:7">
      <c r="G4766" s="19" t="s">
        <v>563</v>
      </c>
    </row>
    <row r="4767" spans="7:7">
      <c r="G4767" s="7"/>
    </row>
    <row r="4768" spans="7:7">
      <c r="G4768" s="5">
        <v>3021132</v>
      </c>
    </row>
    <row r="4769" spans="7:7">
      <c r="G4769" s="7">
        <v>44720</v>
      </c>
    </row>
    <row r="4770" spans="7:7">
      <c r="G4770" s="19" t="s">
        <v>259</v>
      </c>
    </row>
    <row r="4771" spans="7:7">
      <c r="G4771" s="7"/>
    </row>
    <row r="4772" spans="7:7">
      <c r="G4772" s="5">
        <v>3021529</v>
      </c>
    </row>
    <row r="4773" spans="7:7">
      <c r="G4773" s="7">
        <v>44729</v>
      </c>
    </row>
    <row r="4774" spans="7:7">
      <c r="G4774" s="19" t="s">
        <v>2383</v>
      </c>
    </row>
    <row r="4775" spans="7:7">
      <c r="G4775" s="7"/>
    </row>
    <row r="4776" spans="7:7">
      <c r="G4776" s="5">
        <v>3024535</v>
      </c>
    </row>
    <row r="4777" spans="7:7">
      <c r="G4777" s="7">
        <v>44417</v>
      </c>
    </row>
    <row r="4778" spans="7:7">
      <c r="G4778" s="19" t="s">
        <v>89</v>
      </c>
    </row>
    <row r="4779" spans="7:7">
      <c r="G4779" s="7"/>
    </row>
    <row r="4780" spans="7:7">
      <c r="G4780" s="5">
        <v>3027744</v>
      </c>
    </row>
    <row r="4781" spans="7:7">
      <c r="G4781" s="7">
        <v>44651</v>
      </c>
    </row>
    <row r="4782" spans="7:7">
      <c r="G4782" s="19" t="s">
        <v>563</v>
      </c>
    </row>
    <row r="4783" spans="7:7">
      <c r="G4783" s="7"/>
    </row>
    <row r="4784" spans="7:7">
      <c r="G4784" s="5">
        <v>3027914</v>
      </c>
    </row>
    <row r="4785" spans="7:7">
      <c r="G4785" s="7">
        <v>44677</v>
      </c>
    </row>
    <row r="4786" spans="7:7">
      <c r="G4786" s="19" t="s">
        <v>563</v>
      </c>
    </row>
    <row r="4787" spans="7:7">
      <c r="G4787" s="7"/>
    </row>
    <row r="4788" spans="7:7">
      <c r="G4788" s="5">
        <v>3028955</v>
      </c>
    </row>
    <row r="4789" spans="7:7">
      <c r="G4789" s="7">
        <v>44270</v>
      </c>
    </row>
    <row r="4790" spans="7:7">
      <c r="G4790" s="19" t="s">
        <v>107</v>
      </c>
    </row>
    <row r="4791" spans="7:7">
      <c r="G4791" s="7"/>
    </row>
    <row r="4792" spans="7:7">
      <c r="G4792" s="7">
        <v>44543</v>
      </c>
    </row>
    <row r="4793" spans="7:7">
      <c r="G4793" s="19" t="s">
        <v>89</v>
      </c>
    </row>
    <row r="4794" spans="7:7">
      <c r="G4794" s="7"/>
    </row>
    <row r="4795" spans="7:7">
      <c r="G4795" s="5">
        <v>3032297</v>
      </c>
    </row>
    <row r="4796" spans="7:7">
      <c r="G4796" s="7">
        <v>44378</v>
      </c>
    </row>
    <row r="4797" spans="7:7">
      <c r="G4797" s="19" t="s">
        <v>988</v>
      </c>
    </row>
    <row r="4798" spans="7:7">
      <c r="G4798" s="7"/>
    </row>
    <row r="4799" spans="7:7">
      <c r="G4799" s="5">
        <v>3032836</v>
      </c>
    </row>
    <row r="4800" spans="7:7">
      <c r="G4800" s="7">
        <v>44750</v>
      </c>
    </row>
    <row r="4801" spans="7:7">
      <c r="G4801" s="19" t="s">
        <v>2383</v>
      </c>
    </row>
    <row r="4802" spans="7:7">
      <c r="G4802" s="7"/>
    </row>
    <row r="4803" spans="7:7">
      <c r="G4803" s="5">
        <v>3040106</v>
      </c>
    </row>
    <row r="4804" spans="7:7">
      <c r="G4804" s="7">
        <v>44687</v>
      </c>
    </row>
    <row r="4805" spans="7:7">
      <c r="G4805" s="19" t="s">
        <v>563</v>
      </c>
    </row>
    <row r="4806" spans="7:7">
      <c r="G4806" s="7"/>
    </row>
    <row r="4807" spans="7:7">
      <c r="G4807" s="5">
        <v>3042189</v>
      </c>
    </row>
    <row r="4808" spans="7:7">
      <c r="G4808" s="7">
        <v>44277</v>
      </c>
    </row>
    <row r="4809" spans="7:7">
      <c r="G4809" s="19" t="s">
        <v>563</v>
      </c>
    </row>
    <row r="4810" spans="7:7">
      <c r="G4810" s="7"/>
    </row>
    <row r="4811" spans="7:7">
      <c r="G4811" s="5">
        <v>3064176</v>
      </c>
    </row>
    <row r="4812" spans="7:7">
      <c r="G4812" s="7">
        <v>44652</v>
      </c>
    </row>
    <row r="4813" spans="7:7">
      <c r="G4813" s="19" t="s">
        <v>2079</v>
      </c>
    </row>
    <row r="4814" spans="7:7">
      <c r="G4814" s="7"/>
    </row>
    <row r="4815" spans="7:7">
      <c r="G4815" s="5">
        <v>3064411</v>
      </c>
    </row>
    <row r="4816" spans="7:7">
      <c r="G4816" s="7">
        <v>44686</v>
      </c>
    </row>
    <row r="4817" spans="7:7">
      <c r="G4817" s="19" t="s">
        <v>563</v>
      </c>
    </row>
    <row r="4818" spans="7:7">
      <c r="G4818" s="7"/>
    </row>
    <row r="4819" spans="7:7">
      <c r="G4819" s="5">
        <v>3065170</v>
      </c>
    </row>
    <row r="4820" spans="7:7">
      <c r="G4820" s="7">
        <v>43979</v>
      </c>
    </row>
    <row r="4821" spans="7:7">
      <c r="G4821" s="19" t="s">
        <v>397</v>
      </c>
    </row>
    <row r="4822" spans="7:7">
      <c r="G4822" s="7"/>
    </row>
    <row r="4823" spans="7:7">
      <c r="G4823" s="5">
        <v>3065592</v>
      </c>
    </row>
    <row r="4824" spans="7:7">
      <c r="G4824" s="7">
        <v>44358</v>
      </c>
    </row>
    <row r="4825" spans="7:7">
      <c r="G4825" s="19" t="s">
        <v>563</v>
      </c>
    </row>
    <row r="4826" spans="7:7">
      <c r="G4826" s="7"/>
    </row>
    <row r="4827" spans="7:7">
      <c r="G4827" s="5">
        <v>3070452</v>
      </c>
    </row>
    <row r="4828" spans="7:7">
      <c r="G4828" s="7">
        <v>44329</v>
      </c>
    </row>
    <row r="4829" spans="7:7">
      <c r="G4829" s="19" t="s">
        <v>563</v>
      </c>
    </row>
    <row r="4830" spans="7:7">
      <c r="G4830" s="7"/>
    </row>
    <row r="4831" spans="7:7">
      <c r="G4831" s="5">
        <v>3071753</v>
      </c>
    </row>
    <row r="4832" spans="7:7">
      <c r="G4832" s="7">
        <v>44683</v>
      </c>
    </row>
    <row r="4833" spans="7:7">
      <c r="G4833" s="19" t="s">
        <v>563</v>
      </c>
    </row>
    <row r="4834" spans="7:7">
      <c r="G4834" s="7"/>
    </row>
    <row r="4835" spans="7:7">
      <c r="G4835" s="5">
        <v>3071940</v>
      </c>
    </row>
    <row r="4836" spans="7:7">
      <c r="G4836" s="7">
        <v>44564</v>
      </c>
    </row>
    <row r="4837" spans="7:7">
      <c r="G4837" s="19" t="s">
        <v>1300</v>
      </c>
    </row>
    <row r="4838" spans="7:7">
      <c r="G4838" s="7"/>
    </row>
    <row r="4839" spans="7:7">
      <c r="G4839" s="5">
        <v>3074759</v>
      </c>
    </row>
    <row r="4840" spans="7:7">
      <c r="G4840" s="7">
        <v>44767</v>
      </c>
    </row>
    <row r="4841" spans="7:7">
      <c r="G4841" s="19" t="s">
        <v>2383</v>
      </c>
    </row>
    <row r="4842" spans="7:7">
      <c r="G4842" s="7"/>
    </row>
    <row r="4843" spans="7:7">
      <c r="G4843" s="5">
        <v>3075523</v>
      </c>
    </row>
    <row r="4844" spans="7:7">
      <c r="G4844" s="7">
        <v>44516</v>
      </c>
    </row>
    <row r="4845" spans="7:7">
      <c r="G4845" s="19" t="s">
        <v>1923</v>
      </c>
    </row>
    <row r="4846" spans="7:7">
      <c r="G4846" s="7"/>
    </row>
    <row r="4847" spans="7:7">
      <c r="G4847" s="5">
        <v>3078017</v>
      </c>
    </row>
    <row r="4848" spans="7:7">
      <c r="G4848" s="7">
        <v>44343</v>
      </c>
    </row>
    <row r="4849" spans="7:7">
      <c r="G4849" s="19" t="s">
        <v>563</v>
      </c>
    </row>
    <row r="4850" spans="7:7">
      <c r="G4850" s="7"/>
    </row>
    <row r="4851" spans="7:7">
      <c r="G4851" s="5">
        <v>3079957</v>
      </c>
    </row>
    <row r="4852" spans="7:7">
      <c r="G4852" s="7">
        <v>44377</v>
      </c>
    </row>
    <row r="4853" spans="7:7">
      <c r="G4853" s="19" t="s">
        <v>999</v>
      </c>
    </row>
    <row r="4854" spans="7:7">
      <c r="G4854" s="7"/>
    </row>
    <row r="4855" spans="7:7">
      <c r="G4855" s="7">
        <v>44375</v>
      </c>
    </row>
    <row r="4856" spans="7:7">
      <c r="G4856" s="19" t="s">
        <v>999</v>
      </c>
    </row>
    <row r="4857" spans="7:7">
      <c r="G4857" s="7"/>
    </row>
    <row r="4858" spans="7:7">
      <c r="G4858" s="7">
        <v>44749</v>
      </c>
    </row>
    <row r="4859" spans="7:7">
      <c r="G4859" s="19" t="s">
        <v>3326</v>
      </c>
    </row>
    <row r="4860" spans="7:7">
      <c r="G4860" s="7"/>
    </row>
    <row r="4861" spans="7:7">
      <c r="G4861" s="5">
        <v>3082970</v>
      </c>
    </row>
    <row r="4862" spans="7:7">
      <c r="G4862" s="7">
        <v>44715</v>
      </c>
    </row>
    <row r="4863" spans="7:7">
      <c r="G4863" s="19" t="s">
        <v>2383</v>
      </c>
    </row>
    <row r="4864" spans="7:7">
      <c r="G4864" s="7"/>
    </row>
    <row r="4865" spans="7:7">
      <c r="G4865" s="7">
        <v>44733</v>
      </c>
    </row>
    <row r="4866" spans="7:7">
      <c r="G4866" s="19" t="s">
        <v>2383</v>
      </c>
    </row>
    <row r="4867" spans="7:7">
      <c r="G4867" s="7"/>
    </row>
    <row r="4868" spans="7:7">
      <c r="G4868" s="5">
        <v>3083567</v>
      </c>
    </row>
    <row r="4869" spans="7:7">
      <c r="G4869" s="7">
        <v>44498</v>
      </c>
    </row>
    <row r="4870" spans="7:7">
      <c r="G4870" s="19" t="s">
        <v>139</v>
      </c>
    </row>
    <row r="4871" spans="7:7">
      <c r="G4871" s="7"/>
    </row>
    <row r="4872" spans="7:7">
      <c r="G4872" s="5">
        <v>3083847</v>
      </c>
    </row>
    <row r="4873" spans="7:7">
      <c r="G4873" s="7">
        <v>44453</v>
      </c>
    </row>
    <row r="4874" spans="7:7">
      <c r="G4874" s="19" t="s">
        <v>1624</v>
      </c>
    </row>
    <row r="4875" spans="7:7">
      <c r="G4875" s="7"/>
    </row>
    <row r="4876" spans="7:7">
      <c r="G4876" s="5">
        <v>3086802</v>
      </c>
    </row>
    <row r="4877" spans="7:7">
      <c r="G4877" s="7">
        <v>44744</v>
      </c>
    </row>
    <row r="4878" spans="7:7">
      <c r="G4878" s="19" t="s">
        <v>2383</v>
      </c>
    </row>
    <row r="4879" spans="7:7">
      <c r="G4879" s="7"/>
    </row>
    <row r="4880" spans="7:7">
      <c r="G4880" s="7">
        <v>44749</v>
      </c>
    </row>
    <row r="4881" spans="7:7">
      <c r="G4881" s="19" t="s">
        <v>2383</v>
      </c>
    </row>
    <row r="4882" spans="7:7">
      <c r="G4882" s="7"/>
    </row>
    <row r="4883" spans="7:7">
      <c r="G4883" s="5">
        <v>3087055</v>
      </c>
    </row>
    <row r="4884" spans="7:7">
      <c r="G4884" s="7">
        <v>44754</v>
      </c>
    </row>
    <row r="4885" spans="7:7">
      <c r="G4885" s="19" t="s">
        <v>2383</v>
      </c>
    </row>
    <row r="4886" spans="7:7">
      <c r="G4886" s="7"/>
    </row>
    <row r="4887" spans="7:7">
      <c r="G4887" s="7">
        <v>44763</v>
      </c>
    </row>
    <row r="4888" spans="7:7">
      <c r="G4888" s="19" t="s">
        <v>2962</v>
      </c>
    </row>
    <row r="4889" spans="7:7">
      <c r="G4889" s="7"/>
    </row>
    <row r="4890" spans="7:7">
      <c r="G4890" s="5">
        <v>3088375</v>
      </c>
    </row>
    <row r="4891" spans="7:7">
      <c r="G4891" s="7">
        <v>44496</v>
      </c>
    </row>
    <row r="4892" spans="7:7">
      <c r="G4892" s="19" t="s">
        <v>1820</v>
      </c>
    </row>
    <row r="4893" spans="7:7">
      <c r="G4893" s="7"/>
    </row>
    <row r="4894" spans="7:7">
      <c r="G4894" s="5">
        <v>3089388</v>
      </c>
    </row>
    <row r="4895" spans="7:7">
      <c r="G4895" s="7">
        <v>44390</v>
      </c>
    </row>
    <row r="4896" spans="7:7">
      <c r="G4896" s="19" t="s">
        <v>92</v>
      </c>
    </row>
    <row r="4897" spans="7:7">
      <c r="G4897" s="7"/>
    </row>
    <row r="4898" spans="7:7">
      <c r="G4898" s="5">
        <v>3093029</v>
      </c>
    </row>
    <row r="4899" spans="7:7">
      <c r="G4899" s="7">
        <v>44635</v>
      </c>
    </row>
    <row r="4900" spans="7:7">
      <c r="G4900" s="19" t="s">
        <v>563</v>
      </c>
    </row>
    <row r="4901" spans="7:7">
      <c r="G4901" s="7"/>
    </row>
    <row r="4902" spans="7:7">
      <c r="G4902" s="5">
        <v>3093305</v>
      </c>
    </row>
    <row r="4903" spans="7:7">
      <c r="G4903" s="7">
        <v>44733</v>
      </c>
    </row>
    <row r="4904" spans="7:7">
      <c r="G4904" s="19" t="s">
        <v>3188</v>
      </c>
    </row>
    <row r="4905" spans="7:7">
      <c r="G4905" s="7"/>
    </row>
    <row r="4906" spans="7:7">
      <c r="G4906" s="5">
        <v>3095020</v>
      </c>
    </row>
    <row r="4907" spans="7:7">
      <c r="G4907" s="7">
        <v>44461</v>
      </c>
    </row>
    <row r="4908" spans="7:7">
      <c r="G4908" s="19" t="s">
        <v>128</v>
      </c>
    </row>
    <row r="4909" spans="7:7">
      <c r="G4909" s="7"/>
    </row>
    <row r="4910" spans="7:7">
      <c r="G4910" s="5">
        <v>3099120</v>
      </c>
    </row>
    <row r="4911" spans="7:7">
      <c r="G4911" s="7">
        <v>44376</v>
      </c>
    </row>
    <row r="4912" spans="7:7">
      <c r="G4912" s="19" t="s">
        <v>143</v>
      </c>
    </row>
    <row r="4913" spans="7:7">
      <c r="G4913" s="7"/>
    </row>
    <row r="4914" spans="7:7">
      <c r="G4914" s="7">
        <v>44446</v>
      </c>
    </row>
    <row r="4915" spans="7:7">
      <c r="G4915" s="19" t="s">
        <v>1193</v>
      </c>
    </row>
    <row r="4916" spans="7:7">
      <c r="G4916" s="7"/>
    </row>
    <row r="4917" spans="7:7">
      <c r="G4917" s="7">
        <v>44442</v>
      </c>
    </row>
    <row r="4918" spans="7:7">
      <c r="G4918" s="19" t="s">
        <v>1594</v>
      </c>
    </row>
    <row r="4919" spans="7:7">
      <c r="G4919" s="7"/>
    </row>
    <row r="4920" spans="7:7">
      <c r="G4920" s="7">
        <v>44453</v>
      </c>
    </row>
    <row r="4921" spans="7:7">
      <c r="G4921" s="19" t="s">
        <v>1589</v>
      </c>
    </row>
    <row r="4922" spans="7:7">
      <c r="G4922" s="7"/>
    </row>
    <row r="4923" spans="7:7">
      <c r="G4923" s="7">
        <v>44497</v>
      </c>
    </row>
    <row r="4924" spans="7:7">
      <c r="G4924" s="19" t="s">
        <v>1734</v>
      </c>
    </row>
    <row r="4925" spans="7:7">
      <c r="G4925" s="7"/>
    </row>
    <row r="4926" spans="7:7">
      <c r="G4926" s="5">
        <v>3100424</v>
      </c>
    </row>
    <row r="4927" spans="7:7">
      <c r="G4927" s="7">
        <v>44607</v>
      </c>
    </row>
    <row r="4928" spans="7:7">
      <c r="G4928" s="19" t="s">
        <v>2175</v>
      </c>
    </row>
    <row r="4929" spans="7:7">
      <c r="G4929" s="7"/>
    </row>
    <row r="4930" spans="7:7">
      <c r="G4930" s="5">
        <v>3102309</v>
      </c>
    </row>
    <row r="4931" spans="7:7">
      <c r="G4931" s="7">
        <v>44712</v>
      </c>
    </row>
    <row r="4932" spans="7:7">
      <c r="G4932" s="19" t="s">
        <v>563</v>
      </c>
    </row>
    <row r="4933" spans="7:7">
      <c r="G4933" s="7"/>
    </row>
    <row r="4934" spans="7:7">
      <c r="G4934" s="5">
        <v>3103319</v>
      </c>
    </row>
    <row r="4935" spans="7:7">
      <c r="G4935" s="7">
        <v>44544</v>
      </c>
    </row>
    <row r="4936" spans="7:7">
      <c r="G4936" s="19" t="s">
        <v>1711</v>
      </c>
    </row>
    <row r="4937" spans="7:7">
      <c r="G4937" s="7"/>
    </row>
    <row r="4938" spans="7:7">
      <c r="G4938" s="5">
        <v>3103811</v>
      </c>
    </row>
    <row r="4939" spans="7:7">
      <c r="G4939" s="7">
        <v>44435</v>
      </c>
    </row>
    <row r="4940" spans="7:7">
      <c r="G4940" s="19" t="s">
        <v>503</v>
      </c>
    </row>
    <row r="4941" spans="7:7">
      <c r="G4941" s="7"/>
    </row>
    <row r="4942" spans="7:7">
      <c r="G4942" s="5">
        <v>3104997</v>
      </c>
    </row>
    <row r="4943" spans="7:7">
      <c r="G4943" s="7">
        <v>44728</v>
      </c>
    </row>
    <row r="4944" spans="7:7">
      <c r="G4944" s="19" t="s">
        <v>2995</v>
      </c>
    </row>
    <row r="4945" spans="7:7">
      <c r="G4945" s="7"/>
    </row>
    <row r="4946" spans="7:7">
      <c r="G4946" s="5">
        <v>3105160</v>
      </c>
    </row>
    <row r="4947" spans="7:7">
      <c r="G4947" s="7">
        <v>44627</v>
      </c>
    </row>
    <row r="4948" spans="7:7">
      <c r="G4948" s="19" t="s">
        <v>2210</v>
      </c>
    </row>
    <row r="4949" spans="7:7">
      <c r="G4949" s="7"/>
    </row>
    <row r="4950" spans="7:7">
      <c r="G4950" s="5">
        <v>3107024</v>
      </c>
    </row>
    <row r="4951" spans="7:7">
      <c r="G4951" s="7">
        <v>44705</v>
      </c>
    </row>
    <row r="4952" spans="7:7">
      <c r="G4952" s="19" t="s">
        <v>2420</v>
      </c>
    </row>
    <row r="4953" spans="7:7">
      <c r="G4953" s="7"/>
    </row>
    <row r="4954" spans="7:7">
      <c r="G4954" s="5">
        <v>3113180</v>
      </c>
    </row>
    <row r="4955" spans="7:7">
      <c r="G4955" s="7">
        <v>44628</v>
      </c>
    </row>
    <row r="4956" spans="7:7">
      <c r="G4956" s="19" t="s">
        <v>1635</v>
      </c>
    </row>
    <row r="4957" spans="7:7">
      <c r="G4957" s="7"/>
    </row>
    <row r="4958" spans="7:7">
      <c r="G4958" s="5">
        <v>3114171</v>
      </c>
    </row>
    <row r="4959" spans="7:7">
      <c r="G4959" s="7">
        <v>44425</v>
      </c>
    </row>
    <row r="4960" spans="7:7">
      <c r="G4960" s="19" t="s">
        <v>1204</v>
      </c>
    </row>
    <row r="4961" spans="7:7">
      <c r="G4961" s="7"/>
    </row>
    <row r="4962" spans="7:7">
      <c r="G4962" s="5">
        <v>3114910</v>
      </c>
    </row>
    <row r="4963" spans="7:7">
      <c r="G4963" s="7">
        <v>44482</v>
      </c>
    </row>
    <row r="4964" spans="7:7">
      <c r="G4964" s="19" t="s">
        <v>107</v>
      </c>
    </row>
    <row r="4965" spans="7:7">
      <c r="G4965" s="7"/>
    </row>
    <row r="4966" spans="7:7">
      <c r="G4966" s="5">
        <v>3116475</v>
      </c>
    </row>
    <row r="4967" spans="7:7">
      <c r="G4967" s="7">
        <v>44040</v>
      </c>
    </row>
    <row r="4968" spans="7:7">
      <c r="G4968" s="19" t="s">
        <v>100</v>
      </c>
    </row>
    <row r="4969" spans="7:7">
      <c r="G4969" s="7"/>
    </row>
    <row r="4970" spans="7:7">
      <c r="G4970" s="7">
        <v>44056</v>
      </c>
    </row>
    <row r="4971" spans="7:7">
      <c r="G4971" s="19" t="s">
        <v>147</v>
      </c>
    </row>
    <row r="4972" spans="7:7">
      <c r="G4972" s="7"/>
    </row>
    <row r="4973" spans="7:7">
      <c r="G4973" s="5">
        <v>3117008</v>
      </c>
    </row>
    <row r="4974" spans="7:7">
      <c r="G4974" s="7">
        <v>44657</v>
      </c>
    </row>
    <row r="4975" spans="7:7">
      <c r="G4975" s="19" t="s">
        <v>563</v>
      </c>
    </row>
    <row r="4976" spans="7:7">
      <c r="G4976" s="7"/>
    </row>
    <row r="4977" spans="7:7">
      <c r="G4977" s="5">
        <v>3117130</v>
      </c>
    </row>
    <row r="4978" spans="7:7">
      <c r="G4978" s="7">
        <v>44711</v>
      </c>
    </row>
    <row r="4979" spans="7:7">
      <c r="G4979" s="19" t="s">
        <v>563</v>
      </c>
    </row>
    <row r="4980" spans="7:7">
      <c r="G4980" s="7"/>
    </row>
    <row r="4981" spans="7:7">
      <c r="G4981" s="5">
        <v>3120515</v>
      </c>
    </row>
    <row r="4982" spans="7:7">
      <c r="G4982" s="7">
        <v>44530</v>
      </c>
    </row>
    <row r="4983" spans="7:7">
      <c r="G4983" s="19" t="s">
        <v>1233</v>
      </c>
    </row>
    <row r="4984" spans="7:7">
      <c r="G4984" s="7"/>
    </row>
    <row r="4985" spans="7:7">
      <c r="G4985" s="7">
        <v>44540</v>
      </c>
    </row>
    <row r="4986" spans="7:7">
      <c r="G4986" s="19" t="s">
        <v>143</v>
      </c>
    </row>
    <row r="4987" spans="7:7">
      <c r="G4987" s="7"/>
    </row>
    <row r="4988" spans="7:7">
      <c r="G4988" s="5">
        <v>3121136</v>
      </c>
    </row>
    <row r="4989" spans="7:7">
      <c r="G4989" s="7">
        <v>44746</v>
      </c>
    </row>
    <row r="4990" spans="7:7">
      <c r="G4990" s="19" t="s">
        <v>2383</v>
      </c>
    </row>
    <row r="4991" spans="7:7">
      <c r="G4991" s="7"/>
    </row>
    <row r="4992" spans="7:7">
      <c r="G4992" s="5">
        <v>3122083</v>
      </c>
    </row>
    <row r="4993" spans="7:7">
      <c r="G4993" s="7">
        <v>44344</v>
      </c>
    </row>
    <row r="4994" spans="7:7">
      <c r="G4994" s="19" t="s">
        <v>128</v>
      </c>
    </row>
    <row r="4995" spans="7:7">
      <c r="G4995" s="7"/>
    </row>
    <row r="4996" spans="7:7">
      <c r="G4996" s="5">
        <v>3122264</v>
      </c>
    </row>
    <row r="4997" spans="7:7">
      <c r="G4997" s="7">
        <v>44468</v>
      </c>
    </row>
    <row r="4998" spans="7:7">
      <c r="G4998" s="19" t="s">
        <v>1274</v>
      </c>
    </row>
    <row r="4999" spans="7:7">
      <c r="G4999" s="7"/>
    </row>
    <row r="5000" spans="7:7">
      <c r="G5000" s="5">
        <v>3122444</v>
      </c>
    </row>
    <row r="5001" spans="7:7">
      <c r="G5001" s="7">
        <v>44719</v>
      </c>
    </row>
    <row r="5002" spans="7:7">
      <c r="G5002" s="19" t="s">
        <v>2383</v>
      </c>
    </row>
    <row r="5003" spans="7:7">
      <c r="G5003" s="7"/>
    </row>
    <row r="5004" spans="7:7">
      <c r="G5004" s="5">
        <v>3122794</v>
      </c>
    </row>
    <row r="5005" spans="7:7">
      <c r="G5005" s="7">
        <v>44764</v>
      </c>
    </row>
    <row r="5006" spans="7:7">
      <c r="G5006" s="19" t="s">
        <v>2962</v>
      </c>
    </row>
    <row r="5007" spans="7:7">
      <c r="G5007" s="7"/>
    </row>
    <row r="5008" spans="7:7">
      <c r="G5008" s="5">
        <v>3122982</v>
      </c>
    </row>
    <row r="5009" spans="7:7">
      <c r="G5009" s="7">
        <v>44272</v>
      </c>
    </row>
    <row r="5010" spans="7:7">
      <c r="G5010" s="19" t="s">
        <v>516</v>
      </c>
    </row>
    <row r="5011" spans="7:7">
      <c r="G5011" s="7"/>
    </row>
    <row r="5012" spans="7:7">
      <c r="G5012" s="5">
        <v>3124286</v>
      </c>
    </row>
    <row r="5013" spans="7:7">
      <c r="G5013" s="7">
        <v>44482</v>
      </c>
    </row>
    <row r="5014" spans="7:7">
      <c r="G5014" s="19" t="s">
        <v>139</v>
      </c>
    </row>
    <row r="5015" spans="7:7">
      <c r="G5015" s="7"/>
    </row>
    <row r="5016" spans="7:7">
      <c r="G5016" s="5">
        <v>3124549</v>
      </c>
    </row>
    <row r="5017" spans="7:7">
      <c r="G5017" s="7">
        <v>44459</v>
      </c>
    </row>
    <row r="5018" spans="7:7">
      <c r="G5018" s="19" t="s">
        <v>118</v>
      </c>
    </row>
    <row r="5019" spans="7:7">
      <c r="G5019" s="7"/>
    </row>
    <row r="5020" spans="7:7">
      <c r="G5020" s="5">
        <v>3124704</v>
      </c>
    </row>
    <row r="5021" spans="7:7">
      <c r="G5021" s="7">
        <v>44644</v>
      </c>
    </row>
    <row r="5022" spans="7:7">
      <c r="G5022" s="19" t="s">
        <v>2241</v>
      </c>
    </row>
    <row r="5023" spans="7:7">
      <c r="G5023" s="7"/>
    </row>
    <row r="5024" spans="7:7">
      <c r="G5024" s="5">
        <v>3127372</v>
      </c>
    </row>
    <row r="5025" spans="7:7">
      <c r="G5025" s="7">
        <v>44739</v>
      </c>
    </row>
    <row r="5026" spans="7:7">
      <c r="G5026" s="19" t="s">
        <v>2383</v>
      </c>
    </row>
    <row r="5027" spans="7:7">
      <c r="G5027" s="7"/>
    </row>
    <row r="5028" spans="7:7">
      <c r="G5028" s="7">
        <v>44756</v>
      </c>
    </row>
    <row r="5029" spans="7:7">
      <c r="G5029" s="19" t="s">
        <v>2383</v>
      </c>
    </row>
    <row r="5030" spans="7:7">
      <c r="G5030" s="7"/>
    </row>
    <row r="5031" spans="7:7">
      <c r="G5031" s="5">
        <v>3128526</v>
      </c>
    </row>
    <row r="5032" spans="7:7">
      <c r="G5032" s="7">
        <v>44729</v>
      </c>
    </row>
    <row r="5033" spans="7:7">
      <c r="G5033" s="19" t="s">
        <v>2383</v>
      </c>
    </row>
    <row r="5034" spans="7:7">
      <c r="G5034" s="7"/>
    </row>
    <row r="5035" spans="7:7">
      <c r="G5035" s="5">
        <v>3128984</v>
      </c>
    </row>
    <row r="5036" spans="7:7">
      <c r="G5036" s="7">
        <v>44659</v>
      </c>
    </row>
    <row r="5037" spans="7:7">
      <c r="G5037" s="19" t="s">
        <v>563</v>
      </c>
    </row>
    <row r="5038" spans="7:7">
      <c r="G5038" s="7"/>
    </row>
    <row r="5039" spans="7:7">
      <c r="G5039" s="7">
        <v>44739</v>
      </c>
    </row>
    <row r="5040" spans="7:7">
      <c r="G5040" s="19" t="s">
        <v>2383</v>
      </c>
    </row>
    <row r="5041" spans="7:7">
      <c r="G5041" s="7"/>
    </row>
    <row r="5042" spans="7:7">
      <c r="G5042" s="5">
        <v>3130505</v>
      </c>
    </row>
    <row r="5043" spans="7:7">
      <c r="G5043" s="7">
        <v>43761</v>
      </c>
    </row>
    <row r="5044" spans="7:7">
      <c r="G5044" s="19" t="s">
        <v>92</v>
      </c>
    </row>
    <row r="5045" spans="7:7">
      <c r="G5045" s="7"/>
    </row>
    <row r="5046" spans="7:7">
      <c r="G5046" s="7">
        <v>44615</v>
      </c>
    </row>
    <row r="5047" spans="7:7">
      <c r="G5047" s="19" t="s">
        <v>2159</v>
      </c>
    </row>
    <row r="5048" spans="7:7">
      <c r="G5048" s="7"/>
    </row>
    <row r="5049" spans="7:7">
      <c r="G5049" s="7">
        <v>44623</v>
      </c>
    </row>
    <row r="5050" spans="7:7">
      <c r="G5050" s="19" t="s">
        <v>1635</v>
      </c>
    </row>
    <row r="5051" spans="7:7">
      <c r="G5051" s="7"/>
    </row>
    <row r="5052" spans="7:7">
      <c r="G5052" s="5">
        <v>3138695</v>
      </c>
    </row>
    <row r="5053" spans="7:7">
      <c r="G5053" s="7">
        <v>44477</v>
      </c>
    </row>
    <row r="5054" spans="7:7">
      <c r="G5054" s="19" t="s">
        <v>1748</v>
      </c>
    </row>
    <row r="5055" spans="7:7">
      <c r="G5055" s="7"/>
    </row>
    <row r="5056" spans="7:7">
      <c r="G5056" s="7">
        <v>44476</v>
      </c>
    </row>
    <row r="5057" spans="7:7">
      <c r="G5057" s="19" t="s">
        <v>1631</v>
      </c>
    </row>
    <row r="5058" spans="7:7">
      <c r="G5058" s="7"/>
    </row>
    <row r="5059" spans="7:7">
      <c r="G5059" s="5">
        <v>3139357</v>
      </c>
    </row>
    <row r="5060" spans="7:7">
      <c r="G5060" s="7">
        <v>44711</v>
      </c>
    </row>
    <row r="5061" spans="7:7">
      <c r="G5061" s="19" t="s">
        <v>502</v>
      </c>
    </row>
    <row r="5062" spans="7:7">
      <c r="G5062" s="7"/>
    </row>
    <row r="5063" spans="7:7">
      <c r="G5063" s="5">
        <v>3142380</v>
      </c>
    </row>
    <row r="5064" spans="7:7">
      <c r="G5064" s="7">
        <v>44670</v>
      </c>
    </row>
    <row r="5065" spans="7:7">
      <c r="G5065" s="19" t="s">
        <v>1233</v>
      </c>
    </row>
    <row r="5066" spans="7:7">
      <c r="G5066" s="7"/>
    </row>
    <row r="5067" spans="7:7">
      <c r="G5067" s="7">
        <v>44658</v>
      </c>
    </row>
    <row r="5068" spans="7:7">
      <c r="G5068" s="19" t="s">
        <v>1594</v>
      </c>
    </row>
    <row r="5069" spans="7:7">
      <c r="G5069" s="7"/>
    </row>
    <row r="5070" spans="7:7">
      <c r="G5070" s="7">
        <v>44692</v>
      </c>
    </row>
    <row r="5071" spans="7:7">
      <c r="G5071" s="19" t="s">
        <v>1233</v>
      </c>
    </row>
    <row r="5072" spans="7:7">
      <c r="G5072" s="7"/>
    </row>
    <row r="5073" spans="7:7">
      <c r="G5073" s="5">
        <v>3142688</v>
      </c>
    </row>
    <row r="5074" spans="7:7">
      <c r="G5074" s="7">
        <v>44587</v>
      </c>
    </row>
    <row r="5075" spans="7:7">
      <c r="G5075" s="19" t="s">
        <v>2131</v>
      </c>
    </row>
    <row r="5076" spans="7:7">
      <c r="G5076" s="7"/>
    </row>
    <row r="5077" spans="7:7">
      <c r="G5077" s="5">
        <v>3144695</v>
      </c>
    </row>
    <row r="5078" spans="7:7">
      <c r="G5078" s="7">
        <v>44657</v>
      </c>
    </row>
    <row r="5079" spans="7:7">
      <c r="G5079" s="19" t="s">
        <v>563</v>
      </c>
    </row>
    <row r="5080" spans="7:7">
      <c r="G5080" s="7"/>
    </row>
    <row r="5081" spans="7:7">
      <c r="G5081" s="7">
        <v>44662</v>
      </c>
    </row>
    <row r="5082" spans="7:7">
      <c r="G5082" s="19" t="s">
        <v>2630</v>
      </c>
    </row>
    <row r="5083" spans="7:7">
      <c r="G5083" s="7"/>
    </row>
    <row r="5084" spans="7:7">
      <c r="G5084" s="5">
        <v>3145251</v>
      </c>
    </row>
    <row r="5085" spans="7:7">
      <c r="G5085" s="7">
        <v>44746</v>
      </c>
    </row>
    <row r="5086" spans="7:7">
      <c r="G5086" s="19" t="s">
        <v>2962</v>
      </c>
    </row>
    <row r="5087" spans="7:7">
      <c r="G5087" s="7"/>
    </row>
    <row r="5088" spans="7:7">
      <c r="G5088" s="5">
        <v>3148976</v>
      </c>
    </row>
    <row r="5089" spans="7:7">
      <c r="G5089" s="7">
        <v>44394</v>
      </c>
    </row>
    <row r="5090" spans="7:7">
      <c r="G5090" s="19" t="s">
        <v>502</v>
      </c>
    </row>
    <row r="5091" spans="7:7">
      <c r="G5091" s="7"/>
    </row>
    <row r="5092" spans="7:7">
      <c r="G5092" s="7">
        <v>44525</v>
      </c>
    </row>
    <row r="5093" spans="7:7">
      <c r="G5093" s="19" t="s">
        <v>1061</v>
      </c>
    </row>
    <row r="5094" spans="7:7">
      <c r="G5094" s="7"/>
    </row>
    <row r="5095" spans="7:7">
      <c r="G5095" s="5">
        <v>3151473</v>
      </c>
    </row>
    <row r="5096" spans="7:7">
      <c r="G5096" s="7">
        <v>44663</v>
      </c>
    </row>
    <row r="5097" spans="7:7">
      <c r="G5097" s="19" t="s">
        <v>2547</v>
      </c>
    </row>
    <row r="5098" spans="7:7">
      <c r="G5098" s="7"/>
    </row>
    <row r="5099" spans="7:7">
      <c r="G5099" s="5">
        <v>3152027</v>
      </c>
    </row>
    <row r="5100" spans="7:7">
      <c r="G5100" s="7">
        <v>44265</v>
      </c>
    </row>
    <row r="5101" spans="7:7">
      <c r="G5101" s="19" t="s">
        <v>563</v>
      </c>
    </row>
    <row r="5102" spans="7:7">
      <c r="G5102" s="7"/>
    </row>
    <row r="5103" spans="7:7">
      <c r="G5103" s="5">
        <v>3159597</v>
      </c>
    </row>
    <row r="5104" spans="7:7">
      <c r="G5104" s="7">
        <v>44763</v>
      </c>
    </row>
    <row r="5105" spans="7:7">
      <c r="G5105" s="19" t="s">
        <v>2383</v>
      </c>
    </row>
    <row r="5106" spans="7:7">
      <c r="G5106" s="7"/>
    </row>
    <row r="5107" spans="7:7">
      <c r="G5107" s="5">
        <v>3162681</v>
      </c>
    </row>
    <row r="5108" spans="7:7">
      <c r="G5108" s="7">
        <v>44421</v>
      </c>
    </row>
    <row r="5109" spans="7:7">
      <c r="G5109" s="19" t="s">
        <v>1218</v>
      </c>
    </row>
    <row r="5110" spans="7:7">
      <c r="G5110" s="7"/>
    </row>
    <row r="5111" spans="7:7">
      <c r="G5111" s="5">
        <v>3167366</v>
      </c>
    </row>
    <row r="5112" spans="7:7">
      <c r="G5112" s="7">
        <v>44678</v>
      </c>
    </row>
    <row r="5113" spans="7:7">
      <c r="G5113" s="19" t="s">
        <v>563</v>
      </c>
    </row>
    <row r="5114" spans="7:7">
      <c r="G5114" s="7"/>
    </row>
    <row r="5115" spans="7:7">
      <c r="G5115" s="5">
        <v>3167829</v>
      </c>
    </row>
    <row r="5116" spans="7:7">
      <c r="G5116" s="7">
        <v>44540</v>
      </c>
    </row>
    <row r="5117" spans="7:7">
      <c r="G5117" s="19" t="s">
        <v>502</v>
      </c>
    </row>
    <row r="5118" spans="7:7">
      <c r="G5118" s="7"/>
    </row>
    <row r="5119" spans="7:7">
      <c r="G5119" s="5">
        <v>3168212</v>
      </c>
    </row>
    <row r="5120" spans="7:7">
      <c r="G5120" s="7">
        <v>44692</v>
      </c>
    </row>
    <row r="5121" spans="7:7">
      <c r="G5121" s="19" t="s">
        <v>563</v>
      </c>
    </row>
    <row r="5122" spans="7:7">
      <c r="G5122" s="7"/>
    </row>
    <row r="5123" spans="7:7">
      <c r="G5123" s="5">
        <v>3168509</v>
      </c>
    </row>
    <row r="5124" spans="7:7">
      <c r="G5124" s="7">
        <v>44648</v>
      </c>
    </row>
    <row r="5125" spans="7:7">
      <c r="G5125" s="19" t="s">
        <v>1274</v>
      </c>
    </row>
    <row r="5126" spans="7:7">
      <c r="G5126" s="7"/>
    </row>
    <row r="5127" spans="7:7">
      <c r="G5127" s="5">
        <v>3168629</v>
      </c>
    </row>
    <row r="5128" spans="7:7">
      <c r="G5128" s="7">
        <v>44670</v>
      </c>
    </row>
    <row r="5129" spans="7:7">
      <c r="G5129" s="19" t="s">
        <v>2241</v>
      </c>
    </row>
    <row r="5130" spans="7:7">
      <c r="G5130" s="7"/>
    </row>
    <row r="5131" spans="7:7">
      <c r="G5131" s="5">
        <v>3169061</v>
      </c>
    </row>
    <row r="5132" spans="7:7">
      <c r="G5132" s="7">
        <v>44396</v>
      </c>
    </row>
    <row r="5133" spans="7:7">
      <c r="G5133" s="19" t="s">
        <v>1129</v>
      </c>
    </row>
    <row r="5134" spans="7:7">
      <c r="G5134" s="7"/>
    </row>
    <row r="5135" spans="7:7">
      <c r="G5135" s="5">
        <v>3169407</v>
      </c>
    </row>
    <row r="5136" spans="7:7">
      <c r="G5136" s="7">
        <v>44770</v>
      </c>
    </row>
    <row r="5137" spans="7:7">
      <c r="G5137" s="19" t="s">
        <v>2383</v>
      </c>
    </row>
    <row r="5138" spans="7:7">
      <c r="G5138" s="7"/>
    </row>
    <row r="5139" spans="7:7">
      <c r="G5139" s="5">
        <v>3170382</v>
      </c>
    </row>
    <row r="5140" spans="7:7">
      <c r="G5140" s="7">
        <v>44393</v>
      </c>
    </row>
    <row r="5141" spans="7:7">
      <c r="G5141" s="19" t="s">
        <v>143</v>
      </c>
    </row>
    <row r="5142" spans="7:7">
      <c r="G5142" s="7"/>
    </row>
    <row r="5143" spans="7:7">
      <c r="G5143" s="7">
        <v>44531</v>
      </c>
    </row>
    <row r="5144" spans="7:7">
      <c r="G5144" s="19" t="s">
        <v>1635</v>
      </c>
    </row>
    <row r="5145" spans="7:7">
      <c r="G5145" s="7"/>
    </row>
    <row r="5146" spans="7:7">
      <c r="G5146" s="5">
        <v>3171796</v>
      </c>
    </row>
    <row r="5147" spans="7:7">
      <c r="G5147" s="7">
        <v>44659</v>
      </c>
    </row>
    <row r="5148" spans="7:7">
      <c r="G5148" s="19" t="s">
        <v>1742</v>
      </c>
    </row>
    <row r="5149" spans="7:7">
      <c r="G5149" s="7"/>
    </row>
    <row r="5150" spans="7:7">
      <c r="G5150" s="5">
        <v>3172284</v>
      </c>
    </row>
    <row r="5151" spans="7:7">
      <c r="G5151" s="7">
        <v>44483</v>
      </c>
    </row>
    <row r="5152" spans="7:7">
      <c r="G5152" s="19" t="s">
        <v>143</v>
      </c>
    </row>
    <row r="5153" spans="7:7">
      <c r="G5153" s="7"/>
    </row>
    <row r="5154" spans="7:7">
      <c r="G5154" s="5">
        <v>3172365</v>
      </c>
    </row>
    <row r="5155" spans="7:7">
      <c r="G5155" s="7">
        <v>44755</v>
      </c>
    </row>
    <row r="5156" spans="7:7">
      <c r="G5156" s="19" t="s">
        <v>1711</v>
      </c>
    </row>
    <row r="5157" spans="7:7">
      <c r="G5157" s="7"/>
    </row>
    <row r="5158" spans="7:7">
      <c r="G5158" s="5">
        <v>3172787</v>
      </c>
    </row>
    <row r="5159" spans="7:7">
      <c r="G5159" s="7">
        <v>44650</v>
      </c>
    </row>
    <row r="5160" spans="7:7">
      <c r="G5160" s="19" t="s">
        <v>502</v>
      </c>
    </row>
    <row r="5161" spans="7:7">
      <c r="G5161" s="7"/>
    </row>
    <row r="5162" spans="7:7">
      <c r="G5162" s="5">
        <v>3173625</v>
      </c>
    </row>
    <row r="5163" spans="7:7">
      <c r="G5163" s="7">
        <v>44668</v>
      </c>
    </row>
    <row r="5164" spans="7:7">
      <c r="G5164" s="19" t="s">
        <v>563</v>
      </c>
    </row>
    <row r="5165" spans="7:7">
      <c r="G5165" s="7"/>
    </row>
    <row r="5166" spans="7:7">
      <c r="G5166" s="5">
        <v>3173748</v>
      </c>
    </row>
    <row r="5167" spans="7:7">
      <c r="G5167" s="7">
        <v>44721</v>
      </c>
    </row>
    <row r="5168" spans="7:7">
      <c r="G5168" s="19" t="s">
        <v>2309</v>
      </c>
    </row>
    <row r="5169" spans="7:7">
      <c r="G5169" s="7"/>
    </row>
    <row r="5170" spans="7:7">
      <c r="G5170" s="7">
        <v>44714</v>
      </c>
    </row>
    <row r="5171" spans="7:7">
      <c r="G5171" s="19" t="s">
        <v>2383</v>
      </c>
    </row>
    <row r="5172" spans="7:7">
      <c r="G5172" s="7"/>
    </row>
    <row r="5173" spans="7:7">
      <c r="G5173" s="7">
        <v>44728</v>
      </c>
    </row>
    <row r="5174" spans="7:7">
      <c r="G5174" s="19" t="s">
        <v>2383</v>
      </c>
    </row>
    <row r="5175" spans="7:7">
      <c r="G5175" s="7"/>
    </row>
    <row r="5176" spans="7:7">
      <c r="G5176" s="5">
        <v>3175410</v>
      </c>
    </row>
    <row r="5177" spans="7:7">
      <c r="G5177" s="7">
        <v>44389</v>
      </c>
    </row>
    <row r="5178" spans="7:7">
      <c r="G5178" s="19" t="s">
        <v>89</v>
      </c>
    </row>
    <row r="5179" spans="7:7">
      <c r="G5179" s="7"/>
    </row>
    <row r="5180" spans="7:7">
      <c r="G5180" s="7">
        <v>44385</v>
      </c>
    </row>
    <row r="5181" spans="7:7">
      <c r="G5181" s="19" t="s">
        <v>89</v>
      </c>
    </row>
    <row r="5182" spans="7:7">
      <c r="G5182" s="7"/>
    </row>
    <row r="5183" spans="7:7">
      <c r="G5183" s="7">
        <v>44705</v>
      </c>
    </row>
    <row r="5184" spans="7:7">
      <c r="G5184" s="19" t="s">
        <v>180</v>
      </c>
    </row>
    <row r="5185" spans="7:7">
      <c r="G5185" s="7"/>
    </row>
    <row r="5186" spans="7:7">
      <c r="G5186" s="5">
        <v>3175500</v>
      </c>
    </row>
    <row r="5187" spans="7:7">
      <c r="G5187" s="7">
        <v>44599</v>
      </c>
    </row>
    <row r="5188" spans="7:7">
      <c r="G5188" s="19" t="s">
        <v>541</v>
      </c>
    </row>
    <row r="5189" spans="7:7">
      <c r="G5189" s="7"/>
    </row>
    <row r="5190" spans="7:7">
      <c r="G5190" s="7">
        <v>44642</v>
      </c>
    </row>
    <row r="5191" spans="7:7">
      <c r="G5191" s="19" t="s">
        <v>541</v>
      </c>
    </row>
    <row r="5192" spans="7:7">
      <c r="G5192" s="7"/>
    </row>
    <row r="5193" spans="7:7">
      <c r="G5193" s="7">
        <v>44690</v>
      </c>
    </row>
    <row r="5194" spans="7:7">
      <c r="G5194" s="19" t="s">
        <v>541</v>
      </c>
    </row>
    <row r="5195" spans="7:7">
      <c r="G5195" s="7"/>
    </row>
    <row r="5196" spans="7:7">
      <c r="G5196" s="5">
        <v>3176259</v>
      </c>
    </row>
    <row r="5197" spans="7:7">
      <c r="G5197" s="7">
        <v>44476</v>
      </c>
    </row>
    <row r="5198" spans="7:7">
      <c r="G5198" s="19" t="s">
        <v>139</v>
      </c>
    </row>
    <row r="5199" spans="7:7">
      <c r="G5199" s="7"/>
    </row>
    <row r="5200" spans="7:7">
      <c r="G5200" s="5">
        <v>3177475</v>
      </c>
    </row>
    <row r="5201" spans="7:7">
      <c r="G5201" s="7">
        <v>44585</v>
      </c>
    </row>
    <row r="5202" spans="7:7">
      <c r="G5202" s="19" t="s">
        <v>1286</v>
      </c>
    </row>
    <row r="5203" spans="7:7">
      <c r="G5203" s="7"/>
    </row>
    <row r="5204" spans="7:7">
      <c r="G5204" s="7">
        <v>44693</v>
      </c>
    </row>
    <row r="5205" spans="7:7">
      <c r="G5205" s="19" t="s">
        <v>107</v>
      </c>
    </row>
    <row r="5206" spans="7:7">
      <c r="G5206" s="7"/>
    </row>
    <row r="5207" spans="7:7">
      <c r="G5207" s="5">
        <v>3177541</v>
      </c>
    </row>
    <row r="5208" spans="7:7">
      <c r="G5208" s="7">
        <v>44729</v>
      </c>
    </row>
    <row r="5209" spans="7:7">
      <c r="G5209" s="19" t="s">
        <v>2383</v>
      </c>
    </row>
    <row r="5210" spans="7:7">
      <c r="G5210" s="7"/>
    </row>
    <row r="5211" spans="7:7">
      <c r="G5211" s="5">
        <v>3177871</v>
      </c>
    </row>
    <row r="5212" spans="7:7">
      <c r="G5212" s="7">
        <v>44659</v>
      </c>
    </row>
    <row r="5213" spans="7:7">
      <c r="G5213" s="19" t="s">
        <v>563</v>
      </c>
    </row>
    <row r="5214" spans="7:7">
      <c r="G5214" s="7"/>
    </row>
    <row r="5215" spans="7:7">
      <c r="G5215" s="5">
        <v>3178351</v>
      </c>
    </row>
    <row r="5216" spans="7:7">
      <c r="G5216" s="7">
        <v>44574</v>
      </c>
    </row>
    <row r="5217" spans="7:7">
      <c r="G5217" s="19" t="s">
        <v>118</v>
      </c>
    </row>
    <row r="5218" spans="7:7">
      <c r="G5218" s="7"/>
    </row>
    <row r="5219" spans="7:7">
      <c r="G5219" s="5">
        <v>3178515</v>
      </c>
    </row>
    <row r="5220" spans="7:7">
      <c r="G5220" s="7">
        <v>44342</v>
      </c>
    </row>
    <row r="5221" spans="7:7">
      <c r="G5221" s="19" t="s">
        <v>563</v>
      </c>
    </row>
    <row r="5222" spans="7:7">
      <c r="G5222" s="7"/>
    </row>
    <row r="5223" spans="7:7">
      <c r="G5223" s="5">
        <v>3179058</v>
      </c>
    </row>
    <row r="5224" spans="7:7">
      <c r="G5224" s="7">
        <v>44358</v>
      </c>
    </row>
    <row r="5225" spans="7:7">
      <c r="G5225" s="19" t="s">
        <v>563</v>
      </c>
    </row>
    <row r="5226" spans="7:7">
      <c r="G5226" s="7"/>
    </row>
    <row r="5227" spans="7:7">
      <c r="G5227" s="7">
        <v>44356</v>
      </c>
    </row>
    <row r="5228" spans="7:7">
      <c r="G5228" s="19" t="s">
        <v>563</v>
      </c>
    </row>
    <row r="5229" spans="7:7">
      <c r="G5229" s="7"/>
    </row>
    <row r="5230" spans="7:7">
      <c r="G5230" s="5">
        <v>3179158</v>
      </c>
    </row>
    <row r="5231" spans="7:7">
      <c r="G5231" s="7">
        <v>44712</v>
      </c>
    </row>
    <row r="5232" spans="7:7">
      <c r="G5232" s="19" t="s">
        <v>563</v>
      </c>
    </row>
    <row r="5233" spans="7:7">
      <c r="G5233" s="7"/>
    </row>
    <row r="5234" spans="7:7">
      <c r="G5234" s="5">
        <v>3179270</v>
      </c>
    </row>
    <row r="5235" spans="7:7">
      <c r="G5235" s="7">
        <v>44748</v>
      </c>
    </row>
    <row r="5236" spans="7:7">
      <c r="G5236" s="19" t="s">
        <v>2383</v>
      </c>
    </row>
    <row r="5237" spans="7:7">
      <c r="G5237" s="7"/>
    </row>
    <row r="5238" spans="7:7">
      <c r="G5238" s="7">
        <v>44757</v>
      </c>
    </row>
    <row r="5239" spans="7:7">
      <c r="G5239" s="19" t="s">
        <v>2383</v>
      </c>
    </row>
    <row r="5240" spans="7:7">
      <c r="G5240" s="7"/>
    </row>
    <row r="5241" spans="7:7">
      <c r="G5241" s="5">
        <v>3179653</v>
      </c>
    </row>
    <row r="5242" spans="7:7">
      <c r="G5242" s="7">
        <v>44742</v>
      </c>
    </row>
    <row r="5243" spans="7:7">
      <c r="G5243" s="19" t="s">
        <v>2383</v>
      </c>
    </row>
    <row r="5244" spans="7:7">
      <c r="G5244" s="7"/>
    </row>
    <row r="5245" spans="7:7">
      <c r="G5245" s="5">
        <v>3180543</v>
      </c>
    </row>
    <row r="5246" spans="7:7">
      <c r="G5246" s="7">
        <v>44757</v>
      </c>
    </row>
    <row r="5247" spans="7:7">
      <c r="G5247" s="19" t="s">
        <v>3077</v>
      </c>
    </row>
    <row r="5248" spans="7:7">
      <c r="G5248" s="7"/>
    </row>
    <row r="5249" spans="7:7">
      <c r="G5249" s="5">
        <v>3181775</v>
      </c>
    </row>
    <row r="5250" spans="7:7">
      <c r="G5250" s="7">
        <v>44706</v>
      </c>
    </row>
    <row r="5251" spans="7:7">
      <c r="G5251" s="19" t="s">
        <v>563</v>
      </c>
    </row>
    <row r="5252" spans="7:7">
      <c r="G5252" s="7"/>
    </row>
    <row r="5253" spans="7:7">
      <c r="G5253" s="5">
        <v>3182608</v>
      </c>
    </row>
    <row r="5254" spans="7:7">
      <c r="G5254" s="7">
        <v>44761</v>
      </c>
    </row>
    <row r="5255" spans="7:7">
      <c r="G5255" s="19" t="s">
        <v>2383</v>
      </c>
    </row>
    <row r="5256" spans="7:7">
      <c r="G5256" s="7"/>
    </row>
    <row r="5257" spans="7:7">
      <c r="G5257" s="5">
        <v>3182668</v>
      </c>
    </row>
    <row r="5258" spans="7:7">
      <c r="G5258" s="7">
        <v>44742</v>
      </c>
    </row>
    <row r="5259" spans="7:7">
      <c r="G5259" s="19" t="s">
        <v>2383</v>
      </c>
    </row>
    <row r="5260" spans="7:7">
      <c r="G5260" s="7"/>
    </row>
    <row r="5261" spans="7:7">
      <c r="G5261" s="5">
        <v>3183145</v>
      </c>
    </row>
    <row r="5262" spans="7:7">
      <c r="G5262" s="7">
        <v>44697</v>
      </c>
    </row>
    <row r="5263" spans="7:7">
      <c r="G5263" s="19" t="s">
        <v>563</v>
      </c>
    </row>
    <row r="5264" spans="7:7">
      <c r="G5264" s="7"/>
    </row>
    <row r="5265" spans="7:7">
      <c r="G5265" s="5">
        <v>3183603</v>
      </c>
    </row>
    <row r="5266" spans="7:7">
      <c r="G5266" s="7">
        <v>44715</v>
      </c>
    </row>
    <row r="5267" spans="7:7">
      <c r="G5267" s="19" t="s">
        <v>2962</v>
      </c>
    </row>
    <row r="5268" spans="7:7">
      <c r="G5268" s="7"/>
    </row>
    <row r="5269" spans="7:7">
      <c r="G5269" s="5">
        <v>3184447</v>
      </c>
    </row>
    <row r="5270" spans="7:7">
      <c r="G5270" s="7">
        <v>44651</v>
      </c>
    </row>
    <row r="5271" spans="7:7">
      <c r="G5271" s="19" t="s">
        <v>563</v>
      </c>
    </row>
    <row r="5272" spans="7:7">
      <c r="G5272" s="7"/>
    </row>
    <row r="5273" spans="7:7">
      <c r="G5273" s="5">
        <v>3186727</v>
      </c>
    </row>
    <row r="5274" spans="7:7">
      <c r="G5274" s="7">
        <v>44714</v>
      </c>
    </row>
    <row r="5275" spans="7:7">
      <c r="G5275" s="19" t="s">
        <v>2962</v>
      </c>
    </row>
    <row r="5276" spans="7:7">
      <c r="G5276" s="7"/>
    </row>
    <row r="5277" spans="7:7">
      <c r="G5277" s="5">
        <v>3187398</v>
      </c>
    </row>
    <row r="5278" spans="7:7">
      <c r="G5278" s="7">
        <v>44396</v>
      </c>
    </row>
    <row r="5279" spans="7:7">
      <c r="G5279" s="19" t="s">
        <v>1113</v>
      </c>
    </row>
    <row r="5280" spans="7:7">
      <c r="G5280" s="7"/>
    </row>
    <row r="5281" spans="7:7">
      <c r="G5281" s="5">
        <v>3187561</v>
      </c>
    </row>
    <row r="5282" spans="7:7">
      <c r="G5282" s="7">
        <v>44707</v>
      </c>
    </row>
    <row r="5283" spans="7:7">
      <c r="G5283" s="19" t="s">
        <v>2861</v>
      </c>
    </row>
    <row r="5284" spans="7:7">
      <c r="G5284" s="7"/>
    </row>
    <row r="5285" spans="7:7">
      <c r="G5285" s="5">
        <v>3187866</v>
      </c>
    </row>
    <row r="5286" spans="7:7">
      <c r="G5286" s="7">
        <v>44739</v>
      </c>
    </row>
    <row r="5287" spans="7:7">
      <c r="G5287" s="19" t="s">
        <v>2309</v>
      </c>
    </row>
    <row r="5288" spans="7:7">
      <c r="G5288" s="7"/>
    </row>
    <row r="5289" spans="7:7">
      <c r="G5289" s="5">
        <v>3187920</v>
      </c>
    </row>
    <row r="5290" spans="7:7">
      <c r="G5290" s="7">
        <v>44405</v>
      </c>
    </row>
    <row r="5291" spans="7:7">
      <c r="G5291" s="19" t="s">
        <v>1102</v>
      </c>
    </row>
    <row r="5292" spans="7:7">
      <c r="G5292" s="7"/>
    </row>
    <row r="5293" spans="7:7">
      <c r="G5293" s="7">
        <v>44474</v>
      </c>
    </row>
    <row r="5294" spans="7:7">
      <c r="G5294" s="19" t="s">
        <v>1284</v>
      </c>
    </row>
    <row r="5295" spans="7:7">
      <c r="G5295" s="7"/>
    </row>
    <row r="5296" spans="7:7">
      <c r="G5296" s="5">
        <v>3188116</v>
      </c>
    </row>
    <row r="5297" spans="7:7">
      <c r="G5297" s="7">
        <v>44641</v>
      </c>
    </row>
    <row r="5298" spans="7:7">
      <c r="G5298" s="19" t="s">
        <v>128</v>
      </c>
    </row>
    <row r="5299" spans="7:7">
      <c r="G5299" s="7"/>
    </row>
    <row r="5300" spans="7:7">
      <c r="G5300" s="5">
        <v>3188199</v>
      </c>
    </row>
    <row r="5301" spans="7:7">
      <c r="G5301" s="7">
        <v>44659</v>
      </c>
    </row>
    <row r="5302" spans="7:7">
      <c r="G5302" s="19" t="s">
        <v>563</v>
      </c>
    </row>
    <row r="5303" spans="7:7">
      <c r="G5303" s="7"/>
    </row>
    <row r="5304" spans="7:7">
      <c r="G5304" s="5">
        <v>3188256</v>
      </c>
    </row>
    <row r="5305" spans="7:7">
      <c r="G5305" s="7">
        <v>44673</v>
      </c>
    </row>
    <row r="5306" spans="7:7">
      <c r="G5306" s="19" t="s">
        <v>563</v>
      </c>
    </row>
    <row r="5307" spans="7:7">
      <c r="G5307" s="7"/>
    </row>
    <row r="5308" spans="7:7">
      <c r="G5308" s="5">
        <v>3188463</v>
      </c>
    </row>
    <row r="5309" spans="7:7">
      <c r="G5309" s="7">
        <v>44704</v>
      </c>
    </row>
    <row r="5310" spans="7:7">
      <c r="G5310" s="19" t="s">
        <v>1826</v>
      </c>
    </row>
    <row r="5311" spans="7:7">
      <c r="G5311" s="7"/>
    </row>
    <row r="5312" spans="7:7">
      <c r="G5312" s="7">
        <v>44767</v>
      </c>
    </row>
    <row r="5313" spans="7:7">
      <c r="G5313" s="19" t="s">
        <v>1929</v>
      </c>
    </row>
    <row r="5314" spans="7:7">
      <c r="G5314" s="7"/>
    </row>
    <row r="5315" spans="7:7">
      <c r="G5315" s="5">
        <v>3188557</v>
      </c>
    </row>
    <row r="5316" spans="7:7">
      <c r="G5316" s="7">
        <v>44615</v>
      </c>
    </row>
    <row r="5317" spans="7:7">
      <c r="G5317" s="19" t="s">
        <v>1635</v>
      </c>
    </row>
    <row r="5318" spans="7:7">
      <c r="G5318" s="7"/>
    </row>
    <row r="5319" spans="7:7">
      <c r="G5319" s="5">
        <v>3188847</v>
      </c>
    </row>
    <row r="5320" spans="7:7">
      <c r="G5320" s="7">
        <v>44621</v>
      </c>
    </row>
    <row r="5321" spans="7:7">
      <c r="G5321" s="19" t="s">
        <v>2241</v>
      </c>
    </row>
    <row r="5322" spans="7:7">
      <c r="G5322" s="7"/>
    </row>
    <row r="5323" spans="7:7">
      <c r="G5323" s="5">
        <v>3189307</v>
      </c>
    </row>
    <row r="5324" spans="7:7">
      <c r="G5324" s="7">
        <v>44677</v>
      </c>
    </row>
    <row r="5325" spans="7:7">
      <c r="G5325" s="19" t="s">
        <v>1594</v>
      </c>
    </row>
    <row r="5326" spans="7:7">
      <c r="G5326" s="7"/>
    </row>
    <row r="5327" spans="7:7">
      <c r="G5327" s="7">
        <v>44687</v>
      </c>
    </row>
    <row r="5328" spans="7:7">
      <c r="G5328" s="19" t="s">
        <v>1233</v>
      </c>
    </row>
    <row r="5329" spans="7:7">
      <c r="G5329" s="7"/>
    </row>
    <row r="5330" spans="7:7">
      <c r="G5330" s="5">
        <v>3189587</v>
      </c>
    </row>
    <row r="5331" spans="7:7">
      <c r="G5331" s="7">
        <v>44658</v>
      </c>
    </row>
    <row r="5332" spans="7:7">
      <c r="G5332" s="19" t="s">
        <v>2547</v>
      </c>
    </row>
    <row r="5333" spans="7:7">
      <c r="G5333" s="7"/>
    </row>
    <row r="5334" spans="7:7">
      <c r="G5334" s="5">
        <v>3189874</v>
      </c>
    </row>
    <row r="5335" spans="7:7">
      <c r="G5335" s="7">
        <v>44020</v>
      </c>
    </row>
    <row r="5336" spans="7:7">
      <c r="G5336" s="19" t="s">
        <v>139</v>
      </c>
    </row>
    <row r="5337" spans="7:7">
      <c r="G5337" s="7"/>
    </row>
    <row r="5338" spans="7:7">
      <c r="G5338" s="5">
        <v>3189879</v>
      </c>
    </row>
    <row r="5339" spans="7:7">
      <c r="G5339" s="7">
        <v>44729</v>
      </c>
    </row>
    <row r="5340" spans="7:7">
      <c r="G5340" s="19" t="s">
        <v>2383</v>
      </c>
    </row>
    <row r="5341" spans="7:7">
      <c r="G5341" s="7"/>
    </row>
    <row r="5342" spans="7:7">
      <c r="G5342" s="5">
        <v>3190274</v>
      </c>
    </row>
    <row r="5343" spans="7:7">
      <c r="G5343" s="7">
        <v>44734</v>
      </c>
    </row>
    <row r="5344" spans="7:7">
      <c r="G5344" s="19" t="s">
        <v>1923</v>
      </c>
    </row>
    <row r="5345" spans="7:7">
      <c r="G5345" s="7"/>
    </row>
    <row r="5346" spans="7:7">
      <c r="G5346" s="5">
        <v>3190819</v>
      </c>
    </row>
    <row r="5347" spans="7:7">
      <c r="G5347" s="7">
        <v>44070</v>
      </c>
    </row>
    <row r="5348" spans="7:7">
      <c r="G5348" s="19" t="s">
        <v>89</v>
      </c>
    </row>
    <row r="5349" spans="7:7">
      <c r="G5349" s="7"/>
    </row>
    <row r="5350" spans="7:7">
      <c r="G5350" s="5">
        <v>3191239</v>
      </c>
    </row>
    <row r="5351" spans="7:7">
      <c r="G5351" s="7">
        <v>44648</v>
      </c>
    </row>
    <row r="5352" spans="7:7">
      <c r="G5352" s="19" t="s">
        <v>563</v>
      </c>
    </row>
    <row r="5353" spans="7:7">
      <c r="G5353" s="7"/>
    </row>
    <row r="5354" spans="7:7">
      <c r="G5354" s="5">
        <v>3191765</v>
      </c>
    </row>
    <row r="5355" spans="7:7">
      <c r="G5355" s="7">
        <v>44691</v>
      </c>
    </row>
    <row r="5356" spans="7:7">
      <c r="G5356" s="19" t="s">
        <v>2237</v>
      </c>
    </row>
    <row r="5357" spans="7:7">
      <c r="G5357" s="7"/>
    </row>
    <row r="5358" spans="7:7">
      <c r="G5358" s="5">
        <v>3192159</v>
      </c>
    </row>
    <row r="5359" spans="7:7">
      <c r="G5359" s="7">
        <v>44741</v>
      </c>
    </row>
    <row r="5360" spans="7:7">
      <c r="G5360" s="19" t="s">
        <v>2383</v>
      </c>
    </row>
    <row r="5361" spans="7:7">
      <c r="G5361" s="7"/>
    </row>
    <row r="5362" spans="7:7">
      <c r="G5362" s="5">
        <v>3192324</v>
      </c>
    </row>
    <row r="5363" spans="7:7">
      <c r="G5363" s="7">
        <v>44643</v>
      </c>
    </row>
    <row r="5364" spans="7:7">
      <c r="G5364" s="19" t="s">
        <v>509</v>
      </c>
    </row>
    <row r="5365" spans="7:7">
      <c r="G5365" s="7"/>
    </row>
    <row r="5366" spans="7:7">
      <c r="G5366" s="5">
        <v>3192400</v>
      </c>
    </row>
    <row r="5367" spans="7:7">
      <c r="G5367" s="7">
        <v>44557</v>
      </c>
    </row>
    <row r="5368" spans="7:7">
      <c r="G5368" s="19" t="s">
        <v>1274</v>
      </c>
    </row>
    <row r="5369" spans="7:7">
      <c r="G5369" s="7"/>
    </row>
    <row r="5370" spans="7:7">
      <c r="G5370" s="5">
        <v>3192620</v>
      </c>
    </row>
    <row r="5371" spans="7:7">
      <c r="G5371" s="7">
        <v>44419</v>
      </c>
    </row>
    <row r="5372" spans="7:7">
      <c r="G5372" s="19" t="s">
        <v>1225</v>
      </c>
    </row>
    <row r="5373" spans="7:7">
      <c r="G5373" s="7"/>
    </row>
    <row r="5374" spans="7:7">
      <c r="G5374" s="5">
        <v>3193398</v>
      </c>
    </row>
    <row r="5375" spans="7:7">
      <c r="G5375" s="7">
        <v>44636</v>
      </c>
    </row>
    <row r="5376" spans="7:7">
      <c r="G5376" s="19" t="s">
        <v>2309</v>
      </c>
    </row>
    <row r="5377" spans="7:7">
      <c r="G5377" s="7"/>
    </row>
    <row r="5378" spans="7:7">
      <c r="G5378" s="5">
        <v>3194018</v>
      </c>
    </row>
    <row r="5379" spans="7:7">
      <c r="G5379" s="7">
        <v>44663</v>
      </c>
    </row>
    <row r="5380" spans="7:7">
      <c r="G5380" s="19" t="s">
        <v>107</v>
      </c>
    </row>
    <row r="5381" spans="7:7">
      <c r="G5381" s="7"/>
    </row>
    <row r="5382" spans="7:7">
      <c r="G5382" s="5">
        <v>3194477</v>
      </c>
    </row>
    <row r="5383" spans="7:7">
      <c r="G5383" s="7">
        <v>43756</v>
      </c>
    </row>
    <row r="5384" spans="7:7">
      <c r="G5384" s="19" t="s">
        <v>95</v>
      </c>
    </row>
    <row r="5385" spans="7:7">
      <c r="G5385" s="7"/>
    </row>
    <row r="5386" spans="7:7">
      <c r="G5386" s="7">
        <v>44616</v>
      </c>
    </row>
    <row r="5387" spans="7:7">
      <c r="G5387" s="19" t="s">
        <v>503</v>
      </c>
    </row>
    <row r="5388" spans="7:7">
      <c r="G5388" s="7"/>
    </row>
    <row r="5389" spans="7:7">
      <c r="G5389" s="5">
        <v>3195034</v>
      </c>
    </row>
    <row r="5390" spans="7:7">
      <c r="G5390" s="7">
        <v>44648</v>
      </c>
    </row>
    <row r="5391" spans="7:7">
      <c r="G5391" s="19" t="s">
        <v>2383</v>
      </c>
    </row>
    <row r="5392" spans="7:7">
      <c r="G5392" s="7"/>
    </row>
    <row r="5393" spans="7:7">
      <c r="G5393" s="5">
        <v>3195067</v>
      </c>
    </row>
    <row r="5394" spans="7:7">
      <c r="G5394" s="7">
        <v>44533</v>
      </c>
    </row>
    <row r="5395" spans="7:7">
      <c r="G5395" s="19" t="s">
        <v>180</v>
      </c>
    </row>
    <row r="5396" spans="7:7">
      <c r="G5396" s="7"/>
    </row>
    <row r="5397" spans="7:7">
      <c r="G5397" s="5">
        <v>3196354</v>
      </c>
    </row>
    <row r="5398" spans="7:7">
      <c r="G5398" s="7">
        <v>44662</v>
      </c>
    </row>
    <row r="5399" spans="7:7">
      <c r="G5399" s="19" t="s">
        <v>563</v>
      </c>
    </row>
    <row r="5400" spans="7:7">
      <c r="G5400" s="7"/>
    </row>
    <row r="5401" spans="7:7">
      <c r="G5401" s="5">
        <v>3196946</v>
      </c>
    </row>
    <row r="5402" spans="7:7">
      <c r="G5402" s="7">
        <v>44568</v>
      </c>
    </row>
    <row r="5403" spans="7:7">
      <c r="G5403" s="19" t="s">
        <v>1177</v>
      </c>
    </row>
    <row r="5404" spans="7:7">
      <c r="G5404" s="7"/>
    </row>
    <row r="5405" spans="7:7">
      <c r="G5405" s="5">
        <v>3198291</v>
      </c>
    </row>
    <row r="5406" spans="7:7">
      <c r="G5406" s="7">
        <v>44613</v>
      </c>
    </row>
    <row r="5407" spans="7:7">
      <c r="G5407" s="19" t="s">
        <v>516</v>
      </c>
    </row>
    <row r="5408" spans="7:7">
      <c r="G5408" s="7"/>
    </row>
    <row r="5409" spans="7:7">
      <c r="G5409" s="5">
        <v>3198332</v>
      </c>
    </row>
    <row r="5410" spans="7:7">
      <c r="G5410" s="7">
        <v>44446</v>
      </c>
    </row>
    <row r="5411" spans="7:7">
      <c r="G5411" s="19" t="s">
        <v>89</v>
      </c>
    </row>
    <row r="5412" spans="7:7">
      <c r="G5412" s="7"/>
    </row>
    <row r="5413" spans="7:7">
      <c r="G5413" s="5">
        <v>3198508</v>
      </c>
    </row>
    <row r="5414" spans="7:7">
      <c r="G5414" s="7">
        <v>44691</v>
      </c>
    </row>
    <row r="5415" spans="7:7">
      <c r="G5415" s="19" t="s">
        <v>563</v>
      </c>
    </row>
    <row r="5416" spans="7:7">
      <c r="G5416" s="7"/>
    </row>
    <row r="5417" spans="7:7">
      <c r="G5417" s="5">
        <v>3198541</v>
      </c>
    </row>
    <row r="5418" spans="7:7">
      <c r="G5418" s="7">
        <v>44711</v>
      </c>
    </row>
    <row r="5419" spans="7:7">
      <c r="G5419" s="19" t="s">
        <v>552</v>
      </c>
    </row>
    <row r="5420" spans="7:7">
      <c r="G5420" s="7"/>
    </row>
    <row r="5421" spans="7:7">
      <c r="G5421" s="5">
        <v>3198556</v>
      </c>
    </row>
    <row r="5422" spans="7:7">
      <c r="G5422" s="7">
        <v>44680</v>
      </c>
    </row>
    <row r="5423" spans="7:7">
      <c r="G5423" s="19" t="s">
        <v>2241</v>
      </c>
    </row>
    <row r="5424" spans="7:7">
      <c r="G5424" s="7"/>
    </row>
    <row r="5425" spans="7:7">
      <c r="G5425" s="5">
        <v>3198793</v>
      </c>
    </row>
    <row r="5426" spans="7:7">
      <c r="G5426" s="7">
        <v>44771</v>
      </c>
    </row>
    <row r="5427" spans="7:7">
      <c r="G5427" s="19" t="s">
        <v>2383</v>
      </c>
    </row>
    <row r="5428" spans="7:7">
      <c r="G5428" s="7"/>
    </row>
    <row r="5429" spans="7:7">
      <c r="G5429" s="5">
        <v>3199750</v>
      </c>
    </row>
    <row r="5430" spans="7:7">
      <c r="G5430" s="7">
        <v>44655</v>
      </c>
    </row>
    <row r="5431" spans="7:7">
      <c r="G5431" s="19" t="s">
        <v>563</v>
      </c>
    </row>
    <row r="5432" spans="7:7">
      <c r="G5432" s="7"/>
    </row>
    <row r="5433" spans="7:7">
      <c r="G5433" s="7">
        <v>44664</v>
      </c>
    </row>
    <row r="5434" spans="7:7">
      <c r="G5434" s="19" t="s">
        <v>2408</v>
      </c>
    </row>
    <row r="5435" spans="7:7">
      <c r="G5435" s="7"/>
    </row>
    <row r="5436" spans="7:7">
      <c r="G5436" s="5">
        <v>3199808</v>
      </c>
    </row>
    <row r="5437" spans="7:7">
      <c r="G5437" s="7">
        <v>44636</v>
      </c>
    </row>
    <row r="5438" spans="7:7">
      <c r="G5438" s="19" t="s">
        <v>107</v>
      </c>
    </row>
    <row r="5439" spans="7:7">
      <c r="G5439" s="7"/>
    </row>
    <row r="5440" spans="7:7">
      <c r="G5440" s="7">
        <v>44649</v>
      </c>
    </row>
    <row r="5441" spans="7:7">
      <c r="G5441" s="19" t="s">
        <v>128</v>
      </c>
    </row>
    <row r="5442" spans="7:7">
      <c r="G5442" s="7"/>
    </row>
    <row r="5443" spans="7:7">
      <c r="G5443" s="5">
        <v>3200288</v>
      </c>
    </row>
    <row r="5444" spans="7:7">
      <c r="G5444" s="7">
        <v>44678</v>
      </c>
    </row>
    <row r="5445" spans="7:7">
      <c r="G5445" s="19" t="s">
        <v>2237</v>
      </c>
    </row>
    <row r="5446" spans="7:7">
      <c r="G5446" s="7"/>
    </row>
    <row r="5447" spans="7:7">
      <c r="G5447" s="5">
        <v>3201633</v>
      </c>
    </row>
    <row r="5448" spans="7:7">
      <c r="G5448" s="7">
        <v>44659</v>
      </c>
    </row>
    <row r="5449" spans="7:7">
      <c r="G5449" s="19" t="s">
        <v>2241</v>
      </c>
    </row>
    <row r="5450" spans="7:7">
      <c r="G5450" s="7"/>
    </row>
    <row r="5451" spans="7:7">
      <c r="G5451" s="5">
        <v>3202171</v>
      </c>
    </row>
    <row r="5452" spans="7:7">
      <c r="G5452" s="7">
        <v>44494</v>
      </c>
    </row>
    <row r="5453" spans="7:7">
      <c r="G5453" s="19" t="s">
        <v>586</v>
      </c>
    </row>
    <row r="5454" spans="7:7">
      <c r="G5454" s="7"/>
    </row>
    <row r="5455" spans="7:7">
      <c r="G5455" s="7">
        <v>44572</v>
      </c>
    </row>
    <row r="5456" spans="7:7">
      <c r="G5456" s="19" t="s">
        <v>89</v>
      </c>
    </row>
    <row r="5457" spans="7:7">
      <c r="G5457" s="7"/>
    </row>
    <row r="5458" spans="7:7">
      <c r="G5458" s="7">
        <v>44725</v>
      </c>
    </row>
    <row r="5459" spans="7:7">
      <c r="G5459" s="19" t="s">
        <v>89</v>
      </c>
    </row>
    <row r="5460" spans="7:7">
      <c r="G5460" s="7"/>
    </row>
    <row r="5461" spans="7:7">
      <c r="G5461" s="5">
        <v>3202519</v>
      </c>
    </row>
    <row r="5462" spans="7:7">
      <c r="G5462" s="7">
        <v>44517</v>
      </c>
    </row>
    <row r="5463" spans="7:7">
      <c r="G5463" s="19" t="s">
        <v>1885</v>
      </c>
    </row>
    <row r="5464" spans="7:7">
      <c r="G5464" s="7"/>
    </row>
    <row r="5465" spans="7:7">
      <c r="G5465" s="5">
        <v>3202601</v>
      </c>
    </row>
    <row r="5466" spans="7:7">
      <c r="G5466" s="7">
        <v>44761</v>
      </c>
    </row>
    <row r="5467" spans="7:7">
      <c r="G5467" s="19" t="s">
        <v>3418</v>
      </c>
    </row>
    <row r="5468" spans="7:7">
      <c r="G5468" s="7"/>
    </row>
    <row r="5469" spans="7:7">
      <c r="G5469" s="7">
        <v>44770</v>
      </c>
    </row>
    <row r="5470" spans="7:7">
      <c r="G5470" s="19" t="s">
        <v>1635</v>
      </c>
    </row>
    <row r="5471" spans="7:7">
      <c r="G5471" s="7"/>
    </row>
    <row r="5472" spans="7:7">
      <c r="G5472" s="5">
        <v>3202950</v>
      </c>
    </row>
    <row r="5473" spans="7:7">
      <c r="G5473" s="7">
        <v>44557</v>
      </c>
    </row>
    <row r="5474" spans="7:7">
      <c r="G5474" s="19" t="s">
        <v>1300</v>
      </c>
    </row>
    <row r="5475" spans="7:7">
      <c r="G5475" s="7"/>
    </row>
    <row r="5476" spans="7:7">
      <c r="G5476" s="7">
        <v>44643</v>
      </c>
    </row>
    <row r="5477" spans="7:7">
      <c r="G5477" s="19" t="s">
        <v>128</v>
      </c>
    </row>
    <row r="5478" spans="7:7">
      <c r="G5478" s="7"/>
    </row>
    <row r="5479" spans="7:7">
      <c r="G5479" s="5">
        <v>3203181</v>
      </c>
    </row>
    <row r="5480" spans="7:7">
      <c r="G5480" s="7">
        <v>44651</v>
      </c>
    </row>
    <row r="5481" spans="7:7">
      <c r="G5481" s="19" t="s">
        <v>563</v>
      </c>
    </row>
    <row r="5482" spans="7:7">
      <c r="G5482" s="7"/>
    </row>
    <row r="5483" spans="7:7">
      <c r="G5483" s="5">
        <v>3203529</v>
      </c>
    </row>
    <row r="5484" spans="7:7">
      <c r="G5484" s="7">
        <v>44656</v>
      </c>
    </row>
    <row r="5485" spans="7:7">
      <c r="G5485" s="19" t="s">
        <v>563</v>
      </c>
    </row>
    <row r="5486" spans="7:7">
      <c r="G5486" s="7"/>
    </row>
    <row r="5487" spans="7:7">
      <c r="G5487" s="7">
        <v>44671</v>
      </c>
    </row>
    <row r="5488" spans="7:7">
      <c r="G5488" s="19" t="s">
        <v>2241</v>
      </c>
    </row>
    <row r="5489" spans="7:7">
      <c r="G5489" s="7"/>
    </row>
    <row r="5490" spans="7:7">
      <c r="G5490" s="5">
        <v>3203752</v>
      </c>
    </row>
    <row r="5491" spans="7:7">
      <c r="G5491" s="7">
        <v>44740</v>
      </c>
    </row>
    <row r="5492" spans="7:7">
      <c r="G5492" s="19" t="s">
        <v>2962</v>
      </c>
    </row>
    <row r="5493" spans="7:7">
      <c r="G5493" s="7"/>
    </row>
    <row r="5494" spans="7:7">
      <c r="G5494" s="5">
        <v>3203803</v>
      </c>
    </row>
    <row r="5495" spans="7:7">
      <c r="G5495" s="7">
        <v>44635</v>
      </c>
    </row>
    <row r="5496" spans="7:7">
      <c r="G5496" s="19" t="s">
        <v>2241</v>
      </c>
    </row>
    <row r="5497" spans="7:7">
      <c r="G5497" s="7"/>
    </row>
    <row r="5498" spans="7:7">
      <c r="G5498" s="5">
        <v>3206214</v>
      </c>
    </row>
    <row r="5499" spans="7:7">
      <c r="G5499" s="7">
        <v>44343</v>
      </c>
    </row>
    <row r="5500" spans="7:7">
      <c r="G5500" s="19" t="s">
        <v>563</v>
      </c>
    </row>
    <row r="5501" spans="7:7">
      <c r="G5501" s="7"/>
    </row>
    <row r="5502" spans="7:7">
      <c r="G5502" s="5">
        <v>3208027</v>
      </c>
    </row>
    <row r="5503" spans="7:7">
      <c r="G5503" s="7">
        <v>44125</v>
      </c>
    </row>
    <row r="5504" spans="7:7">
      <c r="G5504" s="19" t="s">
        <v>95</v>
      </c>
    </row>
    <row r="5505" spans="7:7">
      <c r="G5505" s="7"/>
    </row>
    <row r="5506" spans="7:7">
      <c r="G5506" s="5">
        <v>3208501</v>
      </c>
    </row>
    <row r="5507" spans="7:7">
      <c r="G5507" s="7">
        <v>44665</v>
      </c>
    </row>
    <row r="5508" spans="7:7">
      <c r="G5508" s="19" t="s">
        <v>563</v>
      </c>
    </row>
    <row r="5509" spans="7:7">
      <c r="G5509" s="7"/>
    </row>
    <row r="5510" spans="7:7">
      <c r="G5510" s="5">
        <v>3208928</v>
      </c>
    </row>
    <row r="5511" spans="7:7">
      <c r="G5511" s="7">
        <v>44438</v>
      </c>
    </row>
    <row r="5512" spans="7:7">
      <c r="G5512" s="19" t="s">
        <v>550</v>
      </c>
    </row>
    <row r="5513" spans="7:7">
      <c r="G5513" s="7"/>
    </row>
    <row r="5514" spans="7:7">
      <c r="G5514" s="7">
        <v>44412</v>
      </c>
    </row>
    <row r="5515" spans="7:7">
      <c r="G5515" s="19" t="s">
        <v>89</v>
      </c>
    </row>
    <row r="5516" spans="7:7">
      <c r="G5516" s="7"/>
    </row>
    <row r="5517" spans="7:7">
      <c r="G5517" s="5">
        <v>3223849</v>
      </c>
    </row>
    <row r="5518" spans="7:7">
      <c r="G5518" s="7">
        <v>44735</v>
      </c>
    </row>
    <row r="5519" spans="7:7">
      <c r="G5519" s="19" t="s">
        <v>2383</v>
      </c>
    </row>
    <row r="5520" spans="7:7">
      <c r="G5520" s="7"/>
    </row>
    <row r="5521" spans="7:7">
      <c r="G5521" s="5">
        <v>3239315</v>
      </c>
    </row>
    <row r="5522" spans="7:7">
      <c r="G5522" s="7">
        <v>44710</v>
      </c>
    </row>
    <row r="5523" spans="7:7">
      <c r="G5523" s="19" t="s">
        <v>563</v>
      </c>
    </row>
    <row r="5524" spans="7:7">
      <c r="G5524" s="7"/>
    </row>
    <row r="5525" spans="7:7">
      <c r="G5525" s="5">
        <v>3245186</v>
      </c>
    </row>
    <row r="5526" spans="7:7">
      <c r="G5526" s="7">
        <v>44685</v>
      </c>
    </row>
    <row r="5527" spans="7:7">
      <c r="G5527" s="19" t="s">
        <v>563</v>
      </c>
    </row>
    <row r="5528" spans="7:7">
      <c r="G5528" s="7"/>
    </row>
    <row r="5529" spans="7:7">
      <c r="G5529" s="5">
        <v>3249063</v>
      </c>
    </row>
    <row r="5530" spans="7:7">
      <c r="G5530" s="7">
        <v>44524</v>
      </c>
    </row>
    <row r="5531" spans="7:7">
      <c r="G5531" s="19" t="s">
        <v>586</v>
      </c>
    </row>
    <row r="5532" spans="7:7">
      <c r="G5532" s="7"/>
    </row>
    <row r="5533" spans="7:7">
      <c r="G5533" s="7">
        <v>44544</v>
      </c>
    </row>
    <row r="5534" spans="7:7">
      <c r="G5534" s="19" t="s">
        <v>1293</v>
      </c>
    </row>
    <row r="5535" spans="7:7">
      <c r="G5535" s="7"/>
    </row>
    <row r="5536" spans="7:7">
      <c r="G5536" s="5">
        <v>3249334</v>
      </c>
    </row>
    <row r="5537" spans="7:7">
      <c r="G5537" s="7">
        <v>44532</v>
      </c>
    </row>
    <row r="5538" spans="7:7">
      <c r="G5538" s="19" t="s">
        <v>139</v>
      </c>
    </row>
    <row r="5539" spans="7:7">
      <c r="G5539" s="7"/>
    </row>
    <row r="5540" spans="7:7">
      <c r="G5540" s="7">
        <v>44712</v>
      </c>
    </row>
    <row r="5541" spans="7:7">
      <c r="G5541" s="19" t="s">
        <v>2995</v>
      </c>
    </row>
    <row r="5542" spans="7:7">
      <c r="G5542" s="7"/>
    </row>
    <row r="5543" spans="7:7">
      <c r="G5543" s="5">
        <v>3249595</v>
      </c>
    </row>
    <row r="5544" spans="7:7">
      <c r="G5544" s="7">
        <v>44393</v>
      </c>
    </row>
    <row r="5545" spans="7:7">
      <c r="G5545" s="19" t="s">
        <v>995</v>
      </c>
    </row>
    <row r="5546" spans="7:7">
      <c r="G5546" s="7"/>
    </row>
    <row r="5547" spans="7:7">
      <c r="G5547" s="5">
        <v>3252439</v>
      </c>
    </row>
    <row r="5548" spans="7:7">
      <c r="G5548" s="7">
        <v>44628</v>
      </c>
    </row>
    <row r="5549" spans="7:7">
      <c r="G5549" s="19" t="s">
        <v>2207</v>
      </c>
    </row>
    <row r="5550" spans="7:7">
      <c r="G5550" s="7"/>
    </row>
    <row r="5551" spans="7:7">
      <c r="G5551" s="7">
        <v>44629</v>
      </c>
    </row>
    <row r="5552" spans="7:7">
      <c r="G5552" s="19" t="s">
        <v>1116</v>
      </c>
    </row>
    <row r="5553" spans="7:7">
      <c r="G5553" s="7"/>
    </row>
    <row r="5554" spans="7:7">
      <c r="G5554" s="5">
        <v>3253823</v>
      </c>
    </row>
    <row r="5555" spans="7:7">
      <c r="G5555" s="7">
        <v>44609</v>
      </c>
    </row>
    <row r="5556" spans="7:7">
      <c r="G5556" s="19" t="s">
        <v>950</v>
      </c>
    </row>
    <row r="5557" spans="7:7">
      <c r="G5557" s="7"/>
    </row>
    <row r="5558" spans="7:7">
      <c r="G5558" s="5">
        <v>3256868</v>
      </c>
    </row>
    <row r="5559" spans="7:7">
      <c r="G5559" s="7">
        <v>43611</v>
      </c>
    </row>
    <row r="5560" spans="7:7">
      <c r="G5560" s="19" t="s">
        <v>563</v>
      </c>
    </row>
    <row r="5561" spans="7:7">
      <c r="G5561" s="7"/>
    </row>
    <row r="5562" spans="7:7">
      <c r="G5562" s="5">
        <v>3261418</v>
      </c>
    </row>
    <row r="5563" spans="7:7">
      <c r="G5563" s="7">
        <v>44734</v>
      </c>
    </row>
    <row r="5564" spans="7:7">
      <c r="G5564" s="19" t="s">
        <v>2383</v>
      </c>
    </row>
    <row r="5565" spans="7:7">
      <c r="G5565" s="7"/>
    </row>
    <row r="5566" spans="7:7">
      <c r="G5566" s="5">
        <v>3264182</v>
      </c>
    </row>
    <row r="5567" spans="7:7">
      <c r="G5567" s="7">
        <v>44271</v>
      </c>
    </row>
    <row r="5568" spans="7:7">
      <c r="G5568" s="19" t="s">
        <v>173</v>
      </c>
    </row>
    <row r="5569" spans="7:7">
      <c r="G5569" s="7"/>
    </row>
    <row r="5570" spans="7:7">
      <c r="G5570" s="7">
        <v>44699</v>
      </c>
    </row>
    <row r="5571" spans="7:7">
      <c r="G5571" s="19" t="s">
        <v>180</v>
      </c>
    </row>
    <row r="5572" spans="7:7">
      <c r="G5572" s="7"/>
    </row>
    <row r="5573" spans="7:7">
      <c r="G5573" s="5">
        <v>3264834</v>
      </c>
    </row>
    <row r="5574" spans="7:7">
      <c r="G5574" s="7">
        <v>44753</v>
      </c>
    </row>
    <row r="5575" spans="7:7">
      <c r="G5575" s="19" t="s">
        <v>2962</v>
      </c>
    </row>
    <row r="5576" spans="7:7">
      <c r="G5576" s="7"/>
    </row>
    <row r="5577" spans="7:7">
      <c r="G5577" s="5">
        <v>3264857</v>
      </c>
    </row>
    <row r="5578" spans="7:7">
      <c r="G5578" s="7">
        <v>44358</v>
      </c>
    </row>
    <row r="5579" spans="7:7">
      <c r="G5579" s="19" t="s">
        <v>950</v>
      </c>
    </row>
    <row r="5580" spans="7:7">
      <c r="G5580" s="7"/>
    </row>
    <row r="5581" spans="7:7">
      <c r="G5581" s="7">
        <v>44581</v>
      </c>
    </row>
    <row r="5582" spans="7:7">
      <c r="G5582" s="19" t="s">
        <v>1742</v>
      </c>
    </row>
    <row r="5583" spans="7:7">
      <c r="G5583" s="7"/>
    </row>
    <row r="5584" spans="7:7">
      <c r="G5584" s="5">
        <v>3265320</v>
      </c>
    </row>
    <row r="5585" spans="7:7">
      <c r="G5585" s="7">
        <v>44455</v>
      </c>
    </row>
    <row r="5586" spans="7:7">
      <c r="G5586" s="19" t="s">
        <v>1633</v>
      </c>
    </row>
    <row r="5587" spans="7:7">
      <c r="G5587" s="7"/>
    </row>
    <row r="5588" spans="7:7">
      <c r="G5588" s="7">
        <v>44452</v>
      </c>
    </row>
    <row r="5589" spans="7:7">
      <c r="G5589" s="19" t="s">
        <v>1631</v>
      </c>
    </row>
    <row r="5590" spans="7:7">
      <c r="G5590" s="7"/>
    </row>
    <row r="5591" spans="7:7">
      <c r="G5591" s="5">
        <v>3266794</v>
      </c>
    </row>
    <row r="5592" spans="7:7">
      <c r="G5592" s="7">
        <v>44365</v>
      </c>
    </row>
    <row r="5593" spans="7:7">
      <c r="G5593" s="19" t="s">
        <v>550</v>
      </c>
    </row>
    <row r="5594" spans="7:7">
      <c r="G5594" s="7"/>
    </row>
    <row r="5595" spans="7:7">
      <c r="G5595" s="5">
        <v>3267241</v>
      </c>
    </row>
    <row r="5596" spans="7:7">
      <c r="G5596" s="7">
        <v>44689</v>
      </c>
    </row>
    <row r="5597" spans="7:7">
      <c r="G5597" s="19" t="s">
        <v>563</v>
      </c>
    </row>
    <row r="5598" spans="7:7">
      <c r="G5598" s="7"/>
    </row>
    <row r="5599" spans="7:7">
      <c r="G5599" s="5">
        <v>3268060</v>
      </c>
    </row>
    <row r="5600" spans="7:7">
      <c r="G5600" s="7">
        <v>44705</v>
      </c>
    </row>
    <row r="5601" spans="7:7">
      <c r="G5601" s="19" t="s">
        <v>2237</v>
      </c>
    </row>
    <row r="5602" spans="7:7">
      <c r="G5602" s="7"/>
    </row>
    <row r="5603" spans="7:7">
      <c r="G5603" s="5">
        <v>3269090</v>
      </c>
    </row>
    <row r="5604" spans="7:7">
      <c r="G5604" s="7">
        <v>44757</v>
      </c>
    </row>
    <row r="5605" spans="7:7">
      <c r="G5605" s="19" t="s">
        <v>2383</v>
      </c>
    </row>
    <row r="5606" spans="7:7">
      <c r="G5606" s="7"/>
    </row>
    <row r="5607" spans="7:7">
      <c r="G5607" s="5">
        <v>3269240</v>
      </c>
    </row>
    <row r="5608" spans="7:7">
      <c r="G5608" s="7">
        <v>44768</v>
      </c>
    </row>
    <row r="5609" spans="7:7">
      <c r="G5609" s="19" t="s">
        <v>89</v>
      </c>
    </row>
    <row r="5610" spans="7:7">
      <c r="G5610" s="7"/>
    </row>
    <row r="5611" spans="7:7">
      <c r="G5611" s="5">
        <v>3269247</v>
      </c>
    </row>
    <row r="5612" spans="7:7">
      <c r="G5612" s="7">
        <v>44523</v>
      </c>
    </row>
    <row r="5613" spans="7:7">
      <c r="G5613" s="19" t="s">
        <v>1214</v>
      </c>
    </row>
    <row r="5614" spans="7:7">
      <c r="G5614" s="7"/>
    </row>
    <row r="5615" spans="7:7">
      <c r="G5615" s="7">
        <v>44515</v>
      </c>
    </row>
    <row r="5616" spans="7:7">
      <c r="G5616" s="19" t="s">
        <v>143</v>
      </c>
    </row>
    <row r="5617" spans="7:7">
      <c r="G5617" s="7"/>
    </row>
    <row r="5618" spans="7:7">
      <c r="G5618" s="7">
        <v>44560</v>
      </c>
    </row>
    <row r="5619" spans="7:7">
      <c r="G5619" s="19" t="s">
        <v>1653</v>
      </c>
    </row>
    <row r="5620" spans="7:7">
      <c r="G5620" s="7"/>
    </row>
    <row r="5621" spans="7:7">
      <c r="G5621" s="7">
        <v>44609</v>
      </c>
    </row>
    <row r="5622" spans="7:7">
      <c r="G5622" s="19" t="s">
        <v>1312</v>
      </c>
    </row>
    <row r="5623" spans="7:7">
      <c r="G5623" s="7"/>
    </row>
    <row r="5624" spans="7:7">
      <c r="G5624" s="7">
        <v>44678</v>
      </c>
    </row>
    <row r="5625" spans="7:7">
      <c r="G5625" s="19" t="s">
        <v>1653</v>
      </c>
    </row>
    <row r="5626" spans="7:7">
      <c r="G5626" s="7"/>
    </row>
    <row r="5627" spans="7:7">
      <c r="G5627" s="7">
        <v>44700</v>
      </c>
    </row>
    <row r="5628" spans="7:7">
      <c r="G5628" s="19" t="s">
        <v>1594</v>
      </c>
    </row>
    <row r="5629" spans="7:7">
      <c r="G5629" s="7"/>
    </row>
    <row r="5630" spans="7:7">
      <c r="G5630" s="5">
        <v>3270202</v>
      </c>
    </row>
    <row r="5631" spans="7:7">
      <c r="G5631" s="7">
        <v>44622</v>
      </c>
    </row>
    <row r="5632" spans="7:7">
      <c r="G5632" s="19" t="s">
        <v>107</v>
      </c>
    </row>
    <row r="5633" spans="7:7">
      <c r="G5633" s="7"/>
    </row>
    <row r="5634" spans="7:7">
      <c r="G5634" s="7">
        <v>44650</v>
      </c>
    </row>
    <row r="5635" spans="7:7">
      <c r="G5635" s="19" t="s">
        <v>1635</v>
      </c>
    </row>
    <row r="5636" spans="7:7">
      <c r="G5636" s="7"/>
    </row>
    <row r="5637" spans="7:7">
      <c r="G5637" s="5">
        <v>3272872</v>
      </c>
    </row>
    <row r="5638" spans="7:7">
      <c r="G5638" s="7">
        <v>44767</v>
      </c>
    </row>
    <row r="5639" spans="7:7">
      <c r="G5639" s="19" t="s">
        <v>1116</v>
      </c>
    </row>
    <row r="5640" spans="7:7">
      <c r="G5640" s="7"/>
    </row>
    <row r="5641" spans="7:7">
      <c r="G5641" s="5">
        <v>3273662</v>
      </c>
    </row>
    <row r="5642" spans="7:7">
      <c r="G5642" s="7">
        <v>44004</v>
      </c>
    </row>
    <row r="5643" spans="7:7">
      <c r="G5643" s="19" t="s">
        <v>118</v>
      </c>
    </row>
    <row r="5644" spans="7:7">
      <c r="G5644" s="7"/>
    </row>
    <row r="5645" spans="7:7">
      <c r="G5645" s="5">
        <v>3273830</v>
      </c>
    </row>
    <row r="5646" spans="7:7">
      <c r="G5646" s="7">
        <v>44719</v>
      </c>
    </row>
    <row r="5647" spans="7:7">
      <c r="G5647" s="19" t="s">
        <v>2383</v>
      </c>
    </row>
    <row r="5648" spans="7:7">
      <c r="G5648" s="7"/>
    </row>
    <row r="5649" spans="7:7">
      <c r="G5649" s="5">
        <v>3273877</v>
      </c>
    </row>
    <row r="5650" spans="7:7">
      <c r="G5650" s="7">
        <v>44448</v>
      </c>
    </row>
    <row r="5651" spans="7:7">
      <c r="G5651" s="19" t="s">
        <v>1589</v>
      </c>
    </row>
    <row r="5652" spans="7:7">
      <c r="G5652" s="7"/>
    </row>
    <row r="5653" spans="7:7">
      <c r="G5653" s="5">
        <v>3274770</v>
      </c>
    </row>
    <row r="5654" spans="7:7">
      <c r="G5654" s="7">
        <v>44406</v>
      </c>
    </row>
    <row r="5655" spans="7:7">
      <c r="G5655" s="19" t="s">
        <v>1116</v>
      </c>
    </row>
    <row r="5656" spans="7:7">
      <c r="G5656" s="7"/>
    </row>
    <row r="5657" spans="7:7">
      <c r="G5657" s="5">
        <v>3275740</v>
      </c>
    </row>
    <row r="5658" spans="7:7">
      <c r="G5658" s="7">
        <v>44468</v>
      </c>
    </row>
    <row r="5659" spans="7:7">
      <c r="G5659" s="19" t="s">
        <v>819</v>
      </c>
    </row>
    <row r="5660" spans="7:7">
      <c r="G5660" s="7"/>
    </row>
    <row r="5661" spans="7:7">
      <c r="G5661" s="5">
        <v>3276671</v>
      </c>
    </row>
    <row r="5662" spans="7:7">
      <c r="G5662" s="7">
        <v>44720</v>
      </c>
    </row>
    <row r="5663" spans="7:7">
      <c r="G5663" s="19" t="s">
        <v>2383</v>
      </c>
    </row>
    <row r="5664" spans="7:7">
      <c r="G5664" s="7"/>
    </row>
    <row r="5665" spans="7:7">
      <c r="G5665" s="5">
        <v>3277645</v>
      </c>
    </row>
    <row r="5666" spans="7:7">
      <c r="G5666" s="7">
        <v>44449</v>
      </c>
    </row>
    <row r="5667" spans="7:7">
      <c r="G5667" s="19" t="s">
        <v>1631</v>
      </c>
    </row>
    <row r="5668" spans="7:7">
      <c r="G5668" s="7"/>
    </row>
    <row r="5669" spans="7:7">
      <c r="G5669" s="7">
        <v>44450</v>
      </c>
    </row>
    <row r="5670" spans="7:7">
      <c r="G5670" s="19" t="s">
        <v>1286</v>
      </c>
    </row>
    <row r="5671" spans="7:7">
      <c r="G5671" s="7"/>
    </row>
    <row r="5672" spans="7:7">
      <c r="G5672" s="5">
        <v>3277891</v>
      </c>
    </row>
    <row r="5673" spans="7:7">
      <c r="G5673" s="7">
        <v>44470</v>
      </c>
    </row>
    <row r="5674" spans="7:7">
      <c r="G5674" s="19" t="s">
        <v>1631</v>
      </c>
    </row>
    <row r="5675" spans="7:7">
      <c r="G5675" s="7"/>
    </row>
    <row r="5676" spans="7:7">
      <c r="G5676" s="7">
        <v>44472</v>
      </c>
    </row>
    <row r="5677" spans="7:7">
      <c r="G5677" s="19" t="s">
        <v>1631</v>
      </c>
    </row>
    <row r="5678" spans="7:7">
      <c r="G5678" s="7"/>
    </row>
    <row r="5679" spans="7:7">
      <c r="G5679" s="7">
        <v>44471</v>
      </c>
    </row>
    <row r="5680" spans="7:7">
      <c r="G5680" s="19" t="s">
        <v>1631</v>
      </c>
    </row>
    <row r="5681" spans="7:7">
      <c r="G5681" s="7"/>
    </row>
    <row r="5682" spans="7:7">
      <c r="G5682" s="5">
        <v>3278300</v>
      </c>
    </row>
    <row r="5683" spans="7:7">
      <c r="G5683" s="7">
        <v>44525</v>
      </c>
    </row>
    <row r="5684" spans="7:7">
      <c r="G5684" s="19" t="s">
        <v>1274</v>
      </c>
    </row>
    <row r="5685" spans="7:7">
      <c r="G5685" s="7"/>
    </row>
    <row r="5686" spans="7:7">
      <c r="G5686" s="5">
        <v>3279314</v>
      </c>
    </row>
    <row r="5687" spans="7:7">
      <c r="G5687" s="7">
        <v>44620</v>
      </c>
    </row>
    <row r="5688" spans="7:7">
      <c r="G5688" s="19" t="s">
        <v>2201</v>
      </c>
    </row>
    <row r="5689" spans="7:7">
      <c r="G5689" s="7"/>
    </row>
    <row r="5690" spans="7:7">
      <c r="G5690" s="5">
        <v>3279629</v>
      </c>
    </row>
    <row r="5691" spans="7:7">
      <c r="G5691" s="7">
        <v>44589</v>
      </c>
    </row>
    <row r="5692" spans="7:7">
      <c r="G5692" s="19" t="s">
        <v>2122</v>
      </c>
    </row>
    <row r="5693" spans="7:7">
      <c r="G5693" s="7"/>
    </row>
    <row r="5694" spans="7:7">
      <c r="G5694" s="5">
        <v>3282429</v>
      </c>
    </row>
    <row r="5695" spans="7:7">
      <c r="G5695" s="7">
        <v>44725</v>
      </c>
    </row>
    <row r="5696" spans="7:7">
      <c r="G5696" s="19" t="s">
        <v>107</v>
      </c>
    </row>
    <row r="5697" spans="7:7">
      <c r="G5697" s="7"/>
    </row>
    <row r="5698" spans="7:7">
      <c r="G5698" s="5">
        <v>3283744</v>
      </c>
    </row>
    <row r="5699" spans="7:7">
      <c r="G5699" s="7">
        <v>44525</v>
      </c>
    </row>
    <row r="5700" spans="7:7">
      <c r="G5700" s="19" t="s">
        <v>1868</v>
      </c>
    </row>
    <row r="5701" spans="7:7">
      <c r="G5701" s="7"/>
    </row>
    <row r="5702" spans="7:7">
      <c r="G5702" s="5">
        <v>3285365</v>
      </c>
    </row>
    <row r="5703" spans="7:7">
      <c r="G5703" s="7">
        <v>44467</v>
      </c>
    </row>
    <row r="5704" spans="7:7">
      <c r="G5704" s="19" t="s">
        <v>1767</v>
      </c>
    </row>
    <row r="5705" spans="7:7">
      <c r="G5705" s="7"/>
    </row>
    <row r="5706" spans="7:7">
      <c r="G5706" s="7">
        <v>44558</v>
      </c>
    </row>
    <row r="5707" spans="7:7">
      <c r="G5707" s="19" t="s">
        <v>1767</v>
      </c>
    </row>
    <row r="5708" spans="7:7">
      <c r="G5708" s="7"/>
    </row>
    <row r="5709" spans="7:7">
      <c r="G5709" s="7">
        <v>44586</v>
      </c>
    </row>
    <row r="5710" spans="7:7">
      <c r="G5710" s="19" t="s">
        <v>1274</v>
      </c>
    </row>
    <row r="5711" spans="7:7">
      <c r="G5711" s="7"/>
    </row>
    <row r="5712" spans="7:7">
      <c r="G5712" s="5">
        <v>3290282</v>
      </c>
    </row>
    <row r="5713" spans="7:7">
      <c r="G5713" s="7">
        <v>44718</v>
      </c>
    </row>
    <row r="5714" spans="7:7">
      <c r="G5714" s="19" t="s">
        <v>2383</v>
      </c>
    </row>
    <row r="5715" spans="7:7">
      <c r="G5715" s="7"/>
    </row>
    <row r="5716" spans="7:7">
      <c r="G5716" s="5">
        <v>3290813</v>
      </c>
    </row>
    <row r="5717" spans="7:7">
      <c r="G5717" s="7">
        <v>44510</v>
      </c>
    </row>
    <row r="5718" spans="7:7">
      <c r="G5718" s="19" t="s">
        <v>89</v>
      </c>
    </row>
    <row r="5719" spans="7:7">
      <c r="G5719" s="7"/>
    </row>
    <row r="5720" spans="7:7">
      <c r="G5720" s="5">
        <v>3291161</v>
      </c>
    </row>
    <row r="5721" spans="7:7">
      <c r="G5721" s="7">
        <v>44701</v>
      </c>
    </row>
    <row r="5722" spans="7:7">
      <c r="G5722" s="19" t="s">
        <v>1594</v>
      </c>
    </row>
    <row r="5723" spans="7:7">
      <c r="G5723" s="7"/>
    </row>
    <row r="5724" spans="7:7">
      <c r="G5724" s="5">
        <v>3291207</v>
      </c>
    </row>
    <row r="5725" spans="7:7">
      <c r="G5725" s="7">
        <v>44733</v>
      </c>
    </row>
    <row r="5726" spans="7:7">
      <c r="G5726" s="19" t="s">
        <v>2383</v>
      </c>
    </row>
    <row r="5727" spans="7:7">
      <c r="G5727" s="7"/>
    </row>
    <row r="5728" spans="7:7">
      <c r="G5728" s="5">
        <v>3292246</v>
      </c>
    </row>
    <row r="5729" spans="7:7">
      <c r="G5729" s="7">
        <v>44562</v>
      </c>
    </row>
    <row r="5730" spans="7:7">
      <c r="G5730" s="19" t="s">
        <v>1193</v>
      </c>
    </row>
    <row r="5731" spans="7:7">
      <c r="G5731" s="7"/>
    </row>
    <row r="5732" spans="7:7">
      <c r="G5732" s="5">
        <v>3292299</v>
      </c>
    </row>
    <row r="5733" spans="7:7">
      <c r="G5733" s="7">
        <v>44670</v>
      </c>
    </row>
    <row r="5734" spans="7:7">
      <c r="G5734" s="19" t="s">
        <v>563</v>
      </c>
    </row>
    <row r="5735" spans="7:7">
      <c r="G5735" s="7"/>
    </row>
    <row r="5736" spans="7:7">
      <c r="G5736" s="5">
        <v>3293004</v>
      </c>
    </row>
    <row r="5737" spans="7:7">
      <c r="G5737" s="7">
        <v>44706</v>
      </c>
    </row>
    <row r="5738" spans="7:7">
      <c r="G5738" s="19" t="s">
        <v>2962</v>
      </c>
    </row>
    <row r="5739" spans="7:7">
      <c r="G5739" s="7"/>
    </row>
    <row r="5740" spans="7:7">
      <c r="G5740" s="5">
        <v>3294944</v>
      </c>
    </row>
    <row r="5741" spans="7:7">
      <c r="G5741" s="7">
        <v>44656</v>
      </c>
    </row>
    <row r="5742" spans="7:7">
      <c r="G5742" s="19" t="s">
        <v>563</v>
      </c>
    </row>
    <row r="5743" spans="7:7">
      <c r="G5743" s="7"/>
    </row>
    <row r="5744" spans="7:7">
      <c r="G5744" s="5">
        <v>3296336</v>
      </c>
    </row>
    <row r="5745" spans="7:7">
      <c r="G5745" s="7">
        <v>44265</v>
      </c>
    </row>
    <row r="5746" spans="7:7">
      <c r="G5746" s="19" t="s">
        <v>563</v>
      </c>
    </row>
    <row r="5747" spans="7:7">
      <c r="G5747" s="7"/>
    </row>
    <row r="5748" spans="7:7">
      <c r="G5748" s="5">
        <v>3296384</v>
      </c>
    </row>
    <row r="5749" spans="7:7">
      <c r="G5749" s="7">
        <v>44721</v>
      </c>
    </row>
    <row r="5750" spans="7:7">
      <c r="G5750" s="19" t="s">
        <v>1113</v>
      </c>
    </row>
    <row r="5751" spans="7:7">
      <c r="G5751" s="7"/>
    </row>
    <row r="5752" spans="7:7">
      <c r="G5752" s="5">
        <v>3297255</v>
      </c>
    </row>
    <row r="5753" spans="7:7">
      <c r="G5753" s="7">
        <v>44624</v>
      </c>
    </row>
    <row r="5754" spans="7:7">
      <c r="G5754" s="19" t="s">
        <v>1653</v>
      </c>
    </row>
    <row r="5755" spans="7:7">
      <c r="G5755" s="7"/>
    </row>
    <row r="5756" spans="7:7">
      <c r="G5756" s="5">
        <v>3299024</v>
      </c>
    </row>
    <row r="5757" spans="7:7">
      <c r="G5757" s="7">
        <v>44463</v>
      </c>
    </row>
    <row r="5758" spans="7:7">
      <c r="G5758" s="19" t="s">
        <v>1274</v>
      </c>
    </row>
    <row r="5759" spans="7:7">
      <c r="G5759" s="7"/>
    </row>
    <row r="5760" spans="7:7">
      <c r="G5760" s="5">
        <v>3299604</v>
      </c>
    </row>
    <row r="5761" spans="7:7">
      <c r="G5761" s="7">
        <v>44771</v>
      </c>
    </row>
    <row r="5762" spans="7:7">
      <c r="G5762" s="19" t="s">
        <v>1883</v>
      </c>
    </row>
    <row r="5763" spans="7:7">
      <c r="G5763" s="7"/>
    </row>
    <row r="5764" spans="7:7">
      <c r="G5764" s="5">
        <v>3300900</v>
      </c>
    </row>
    <row r="5765" spans="7:7">
      <c r="G5765" s="7">
        <v>44689</v>
      </c>
    </row>
    <row r="5766" spans="7:7">
      <c r="G5766" s="19" t="s">
        <v>563</v>
      </c>
    </row>
    <row r="5767" spans="7:7">
      <c r="G5767" s="7"/>
    </row>
    <row r="5768" spans="7:7">
      <c r="G5768" s="5">
        <v>3303220</v>
      </c>
    </row>
    <row r="5769" spans="7:7">
      <c r="G5769" s="7">
        <v>44504</v>
      </c>
    </row>
    <row r="5770" spans="7:7">
      <c r="G5770" s="19" t="s">
        <v>1734</v>
      </c>
    </row>
    <row r="5771" spans="7:7">
      <c r="G5771" s="7"/>
    </row>
    <row r="5772" spans="7:7">
      <c r="G5772" s="5">
        <v>3305652</v>
      </c>
    </row>
    <row r="5773" spans="7:7">
      <c r="G5773" s="7">
        <v>44732</v>
      </c>
    </row>
    <row r="5774" spans="7:7">
      <c r="G5774" s="19" t="s">
        <v>2995</v>
      </c>
    </row>
    <row r="5775" spans="7:7">
      <c r="G5775" s="7"/>
    </row>
    <row r="5776" spans="7:7">
      <c r="G5776" s="5">
        <v>3306257</v>
      </c>
    </row>
    <row r="5777" spans="7:7">
      <c r="G5777" s="7">
        <v>44734</v>
      </c>
    </row>
    <row r="5778" spans="7:7">
      <c r="G5778" s="19" t="s">
        <v>2383</v>
      </c>
    </row>
    <row r="5779" spans="7:7">
      <c r="G5779" s="7"/>
    </row>
    <row r="5780" spans="7:7">
      <c r="G5780" s="5">
        <v>3307148</v>
      </c>
    </row>
    <row r="5781" spans="7:7">
      <c r="G5781" s="7">
        <v>44623</v>
      </c>
    </row>
    <row r="5782" spans="7:7">
      <c r="G5782" s="19" t="s">
        <v>1293</v>
      </c>
    </row>
    <row r="5783" spans="7:7">
      <c r="G5783" s="7"/>
    </row>
    <row r="5784" spans="7:7">
      <c r="G5784" s="7">
        <v>44616</v>
      </c>
    </row>
    <row r="5785" spans="7:7">
      <c r="G5785" s="19" t="s">
        <v>1233</v>
      </c>
    </row>
    <row r="5786" spans="7:7">
      <c r="G5786" s="7"/>
    </row>
    <row r="5787" spans="7:7">
      <c r="G5787" s="7">
        <v>44642</v>
      </c>
    </row>
    <row r="5788" spans="7:7">
      <c r="G5788" s="19" t="s">
        <v>1312</v>
      </c>
    </row>
    <row r="5789" spans="7:7">
      <c r="G5789" s="7"/>
    </row>
    <row r="5790" spans="7:7">
      <c r="G5790" s="5">
        <v>3308707</v>
      </c>
    </row>
    <row r="5791" spans="7:7">
      <c r="G5791" s="7">
        <v>44643</v>
      </c>
    </row>
    <row r="5792" spans="7:7">
      <c r="G5792" s="19" t="s">
        <v>563</v>
      </c>
    </row>
    <row r="5793" spans="7:7">
      <c r="G5793" s="7"/>
    </row>
    <row r="5794" spans="7:7">
      <c r="G5794" s="7">
        <v>44734</v>
      </c>
    </row>
    <row r="5795" spans="7:7">
      <c r="G5795" s="19" t="s">
        <v>2383</v>
      </c>
    </row>
    <row r="5796" spans="7:7">
      <c r="G5796" s="7"/>
    </row>
    <row r="5797" spans="7:7">
      <c r="G5797" s="5">
        <v>3308866</v>
      </c>
    </row>
    <row r="5798" spans="7:7">
      <c r="G5798" s="7">
        <v>44712</v>
      </c>
    </row>
    <row r="5799" spans="7:7">
      <c r="G5799" s="19" t="s">
        <v>563</v>
      </c>
    </row>
    <row r="5800" spans="7:7">
      <c r="G5800" s="7"/>
    </row>
    <row r="5801" spans="7:7">
      <c r="G5801" s="5">
        <v>3308940</v>
      </c>
    </row>
    <row r="5802" spans="7:7">
      <c r="G5802" s="7">
        <v>44575</v>
      </c>
    </row>
    <row r="5803" spans="7:7">
      <c r="G5803" s="19" t="s">
        <v>143</v>
      </c>
    </row>
    <row r="5804" spans="7:7">
      <c r="G5804" s="7"/>
    </row>
    <row r="5805" spans="7:7">
      <c r="G5805" s="5">
        <v>3309509</v>
      </c>
    </row>
    <row r="5806" spans="7:7">
      <c r="G5806" s="7">
        <v>44748</v>
      </c>
    </row>
    <row r="5807" spans="7:7">
      <c r="G5807" s="19" t="s">
        <v>2383</v>
      </c>
    </row>
    <row r="5808" spans="7:7">
      <c r="G5808" s="7"/>
    </row>
    <row r="5809" spans="7:7">
      <c r="G5809" s="5">
        <v>3309520</v>
      </c>
    </row>
    <row r="5810" spans="7:7">
      <c r="G5810" s="7">
        <v>44711</v>
      </c>
    </row>
    <row r="5811" spans="7:7">
      <c r="G5811" s="19" t="s">
        <v>563</v>
      </c>
    </row>
    <row r="5812" spans="7:7">
      <c r="G5812" s="7"/>
    </row>
    <row r="5813" spans="7:7">
      <c r="G5813" s="5">
        <v>3310331</v>
      </c>
    </row>
    <row r="5814" spans="7:7">
      <c r="G5814" s="7">
        <v>44400</v>
      </c>
    </row>
    <row r="5815" spans="7:7">
      <c r="G5815" s="19" t="s">
        <v>1150</v>
      </c>
    </row>
    <row r="5816" spans="7:7">
      <c r="G5816" s="7"/>
    </row>
    <row r="5817" spans="7:7">
      <c r="G5817" s="5">
        <v>3311282</v>
      </c>
    </row>
    <row r="5818" spans="7:7">
      <c r="G5818" s="7">
        <v>44719</v>
      </c>
    </row>
    <row r="5819" spans="7:7">
      <c r="G5819" s="19" t="s">
        <v>2383</v>
      </c>
    </row>
    <row r="5820" spans="7:7">
      <c r="G5820" s="7"/>
    </row>
    <row r="5821" spans="7:7">
      <c r="G5821" s="5">
        <v>3312813</v>
      </c>
    </row>
    <row r="5822" spans="7:7">
      <c r="G5822" s="7">
        <v>44756</v>
      </c>
    </row>
    <row r="5823" spans="7:7">
      <c r="G5823" s="19" t="s">
        <v>1895</v>
      </c>
    </row>
    <row r="5824" spans="7:7">
      <c r="G5824" s="7"/>
    </row>
    <row r="5825" spans="7:7">
      <c r="G5825" s="5">
        <v>3314204</v>
      </c>
    </row>
    <row r="5826" spans="7:7">
      <c r="G5826" s="7">
        <v>44721</v>
      </c>
    </row>
    <row r="5827" spans="7:7">
      <c r="G5827" s="19" t="s">
        <v>2383</v>
      </c>
    </row>
    <row r="5828" spans="7:7">
      <c r="G5828" s="7"/>
    </row>
    <row r="5829" spans="7:7">
      <c r="G5829" s="7">
        <v>44728</v>
      </c>
    </row>
    <row r="5830" spans="7:7">
      <c r="G5830" s="19" t="s">
        <v>3077</v>
      </c>
    </row>
    <row r="5831" spans="7:7">
      <c r="G5831" s="7"/>
    </row>
    <row r="5832" spans="7:7">
      <c r="G5832" s="7">
        <v>44727</v>
      </c>
    </row>
    <row r="5833" spans="7:7">
      <c r="G5833" s="19" t="s">
        <v>3077</v>
      </c>
    </row>
    <row r="5834" spans="7:7">
      <c r="G5834" s="7"/>
    </row>
    <row r="5835" spans="7:7">
      <c r="G5835" s="5">
        <v>3315538</v>
      </c>
    </row>
    <row r="5836" spans="7:7">
      <c r="G5836" s="7">
        <v>44769</v>
      </c>
    </row>
    <row r="5837" spans="7:7">
      <c r="G5837" s="19" t="s">
        <v>2383</v>
      </c>
    </row>
    <row r="5838" spans="7:7">
      <c r="G5838" s="7"/>
    </row>
    <row r="5839" spans="7:7">
      <c r="G5839" s="5">
        <v>3315590</v>
      </c>
    </row>
    <row r="5840" spans="7:7">
      <c r="G5840" s="7">
        <v>44603</v>
      </c>
    </row>
    <row r="5841" spans="7:7">
      <c r="G5841" s="19" t="s">
        <v>2055</v>
      </c>
    </row>
    <row r="5842" spans="7:7">
      <c r="G5842" s="7"/>
    </row>
    <row r="5843" spans="7:7">
      <c r="G5843" s="5">
        <v>3328651</v>
      </c>
    </row>
    <row r="5844" spans="7:7">
      <c r="G5844" s="7">
        <v>44267</v>
      </c>
    </row>
    <row r="5845" spans="7:7">
      <c r="G5845" s="19" t="s">
        <v>563</v>
      </c>
    </row>
    <row r="5846" spans="7:7">
      <c r="G5846" s="7"/>
    </row>
    <row r="5847" spans="7:7">
      <c r="G5847" s="5">
        <v>3329353</v>
      </c>
    </row>
    <row r="5848" spans="7:7">
      <c r="G5848" s="7">
        <v>44330</v>
      </c>
    </row>
    <row r="5849" spans="7:7">
      <c r="G5849" s="19" t="s">
        <v>563</v>
      </c>
    </row>
    <row r="5850" spans="7:7">
      <c r="G5850" s="7"/>
    </row>
    <row r="5851" spans="7:7">
      <c r="G5851" s="5">
        <v>3329365</v>
      </c>
    </row>
    <row r="5852" spans="7:7">
      <c r="G5852" s="7">
        <v>44306</v>
      </c>
    </row>
    <row r="5853" spans="7:7">
      <c r="G5853" s="19" t="s">
        <v>563</v>
      </c>
    </row>
    <row r="5854" spans="7:7">
      <c r="G5854" s="7"/>
    </row>
    <row r="5855" spans="7:7">
      <c r="G5855" s="5">
        <v>3329698</v>
      </c>
    </row>
    <row r="5856" spans="7:7">
      <c r="G5856" s="7">
        <v>44732</v>
      </c>
    </row>
    <row r="5857" spans="7:7">
      <c r="G5857" s="19" t="s">
        <v>3031</v>
      </c>
    </row>
    <row r="5858" spans="7:7">
      <c r="G5858" s="7"/>
    </row>
    <row r="5859" spans="7:7">
      <c r="G5859" s="5">
        <v>3329758</v>
      </c>
    </row>
    <row r="5860" spans="7:7">
      <c r="G5860" s="7">
        <v>44707</v>
      </c>
    </row>
    <row r="5861" spans="7:7">
      <c r="G5861" s="19" t="s">
        <v>563</v>
      </c>
    </row>
    <row r="5862" spans="7:7">
      <c r="G5862" s="7"/>
    </row>
    <row r="5863" spans="7:7">
      <c r="G5863" s="5">
        <v>3330257</v>
      </c>
    </row>
    <row r="5864" spans="7:7">
      <c r="G5864" s="7">
        <v>44609</v>
      </c>
    </row>
    <row r="5865" spans="7:7">
      <c r="G5865" s="19" t="s">
        <v>1286</v>
      </c>
    </row>
    <row r="5866" spans="7:7">
      <c r="G5866" s="7"/>
    </row>
    <row r="5867" spans="7:7">
      <c r="G5867" s="7">
        <v>44762</v>
      </c>
    </row>
    <row r="5868" spans="7:7">
      <c r="G5868" s="19" t="s">
        <v>1174</v>
      </c>
    </row>
    <row r="5869" spans="7:7">
      <c r="G5869" s="7"/>
    </row>
    <row r="5870" spans="7:7">
      <c r="G5870" s="5">
        <v>3330520</v>
      </c>
    </row>
    <row r="5871" spans="7:7">
      <c r="G5871" s="7">
        <v>44740</v>
      </c>
    </row>
    <row r="5872" spans="7:7">
      <c r="G5872" s="19" t="s">
        <v>2383</v>
      </c>
    </row>
    <row r="5873" spans="7:7">
      <c r="G5873" s="7"/>
    </row>
    <row r="5874" spans="7:7">
      <c r="G5874" s="5">
        <v>3330622</v>
      </c>
    </row>
    <row r="5875" spans="7:7">
      <c r="G5875" s="7">
        <v>44719</v>
      </c>
    </row>
    <row r="5876" spans="7:7">
      <c r="G5876" s="19" t="s">
        <v>2383</v>
      </c>
    </row>
    <row r="5877" spans="7:7">
      <c r="G5877" s="7"/>
    </row>
    <row r="5878" spans="7:7">
      <c r="G5878" s="7">
        <v>44711</v>
      </c>
    </row>
    <row r="5879" spans="7:7">
      <c r="G5879" s="19" t="s">
        <v>2962</v>
      </c>
    </row>
    <row r="5880" spans="7:7">
      <c r="G5880" s="7"/>
    </row>
    <row r="5881" spans="7:7">
      <c r="G5881" s="5">
        <v>3330826</v>
      </c>
    </row>
    <row r="5882" spans="7:7">
      <c r="G5882" s="7">
        <v>44601</v>
      </c>
    </row>
    <row r="5883" spans="7:7">
      <c r="G5883" s="19" t="s">
        <v>1635</v>
      </c>
    </row>
    <row r="5884" spans="7:7">
      <c r="G5884" s="7"/>
    </row>
    <row r="5885" spans="7:7">
      <c r="G5885" s="5">
        <v>3331838</v>
      </c>
    </row>
    <row r="5886" spans="7:7">
      <c r="G5886" s="7">
        <v>44439</v>
      </c>
    </row>
    <row r="5887" spans="7:7">
      <c r="G5887" s="19" t="s">
        <v>1311</v>
      </c>
    </row>
    <row r="5888" spans="7:7">
      <c r="G5888" s="7"/>
    </row>
    <row r="5889" spans="7:7">
      <c r="G5889" s="7">
        <v>44447</v>
      </c>
    </row>
    <row r="5890" spans="7:7">
      <c r="G5890" s="19" t="s">
        <v>1300</v>
      </c>
    </row>
    <row r="5891" spans="7:7">
      <c r="G5891" s="7"/>
    </row>
    <row r="5892" spans="7:7">
      <c r="G5892" s="7">
        <v>44452</v>
      </c>
    </row>
    <row r="5893" spans="7:7">
      <c r="G5893" s="19" t="s">
        <v>1300</v>
      </c>
    </row>
    <row r="5894" spans="7:7">
      <c r="G5894" s="7"/>
    </row>
    <row r="5895" spans="7:7">
      <c r="G5895" s="5">
        <v>3331892</v>
      </c>
    </row>
    <row r="5896" spans="7:7">
      <c r="G5896" s="7">
        <v>44760</v>
      </c>
    </row>
    <row r="5897" spans="7:7">
      <c r="G5897" s="19" t="s">
        <v>2383</v>
      </c>
    </row>
    <row r="5898" spans="7:7">
      <c r="G5898" s="7"/>
    </row>
    <row r="5899" spans="7:7">
      <c r="G5899" s="5">
        <v>3334482</v>
      </c>
    </row>
    <row r="5900" spans="7:7">
      <c r="G5900" s="7">
        <v>44694</v>
      </c>
    </row>
    <row r="5901" spans="7:7">
      <c r="G5901" s="19" t="s">
        <v>1653</v>
      </c>
    </row>
    <row r="5902" spans="7:7">
      <c r="G5902" s="7"/>
    </row>
    <row r="5903" spans="7:7">
      <c r="G5903" s="5">
        <v>3335021</v>
      </c>
    </row>
    <row r="5904" spans="7:7">
      <c r="G5904" s="7">
        <v>44719</v>
      </c>
    </row>
    <row r="5905" spans="7:7">
      <c r="G5905" s="19" t="s">
        <v>1152</v>
      </c>
    </row>
    <row r="5906" spans="7:7">
      <c r="G5906" s="7"/>
    </row>
    <row r="5907" spans="7:7">
      <c r="G5907" s="5">
        <v>3335665</v>
      </c>
    </row>
    <row r="5908" spans="7:7">
      <c r="G5908" s="7">
        <v>44617</v>
      </c>
    </row>
    <row r="5909" spans="7:7">
      <c r="G5909" s="19" t="s">
        <v>2079</v>
      </c>
    </row>
    <row r="5910" spans="7:7">
      <c r="G5910" s="7"/>
    </row>
    <row r="5911" spans="7:7">
      <c r="G5911" s="7">
        <v>44750</v>
      </c>
    </row>
    <row r="5912" spans="7:7">
      <c r="G5912" s="19" t="s">
        <v>1679</v>
      </c>
    </row>
    <row r="5913" spans="7:7">
      <c r="G5913" s="7"/>
    </row>
    <row r="5914" spans="7:7">
      <c r="G5914" s="5">
        <v>3336681</v>
      </c>
    </row>
    <row r="5915" spans="7:7">
      <c r="G5915" s="7">
        <v>44601</v>
      </c>
    </row>
    <row r="5916" spans="7:7">
      <c r="G5916" s="19" t="s">
        <v>950</v>
      </c>
    </row>
    <row r="5917" spans="7:7">
      <c r="G5917" s="7"/>
    </row>
    <row r="5918" spans="7:7">
      <c r="G5918" s="7">
        <v>44636</v>
      </c>
    </row>
    <row r="5919" spans="7:7">
      <c r="G5919" s="19" t="s">
        <v>1767</v>
      </c>
    </row>
    <row r="5920" spans="7:7">
      <c r="G5920" s="7"/>
    </row>
    <row r="5921" spans="7:7">
      <c r="G5921" s="5">
        <v>3336962</v>
      </c>
    </row>
    <row r="5922" spans="7:7">
      <c r="G5922" s="7">
        <v>44696</v>
      </c>
    </row>
    <row r="5923" spans="7:7">
      <c r="G5923" s="19" t="s">
        <v>563</v>
      </c>
    </row>
    <row r="5924" spans="7:7">
      <c r="G5924" s="7"/>
    </row>
    <row r="5925" spans="7:7">
      <c r="G5925" s="5">
        <v>3337327</v>
      </c>
    </row>
    <row r="5926" spans="7:7">
      <c r="G5926" s="7">
        <v>44761</v>
      </c>
    </row>
    <row r="5927" spans="7:7">
      <c r="G5927" s="19" t="s">
        <v>2309</v>
      </c>
    </row>
    <row r="5928" spans="7:7">
      <c r="G5928" s="7"/>
    </row>
    <row r="5929" spans="7:7">
      <c r="G5929" s="5">
        <v>3338047</v>
      </c>
    </row>
    <row r="5930" spans="7:7">
      <c r="G5930" s="7">
        <v>44420</v>
      </c>
    </row>
    <row r="5931" spans="7:7">
      <c r="G5931" s="19" t="s">
        <v>1203</v>
      </c>
    </row>
    <row r="5932" spans="7:7">
      <c r="G5932" s="7"/>
    </row>
    <row r="5933" spans="7:7">
      <c r="G5933" s="5">
        <v>3338900</v>
      </c>
    </row>
    <row r="5934" spans="7:7">
      <c r="G5934" s="7">
        <v>44659</v>
      </c>
    </row>
    <row r="5935" spans="7:7">
      <c r="G5935" s="19" t="s">
        <v>563</v>
      </c>
    </row>
    <row r="5936" spans="7:7">
      <c r="G5936" s="7"/>
    </row>
    <row r="5937" spans="7:7">
      <c r="G5937" s="5">
        <v>3339646</v>
      </c>
    </row>
    <row r="5938" spans="7:7">
      <c r="G5938" s="7">
        <v>44760</v>
      </c>
    </row>
    <row r="5939" spans="7:7">
      <c r="G5939" s="19" t="s">
        <v>2408</v>
      </c>
    </row>
    <row r="5940" spans="7:7">
      <c r="G5940" s="7"/>
    </row>
    <row r="5941" spans="7:7">
      <c r="G5941" s="5">
        <v>3340381</v>
      </c>
    </row>
    <row r="5942" spans="7:7">
      <c r="G5942" s="7">
        <v>44699</v>
      </c>
    </row>
    <row r="5943" spans="7:7">
      <c r="G5943" s="19" t="s">
        <v>563</v>
      </c>
    </row>
    <row r="5944" spans="7:7">
      <c r="G5944" s="7"/>
    </row>
    <row r="5945" spans="7:7">
      <c r="G5945" s="7">
        <v>44715</v>
      </c>
    </row>
    <row r="5946" spans="7:7">
      <c r="G5946" s="19" t="s">
        <v>2383</v>
      </c>
    </row>
    <row r="5947" spans="7:7">
      <c r="G5947" s="7"/>
    </row>
    <row r="5948" spans="7:7">
      <c r="G5948" s="7">
        <v>44726</v>
      </c>
    </row>
    <row r="5949" spans="7:7">
      <c r="G5949" s="19" t="s">
        <v>2383</v>
      </c>
    </row>
    <row r="5950" spans="7:7">
      <c r="G5950" s="7"/>
    </row>
    <row r="5951" spans="7:7">
      <c r="G5951" s="5">
        <v>3341894</v>
      </c>
    </row>
    <row r="5952" spans="7:7">
      <c r="G5952" s="7">
        <v>44662</v>
      </c>
    </row>
    <row r="5953" spans="7:7">
      <c r="G5953" s="19" t="s">
        <v>563</v>
      </c>
    </row>
    <row r="5954" spans="7:7">
      <c r="G5954" s="7"/>
    </row>
    <row r="5955" spans="7:7">
      <c r="G5955" s="5">
        <v>3342643</v>
      </c>
    </row>
    <row r="5956" spans="7:7">
      <c r="G5956" s="7">
        <v>44519</v>
      </c>
    </row>
    <row r="5957" spans="7:7">
      <c r="G5957" s="19" t="s">
        <v>128</v>
      </c>
    </row>
    <row r="5958" spans="7:7">
      <c r="G5958" s="7"/>
    </row>
    <row r="5959" spans="7:7">
      <c r="G5959" s="5">
        <v>3342662</v>
      </c>
    </row>
    <row r="5960" spans="7:7">
      <c r="G5960" s="7">
        <v>44265</v>
      </c>
    </row>
    <row r="5961" spans="7:7">
      <c r="G5961" s="19" t="s">
        <v>563</v>
      </c>
    </row>
    <row r="5962" spans="7:7">
      <c r="G5962" s="7"/>
    </row>
    <row r="5963" spans="7:7">
      <c r="G5963" s="5">
        <v>3342931</v>
      </c>
    </row>
    <row r="5964" spans="7:7">
      <c r="G5964" s="7">
        <v>44663</v>
      </c>
    </row>
    <row r="5965" spans="7:7">
      <c r="G5965" s="19" t="s">
        <v>563</v>
      </c>
    </row>
    <row r="5966" spans="7:7">
      <c r="G5966" s="7"/>
    </row>
    <row r="5967" spans="7:7">
      <c r="G5967" s="5">
        <v>3343103</v>
      </c>
    </row>
    <row r="5968" spans="7:7">
      <c r="G5968" s="7">
        <v>44720</v>
      </c>
    </row>
    <row r="5969" spans="7:7">
      <c r="G5969" s="19" t="s">
        <v>2383</v>
      </c>
    </row>
    <row r="5970" spans="7:7">
      <c r="G5970" s="7"/>
    </row>
    <row r="5971" spans="7:7">
      <c r="G5971" s="5">
        <v>3343147</v>
      </c>
    </row>
    <row r="5972" spans="7:7">
      <c r="G5972" s="7">
        <v>44420</v>
      </c>
    </row>
    <row r="5973" spans="7:7">
      <c r="G5973" s="19" t="s">
        <v>1111</v>
      </c>
    </row>
    <row r="5974" spans="7:7">
      <c r="G5974" s="7"/>
    </row>
    <row r="5975" spans="7:7">
      <c r="G5975" s="5">
        <v>3345054</v>
      </c>
    </row>
    <row r="5976" spans="7:7">
      <c r="G5976" s="7">
        <v>44714</v>
      </c>
    </row>
    <row r="5977" spans="7:7">
      <c r="G5977" s="19" t="s">
        <v>2383</v>
      </c>
    </row>
    <row r="5978" spans="7:7">
      <c r="G5978" s="7"/>
    </row>
    <row r="5979" spans="7:7">
      <c r="G5979" s="5">
        <v>3345665</v>
      </c>
    </row>
    <row r="5980" spans="7:7">
      <c r="G5980" s="7">
        <v>44657</v>
      </c>
    </row>
    <row r="5981" spans="7:7">
      <c r="G5981" s="19" t="s">
        <v>2420</v>
      </c>
    </row>
    <row r="5982" spans="7:7">
      <c r="G5982" s="7"/>
    </row>
    <row r="5983" spans="7:7">
      <c r="G5983" s="5">
        <v>3347239</v>
      </c>
    </row>
    <row r="5984" spans="7:7">
      <c r="G5984" s="7">
        <v>44596</v>
      </c>
    </row>
    <row r="5985" spans="7:7">
      <c r="G5985" s="19" t="s">
        <v>2073</v>
      </c>
    </row>
    <row r="5986" spans="7:7">
      <c r="G5986" s="7"/>
    </row>
    <row r="5987" spans="7:7">
      <c r="G5987" s="5">
        <v>3350728</v>
      </c>
    </row>
    <row r="5988" spans="7:7">
      <c r="G5988" s="7">
        <v>44727</v>
      </c>
    </row>
    <row r="5989" spans="7:7">
      <c r="G5989" s="19" t="s">
        <v>2383</v>
      </c>
    </row>
    <row r="5990" spans="7:7">
      <c r="G5990" s="7"/>
    </row>
    <row r="5991" spans="7:7">
      <c r="G5991" s="5">
        <v>3350930</v>
      </c>
    </row>
    <row r="5992" spans="7:7">
      <c r="G5992" s="7">
        <v>44533</v>
      </c>
    </row>
    <row r="5993" spans="7:7">
      <c r="G5993" s="19" t="s">
        <v>552</v>
      </c>
    </row>
    <row r="5994" spans="7:7">
      <c r="G5994" s="7"/>
    </row>
    <row r="5995" spans="7:7">
      <c r="G5995" s="5">
        <v>3351083</v>
      </c>
    </row>
    <row r="5996" spans="7:7">
      <c r="G5996" s="7">
        <v>44704</v>
      </c>
    </row>
    <row r="5997" spans="7:7">
      <c r="G5997" s="19" t="s">
        <v>563</v>
      </c>
    </row>
    <row r="5998" spans="7:7">
      <c r="G5998" s="7"/>
    </row>
    <row r="5999" spans="7:7">
      <c r="G5999" s="5">
        <v>3352054</v>
      </c>
    </row>
    <row r="6000" spans="7:7">
      <c r="G6000" s="7">
        <v>44588</v>
      </c>
    </row>
    <row r="6001" spans="7:7">
      <c r="G6001" s="19" t="s">
        <v>1929</v>
      </c>
    </row>
    <row r="6002" spans="7:7">
      <c r="G6002" s="7"/>
    </row>
    <row r="6003" spans="7:7">
      <c r="G6003" s="5">
        <v>3353547</v>
      </c>
    </row>
    <row r="6004" spans="7:7">
      <c r="G6004" s="7">
        <v>44726</v>
      </c>
    </row>
    <row r="6005" spans="7:7">
      <c r="G6005" s="19" t="s">
        <v>2383</v>
      </c>
    </row>
    <row r="6006" spans="7:7">
      <c r="G6006" s="7"/>
    </row>
    <row r="6007" spans="7:7">
      <c r="G6007" s="5">
        <v>3360406</v>
      </c>
    </row>
    <row r="6008" spans="7:7">
      <c r="G6008" s="7">
        <v>44755</v>
      </c>
    </row>
    <row r="6009" spans="7:7">
      <c r="G6009" s="19" t="s">
        <v>3077</v>
      </c>
    </row>
    <row r="6010" spans="7:7">
      <c r="G6010" s="7"/>
    </row>
    <row r="6011" spans="7:7">
      <c r="G6011" s="5">
        <v>3363111</v>
      </c>
    </row>
    <row r="6012" spans="7:7">
      <c r="G6012" s="7">
        <v>44644</v>
      </c>
    </row>
    <row r="6013" spans="7:7">
      <c r="G6013" s="19" t="s">
        <v>2383</v>
      </c>
    </row>
    <row r="6014" spans="7:7">
      <c r="G6014" s="7"/>
    </row>
    <row r="6015" spans="7:7">
      <c r="G6015" s="5">
        <v>3363177</v>
      </c>
    </row>
    <row r="6016" spans="7:7">
      <c r="G6016" s="7">
        <v>44662</v>
      </c>
    </row>
    <row r="6017" spans="7:7">
      <c r="G6017" s="19" t="s">
        <v>563</v>
      </c>
    </row>
    <row r="6018" spans="7:7">
      <c r="G6018" s="7"/>
    </row>
    <row r="6019" spans="7:7">
      <c r="G6019" s="5">
        <v>3363411</v>
      </c>
    </row>
    <row r="6020" spans="7:7">
      <c r="G6020" s="7">
        <v>44363</v>
      </c>
    </row>
    <row r="6021" spans="7:7">
      <c r="G6021" s="19" t="s">
        <v>929</v>
      </c>
    </row>
    <row r="6022" spans="7:7">
      <c r="G6022" s="7"/>
    </row>
    <row r="6023" spans="7:7">
      <c r="G6023" s="5">
        <v>3363546</v>
      </c>
    </row>
    <row r="6024" spans="7:7">
      <c r="G6024" s="7">
        <v>44627</v>
      </c>
    </row>
    <row r="6025" spans="7:7">
      <c r="G6025" s="19" t="s">
        <v>2237</v>
      </c>
    </row>
    <row r="6026" spans="7:7">
      <c r="G6026" s="7"/>
    </row>
    <row r="6027" spans="7:7">
      <c r="G6027" s="5">
        <v>3363634</v>
      </c>
    </row>
    <row r="6028" spans="7:7">
      <c r="G6028" s="7">
        <v>44460</v>
      </c>
    </row>
    <row r="6029" spans="7:7">
      <c r="G6029" s="19" t="s">
        <v>1274</v>
      </c>
    </row>
    <row r="6030" spans="7:7">
      <c r="G6030" s="7"/>
    </row>
    <row r="6031" spans="7:7">
      <c r="G6031" s="5">
        <v>3363660</v>
      </c>
    </row>
    <row r="6032" spans="7:7">
      <c r="G6032" s="7">
        <v>44648</v>
      </c>
    </row>
    <row r="6033" spans="7:7">
      <c r="G6033" s="19" t="s">
        <v>2346</v>
      </c>
    </row>
    <row r="6034" spans="7:7">
      <c r="G6034" s="7"/>
    </row>
    <row r="6035" spans="7:7">
      <c r="G6035" s="5">
        <v>3364745</v>
      </c>
    </row>
    <row r="6036" spans="7:7">
      <c r="G6036" s="7">
        <v>44732</v>
      </c>
    </row>
    <row r="6037" spans="7:7">
      <c r="G6037" s="19" t="s">
        <v>2309</v>
      </c>
    </row>
    <row r="6038" spans="7:7">
      <c r="G6038" s="7"/>
    </row>
    <row r="6039" spans="7:7">
      <c r="G6039" s="5">
        <v>3365434</v>
      </c>
    </row>
    <row r="6040" spans="7:7">
      <c r="G6040" s="7">
        <v>44740</v>
      </c>
    </row>
    <row r="6041" spans="7:7">
      <c r="G6041" s="19" t="s">
        <v>2995</v>
      </c>
    </row>
    <row r="6042" spans="7:7">
      <c r="G6042" s="7"/>
    </row>
    <row r="6043" spans="7:7">
      <c r="G6043" s="5">
        <v>3366557</v>
      </c>
    </row>
    <row r="6044" spans="7:7">
      <c r="G6044" s="7">
        <v>44392</v>
      </c>
    </row>
    <row r="6045" spans="7:7">
      <c r="G6045" s="19" t="s">
        <v>1024</v>
      </c>
    </row>
    <row r="6046" spans="7:7">
      <c r="G6046" s="7"/>
    </row>
    <row r="6047" spans="7:7">
      <c r="G6047" s="5">
        <v>3366933</v>
      </c>
    </row>
    <row r="6048" spans="7:7">
      <c r="G6048" s="7">
        <v>44772</v>
      </c>
    </row>
    <row r="6049" spans="7:7">
      <c r="G6049" s="19" t="s">
        <v>2383</v>
      </c>
    </row>
    <row r="6050" spans="7:7">
      <c r="G6050" s="7"/>
    </row>
    <row r="6051" spans="7:7">
      <c r="G6051" s="5">
        <v>3367738</v>
      </c>
    </row>
    <row r="6052" spans="7:7">
      <c r="G6052" s="7">
        <v>44417</v>
      </c>
    </row>
    <row r="6053" spans="7:7">
      <c r="G6053" s="19" t="s">
        <v>1197</v>
      </c>
    </row>
    <row r="6054" spans="7:7">
      <c r="G6054" s="7"/>
    </row>
    <row r="6055" spans="7:7">
      <c r="G6055" s="5">
        <v>3368092</v>
      </c>
    </row>
    <row r="6056" spans="7:7">
      <c r="G6056" s="7">
        <v>44623</v>
      </c>
    </row>
    <row r="6057" spans="7:7">
      <c r="G6057" s="19" t="s">
        <v>2237</v>
      </c>
    </row>
    <row r="6058" spans="7:7">
      <c r="G6058" s="7"/>
    </row>
    <row r="6059" spans="7:7">
      <c r="G6059" s="5">
        <v>3368167</v>
      </c>
    </row>
    <row r="6060" spans="7:7">
      <c r="G6060" s="7">
        <v>44645</v>
      </c>
    </row>
    <row r="6061" spans="7:7">
      <c r="G6061" s="19" t="s">
        <v>2383</v>
      </c>
    </row>
    <row r="6062" spans="7:7">
      <c r="G6062" s="7"/>
    </row>
    <row r="6063" spans="7:7">
      <c r="G6063" s="5">
        <v>3369299</v>
      </c>
    </row>
    <row r="6064" spans="7:7">
      <c r="G6064" s="7">
        <v>44660</v>
      </c>
    </row>
    <row r="6065" spans="7:7">
      <c r="G6065" s="19" t="s">
        <v>563</v>
      </c>
    </row>
    <row r="6066" spans="7:7">
      <c r="G6066" s="7"/>
    </row>
    <row r="6067" spans="7:7">
      <c r="G6067" s="5">
        <v>3369396</v>
      </c>
    </row>
    <row r="6068" spans="7:7">
      <c r="G6068" s="7">
        <v>44771</v>
      </c>
    </row>
    <row r="6069" spans="7:7">
      <c r="G6069" s="19" t="s">
        <v>3468</v>
      </c>
    </row>
    <row r="6070" spans="7:7">
      <c r="G6070" s="7"/>
    </row>
    <row r="6071" spans="7:7">
      <c r="G6071" s="5">
        <v>3369603</v>
      </c>
    </row>
    <row r="6072" spans="7:7">
      <c r="G6072" s="7">
        <v>44615</v>
      </c>
    </row>
    <row r="6073" spans="7:7">
      <c r="G6073" s="19" t="s">
        <v>1631</v>
      </c>
    </row>
    <row r="6074" spans="7:7">
      <c r="G6074" s="7"/>
    </row>
    <row r="6075" spans="7:7">
      <c r="G6075" s="7">
        <v>44616</v>
      </c>
    </row>
    <row r="6076" spans="7:7">
      <c r="G6076" s="19" t="s">
        <v>1826</v>
      </c>
    </row>
    <row r="6077" spans="7:7">
      <c r="G6077" s="7"/>
    </row>
    <row r="6078" spans="7:7">
      <c r="G6078" s="5">
        <v>3370441</v>
      </c>
    </row>
    <row r="6079" spans="7:7">
      <c r="G6079" s="7">
        <v>44269</v>
      </c>
    </row>
    <row r="6080" spans="7:7">
      <c r="G6080" s="19" t="s">
        <v>85</v>
      </c>
    </row>
    <row r="6081" spans="7:7">
      <c r="G6081" s="7"/>
    </row>
    <row r="6082" spans="7:7">
      <c r="G6082" s="5">
        <v>3370633</v>
      </c>
    </row>
    <row r="6083" spans="7:7">
      <c r="G6083" s="7">
        <v>44704</v>
      </c>
    </row>
    <row r="6084" spans="7:7">
      <c r="G6084" s="19" t="s">
        <v>563</v>
      </c>
    </row>
    <row r="6085" spans="7:7">
      <c r="G6085" s="7"/>
    </row>
    <row r="6086" spans="7:7">
      <c r="G6086" s="5">
        <v>3370639</v>
      </c>
    </row>
    <row r="6087" spans="7:7">
      <c r="G6087" s="7">
        <v>44405</v>
      </c>
    </row>
    <row r="6088" spans="7:7">
      <c r="G6088" s="19" t="s">
        <v>1113</v>
      </c>
    </row>
    <row r="6089" spans="7:7">
      <c r="G6089" s="7"/>
    </row>
    <row r="6090" spans="7:7">
      <c r="G6090" s="7">
        <v>44757</v>
      </c>
    </row>
    <row r="6091" spans="7:7">
      <c r="G6091" s="19" t="s">
        <v>502</v>
      </c>
    </row>
    <row r="6092" spans="7:7">
      <c r="G6092" s="7"/>
    </row>
    <row r="6093" spans="7:7">
      <c r="G6093" s="5">
        <v>3370866</v>
      </c>
    </row>
    <row r="6094" spans="7:7">
      <c r="G6094" s="7">
        <v>44609</v>
      </c>
    </row>
    <row r="6095" spans="7:7">
      <c r="G6095" s="19" t="s">
        <v>89</v>
      </c>
    </row>
    <row r="6096" spans="7:7">
      <c r="G6096" s="7"/>
    </row>
    <row r="6097" spans="7:7">
      <c r="G6097" s="5">
        <v>3371247</v>
      </c>
    </row>
    <row r="6098" spans="7:7">
      <c r="G6098" s="7">
        <v>44672</v>
      </c>
    </row>
    <row r="6099" spans="7:7">
      <c r="G6099" s="19" t="s">
        <v>2309</v>
      </c>
    </row>
    <row r="6100" spans="7:7">
      <c r="G6100" s="7"/>
    </row>
    <row r="6101" spans="7:7">
      <c r="G6101" s="5">
        <v>3371452</v>
      </c>
    </row>
    <row r="6102" spans="7:7">
      <c r="G6102" s="7">
        <v>44553</v>
      </c>
    </row>
    <row r="6103" spans="7:7">
      <c r="G6103" s="19" t="s">
        <v>1653</v>
      </c>
    </row>
    <row r="6104" spans="7:7">
      <c r="G6104" s="7"/>
    </row>
    <row r="6105" spans="7:7">
      <c r="G6105" s="5">
        <v>3371669</v>
      </c>
    </row>
    <row r="6106" spans="7:7">
      <c r="G6106" s="7">
        <v>44742</v>
      </c>
    </row>
    <row r="6107" spans="7:7">
      <c r="G6107" s="19" t="s">
        <v>2383</v>
      </c>
    </row>
    <row r="6108" spans="7:7">
      <c r="G6108" s="7"/>
    </row>
    <row r="6109" spans="7:7">
      <c r="G6109" s="5">
        <v>3371866</v>
      </c>
    </row>
    <row r="6110" spans="7:7">
      <c r="G6110" s="7">
        <v>44648</v>
      </c>
    </row>
    <row r="6111" spans="7:7">
      <c r="G6111" s="19" t="s">
        <v>128</v>
      </c>
    </row>
    <row r="6112" spans="7:7">
      <c r="G6112" s="7"/>
    </row>
    <row r="6113" spans="7:7">
      <c r="G6113" s="5">
        <v>3374617</v>
      </c>
    </row>
    <row r="6114" spans="7:7">
      <c r="G6114" s="7">
        <v>44721</v>
      </c>
    </row>
    <row r="6115" spans="7:7">
      <c r="G6115" s="19" t="s">
        <v>3077</v>
      </c>
    </row>
    <row r="6116" spans="7:7">
      <c r="G6116" s="7"/>
    </row>
    <row r="6117" spans="7:7">
      <c r="G6117" s="5">
        <v>3375940</v>
      </c>
    </row>
    <row r="6118" spans="7:7">
      <c r="G6118" s="7">
        <v>44382</v>
      </c>
    </row>
    <row r="6119" spans="7:7">
      <c r="G6119" s="19" t="s">
        <v>1024</v>
      </c>
    </row>
    <row r="6120" spans="7:7">
      <c r="G6120" s="7"/>
    </row>
    <row r="6121" spans="7:7">
      <c r="G6121" s="5">
        <v>3376059</v>
      </c>
    </row>
    <row r="6122" spans="7:7">
      <c r="G6122" s="7">
        <v>44694</v>
      </c>
    </row>
    <row r="6123" spans="7:7">
      <c r="G6123" s="19" t="s">
        <v>563</v>
      </c>
    </row>
    <row r="6124" spans="7:7">
      <c r="G6124" s="7"/>
    </row>
    <row r="6125" spans="7:7">
      <c r="G6125" s="5">
        <v>3376112</v>
      </c>
    </row>
    <row r="6126" spans="7:7">
      <c r="G6126" s="7">
        <v>44634</v>
      </c>
    </row>
    <row r="6127" spans="7:7">
      <c r="G6127" s="19" t="s">
        <v>563</v>
      </c>
    </row>
    <row r="6128" spans="7:7">
      <c r="G6128" s="7"/>
    </row>
    <row r="6129" spans="7:7">
      <c r="G6129" s="5">
        <v>3376217</v>
      </c>
    </row>
    <row r="6130" spans="7:7">
      <c r="G6130" s="7">
        <v>44603</v>
      </c>
    </row>
    <row r="6131" spans="7:7">
      <c r="G6131" s="19" t="s">
        <v>259</v>
      </c>
    </row>
    <row r="6132" spans="7:7">
      <c r="G6132" s="7"/>
    </row>
    <row r="6133" spans="7:7">
      <c r="G6133" s="5">
        <v>3376224</v>
      </c>
    </row>
    <row r="6134" spans="7:7">
      <c r="G6134" s="7">
        <v>44723</v>
      </c>
    </row>
    <row r="6135" spans="7:7">
      <c r="G6135" s="19" t="s">
        <v>3051</v>
      </c>
    </row>
    <row r="6136" spans="7:7">
      <c r="G6136" s="7"/>
    </row>
    <row r="6137" spans="7:7">
      <c r="G6137" s="7">
        <v>44770</v>
      </c>
    </row>
    <row r="6138" spans="7:7">
      <c r="G6138" s="19" t="s">
        <v>2962</v>
      </c>
    </row>
    <row r="6139" spans="7:7">
      <c r="G6139" s="7"/>
    </row>
    <row r="6140" spans="7:7">
      <c r="G6140" s="5">
        <v>3376802</v>
      </c>
    </row>
    <row r="6141" spans="7:7">
      <c r="G6141" s="7">
        <v>44753</v>
      </c>
    </row>
    <row r="6142" spans="7:7">
      <c r="G6142" s="19" t="s">
        <v>1174</v>
      </c>
    </row>
    <row r="6143" spans="7:7">
      <c r="G6143" s="7"/>
    </row>
    <row r="6144" spans="7:7">
      <c r="G6144" s="5">
        <v>3377309</v>
      </c>
    </row>
    <row r="6145" spans="7:7">
      <c r="G6145" s="7">
        <v>44685</v>
      </c>
    </row>
    <row r="6146" spans="7:7">
      <c r="G6146" s="19" t="s">
        <v>563</v>
      </c>
    </row>
    <row r="6147" spans="7:7">
      <c r="G6147" s="7"/>
    </row>
    <row r="6148" spans="7:7">
      <c r="G6148" s="5">
        <v>3378151</v>
      </c>
    </row>
    <row r="6149" spans="7:7">
      <c r="G6149" s="7">
        <v>44718</v>
      </c>
    </row>
    <row r="6150" spans="7:7">
      <c r="G6150" s="19" t="s">
        <v>2383</v>
      </c>
    </row>
    <row r="6151" spans="7:7">
      <c r="G6151" s="7"/>
    </row>
    <row r="6152" spans="7:7">
      <c r="G6152" s="5">
        <v>3380340</v>
      </c>
    </row>
    <row r="6153" spans="7:7">
      <c r="G6153" s="7">
        <v>44732</v>
      </c>
    </row>
    <row r="6154" spans="7:7">
      <c r="G6154" s="19" t="s">
        <v>1284</v>
      </c>
    </row>
    <row r="6155" spans="7:7">
      <c r="G6155" s="7"/>
    </row>
    <row r="6156" spans="7:7">
      <c r="G6156" s="7">
        <v>44756</v>
      </c>
    </row>
    <row r="6157" spans="7:7">
      <c r="G6157" s="19" t="s">
        <v>1742</v>
      </c>
    </row>
    <row r="6158" spans="7:7">
      <c r="G6158" s="7"/>
    </row>
    <row r="6159" spans="7:7">
      <c r="G6159" s="5">
        <v>3380460</v>
      </c>
    </row>
    <row r="6160" spans="7:7">
      <c r="G6160" s="7">
        <v>44748</v>
      </c>
    </row>
    <row r="6161" spans="7:7">
      <c r="G6161" s="19" t="s">
        <v>3077</v>
      </c>
    </row>
    <row r="6162" spans="7:7">
      <c r="G6162" s="7"/>
    </row>
    <row r="6163" spans="7:7">
      <c r="G6163" s="5">
        <v>3380466</v>
      </c>
    </row>
    <row r="6164" spans="7:7">
      <c r="G6164" s="7">
        <v>44663</v>
      </c>
    </row>
    <row r="6165" spans="7:7">
      <c r="G6165" s="19" t="s">
        <v>563</v>
      </c>
    </row>
    <row r="6166" spans="7:7">
      <c r="G6166" s="7"/>
    </row>
    <row r="6167" spans="7:7">
      <c r="G6167" s="5">
        <v>3380723</v>
      </c>
    </row>
    <row r="6168" spans="7:7">
      <c r="G6168" s="7">
        <v>44642</v>
      </c>
    </row>
    <row r="6169" spans="7:7">
      <c r="G6169" s="19" t="s">
        <v>563</v>
      </c>
    </row>
    <row r="6170" spans="7:7">
      <c r="G6170" s="7"/>
    </row>
    <row r="6171" spans="7:7">
      <c r="G6171" s="5">
        <v>3382854</v>
      </c>
    </row>
    <row r="6172" spans="7:7">
      <c r="G6172" s="7">
        <v>44413</v>
      </c>
    </row>
    <row r="6173" spans="7:7">
      <c r="G6173" s="19" t="s">
        <v>1177</v>
      </c>
    </row>
    <row r="6174" spans="7:7">
      <c r="G6174" s="7"/>
    </row>
    <row r="6175" spans="7:7">
      <c r="G6175" s="5">
        <v>3384770</v>
      </c>
    </row>
    <row r="6176" spans="7:7">
      <c r="G6176" s="7">
        <v>44644</v>
      </c>
    </row>
    <row r="6177" spans="7:7">
      <c r="G6177" s="19" t="s">
        <v>563</v>
      </c>
    </row>
    <row r="6178" spans="7:7">
      <c r="G6178" s="7"/>
    </row>
    <row r="6179" spans="7:7">
      <c r="G6179" s="5">
        <v>3385524</v>
      </c>
    </row>
    <row r="6180" spans="7:7">
      <c r="G6180" s="7">
        <v>44384</v>
      </c>
    </row>
    <row r="6181" spans="7:7">
      <c r="G6181" s="19" t="s">
        <v>143</v>
      </c>
    </row>
    <row r="6182" spans="7:7">
      <c r="G6182" s="7"/>
    </row>
    <row r="6183" spans="7:7">
      <c r="G6183" s="5">
        <v>3386266</v>
      </c>
    </row>
    <row r="6184" spans="7:7">
      <c r="G6184" s="7">
        <v>44644</v>
      </c>
    </row>
    <row r="6185" spans="7:7">
      <c r="G6185" s="19" t="s">
        <v>2241</v>
      </c>
    </row>
    <row r="6186" spans="7:7">
      <c r="G6186" s="7"/>
    </row>
    <row r="6187" spans="7:7">
      <c r="G6187" s="5">
        <v>3386511</v>
      </c>
    </row>
    <row r="6188" spans="7:7">
      <c r="G6188" s="7">
        <v>44120</v>
      </c>
    </row>
    <row r="6189" spans="7:7">
      <c r="G6189" s="19" t="s">
        <v>173</v>
      </c>
    </row>
    <row r="6190" spans="7:7">
      <c r="G6190" s="7"/>
    </row>
    <row r="6191" spans="7:7">
      <c r="G6191" s="5">
        <v>3395822</v>
      </c>
    </row>
    <row r="6192" spans="7:7">
      <c r="G6192" s="7">
        <v>44110</v>
      </c>
    </row>
    <row r="6193" spans="7:7">
      <c r="G6193" s="19" t="s">
        <v>509</v>
      </c>
    </row>
    <row r="6194" spans="7:7">
      <c r="G6194" s="7"/>
    </row>
    <row r="6195" spans="7:7">
      <c r="G6195" s="7">
        <v>44204</v>
      </c>
    </row>
    <row r="6196" spans="7:7">
      <c r="G6196" s="19" t="s">
        <v>509</v>
      </c>
    </row>
    <row r="6197" spans="7:7">
      <c r="G6197" s="7"/>
    </row>
    <row r="6198" spans="7:7">
      <c r="G6198" s="5">
        <v>3397746</v>
      </c>
    </row>
    <row r="6199" spans="7:7">
      <c r="G6199" s="7">
        <v>44511</v>
      </c>
    </row>
    <row r="6200" spans="7:7">
      <c r="G6200" s="19" t="s">
        <v>1845</v>
      </c>
    </row>
    <row r="6201" spans="7:7">
      <c r="G6201" s="7"/>
    </row>
    <row r="6202" spans="7:7">
      <c r="G6202" s="7">
        <v>44728</v>
      </c>
    </row>
    <row r="6203" spans="7:7">
      <c r="G6203" s="19" t="s">
        <v>1203</v>
      </c>
    </row>
    <row r="6204" spans="7:7">
      <c r="G6204" s="7"/>
    </row>
    <row r="6205" spans="7:7">
      <c r="G6205" s="5">
        <v>3400343</v>
      </c>
    </row>
    <row r="6206" spans="7:7">
      <c r="G6206" s="7">
        <v>44694</v>
      </c>
    </row>
    <row r="6207" spans="7:7">
      <c r="G6207" s="19" t="s">
        <v>2526</v>
      </c>
    </row>
    <row r="6208" spans="7:7">
      <c r="G6208" s="7"/>
    </row>
    <row r="6209" spans="7:7">
      <c r="G6209" s="7">
        <v>44750</v>
      </c>
    </row>
    <row r="6210" spans="7:7">
      <c r="G6210" s="19" t="s">
        <v>1679</v>
      </c>
    </row>
    <row r="6211" spans="7:7">
      <c r="G6211" s="7"/>
    </row>
    <row r="6212" spans="7:7">
      <c r="G6212" s="5">
        <v>3402217</v>
      </c>
    </row>
    <row r="6213" spans="7:7">
      <c r="G6213" s="7">
        <v>44343</v>
      </c>
    </row>
    <row r="6214" spans="7:7">
      <c r="G6214" s="19" t="s">
        <v>765</v>
      </c>
    </row>
    <row r="6215" spans="7:7">
      <c r="G6215" s="7"/>
    </row>
    <row r="6216" spans="7:7">
      <c r="G6216" s="5">
        <v>3402617</v>
      </c>
    </row>
    <row r="6217" spans="7:7">
      <c r="G6217" s="7">
        <v>44607</v>
      </c>
    </row>
    <row r="6218" spans="7:7">
      <c r="G6218" s="19" t="s">
        <v>180</v>
      </c>
    </row>
    <row r="6219" spans="7:7">
      <c r="G6219" s="7"/>
    </row>
    <row r="6220" spans="7:7">
      <c r="G6220" s="5">
        <v>3402707</v>
      </c>
    </row>
    <row r="6221" spans="7:7">
      <c r="G6221" s="7">
        <v>44703</v>
      </c>
    </row>
    <row r="6222" spans="7:7">
      <c r="G6222" s="19" t="s">
        <v>563</v>
      </c>
    </row>
    <row r="6223" spans="7:7">
      <c r="G6223" s="7"/>
    </row>
    <row r="6224" spans="7:7">
      <c r="G6224" s="5">
        <v>3402878</v>
      </c>
    </row>
    <row r="6225" spans="7:7">
      <c r="G6225" s="7">
        <v>44455</v>
      </c>
    </row>
    <row r="6226" spans="7:7">
      <c r="G6226" s="19" t="s">
        <v>1300</v>
      </c>
    </row>
    <row r="6227" spans="7:7">
      <c r="G6227" s="7"/>
    </row>
    <row r="6228" spans="7:7">
      <c r="G6228" s="5">
        <v>3404440</v>
      </c>
    </row>
    <row r="6229" spans="7:7">
      <c r="G6229" s="7">
        <v>44596</v>
      </c>
    </row>
    <row r="6230" spans="7:7">
      <c r="G6230" s="19" t="s">
        <v>2075</v>
      </c>
    </row>
    <row r="6231" spans="7:7">
      <c r="G6231" s="7"/>
    </row>
    <row r="6232" spans="7:7">
      <c r="G6232" s="5">
        <v>3410802</v>
      </c>
    </row>
    <row r="6233" spans="7:7">
      <c r="G6233" s="7">
        <v>44757</v>
      </c>
    </row>
    <row r="6234" spans="7:7">
      <c r="G6234" s="19" t="s">
        <v>1100</v>
      </c>
    </row>
    <row r="6235" spans="7:7">
      <c r="G6235" s="7"/>
    </row>
    <row r="6236" spans="7:7">
      <c r="G6236" s="5">
        <v>3420804</v>
      </c>
    </row>
    <row r="6237" spans="7:7">
      <c r="G6237" s="7">
        <v>44741</v>
      </c>
    </row>
    <row r="6238" spans="7:7">
      <c r="G6238" s="19" t="s">
        <v>3077</v>
      </c>
    </row>
    <row r="6239" spans="7:7">
      <c r="G6239" s="7"/>
    </row>
    <row r="6240" spans="7:7">
      <c r="G6240" s="5">
        <v>3420953</v>
      </c>
    </row>
    <row r="6241" spans="7:7">
      <c r="G6241" s="7">
        <v>44441</v>
      </c>
    </row>
    <row r="6242" spans="7:7">
      <c r="G6242" s="19" t="s">
        <v>1300</v>
      </c>
    </row>
    <row r="6243" spans="7:7">
      <c r="G6243" s="7"/>
    </row>
    <row r="6244" spans="7:7">
      <c r="G6244" s="5">
        <v>3421275</v>
      </c>
    </row>
    <row r="6245" spans="7:7">
      <c r="G6245" s="7">
        <v>44593</v>
      </c>
    </row>
    <row r="6246" spans="7:7">
      <c r="G6246" s="19" t="s">
        <v>2102</v>
      </c>
    </row>
    <row r="6247" spans="7:7">
      <c r="G6247" s="7"/>
    </row>
    <row r="6248" spans="7:7">
      <c r="G6248" s="5">
        <v>3438469</v>
      </c>
    </row>
    <row r="6249" spans="7:7">
      <c r="G6249" s="7">
        <v>44748</v>
      </c>
    </row>
    <row r="6250" spans="7:7">
      <c r="G6250" s="19" t="s">
        <v>2383</v>
      </c>
    </row>
    <row r="6251" spans="7:7">
      <c r="G6251" s="7"/>
    </row>
    <row r="6252" spans="7:7">
      <c r="G6252" s="5">
        <v>3439213</v>
      </c>
    </row>
    <row r="6253" spans="7:7">
      <c r="G6253" s="7">
        <v>44729</v>
      </c>
    </row>
    <row r="6254" spans="7:7">
      <c r="G6254" s="19" t="s">
        <v>2383</v>
      </c>
    </row>
    <row r="6255" spans="7:7">
      <c r="G6255" s="7"/>
    </row>
    <row r="6256" spans="7:7">
      <c r="G6256" s="5">
        <v>3455545</v>
      </c>
    </row>
    <row r="6257" spans="7:7">
      <c r="G6257" s="7">
        <v>44721</v>
      </c>
    </row>
    <row r="6258" spans="7:7">
      <c r="G6258" s="19" t="s">
        <v>2383</v>
      </c>
    </row>
    <row r="6259" spans="7:7">
      <c r="G6259" s="7"/>
    </row>
    <row r="6260" spans="7:7">
      <c r="G6260" s="5">
        <v>3462403</v>
      </c>
    </row>
    <row r="6261" spans="7:7">
      <c r="G6261" s="7">
        <v>44679</v>
      </c>
    </row>
    <row r="6262" spans="7:7">
      <c r="G6262" s="19" t="s">
        <v>563</v>
      </c>
    </row>
    <row r="6263" spans="7:7">
      <c r="G6263" s="7"/>
    </row>
    <row r="6264" spans="7:7">
      <c r="G6264" s="7">
        <v>44707</v>
      </c>
    </row>
    <row r="6265" spans="7:7">
      <c r="G6265" s="19" t="s">
        <v>2962</v>
      </c>
    </row>
    <row r="6266" spans="7:7">
      <c r="G6266" s="7"/>
    </row>
    <row r="6267" spans="7:7">
      <c r="G6267" s="7">
        <v>44700</v>
      </c>
    </row>
    <row r="6268" spans="7:7">
      <c r="G6268" s="19" t="s">
        <v>563</v>
      </c>
    </row>
    <row r="6269" spans="7:7">
      <c r="G6269" s="7"/>
    </row>
    <row r="6270" spans="7:7">
      <c r="G6270" s="5">
        <v>3464909</v>
      </c>
    </row>
    <row r="6271" spans="7:7">
      <c r="G6271" s="7">
        <v>44741</v>
      </c>
    </row>
    <row r="6272" spans="7:7">
      <c r="G6272" s="19" t="s">
        <v>2383</v>
      </c>
    </row>
    <row r="6273" spans="7:7">
      <c r="G6273" s="7"/>
    </row>
    <row r="6274" spans="7:7">
      <c r="G6274" s="5">
        <v>3468373</v>
      </c>
    </row>
    <row r="6275" spans="7:7">
      <c r="G6275" s="7">
        <v>44662</v>
      </c>
    </row>
    <row r="6276" spans="7:7">
      <c r="G6276" s="19" t="s">
        <v>563</v>
      </c>
    </row>
    <row r="6277" spans="7:7">
      <c r="G6277" s="7"/>
    </row>
    <row r="6278" spans="7:7">
      <c r="G6278" s="5">
        <v>3469956</v>
      </c>
    </row>
    <row r="6279" spans="7:7">
      <c r="G6279" s="7">
        <v>44340</v>
      </c>
    </row>
    <row r="6280" spans="7:7">
      <c r="G6280" s="19" t="s">
        <v>89</v>
      </c>
    </row>
    <row r="6281" spans="7:7">
      <c r="G6281" s="7"/>
    </row>
    <row r="6282" spans="7:7">
      <c r="G6282" s="5">
        <v>3472746</v>
      </c>
    </row>
    <row r="6283" spans="7:7">
      <c r="G6283" s="7">
        <v>44685</v>
      </c>
    </row>
    <row r="6284" spans="7:7">
      <c r="G6284" s="19" t="s">
        <v>563</v>
      </c>
    </row>
    <row r="6285" spans="7:7">
      <c r="G6285" s="7"/>
    </row>
    <row r="6286" spans="7:7">
      <c r="G6286" s="5">
        <v>3479017</v>
      </c>
    </row>
    <row r="6287" spans="7:7">
      <c r="G6287" s="7">
        <v>44140</v>
      </c>
    </row>
    <row r="6288" spans="7:7">
      <c r="G6288" s="19" t="s">
        <v>304</v>
      </c>
    </row>
    <row r="6289" spans="7:7">
      <c r="G6289" s="7"/>
    </row>
    <row r="6290" spans="7:7">
      <c r="G6290" s="5">
        <v>3481236</v>
      </c>
    </row>
    <row r="6291" spans="7:7">
      <c r="G6291" s="7">
        <v>43972</v>
      </c>
    </row>
    <row r="6292" spans="7:7">
      <c r="G6292" s="19" t="s">
        <v>107</v>
      </c>
    </row>
    <row r="6293" spans="7:7">
      <c r="G6293" s="7"/>
    </row>
    <row r="6294" spans="7:7">
      <c r="G6294" s="7">
        <v>43993</v>
      </c>
    </row>
    <row r="6295" spans="7:7">
      <c r="G6295" s="19" t="s">
        <v>89</v>
      </c>
    </row>
    <row r="6296" spans="7:7">
      <c r="G6296" s="7"/>
    </row>
    <row r="6297" spans="7:7">
      <c r="G6297" s="5">
        <v>3484735</v>
      </c>
    </row>
    <row r="6298" spans="7:7">
      <c r="G6298" s="7">
        <v>44742</v>
      </c>
    </row>
    <row r="6299" spans="7:7">
      <c r="G6299" s="19" t="s">
        <v>2383</v>
      </c>
    </row>
    <row r="6300" spans="7:7">
      <c r="G6300" s="7"/>
    </row>
    <row r="6301" spans="7:7">
      <c r="G6301" s="5">
        <v>3488185</v>
      </c>
    </row>
    <row r="6302" spans="7:7">
      <c r="G6302" s="7">
        <v>44533</v>
      </c>
    </row>
    <row r="6303" spans="7:7">
      <c r="G6303" s="19" t="s">
        <v>1964</v>
      </c>
    </row>
    <row r="6304" spans="7:7">
      <c r="G6304" s="7"/>
    </row>
    <row r="6305" spans="7:7">
      <c r="G6305" s="5">
        <v>3498173</v>
      </c>
    </row>
    <row r="6306" spans="7:7">
      <c r="G6306" s="7">
        <v>44741</v>
      </c>
    </row>
    <row r="6307" spans="7:7">
      <c r="G6307" s="19" t="s">
        <v>2383</v>
      </c>
    </row>
    <row r="6308" spans="7:7">
      <c r="G6308" s="7"/>
    </row>
    <row r="6309" spans="7:7">
      <c r="G6309" s="5">
        <v>3498767</v>
      </c>
    </row>
    <row r="6310" spans="7:7">
      <c r="G6310" s="7">
        <v>44284</v>
      </c>
    </row>
    <row r="6311" spans="7:7">
      <c r="G6311" s="19" t="s">
        <v>550</v>
      </c>
    </row>
    <row r="6312" spans="7:7">
      <c r="G6312" s="7"/>
    </row>
    <row r="6313" spans="7:7">
      <c r="G6313" s="5">
        <v>3500090</v>
      </c>
    </row>
    <row r="6314" spans="7:7">
      <c r="G6314" s="7">
        <v>44540</v>
      </c>
    </row>
    <row r="6315" spans="7:7">
      <c r="G6315" s="19" t="s">
        <v>502</v>
      </c>
    </row>
    <row r="6316" spans="7:7">
      <c r="G6316" s="7"/>
    </row>
    <row r="6317" spans="7:7">
      <c r="G6317" s="5">
        <v>3505860</v>
      </c>
    </row>
    <row r="6318" spans="7:7">
      <c r="G6318" s="7">
        <v>44651</v>
      </c>
    </row>
    <row r="6319" spans="7:7">
      <c r="G6319" s="19" t="s">
        <v>1934</v>
      </c>
    </row>
    <row r="6320" spans="7:7">
      <c r="G6320" s="7"/>
    </row>
    <row r="6321" spans="7:7">
      <c r="G6321" s="5">
        <v>3506580</v>
      </c>
    </row>
    <row r="6322" spans="7:7">
      <c r="G6322" s="7">
        <v>44677</v>
      </c>
    </row>
    <row r="6323" spans="7:7">
      <c r="G6323" s="19" t="s">
        <v>563</v>
      </c>
    </row>
    <row r="6324" spans="7:7">
      <c r="G6324" s="7"/>
    </row>
    <row r="6325" spans="7:7">
      <c r="G6325" s="5">
        <v>3510329</v>
      </c>
    </row>
    <row r="6326" spans="7:7">
      <c r="G6326" s="7">
        <v>44312</v>
      </c>
    </row>
    <row r="6327" spans="7:7">
      <c r="G6327" s="19" t="s">
        <v>89</v>
      </c>
    </row>
    <row r="6328" spans="7:7">
      <c r="G6328" s="7"/>
    </row>
    <row r="6329" spans="7:7">
      <c r="G6329" s="5">
        <v>3514951</v>
      </c>
    </row>
    <row r="6330" spans="7:7">
      <c r="G6330" s="7">
        <v>44698</v>
      </c>
    </row>
    <row r="6331" spans="7:7">
      <c r="G6331" s="19" t="s">
        <v>151</v>
      </c>
    </row>
    <row r="6332" spans="7:7">
      <c r="G6332" s="7"/>
    </row>
    <row r="6333" spans="7:7">
      <c r="G6333" s="5">
        <v>3519128</v>
      </c>
    </row>
    <row r="6334" spans="7:7">
      <c r="G6334" s="7">
        <v>44767</v>
      </c>
    </row>
    <row r="6335" spans="7:7">
      <c r="G6335" s="19" t="s">
        <v>1113</v>
      </c>
    </row>
    <row r="6336" spans="7:7">
      <c r="G6336" s="7"/>
    </row>
    <row r="6337" spans="7:7">
      <c r="G6337" s="5">
        <v>3522181</v>
      </c>
    </row>
    <row r="6338" spans="7:7">
      <c r="G6338" s="7">
        <v>44672</v>
      </c>
    </row>
    <row r="6339" spans="7:7">
      <c r="G6339" s="19" t="s">
        <v>563</v>
      </c>
    </row>
    <row r="6340" spans="7:7">
      <c r="G6340" s="7"/>
    </row>
    <row r="6341" spans="7:7">
      <c r="G6341" s="7">
        <v>44683</v>
      </c>
    </row>
    <row r="6342" spans="7:7">
      <c r="G6342" s="19" t="s">
        <v>563</v>
      </c>
    </row>
    <row r="6343" spans="7:7">
      <c r="G6343" s="7"/>
    </row>
    <row r="6344" spans="7:7">
      <c r="G6344" s="5">
        <v>3523627</v>
      </c>
    </row>
    <row r="6345" spans="7:7">
      <c r="G6345" s="7">
        <v>44768</v>
      </c>
    </row>
    <row r="6346" spans="7:7">
      <c r="G6346" s="19" t="s">
        <v>2383</v>
      </c>
    </row>
    <row r="6347" spans="7:7">
      <c r="G6347" s="7"/>
    </row>
    <row r="6348" spans="7:7">
      <c r="G6348" s="5">
        <v>3523973</v>
      </c>
    </row>
    <row r="6349" spans="7:7">
      <c r="G6349" s="7">
        <v>44313</v>
      </c>
    </row>
    <row r="6350" spans="7:7">
      <c r="G6350" s="19" t="s">
        <v>89</v>
      </c>
    </row>
    <row r="6351" spans="7:7">
      <c r="G6351" s="7"/>
    </row>
    <row r="6352" spans="7:7">
      <c r="G6352" s="5">
        <v>3528035</v>
      </c>
    </row>
    <row r="6353" spans="7:7">
      <c r="G6353" s="7">
        <v>44491</v>
      </c>
    </row>
    <row r="6354" spans="7:7">
      <c r="G6354" s="19" t="s">
        <v>128</v>
      </c>
    </row>
    <row r="6355" spans="7:7">
      <c r="G6355" s="7"/>
    </row>
    <row r="6356" spans="7:7">
      <c r="G6356" s="5">
        <v>3530558</v>
      </c>
    </row>
    <row r="6357" spans="7:7">
      <c r="G6357" s="7">
        <v>44545</v>
      </c>
    </row>
    <row r="6358" spans="7:7">
      <c r="G6358" s="19" t="s">
        <v>1300</v>
      </c>
    </row>
    <row r="6359" spans="7:7">
      <c r="G6359" s="7"/>
    </row>
    <row r="6360" spans="7:7">
      <c r="G6360" s="5">
        <v>3531880</v>
      </c>
    </row>
    <row r="6361" spans="7:7">
      <c r="G6361" s="7">
        <v>44414</v>
      </c>
    </row>
    <row r="6362" spans="7:7">
      <c r="G6362" s="19" t="s">
        <v>1204</v>
      </c>
    </row>
    <row r="6363" spans="7:7">
      <c r="G6363" s="7"/>
    </row>
    <row r="6364" spans="7:7">
      <c r="G6364" s="5">
        <v>3533030</v>
      </c>
    </row>
    <row r="6365" spans="7:7">
      <c r="G6365" s="7">
        <v>44683</v>
      </c>
    </row>
    <row r="6366" spans="7:7">
      <c r="G6366" s="19" t="s">
        <v>550</v>
      </c>
    </row>
    <row r="6367" spans="7:7">
      <c r="G6367" s="7"/>
    </row>
    <row r="6368" spans="7:7">
      <c r="G6368" s="7">
        <v>44705</v>
      </c>
    </row>
    <row r="6369" spans="7:7">
      <c r="G6369" s="19" t="s">
        <v>166</v>
      </c>
    </row>
    <row r="6370" spans="7:7">
      <c r="G6370" s="7"/>
    </row>
    <row r="6371" spans="7:7">
      <c r="G6371" s="5">
        <v>3540490</v>
      </c>
    </row>
    <row r="6372" spans="7:7">
      <c r="G6372" s="7">
        <v>44734</v>
      </c>
    </row>
    <row r="6373" spans="7:7">
      <c r="G6373" s="19" t="s">
        <v>2383</v>
      </c>
    </row>
    <row r="6374" spans="7:7">
      <c r="G6374" s="7"/>
    </row>
    <row r="6375" spans="7:7">
      <c r="G6375" s="5">
        <v>3548642</v>
      </c>
    </row>
    <row r="6376" spans="7:7">
      <c r="G6376" s="7">
        <v>44733</v>
      </c>
    </row>
    <row r="6377" spans="7:7">
      <c r="G6377" s="19" t="s">
        <v>2383</v>
      </c>
    </row>
    <row r="6378" spans="7:7">
      <c r="G6378" s="7"/>
    </row>
    <row r="6379" spans="7:7">
      <c r="G6379" s="5">
        <v>3548944</v>
      </c>
    </row>
    <row r="6380" spans="7:7">
      <c r="G6380" s="7">
        <v>44414</v>
      </c>
    </row>
    <row r="6381" spans="7:7">
      <c r="G6381" s="19" t="s">
        <v>550</v>
      </c>
    </row>
    <row r="6382" spans="7:7">
      <c r="G6382" s="7"/>
    </row>
    <row r="6383" spans="7:7">
      <c r="G6383" s="7">
        <v>44483</v>
      </c>
    </row>
    <row r="6384" spans="7:7">
      <c r="G6384" s="19" t="s">
        <v>550</v>
      </c>
    </row>
    <row r="6385" spans="7:7">
      <c r="G6385" s="7"/>
    </row>
    <row r="6386" spans="7:7">
      <c r="G6386" s="7">
        <v>44502</v>
      </c>
    </row>
    <row r="6387" spans="7:7">
      <c r="G6387" s="19" t="s">
        <v>180</v>
      </c>
    </row>
    <row r="6388" spans="7:7">
      <c r="G6388" s="7"/>
    </row>
    <row r="6389" spans="7:7">
      <c r="G6389" s="5">
        <v>3549265</v>
      </c>
    </row>
    <row r="6390" spans="7:7">
      <c r="G6390" s="7">
        <v>44651</v>
      </c>
    </row>
    <row r="6391" spans="7:7">
      <c r="G6391" s="19" t="s">
        <v>563</v>
      </c>
    </row>
    <row r="6392" spans="7:7">
      <c r="G6392" s="7"/>
    </row>
    <row r="6393" spans="7:7">
      <c r="G6393" s="5">
        <v>3552115</v>
      </c>
    </row>
    <row r="6394" spans="7:7">
      <c r="G6394" s="7">
        <v>44361</v>
      </c>
    </row>
    <row r="6395" spans="7:7">
      <c r="G6395" s="19" t="s">
        <v>100</v>
      </c>
    </row>
    <row r="6396" spans="7:7">
      <c r="G6396" s="19" t="s">
        <v>89</v>
      </c>
    </row>
    <row r="6397" spans="7:7">
      <c r="G6397" s="7"/>
    </row>
    <row r="6398" spans="7:7">
      <c r="G6398" s="7">
        <v>44686</v>
      </c>
    </row>
    <row r="6399" spans="7:7">
      <c r="G6399" s="19" t="s">
        <v>550</v>
      </c>
    </row>
    <row r="6400" spans="7:7">
      <c r="G6400" s="7"/>
    </row>
    <row r="6401" spans="7:7">
      <c r="G6401" s="5">
        <v>3554561</v>
      </c>
    </row>
    <row r="6402" spans="7:7">
      <c r="G6402" s="7">
        <v>44615</v>
      </c>
    </row>
    <row r="6403" spans="7:7">
      <c r="G6403" s="19" t="s">
        <v>1929</v>
      </c>
    </row>
    <row r="6404" spans="7:7">
      <c r="G6404" s="7"/>
    </row>
    <row r="6405" spans="7:7">
      <c r="G6405" s="7">
        <v>44641</v>
      </c>
    </row>
    <row r="6406" spans="7:7">
      <c r="G6406" s="19" t="s">
        <v>502</v>
      </c>
    </row>
    <row r="6407" spans="7:7">
      <c r="G6407" s="7"/>
    </row>
    <row r="6408" spans="7:7">
      <c r="G6408" s="7">
        <v>44718</v>
      </c>
    </row>
    <row r="6409" spans="7:7">
      <c r="G6409" s="19" t="s">
        <v>3051</v>
      </c>
    </row>
    <row r="6410" spans="7:7">
      <c r="G6410" s="7"/>
    </row>
    <row r="6411" spans="7:7">
      <c r="G6411" s="5">
        <v>3557378</v>
      </c>
    </row>
    <row r="6412" spans="7:7">
      <c r="G6412" s="7">
        <v>44768</v>
      </c>
    </row>
    <row r="6413" spans="7:7">
      <c r="G6413" s="19" t="s">
        <v>2383</v>
      </c>
    </row>
    <row r="6414" spans="7:7">
      <c r="G6414" s="7"/>
    </row>
    <row r="6415" spans="7:7">
      <c r="G6415" s="5">
        <v>3559035</v>
      </c>
    </row>
    <row r="6416" spans="7:7">
      <c r="G6416" s="7">
        <v>44663</v>
      </c>
    </row>
    <row r="6417" spans="7:7">
      <c r="G6417" s="19" t="s">
        <v>1711</v>
      </c>
    </row>
    <row r="6418" spans="7:7">
      <c r="G6418" s="7"/>
    </row>
    <row r="6419" spans="7:7">
      <c r="G6419" s="5">
        <v>3563590</v>
      </c>
    </row>
    <row r="6420" spans="7:7">
      <c r="G6420" s="7">
        <v>44410</v>
      </c>
    </row>
    <row r="6421" spans="7:7">
      <c r="G6421" s="19" t="s">
        <v>107</v>
      </c>
    </row>
    <row r="6422" spans="7:7">
      <c r="G6422" s="7"/>
    </row>
    <row r="6423" spans="7:7">
      <c r="G6423" s="7">
        <v>44382</v>
      </c>
    </row>
    <row r="6424" spans="7:7">
      <c r="G6424" s="19" t="s">
        <v>89</v>
      </c>
    </row>
    <row r="6425" spans="7:7">
      <c r="G6425" s="7"/>
    </row>
    <row r="6426" spans="7:7">
      <c r="G6426" s="7">
        <v>44550</v>
      </c>
    </row>
    <row r="6427" spans="7:7">
      <c r="G6427" s="19" t="s">
        <v>107</v>
      </c>
    </row>
    <row r="6428" spans="7:7">
      <c r="G6428" s="7"/>
    </row>
    <row r="6429" spans="7:7">
      <c r="G6429" s="5">
        <v>3567377</v>
      </c>
    </row>
    <row r="6430" spans="7:7">
      <c r="G6430" s="7">
        <v>44355</v>
      </c>
    </row>
    <row r="6431" spans="7:7">
      <c r="G6431" s="19" t="s">
        <v>128</v>
      </c>
    </row>
    <row r="6432" spans="7:7">
      <c r="G6432" s="7"/>
    </row>
    <row r="6433" spans="7:7">
      <c r="G6433" s="5">
        <v>3570397</v>
      </c>
    </row>
    <row r="6434" spans="7:7">
      <c r="G6434" s="7">
        <v>44769</v>
      </c>
    </row>
    <row r="6435" spans="7:7">
      <c r="G6435" s="19" t="s">
        <v>3468</v>
      </c>
    </row>
    <row r="6436" spans="7:7">
      <c r="G6436" s="7"/>
    </row>
    <row r="6437" spans="7:7">
      <c r="G6437" s="5">
        <v>3573173</v>
      </c>
    </row>
    <row r="6438" spans="7:7">
      <c r="G6438" s="7">
        <v>44760</v>
      </c>
    </row>
    <row r="6439" spans="7:7">
      <c r="G6439" s="19" t="s">
        <v>2383</v>
      </c>
    </row>
    <row r="6440" spans="7:7">
      <c r="G6440" s="7"/>
    </row>
    <row r="6441" spans="7:7">
      <c r="G6441" s="5">
        <v>3573472</v>
      </c>
    </row>
    <row r="6442" spans="7:7">
      <c r="G6442" s="7">
        <v>44656</v>
      </c>
    </row>
    <row r="6443" spans="7:7">
      <c r="G6443" s="19" t="s">
        <v>563</v>
      </c>
    </row>
    <row r="6444" spans="7:7">
      <c r="G6444" s="7"/>
    </row>
    <row r="6445" spans="7:7">
      <c r="G6445" s="5">
        <v>3576139</v>
      </c>
    </row>
    <row r="6446" spans="7:7">
      <c r="G6446" s="7">
        <v>44547</v>
      </c>
    </row>
    <row r="6447" spans="7:7">
      <c r="G6447" s="19" t="s">
        <v>1711</v>
      </c>
    </row>
    <row r="6448" spans="7:7">
      <c r="G6448" s="7"/>
    </row>
    <row r="6449" spans="7:7">
      <c r="G6449" s="5">
        <v>3577766</v>
      </c>
    </row>
    <row r="6450" spans="7:7">
      <c r="G6450" s="7">
        <v>44699</v>
      </c>
    </row>
    <row r="6451" spans="7:7">
      <c r="G6451" s="19" t="s">
        <v>2309</v>
      </c>
    </row>
    <row r="6452" spans="7:7">
      <c r="G6452" s="7"/>
    </row>
    <row r="6453" spans="7:7">
      <c r="G6453" s="5">
        <v>3577809</v>
      </c>
    </row>
    <row r="6454" spans="7:7">
      <c r="G6454" s="7">
        <v>44465</v>
      </c>
    </row>
    <row r="6455" spans="7:7">
      <c r="G6455" s="19" t="s">
        <v>1665</v>
      </c>
    </row>
    <row r="6456" spans="7:7">
      <c r="G6456" s="7"/>
    </row>
    <row r="6457" spans="7:7">
      <c r="G6457" s="5">
        <v>3578548</v>
      </c>
    </row>
    <row r="6458" spans="7:7">
      <c r="G6458" s="7">
        <v>44630</v>
      </c>
    </row>
    <row r="6459" spans="7:7">
      <c r="G6459" s="19" t="s">
        <v>128</v>
      </c>
    </row>
    <row r="6460" spans="7:7">
      <c r="G6460" s="7"/>
    </row>
    <row r="6461" spans="7:7">
      <c r="G6461" s="5">
        <v>3581709</v>
      </c>
    </row>
    <row r="6462" spans="7:7">
      <c r="G6462" s="7">
        <v>44705</v>
      </c>
    </row>
    <row r="6463" spans="7:7">
      <c r="G6463" s="19" t="s">
        <v>563</v>
      </c>
    </row>
    <row r="6464" spans="7:7">
      <c r="G6464" s="7"/>
    </row>
    <row r="6465" spans="7:7">
      <c r="G6465" s="5">
        <v>3586766</v>
      </c>
    </row>
    <row r="6466" spans="7:7">
      <c r="G6466" s="7">
        <v>44599</v>
      </c>
    </row>
    <row r="6467" spans="7:7">
      <c r="G6467" s="19" t="s">
        <v>95</v>
      </c>
    </row>
    <row r="6468" spans="7:7">
      <c r="G6468" s="7"/>
    </row>
    <row r="6469" spans="7:7">
      <c r="G6469" s="5">
        <v>3592432</v>
      </c>
    </row>
    <row r="6470" spans="7:7">
      <c r="G6470" s="7">
        <v>44588</v>
      </c>
    </row>
    <row r="6471" spans="7:7">
      <c r="G6471" s="19" t="s">
        <v>503</v>
      </c>
    </row>
    <row r="6472" spans="7:7">
      <c r="G6472" s="7"/>
    </row>
    <row r="6473" spans="7:7">
      <c r="G6473" s="5">
        <v>3593893</v>
      </c>
    </row>
    <row r="6474" spans="7:7">
      <c r="G6474" s="7">
        <v>44767</v>
      </c>
    </row>
    <row r="6475" spans="7:7">
      <c r="G6475" s="19" t="s">
        <v>2383</v>
      </c>
    </row>
    <row r="6476" spans="7:7">
      <c r="G6476" s="7"/>
    </row>
    <row r="6477" spans="7:7">
      <c r="G6477" s="5">
        <v>3595373</v>
      </c>
    </row>
    <row r="6478" spans="7:7">
      <c r="G6478" s="7">
        <v>44773</v>
      </c>
    </row>
    <row r="6479" spans="7:7">
      <c r="G6479" s="19" t="s">
        <v>3511</v>
      </c>
    </row>
    <row r="6480" spans="7:7">
      <c r="G6480" s="7"/>
    </row>
    <row r="6481" spans="7:7">
      <c r="G6481" s="5">
        <v>3596437</v>
      </c>
    </row>
    <row r="6482" spans="7:7">
      <c r="G6482" s="7">
        <v>44743</v>
      </c>
    </row>
    <row r="6483" spans="7:7">
      <c r="G6483" s="19" t="s">
        <v>2309</v>
      </c>
    </row>
    <row r="6484" spans="7:7">
      <c r="G6484" s="7"/>
    </row>
    <row r="6485" spans="7:7">
      <c r="G6485" s="5">
        <v>3597904</v>
      </c>
    </row>
    <row r="6486" spans="7:7">
      <c r="G6486" s="7">
        <v>44687</v>
      </c>
    </row>
    <row r="6487" spans="7:7">
      <c r="G6487" s="19" t="s">
        <v>563</v>
      </c>
    </row>
    <row r="6488" spans="7:7">
      <c r="G6488" s="7"/>
    </row>
    <row r="6489" spans="7:7">
      <c r="G6489" s="5">
        <v>3598140</v>
      </c>
    </row>
    <row r="6490" spans="7:7">
      <c r="G6490" s="7">
        <v>44754</v>
      </c>
    </row>
    <row r="6491" spans="7:7">
      <c r="G6491" s="19" t="s">
        <v>2383</v>
      </c>
    </row>
    <row r="6492" spans="7:7">
      <c r="G6492" s="7"/>
    </row>
    <row r="6493" spans="7:7">
      <c r="G6493" s="5">
        <v>3598373</v>
      </c>
    </row>
    <row r="6494" spans="7:7">
      <c r="G6494" s="7">
        <v>44635</v>
      </c>
    </row>
    <row r="6495" spans="7:7">
      <c r="G6495" s="19" t="s">
        <v>563</v>
      </c>
    </row>
    <row r="6496" spans="7:7">
      <c r="G6496" s="7"/>
    </row>
    <row r="6497" spans="7:7">
      <c r="G6497" s="5">
        <v>3599663</v>
      </c>
    </row>
    <row r="6498" spans="7:7">
      <c r="G6498" s="7">
        <v>44677</v>
      </c>
    </row>
    <row r="6499" spans="7:7">
      <c r="G6499" s="19" t="s">
        <v>563</v>
      </c>
    </row>
    <row r="6500" spans="7:7">
      <c r="G6500" s="7"/>
    </row>
    <row r="6501" spans="7:7">
      <c r="G6501" s="5">
        <v>3600230</v>
      </c>
    </row>
    <row r="6502" spans="7:7">
      <c r="G6502" s="7">
        <v>44382</v>
      </c>
    </row>
    <row r="6503" spans="7:7">
      <c r="G6503" s="19" t="s">
        <v>1061</v>
      </c>
    </row>
    <row r="6504" spans="7:7">
      <c r="G6504" s="7"/>
    </row>
    <row r="6505" spans="7:7">
      <c r="G6505" s="5">
        <v>3604125</v>
      </c>
    </row>
    <row r="6506" spans="7:7">
      <c r="G6506" s="7">
        <v>44280</v>
      </c>
    </row>
    <row r="6507" spans="7:7">
      <c r="G6507" s="19" t="s">
        <v>107</v>
      </c>
    </row>
    <row r="6508" spans="7:7">
      <c r="G6508" s="7"/>
    </row>
    <row r="6509" spans="7:7">
      <c r="G6509" s="5">
        <v>3605138</v>
      </c>
    </row>
    <row r="6510" spans="7:7">
      <c r="G6510" s="7">
        <v>44734</v>
      </c>
    </row>
    <row r="6511" spans="7:7">
      <c r="G6511" s="19" t="s">
        <v>2383</v>
      </c>
    </row>
    <row r="6512" spans="7:7">
      <c r="G6512" s="7"/>
    </row>
    <row r="6513" spans="7:7">
      <c r="G6513" s="5">
        <v>3614606</v>
      </c>
    </row>
    <row r="6514" spans="7:7">
      <c r="G6514" s="7">
        <v>44750</v>
      </c>
    </row>
    <row r="6515" spans="7:7">
      <c r="G6515" s="19" t="s">
        <v>2309</v>
      </c>
    </row>
    <row r="6516" spans="7:7">
      <c r="G6516" s="7"/>
    </row>
    <row r="6517" spans="7:7">
      <c r="G6517" s="5">
        <v>3615004</v>
      </c>
    </row>
    <row r="6518" spans="7:7">
      <c r="G6518" s="7">
        <v>44383</v>
      </c>
    </row>
    <row r="6519" spans="7:7">
      <c r="G6519" s="19" t="s">
        <v>552</v>
      </c>
    </row>
    <row r="6520" spans="7:7">
      <c r="G6520" s="7"/>
    </row>
    <row r="6521" spans="7:7">
      <c r="G6521" s="5">
        <v>3616089</v>
      </c>
    </row>
    <row r="6522" spans="7:7">
      <c r="G6522" s="7">
        <v>44728</v>
      </c>
    </row>
    <row r="6523" spans="7:7">
      <c r="G6523" s="19" t="s">
        <v>1934</v>
      </c>
    </row>
    <row r="6524" spans="7:7">
      <c r="G6524" s="7"/>
    </row>
    <row r="6525" spans="7:7">
      <c r="G6525" s="5">
        <v>3616768</v>
      </c>
    </row>
    <row r="6526" spans="7:7">
      <c r="G6526" s="7">
        <v>44439</v>
      </c>
    </row>
    <row r="6527" spans="7:7">
      <c r="G6527" s="19" t="s">
        <v>151</v>
      </c>
    </row>
    <row r="6528" spans="7:7">
      <c r="G6528" s="7"/>
    </row>
    <row r="6529" spans="7:7">
      <c r="G6529" s="5">
        <v>3618906</v>
      </c>
    </row>
    <row r="6530" spans="7:7">
      <c r="G6530" s="7">
        <v>44658</v>
      </c>
    </row>
    <row r="6531" spans="7:7">
      <c r="G6531" s="19" t="s">
        <v>563</v>
      </c>
    </row>
    <row r="6532" spans="7:7">
      <c r="G6532" s="7"/>
    </row>
    <row r="6533" spans="7:7">
      <c r="G6533" s="5">
        <v>3623437</v>
      </c>
    </row>
    <row r="6534" spans="7:7">
      <c r="G6534" s="7">
        <v>44691</v>
      </c>
    </row>
    <row r="6535" spans="7:7">
      <c r="G6535" s="19" t="s">
        <v>118</v>
      </c>
    </row>
    <row r="6536" spans="7:7">
      <c r="G6536" s="7"/>
    </row>
    <row r="6537" spans="7:7">
      <c r="G6537" s="7">
        <v>44707</v>
      </c>
    </row>
    <row r="6538" spans="7:7">
      <c r="G6538" s="19" t="s">
        <v>2201</v>
      </c>
    </row>
    <row r="6539" spans="7:7">
      <c r="G6539" s="7"/>
    </row>
    <row r="6540" spans="7:7">
      <c r="G6540" s="5">
        <v>3629338</v>
      </c>
    </row>
    <row r="6541" spans="7:7">
      <c r="G6541" s="7">
        <v>44662</v>
      </c>
    </row>
    <row r="6542" spans="7:7">
      <c r="G6542" s="19" t="s">
        <v>563</v>
      </c>
    </row>
    <row r="6543" spans="7:7">
      <c r="G6543" s="7"/>
    </row>
    <row r="6544" spans="7:7">
      <c r="G6544" s="5">
        <v>3640428</v>
      </c>
    </row>
    <row r="6545" spans="7:7">
      <c r="G6545" s="7">
        <v>44769</v>
      </c>
    </row>
    <row r="6546" spans="7:7">
      <c r="G6546" s="19" t="s">
        <v>2383</v>
      </c>
    </row>
    <row r="6547" spans="7:7">
      <c r="G6547" s="7"/>
    </row>
    <row r="6548" spans="7:7">
      <c r="G6548" s="5">
        <v>3644737</v>
      </c>
    </row>
    <row r="6549" spans="7:7">
      <c r="G6549" s="7">
        <v>44624</v>
      </c>
    </row>
    <row r="6550" spans="7:7">
      <c r="G6550" s="19" t="s">
        <v>151</v>
      </c>
    </row>
    <row r="6551" spans="7:7">
      <c r="G6551" s="7"/>
    </row>
    <row r="6552" spans="7:7">
      <c r="G6552" s="7">
        <v>44623</v>
      </c>
    </row>
    <row r="6553" spans="7:7">
      <c r="G6553" s="19" t="s">
        <v>151</v>
      </c>
    </row>
    <row r="6554" spans="7:7">
      <c r="G6554" s="7"/>
    </row>
    <row r="6555" spans="7:7">
      <c r="G6555" s="5">
        <v>3650220</v>
      </c>
    </row>
    <row r="6556" spans="7:7">
      <c r="G6556" s="7">
        <v>44622</v>
      </c>
    </row>
    <row r="6557" spans="7:7">
      <c r="G6557" s="19" t="s">
        <v>516</v>
      </c>
    </row>
    <row r="6558" spans="7:7">
      <c r="G6558" s="7"/>
    </row>
    <row r="6559" spans="7:7">
      <c r="G6559" s="5">
        <v>3653590</v>
      </c>
    </row>
    <row r="6560" spans="7:7">
      <c r="G6560" s="7">
        <v>44460</v>
      </c>
    </row>
    <row r="6561" spans="7:7">
      <c r="G6561" s="19" t="s">
        <v>180</v>
      </c>
    </row>
    <row r="6562" spans="7:7">
      <c r="G6562" s="7"/>
    </row>
    <row r="6563" spans="7:7">
      <c r="G6563" s="5">
        <v>3664781</v>
      </c>
    </row>
    <row r="6564" spans="7:7">
      <c r="G6564" s="7">
        <v>44707</v>
      </c>
    </row>
    <row r="6565" spans="7:7">
      <c r="G6565" s="19" t="s">
        <v>563</v>
      </c>
    </row>
    <row r="6566" spans="7:7">
      <c r="G6566" s="7"/>
    </row>
    <row r="6567" spans="7:7">
      <c r="G6567" s="5">
        <v>3676151</v>
      </c>
    </row>
    <row r="6568" spans="7:7">
      <c r="G6568" s="7">
        <v>44734</v>
      </c>
    </row>
    <row r="6569" spans="7:7">
      <c r="G6569" s="19" t="s">
        <v>2962</v>
      </c>
    </row>
    <row r="6570" spans="7:7">
      <c r="G6570" s="7"/>
    </row>
    <row r="6571" spans="7:7">
      <c r="G6571" s="5">
        <v>3680137</v>
      </c>
    </row>
    <row r="6572" spans="7:7">
      <c r="G6572" s="7">
        <v>44735</v>
      </c>
    </row>
    <row r="6573" spans="7:7">
      <c r="G6573" s="19" t="s">
        <v>502</v>
      </c>
    </row>
    <row r="6574" spans="7:7">
      <c r="G6574" s="7"/>
    </row>
    <row r="6575" spans="7:7">
      <c r="G6575" s="5">
        <v>3683023</v>
      </c>
    </row>
    <row r="6576" spans="7:7">
      <c r="G6576" s="7">
        <v>44741</v>
      </c>
    </row>
    <row r="6577" spans="7:7">
      <c r="G6577" s="19" t="s">
        <v>2383</v>
      </c>
    </row>
    <row r="6578" spans="7:7">
      <c r="G6578" s="7"/>
    </row>
    <row r="6579" spans="7:7">
      <c r="G6579" s="5">
        <v>3687383</v>
      </c>
    </row>
    <row r="6580" spans="7:7">
      <c r="G6580" s="7">
        <v>44322</v>
      </c>
    </row>
    <row r="6581" spans="7:7">
      <c r="G6581" s="19" t="s">
        <v>563</v>
      </c>
    </row>
    <row r="6582" spans="7:7">
      <c r="G6582" s="7"/>
    </row>
    <row r="6583" spans="7:7">
      <c r="G6583" s="5">
        <v>3700936</v>
      </c>
    </row>
    <row r="6584" spans="7:7">
      <c r="G6584" s="7">
        <v>44768</v>
      </c>
    </row>
    <row r="6585" spans="7:7">
      <c r="G6585" s="19" t="s">
        <v>2383</v>
      </c>
    </row>
    <row r="6586" spans="7:7">
      <c r="G6586" s="7"/>
    </row>
    <row r="6587" spans="7:7">
      <c r="G6587" s="5">
        <v>3701013</v>
      </c>
    </row>
    <row r="6588" spans="7:7">
      <c r="G6588" s="7">
        <v>44264</v>
      </c>
    </row>
    <row r="6589" spans="7:7">
      <c r="G6589" s="19" t="s">
        <v>563</v>
      </c>
    </row>
    <row r="6590" spans="7:7">
      <c r="G6590" s="7"/>
    </row>
    <row r="6591" spans="7:7">
      <c r="G6591" s="5">
        <v>3702102</v>
      </c>
    </row>
    <row r="6592" spans="7:7">
      <c r="G6592" s="7">
        <v>44615</v>
      </c>
    </row>
    <row r="6593" spans="7:7">
      <c r="G6593" s="19" t="s">
        <v>1233</v>
      </c>
    </row>
    <row r="6594" spans="7:7">
      <c r="G6594" s="7"/>
    </row>
    <row r="6595" spans="7:7">
      <c r="G6595" s="5">
        <v>3707082</v>
      </c>
    </row>
    <row r="6596" spans="7:7">
      <c r="G6596" s="7">
        <v>44526</v>
      </c>
    </row>
    <row r="6597" spans="7:7">
      <c r="G6597" s="19" t="s">
        <v>1293</v>
      </c>
    </row>
    <row r="6598" spans="7:7">
      <c r="G6598" s="7"/>
    </row>
    <row r="6599" spans="7:7">
      <c r="G6599" s="5">
        <v>3708150</v>
      </c>
    </row>
    <row r="6600" spans="7:7">
      <c r="G6600" s="7">
        <v>44741</v>
      </c>
    </row>
    <row r="6601" spans="7:7">
      <c r="G6601" s="19" t="s">
        <v>1100</v>
      </c>
    </row>
    <row r="6602" spans="7:7">
      <c r="G6602" s="7"/>
    </row>
    <row r="6603" spans="7:7">
      <c r="G6603" s="5">
        <v>3712568</v>
      </c>
    </row>
    <row r="6604" spans="7:7">
      <c r="G6604" s="7">
        <v>44755</v>
      </c>
    </row>
    <row r="6605" spans="7:7">
      <c r="G6605" s="19" t="s">
        <v>2383</v>
      </c>
    </row>
    <row r="6606" spans="7:7">
      <c r="G6606" s="7"/>
    </row>
    <row r="6607" spans="7:7">
      <c r="G6607" s="5">
        <v>3717556</v>
      </c>
    </row>
    <row r="6608" spans="7:7">
      <c r="G6608" s="7">
        <v>44680</v>
      </c>
    </row>
    <row r="6609" spans="7:7">
      <c r="G6609" s="19" t="s">
        <v>118</v>
      </c>
    </row>
    <row r="6610" spans="7:7">
      <c r="G6610" s="7"/>
    </row>
    <row r="6611" spans="7:7">
      <c r="G6611" s="5">
        <v>3720067</v>
      </c>
    </row>
    <row r="6612" spans="7:7">
      <c r="G6612" s="7">
        <v>44259</v>
      </c>
    </row>
    <row r="6613" spans="7:7">
      <c r="G6613" s="19" t="s">
        <v>85</v>
      </c>
    </row>
    <row r="6614" spans="7:7">
      <c r="G6614" s="7"/>
    </row>
    <row r="6615" spans="7:7">
      <c r="G6615" s="5">
        <v>3722962</v>
      </c>
    </row>
    <row r="6616" spans="7:7">
      <c r="G6616" s="7">
        <v>44750</v>
      </c>
    </row>
    <row r="6617" spans="7:7">
      <c r="G6617" s="19" t="s">
        <v>1679</v>
      </c>
    </row>
    <row r="6618" spans="7:7">
      <c r="G6618" s="7"/>
    </row>
    <row r="6619" spans="7:7">
      <c r="G6619" s="5">
        <v>3724710</v>
      </c>
    </row>
    <row r="6620" spans="7:7">
      <c r="G6620" s="7">
        <v>44739</v>
      </c>
    </row>
    <row r="6621" spans="7:7">
      <c r="G6621" s="19" t="s">
        <v>2383</v>
      </c>
    </row>
    <row r="6622" spans="7:7">
      <c r="G6622" s="7"/>
    </row>
    <row r="6623" spans="7:7">
      <c r="G6623" s="5">
        <v>3726292</v>
      </c>
    </row>
    <row r="6624" spans="7:7">
      <c r="G6624" s="7">
        <v>44532</v>
      </c>
    </row>
    <row r="6625" spans="7:7">
      <c r="G6625" s="19" t="s">
        <v>502</v>
      </c>
    </row>
    <row r="6626" spans="7:7">
      <c r="G6626" s="7"/>
    </row>
    <row r="6627" spans="7:7">
      <c r="G6627" s="5">
        <v>3728661</v>
      </c>
    </row>
    <row r="6628" spans="7:7">
      <c r="G6628" s="7">
        <v>44463</v>
      </c>
    </row>
    <row r="6629" spans="7:7">
      <c r="G6629" s="19" t="s">
        <v>1203</v>
      </c>
    </row>
    <row r="6630" spans="7:7">
      <c r="G6630" s="7"/>
    </row>
    <row r="6631" spans="7:7">
      <c r="G6631" s="7">
        <v>44532</v>
      </c>
    </row>
    <row r="6632" spans="7:7">
      <c r="G6632" s="19" t="s">
        <v>1934</v>
      </c>
    </row>
    <row r="6633" spans="7:7">
      <c r="G6633" s="7"/>
    </row>
    <row r="6634" spans="7:7">
      <c r="G6634" s="5">
        <v>3729226</v>
      </c>
    </row>
    <row r="6635" spans="7:7">
      <c r="G6635" s="7">
        <v>44459</v>
      </c>
    </row>
    <row r="6636" spans="7:7">
      <c r="G6636" s="19" t="s">
        <v>1300</v>
      </c>
    </row>
    <row r="6637" spans="7:7">
      <c r="G6637" s="7"/>
    </row>
    <row r="6638" spans="7:7">
      <c r="G6638" s="5">
        <v>3729371</v>
      </c>
    </row>
    <row r="6639" spans="7:7">
      <c r="G6639" s="7">
        <v>44599</v>
      </c>
    </row>
    <row r="6640" spans="7:7">
      <c r="G6640" s="19" t="s">
        <v>1203</v>
      </c>
    </row>
    <row r="6641" spans="7:7">
      <c r="G6641" s="7"/>
    </row>
    <row r="6642" spans="7:7">
      <c r="G6642" s="5">
        <v>3729647</v>
      </c>
    </row>
    <row r="6643" spans="7:7">
      <c r="G6643" s="7">
        <v>44655</v>
      </c>
    </row>
    <row r="6644" spans="7:7">
      <c r="G6644" s="19" t="s">
        <v>1711</v>
      </c>
    </row>
    <row r="6645" spans="7:7">
      <c r="G6645" s="7"/>
    </row>
    <row r="6646" spans="7:7">
      <c r="G6646" s="5">
        <v>3730388</v>
      </c>
    </row>
    <row r="6647" spans="7:7">
      <c r="G6647" s="7">
        <v>44386</v>
      </c>
    </row>
    <row r="6648" spans="7:7">
      <c r="G6648" s="19" t="s">
        <v>530</v>
      </c>
    </row>
    <row r="6649" spans="7:7">
      <c r="G6649" s="7"/>
    </row>
    <row r="6650" spans="7:7">
      <c r="G6650" s="5">
        <v>3730882</v>
      </c>
    </row>
    <row r="6651" spans="7:7">
      <c r="G6651" s="7">
        <v>44657</v>
      </c>
    </row>
    <row r="6652" spans="7:7">
      <c r="G6652" s="19" t="s">
        <v>1635</v>
      </c>
    </row>
    <row r="6653" spans="7:7">
      <c r="G6653" s="7"/>
    </row>
    <row r="6654" spans="7:7">
      <c r="G6654" s="5">
        <v>3732036</v>
      </c>
    </row>
    <row r="6655" spans="7:7">
      <c r="G6655" s="7">
        <v>44761</v>
      </c>
    </row>
    <row r="6656" spans="7:7">
      <c r="G6656" s="19" t="s">
        <v>2383</v>
      </c>
    </row>
    <row r="6657" spans="7:7">
      <c r="G6657" s="7"/>
    </row>
    <row r="6658" spans="7:7">
      <c r="G6658" s="7">
        <v>44764</v>
      </c>
    </row>
    <row r="6659" spans="7:7">
      <c r="G6659" s="19" t="s">
        <v>2962</v>
      </c>
    </row>
    <row r="6660" spans="7:7">
      <c r="G6660" s="7"/>
    </row>
    <row r="6661" spans="7:7">
      <c r="G6661" s="5">
        <v>3732079</v>
      </c>
    </row>
    <row r="6662" spans="7:7">
      <c r="G6662" s="7">
        <v>44743</v>
      </c>
    </row>
    <row r="6663" spans="7:7">
      <c r="G6663" s="19" t="s">
        <v>2383</v>
      </c>
    </row>
    <row r="6664" spans="7:7">
      <c r="G6664" s="7"/>
    </row>
    <row r="6665" spans="7:7">
      <c r="G6665" s="5">
        <v>3733434</v>
      </c>
    </row>
    <row r="6666" spans="7:7">
      <c r="G6666" s="7">
        <v>44664</v>
      </c>
    </row>
    <row r="6667" spans="7:7">
      <c r="G6667" s="19" t="s">
        <v>2241</v>
      </c>
    </row>
    <row r="6668" spans="7:7">
      <c r="G6668" s="7"/>
    </row>
    <row r="6669" spans="7:7">
      <c r="G6669" s="7">
        <v>44663</v>
      </c>
    </row>
    <row r="6670" spans="7:7">
      <c r="G6670" s="19" t="s">
        <v>2237</v>
      </c>
    </row>
    <row r="6671" spans="7:7">
      <c r="G6671" s="7"/>
    </row>
    <row r="6672" spans="7:7">
      <c r="G6672" s="5">
        <v>3734787</v>
      </c>
    </row>
    <row r="6673" spans="7:7">
      <c r="G6673" s="7">
        <v>44393</v>
      </c>
    </row>
    <row r="6674" spans="7:7">
      <c r="G6674" s="19" t="s">
        <v>995</v>
      </c>
    </row>
    <row r="6675" spans="7:7">
      <c r="G6675" s="7"/>
    </row>
    <row r="6676" spans="7:7">
      <c r="G6676" s="5">
        <v>3736050</v>
      </c>
    </row>
    <row r="6677" spans="7:7">
      <c r="G6677" s="7">
        <v>44739</v>
      </c>
    </row>
    <row r="6678" spans="7:7">
      <c r="G6678" s="19" t="s">
        <v>2995</v>
      </c>
    </row>
    <row r="6679" spans="7:7">
      <c r="G6679" s="7"/>
    </row>
    <row r="6680" spans="7:7">
      <c r="G6680" s="5">
        <v>3737444</v>
      </c>
    </row>
    <row r="6681" spans="7:7">
      <c r="G6681" s="7">
        <v>44572</v>
      </c>
    </row>
    <row r="6682" spans="7:7">
      <c r="G6682" s="19" t="s">
        <v>128</v>
      </c>
    </row>
    <row r="6683" spans="7:7">
      <c r="G6683" s="7"/>
    </row>
    <row r="6684" spans="7:7">
      <c r="G6684" s="5">
        <v>3737671</v>
      </c>
    </row>
    <row r="6685" spans="7:7">
      <c r="G6685" s="7">
        <v>44411</v>
      </c>
    </row>
    <row r="6686" spans="7:7">
      <c r="G6686" s="19" t="s">
        <v>1168</v>
      </c>
    </row>
    <row r="6687" spans="7:7">
      <c r="G6687" s="7"/>
    </row>
    <row r="6688" spans="7:7">
      <c r="G6688" s="5">
        <v>3737822</v>
      </c>
    </row>
    <row r="6689" spans="7:7">
      <c r="G6689" s="7">
        <v>44396</v>
      </c>
    </row>
    <row r="6690" spans="7:7">
      <c r="G6690" s="19" t="s">
        <v>1120</v>
      </c>
    </row>
    <row r="6691" spans="7:7">
      <c r="G6691" s="7"/>
    </row>
    <row r="6692" spans="7:7">
      <c r="G6692" s="5">
        <v>3742410</v>
      </c>
    </row>
    <row r="6693" spans="7:7">
      <c r="G6693" s="7">
        <v>44580</v>
      </c>
    </row>
    <row r="6694" spans="7:7">
      <c r="G6694" s="19" t="s">
        <v>1116</v>
      </c>
    </row>
    <row r="6695" spans="7:7">
      <c r="G6695" s="7"/>
    </row>
    <row r="6696" spans="7:7">
      <c r="G6696" s="7">
        <v>44706</v>
      </c>
    </row>
    <row r="6697" spans="7:7">
      <c r="G6697" s="19" t="s">
        <v>1826</v>
      </c>
    </row>
    <row r="6698" spans="7:7">
      <c r="G6698" s="7"/>
    </row>
    <row r="6699" spans="7:7">
      <c r="G6699" s="5">
        <v>3742578</v>
      </c>
    </row>
    <row r="6700" spans="7:7">
      <c r="G6700" s="7">
        <v>44678</v>
      </c>
    </row>
    <row r="6701" spans="7:7">
      <c r="G6701" s="19" t="s">
        <v>563</v>
      </c>
    </row>
    <row r="6702" spans="7:7">
      <c r="G6702" s="7"/>
    </row>
    <row r="6703" spans="7:7">
      <c r="G6703" s="7">
        <v>44718</v>
      </c>
    </row>
    <row r="6704" spans="7:7">
      <c r="G6704" s="19" t="s">
        <v>2383</v>
      </c>
    </row>
    <row r="6705" spans="7:7">
      <c r="G6705" s="7"/>
    </row>
    <row r="6706" spans="7:7">
      <c r="G6706" s="7">
        <v>44726</v>
      </c>
    </row>
    <row r="6707" spans="7:7">
      <c r="G6707" s="19" t="s">
        <v>2383</v>
      </c>
    </row>
    <row r="6708" spans="7:7">
      <c r="G6708" s="7"/>
    </row>
    <row r="6709" spans="7:7">
      <c r="G6709" s="5">
        <v>3742908</v>
      </c>
    </row>
    <row r="6710" spans="7:7">
      <c r="G6710" s="7">
        <v>44761</v>
      </c>
    </row>
    <row r="6711" spans="7:7">
      <c r="G6711" s="19" t="s">
        <v>260</v>
      </c>
    </row>
    <row r="6712" spans="7:7">
      <c r="G6712" s="7"/>
    </row>
    <row r="6713" spans="7:7">
      <c r="G6713" s="5">
        <v>3745640</v>
      </c>
    </row>
    <row r="6714" spans="7:7">
      <c r="G6714" s="7">
        <v>44333</v>
      </c>
    </row>
    <row r="6715" spans="7:7">
      <c r="G6715" s="19" t="s">
        <v>89</v>
      </c>
    </row>
    <row r="6716" spans="7:7">
      <c r="G6716" s="7"/>
    </row>
    <row r="6717" spans="7:7">
      <c r="G6717" s="7">
        <v>44305</v>
      </c>
    </row>
    <row r="6718" spans="7:7">
      <c r="G6718" s="19" t="s">
        <v>550</v>
      </c>
    </row>
    <row r="6719" spans="7:7">
      <c r="G6719" s="7"/>
    </row>
    <row r="6720" spans="7:7">
      <c r="G6720" s="5">
        <v>3748869</v>
      </c>
    </row>
    <row r="6721" spans="7:7">
      <c r="G6721" s="7">
        <v>44396</v>
      </c>
    </row>
    <row r="6722" spans="7:7">
      <c r="G6722" s="19" t="s">
        <v>1129</v>
      </c>
    </row>
    <row r="6723" spans="7:7">
      <c r="G6723" s="7"/>
    </row>
    <row r="6724" spans="7:7">
      <c r="G6724" s="5">
        <v>3753083</v>
      </c>
    </row>
    <row r="6725" spans="7:7">
      <c r="G6725" s="7">
        <v>44762</v>
      </c>
    </row>
    <row r="6726" spans="7:7">
      <c r="G6726" s="19" t="s">
        <v>2383</v>
      </c>
    </row>
    <row r="6727" spans="7:7">
      <c r="G6727" s="7"/>
    </row>
    <row r="6728" spans="7:7">
      <c r="G6728" s="5">
        <v>3753240</v>
      </c>
    </row>
    <row r="6729" spans="7:7">
      <c r="G6729" s="7">
        <v>44712</v>
      </c>
    </row>
    <row r="6730" spans="7:7">
      <c r="G6730" s="19" t="s">
        <v>2962</v>
      </c>
    </row>
    <row r="6731" spans="7:7">
      <c r="G6731" s="7"/>
    </row>
    <row r="6732" spans="7:7">
      <c r="G6732" s="5">
        <v>3754139</v>
      </c>
    </row>
    <row r="6733" spans="7:7">
      <c r="G6733" s="7">
        <v>44690</v>
      </c>
    </row>
    <row r="6734" spans="7:7">
      <c r="G6734" s="19" t="s">
        <v>563</v>
      </c>
    </row>
    <row r="6735" spans="7:7">
      <c r="G6735" s="7"/>
    </row>
    <row r="6736" spans="7:7">
      <c r="G6736" s="5">
        <v>3760411</v>
      </c>
    </row>
    <row r="6737" spans="7:7">
      <c r="G6737" s="7">
        <v>44265</v>
      </c>
    </row>
    <row r="6738" spans="7:7">
      <c r="G6738" s="19" t="s">
        <v>563</v>
      </c>
    </row>
    <row r="6739" spans="7:7">
      <c r="G6739" s="7"/>
    </row>
    <row r="6740" spans="7:7">
      <c r="G6740" s="5">
        <v>3760816</v>
      </c>
    </row>
    <row r="6741" spans="7:7">
      <c r="G6741" s="7">
        <v>44382</v>
      </c>
    </row>
    <row r="6742" spans="7:7">
      <c r="G6742" s="19" t="s">
        <v>735</v>
      </c>
    </row>
    <row r="6743" spans="7:7">
      <c r="G6743" s="7"/>
    </row>
    <row r="6744" spans="7:7">
      <c r="G6744" s="5">
        <v>3762468</v>
      </c>
    </row>
    <row r="6745" spans="7:7">
      <c r="G6745" s="7">
        <v>44760</v>
      </c>
    </row>
    <row r="6746" spans="7:7">
      <c r="G6746" s="19" t="s">
        <v>2383</v>
      </c>
    </row>
    <row r="6747" spans="7:7">
      <c r="G6747" s="7"/>
    </row>
    <row r="6748" spans="7:7">
      <c r="G6748" s="5">
        <v>3767295</v>
      </c>
    </row>
    <row r="6749" spans="7:7">
      <c r="G6749" s="7">
        <v>44764</v>
      </c>
    </row>
    <row r="6750" spans="7:7">
      <c r="G6750" s="19" t="s">
        <v>2383</v>
      </c>
    </row>
    <row r="6751" spans="7:7">
      <c r="G6751" s="7"/>
    </row>
    <row r="6752" spans="7:7">
      <c r="G6752" s="5">
        <v>3768770</v>
      </c>
    </row>
    <row r="6753" spans="7:7">
      <c r="G6753" s="7">
        <v>44712</v>
      </c>
    </row>
    <row r="6754" spans="7:7">
      <c r="G6754" s="19" t="s">
        <v>2962</v>
      </c>
    </row>
    <row r="6755" spans="7:7">
      <c r="G6755" s="7"/>
    </row>
    <row r="6756" spans="7:7">
      <c r="G6756" s="5">
        <v>3771922</v>
      </c>
    </row>
    <row r="6757" spans="7:7">
      <c r="G6757" s="7">
        <v>44722</v>
      </c>
    </row>
    <row r="6758" spans="7:7">
      <c r="G6758" s="19" t="s">
        <v>2383</v>
      </c>
    </row>
    <row r="6759" spans="7:7">
      <c r="G6759" s="7"/>
    </row>
    <row r="6760" spans="7:7">
      <c r="G6760" s="5">
        <v>3775306</v>
      </c>
    </row>
    <row r="6761" spans="7:7">
      <c r="G6761" s="7">
        <v>44707</v>
      </c>
    </row>
    <row r="6762" spans="7:7">
      <c r="G6762" s="19" t="s">
        <v>1711</v>
      </c>
    </row>
    <row r="6763" spans="7:7">
      <c r="G6763" s="7"/>
    </row>
    <row r="6764" spans="7:7">
      <c r="G6764" s="5">
        <v>3775935</v>
      </c>
    </row>
    <row r="6765" spans="7:7">
      <c r="G6765" s="7">
        <v>44672</v>
      </c>
    </row>
    <row r="6766" spans="7:7">
      <c r="G6766" s="19" t="s">
        <v>563</v>
      </c>
    </row>
    <row r="6767" spans="7:7">
      <c r="G6767" s="7"/>
    </row>
    <row r="6768" spans="7:7">
      <c r="G6768" s="5">
        <v>3776416</v>
      </c>
    </row>
    <row r="6769" spans="7:7">
      <c r="G6769" s="7">
        <v>44728</v>
      </c>
    </row>
    <row r="6770" spans="7:7">
      <c r="G6770" s="19" t="s">
        <v>2383</v>
      </c>
    </row>
    <row r="6771" spans="7:7">
      <c r="G6771" s="7"/>
    </row>
    <row r="6772" spans="7:7">
      <c r="G6772" s="5">
        <v>3776552</v>
      </c>
    </row>
    <row r="6773" spans="7:7">
      <c r="G6773" s="7">
        <v>44707</v>
      </c>
    </row>
    <row r="6774" spans="7:7">
      <c r="G6774" s="19" t="s">
        <v>2201</v>
      </c>
    </row>
    <row r="6775" spans="7:7">
      <c r="G6775" s="7"/>
    </row>
    <row r="6776" spans="7:7">
      <c r="G6776" s="5">
        <v>3776832</v>
      </c>
    </row>
    <row r="6777" spans="7:7">
      <c r="G6777" s="7">
        <v>44684</v>
      </c>
    </row>
    <row r="6778" spans="7:7">
      <c r="G6778" s="19" t="s">
        <v>563</v>
      </c>
    </row>
    <row r="6779" spans="7:7">
      <c r="G6779" s="7"/>
    </row>
    <row r="6780" spans="7:7">
      <c r="G6780" s="5">
        <v>3778362</v>
      </c>
    </row>
    <row r="6781" spans="7:7">
      <c r="G6781" s="7">
        <v>44425</v>
      </c>
    </row>
    <row r="6782" spans="7:7">
      <c r="G6782" s="19" t="s">
        <v>1293</v>
      </c>
    </row>
    <row r="6783" spans="7:7">
      <c r="G6783" s="7"/>
    </row>
    <row r="6784" spans="7:7">
      <c r="G6784" s="7">
        <v>44392</v>
      </c>
    </row>
    <row r="6785" spans="7:7">
      <c r="G6785" s="19" t="s">
        <v>841</v>
      </c>
    </row>
    <row r="6786" spans="7:7">
      <c r="G6786" s="7"/>
    </row>
    <row r="6787" spans="7:7">
      <c r="G6787" s="7">
        <v>44385</v>
      </c>
    </row>
    <row r="6788" spans="7:7">
      <c r="G6788" s="19" t="s">
        <v>143</v>
      </c>
    </row>
    <row r="6789" spans="7:7">
      <c r="G6789" s="7"/>
    </row>
    <row r="6790" spans="7:7">
      <c r="G6790" s="7">
        <v>44369</v>
      </c>
    </row>
    <row r="6791" spans="7:7">
      <c r="G6791" s="19" t="s">
        <v>325</v>
      </c>
    </row>
    <row r="6792" spans="7:7">
      <c r="G6792" s="7"/>
    </row>
    <row r="6793" spans="7:7">
      <c r="G6793" s="7">
        <v>44365</v>
      </c>
    </row>
    <row r="6794" spans="7:7">
      <c r="G6794" s="19" t="s">
        <v>586</v>
      </c>
    </row>
    <row r="6795" spans="7:7">
      <c r="G6795" s="7"/>
    </row>
    <row r="6796" spans="7:7">
      <c r="G6796" s="7">
        <v>44466</v>
      </c>
    </row>
    <row r="6797" spans="7:7">
      <c r="G6797" s="19" t="s">
        <v>1300</v>
      </c>
    </row>
    <row r="6798" spans="7:7">
      <c r="G6798" s="7"/>
    </row>
    <row r="6799" spans="7:7">
      <c r="G6799" s="5">
        <v>3779414</v>
      </c>
    </row>
    <row r="6800" spans="7:7">
      <c r="G6800" s="7">
        <v>44466</v>
      </c>
    </row>
    <row r="6801" spans="7:7">
      <c r="G6801" s="19" t="s">
        <v>503</v>
      </c>
    </row>
    <row r="6802" spans="7:7">
      <c r="G6802" s="7"/>
    </row>
    <row r="6803" spans="7:7">
      <c r="G6803" s="5">
        <v>3780510</v>
      </c>
    </row>
    <row r="6804" spans="7:7">
      <c r="G6804" s="7">
        <v>44753</v>
      </c>
    </row>
    <row r="6805" spans="7:7">
      <c r="G6805" s="19" t="s">
        <v>2383</v>
      </c>
    </row>
    <row r="6806" spans="7:7">
      <c r="G6806" s="7"/>
    </row>
    <row r="6807" spans="7:7">
      <c r="G6807" s="5">
        <v>3781436</v>
      </c>
    </row>
    <row r="6808" spans="7:7">
      <c r="G6808" s="7">
        <v>44351</v>
      </c>
    </row>
    <row r="6809" spans="7:7">
      <c r="G6809" s="19" t="s">
        <v>824</v>
      </c>
    </row>
    <row r="6810" spans="7:7">
      <c r="G6810" s="7"/>
    </row>
    <row r="6811" spans="7:7">
      <c r="G6811" s="5">
        <v>3783482</v>
      </c>
    </row>
    <row r="6812" spans="7:7">
      <c r="G6812" s="7">
        <v>44747</v>
      </c>
    </row>
    <row r="6813" spans="7:7">
      <c r="G6813" s="19" t="s">
        <v>2383</v>
      </c>
    </row>
    <row r="6814" spans="7:7">
      <c r="G6814" s="7"/>
    </row>
    <row r="6815" spans="7:7">
      <c r="G6815" s="5">
        <v>3789090</v>
      </c>
    </row>
    <row r="6816" spans="7:7">
      <c r="G6816" s="7">
        <v>44510</v>
      </c>
    </row>
    <row r="6817" spans="7:7">
      <c r="G6817" s="19" t="s">
        <v>563</v>
      </c>
    </row>
    <row r="6818" spans="7:7">
      <c r="G6818" s="7"/>
    </row>
    <row r="6819" spans="7:7">
      <c r="G6819" s="5">
        <v>3790078</v>
      </c>
    </row>
    <row r="6820" spans="7:7">
      <c r="G6820" s="7">
        <v>44424</v>
      </c>
    </row>
    <row r="6821" spans="7:7">
      <c r="G6821" s="19" t="s">
        <v>650</v>
      </c>
    </row>
    <row r="6822" spans="7:7">
      <c r="G6822" s="7"/>
    </row>
    <row r="6823" spans="7:7">
      <c r="G6823" s="7">
        <v>44382</v>
      </c>
    </row>
    <row r="6824" spans="7:7">
      <c r="G6824" s="19" t="s">
        <v>995</v>
      </c>
    </row>
    <row r="6825" spans="7:7">
      <c r="G6825" s="7"/>
    </row>
    <row r="6826" spans="7:7">
      <c r="G6826" s="5">
        <v>3793427</v>
      </c>
    </row>
    <row r="6827" spans="7:7">
      <c r="G6827" s="7">
        <v>44692</v>
      </c>
    </row>
    <row r="6828" spans="7:7">
      <c r="G6828" s="19" t="s">
        <v>563</v>
      </c>
    </row>
    <row r="6829" spans="7:7">
      <c r="G6829" s="7"/>
    </row>
    <row r="6830" spans="7:7">
      <c r="G6830" s="5">
        <v>3795298</v>
      </c>
    </row>
    <row r="6831" spans="7:7">
      <c r="G6831" s="7">
        <v>44719</v>
      </c>
    </row>
    <row r="6832" spans="7:7">
      <c r="G6832" s="19" t="s">
        <v>2383</v>
      </c>
    </row>
    <row r="6833" spans="7:7">
      <c r="G6833" s="7"/>
    </row>
    <row r="6834" spans="7:7">
      <c r="G6834" s="5">
        <v>3797714</v>
      </c>
    </row>
    <row r="6835" spans="7:7">
      <c r="G6835" s="7">
        <v>44767</v>
      </c>
    </row>
    <row r="6836" spans="7:7">
      <c r="G6836" s="19" t="s">
        <v>2962</v>
      </c>
    </row>
    <row r="6837" spans="7:7">
      <c r="G6837" s="7"/>
    </row>
    <row r="6838" spans="7:7">
      <c r="G6838" s="5">
        <v>3798889</v>
      </c>
    </row>
    <row r="6839" spans="7:7">
      <c r="G6839" s="7">
        <v>44705</v>
      </c>
    </row>
    <row r="6840" spans="7:7">
      <c r="G6840" s="19" t="s">
        <v>563</v>
      </c>
    </row>
    <row r="6841" spans="7:7">
      <c r="G6841" s="7"/>
    </row>
    <row r="6842" spans="7:7">
      <c r="G6842" s="5">
        <v>3798950</v>
      </c>
    </row>
    <row r="6843" spans="7:7">
      <c r="G6843" s="7">
        <v>44723</v>
      </c>
    </row>
    <row r="6844" spans="7:7">
      <c r="G6844" s="19" t="s">
        <v>2190</v>
      </c>
    </row>
    <row r="6845" spans="7:7">
      <c r="G6845" s="7"/>
    </row>
    <row r="6846" spans="7:7">
      <c r="G6846" s="5">
        <v>3799519</v>
      </c>
    </row>
    <row r="6847" spans="7:7">
      <c r="G6847" s="7">
        <v>44680</v>
      </c>
    </row>
    <row r="6848" spans="7:7">
      <c r="G6848" s="19" t="s">
        <v>563</v>
      </c>
    </row>
    <row r="6849" spans="7:7">
      <c r="G6849" s="7"/>
    </row>
    <row r="6850" spans="7:7">
      <c r="G6850" s="5">
        <v>3802411</v>
      </c>
    </row>
    <row r="6851" spans="7:7">
      <c r="G6851" s="7">
        <v>44705</v>
      </c>
    </row>
    <row r="6852" spans="7:7">
      <c r="G6852" s="19" t="s">
        <v>2962</v>
      </c>
    </row>
    <row r="6853" spans="7:7">
      <c r="G6853" s="7"/>
    </row>
    <row r="6854" spans="7:7">
      <c r="G6854" s="5">
        <v>3802484</v>
      </c>
    </row>
    <row r="6855" spans="7:7">
      <c r="G6855" s="7">
        <v>44553</v>
      </c>
    </row>
    <row r="6856" spans="7:7">
      <c r="G6856" s="19" t="s">
        <v>89</v>
      </c>
    </row>
    <row r="6857" spans="7:7">
      <c r="G6857" s="7"/>
    </row>
    <row r="6858" spans="7:7">
      <c r="G6858" s="5">
        <v>3802895</v>
      </c>
    </row>
    <row r="6859" spans="7:7">
      <c r="G6859" s="7">
        <v>44508</v>
      </c>
    </row>
    <row r="6860" spans="7:7">
      <c r="G6860" s="19" t="s">
        <v>1767</v>
      </c>
    </row>
    <row r="6861" spans="7:7">
      <c r="G6861" s="7"/>
    </row>
    <row r="6862" spans="7:7">
      <c r="G6862" s="7">
        <v>44679</v>
      </c>
    </row>
    <row r="6863" spans="7:7">
      <c r="G6863" s="19" t="s">
        <v>1767</v>
      </c>
    </row>
    <row r="6864" spans="7:7">
      <c r="G6864" s="7"/>
    </row>
    <row r="6865" spans="7:7">
      <c r="G6865" s="5">
        <v>3804137</v>
      </c>
    </row>
    <row r="6866" spans="7:7">
      <c r="G6866" s="7">
        <v>44351</v>
      </c>
    </row>
    <row r="6867" spans="7:7">
      <c r="G6867" s="19" t="s">
        <v>563</v>
      </c>
    </row>
    <row r="6868" spans="7:7">
      <c r="G6868" s="7"/>
    </row>
    <row r="6869" spans="7:7">
      <c r="G6869" s="5">
        <v>3805063</v>
      </c>
    </row>
    <row r="6870" spans="7:7">
      <c r="G6870" s="7">
        <v>44351</v>
      </c>
    </row>
    <row r="6871" spans="7:7">
      <c r="G6871" s="19" t="s">
        <v>563</v>
      </c>
    </row>
    <row r="6872" spans="7:7">
      <c r="G6872" s="7"/>
    </row>
    <row r="6873" spans="7:7">
      <c r="G6873" s="5">
        <v>3806186</v>
      </c>
    </row>
    <row r="6874" spans="7:7">
      <c r="G6874" s="7">
        <v>44628</v>
      </c>
    </row>
    <row r="6875" spans="7:7">
      <c r="G6875" s="19" t="s">
        <v>533</v>
      </c>
    </row>
    <row r="6876" spans="7:7">
      <c r="G6876" s="7"/>
    </row>
    <row r="6877" spans="7:7">
      <c r="G6877" s="5">
        <v>3808409</v>
      </c>
    </row>
    <row r="6878" spans="7:7">
      <c r="G6878" s="7">
        <v>44587</v>
      </c>
    </row>
    <row r="6879" spans="7:7">
      <c r="G6879" s="19" t="s">
        <v>118</v>
      </c>
    </row>
    <row r="6880" spans="7:7">
      <c r="G6880" s="7"/>
    </row>
    <row r="6881" spans="7:7">
      <c r="G6881" s="5">
        <v>3811460</v>
      </c>
    </row>
    <row r="6882" spans="7:7">
      <c r="G6882" s="7">
        <v>44767</v>
      </c>
    </row>
    <row r="6883" spans="7:7">
      <c r="G6883" s="19" t="s">
        <v>1246</v>
      </c>
    </row>
    <row r="6884" spans="7:7">
      <c r="G6884" s="7"/>
    </row>
    <row r="6885" spans="7:7">
      <c r="G6885" s="5">
        <v>3812664</v>
      </c>
    </row>
    <row r="6886" spans="7:7">
      <c r="G6886" s="7">
        <v>44683</v>
      </c>
    </row>
    <row r="6887" spans="7:7">
      <c r="G6887" s="19" t="s">
        <v>563</v>
      </c>
    </row>
    <row r="6888" spans="7:7">
      <c r="G6888" s="7"/>
    </row>
    <row r="6889" spans="7:7">
      <c r="G6889" s="5">
        <v>3819792</v>
      </c>
    </row>
    <row r="6890" spans="7:7">
      <c r="G6890" s="7">
        <v>44698</v>
      </c>
    </row>
    <row r="6891" spans="7:7">
      <c r="G6891" s="19" t="s">
        <v>650</v>
      </c>
    </row>
    <row r="6892" spans="7:7">
      <c r="G6892" s="7"/>
    </row>
    <row r="6893" spans="7:7">
      <c r="G6893" s="5">
        <v>3822216</v>
      </c>
    </row>
    <row r="6894" spans="7:7">
      <c r="G6894" s="7">
        <v>44699</v>
      </c>
    </row>
    <row r="6895" spans="7:7">
      <c r="G6895" s="19" t="s">
        <v>563</v>
      </c>
    </row>
    <row r="6896" spans="7:7">
      <c r="G6896" s="7"/>
    </row>
    <row r="6897" spans="7:7">
      <c r="G6897" s="5">
        <v>3823755</v>
      </c>
    </row>
    <row r="6898" spans="7:7">
      <c r="G6898" s="7">
        <v>44637</v>
      </c>
    </row>
    <row r="6899" spans="7:7">
      <c r="G6899" s="19" t="s">
        <v>563</v>
      </c>
    </row>
    <row r="6900" spans="7:7">
      <c r="G6900" s="7"/>
    </row>
    <row r="6901" spans="7:7">
      <c r="G6901" s="5">
        <v>3824620</v>
      </c>
    </row>
    <row r="6902" spans="7:7">
      <c r="G6902" s="7">
        <v>44241</v>
      </c>
    </row>
    <row r="6903" spans="7:7">
      <c r="G6903" s="19" t="s">
        <v>500</v>
      </c>
    </row>
    <row r="6904" spans="7:7">
      <c r="G6904" s="7"/>
    </row>
    <row r="6905" spans="7:7">
      <c r="G6905" s="7">
        <v>44244</v>
      </c>
    </row>
    <row r="6906" spans="7:7">
      <c r="G6906" s="19" t="s">
        <v>100</v>
      </c>
    </row>
    <row r="6907" spans="7:7">
      <c r="G6907" s="7"/>
    </row>
    <row r="6908" spans="7:7">
      <c r="G6908" s="7">
        <v>44368</v>
      </c>
    </row>
    <row r="6909" spans="7:7">
      <c r="G6909" s="19" t="s">
        <v>118</v>
      </c>
    </row>
    <row r="6910" spans="7:7">
      <c r="G6910" s="7"/>
    </row>
    <row r="6911" spans="7:7">
      <c r="G6911" s="5">
        <v>3830633</v>
      </c>
    </row>
    <row r="6912" spans="7:7">
      <c r="G6912" s="7">
        <v>44678</v>
      </c>
    </row>
    <row r="6913" spans="7:7">
      <c r="G6913" s="19" t="s">
        <v>563</v>
      </c>
    </row>
    <row r="6914" spans="7:7">
      <c r="G6914" s="7"/>
    </row>
    <row r="6915" spans="7:7">
      <c r="G6915" s="5">
        <v>3831253</v>
      </c>
    </row>
    <row r="6916" spans="7:7">
      <c r="G6916" s="7">
        <v>44649</v>
      </c>
    </row>
    <row r="6917" spans="7:7">
      <c r="G6917" s="19" t="s">
        <v>2512</v>
      </c>
    </row>
    <row r="6918" spans="7:7">
      <c r="G6918" s="7"/>
    </row>
    <row r="6919" spans="7:7">
      <c r="G6919" s="5">
        <v>3833099</v>
      </c>
    </row>
    <row r="6920" spans="7:7">
      <c r="G6920" s="7">
        <v>44704</v>
      </c>
    </row>
    <row r="6921" spans="7:7">
      <c r="G6921" s="19" t="s">
        <v>89</v>
      </c>
    </row>
    <row r="6922" spans="7:7">
      <c r="G6922" s="7"/>
    </row>
    <row r="6923" spans="7:7">
      <c r="G6923" s="5">
        <v>3836056</v>
      </c>
    </row>
    <row r="6924" spans="7:7">
      <c r="G6924" s="7">
        <v>44499</v>
      </c>
    </row>
    <row r="6925" spans="7:7">
      <c r="G6925" s="19" t="s">
        <v>138</v>
      </c>
    </row>
    <row r="6926" spans="7:7">
      <c r="G6926" s="7"/>
    </row>
    <row r="6927" spans="7:7">
      <c r="G6927" s="5">
        <v>3847337</v>
      </c>
    </row>
    <row r="6928" spans="7:7">
      <c r="G6928" s="7">
        <v>44265</v>
      </c>
    </row>
    <row r="6929" spans="7:7">
      <c r="G6929" s="19" t="s">
        <v>563</v>
      </c>
    </row>
    <row r="6930" spans="7:7">
      <c r="G6930" s="7"/>
    </row>
    <row r="6931" spans="7:7">
      <c r="G6931" s="5">
        <v>3848081</v>
      </c>
    </row>
    <row r="6932" spans="7:7">
      <c r="G6932" s="7">
        <v>44557</v>
      </c>
    </row>
    <row r="6933" spans="7:7">
      <c r="G6933" s="19" t="s">
        <v>1274</v>
      </c>
    </row>
    <row r="6934" spans="7:7">
      <c r="G6934" s="7"/>
    </row>
    <row r="6935" spans="7:7">
      <c r="G6935" s="5">
        <v>3893551</v>
      </c>
    </row>
    <row r="6936" spans="7:7">
      <c r="G6936" s="7">
        <v>44391</v>
      </c>
    </row>
    <row r="6937" spans="7:7">
      <c r="G6937" s="19" t="s">
        <v>128</v>
      </c>
    </row>
    <row r="6938" spans="7:7">
      <c r="G6938" s="7"/>
    </row>
    <row r="6939" spans="7:7">
      <c r="G6939" s="7">
        <v>44446</v>
      </c>
    </row>
    <row r="6940" spans="7:7">
      <c r="G6940" s="19" t="s">
        <v>1589</v>
      </c>
    </row>
    <row r="6941" spans="7:7">
      <c r="G6941" s="7"/>
    </row>
    <row r="6942" spans="7:7">
      <c r="G6942" s="5">
        <v>3958584</v>
      </c>
    </row>
    <row r="6943" spans="7:7">
      <c r="G6943" s="7">
        <v>44728</v>
      </c>
    </row>
    <row r="6944" spans="7:7">
      <c r="G6944" s="19" t="s">
        <v>2383</v>
      </c>
    </row>
    <row r="6945" spans="7:7">
      <c r="G6945" s="7"/>
    </row>
    <row r="6946" spans="7:7">
      <c r="G6946" s="5">
        <v>3960626</v>
      </c>
    </row>
    <row r="6947" spans="7:7">
      <c r="G6947" s="7">
        <v>44445</v>
      </c>
    </row>
    <row r="6948" spans="7:7">
      <c r="G6948" s="19" t="s">
        <v>1613</v>
      </c>
    </row>
    <row r="6949" spans="7:7">
      <c r="G6949" s="7"/>
    </row>
    <row r="6950" spans="7:7">
      <c r="G6950" s="5">
        <v>3970521</v>
      </c>
    </row>
    <row r="6951" spans="7:7">
      <c r="G6951" s="7">
        <v>44734</v>
      </c>
    </row>
    <row r="6952" spans="7:7">
      <c r="G6952" s="19" t="s">
        <v>1758</v>
      </c>
    </row>
    <row r="6953" spans="7:7">
      <c r="G6953" s="7"/>
    </row>
    <row r="6954" spans="7:7">
      <c r="G6954" s="5">
        <v>3978504</v>
      </c>
    </row>
    <row r="6955" spans="7:7">
      <c r="G6955" s="7">
        <v>44685</v>
      </c>
    </row>
    <row r="6956" spans="7:7">
      <c r="G6956" s="19" t="s">
        <v>95</v>
      </c>
    </row>
    <row r="6957" spans="7:7">
      <c r="G6957" s="7"/>
    </row>
    <row r="6958" spans="7:7">
      <c r="G6958" s="5">
        <v>4023574</v>
      </c>
    </row>
    <row r="6959" spans="7:7">
      <c r="G6959" s="7">
        <v>44059</v>
      </c>
    </row>
    <row r="6960" spans="7:7">
      <c r="G6960" s="19" t="s">
        <v>100</v>
      </c>
    </row>
    <row r="6961" spans="7:7">
      <c r="G6961" s="7"/>
    </row>
    <row r="6962" spans="7:7">
      <c r="G6962" s="7">
        <v>44060</v>
      </c>
    </row>
    <row r="6963" spans="7:7">
      <c r="G6963" s="19" t="s">
        <v>151</v>
      </c>
    </row>
    <row r="6964" spans="7:7">
      <c r="G6964" s="7"/>
    </row>
    <row r="6965" spans="7:7">
      <c r="G6965" s="7">
        <v>44747</v>
      </c>
    </row>
    <row r="6966" spans="7:7">
      <c r="G6966" s="19" t="s">
        <v>2383</v>
      </c>
    </row>
    <row r="6967" spans="7:7">
      <c r="G6967" s="7"/>
    </row>
    <row r="6968" spans="7:7">
      <c r="G6968" s="5">
        <v>4038122</v>
      </c>
    </row>
    <row r="6969" spans="7:7">
      <c r="G6969" s="7">
        <v>44431</v>
      </c>
    </row>
    <row r="6970" spans="7:7">
      <c r="G6970" s="19" t="s">
        <v>1246</v>
      </c>
    </row>
    <row r="6971" spans="7:7">
      <c r="G6971" s="7"/>
    </row>
    <row r="6972" spans="7:7">
      <c r="G6972" s="5">
        <v>4116668</v>
      </c>
    </row>
    <row r="6973" spans="7:7">
      <c r="G6973" s="7">
        <v>44510</v>
      </c>
    </row>
    <row r="6974" spans="7:7">
      <c r="G6974" s="19" t="s">
        <v>929</v>
      </c>
    </row>
    <row r="6975" spans="7:7">
      <c r="G6975" s="7"/>
    </row>
    <row r="6976" spans="7:7">
      <c r="G6976" s="7">
        <v>44532</v>
      </c>
    </row>
    <row r="6977" spans="7:7">
      <c r="G6977" s="19" t="s">
        <v>516</v>
      </c>
    </row>
    <row r="6978" spans="7:7">
      <c r="G6978" s="7"/>
    </row>
    <row r="6979" spans="7:7">
      <c r="G6979" s="5">
        <v>4119877</v>
      </c>
    </row>
    <row r="6980" spans="7:7">
      <c r="G6980" s="7">
        <v>44762</v>
      </c>
    </row>
    <row r="6981" spans="7:7">
      <c r="G6981" s="19" t="s">
        <v>3077</v>
      </c>
    </row>
    <row r="6982" spans="7:7">
      <c r="G6982" s="7"/>
    </row>
    <row r="6983" spans="7:7">
      <c r="G6983" s="5">
        <v>4121070</v>
      </c>
    </row>
    <row r="6984" spans="7:7">
      <c r="G6984" s="7">
        <v>44459</v>
      </c>
    </row>
    <row r="6985" spans="7:7">
      <c r="G6985" s="19" t="s">
        <v>128</v>
      </c>
    </row>
    <row r="6986" spans="7:7">
      <c r="G6986" s="7"/>
    </row>
    <row r="6987" spans="7:7">
      <c r="G6987" s="5">
        <v>4217785</v>
      </c>
    </row>
    <row r="6988" spans="7:7">
      <c r="G6988" s="7">
        <v>44693</v>
      </c>
    </row>
    <row r="6989" spans="7:7">
      <c r="G6989" s="19" t="s">
        <v>563</v>
      </c>
    </row>
    <row r="6990" spans="7:7">
      <c r="G6990" s="7"/>
    </row>
    <row r="6991" spans="7:7">
      <c r="G6991" s="5">
        <v>4221864</v>
      </c>
    </row>
    <row r="6992" spans="7:7">
      <c r="G6992" s="7">
        <v>44738</v>
      </c>
    </row>
    <row r="6993" spans="7:7">
      <c r="G6993" s="19" t="s">
        <v>2383</v>
      </c>
    </row>
    <row r="6994" spans="7:7">
      <c r="G6994" s="7"/>
    </row>
    <row r="6995" spans="7:7">
      <c r="G6995" s="5">
        <v>4228641</v>
      </c>
    </row>
    <row r="6996" spans="7:7">
      <c r="G6996" s="7">
        <v>44397</v>
      </c>
    </row>
    <row r="6997" spans="7:7">
      <c r="G6997" s="19" t="s">
        <v>1126</v>
      </c>
    </row>
    <row r="6998" spans="7:7">
      <c r="G6998" s="7"/>
    </row>
    <row r="6999" spans="7:7">
      <c r="G6999" s="7">
        <v>44381</v>
      </c>
    </row>
    <row r="7000" spans="7:7">
      <c r="G7000" s="19" t="s">
        <v>151</v>
      </c>
    </row>
    <row r="7001" spans="7:7">
      <c r="G7001" s="7"/>
    </row>
    <row r="7002" spans="7:7">
      <c r="G7002" s="5">
        <v>4232880</v>
      </c>
    </row>
    <row r="7003" spans="7:7">
      <c r="G7003" s="7">
        <v>44658</v>
      </c>
    </row>
    <row r="7004" spans="7:7">
      <c r="G7004" s="19" t="s">
        <v>1711</v>
      </c>
    </row>
    <row r="7005" spans="7:7">
      <c r="G7005" s="7"/>
    </row>
    <row r="7006" spans="7:7">
      <c r="G7006" s="5">
        <v>4234621</v>
      </c>
    </row>
    <row r="7007" spans="7:7">
      <c r="G7007" s="7">
        <v>44762</v>
      </c>
    </row>
    <row r="7008" spans="7:7">
      <c r="G7008" s="19" t="s">
        <v>2383</v>
      </c>
    </row>
    <row r="7009" spans="7:7">
      <c r="G7009" s="7"/>
    </row>
    <row r="7010" spans="7:7">
      <c r="G7010" s="5">
        <v>4241289</v>
      </c>
    </row>
    <row r="7011" spans="7:7">
      <c r="G7011" s="7">
        <v>44728</v>
      </c>
    </row>
    <row r="7012" spans="7:7">
      <c r="G7012" s="19" t="s">
        <v>2383</v>
      </c>
    </row>
    <row r="7013" spans="7:7">
      <c r="G7013" s="7"/>
    </row>
    <row r="7014" spans="7:7">
      <c r="G7014" s="5">
        <v>4245699</v>
      </c>
    </row>
    <row r="7015" spans="7:7">
      <c r="G7015" s="7">
        <v>43115</v>
      </c>
    </row>
    <row r="7016" spans="7:7">
      <c r="G7016" s="19" t="s">
        <v>397</v>
      </c>
    </row>
    <row r="7017" spans="7:7">
      <c r="G7017" s="7"/>
    </row>
    <row r="7018" spans="7:7">
      <c r="G7018" s="7">
        <v>44089</v>
      </c>
    </row>
    <row r="7019" spans="7:7">
      <c r="G7019" s="19" t="s">
        <v>147</v>
      </c>
    </row>
    <row r="7020" spans="7:7">
      <c r="G7020" s="7"/>
    </row>
    <row r="7021" spans="7:7">
      <c r="G7021" s="5">
        <v>4245750</v>
      </c>
    </row>
    <row r="7022" spans="7:7">
      <c r="G7022" s="7">
        <v>44434</v>
      </c>
    </row>
    <row r="7023" spans="7:7">
      <c r="G7023" s="19" t="s">
        <v>819</v>
      </c>
    </row>
    <row r="7024" spans="7:7">
      <c r="G7024" s="7"/>
    </row>
    <row r="7025" spans="7:7">
      <c r="G7025" s="5">
        <v>4245850</v>
      </c>
    </row>
    <row r="7026" spans="7:7">
      <c r="G7026" s="7">
        <v>44436</v>
      </c>
    </row>
    <row r="7027" spans="7:7">
      <c r="G7027" s="19" t="s">
        <v>819</v>
      </c>
    </row>
    <row r="7028" spans="7:7">
      <c r="G7028" s="7"/>
    </row>
    <row r="7029" spans="7:7">
      <c r="G7029" s="5">
        <v>4247879</v>
      </c>
    </row>
    <row r="7030" spans="7:7">
      <c r="G7030" s="7">
        <v>44711</v>
      </c>
    </row>
    <row r="7031" spans="7:7">
      <c r="G7031" s="19" t="s">
        <v>563</v>
      </c>
    </row>
    <row r="7032" spans="7:7">
      <c r="G7032" s="7"/>
    </row>
    <row r="7033" spans="7:7">
      <c r="G7033" s="5">
        <v>4249209</v>
      </c>
    </row>
    <row r="7034" spans="7:7">
      <c r="G7034" s="7">
        <v>44540</v>
      </c>
    </row>
    <row r="7035" spans="7:7">
      <c r="G7035" s="19" t="s">
        <v>173</v>
      </c>
    </row>
    <row r="7036" spans="7:7">
      <c r="G7036" s="7"/>
    </row>
    <row r="7037" spans="7:7">
      <c r="G7037" s="5">
        <v>4250017</v>
      </c>
    </row>
    <row r="7038" spans="7:7">
      <c r="G7038" s="7">
        <v>44629</v>
      </c>
    </row>
    <row r="7039" spans="7:7">
      <c r="G7039" s="19" t="s">
        <v>151</v>
      </c>
    </row>
    <row r="7040" spans="7:7">
      <c r="G7040" s="7"/>
    </row>
    <row r="7041" spans="7:7">
      <c r="G7041" s="5">
        <v>4250662</v>
      </c>
    </row>
    <row r="7042" spans="7:7">
      <c r="G7042" s="7">
        <v>44758</v>
      </c>
    </row>
    <row r="7043" spans="7:7">
      <c r="G7043" s="19" t="s">
        <v>2383</v>
      </c>
    </row>
    <row r="7044" spans="7:7">
      <c r="G7044" s="7"/>
    </row>
    <row r="7045" spans="7:7">
      <c r="G7045" s="5">
        <v>4254575</v>
      </c>
    </row>
    <row r="7046" spans="7:7">
      <c r="G7046" s="7">
        <v>44767</v>
      </c>
    </row>
    <row r="7047" spans="7:7">
      <c r="G7047" s="19" t="s">
        <v>1132</v>
      </c>
    </row>
    <row r="7048" spans="7:7">
      <c r="G7048" s="7"/>
    </row>
    <row r="7049" spans="7:7">
      <c r="G7049" s="5">
        <v>4255760</v>
      </c>
    </row>
    <row r="7050" spans="7:7">
      <c r="G7050" s="7">
        <v>44388</v>
      </c>
    </row>
    <row r="7051" spans="7:7">
      <c r="G7051" s="19" t="s">
        <v>863</v>
      </c>
    </row>
    <row r="7052" spans="7:7">
      <c r="G7052" s="7"/>
    </row>
    <row r="7053" spans="7:7">
      <c r="G7053" s="5">
        <v>4256255</v>
      </c>
    </row>
    <row r="7054" spans="7:7">
      <c r="G7054" s="7">
        <v>44715</v>
      </c>
    </row>
    <row r="7055" spans="7:7">
      <c r="G7055" s="19" t="s">
        <v>552</v>
      </c>
    </row>
    <row r="7056" spans="7:7">
      <c r="G7056" s="7"/>
    </row>
    <row r="7057" spans="7:7">
      <c r="G7057" s="5">
        <v>4264620</v>
      </c>
    </row>
    <row r="7058" spans="7:7">
      <c r="G7058" s="7">
        <v>44757</v>
      </c>
    </row>
    <row r="7059" spans="7:7">
      <c r="G7059" s="19" t="s">
        <v>2383</v>
      </c>
    </row>
    <row r="7060" spans="7:7">
      <c r="G7060" s="7"/>
    </row>
    <row r="7061" spans="7:7">
      <c r="G7061" s="5">
        <v>4269734</v>
      </c>
    </row>
    <row r="7062" spans="7:7">
      <c r="G7062" s="7">
        <v>44764</v>
      </c>
    </row>
    <row r="7063" spans="7:7">
      <c r="G7063" s="19" t="s">
        <v>1086</v>
      </c>
    </row>
    <row r="7064" spans="7:7">
      <c r="G7064" s="7"/>
    </row>
    <row r="7065" spans="7:7">
      <c r="G7065" s="5">
        <v>4270344</v>
      </c>
    </row>
    <row r="7066" spans="7:7">
      <c r="G7066" s="7">
        <v>44735</v>
      </c>
    </row>
    <row r="7067" spans="7:7">
      <c r="G7067" s="19" t="s">
        <v>2383</v>
      </c>
    </row>
    <row r="7068" spans="7:7">
      <c r="G7068" s="7"/>
    </row>
    <row r="7069" spans="7:7">
      <c r="G7069" s="5">
        <v>4271173</v>
      </c>
    </row>
    <row r="7070" spans="7:7">
      <c r="G7070" s="7">
        <v>44285</v>
      </c>
    </row>
    <row r="7071" spans="7:7">
      <c r="G7071" s="19" t="s">
        <v>552</v>
      </c>
    </row>
    <row r="7072" spans="7:7">
      <c r="G7072" s="7"/>
    </row>
    <row r="7073" spans="7:7">
      <c r="G7073" s="5">
        <v>4271574</v>
      </c>
    </row>
    <row r="7074" spans="7:7">
      <c r="G7074" s="7">
        <v>44517</v>
      </c>
    </row>
    <row r="7075" spans="7:7">
      <c r="G7075" s="19" t="s">
        <v>1286</v>
      </c>
    </row>
    <row r="7076" spans="7:7">
      <c r="G7076" s="7"/>
    </row>
    <row r="7077" spans="7:7">
      <c r="G7077" s="7">
        <v>44516</v>
      </c>
    </row>
    <row r="7078" spans="7:7">
      <c r="G7078" s="19" t="s">
        <v>1116</v>
      </c>
    </row>
    <row r="7079" spans="7:7">
      <c r="G7079" s="7"/>
    </row>
    <row r="7080" spans="7:7">
      <c r="G7080" s="5">
        <v>4274416</v>
      </c>
    </row>
    <row r="7081" spans="7:7">
      <c r="G7081" s="7">
        <v>44579</v>
      </c>
    </row>
    <row r="7082" spans="7:7">
      <c r="G7082" s="19" t="s">
        <v>1274</v>
      </c>
    </row>
    <row r="7083" spans="7:7">
      <c r="G7083" s="7"/>
    </row>
    <row r="7084" spans="7:7">
      <c r="G7084" s="5">
        <v>4276516</v>
      </c>
    </row>
    <row r="7085" spans="7:7">
      <c r="G7085" s="7">
        <v>44651</v>
      </c>
    </row>
    <row r="7086" spans="7:7">
      <c r="G7086" s="19" t="s">
        <v>509</v>
      </c>
    </row>
    <row r="7087" spans="7:7">
      <c r="G7087" s="7"/>
    </row>
    <row r="7088" spans="7:7">
      <c r="G7088" s="7">
        <v>44650</v>
      </c>
    </row>
    <row r="7089" spans="7:7">
      <c r="G7089" s="19" t="s">
        <v>509</v>
      </c>
    </row>
    <row r="7090" spans="7:7">
      <c r="G7090" s="7"/>
    </row>
    <row r="7091" spans="7:7">
      <c r="G7091" s="5">
        <v>4287856</v>
      </c>
    </row>
    <row r="7092" spans="7:7">
      <c r="G7092" s="7">
        <v>44367</v>
      </c>
    </row>
    <row r="7093" spans="7:7">
      <c r="G7093" s="19" t="s">
        <v>552</v>
      </c>
    </row>
    <row r="7094" spans="7:7">
      <c r="G7094" s="7"/>
    </row>
    <row r="7095" spans="7:7">
      <c r="G7095" s="5">
        <v>4296328</v>
      </c>
    </row>
    <row r="7096" spans="7:7">
      <c r="G7096" s="7">
        <v>44651</v>
      </c>
    </row>
    <row r="7097" spans="7:7">
      <c r="G7097" s="19" t="s">
        <v>2241</v>
      </c>
    </row>
    <row r="7098" spans="7:7">
      <c r="G7098" s="7"/>
    </row>
    <row r="7099" spans="7:7">
      <c r="G7099" s="5">
        <v>4304106</v>
      </c>
    </row>
    <row r="7100" spans="7:7">
      <c r="G7100" s="7">
        <v>44706</v>
      </c>
    </row>
    <row r="7101" spans="7:7">
      <c r="G7101" s="19" t="s">
        <v>563</v>
      </c>
    </row>
    <row r="7102" spans="7:7">
      <c r="G7102" s="7"/>
    </row>
    <row r="7103" spans="7:7">
      <c r="G7103" s="5">
        <v>4310867</v>
      </c>
    </row>
    <row r="7104" spans="7:7">
      <c r="G7104" s="7">
        <v>44704</v>
      </c>
    </row>
    <row r="7105" spans="7:7">
      <c r="G7105" s="19" t="s">
        <v>563</v>
      </c>
    </row>
    <row r="7106" spans="7:7">
      <c r="G7106" s="7"/>
    </row>
    <row r="7107" spans="7:7">
      <c r="G7107" s="5">
        <v>4312871</v>
      </c>
    </row>
    <row r="7108" spans="7:7">
      <c r="G7108" s="7">
        <v>44719</v>
      </c>
    </row>
    <row r="7109" spans="7:7">
      <c r="G7109" s="19" t="s">
        <v>2383</v>
      </c>
    </row>
    <row r="7110" spans="7:7">
      <c r="G7110" s="7"/>
    </row>
    <row r="7111" spans="7:7">
      <c r="G7111" s="5">
        <v>4325434</v>
      </c>
    </row>
    <row r="7112" spans="7:7">
      <c r="G7112" s="7">
        <v>44403</v>
      </c>
    </row>
    <row r="7113" spans="7:7">
      <c r="G7113" s="19" t="s">
        <v>1087</v>
      </c>
    </row>
    <row r="7114" spans="7:7">
      <c r="G7114" s="7"/>
    </row>
    <row r="7115" spans="7:7">
      <c r="G7115" s="5">
        <v>4334183</v>
      </c>
    </row>
    <row r="7116" spans="7:7">
      <c r="G7116" s="7">
        <v>44364</v>
      </c>
    </row>
    <row r="7117" spans="7:7">
      <c r="G7117" s="19" t="s">
        <v>166</v>
      </c>
    </row>
    <row r="7118" spans="7:7">
      <c r="G7118" s="7"/>
    </row>
    <row r="7119" spans="7:7">
      <c r="G7119" s="7">
        <v>44523</v>
      </c>
    </row>
    <row r="7120" spans="7:7">
      <c r="G7120" s="19" t="s">
        <v>89</v>
      </c>
    </row>
    <row r="7121" spans="7:7">
      <c r="G7121" s="7"/>
    </row>
    <row r="7122" spans="7:7">
      <c r="G7122" s="5">
        <v>4335475</v>
      </c>
    </row>
    <row r="7123" spans="7:7">
      <c r="G7123" s="7">
        <v>44361</v>
      </c>
    </row>
    <row r="7124" spans="7:7">
      <c r="G7124" s="19" t="s">
        <v>89</v>
      </c>
    </row>
    <row r="7125" spans="7:7">
      <c r="G7125" s="7"/>
    </row>
    <row r="7126" spans="7:7">
      <c r="G7126" s="5">
        <v>4336598</v>
      </c>
    </row>
    <row r="7127" spans="7:7">
      <c r="G7127" s="7">
        <v>44540</v>
      </c>
    </row>
    <row r="7128" spans="7:7">
      <c r="G7128" s="19" t="s">
        <v>1955</v>
      </c>
    </row>
    <row r="7129" spans="7:7">
      <c r="G7129" s="7"/>
    </row>
    <row r="7130" spans="7:7">
      <c r="G7130" s="5">
        <v>4338951</v>
      </c>
    </row>
    <row r="7131" spans="7:7">
      <c r="G7131" s="7">
        <v>44466</v>
      </c>
    </row>
    <row r="7132" spans="7:7">
      <c r="G7132" s="19" t="s">
        <v>128</v>
      </c>
    </row>
    <row r="7133" spans="7:7">
      <c r="G7133" s="7"/>
    </row>
    <row r="7134" spans="7:7">
      <c r="G7134" s="5">
        <v>4342509</v>
      </c>
    </row>
    <row r="7135" spans="7:7">
      <c r="G7135" s="7">
        <v>44495</v>
      </c>
    </row>
    <row r="7136" spans="7:7">
      <c r="G7136" s="19" t="s">
        <v>1790</v>
      </c>
    </row>
    <row r="7137" spans="7:7">
      <c r="G7137" s="7"/>
    </row>
    <row r="7138" spans="7:7">
      <c r="G7138" s="7">
        <v>44488</v>
      </c>
    </row>
    <row r="7139" spans="7:7">
      <c r="G7139" s="19" t="s">
        <v>1790</v>
      </c>
    </row>
    <row r="7140" spans="7:7">
      <c r="G7140" s="7"/>
    </row>
    <row r="7141" spans="7:7">
      <c r="G7141" s="5">
        <v>4343935</v>
      </c>
    </row>
    <row r="7142" spans="7:7">
      <c r="G7142" s="7">
        <v>44228</v>
      </c>
    </row>
    <row r="7143" spans="7:7">
      <c r="G7143" s="19" t="s">
        <v>1069</v>
      </c>
    </row>
    <row r="7144" spans="7:7">
      <c r="G7144" s="7"/>
    </row>
    <row r="7145" spans="7:7">
      <c r="G7145" s="5">
        <v>4348465</v>
      </c>
    </row>
    <row r="7146" spans="7:7">
      <c r="G7146" s="7">
        <v>44336</v>
      </c>
    </row>
    <row r="7147" spans="7:7">
      <c r="G7147" s="19" t="s">
        <v>729</v>
      </c>
    </row>
    <row r="7148" spans="7:7">
      <c r="G7148" s="7"/>
    </row>
    <row r="7149" spans="7:7">
      <c r="G7149" s="5">
        <v>4356687</v>
      </c>
    </row>
    <row r="7150" spans="7:7">
      <c r="G7150" s="7">
        <v>44741</v>
      </c>
    </row>
    <row r="7151" spans="7:7">
      <c r="G7151" s="19" t="s">
        <v>3077</v>
      </c>
    </row>
    <row r="7152" spans="7:7">
      <c r="G7152" s="7"/>
    </row>
    <row r="7153" spans="7:7">
      <c r="G7153" s="5">
        <v>4358774</v>
      </c>
    </row>
    <row r="7154" spans="7:7">
      <c r="G7154" s="7">
        <v>44385</v>
      </c>
    </row>
    <row r="7155" spans="7:7">
      <c r="G7155" s="19" t="s">
        <v>509</v>
      </c>
    </row>
    <row r="7156" spans="7:7">
      <c r="G7156" s="7"/>
    </row>
    <row r="7157" spans="7:7">
      <c r="G7157" s="7">
        <v>44382</v>
      </c>
    </row>
    <row r="7158" spans="7:7">
      <c r="G7158" s="19" t="s">
        <v>509</v>
      </c>
    </row>
    <row r="7159" spans="7:7">
      <c r="G7159" s="7"/>
    </row>
    <row r="7160" spans="7:7">
      <c r="G7160" s="5">
        <v>4369772</v>
      </c>
    </row>
    <row r="7161" spans="7:7">
      <c r="G7161" s="7">
        <v>44491</v>
      </c>
    </row>
    <row r="7162" spans="7:7">
      <c r="G7162" s="19" t="s">
        <v>1795</v>
      </c>
    </row>
    <row r="7163" spans="7:7">
      <c r="G7163" s="7"/>
    </row>
    <row r="7164" spans="7:7">
      <c r="G7164" s="5">
        <v>4371434</v>
      </c>
    </row>
    <row r="7165" spans="7:7">
      <c r="G7165" s="7">
        <v>44742</v>
      </c>
    </row>
    <row r="7166" spans="7:7">
      <c r="G7166" s="19" t="s">
        <v>1100</v>
      </c>
    </row>
    <row r="7167" spans="7:7">
      <c r="G7167" s="7"/>
    </row>
    <row r="7168" spans="7:7">
      <c r="G7168" s="5">
        <v>4424317</v>
      </c>
    </row>
    <row r="7169" spans="7:7">
      <c r="G7169" s="7">
        <v>44720</v>
      </c>
    </row>
    <row r="7170" spans="7:7">
      <c r="G7170" s="19" t="s">
        <v>2383</v>
      </c>
    </row>
    <row r="7171" spans="7:7">
      <c r="G7171" s="7"/>
    </row>
    <row r="7172" spans="7:7">
      <c r="G7172" s="5">
        <v>4435994</v>
      </c>
    </row>
    <row r="7173" spans="7:7">
      <c r="G7173" s="7">
        <v>44354</v>
      </c>
    </row>
    <row r="7174" spans="7:7">
      <c r="G7174" s="19" t="s">
        <v>563</v>
      </c>
    </row>
    <row r="7175" spans="7:7">
      <c r="G7175" s="7"/>
    </row>
    <row r="7176" spans="7:7">
      <c r="G7176" s="5">
        <v>4454331</v>
      </c>
    </row>
    <row r="7177" spans="7:7">
      <c r="G7177" s="7">
        <v>44414</v>
      </c>
    </row>
    <row r="7178" spans="7:7">
      <c r="G7178" s="19" t="s">
        <v>1239</v>
      </c>
    </row>
    <row r="7179" spans="7:7">
      <c r="G7179" s="7"/>
    </row>
    <row r="7180" spans="7:7">
      <c r="G7180" s="5">
        <v>4474563</v>
      </c>
    </row>
    <row r="7181" spans="7:7">
      <c r="G7181" s="7">
        <v>44383</v>
      </c>
    </row>
    <row r="7182" spans="7:7">
      <c r="G7182" s="19" t="s">
        <v>95</v>
      </c>
    </row>
    <row r="7183" spans="7:7">
      <c r="G7183" s="7"/>
    </row>
    <row r="7184" spans="7:7">
      <c r="G7184" s="5">
        <v>4477449</v>
      </c>
    </row>
    <row r="7185" spans="7:7">
      <c r="G7185" s="7">
        <v>44733</v>
      </c>
    </row>
    <row r="7186" spans="7:7">
      <c r="G7186" s="19" t="s">
        <v>2995</v>
      </c>
    </row>
    <row r="7187" spans="7:7">
      <c r="G7187" s="7"/>
    </row>
    <row r="7188" spans="7:7">
      <c r="G7188" s="5">
        <v>4483372</v>
      </c>
    </row>
    <row r="7189" spans="7:7">
      <c r="G7189" s="7">
        <v>44613</v>
      </c>
    </row>
    <row r="7190" spans="7:7">
      <c r="G7190" s="19" t="s">
        <v>1203</v>
      </c>
    </row>
    <row r="7191" spans="7:7">
      <c r="G7191" s="7"/>
    </row>
    <row r="7192" spans="7:7">
      <c r="G7192" s="5">
        <v>4484462</v>
      </c>
    </row>
    <row r="7193" spans="7:7">
      <c r="G7193" s="7">
        <v>44040</v>
      </c>
    </row>
    <row r="7194" spans="7:7">
      <c r="G7194" s="19" t="s">
        <v>143</v>
      </c>
    </row>
    <row r="7195" spans="7:7">
      <c r="G7195" s="7"/>
    </row>
    <row r="7196" spans="7:7">
      <c r="G7196" s="5">
        <v>4485469</v>
      </c>
    </row>
    <row r="7197" spans="7:7">
      <c r="G7197" s="7">
        <v>44673</v>
      </c>
    </row>
    <row r="7198" spans="7:7">
      <c r="G7198" s="19" t="s">
        <v>1312</v>
      </c>
    </row>
    <row r="7199" spans="7:7">
      <c r="G7199" s="7"/>
    </row>
    <row r="7200" spans="7:7">
      <c r="G7200" s="7">
        <v>44684</v>
      </c>
    </row>
    <row r="7201" spans="7:7">
      <c r="G7201" s="19" t="s">
        <v>1312</v>
      </c>
    </row>
    <row r="7202" spans="7:7">
      <c r="G7202" s="7"/>
    </row>
    <row r="7203" spans="7:7">
      <c r="G7203" s="5">
        <v>4491529</v>
      </c>
    </row>
    <row r="7204" spans="7:7">
      <c r="G7204" s="7">
        <v>44414</v>
      </c>
    </row>
    <row r="7205" spans="7:7">
      <c r="G7205" s="19" t="s">
        <v>509</v>
      </c>
    </row>
    <row r="7206" spans="7:7">
      <c r="G7206" s="7"/>
    </row>
    <row r="7207" spans="7:7">
      <c r="G7207" s="5">
        <v>4512555</v>
      </c>
    </row>
    <row r="7208" spans="7:7">
      <c r="G7208" s="7">
        <v>44707</v>
      </c>
    </row>
    <row r="7209" spans="7:7">
      <c r="G7209" s="19" t="s">
        <v>563</v>
      </c>
    </row>
    <row r="7210" spans="7:7">
      <c r="G7210" s="7"/>
    </row>
    <row r="7211" spans="7:7">
      <c r="G7211" s="5">
        <v>4513378</v>
      </c>
    </row>
    <row r="7212" spans="7:7">
      <c r="G7212" s="7">
        <v>44719</v>
      </c>
    </row>
    <row r="7213" spans="7:7">
      <c r="G7213" s="19" t="s">
        <v>2383</v>
      </c>
    </row>
    <row r="7214" spans="7:7">
      <c r="G7214" s="7"/>
    </row>
    <row r="7215" spans="7:7">
      <c r="G7215" s="7">
        <v>44725</v>
      </c>
    </row>
    <row r="7216" spans="7:7">
      <c r="G7216" s="19" t="s">
        <v>2383</v>
      </c>
    </row>
    <row r="7217" spans="7:7">
      <c r="G7217" s="7"/>
    </row>
    <row r="7218" spans="7:7">
      <c r="G7218" s="5">
        <v>4515796</v>
      </c>
    </row>
    <row r="7219" spans="7:7">
      <c r="G7219" s="7">
        <v>44697</v>
      </c>
    </row>
    <row r="7220" spans="7:7">
      <c r="G7220" s="19" t="s">
        <v>2241</v>
      </c>
    </row>
    <row r="7221" spans="7:7">
      <c r="G7221" s="7"/>
    </row>
    <row r="7222" spans="7:7">
      <c r="G7222" s="7">
        <v>44725</v>
      </c>
    </row>
    <row r="7223" spans="7:7">
      <c r="G7223" s="19" t="s">
        <v>2383</v>
      </c>
    </row>
    <row r="7224" spans="7:7">
      <c r="G7224" s="7"/>
    </row>
    <row r="7225" spans="7:7">
      <c r="G7225" s="5">
        <v>4516446</v>
      </c>
    </row>
    <row r="7226" spans="7:7">
      <c r="G7226" s="7">
        <v>44698</v>
      </c>
    </row>
    <row r="7227" spans="7:7">
      <c r="G7227" s="19" t="s">
        <v>563</v>
      </c>
    </row>
    <row r="7228" spans="7:7">
      <c r="G7228" s="7"/>
    </row>
    <row r="7229" spans="7:7">
      <c r="G7229" s="5">
        <v>4517148</v>
      </c>
    </row>
    <row r="7230" spans="7:7">
      <c r="G7230" s="7">
        <v>44503</v>
      </c>
    </row>
    <row r="7231" spans="7:7">
      <c r="G7231" s="19" t="s">
        <v>1274</v>
      </c>
    </row>
    <row r="7232" spans="7:7">
      <c r="G7232" s="7"/>
    </row>
    <row r="7233" spans="7:7">
      <c r="G7233" s="5">
        <v>4524148</v>
      </c>
    </row>
    <row r="7234" spans="7:7">
      <c r="G7234" s="7">
        <v>44694</v>
      </c>
    </row>
    <row r="7235" spans="7:7">
      <c r="G7235" s="19" t="s">
        <v>563</v>
      </c>
    </row>
    <row r="7236" spans="7:7">
      <c r="G7236" s="7"/>
    </row>
    <row r="7237" spans="7:7">
      <c r="G7237" s="5">
        <v>4530086</v>
      </c>
    </row>
    <row r="7238" spans="7:7">
      <c r="G7238" s="7">
        <v>44701</v>
      </c>
    </row>
    <row r="7239" spans="7:7">
      <c r="G7239" s="19" t="s">
        <v>563</v>
      </c>
    </row>
    <row r="7240" spans="7:7">
      <c r="G7240" s="7"/>
    </row>
    <row r="7241" spans="7:7">
      <c r="G7241" s="5">
        <v>4541070</v>
      </c>
    </row>
    <row r="7242" spans="7:7">
      <c r="G7242" s="7">
        <v>44404</v>
      </c>
    </row>
    <row r="7243" spans="7:7">
      <c r="G7243" s="19" t="s">
        <v>1152</v>
      </c>
    </row>
    <row r="7244" spans="7:7">
      <c r="G7244" s="7"/>
    </row>
    <row r="7245" spans="7:7">
      <c r="G7245" s="5">
        <v>4546408</v>
      </c>
    </row>
    <row r="7246" spans="7:7">
      <c r="G7246" s="7">
        <v>44690</v>
      </c>
    </row>
    <row r="7247" spans="7:7">
      <c r="G7247" s="19" t="s">
        <v>107</v>
      </c>
    </row>
    <row r="7248" spans="7:7">
      <c r="G7248" s="7"/>
    </row>
    <row r="7249" spans="7:7">
      <c r="G7249" s="5">
        <v>4559411</v>
      </c>
    </row>
    <row r="7250" spans="7:7">
      <c r="G7250" s="7">
        <v>44651</v>
      </c>
    </row>
    <row r="7251" spans="7:7">
      <c r="G7251" s="19" t="s">
        <v>2434</v>
      </c>
    </row>
    <row r="7252" spans="7:7">
      <c r="G7252" s="7"/>
    </row>
    <row r="7253" spans="7:7">
      <c r="G7253" s="7">
        <v>44749</v>
      </c>
    </row>
    <row r="7254" spans="7:7">
      <c r="G7254" s="19" t="s">
        <v>2434</v>
      </c>
    </row>
    <row r="7255" spans="7:7">
      <c r="G7255" s="7"/>
    </row>
    <row r="7256" spans="7:7">
      <c r="G7256" s="5">
        <v>4563506</v>
      </c>
    </row>
    <row r="7257" spans="7:7">
      <c r="G7257" s="7">
        <v>44713</v>
      </c>
    </row>
    <row r="7258" spans="7:7">
      <c r="G7258" s="19" t="s">
        <v>563</v>
      </c>
    </row>
    <row r="7259" spans="7:7">
      <c r="G7259" s="7"/>
    </row>
    <row r="7260" spans="7:7">
      <c r="G7260" s="7">
        <v>44711</v>
      </c>
    </row>
    <row r="7261" spans="7:7">
      <c r="G7261" s="19" t="s">
        <v>563</v>
      </c>
    </row>
    <row r="7262" spans="7:7">
      <c r="G7262" s="7"/>
    </row>
    <row r="7263" spans="7:7">
      <c r="G7263" s="5">
        <v>4563908</v>
      </c>
    </row>
    <row r="7264" spans="7:7">
      <c r="G7264" s="7">
        <v>44628</v>
      </c>
    </row>
    <row r="7265" spans="7:7">
      <c r="G7265" s="19" t="s">
        <v>1711</v>
      </c>
    </row>
    <row r="7266" spans="7:7">
      <c r="G7266" s="7"/>
    </row>
    <row r="7267" spans="7:7">
      <c r="G7267" s="5">
        <v>4564365</v>
      </c>
    </row>
    <row r="7268" spans="7:7">
      <c r="G7268" s="7">
        <v>44624</v>
      </c>
    </row>
    <row r="7269" spans="7:7">
      <c r="G7269" s="19" t="s">
        <v>1790</v>
      </c>
    </row>
    <row r="7270" spans="7:7">
      <c r="G7270" s="7"/>
    </row>
    <row r="7271" spans="7:7">
      <c r="G7271" s="5">
        <v>4567750</v>
      </c>
    </row>
    <row r="7272" spans="7:7">
      <c r="G7272" s="7">
        <v>44698</v>
      </c>
    </row>
    <row r="7273" spans="7:7">
      <c r="G7273" s="19" t="s">
        <v>563</v>
      </c>
    </row>
    <row r="7274" spans="7:7">
      <c r="G7274" s="7"/>
    </row>
    <row r="7275" spans="7:7">
      <c r="G7275" s="5">
        <v>4572504</v>
      </c>
    </row>
    <row r="7276" spans="7:7">
      <c r="G7276" s="7">
        <v>44679</v>
      </c>
    </row>
    <row r="7277" spans="7:7">
      <c r="G7277" s="19" t="s">
        <v>563</v>
      </c>
    </row>
    <row r="7278" spans="7:7">
      <c r="G7278" s="7"/>
    </row>
    <row r="7279" spans="7:7">
      <c r="G7279" s="7">
        <v>44728</v>
      </c>
    </row>
    <row r="7280" spans="7:7">
      <c r="G7280" s="19" t="s">
        <v>2383</v>
      </c>
    </row>
    <row r="7281" spans="7:7">
      <c r="G7281" s="7"/>
    </row>
    <row r="7282" spans="7:7">
      <c r="G7282" s="5">
        <v>4577288</v>
      </c>
    </row>
    <row r="7283" spans="7:7">
      <c r="G7283" s="7">
        <v>44677</v>
      </c>
    </row>
    <row r="7284" spans="7:7">
      <c r="G7284" s="19" t="s">
        <v>563</v>
      </c>
    </row>
    <row r="7285" spans="7:7">
      <c r="G7285" s="7"/>
    </row>
    <row r="7286" spans="7:7">
      <c r="G7286" s="5">
        <v>4583961</v>
      </c>
    </row>
    <row r="7287" spans="7:7">
      <c r="G7287" s="7">
        <v>44655</v>
      </c>
    </row>
    <row r="7288" spans="7:7">
      <c r="G7288" s="19" t="s">
        <v>563</v>
      </c>
    </row>
    <row r="7289" spans="7:7">
      <c r="G7289" s="7"/>
    </row>
    <row r="7290" spans="7:7">
      <c r="G7290" s="7">
        <v>44770</v>
      </c>
    </row>
    <row r="7291" spans="7:7">
      <c r="G7291" s="19" t="s">
        <v>2383</v>
      </c>
    </row>
    <row r="7292" spans="7:7">
      <c r="G7292" s="7"/>
    </row>
    <row r="7293" spans="7:7">
      <c r="G7293" s="5">
        <v>4586548</v>
      </c>
    </row>
    <row r="7294" spans="7:7">
      <c r="G7294" s="7">
        <v>44657</v>
      </c>
    </row>
    <row r="7295" spans="7:7">
      <c r="G7295" s="19" t="s">
        <v>563</v>
      </c>
    </row>
    <row r="7296" spans="7:7">
      <c r="G7296" s="7"/>
    </row>
    <row r="7297" spans="7:7">
      <c r="G7297" s="7">
        <v>44706</v>
      </c>
    </row>
    <row r="7298" spans="7:7">
      <c r="G7298" s="19" t="s">
        <v>563</v>
      </c>
    </row>
    <row r="7299" spans="7:7">
      <c r="G7299" s="7"/>
    </row>
    <row r="7300" spans="7:7">
      <c r="G7300" s="5">
        <v>4591248</v>
      </c>
    </row>
    <row r="7301" spans="7:7">
      <c r="G7301" s="7">
        <v>44518</v>
      </c>
    </row>
    <row r="7302" spans="7:7">
      <c r="G7302" s="19" t="s">
        <v>1880</v>
      </c>
    </row>
    <row r="7303" spans="7:7">
      <c r="G7303" s="7"/>
    </row>
    <row r="7304" spans="7:7">
      <c r="G7304" s="7">
        <v>44664</v>
      </c>
    </row>
    <row r="7305" spans="7:7">
      <c r="G7305" s="19" t="s">
        <v>1203</v>
      </c>
    </row>
    <row r="7306" spans="7:7">
      <c r="G7306" s="7"/>
    </row>
    <row r="7307" spans="7:7">
      <c r="G7307" s="7">
        <v>44749</v>
      </c>
    </row>
    <row r="7308" spans="7:7">
      <c r="G7308" s="19" t="s">
        <v>1880</v>
      </c>
    </row>
    <row r="7309" spans="7:7">
      <c r="G7309" s="7"/>
    </row>
    <row r="7310" spans="7:7">
      <c r="G7310" s="5">
        <v>4599006</v>
      </c>
    </row>
    <row r="7311" spans="7:7">
      <c r="G7311" s="7">
        <v>44641</v>
      </c>
    </row>
    <row r="7312" spans="7:7">
      <c r="G7312" s="19" t="s">
        <v>2250</v>
      </c>
    </row>
    <row r="7313" spans="7:7">
      <c r="G7313" s="7"/>
    </row>
    <row r="7314" spans="7:7">
      <c r="G7314" s="5">
        <v>4637007</v>
      </c>
    </row>
    <row r="7315" spans="7:7">
      <c r="G7315" s="7">
        <v>44565</v>
      </c>
    </row>
    <row r="7316" spans="7:7">
      <c r="G7316" s="19" t="s">
        <v>1203</v>
      </c>
    </row>
    <row r="7317" spans="7:7">
      <c r="G7317" s="7"/>
    </row>
    <row r="7318" spans="7:7">
      <c r="G7318" s="5">
        <v>4643347</v>
      </c>
    </row>
    <row r="7319" spans="7:7">
      <c r="G7319" s="7">
        <v>44677</v>
      </c>
    </row>
    <row r="7320" spans="7:7">
      <c r="G7320" s="19" t="s">
        <v>563</v>
      </c>
    </row>
    <row r="7321" spans="7:7">
      <c r="G7321" s="7"/>
    </row>
    <row r="7322" spans="7:7">
      <c r="G7322" s="5">
        <v>4648809</v>
      </c>
    </row>
    <row r="7323" spans="7:7">
      <c r="G7323" s="7">
        <v>44726</v>
      </c>
    </row>
    <row r="7324" spans="7:7">
      <c r="G7324" s="19" t="s">
        <v>2383</v>
      </c>
    </row>
    <row r="7325" spans="7:7">
      <c r="G7325" s="7"/>
    </row>
    <row r="7326" spans="7:7">
      <c r="G7326" s="5">
        <v>4650815</v>
      </c>
    </row>
    <row r="7327" spans="7:7">
      <c r="G7327" s="7">
        <v>44771</v>
      </c>
    </row>
    <row r="7328" spans="7:7">
      <c r="G7328" s="19" t="s">
        <v>2383</v>
      </c>
    </row>
    <row r="7329" spans="7:7">
      <c r="G7329" s="7"/>
    </row>
    <row r="7330" spans="7:7">
      <c r="G7330" s="5">
        <v>4652506</v>
      </c>
    </row>
    <row r="7331" spans="7:7">
      <c r="G7331" s="7">
        <v>44641</v>
      </c>
    </row>
    <row r="7332" spans="7:7">
      <c r="G7332" s="19" t="s">
        <v>1929</v>
      </c>
    </row>
    <row r="7333" spans="7:7">
      <c r="G7333" s="7"/>
    </row>
    <row r="7334" spans="7:7">
      <c r="G7334" s="5">
        <v>4662161</v>
      </c>
    </row>
    <row r="7335" spans="7:7">
      <c r="G7335" s="7">
        <v>44503</v>
      </c>
    </row>
    <row r="7336" spans="7:7">
      <c r="G7336" s="19" t="s">
        <v>550</v>
      </c>
    </row>
    <row r="7337" spans="7:7">
      <c r="G7337" s="7"/>
    </row>
    <row r="7338" spans="7:7">
      <c r="G7338" s="7">
        <v>44593</v>
      </c>
    </row>
    <row r="7339" spans="7:7">
      <c r="G7339" s="19" t="s">
        <v>1233</v>
      </c>
    </row>
    <row r="7340" spans="7:7">
      <c r="G7340" s="7"/>
    </row>
    <row r="7341" spans="7:7">
      <c r="G7341" s="5">
        <v>4663169</v>
      </c>
    </row>
    <row r="7342" spans="7:7">
      <c r="G7342" s="7">
        <v>44679</v>
      </c>
    </row>
    <row r="7343" spans="7:7">
      <c r="G7343" s="19" t="s">
        <v>563</v>
      </c>
    </row>
    <row r="7344" spans="7:7">
      <c r="G7344" s="7"/>
    </row>
    <row r="7345" spans="7:7">
      <c r="G7345" s="5">
        <v>4664774</v>
      </c>
    </row>
    <row r="7346" spans="7:7">
      <c r="G7346" s="7">
        <v>44028</v>
      </c>
    </row>
    <row r="7347" spans="7:7">
      <c r="G7347" s="19" t="s">
        <v>100</v>
      </c>
    </row>
    <row r="7348" spans="7:7">
      <c r="G7348" s="7"/>
    </row>
    <row r="7349" spans="7:7">
      <c r="G7349" s="5">
        <v>4667464</v>
      </c>
    </row>
    <row r="7350" spans="7:7">
      <c r="G7350" s="7">
        <v>44349</v>
      </c>
    </row>
    <row r="7351" spans="7:7">
      <c r="G7351" s="19" t="s">
        <v>563</v>
      </c>
    </row>
    <row r="7352" spans="7:7">
      <c r="G7352" s="7"/>
    </row>
    <row r="7353" spans="7:7">
      <c r="G7353" s="5">
        <v>4667530</v>
      </c>
    </row>
    <row r="7354" spans="7:7">
      <c r="G7354" s="7">
        <v>44714</v>
      </c>
    </row>
    <row r="7355" spans="7:7">
      <c r="G7355" s="19" t="s">
        <v>259</v>
      </c>
    </row>
    <row r="7356" spans="7:7">
      <c r="G7356" s="7"/>
    </row>
    <row r="7357" spans="7:7">
      <c r="G7357" s="5">
        <v>4667559</v>
      </c>
    </row>
    <row r="7358" spans="7:7">
      <c r="G7358" s="7">
        <v>44648</v>
      </c>
    </row>
    <row r="7359" spans="7:7">
      <c r="G7359" s="19" t="s">
        <v>563</v>
      </c>
    </row>
    <row r="7360" spans="7:7">
      <c r="G7360" s="7"/>
    </row>
    <row r="7361" spans="7:7">
      <c r="G7361" s="5">
        <v>4667635</v>
      </c>
    </row>
    <row r="7362" spans="7:7">
      <c r="G7362" s="7">
        <v>44733</v>
      </c>
    </row>
    <row r="7363" spans="7:7">
      <c r="G7363" s="19" t="s">
        <v>2383</v>
      </c>
    </row>
    <row r="7364" spans="7:7">
      <c r="G7364" s="7"/>
    </row>
    <row r="7365" spans="7:7">
      <c r="G7365" s="5">
        <v>4686618</v>
      </c>
    </row>
    <row r="7366" spans="7:7">
      <c r="G7366" s="7">
        <v>44642</v>
      </c>
    </row>
    <row r="7367" spans="7:7">
      <c r="G7367" s="19" t="s">
        <v>2237</v>
      </c>
    </row>
    <row r="7368" spans="7:7">
      <c r="G7368" s="7"/>
    </row>
    <row r="7369" spans="7:7">
      <c r="G7369" s="5">
        <v>4686746</v>
      </c>
    </row>
    <row r="7370" spans="7:7">
      <c r="G7370" s="7">
        <v>44447</v>
      </c>
    </row>
    <row r="7371" spans="7:7">
      <c r="G7371" s="19" t="s">
        <v>503</v>
      </c>
    </row>
    <row r="7372" spans="7:7">
      <c r="G7372" s="7"/>
    </row>
    <row r="7373" spans="7:7">
      <c r="G7373" s="5">
        <v>4687368</v>
      </c>
    </row>
    <row r="7374" spans="7:7">
      <c r="G7374" s="7">
        <v>44634</v>
      </c>
    </row>
    <row r="7375" spans="7:7">
      <c r="G7375" s="19" t="s">
        <v>2241</v>
      </c>
    </row>
    <row r="7376" spans="7:7">
      <c r="G7376" s="7"/>
    </row>
    <row r="7377" spans="7:7">
      <c r="G7377" s="5">
        <v>4687375</v>
      </c>
    </row>
    <row r="7378" spans="7:7">
      <c r="G7378" s="7">
        <v>44655</v>
      </c>
    </row>
    <row r="7379" spans="7:7">
      <c r="G7379" s="19" t="s">
        <v>563</v>
      </c>
    </row>
    <row r="7380" spans="7:7">
      <c r="G7380" s="7"/>
    </row>
    <row r="7381" spans="7:7">
      <c r="G7381" s="5">
        <v>4687890</v>
      </c>
    </row>
    <row r="7382" spans="7:7">
      <c r="G7382" s="7">
        <v>44727</v>
      </c>
    </row>
    <row r="7383" spans="7:7">
      <c r="G7383" s="19" t="s">
        <v>2383</v>
      </c>
    </row>
    <row r="7384" spans="7:7">
      <c r="G7384" s="7"/>
    </row>
    <row r="7385" spans="7:7">
      <c r="G7385" s="5">
        <v>4688954</v>
      </c>
    </row>
    <row r="7386" spans="7:7">
      <c r="G7386" s="7">
        <v>44686</v>
      </c>
    </row>
    <row r="7387" spans="7:7">
      <c r="G7387" s="19" t="s">
        <v>563</v>
      </c>
    </row>
    <row r="7388" spans="7:7">
      <c r="G7388" s="7"/>
    </row>
    <row r="7389" spans="7:7">
      <c r="G7389" s="5">
        <v>4689580</v>
      </c>
    </row>
    <row r="7390" spans="7:7">
      <c r="G7390" s="7">
        <v>44645</v>
      </c>
    </row>
    <row r="7391" spans="7:7">
      <c r="G7391" s="19" t="s">
        <v>563</v>
      </c>
    </row>
    <row r="7392" spans="7:7">
      <c r="G7392" s="7"/>
    </row>
    <row r="7393" spans="7:7">
      <c r="G7393" s="5">
        <v>4695405</v>
      </c>
    </row>
    <row r="7394" spans="7:7">
      <c r="G7394" s="7">
        <v>44768</v>
      </c>
    </row>
    <row r="7395" spans="7:7">
      <c r="G7395" s="19" t="s">
        <v>2383</v>
      </c>
    </row>
    <row r="7396" spans="7:7">
      <c r="G7396" s="7"/>
    </row>
    <row r="7397" spans="7:7">
      <c r="G7397" s="5">
        <v>4695491</v>
      </c>
    </row>
    <row r="7398" spans="7:7">
      <c r="G7398" s="7">
        <v>44757</v>
      </c>
    </row>
    <row r="7399" spans="7:7">
      <c r="G7399" s="19" t="s">
        <v>2383</v>
      </c>
    </row>
    <row r="7400" spans="7:7">
      <c r="G7400" s="7"/>
    </row>
    <row r="7401" spans="7:7">
      <c r="G7401" s="5">
        <v>4698372</v>
      </c>
    </row>
    <row r="7402" spans="7:7">
      <c r="G7402" s="7">
        <v>44724</v>
      </c>
    </row>
    <row r="7403" spans="7:7">
      <c r="G7403" s="19" t="s">
        <v>2383</v>
      </c>
    </row>
    <row r="7404" spans="7:7">
      <c r="G7404" s="7"/>
    </row>
    <row r="7405" spans="7:7">
      <c r="G7405" s="5">
        <v>4698581</v>
      </c>
    </row>
    <row r="7406" spans="7:7">
      <c r="G7406" s="7">
        <v>44712</v>
      </c>
    </row>
    <row r="7407" spans="7:7">
      <c r="G7407" s="19" t="s">
        <v>563</v>
      </c>
    </row>
    <row r="7408" spans="7:7">
      <c r="G7408" s="7"/>
    </row>
    <row r="7409" spans="7:7">
      <c r="G7409" s="5">
        <v>4698759</v>
      </c>
    </row>
    <row r="7410" spans="7:7">
      <c r="G7410" s="7">
        <v>44762</v>
      </c>
    </row>
    <row r="7411" spans="7:7">
      <c r="G7411" s="19" t="s">
        <v>2383</v>
      </c>
    </row>
    <row r="7412" spans="7:7">
      <c r="G7412" s="7"/>
    </row>
    <row r="7413" spans="7:7">
      <c r="G7413" s="7">
        <v>44767</v>
      </c>
    </row>
    <row r="7414" spans="7:7">
      <c r="G7414" s="19" t="s">
        <v>2383</v>
      </c>
    </row>
    <row r="7415" spans="7:7">
      <c r="G7415" s="7"/>
    </row>
    <row r="7416" spans="7:7">
      <c r="G7416" s="5">
        <v>4698933</v>
      </c>
    </row>
    <row r="7417" spans="7:7">
      <c r="G7417" s="7">
        <v>44490</v>
      </c>
    </row>
    <row r="7418" spans="7:7">
      <c r="G7418" s="19" t="s">
        <v>139</v>
      </c>
    </row>
    <row r="7419" spans="7:7">
      <c r="G7419" s="7"/>
    </row>
    <row r="7420" spans="7:7">
      <c r="G7420" s="5">
        <v>4701502</v>
      </c>
    </row>
    <row r="7421" spans="7:7">
      <c r="G7421" s="7">
        <v>44743</v>
      </c>
    </row>
    <row r="7422" spans="7:7">
      <c r="G7422" s="19" t="s">
        <v>2383</v>
      </c>
    </row>
    <row r="7423" spans="7:7">
      <c r="G7423" s="7"/>
    </row>
    <row r="7424" spans="7:7">
      <c r="G7424" s="5">
        <v>4701606</v>
      </c>
    </row>
    <row r="7425" spans="7:7">
      <c r="G7425" s="7">
        <v>44417</v>
      </c>
    </row>
    <row r="7426" spans="7:7">
      <c r="G7426" s="19" t="s">
        <v>1203</v>
      </c>
    </row>
    <row r="7427" spans="7:7">
      <c r="G7427" s="7"/>
    </row>
    <row r="7428" spans="7:7">
      <c r="G7428" s="5">
        <v>4701682</v>
      </c>
    </row>
    <row r="7429" spans="7:7">
      <c r="G7429" s="7">
        <v>44714</v>
      </c>
    </row>
    <row r="7430" spans="7:7">
      <c r="G7430" s="19" t="s">
        <v>2383</v>
      </c>
    </row>
    <row r="7431" spans="7:7">
      <c r="G7431" s="7"/>
    </row>
    <row r="7432" spans="7:7">
      <c r="G7432" s="5">
        <v>4703292</v>
      </c>
    </row>
    <row r="7433" spans="7:7">
      <c r="G7433" s="7">
        <v>44732</v>
      </c>
    </row>
    <row r="7434" spans="7:7">
      <c r="G7434" s="19" t="s">
        <v>260</v>
      </c>
    </row>
    <row r="7435" spans="7:7">
      <c r="G7435" s="7"/>
    </row>
    <row r="7436" spans="7:7">
      <c r="G7436" s="5">
        <v>4703316</v>
      </c>
    </row>
    <row r="7437" spans="7:7">
      <c r="G7437" s="7">
        <v>44340</v>
      </c>
    </row>
    <row r="7438" spans="7:7">
      <c r="G7438" s="19" t="s">
        <v>89</v>
      </c>
    </row>
    <row r="7439" spans="7:7">
      <c r="G7439" s="7"/>
    </row>
    <row r="7440" spans="7:7">
      <c r="G7440" s="5">
        <v>4707808</v>
      </c>
    </row>
    <row r="7441" spans="7:7">
      <c r="G7441" s="7">
        <v>44579</v>
      </c>
    </row>
    <row r="7442" spans="7:7">
      <c r="G7442" s="19" t="s">
        <v>586</v>
      </c>
    </row>
    <row r="7443" spans="7:7">
      <c r="G7443" s="7"/>
    </row>
    <row r="7444" spans="7:7">
      <c r="G7444" s="5">
        <v>4708970</v>
      </c>
    </row>
    <row r="7445" spans="7:7">
      <c r="G7445" s="7">
        <v>44720</v>
      </c>
    </row>
    <row r="7446" spans="7:7">
      <c r="G7446" s="19" t="s">
        <v>2383</v>
      </c>
    </row>
    <row r="7447" spans="7:7">
      <c r="G7447" s="7"/>
    </row>
    <row r="7448" spans="7:7">
      <c r="G7448" s="5">
        <v>4709532</v>
      </c>
    </row>
    <row r="7449" spans="7:7">
      <c r="G7449" s="7">
        <v>44645</v>
      </c>
    </row>
    <row r="7450" spans="7:7">
      <c r="G7450" s="19" t="s">
        <v>2335</v>
      </c>
    </row>
    <row r="7451" spans="7:7">
      <c r="G7451" s="7"/>
    </row>
    <row r="7452" spans="7:7">
      <c r="G7452" s="7">
        <v>44708</v>
      </c>
    </row>
    <row r="7453" spans="7:7">
      <c r="G7453" s="19" t="s">
        <v>2079</v>
      </c>
    </row>
    <row r="7454" spans="7:7">
      <c r="G7454" s="7"/>
    </row>
    <row r="7455" spans="7:7">
      <c r="G7455" s="5">
        <v>4711449</v>
      </c>
    </row>
    <row r="7456" spans="7:7">
      <c r="G7456" s="7">
        <v>44721</v>
      </c>
    </row>
    <row r="7457" spans="7:7">
      <c r="G7457" s="19" t="s">
        <v>1126</v>
      </c>
    </row>
    <row r="7458" spans="7:7">
      <c r="G7458" s="7"/>
    </row>
    <row r="7459" spans="7:7">
      <c r="G7459" s="5">
        <v>4715136</v>
      </c>
    </row>
    <row r="7460" spans="7:7">
      <c r="G7460" s="7">
        <v>44158</v>
      </c>
    </row>
    <row r="7461" spans="7:7">
      <c r="G7461" s="19" t="s">
        <v>180</v>
      </c>
    </row>
    <row r="7462" spans="7:7">
      <c r="G7462" s="7"/>
    </row>
    <row r="7463" spans="7:7">
      <c r="G7463" s="7">
        <v>44179</v>
      </c>
    </row>
    <row r="7464" spans="7:7">
      <c r="G7464" s="19" t="s">
        <v>147</v>
      </c>
    </row>
    <row r="7465" spans="7:7">
      <c r="G7465" s="7"/>
    </row>
    <row r="7466" spans="7:7">
      <c r="G7466" s="5">
        <v>4719539</v>
      </c>
    </row>
    <row r="7467" spans="7:7">
      <c r="G7467" s="7">
        <v>44377</v>
      </c>
    </row>
    <row r="7468" spans="7:7">
      <c r="G7468" s="19" t="s">
        <v>1013</v>
      </c>
    </row>
    <row r="7469" spans="7:7">
      <c r="G7469" s="7"/>
    </row>
    <row r="7470" spans="7:7">
      <c r="G7470" s="5">
        <v>4724530</v>
      </c>
    </row>
    <row r="7471" spans="7:7">
      <c r="G7471" s="7">
        <v>44350</v>
      </c>
    </row>
    <row r="7472" spans="7:7">
      <c r="G7472" s="19" t="s">
        <v>563</v>
      </c>
    </row>
    <row r="7473" spans="7:7">
      <c r="G7473" s="7"/>
    </row>
    <row r="7474" spans="7:7">
      <c r="G7474" s="5">
        <v>4724594</v>
      </c>
    </row>
    <row r="7475" spans="7:7">
      <c r="G7475" s="7">
        <v>43501</v>
      </c>
    </row>
    <row r="7476" spans="7:7">
      <c r="G7476" s="19" t="s">
        <v>397</v>
      </c>
    </row>
    <row r="7477" spans="7:7">
      <c r="G7477" s="7"/>
    </row>
    <row r="7478" spans="7:7">
      <c r="G7478" s="7">
        <v>43879</v>
      </c>
    </row>
    <row r="7479" spans="7:7">
      <c r="G7479" s="19" t="s">
        <v>397</v>
      </c>
    </row>
    <row r="7480" spans="7:7">
      <c r="G7480" s="7"/>
    </row>
    <row r="7481" spans="7:7">
      <c r="G7481" s="7">
        <v>44111</v>
      </c>
    </row>
    <row r="7482" spans="7:7">
      <c r="G7482" s="19" t="s">
        <v>89</v>
      </c>
    </row>
    <row r="7483" spans="7:7">
      <c r="G7483" s="7"/>
    </row>
    <row r="7484" spans="7:7">
      <c r="G7484" s="5">
        <v>4726654</v>
      </c>
    </row>
    <row r="7485" spans="7:7">
      <c r="G7485" s="7">
        <v>44607</v>
      </c>
    </row>
    <row r="7486" spans="7:7">
      <c r="G7486" s="19" t="s">
        <v>1742</v>
      </c>
    </row>
    <row r="7487" spans="7:7">
      <c r="G7487" s="7"/>
    </row>
    <row r="7488" spans="7:7">
      <c r="G7488" s="7">
        <v>44606</v>
      </c>
    </row>
    <row r="7489" spans="7:7">
      <c r="G7489" s="19" t="s">
        <v>1742</v>
      </c>
    </row>
    <row r="7490" spans="7:7">
      <c r="G7490" s="7"/>
    </row>
    <row r="7491" spans="7:7">
      <c r="G7491" s="5">
        <v>4726973</v>
      </c>
    </row>
    <row r="7492" spans="7:7">
      <c r="G7492" s="7">
        <v>44246</v>
      </c>
    </row>
    <row r="7493" spans="7:7">
      <c r="G7493" s="19" t="s">
        <v>499</v>
      </c>
    </row>
    <row r="7494" spans="7:7">
      <c r="G7494" s="7"/>
    </row>
    <row r="7495" spans="7:7">
      <c r="G7495" s="5">
        <v>4729022</v>
      </c>
    </row>
    <row r="7496" spans="7:7">
      <c r="G7496" s="7">
        <v>44584</v>
      </c>
    </row>
    <row r="7497" spans="7:7">
      <c r="G7497" s="19" t="s">
        <v>107</v>
      </c>
    </row>
    <row r="7498" spans="7:7">
      <c r="G7498" s="7"/>
    </row>
    <row r="7499" spans="7:7">
      <c r="G7499" s="5">
        <v>4729042</v>
      </c>
    </row>
    <row r="7500" spans="7:7">
      <c r="G7500" s="7">
        <v>44375</v>
      </c>
    </row>
    <row r="7501" spans="7:7">
      <c r="G7501" s="19" t="s">
        <v>1015</v>
      </c>
    </row>
    <row r="7502" spans="7:7">
      <c r="G7502" s="7"/>
    </row>
    <row r="7503" spans="7:7">
      <c r="G7503" s="5">
        <v>4730716</v>
      </c>
    </row>
    <row r="7504" spans="7:7">
      <c r="G7504" s="7">
        <v>44662</v>
      </c>
    </row>
    <row r="7505" spans="7:7">
      <c r="G7505" s="19" t="s">
        <v>563</v>
      </c>
    </row>
    <row r="7506" spans="7:7">
      <c r="G7506" s="7"/>
    </row>
    <row r="7507" spans="7:7">
      <c r="G7507" s="5">
        <v>4733146</v>
      </c>
    </row>
    <row r="7508" spans="7:7">
      <c r="G7508" s="7">
        <v>44617</v>
      </c>
    </row>
    <row r="7509" spans="7:7">
      <c r="G7509" s="19" t="s">
        <v>175</v>
      </c>
    </row>
    <row r="7510" spans="7:7">
      <c r="G7510" s="7"/>
    </row>
    <row r="7511" spans="7:7">
      <c r="G7511" s="5">
        <v>4735959</v>
      </c>
    </row>
    <row r="7512" spans="7:7">
      <c r="G7512" s="7">
        <v>44692</v>
      </c>
    </row>
    <row r="7513" spans="7:7">
      <c r="G7513" s="19" t="s">
        <v>563</v>
      </c>
    </row>
    <row r="7514" spans="7:7">
      <c r="G7514" s="7"/>
    </row>
    <row r="7515" spans="7:7">
      <c r="G7515" s="5">
        <v>4741591</v>
      </c>
    </row>
    <row r="7516" spans="7:7">
      <c r="G7516" s="7">
        <v>44664</v>
      </c>
    </row>
    <row r="7517" spans="7:7">
      <c r="G7517" s="19" t="s">
        <v>563</v>
      </c>
    </row>
    <row r="7518" spans="7:7">
      <c r="G7518" s="7"/>
    </row>
    <row r="7519" spans="7:7">
      <c r="G7519" s="5">
        <v>4743560</v>
      </c>
    </row>
    <row r="7520" spans="7:7">
      <c r="G7520" s="7">
        <v>44713</v>
      </c>
    </row>
    <row r="7521" spans="7:7">
      <c r="G7521" s="19" t="s">
        <v>563</v>
      </c>
    </row>
    <row r="7522" spans="7:7">
      <c r="G7522" s="7"/>
    </row>
    <row r="7523" spans="7:7">
      <c r="G7523" s="5">
        <v>4745055</v>
      </c>
    </row>
    <row r="7524" spans="7:7">
      <c r="G7524" s="7">
        <v>44741</v>
      </c>
    </row>
    <row r="7525" spans="7:7">
      <c r="G7525" s="19" t="s">
        <v>2383</v>
      </c>
    </row>
    <row r="7526" spans="7:7">
      <c r="G7526" s="7"/>
    </row>
    <row r="7527" spans="7:7">
      <c r="G7527" s="5">
        <v>4746423</v>
      </c>
    </row>
    <row r="7528" spans="7:7">
      <c r="G7528" s="7">
        <v>44498</v>
      </c>
    </row>
    <row r="7529" spans="7:7">
      <c r="G7529" s="19" t="s">
        <v>175</v>
      </c>
    </row>
    <row r="7530" spans="7:7">
      <c r="G7530" s="7"/>
    </row>
    <row r="7531" spans="7:7">
      <c r="G7531" s="5">
        <v>4746773</v>
      </c>
    </row>
    <row r="7532" spans="7:7">
      <c r="G7532" s="7">
        <v>44705</v>
      </c>
    </row>
    <row r="7533" spans="7:7">
      <c r="G7533" s="19" t="s">
        <v>1268</v>
      </c>
    </row>
    <row r="7534" spans="7:7">
      <c r="G7534" s="7"/>
    </row>
    <row r="7535" spans="7:7">
      <c r="G7535" s="5">
        <v>4753698</v>
      </c>
    </row>
    <row r="7536" spans="7:7">
      <c r="G7536" s="7">
        <v>44707</v>
      </c>
    </row>
    <row r="7537" spans="7:7">
      <c r="G7537" s="19" t="s">
        <v>563</v>
      </c>
    </row>
    <row r="7538" spans="7:7">
      <c r="G7538" s="7"/>
    </row>
    <row r="7539" spans="7:7">
      <c r="G7539" s="5">
        <v>4762200</v>
      </c>
    </row>
    <row r="7540" spans="7:7">
      <c r="G7540" s="7">
        <v>44754</v>
      </c>
    </row>
    <row r="7541" spans="7:7">
      <c r="G7541" s="19" t="s">
        <v>2383</v>
      </c>
    </row>
    <row r="7542" spans="7:7">
      <c r="G7542" s="7"/>
    </row>
    <row r="7543" spans="7:7">
      <c r="G7543" s="5">
        <v>4763947</v>
      </c>
    </row>
    <row r="7544" spans="7:7">
      <c r="G7544" s="7">
        <v>44738</v>
      </c>
    </row>
    <row r="7545" spans="7:7">
      <c r="G7545" s="19" t="s">
        <v>2383</v>
      </c>
    </row>
    <row r="7546" spans="7:7">
      <c r="G7546" s="7"/>
    </row>
    <row r="7547" spans="7:7">
      <c r="G7547" s="5">
        <v>4774482</v>
      </c>
    </row>
    <row r="7548" spans="7:7">
      <c r="G7548" s="7">
        <v>44329</v>
      </c>
    </row>
    <row r="7549" spans="7:7">
      <c r="G7549" s="19" t="s">
        <v>563</v>
      </c>
    </row>
    <row r="7550" spans="7:7">
      <c r="G7550" s="7"/>
    </row>
    <row r="7551" spans="7:7">
      <c r="G7551" s="5">
        <v>4783967</v>
      </c>
    </row>
    <row r="7552" spans="7:7">
      <c r="G7552" s="7">
        <v>44344</v>
      </c>
    </row>
    <row r="7553" spans="7:7">
      <c r="G7553" s="19" t="s">
        <v>563</v>
      </c>
    </row>
    <row r="7554" spans="7:7">
      <c r="G7554" s="7"/>
    </row>
    <row r="7555" spans="7:7">
      <c r="G7555" s="5">
        <v>4791096</v>
      </c>
    </row>
    <row r="7556" spans="7:7">
      <c r="G7556" s="7">
        <v>44419</v>
      </c>
    </row>
    <row r="7557" spans="7:7">
      <c r="G7557" s="19" t="s">
        <v>175</v>
      </c>
    </row>
    <row r="7558" spans="7:7">
      <c r="G7558" s="7"/>
    </row>
    <row r="7559" spans="7:7">
      <c r="G7559" s="5">
        <v>4800950</v>
      </c>
    </row>
    <row r="7560" spans="7:7">
      <c r="G7560" s="7">
        <v>44630</v>
      </c>
    </row>
    <row r="7561" spans="7:7">
      <c r="G7561" s="19" t="s">
        <v>950</v>
      </c>
    </row>
    <row r="7562" spans="7:7">
      <c r="G7562" s="7"/>
    </row>
    <row r="7563" spans="7:7">
      <c r="G7563" s="5">
        <v>4810166</v>
      </c>
    </row>
    <row r="7564" spans="7:7">
      <c r="G7564" s="7">
        <v>44719</v>
      </c>
    </row>
    <row r="7565" spans="7:7">
      <c r="G7565" s="19" t="s">
        <v>2383</v>
      </c>
    </row>
    <row r="7566" spans="7:7">
      <c r="G7566" s="7"/>
    </row>
    <row r="7567" spans="7:7">
      <c r="G7567" s="7">
        <v>44725</v>
      </c>
    </row>
    <row r="7568" spans="7:7">
      <c r="G7568" s="19" t="s">
        <v>2383</v>
      </c>
    </row>
    <row r="7569" spans="7:7">
      <c r="G7569" s="7"/>
    </row>
    <row r="7570" spans="7:7">
      <c r="G7570" s="5">
        <v>4810444</v>
      </c>
    </row>
    <row r="7571" spans="7:7">
      <c r="G7571" s="7">
        <v>44680</v>
      </c>
    </row>
    <row r="7572" spans="7:7">
      <c r="G7572" s="19" t="s">
        <v>2241</v>
      </c>
    </row>
    <row r="7573" spans="7:7">
      <c r="G7573" s="7"/>
    </row>
    <row r="7574" spans="7:7">
      <c r="G7574" s="5">
        <v>4812426</v>
      </c>
    </row>
    <row r="7575" spans="7:7">
      <c r="G7575" s="7">
        <v>44613</v>
      </c>
    </row>
    <row r="7576" spans="7:7">
      <c r="G7576" s="19" t="s">
        <v>1203</v>
      </c>
    </row>
    <row r="7577" spans="7:7">
      <c r="G7577" s="7"/>
    </row>
    <row r="7578" spans="7:7">
      <c r="G7578" s="5">
        <v>4826722</v>
      </c>
    </row>
    <row r="7579" spans="7:7">
      <c r="G7579" s="7">
        <v>44698</v>
      </c>
    </row>
    <row r="7580" spans="7:7">
      <c r="G7580" s="19" t="s">
        <v>563</v>
      </c>
    </row>
    <row r="7581" spans="7:7">
      <c r="G7581" s="7"/>
    </row>
    <row r="7582" spans="7:7">
      <c r="G7582" s="5">
        <v>4832382</v>
      </c>
    </row>
    <row r="7583" spans="7:7">
      <c r="G7583" s="7">
        <v>44726</v>
      </c>
    </row>
    <row r="7584" spans="7:7">
      <c r="G7584" s="19" t="s">
        <v>3133</v>
      </c>
    </row>
    <row r="7585" spans="7:7">
      <c r="G7585" s="7"/>
    </row>
    <row r="7586" spans="7:7">
      <c r="G7586" s="5">
        <v>4840175</v>
      </c>
    </row>
    <row r="7587" spans="7:7">
      <c r="G7587" s="7">
        <v>44732</v>
      </c>
    </row>
    <row r="7588" spans="7:7">
      <c r="G7588" s="19" t="s">
        <v>2383</v>
      </c>
    </row>
    <row r="7589" spans="7:7">
      <c r="G7589" s="7"/>
    </row>
    <row r="7590" spans="7:7">
      <c r="G7590" s="5">
        <v>4843995</v>
      </c>
    </row>
    <row r="7591" spans="7:7">
      <c r="G7591" s="7">
        <v>44648</v>
      </c>
    </row>
    <row r="7592" spans="7:7">
      <c r="G7592" s="19" t="s">
        <v>2383</v>
      </c>
    </row>
    <row r="7593" spans="7:7">
      <c r="G7593" s="7"/>
    </row>
    <row r="7594" spans="7:7">
      <c r="G7594" s="5">
        <v>4850717</v>
      </c>
    </row>
    <row r="7595" spans="7:7">
      <c r="G7595" s="7">
        <v>44411</v>
      </c>
    </row>
    <row r="7596" spans="7:7">
      <c r="G7596" s="19" t="s">
        <v>325</v>
      </c>
    </row>
    <row r="7597" spans="7:7">
      <c r="G7597" s="7"/>
    </row>
    <row r="7598" spans="7:7">
      <c r="G7598" s="5">
        <v>4858273</v>
      </c>
    </row>
    <row r="7599" spans="7:7">
      <c r="G7599" s="7">
        <v>44517</v>
      </c>
    </row>
    <row r="7600" spans="7:7">
      <c r="G7600" s="19" t="s">
        <v>1883</v>
      </c>
    </row>
    <row r="7601" spans="7:7">
      <c r="G7601" s="7"/>
    </row>
    <row r="7602" spans="7:7">
      <c r="G7602" s="5">
        <v>4869711</v>
      </c>
    </row>
    <row r="7603" spans="7:7">
      <c r="G7603" s="7">
        <v>44690</v>
      </c>
    </row>
    <row r="7604" spans="7:7">
      <c r="G7604" s="19" t="s">
        <v>563</v>
      </c>
    </row>
    <row r="7605" spans="7:7">
      <c r="G7605" s="7"/>
    </row>
    <row r="7606" spans="7:7">
      <c r="G7606" s="5">
        <v>4869859</v>
      </c>
    </row>
    <row r="7607" spans="7:7">
      <c r="G7607" s="7">
        <v>44699</v>
      </c>
    </row>
    <row r="7608" spans="7:7">
      <c r="G7608" s="19" t="s">
        <v>563</v>
      </c>
    </row>
    <row r="7609" spans="7:7">
      <c r="G7609" s="7"/>
    </row>
    <row r="7610" spans="7:7">
      <c r="G7610" s="5">
        <v>4874468</v>
      </c>
    </row>
    <row r="7611" spans="7:7">
      <c r="G7611" s="7">
        <v>44708</v>
      </c>
    </row>
    <row r="7612" spans="7:7">
      <c r="G7612" s="19" t="s">
        <v>563</v>
      </c>
    </row>
    <row r="7613" spans="7:7">
      <c r="G7613" s="7"/>
    </row>
    <row r="7614" spans="7:7">
      <c r="G7614" s="5">
        <v>4884599</v>
      </c>
    </row>
    <row r="7615" spans="7:7">
      <c r="G7615" s="7">
        <v>44740</v>
      </c>
    </row>
    <row r="7616" spans="7:7">
      <c r="G7616" s="19" t="s">
        <v>2383</v>
      </c>
    </row>
    <row r="7617" spans="7:7">
      <c r="G7617" s="7"/>
    </row>
    <row r="7618" spans="7:7">
      <c r="G7618" s="5">
        <v>4888193</v>
      </c>
    </row>
    <row r="7619" spans="7:7">
      <c r="G7619" s="7">
        <v>44700</v>
      </c>
    </row>
    <row r="7620" spans="7:7">
      <c r="G7620" s="19" t="s">
        <v>2175</v>
      </c>
    </row>
    <row r="7621" spans="7:7">
      <c r="G7621" s="7"/>
    </row>
    <row r="7622" spans="7:7">
      <c r="G7622" s="5">
        <v>4897476</v>
      </c>
    </row>
    <row r="7623" spans="7:7">
      <c r="G7623" s="7">
        <v>44656</v>
      </c>
    </row>
    <row r="7624" spans="7:7">
      <c r="G7624" s="19" t="s">
        <v>563</v>
      </c>
    </row>
    <row r="7625" spans="7:7">
      <c r="G7625" s="7"/>
    </row>
    <row r="7626" spans="7:7">
      <c r="G7626" s="5">
        <v>4908915</v>
      </c>
    </row>
    <row r="7627" spans="7:7">
      <c r="G7627" s="7">
        <v>44580</v>
      </c>
    </row>
    <row r="7628" spans="7:7">
      <c r="G7628" s="19" t="s">
        <v>1923</v>
      </c>
    </row>
    <row r="7629" spans="7:7">
      <c r="G7629" s="7"/>
    </row>
    <row r="7630" spans="7:7">
      <c r="G7630" s="5">
        <v>4951563</v>
      </c>
    </row>
    <row r="7631" spans="7:7">
      <c r="G7631" s="7">
        <v>44739</v>
      </c>
    </row>
    <row r="7632" spans="7:7">
      <c r="G7632" s="19" t="s">
        <v>2995</v>
      </c>
    </row>
    <row r="7633" spans="7:7">
      <c r="G7633" s="7"/>
    </row>
    <row r="7634" spans="7:7">
      <c r="G7634" s="5">
        <v>4952549</v>
      </c>
    </row>
    <row r="7635" spans="7:7">
      <c r="G7635" s="7">
        <v>44713</v>
      </c>
    </row>
    <row r="7636" spans="7:7">
      <c r="G7636" s="19" t="s">
        <v>563</v>
      </c>
    </row>
    <row r="7637" spans="7:7">
      <c r="G7637" s="7"/>
    </row>
    <row r="7638" spans="7:7">
      <c r="G7638" s="5">
        <v>4968541</v>
      </c>
    </row>
    <row r="7639" spans="7:7">
      <c r="G7639" s="7">
        <v>44386</v>
      </c>
    </row>
    <row r="7640" spans="7:7">
      <c r="G7640" s="19" t="s">
        <v>143</v>
      </c>
    </row>
    <row r="7641" spans="7:7">
      <c r="G7641" s="7"/>
    </row>
    <row r="7642" spans="7:7">
      <c r="G7642" s="5">
        <v>4971128</v>
      </c>
    </row>
    <row r="7643" spans="7:7">
      <c r="G7643" s="7">
        <v>44622</v>
      </c>
    </row>
    <row r="7644" spans="7:7">
      <c r="G7644" s="19" t="s">
        <v>1653</v>
      </c>
    </row>
    <row r="7645" spans="7:7">
      <c r="G7645" s="7"/>
    </row>
    <row r="7646" spans="7:7">
      <c r="G7646" s="7">
        <v>44629</v>
      </c>
    </row>
    <row r="7647" spans="7:7">
      <c r="G7647" s="19" t="s">
        <v>1929</v>
      </c>
    </row>
    <row r="7648" spans="7:7">
      <c r="G7648" s="7"/>
    </row>
    <row r="7649" spans="7:7">
      <c r="G7649" s="5">
        <v>4974143</v>
      </c>
    </row>
    <row r="7650" spans="7:7">
      <c r="G7650" s="7">
        <v>44766</v>
      </c>
    </row>
    <row r="7651" spans="7:7">
      <c r="G7651" s="19" t="s">
        <v>2383</v>
      </c>
    </row>
    <row r="7652" spans="7:7">
      <c r="G7652" s="7"/>
    </row>
    <row r="7653" spans="7:7">
      <c r="G7653" s="5">
        <v>4976109</v>
      </c>
    </row>
    <row r="7654" spans="7:7">
      <c r="G7654" s="7">
        <v>44253</v>
      </c>
    </row>
    <row r="7655" spans="7:7">
      <c r="G7655" s="19" t="s">
        <v>397</v>
      </c>
    </row>
    <row r="7656" spans="7:7">
      <c r="G7656" s="7"/>
    </row>
    <row r="7657" spans="7:7">
      <c r="G7657" s="7">
        <v>44369</v>
      </c>
    </row>
    <row r="7658" spans="7:7">
      <c r="G7658" s="19" t="s">
        <v>650</v>
      </c>
    </row>
    <row r="7659" spans="7:7">
      <c r="G7659" s="7"/>
    </row>
    <row r="7660" spans="7:7">
      <c r="G7660" s="7">
        <v>44342</v>
      </c>
    </row>
    <row r="7661" spans="7:7">
      <c r="G7661" s="19" t="s">
        <v>720</v>
      </c>
    </row>
    <row r="7662" spans="7:7">
      <c r="G7662" s="7"/>
    </row>
    <row r="7663" spans="7:7">
      <c r="G7663" s="7">
        <v>44320</v>
      </c>
    </row>
    <row r="7664" spans="7:7">
      <c r="G7664" s="19" t="s">
        <v>650</v>
      </c>
    </row>
    <row r="7665" spans="7:7">
      <c r="G7665" s="7"/>
    </row>
    <row r="7666" spans="7:7">
      <c r="G7666" s="7">
        <v>44265</v>
      </c>
    </row>
    <row r="7667" spans="7:7">
      <c r="G7667" s="19" t="s">
        <v>325</v>
      </c>
    </row>
    <row r="7668" spans="7:7">
      <c r="G7668" s="7"/>
    </row>
    <row r="7669" spans="7:7">
      <c r="G7669" s="5">
        <v>4979656</v>
      </c>
    </row>
    <row r="7670" spans="7:7">
      <c r="G7670" s="7">
        <v>44693</v>
      </c>
    </row>
    <row r="7671" spans="7:7">
      <c r="G7671" s="19" t="s">
        <v>2241</v>
      </c>
    </row>
    <row r="7672" spans="7:7">
      <c r="G7672" s="7"/>
    </row>
    <row r="7673" spans="7:7">
      <c r="G7673" s="5">
        <v>4983366</v>
      </c>
    </row>
    <row r="7674" spans="7:7">
      <c r="G7674" s="7">
        <v>44700</v>
      </c>
    </row>
    <row r="7675" spans="7:7">
      <c r="G7675" s="19" t="s">
        <v>95</v>
      </c>
    </row>
    <row r="7676" spans="7:7">
      <c r="G7676" s="7"/>
    </row>
    <row r="7677" spans="7:7">
      <c r="G7677" s="5">
        <v>4987381</v>
      </c>
    </row>
    <row r="7678" spans="7:7">
      <c r="G7678" s="7">
        <v>44739</v>
      </c>
    </row>
    <row r="7679" spans="7:7">
      <c r="G7679" s="19" t="s">
        <v>3229</v>
      </c>
    </row>
    <row r="7680" spans="7:7">
      <c r="G7680" s="7"/>
    </row>
    <row r="7681" spans="7:7">
      <c r="G7681" s="5">
        <v>4993346</v>
      </c>
    </row>
    <row r="7682" spans="7:7">
      <c r="G7682" s="7">
        <v>44692</v>
      </c>
    </row>
    <row r="7683" spans="7:7">
      <c r="G7683" s="19" t="s">
        <v>563</v>
      </c>
    </row>
    <row r="7684" spans="7:7">
      <c r="G7684" s="7"/>
    </row>
    <row r="7685" spans="7:7">
      <c r="G7685" s="5">
        <v>5001909</v>
      </c>
    </row>
    <row r="7686" spans="7:7">
      <c r="G7686" s="7">
        <v>44475</v>
      </c>
    </row>
    <row r="7687" spans="7:7">
      <c r="G7687" s="19" t="s">
        <v>139</v>
      </c>
    </row>
    <row r="7688" spans="7:7">
      <c r="G7688" s="7"/>
    </row>
    <row r="7689" spans="7:7">
      <c r="G7689" s="5">
        <v>5003893</v>
      </c>
    </row>
    <row r="7690" spans="7:7">
      <c r="G7690" s="7">
        <v>44517</v>
      </c>
    </row>
    <row r="7691" spans="7:7">
      <c r="G7691" s="19" t="s">
        <v>1274</v>
      </c>
    </row>
    <row r="7692" spans="7:7">
      <c r="G7692" s="7"/>
    </row>
    <row r="7693" spans="7:7">
      <c r="G7693" s="5">
        <v>5021007</v>
      </c>
    </row>
    <row r="7694" spans="7:7">
      <c r="G7694" s="7">
        <v>44762</v>
      </c>
    </row>
    <row r="7695" spans="7:7">
      <c r="G7695" s="19" t="s">
        <v>1086</v>
      </c>
    </row>
    <row r="7696" spans="7:7">
      <c r="G7696" s="7"/>
    </row>
    <row r="7697" spans="7:7">
      <c r="G7697" s="5">
        <v>5046858</v>
      </c>
    </row>
    <row r="7698" spans="7:7">
      <c r="G7698" s="7">
        <v>44476</v>
      </c>
    </row>
    <row r="7699" spans="7:7">
      <c r="G7699" s="19" t="s">
        <v>509</v>
      </c>
    </row>
    <row r="7700" spans="7:7">
      <c r="G7700" s="7"/>
    </row>
    <row r="7701" spans="7:7">
      <c r="G7701" s="5">
        <v>5052155</v>
      </c>
    </row>
    <row r="7702" spans="7:7">
      <c r="G7702" s="7">
        <v>44644</v>
      </c>
    </row>
    <row r="7703" spans="7:7">
      <c r="G7703" s="19" t="s">
        <v>2241</v>
      </c>
    </row>
    <row r="7704" spans="7:7">
      <c r="G7704" s="7"/>
    </row>
    <row r="7705" spans="7:7">
      <c r="G7705" s="5">
        <v>5060114</v>
      </c>
    </row>
    <row r="7706" spans="7:7">
      <c r="G7706" s="7">
        <v>44648</v>
      </c>
    </row>
    <row r="7707" spans="7:7">
      <c r="G7707" s="19" t="s">
        <v>1286</v>
      </c>
    </row>
    <row r="7708" spans="7:7">
      <c r="G7708" s="7"/>
    </row>
    <row r="7709" spans="7:7">
      <c r="G7709" s="5">
        <v>5065270</v>
      </c>
    </row>
    <row r="7710" spans="7:7">
      <c r="G7710" s="7">
        <v>44764</v>
      </c>
    </row>
    <row r="7711" spans="7:7">
      <c r="G7711" s="19" t="s">
        <v>2383</v>
      </c>
    </row>
    <row r="7712" spans="7:7">
      <c r="G7712" s="7"/>
    </row>
    <row r="7713" spans="7:7">
      <c r="G7713" s="5">
        <v>5076841</v>
      </c>
    </row>
    <row r="7714" spans="7:7">
      <c r="G7714" s="7">
        <v>44637</v>
      </c>
    </row>
    <row r="7715" spans="7:7">
      <c r="G7715" s="19" t="s">
        <v>2241</v>
      </c>
    </row>
    <row r="7716" spans="7:7">
      <c r="G7716" s="7"/>
    </row>
    <row r="7717" spans="7:7">
      <c r="G7717" s="5">
        <v>5080194</v>
      </c>
    </row>
    <row r="7718" spans="7:7">
      <c r="G7718" s="7">
        <v>44699</v>
      </c>
    </row>
    <row r="7719" spans="7:7">
      <c r="G7719" s="19" t="s">
        <v>563</v>
      </c>
    </row>
    <row r="7720" spans="7:7">
      <c r="G7720" s="7"/>
    </row>
    <row r="7721" spans="7:7">
      <c r="G7721" s="5">
        <v>5087098</v>
      </c>
    </row>
    <row r="7722" spans="7:7">
      <c r="G7722" s="7">
        <v>44377</v>
      </c>
    </row>
    <row r="7723" spans="7:7">
      <c r="G7723" s="19" t="s">
        <v>552</v>
      </c>
    </row>
    <row r="7724" spans="7:7">
      <c r="G7724" s="7"/>
    </row>
    <row r="7725" spans="7:7">
      <c r="G7725" s="5">
        <v>5104679</v>
      </c>
    </row>
    <row r="7726" spans="7:7">
      <c r="G7726" s="7">
        <v>44411</v>
      </c>
    </row>
    <row r="7727" spans="7:7">
      <c r="G7727" s="19" t="s">
        <v>1168</v>
      </c>
    </row>
    <row r="7728" spans="7:7">
      <c r="G7728" s="7"/>
    </row>
    <row r="7729" spans="7:7">
      <c r="G7729" s="5">
        <v>5111574</v>
      </c>
    </row>
    <row r="7730" spans="7:7">
      <c r="G7730" s="7">
        <v>44705</v>
      </c>
    </row>
    <row r="7731" spans="7:7">
      <c r="G7731" s="19" t="s">
        <v>563</v>
      </c>
    </row>
    <row r="7732" spans="7:7">
      <c r="G7732" s="7"/>
    </row>
    <row r="7733" spans="7:7">
      <c r="G7733" s="5">
        <v>5114118</v>
      </c>
    </row>
    <row r="7734" spans="7:7">
      <c r="G7734" s="7">
        <v>44742</v>
      </c>
    </row>
    <row r="7735" spans="7:7">
      <c r="G7735" s="19" t="s">
        <v>2861</v>
      </c>
    </row>
    <row r="7736" spans="7:7">
      <c r="G7736" s="7"/>
    </row>
    <row r="7737" spans="7:7">
      <c r="G7737" s="5">
        <v>5118971</v>
      </c>
    </row>
    <row r="7738" spans="7:7">
      <c r="G7738" s="7">
        <v>44768</v>
      </c>
    </row>
    <row r="7739" spans="7:7">
      <c r="G7739" s="19" t="s">
        <v>1152</v>
      </c>
    </row>
    <row r="7740" spans="7:7">
      <c r="G7740" s="7"/>
    </row>
    <row r="7741" spans="7:7">
      <c r="G7741" s="5">
        <v>5133660</v>
      </c>
    </row>
    <row r="7742" spans="7:7">
      <c r="G7742" s="7">
        <v>44729</v>
      </c>
    </row>
    <row r="7743" spans="7:7">
      <c r="G7743" s="19" t="s">
        <v>2075</v>
      </c>
    </row>
    <row r="7744" spans="7:7">
      <c r="G7744" s="7"/>
    </row>
    <row r="7745" spans="7:7">
      <c r="G7745" s="5">
        <v>5147897</v>
      </c>
    </row>
    <row r="7746" spans="7:7">
      <c r="G7746" s="7">
        <v>44403</v>
      </c>
    </row>
    <row r="7747" spans="7:7">
      <c r="G7747" s="19" t="s">
        <v>1086</v>
      </c>
    </row>
    <row r="7748" spans="7:7">
      <c r="G7748" s="7"/>
    </row>
    <row r="7749" spans="7:7">
      <c r="G7749" s="5">
        <v>5152139</v>
      </c>
    </row>
    <row r="7750" spans="7:7">
      <c r="G7750" s="7">
        <v>44711</v>
      </c>
    </row>
    <row r="7751" spans="7:7">
      <c r="G7751" s="19" t="s">
        <v>1630</v>
      </c>
    </row>
    <row r="7752" spans="7:7">
      <c r="G7752" s="7"/>
    </row>
    <row r="7753" spans="7:7">
      <c r="G7753" s="5">
        <v>5152251</v>
      </c>
    </row>
    <row r="7754" spans="7:7">
      <c r="G7754" s="7">
        <v>44264</v>
      </c>
    </row>
    <row r="7755" spans="7:7">
      <c r="G7755" s="19" t="s">
        <v>563</v>
      </c>
    </row>
    <row r="7756" spans="7:7">
      <c r="G7756" s="7"/>
    </row>
    <row r="7757" spans="7:7">
      <c r="G7757" s="5">
        <v>5153342</v>
      </c>
    </row>
    <row r="7758" spans="7:7">
      <c r="G7758" s="7">
        <v>44685</v>
      </c>
    </row>
    <row r="7759" spans="7:7">
      <c r="G7759" s="19" t="s">
        <v>552</v>
      </c>
    </row>
    <row r="7760" spans="7:7">
      <c r="G7760" s="7"/>
    </row>
    <row r="7761" spans="7:7">
      <c r="G7761" s="7">
        <v>44705</v>
      </c>
    </row>
    <row r="7762" spans="7:7">
      <c r="G7762" s="19" t="s">
        <v>563</v>
      </c>
    </row>
    <row r="7763" spans="7:7">
      <c r="G7763" s="7"/>
    </row>
    <row r="7764" spans="7:7">
      <c r="G7764" s="5">
        <v>5153607</v>
      </c>
    </row>
    <row r="7765" spans="7:7">
      <c r="G7765" s="7">
        <v>44403</v>
      </c>
    </row>
    <row r="7766" spans="7:7">
      <c r="G7766" s="19" t="s">
        <v>1113</v>
      </c>
    </row>
    <row r="7767" spans="7:7">
      <c r="G7767" s="7"/>
    </row>
    <row r="7768" spans="7:7">
      <c r="G7768" s="5">
        <v>5162387</v>
      </c>
    </row>
    <row r="7769" spans="7:7">
      <c r="G7769" s="7">
        <v>44734</v>
      </c>
    </row>
    <row r="7770" spans="7:7">
      <c r="G7770" s="19" t="s">
        <v>2383</v>
      </c>
    </row>
    <row r="7771" spans="7:7">
      <c r="G7771" s="7"/>
    </row>
    <row r="7772" spans="7:7">
      <c r="G7772" s="5">
        <v>5163862</v>
      </c>
    </row>
    <row r="7773" spans="7:7">
      <c r="G7773" s="7">
        <v>44657</v>
      </c>
    </row>
    <row r="7774" spans="7:7">
      <c r="G7774" s="19" t="s">
        <v>1286</v>
      </c>
    </row>
    <row r="7775" spans="7:7">
      <c r="G7775" s="7"/>
    </row>
    <row r="7776" spans="7:7">
      <c r="G7776" s="7">
        <v>44656</v>
      </c>
    </row>
    <row r="7777" spans="7:7">
      <c r="G7777" s="19" t="s">
        <v>1286</v>
      </c>
    </row>
    <row r="7778" spans="7:7">
      <c r="G7778" s="7"/>
    </row>
    <row r="7779" spans="7:7">
      <c r="G7779" s="7">
        <v>44658</v>
      </c>
    </row>
    <row r="7780" spans="7:7">
      <c r="G7780" s="19" t="s">
        <v>1286</v>
      </c>
    </row>
    <row r="7781" spans="7:7">
      <c r="G7781" s="7"/>
    </row>
    <row r="7782" spans="7:7">
      <c r="G7782" s="5">
        <v>5164275</v>
      </c>
    </row>
    <row r="7783" spans="7:7">
      <c r="G7783" s="7">
        <v>44753</v>
      </c>
    </row>
    <row r="7784" spans="7:7">
      <c r="G7784" s="19" t="s">
        <v>2383</v>
      </c>
    </row>
    <row r="7785" spans="7:7">
      <c r="G7785" s="7"/>
    </row>
    <row r="7786" spans="7:7">
      <c r="G7786" s="5">
        <v>5182082</v>
      </c>
    </row>
    <row r="7787" spans="7:7">
      <c r="G7787" s="7">
        <v>44713</v>
      </c>
    </row>
    <row r="7788" spans="7:7">
      <c r="G7788" s="19" t="s">
        <v>563</v>
      </c>
    </row>
    <row r="7789" spans="7:7">
      <c r="G7789" s="7"/>
    </row>
    <row r="7790" spans="7:7">
      <c r="G7790" s="5">
        <v>5184143</v>
      </c>
    </row>
    <row r="7791" spans="7:7">
      <c r="G7791" s="7">
        <v>44647</v>
      </c>
    </row>
    <row r="7792" spans="7:7">
      <c r="G7792" s="19" t="s">
        <v>2383</v>
      </c>
    </row>
    <row r="7793" spans="7:7">
      <c r="G7793" s="7"/>
    </row>
    <row r="7794" spans="7:7">
      <c r="G7794" s="5">
        <v>5224082</v>
      </c>
    </row>
    <row r="7795" spans="7:7">
      <c r="G7795" s="7">
        <v>44348</v>
      </c>
    </row>
    <row r="7796" spans="7:7">
      <c r="G7796" s="19" t="s">
        <v>530</v>
      </c>
    </row>
    <row r="7797" spans="7:7">
      <c r="G7797" s="7"/>
    </row>
    <row r="7798" spans="7:7">
      <c r="G7798" s="5">
        <v>5227994</v>
      </c>
    </row>
    <row r="7799" spans="7:7">
      <c r="G7799" s="7">
        <v>44757</v>
      </c>
    </row>
    <row r="7800" spans="7:7">
      <c r="G7800" s="19" t="s">
        <v>2383</v>
      </c>
    </row>
    <row r="7801" spans="7:7">
      <c r="G7801" s="7"/>
    </row>
    <row r="7802" spans="7:7">
      <c r="G7802" s="5">
        <v>5258228</v>
      </c>
    </row>
    <row r="7803" spans="7:7">
      <c r="G7803" s="7">
        <v>44756</v>
      </c>
    </row>
    <row r="7804" spans="7:7">
      <c r="G7804" s="19" t="s">
        <v>2383</v>
      </c>
    </row>
    <row r="7805" spans="7:7">
      <c r="G7805" s="7"/>
    </row>
    <row r="7806" spans="7:7">
      <c r="G7806" s="5">
        <v>5260412</v>
      </c>
    </row>
    <row r="7807" spans="7:7">
      <c r="G7807" s="7">
        <v>44595</v>
      </c>
    </row>
    <row r="7808" spans="7:7">
      <c r="G7808" s="19" t="s">
        <v>107</v>
      </c>
    </row>
    <row r="7809" spans="7:7">
      <c r="G7809" s="7"/>
    </row>
    <row r="7810" spans="7:7">
      <c r="G7810" s="7">
        <v>44693</v>
      </c>
    </row>
    <row r="7811" spans="7:7">
      <c r="G7811" s="19" t="s">
        <v>2788</v>
      </c>
    </row>
    <row r="7812" spans="7:7">
      <c r="G7812" s="7"/>
    </row>
    <row r="7813" spans="7:7">
      <c r="G7813" s="5">
        <v>5273254</v>
      </c>
    </row>
    <row r="7814" spans="7:7">
      <c r="G7814" s="7">
        <v>44684</v>
      </c>
    </row>
    <row r="7815" spans="7:7">
      <c r="G7815" s="19" t="s">
        <v>2237</v>
      </c>
    </row>
    <row r="7816" spans="7:7">
      <c r="G7816" s="7"/>
    </row>
    <row r="7817" spans="7:7">
      <c r="G7817" s="5">
        <v>5288923</v>
      </c>
    </row>
    <row r="7818" spans="7:7">
      <c r="G7818" s="7">
        <v>44630</v>
      </c>
    </row>
    <row r="7819" spans="7:7">
      <c r="G7819" s="19" t="s">
        <v>2241</v>
      </c>
    </row>
    <row r="7820" spans="7:7">
      <c r="G7820" s="7"/>
    </row>
    <row r="7821" spans="7:7">
      <c r="G7821" s="5">
        <v>5297266</v>
      </c>
    </row>
    <row r="7822" spans="7:7">
      <c r="G7822" s="7">
        <v>44651</v>
      </c>
    </row>
    <row r="7823" spans="7:7">
      <c r="G7823" s="19" t="s">
        <v>563</v>
      </c>
    </row>
    <row r="7824" spans="7:7">
      <c r="G7824" s="7"/>
    </row>
    <row r="7825" spans="7:7">
      <c r="G7825" s="7">
        <v>44738</v>
      </c>
    </row>
    <row r="7826" spans="7:7">
      <c r="G7826" s="19" t="s">
        <v>3221</v>
      </c>
    </row>
    <row r="7827" spans="7:7">
      <c r="G7827" s="7"/>
    </row>
    <row r="7828" spans="7:7">
      <c r="G7828" s="5">
        <v>5311661</v>
      </c>
    </row>
    <row r="7829" spans="7:7">
      <c r="G7829" s="7">
        <v>44651</v>
      </c>
    </row>
    <row r="7830" spans="7:7">
      <c r="G7830" s="19" t="s">
        <v>563</v>
      </c>
    </row>
    <row r="7831" spans="7:7">
      <c r="G7831" s="7"/>
    </row>
    <row r="7832" spans="7:7">
      <c r="G7832" s="5">
        <v>5317047</v>
      </c>
    </row>
    <row r="7833" spans="7:7">
      <c r="G7833" s="7">
        <v>44773</v>
      </c>
    </row>
    <row r="7834" spans="7:7">
      <c r="G7834" s="19" t="s">
        <v>2383</v>
      </c>
    </row>
    <row r="7835" spans="7:7">
      <c r="G7835" s="7"/>
    </row>
    <row r="7836" spans="7:7">
      <c r="G7836" s="5">
        <v>5334454</v>
      </c>
    </row>
    <row r="7837" spans="7:7">
      <c r="G7837" s="7">
        <v>44693</v>
      </c>
    </row>
    <row r="7838" spans="7:7">
      <c r="G7838" s="19" t="s">
        <v>563</v>
      </c>
    </row>
    <row r="7839" spans="7:7">
      <c r="G7839" s="7"/>
    </row>
    <row r="7840" spans="7:7">
      <c r="G7840" s="7">
        <v>44701</v>
      </c>
    </row>
    <row r="7841" spans="7:7">
      <c r="G7841" s="19" t="s">
        <v>563</v>
      </c>
    </row>
    <row r="7842" spans="7:7">
      <c r="G7842" s="7"/>
    </row>
    <row r="7843" spans="7:7">
      <c r="G7843" s="5">
        <v>5337858</v>
      </c>
    </row>
    <row r="7844" spans="7:7">
      <c r="G7844" s="7">
        <v>44761</v>
      </c>
    </row>
    <row r="7845" spans="7:7">
      <c r="G7845" s="19" t="s">
        <v>2383</v>
      </c>
    </row>
    <row r="7846" spans="7:7">
      <c r="G7846" s="7"/>
    </row>
    <row r="7847" spans="7:7">
      <c r="G7847" s="5">
        <v>5344690</v>
      </c>
    </row>
    <row r="7848" spans="7:7">
      <c r="G7848" s="7">
        <v>44719</v>
      </c>
    </row>
    <row r="7849" spans="7:7">
      <c r="G7849" s="19" t="s">
        <v>1113</v>
      </c>
    </row>
    <row r="7850" spans="7:7">
      <c r="G7850" s="7"/>
    </row>
    <row r="7851" spans="7:7">
      <c r="G7851" s="5">
        <v>5350920</v>
      </c>
    </row>
    <row r="7852" spans="7:7">
      <c r="G7852" s="7">
        <v>44258</v>
      </c>
    </row>
    <row r="7853" spans="7:7">
      <c r="G7853" s="19" t="s">
        <v>508</v>
      </c>
    </row>
    <row r="7854" spans="7:7">
      <c r="G7854" s="7"/>
    </row>
    <row r="7855" spans="7:7">
      <c r="G7855" s="7">
        <v>44329</v>
      </c>
    </row>
    <row r="7856" spans="7:7">
      <c r="G7856" s="19" t="s">
        <v>508</v>
      </c>
    </row>
    <row r="7857" spans="7:7">
      <c r="G7857" s="7"/>
    </row>
    <row r="7858" spans="7:7">
      <c r="G7858" s="7">
        <v>44285</v>
      </c>
    </row>
    <row r="7859" spans="7:7">
      <c r="G7859" s="19" t="s">
        <v>508</v>
      </c>
    </row>
    <row r="7860" spans="7:7">
      <c r="G7860" s="7"/>
    </row>
    <row r="7861" spans="7:7">
      <c r="G7861" s="5">
        <v>5355097</v>
      </c>
    </row>
    <row r="7862" spans="7:7">
      <c r="G7862" s="7">
        <v>44587</v>
      </c>
    </row>
    <row r="7863" spans="7:7">
      <c r="G7863" s="19" t="s">
        <v>1286</v>
      </c>
    </row>
    <row r="7864" spans="7:7">
      <c r="G7864" s="7"/>
    </row>
    <row r="7865" spans="7:7">
      <c r="G7865" s="5">
        <v>5373226</v>
      </c>
    </row>
    <row r="7866" spans="7:7">
      <c r="G7866" s="7">
        <v>44508</v>
      </c>
    </row>
    <row r="7867" spans="7:7">
      <c r="G7867" s="19" t="s">
        <v>139</v>
      </c>
    </row>
    <row r="7868" spans="7:7">
      <c r="G7868" s="7"/>
    </row>
    <row r="7869" spans="7:7">
      <c r="G7869" s="5">
        <v>5377144</v>
      </c>
    </row>
    <row r="7870" spans="7:7">
      <c r="G7870" s="7">
        <v>44634</v>
      </c>
    </row>
    <row r="7871" spans="7:7">
      <c r="G7871" s="19" t="s">
        <v>563</v>
      </c>
    </row>
    <row r="7872" spans="7:7">
      <c r="G7872" s="7"/>
    </row>
    <row r="7873" spans="7:7">
      <c r="G7873" s="5">
        <v>5380678</v>
      </c>
    </row>
    <row r="7874" spans="7:7">
      <c r="G7874" s="7">
        <v>44637</v>
      </c>
    </row>
    <row r="7875" spans="7:7">
      <c r="G7875" s="19" t="s">
        <v>2241</v>
      </c>
    </row>
    <row r="7876" spans="7:7">
      <c r="G7876" s="7"/>
    </row>
    <row r="7877" spans="7:7">
      <c r="G7877" s="7">
        <v>44635</v>
      </c>
    </row>
    <row r="7878" spans="7:7">
      <c r="G7878" s="19" t="s">
        <v>563</v>
      </c>
    </row>
    <row r="7879" spans="7:7">
      <c r="G7879" s="7"/>
    </row>
    <row r="7880" spans="7:7">
      <c r="G7880" s="5">
        <v>5390546</v>
      </c>
    </row>
    <row r="7881" spans="7:7">
      <c r="G7881" s="7">
        <v>44765</v>
      </c>
    </row>
    <row r="7882" spans="7:7">
      <c r="G7882" s="19" t="s">
        <v>2383</v>
      </c>
    </row>
    <row r="7883" spans="7:7">
      <c r="G7883" s="7"/>
    </row>
    <row r="7884" spans="7:7">
      <c r="G7884" s="5">
        <v>5393586</v>
      </c>
    </row>
    <row r="7885" spans="7:7">
      <c r="G7885" s="7">
        <v>44337</v>
      </c>
    </row>
    <row r="7886" spans="7:7">
      <c r="G7886" s="19" t="s">
        <v>583</v>
      </c>
    </row>
    <row r="7887" spans="7:7">
      <c r="G7887" s="7"/>
    </row>
    <row r="7888" spans="7:7">
      <c r="G7888" s="5">
        <v>5401487</v>
      </c>
    </row>
    <row r="7889" spans="7:7">
      <c r="G7889" s="7">
        <v>44397</v>
      </c>
    </row>
    <row r="7890" spans="7:7">
      <c r="G7890" s="19" t="s">
        <v>1107</v>
      </c>
    </row>
    <row r="7891" spans="7:7">
      <c r="G7891" s="7"/>
    </row>
    <row r="7892" spans="7:7">
      <c r="G7892" s="5">
        <v>5404259</v>
      </c>
    </row>
    <row r="7893" spans="7:7">
      <c r="G7893" s="7">
        <v>44740</v>
      </c>
    </row>
    <row r="7894" spans="7:7">
      <c r="G7894" s="19" t="s">
        <v>2383</v>
      </c>
    </row>
    <row r="7895" spans="7:7">
      <c r="G7895" s="7"/>
    </row>
    <row r="7896" spans="7:7">
      <c r="G7896" s="7">
        <v>44755</v>
      </c>
    </row>
    <row r="7897" spans="7:7">
      <c r="G7897" s="19" t="s">
        <v>2383</v>
      </c>
    </row>
    <row r="7898" spans="7:7">
      <c r="G7898" s="7"/>
    </row>
    <row r="7899" spans="7:7">
      <c r="G7899" s="5">
        <v>5411819</v>
      </c>
    </row>
    <row r="7900" spans="7:7">
      <c r="G7900" s="7">
        <v>44657</v>
      </c>
    </row>
    <row r="7901" spans="7:7">
      <c r="G7901" s="19" t="s">
        <v>2505</v>
      </c>
    </row>
    <row r="7902" spans="7:7">
      <c r="G7902" s="7"/>
    </row>
    <row r="7903" spans="7:7">
      <c r="G7903" s="7">
        <v>44664</v>
      </c>
    </row>
    <row r="7904" spans="7:7">
      <c r="G7904" s="19" t="s">
        <v>563</v>
      </c>
    </row>
    <row r="7905" spans="7:7">
      <c r="G7905" s="7"/>
    </row>
    <row r="7906" spans="7:7">
      <c r="G7906" s="7">
        <v>44662</v>
      </c>
    </row>
    <row r="7907" spans="7:7">
      <c r="G7907" s="19" t="s">
        <v>563</v>
      </c>
    </row>
    <row r="7908" spans="7:7">
      <c r="G7908" s="7"/>
    </row>
    <row r="7909" spans="7:7">
      <c r="G7909" s="5">
        <v>5413174</v>
      </c>
    </row>
    <row r="7910" spans="7:7">
      <c r="G7910" s="7">
        <v>44757</v>
      </c>
    </row>
    <row r="7911" spans="7:7">
      <c r="G7911" s="19" t="s">
        <v>2383</v>
      </c>
    </row>
    <row r="7912" spans="7:7">
      <c r="G7912" s="7"/>
    </row>
    <row r="7913" spans="7:7">
      <c r="G7913" s="5">
        <v>5427111</v>
      </c>
    </row>
    <row r="7914" spans="7:7">
      <c r="G7914" s="7">
        <v>44616</v>
      </c>
    </row>
    <row r="7915" spans="7:7">
      <c r="G7915" s="19" t="s">
        <v>2237</v>
      </c>
    </row>
    <row r="7916" spans="7:7">
      <c r="G7916" s="7"/>
    </row>
    <row r="7917" spans="7:7">
      <c r="G7917" s="5">
        <v>5466333</v>
      </c>
    </row>
    <row r="7918" spans="7:7">
      <c r="G7918" s="7">
        <v>44608</v>
      </c>
    </row>
    <row r="7919" spans="7:7">
      <c r="G7919" s="19" t="s">
        <v>503</v>
      </c>
    </row>
    <row r="7920" spans="7:7">
      <c r="G7920" s="7"/>
    </row>
    <row r="7921" spans="7:7">
      <c r="G7921" s="7">
        <v>44624</v>
      </c>
    </row>
    <row r="7922" spans="7:7">
      <c r="G7922" s="19" t="s">
        <v>2215</v>
      </c>
    </row>
    <row r="7923" spans="7:7">
      <c r="G7923" s="7"/>
    </row>
    <row r="7924" spans="7:7">
      <c r="G7924" s="5">
        <v>5472914</v>
      </c>
    </row>
    <row r="7925" spans="7:7">
      <c r="G7925" s="7">
        <v>44523</v>
      </c>
    </row>
    <row r="7926" spans="7:7">
      <c r="G7926" s="19" t="s">
        <v>175</v>
      </c>
    </row>
    <row r="7927" spans="7:7">
      <c r="G7927" s="7"/>
    </row>
    <row r="7928" spans="7:7">
      <c r="G7928" s="7">
        <v>44531</v>
      </c>
    </row>
    <row r="7929" spans="7:7">
      <c r="G7929" s="19" t="s">
        <v>175</v>
      </c>
    </row>
    <row r="7930" spans="7:7">
      <c r="G7930" s="7"/>
    </row>
    <row r="7931" spans="7:7">
      <c r="G7931" s="5">
        <v>5474069</v>
      </c>
    </row>
    <row r="7932" spans="7:7">
      <c r="G7932" s="7">
        <v>44707</v>
      </c>
    </row>
    <row r="7933" spans="7:7">
      <c r="G7933" s="19" t="s">
        <v>1653</v>
      </c>
    </row>
    <row r="7934" spans="7:7">
      <c r="G7934" s="7"/>
    </row>
    <row r="7935" spans="7:7">
      <c r="G7935" s="5">
        <v>5484444</v>
      </c>
    </row>
    <row r="7936" spans="7:7">
      <c r="G7936" s="7">
        <v>44656</v>
      </c>
    </row>
    <row r="7937" spans="7:7">
      <c r="G7937" s="19" t="s">
        <v>509</v>
      </c>
    </row>
    <row r="7938" spans="7:7">
      <c r="G7938" s="7"/>
    </row>
    <row r="7939" spans="7:7">
      <c r="G7939" s="5">
        <v>5490018</v>
      </c>
    </row>
    <row r="7940" spans="7:7">
      <c r="G7940" s="7">
        <v>44329</v>
      </c>
    </row>
    <row r="7941" spans="7:7">
      <c r="G7941" s="19" t="s">
        <v>563</v>
      </c>
    </row>
    <row r="7942" spans="7:7">
      <c r="G7942" s="7"/>
    </row>
    <row r="7943" spans="7:7">
      <c r="G7943" s="5">
        <v>5493247</v>
      </c>
    </row>
    <row r="7944" spans="7:7">
      <c r="G7944" s="7">
        <v>44351</v>
      </c>
    </row>
    <row r="7945" spans="7:7">
      <c r="G7945" s="19" t="s">
        <v>563</v>
      </c>
    </row>
    <row r="7946" spans="7:7">
      <c r="G7946" s="7"/>
    </row>
    <row r="7947" spans="7:7">
      <c r="G7947" s="5">
        <v>5494444</v>
      </c>
    </row>
    <row r="7948" spans="7:7">
      <c r="G7948" s="7">
        <v>44690</v>
      </c>
    </row>
    <row r="7949" spans="7:7">
      <c r="G7949" s="19" t="s">
        <v>563</v>
      </c>
    </row>
    <row r="7950" spans="7:7">
      <c r="G7950" s="7"/>
    </row>
    <row r="7951" spans="7:7">
      <c r="G7951" s="5">
        <v>5496668</v>
      </c>
    </row>
    <row r="7952" spans="7:7">
      <c r="G7952" s="7">
        <v>44740</v>
      </c>
    </row>
    <row r="7953" spans="7:7">
      <c r="G7953" s="19" t="s">
        <v>2383</v>
      </c>
    </row>
    <row r="7954" spans="7:7">
      <c r="G7954" s="7"/>
    </row>
    <row r="7955" spans="7:7">
      <c r="G7955" s="5">
        <v>5498430</v>
      </c>
    </row>
    <row r="7956" spans="7:7">
      <c r="G7956" s="7">
        <v>44728</v>
      </c>
    </row>
    <row r="7957" spans="7:7">
      <c r="G7957" s="19" t="s">
        <v>2383</v>
      </c>
    </row>
    <row r="7958" spans="7:7">
      <c r="G7958" s="7"/>
    </row>
    <row r="7959" spans="7:7">
      <c r="G7959" s="5">
        <v>5518513</v>
      </c>
    </row>
    <row r="7960" spans="7:7">
      <c r="G7960" s="7">
        <v>44683</v>
      </c>
    </row>
    <row r="7961" spans="7:7">
      <c r="G7961" s="19" t="s">
        <v>2241</v>
      </c>
    </row>
    <row r="7962" spans="7:7">
      <c r="G7962" s="7"/>
    </row>
    <row r="7963" spans="7:7">
      <c r="G7963" s="5">
        <v>5525826</v>
      </c>
    </row>
    <row r="7964" spans="7:7">
      <c r="G7964" s="7">
        <v>44739</v>
      </c>
    </row>
    <row r="7965" spans="7:7">
      <c r="G7965" s="19" t="s">
        <v>260</v>
      </c>
    </row>
    <row r="7966" spans="7:7">
      <c r="G7966" s="7"/>
    </row>
    <row r="7967" spans="7:7">
      <c r="G7967" s="7">
        <v>44760</v>
      </c>
    </row>
    <row r="7968" spans="7:7">
      <c r="G7968" s="19" t="s">
        <v>260</v>
      </c>
    </row>
    <row r="7969" spans="7:7">
      <c r="G7969" s="7"/>
    </row>
    <row r="7970" spans="7:7">
      <c r="G7970" s="5">
        <v>5532108</v>
      </c>
    </row>
    <row r="7971" spans="7:7">
      <c r="G7971" s="7">
        <v>44734</v>
      </c>
    </row>
    <row r="7972" spans="7:7">
      <c r="G7972" s="19" t="s">
        <v>1622</v>
      </c>
    </row>
    <row r="7973" spans="7:7">
      <c r="G7973" s="7"/>
    </row>
    <row r="7974" spans="7:7">
      <c r="G7974" s="5">
        <v>5551933</v>
      </c>
    </row>
    <row r="7975" spans="7:7">
      <c r="G7975" s="7">
        <v>44645</v>
      </c>
    </row>
    <row r="7976" spans="7:7">
      <c r="G7976" s="19" t="s">
        <v>2079</v>
      </c>
    </row>
    <row r="7977" spans="7:7">
      <c r="G7977" s="7"/>
    </row>
    <row r="7978" spans="7:7">
      <c r="G7978" s="7">
        <v>44708</v>
      </c>
    </row>
    <row r="7979" spans="7:7">
      <c r="G7979" s="19" t="s">
        <v>2079</v>
      </c>
    </row>
    <row r="7980" spans="7:7">
      <c r="G7980" s="7"/>
    </row>
    <row r="7981" spans="7:7">
      <c r="G7981" s="5">
        <v>5575090</v>
      </c>
    </row>
    <row r="7982" spans="7:7">
      <c r="G7982" s="7">
        <v>44559</v>
      </c>
    </row>
    <row r="7983" spans="7:7">
      <c r="G7983" s="19" t="s">
        <v>1300</v>
      </c>
    </row>
    <row r="7984" spans="7:7">
      <c r="G7984" s="7"/>
    </row>
    <row r="7985" spans="7:7">
      <c r="G7985" s="5">
        <v>5581588</v>
      </c>
    </row>
    <row r="7986" spans="7:7">
      <c r="G7986" s="7">
        <v>44502</v>
      </c>
    </row>
    <row r="7987" spans="7:7">
      <c r="G7987" s="19" t="s">
        <v>1833</v>
      </c>
    </row>
    <row r="7988" spans="7:7">
      <c r="G7988" s="7"/>
    </row>
    <row r="7989" spans="7:7">
      <c r="G7989" s="5">
        <v>5635477</v>
      </c>
    </row>
    <row r="7990" spans="7:7">
      <c r="G7990" s="7">
        <v>44652</v>
      </c>
    </row>
    <row r="7991" spans="7:7">
      <c r="G7991" s="19" t="s">
        <v>1293</v>
      </c>
    </row>
    <row r="7992" spans="7:7">
      <c r="G7992" s="7"/>
    </row>
    <row r="7993" spans="7:7">
      <c r="G7993" s="5">
        <v>5645516</v>
      </c>
    </row>
    <row r="7994" spans="7:7">
      <c r="G7994" s="7">
        <v>44462</v>
      </c>
    </row>
    <row r="7995" spans="7:7">
      <c r="G7995" s="19" t="s">
        <v>1214</v>
      </c>
    </row>
    <row r="7996" spans="7:7">
      <c r="G7996" s="7"/>
    </row>
    <row r="7997" spans="7:7">
      <c r="G7997" s="5">
        <v>5651833</v>
      </c>
    </row>
    <row r="7998" spans="7:7">
      <c r="G7998" s="7">
        <v>44652</v>
      </c>
    </row>
    <row r="7999" spans="7:7">
      <c r="G7999" s="19" t="s">
        <v>2253</v>
      </c>
    </row>
    <row r="8000" spans="7:7">
      <c r="G8000" s="7"/>
    </row>
    <row r="8001" spans="7:7">
      <c r="G8001" s="5">
        <v>5670105</v>
      </c>
    </row>
    <row r="8002" spans="7:7">
      <c r="G8002" s="7">
        <v>44351</v>
      </c>
    </row>
    <row r="8003" spans="7:7">
      <c r="G8003" s="19" t="s">
        <v>583</v>
      </c>
    </row>
    <row r="8004" spans="7:7">
      <c r="G8004" s="7"/>
    </row>
    <row r="8005" spans="7:7">
      <c r="G8005" s="5">
        <v>5671991</v>
      </c>
    </row>
    <row r="8006" spans="7:7">
      <c r="G8006" s="7">
        <v>44756</v>
      </c>
    </row>
    <row r="8007" spans="7:7">
      <c r="G8007" s="19" t="s">
        <v>1132</v>
      </c>
    </row>
    <row r="8008" spans="7:7">
      <c r="G8008" s="7"/>
    </row>
    <row r="8009" spans="7:7">
      <c r="G8009" s="5">
        <v>5692931</v>
      </c>
    </row>
    <row r="8010" spans="7:7">
      <c r="G8010" s="7">
        <v>44440</v>
      </c>
    </row>
    <row r="8011" spans="7:7">
      <c r="G8011" s="19" t="s">
        <v>1300</v>
      </c>
    </row>
    <row r="8012" spans="7:7">
      <c r="G8012" s="7"/>
    </row>
    <row r="8013" spans="7:7">
      <c r="G8013" s="5">
        <v>5738817</v>
      </c>
    </row>
    <row r="8014" spans="7:7">
      <c r="G8014" s="7">
        <v>44636</v>
      </c>
    </row>
    <row r="8015" spans="7:7">
      <c r="G8015" s="19" t="s">
        <v>1929</v>
      </c>
    </row>
    <row r="8016" spans="7:7">
      <c r="G8016" s="7"/>
    </row>
    <row r="8017" spans="7:7">
      <c r="G8017" s="5">
        <v>5756727</v>
      </c>
    </row>
    <row r="8018" spans="7:7">
      <c r="G8018" s="7">
        <v>44708</v>
      </c>
    </row>
    <row r="8019" spans="7:7">
      <c r="G8019" s="19" t="s">
        <v>563</v>
      </c>
    </row>
    <row r="8020" spans="7:7">
      <c r="G8020" s="7"/>
    </row>
    <row r="8021" spans="7:7">
      <c r="G8021" s="5">
        <v>5762057</v>
      </c>
    </row>
    <row r="8022" spans="7:7">
      <c r="G8022" s="7">
        <v>44729</v>
      </c>
    </row>
    <row r="8023" spans="7:7">
      <c r="G8023" s="19" t="s">
        <v>2383</v>
      </c>
    </row>
    <row r="8024" spans="7:7">
      <c r="G8024" s="7"/>
    </row>
    <row r="8025" spans="7:7">
      <c r="G8025" s="7">
        <v>44735</v>
      </c>
    </row>
    <row r="8026" spans="7:7">
      <c r="G8026" s="19" t="s">
        <v>2383</v>
      </c>
    </row>
    <row r="8027" spans="7:7">
      <c r="G8027" s="7"/>
    </row>
    <row r="8028" spans="7:7">
      <c r="G8028" s="5">
        <v>5766778</v>
      </c>
    </row>
    <row r="8029" spans="7:7">
      <c r="G8029" s="7">
        <v>44741</v>
      </c>
    </row>
    <row r="8030" spans="7:7">
      <c r="G8030" s="19" t="s">
        <v>3256</v>
      </c>
    </row>
    <row r="8031" spans="7:7">
      <c r="G8031" s="7"/>
    </row>
    <row r="8032" spans="7:7">
      <c r="G8032" s="5">
        <v>5772397</v>
      </c>
    </row>
    <row r="8033" spans="7:7">
      <c r="G8033" s="7">
        <v>44595</v>
      </c>
    </row>
    <row r="8034" spans="7:7">
      <c r="G8034" s="19" t="s">
        <v>1203</v>
      </c>
    </row>
    <row r="8035" spans="7:7">
      <c r="G8035" s="7"/>
    </row>
    <row r="8036" spans="7:7">
      <c r="G8036" s="5">
        <v>5797765</v>
      </c>
    </row>
    <row r="8037" spans="7:7">
      <c r="G8037" s="7">
        <v>44488</v>
      </c>
    </row>
    <row r="8038" spans="7:7">
      <c r="G8038" s="19" t="s">
        <v>1286</v>
      </c>
    </row>
    <row r="8039" spans="7:7">
      <c r="G8039" s="7"/>
    </row>
    <row r="8040" spans="7:7">
      <c r="G8040" s="5">
        <v>5828106</v>
      </c>
    </row>
    <row r="8041" spans="7:7">
      <c r="G8041" s="7">
        <v>44720</v>
      </c>
    </row>
    <row r="8042" spans="7:7">
      <c r="G8042" s="19" t="s">
        <v>2383</v>
      </c>
    </row>
    <row r="8043" spans="7:7">
      <c r="G8043" s="7"/>
    </row>
    <row r="8044" spans="7:7">
      <c r="G8044" s="5">
        <v>5855054</v>
      </c>
    </row>
    <row r="8045" spans="7:7">
      <c r="G8045" s="7">
        <v>44545</v>
      </c>
    </row>
    <row r="8046" spans="7:7">
      <c r="G8046" s="19" t="s">
        <v>1711</v>
      </c>
    </row>
    <row r="8047" spans="7:7">
      <c r="G8047" s="7"/>
    </row>
    <row r="8048" spans="7:7">
      <c r="G8048" s="5">
        <v>5866274</v>
      </c>
    </row>
    <row r="8049" spans="7:7">
      <c r="G8049" s="7">
        <v>44447</v>
      </c>
    </row>
    <row r="8050" spans="7:7">
      <c r="G8050" s="19" t="s">
        <v>1286</v>
      </c>
    </row>
    <row r="8051" spans="7:7">
      <c r="G8051" s="7"/>
    </row>
    <row r="8052" spans="7:7">
      <c r="G8052" s="7">
        <v>44446</v>
      </c>
    </row>
    <row r="8053" spans="7:7">
      <c r="G8053" s="19" t="s">
        <v>1602</v>
      </c>
    </row>
    <row r="8054" spans="7:7">
      <c r="G8054" s="7"/>
    </row>
    <row r="8055" spans="7:7">
      <c r="G8055" s="5">
        <v>5898330</v>
      </c>
    </row>
    <row r="8056" spans="7:7">
      <c r="G8056" s="7">
        <v>44651</v>
      </c>
    </row>
    <row r="8057" spans="7:7">
      <c r="G8057" s="19" t="s">
        <v>563</v>
      </c>
    </row>
    <row r="8058" spans="7:7">
      <c r="G8058" s="7"/>
    </row>
    <row r="8059" spans="7:7">
      <c r="G8059" s="7">
        <v>44658</v>
      </c>
    </row>
    <row r="8060" spans="7:7">
      <c r="G8060" s="19" t="s">
        <v>2241</v>
      </c>
    </row>
    <row r="8061" spans="7:7">
      <c r="G8061" s="7"/>
    </row>
    <row r="8062" spans="7:7">
      <c r="G8062" s="5">
        <v>6003621</v>
      </c>
    </row>
    <row r="8063" spans="7:7">
      <c r="G8063" s="7">
        <v>44432</v>
      </c>
    </row>
    <row r="8064" spans="7:7">
      <c r="G8064" s="19" t="s">
        <v>1268</v>
      </c>
    </row>
    <row r="8065" spans="7:7">
      <c r="G8065" s="7"/>
    </row>
    <row r="8066" spans="7:7">
      <c r="G8066" s="5">
        <v>6013305</v>
      </c>
    </row>
    <row r="8067" spans="7:7">
      <c r="G8067" s="7">
        <v>44750</v>
      </c>
    </row>
    <row r="8068" spans="7:7">
      <c r="G8068" s="19" t="s">
        <v>1836</v>
      </c>
    </row>
    <row r="8069" spans="7:7">
      <c r="G8069" s="7"/>
    </row>
    <row r="8070" spans="7:7">
      <c r="G8070" s="5">
        <v>6025340</v>
      </c>
    </row>
    <row r="8071" spans="7:7">
      <c r="G8071" s="7">
        <v>44701</v>
      </c>
    </row>
    <row r="8072" spans="7:7">
      <c r="G8072" s="19" t="s">
        <v>563</v>
      </c>
    </row>
    <row r="8073" spans="7:7">
      <c r="G8073" s="7"/>
    </row>
    <row r="8074" spans="7:7">
      <c r="G8074" s="5">
        <v>6036864</v>
      </c>
    </row>
    <row r="8075" spans="7:7">
      <c r="G8075" s="7">
        <v>44578</v>
      </c>
    </row>
    <row r="8076" spans="7:7">
      <c r="G8076" s="19" t="s">
        <v>173</v>
      </c>
    </row>
    <row r="8077" spans="7:7">
      <c r="G8077" s="7"/>
    </row>
    <row r="8078" spans="7:7">
      <c r="G8078" s="5">
        <v>6042079</v>
      </c>
    </row>
    <row r="8079" spans="7:7">
      <c r="G8079" s="7">
        <v>44546</v>
      </c>
    </row>
    <row r="8080" spans="7:7">
      <c r="G8080" s="19" t="s">
        <v>107</v>
      </c>
    </row>
    <row r="8081" spans="7:7">
      <c r="G8081" s="7"/>
    </row>
    <row r="8082" spans="7:7">
      <c r="G8082" s="5">
        <v>6042884</v>
      </c>
    </row>
    <row r="8083" spans="7:7">
      <c r="G8083" s="7">
        <v>44487</v>
      </c>
    </row>
    <row r="8084" spans="7:7">
      <c r="G8084" s="19" t="s">
        <v>173</v>
      </c>
    </row>
    <row r="8085" spans="7:7">
      <c r="G8085" s="7"/>
    </row>
    <row r="8086" spans="7:7">
      <c r="G8086" s="5">
        <v>6055489</v>
      </c>
    </row>
    <row r="8087" spans="7:7">
      <c r="G8087" s="7">
        <v>44441</v>
      </c>
    </row>
    <row r="8088" spans="7:7">
      <c r="G8088" s="19" t="s">
        <v>151</v>
      </c>
    </row>
    <row r="8089" spans="7:7">
      <c r="G8089" s="7"/>
    </row>
    <row r="8090" spans="7:7">
      <c r="G8090" s="7">
        <v>44440</v>
      </c>
    </row>
    <row r="8091" spans="7:7">
      <c r="G8091" s="19" t="s">
        <v>173</v>
      </c>
    </row>
    <row r="8092" spans="7:7">
      <c r="G8092" s="7"/>
    </row>
    <row r="8093" spans="7:7">
      <c r="G8093" s="5">
        <v>6062524</v>
      </c>
    </row>
    <row r="8094" spans="7:7">
      <c r="G8094" s="7">
        <v>44753</v>
      </c>
    </row>
    <row r="8095" spans="7:7">
      <c r="G8095" s="19" t="s">
        <v>2383</v>
      </c>
    </row>
    <row r="8096" spans="7:7">
      <c r="G8096" s="7"/>
    </row>
    <row r="8097" spans="7:7">
      <c r="G8097" s="5">
        <v>6076704</v>
      </c>
    </row>
    <row r="8098" spans="7:7">
      <c r="G8098" s="7">
        <v>44691</v>
      </c>
    </row>
    <row r="8099" spans="7:7">
      <c r="G8099" s="19" t="s">
        <v>563</v>
      </c>
    </row>
    <row r="8100" spans="7:7">
      <c r="G8100" s="7"/>
    </row>
    <row r="8101" spans="7:7">
      <c r="G8101" s="5">
        <v>6078001</v>
      </c>
    </row>
    <row r="8102" spans="7:7">
      <c r="G8102" s="7">
        <v>44328</v>
      </c>
    </row>
    <row r="8103" spans="7:7">
      <c r="G8103" s="19" t="s">
        <v>583</v>
      </c>
    </row>
    <row r="8104" spans="7:7">
      <c r="G8104" s="7"/>
    </row>
    <row r="8105" spans="7:7">
      <c r="G8105" s="5">
        <v>6090910</v>
      </c>
    </row>
    <row r="8106" spans="7:7">
      <c r="G8106" s="7">
        <v>44620</v>
      </c>
    </row>
    <row r="8107" spans="7:7">
      <c r="G8107" s="19" t="s">
        <v>107</v>
      </c>
    </row>
    <row r="8108" spans="7:7">
      <c r="G8108" s="7"/>
    </row>
    <row r="8109" spans="7:7">
      <c r="G8109" s="5">
        <v>6094248</v>
      </c>
    </row>
    <row r="8110" spans="7:7">
      <c r="G8110" s="7">
        <v>44724</v>
      </c>
    </row>
    <row r="8111" spans="7:7">
      <c r="G8111" s="19" t="s">
        <v>259</v>
      </c>
    </row>
    <row r="8112" spans="7:7">
      <c r="G8112" s="7"/>
    </row>
    <row r="8113" spans="7:7">
      <c r="G8113" s="5">
        <v>6097800</v>
      </c>
    </row>
    <row r="8114" spans="7:7">
      <c r="G8114" s="7">
        <v>44714</v>
      </c>
    </row>
    <row r="8115" spans="7:7">
      <c r="G8115" s="19" t="s">
        <v>2408</v>
      </c>
    </row>
    <row r="8116" spans="7:7">
      <c r="G8116" s="7"/>
    </row>
    <row r="8117" spans="7:7">
      <c r="G8117" s="5">
        <v>6101861</v>
      </c>
    </row>
    <row r="8118" spans="7:7">
      <c r="G8118" s="7">
        <v>44740</v>
      </c>
    </row>
    <row r="8119" spans="7:7">
      <c r="G8119" s="19" t="s">
        <v>2962</v>
      </c>
    </row>
    <row r="8120" spans="7:7">
      <c r="G8120" s="7"/>
    </row>
    <row r="8121" spans="7:7">
      <c r="G8121" s="5">
        <v>6105841</v>
      </c>
    </row>
    <row r="8122" spans="7:7">
      <c r="G8122" s="7">
        <v>44489</v>
      </c>
    </row>
    <row r="8123" spans="7:7">
      <c r="G8123" s="19" t="s">
        <v>1651</v>
      </c>
    </row>
    <row r="8124" spans="7:7">
      <c r="G8124" s="7"/>
    </row>
    <row r="8125" spans="7:7">
      <c r="G8125" s="5">
        <v>6160151</v>
      </c>
    </row>
    <row r="8126" spans="7:7">
      <c r="G8126" s="7">
        <v>44760</v>
      </c>
    </row>
    <row r="8127" spans="7:7">
      <c r="G8127" s="19" t="s">
        <v>2383</v>
      </c>
    </row>
    <row r="8128" spans="7:7">
      <c r="G8128" s="7"/>
    </row>
    <row r="8129" spans="7:7">
      <c r="G8129" s="5">
        <v>6163590</v>
      </c>
    </row>
    <row r="8130" spans="7:7">
      <c r="G8130" s="7">
        <v>44665</v>
      </c>
    </row>
    <row r="8131" spans="7:7">
      <c r="G8131" s="19" t="s">
        <v>563</v>
      </c>
    </row>
    <row r="8132" spans="7:7">
      <c r="G8132" s="7"/>
    </row>
    <row r="8133" spans="7:7">
      <c r="G8133" s="5">
        <v>6180891</v>
      </c>
    </row>
    <row r="8134" spans="7:7">
      <c r="G8134" s="7">
        <v>44482</v>
      </c>
    </row>
    <row r="8135" spans="7:7">
      <c r="G8135" s="19" t="s">
        <v>1742</v>
      </c>
    </row>
    <row r="8136" spans="7:7">
      <c r="G8136" s="7"/>
    </row>
    <row r="8137" spans="7:7">
      <c r="G8137" s="7">
        <v>44637</v>
      </c>
    </row>
    <row r="8138" spans="7:7">
      <c r="G8138" s="19" t="s">
        <v>2252</v>
      </c>
    </row>
    <row r="8139" spans="7:7">
      <c r="G8139" s="7"/>
    </row>
    <row r="8140" spans="7:7">
      <c r="G8140" s="7">
        <v>44643</v>
      </c>
    </row>
    <row r="8141" spans="7:7">
      <c r="G8141" s="19" t="s">
        <v>1742</v>
      </c>
    </row>
    <row r="8142" spans="7:7">
      <c r="G8142" s="7"/>
    </row>
    <row r="8143" spans="7:7">
      <c r="G8143" s="5">
        <v>6197122</v>
      </c>
    </row>
    <row r="8144" spans="7:7">
      <c r="G8144" s="7">
        <v>44622</v>
      </c>
    </row>
    <row r="8145" spans="7:7">
      <c r="G8145" s="19" t="s">
        <v>552</v>
      </c>
    </row>
    <row r="8146" spans="7:7">
      <c r="G8146" s="7"/>
    </row>
    <row r="8147" spans="7:7">
      <c r="G8147" s="5">
        <v>6203428</v>
      </c>
    </row>
    <row r="8148" spans="7:7">
      <c r="G8148" s="7">
        <v>44694</v>
      </c>
    </row>
    <row r="8149" spans="7:7">
      <c r="G8149" s="19" t="s">
        <v>2696</v>
      </c>
    </row>
    <row r="8150" spans="7:7">
      <c r="G8150" s="7"/>
    </row>
    <row r="8151" spans="7:7">
      <c r="G8151" s="5">
        <v>6203670</v>
      </c>
    </row>
    <row r="8152" spans="7:7">
      <c r="G8152" s="7">
        <v>44243</v>
      </c>
    </row>
    <row r="8153" spans="7:7">
      <c r="G8153" s="19" t="s">
        <v>263</v>
      </c>
    </row>
    <row r="8154" spans="7:7">
      <c r="G8154" s="7"/>
    </row>
    <row r="8155" spans="7:7">
      <c r="G8155" s="5">
        <v>6227476</v>
      </c>
    </row>
    <row r="8156" spans="7:7">
      <c r="G8156" s="7">
        <v>44685</v>
      </c>
    </row>
    <row r="8157" spans="7:7">
      <c r="G8157" s="19" t="s">
        <v>95</v>
      </c>
    </row>
    <row r="8158" spans="7:7">
      <c r="G8158" s="7"/>
    </row>
    <row r="8159" spans="7:7">
      <c r="G8159" s="5">
        <v>6230481</v>
      </c>
    </row>
    <row r="8160" spans="7:7">
      <c r="G8160" s="7">
        <v>43986</v>
      </c>
    </row>
    <row r="8161" spans="7:7">
      <c r="G8161" s="19" t="s">
        <v>100</v>
      </c>
    </row>
    <row r="8162" spans="7:7">
      <c r="G8162" s="7"/>
    </row>
    <row r="8163" spans="7:7">
      <c r="G8163" s="5">
        <v>6236338</v>
      </c>
    </row>
    <row r="8164" spans="7:7">
      <c r="G8164" s="7">
        <v>44449</v>
      </c>
    </row>
    <row r="8165" spans="7:7">
      <c r="G8165" s="19" t="s">
        <v>1312</v>
      </c>
    </row>
    <row r="8166" spans="7:7">
      <c r="G8166" s="7"/>
    </row>
    <row r="8167" spans="7:7">
      <c r="G8167" s="5">
        <v>6259389</v>
      </c>
    </row>
    <row r="8168" spans="7:7">
      <c r="G8168" s="7">
        <v>44744</v>
      </c>
    </row>
    <row r="8169" spans="7:7">
      <c r="G8169" s="19" t="s">
        <v>107</v>
      </c>
    </row>
    <row r="8170" spans="7:7">
      <c r="G8170" s="7"/>
    </row>
    <row r="8171" spans="7:7">
      <c r="G8171" s="5">
        <v>6279763</v>
      </c>
    </row>
    <row r="8172" spans="7:7">
      <c r="G8172" s="7">
        <v>44326</v>
      </c>
    </row>
    <row r="8173" spans="7:7">
      <c r="G8173" s="19" t="s">
        <v>563</v>
      </c>
    </row>
    <row r="8174" spans="7:7">
      <c r="G8174" s="7"/>
    </row>
    <row r="8175" spans="7:7">
      <c r="G8175" s="5">
        <v>6283074</v>
      </c>
    </row>
    <row r="8176" spans="7:7">
      <c r="G8176" s="7">
        <v>44643</v>
      </c>
    </row>
    <row r="8177" spans="7:7">
      <c r="G8177" s="19" t="s">
        <v>2408</v>
      </c>
    </row>
    <row r="8178" spans="7:7">
      <c r="G8178" s="7"/>
    </row>
    <row r="8179" spans="7:7">
      <c r="G8179" s="5">
        <v>6289292</v>
      </c>
    </row>
    <row r="8180" spans="7:7">
      <c r="G8180" s="7">
        <v>44603</v>
      </c>
    </row>
    <row r="8181" spans="7:7">
      <c r="G8181" s="19" t="s">
        <v>1711</v>
      </c>
    </row>
    <row r="8182" spans="7:7">
      <c r="G8182" s="7"/>
    </row>
    <row r="8183" spans="7:7">
      <c r="G8183" s="5">
        <v>6302714</v>
      </c>
    </row>
    <row r="8184" spans="7:7">
      <c r="G8184" s="7">
        <v>44770</v>
      </c>
    </row>
    <row r="8185" spans="7:7">
      <c r="G8185" s="19" t="s">
        <v>2309</v>
      </c>
    </row>
    <row r="8186" spans="7:7">
      <c r="G8186" s="7"/>
    </row>
    <row r="8187" spans="7:7">
      <c r="G8187" s="5">
        <v>6335161</v>
      </c>
    </row>
    <row r="8188" spans="7:7">
      <c r="G8188" s="7">
        <v>44512</v>
      </c>
    </row>
    <row r="8189" spans="7:7">
      <c r="G8189" s="19" t="s">
        <v>509</v>
      </c>
    </row>
    <row r="8190" spans="7:7">
      <c r="G8190" s="7"/>
    </row>
    <row r="8191" spans="7:7">
      <c r="G8191" s="5">
        <v>6445261</v>
      </c>
    </row>
    <row r="8192" spans="7:7">
      <c r="G8192" s="7">
        <v>44398</v>
      </c>
    </row>
    <row r="8193" spans="7:7">
      <c r="G8193" s="19" t="s">
        <v>563</v>
      </c>
    </row>
    <row r="8194" spans="7:7">
      <c r="G8194" s="7"/>
    </row>
    <row r="8195" spans="7:7">
      <c r="G8195" s="5">
        <v>6535087</v>
      </c>
    </row>
    <row r="8196" spans="7:7">
      <c r="G8196" s="7">
        <v>44746</v>
      </c>
    </row>
    <row r="8197" spans="7:7">
      <c r="G8197" s="19" t="s">
        <v>2383</v>
      </c>
    </row>
    <row r="8198" spans="7:7">
      <c r="G8198" s="7"/>
    </row>
    <row r="8199" spans="7:7">
      <c r="G8199" s="5">
        <v>6557380</v>
      </c>
    </row>
    <row r="8200" spans="7:7">
      <c r="G8200" s="7">
        <v>44271</v>
      </c>
    </row>
    <row r="8201" spans="7:7">
      <c r="G8201" s="19" t="s">
        <v>583</v>
      </c>
    </row>
    <row r="8202" spans="7:7">
      <c r="G8202" s="7"/>
    </row>
    <row r="8203" spans="7:7">
      <c r="G8203" s="5">
        <v>6580783</v>
      </c>
    </row>
    <row r="8204" spans="7:7">
      <c r="G8204" s="7">
        <v>44722</v>
      </c>
    </row>
    <row r="8205" spans="7:7">
      <c r="G8205" s="19" t="s">
        <v>3111</v>
      </c>
    </row>
    <row r="8206" spans="7:7">
      <c r="G8206" s="7"/>
    </row>
    <row r="8207" spans="7:7">
      <c r="G8207" s="5">
        <v>6583706</v>
      </c>
    </row>
    <row r="8208" spans="7:7">
      <c r="G8208" s="7">
        <v>44466</v>
      </c>
    </row>
    <row r="8209" spans="7:7">
      <c r="G8209" s="19" t="s">
        <v>1300</v>
      </c>
    </row>
    <row r="8210" spans="7:7">
      <c r="G8210" s="7"/>
    </row>
    <row r="8211" spans="7:7">
      <c r="G8211" s="5">
        <v>6616709</v>
      </c>
    </row>
    <row r="8212" spans="7:7">
      <c r="G8212" s="7">
        <v>44706</v>
      </c>
    </row>
    <row r="8213" spans="7:7">
      <c r="G8213" s="19" t="s">
        <v>1304</v>
      </c>
    </row>
    <row r="8214" spans="7:7">
      <c r="G8214" s="7"/>
    </row>
    <row r="8215" spans="7:7">
      <c r="G8215" s="5">
        <v>6617691</v>
      </c>
    </row>
    <row r="8216" spans="7:7">
      <c r="G8216" s="7">
        <v>44299</v>
      </c>
    </row>
    <row r="8217" spans="7:7">
      <c r="G8217" s="19" t="s">
        <v>263</v>
      </c>
    </row>
    <row r="8218" spans="7:7">
      <c r="G8218" s="7"/>
    </row>
    <row r="8219" spans="7:7">
      <c r="G8219" s="5">
        <v>6670344</v>
      </c>
    </row>
    <row r="8220" spans="7:7">
      <c r="G8220" s="7">
        <v>44355</v>
      </c>
    </row>
    <row r="8221" spans="7:7">
      <c r="G8221" s="19" t="s">
        <v>824</v>
      </c>
    </row>
    <row r="8222" spans="7:7">
      <c r="G8222" s="7"/>
    </row>
    <row r="8223" spans="7:7">
      <c r="G8223" s="7">
        <v>44315</v>
      </c>
    </row>
    <row r="8224" spans="7:7">
      <c r="G8224" s="19" t="s">
        <v>599</v>
      </c>
    </row>
    <row r="8225" spans="7:7">
      <c r="G8225" s="7"/>
    </row>
    <row r="8226" spans="7:7">
      <c r="G8226" s="5">
        <v>6671279</v>
      </c>
    </row>
    <row r="8227" spans="7:7">
      <c r="G8227" s="7">
        <v>44637</v>
      </c>
    </row>
    <row r="8228" spans="7:7">
      <c r="G8228" s="19" t="s">
        <v>563</v>
      </c>
    </row>
    <row r="8229" spans="7:7">
      <c r="G8229" s="7"/>
    </row>
    <row r="8230" spans="7:7">
      <c r="G8230" s="7">
        <v>44727</v>
      </c>
    </row>
    <row r="8231" spans="7:7">
      <c r="G8231" s="19" t="s">
        <v>2383</v>
      </c>
    </row>
    <row r="8232" spans="7:7">
      <c r="G8232" s="7"/>
    </row>
    <row r="8233" spans="7:7">
      <c r="G8233" s="5">
        <v>6694250</v>
      </c>
    </row>
    <row r="8234" spans="7:7">
      <c r="G8234" s="7">
        <v>44568</v>
      </c>
    </row>
    <row r="8235" spans="7:7">
      <c r="G8235" s="19" t="s">
        <v>1214</v>
      </c>
    </row>
    <row r="8236" spans="7:7">
      <c r="G8236" s="7"/>
    </row>
    <row r="8237" spans="7:7">
      <c r="G8237" s="7">
        <v>44600</v>
      </c>
    </row>
    <row r="8238" spans="7:7">
      <c r="G8238" s="19" t="s">
        <v>1653</v>
      </c>
    </row>
    <row r="8239" spans="7:7">
      <c r="G8239" s="7"/>
    </row>
    <row r="8240" spans="7:7">
      <c r="G8240" s="7">
        <v>44589</v>
      </c>
    </row>
    <row r="8241" spans="7:7">
      <c r="G8241" s="19" t="s">
        <v>1653</v>
      </c>
    </row>
    <row r="8242" spans="7:7">
      <c r="G8242" s="7"/>
    </row>
    <row r="8243" spans="7:7">
      <c r="G8243" s="5">
        <v>6700426</v>
      </c>
    </row>
    <row r="8244" spans="7:7">
      <c r="G8244" s="7">
        <v>44245</v>
      </c>
    </row>
    <row r="8245" spans="7:7">
      <c r="G8245" s="19" t="s">
        <v>397</v>
      </c>
    </row>
    <row r="8246" spans="7:7">
      <c r="G8246" s="7"/>
    </row>
    <row r="8247" spans="7:7">
      <c r="G8247" s="5">
        <v>6704909</v>
      </c>
    </row>
    <row r="8248" spans="7:7">
      <c r="G8248" s="7">
        <v>44270</v>
      </c>
    </row>
    <row r="8249" spans="7:7">
      <c r="G8249" s="19" t="s">
        <v>263</v>
      </c>
    </row>
    <row r="8250" spans="7:7">
      <c r="G8250" s="7"/>
    </row>
    <row r="8251" spans="7:7">
      <c r="G8251" s="5">
        <v>6705671</v>
      </c>
    </row>
    <row r="8252" spans="7:7">
      <c r="G8252" s="7">
        <v>44369</v>
      </c>
    </row>
    <row r="8253" spans="7:7">
      <c r="G8253" s="19" t="s">
        <v>583</v>
      </c>
    </row>
    <row r="8254" spans="7:7">
      <c r="G8254" s="7"/>
    </row>
    <row r="8255" spans="7:7">
      <c r="G8255" s="5">
        <v>6711570</v>
      </c>
    </row>
    <row r="8256" spans="7:7">
      <c r="G8256" s="7">
        <v>44526</v>
      </c>
    </row>
    <row r="8257" spans="7:7">
      <c r="G8257" s="19" t="s">
        <v>1943</v>
      </c>
    </row>
    <row r="8258" spans="7:7">
      <c r="G8258" s="7"/>
    </row>
    <row r="8259" spans="7:7">
      <c r="G8259" s="7">
        <v>44726</v>
      </c>
    </row>
    <row r="8260" spans="7:7">
      <c r="G8260" s="19" t="s">
        <v>1152</v>
      </c>
    </row>
    <row r="8261" spans="7:7">
      <c r="G8261" s="7"/>
    </row>
    <row r="8262" spans="7:7">
      <c r="G8262" s="7">
        <v>44740</v>
      </c>
    </row>
    <row r="8263" spans="7:7">
      <c r="G8263" s="19" t="s">
        <v>1087</v>
      </c>
    </row>
    <row r="8264" spans="7:7">
      <c r="G8264" s="7"/>
    </row>
    <row r="8265" spans="7:7">
      <c r="G8265" s="7">
        <v>44755</v>
      </c>
    </row>
    <row r="8266" spans="7:7">
      <c r="G8266" s="19" t="s">
        <v>3154</v>
      </c>
    </row>
    <row r="8267" spans="7:7">
      <c r="G8267" s="7"/>
    </row>
    <row r="8268" spans="7:7">
      <c r="G8268" s="5">
        <v>6711897</v>
      </c>
    </row>
    <row r="8269" spans="7:7">
      <c r="G8269" s="7">
        <v>44671</v>
      </c>
    </row>
    <row r="8270" spans="7:7">
      <c r="G8270" s="19" t="s">
        <v>563</v>
      </c>
    </row>
    <row r="8271" spans="7:7">
      <c r="G8271" s="7"/>
    </row>
    <row r="8272" spans="7:7">
      <c r="G8272" s="5">
        <v>6733402</v>
      </c>
    </row>
    <row r="8273" spans="7:7">
      <c r="G8273" s="7">
        <v>44697</v>
      </c>
    </row>
    <row r="8274" spans="7:7">
      <c r="G8274" s="19" t="s">
        <v>563</v>
      </c>
    </row>
    <row r="8275" spans="7:7">
      <c r="G8275" s="7"/>
    </row>
    <row r="8276" spans="7:7">
      <c r="G8276" s="7">
        <v>44761</v>
      </c>
    </row>
    <row r="8277" spans="7:7">
      <c r="G8277" s="19" t="s">
        <v>2309</v>
      </c>
    </row>
    <row r="8278" spans="7:7">
      <c r="G8278" s="7"/>
    </row>
    <row r="8279" spans="7:7">
      <c r="G8279" s="5">
        <v>6733815</v>
      </c>
    </row>
    <row r="8280" spans="7:7">
      <c r="G8280" s="7">
        <v>44231</v>
      </c>
    </row>
    <row r="8281" spans="7:7">
      <c r="G8281" s="19" t="s">
        <v>259</v>
      </c>
    </row>
    <row r="8282" spans="7:7">
      <c r="G8282" s="7"/>
    </row>
    <row r="8283" spans="7:7">
      <c r="G8283" s="7">
        <v>44742</v>
      </c>
    </row>
    <row r="8284" spans="7:7">
      <c r="G8284" s="19" t="s">
        <v>1100</v>
      </c>
    </row>
    <row r="8285" spans="7:7">
      <c r="G8285" s="7"/>
    </row>
    <row r="8286" spans="7:7">
      <c r="G8286" s="5">
        <v>6771491</v>
      </c>
    </row>
    <row r="8287" spans="7:7">
      <c r="G8287" s="7">
        <v>44306</v>
      </c>
    </row>
    <row r="8288" spans="7:7">
      <c r="G8288" s="19" t="s">
        <v>530</v>
      </c>
    </row>
    <row r="8289" spans="7:7">
      <c r="G8289" s="7"/>
    </row>
    <row r="8290" spans="7:7">
      <c r="G8290" s="7">
        <v>44679</v>
      </c>
    </row>
    <row r="8291" spans="7:7">
      <c r="G8291" s="19" t="s">
        <v>563</v>
      </c>
    </row>
    <row r="8292" spans="7:7">
      <c r="G8292" s="7"/>
    </row>
    <row r="8293" spans="7:7">
      <c r="G8293" s="7">
        <v>44735</v>
      </c>
    </row>
    <row r="8294" spans="7:7">
      <c r="G8294" s="19" t="s">
        <v>2383</v>
      </c>
    </row>
    <row r="8295" spans="7:7">
      <c r="G8295" s="7"/>
    </row>
    <row r="8296" spans="7:7">
      <c r="G8296" s="5">
        <v>6810936</v>
      </c>
    </row>
    <row r="8297" spans="7:7">
      <c r="G8297" s="7">
        <v>44755</v>
      </c>
    </row>
    <row r="8298" spans="7:7">
      <c r="G8298" s="19" t="s">
        <v>2383</v>
      </c>
    </row>
    <row r="8299" spans="7:7">
      <c r="G8299" s="7"/>
    </row>
    <row r="8300" spans="7:7">
      <c r="G8300" s="5">
        <v>6842969</v>
      </c>
    </row>
    <row r="8301" spans="7:7">
      <c r="G8301" s="7">
        <v>44281</v>
      </c>
    </row>
    <row r="8302" spans="7:7">
      <c r="G8302" s="19" t="s">
        <v>563</v>
      </c>
    </row>
    <row r="8303" spans="7:7">
      <c r="G8303" s="7"/>
    </row>
    <row r="8304" spans="7:7">
      <c r="G8304" s="5">
        <v>6908854</v>
      </c>
    </row>
    <row r="8305" spans="7:7">
      <c r="G8305" s="7">
        <v>44643</v>
      </c>
    </row>
    <row r="8306" spans="7:7">
      <c r="G8306" s="19" t="s">
        <v>1286</v>
      </c>
    </row>
    <row r="8307" spans="7:7">
      <c r="G8307" s="7"/>
    </row>
    <row r="8308" spans="7:7">
      <c r="G8308" s="5">
        <v>6912587</v>
      </c>
    </row>
    <row r="8309" spans="7:7">
      <c r="G8309" s="7">
        <v>44552</v>
      </c>
    </row>
    <row r="8310" spans="7:7">
      <c r="G8310" s="19" t="s">
        <v>1943</v>
      </c>
    </row>
    <row r="8311" spans="7:7">
      <c r="G8311" s="7"/>
    </row>
    <row r="8312" spans="7:7">
      <c r="G8312" s="5">
        <v>6935978</v>
      </c>
    </row>
    <row r="8313" spans="7:7">
      <c r="G8313" s="7">
        <v>44691</v>
      </c>
    </row>
    <row r="8314" spans="7:7">
      <c r="G8314" s="19" t="s">
        <v>563</v>
      </c>
    </row>
    <row r="8315" spans="7:7">
      <c r="G8315" s="7"/>
    </row>
    <row r="8316" spans="7:7">
      <c r="G8316" s="5">
        <v>7014360</v>
      </c>
    </row>
    <row r="8317" spans="7:7">
      <c r="G8317" s="7">
        <v>44280</v>
      </c>
    </row>
    <row r="8318" spans="7:7">
      <c r="G8318" s="19" t="s">
        <v>263</v>
      </c>
    </row>
    <row r="8319" spans="7:7">
      <c r="G8319" s="7"/>
    </row>
    <row r="8320" spans="7:7">
      <c r="G8320" s="5">
        <v>7086612</v>
      </c>
    </row>
    <row r="8321" spans="7:7">
      <c r="G8321" s="7">
        <v>44445</v>
      </c>
    </row>
    <row r="8322" spans="7:7">
      <c r="G8322" s="19" t="s">
        <v>1300</v>
      </c>
    </row>
    <row r="8323" spans="7:7">
      <c r="G8323" s="7"/>
    </row>
    <row r="8324" spans="7:7">
      <c r="G8324" s="5">
        <v>7098294</v>
      </c>
    </row>
    <row r="8325" spans="7:7">
      <c r="G8325" s="7">
        <v>44376</v>
      </c>
    </row>
    <row r="8326" spans="7:7">
      <c r="G8326" s="19" t="s">
        <v>1014</v>
      </c>
    </row>
    <row r="8327" spans="7:7">
      <c r="G8327" s="7"/>
    </row>
    <row r="8328" spans="7:7">
      <c r="G8328" s="7">
        <v>44544</v>
      </c>
    </row>
    <row r="8329" spans="7:7">
      <c r="G8329" s="19" t="s">
        <v>1742</v>
      </c>
    </row>
    <row r="8330" spans="7:7">
      <c r="G8330" s="7"/>
    </row>
    <row r="8331" spans="7:7">
      <c r="G8331" s="7">
        <v>44704</v>
      </c>
    </row>
    <row r="8332" spans="7:7">
      <c r="G8332" s="19" t="s">
        <v>1742</v>
      </c>
    </row>
    <row r="8333" spans="7:7">
      <c r="G8333" s="7"/>
    </row>
    <row r="8334" spans="7:7">
      <c r="G8334" s="7">
        <v>44702</v>
      </c>
    </row>
    <row r="8335" spans="7:7">
      <c r="G8335" s="19" t="s">
        <v>1774</v>
      </c>
    </row>
    <row r="8336" spans="7:7">
      <c r="G8336" s="7"/>
    </row>
    <row r="8337" spans="7:7">
      <c r="G8337" s="5">
        <v>7118892</v>
      </c>
    </row>
    <row r="8338" spans="7:7">
      <c r="G8338" s="7">
        <v>44490</v>
      </c>
    </row>
    <row r="8339" spans="7:7">
      <c r="G8339" s="19" t="s">
        <v>151</v>
      </c>
    </row>
    <row r="8340" spans="7:7">
      <c r="G8340" s="7"/>
    </row>
    <row r="8341" spans="7:7">
      <c r="G8341" s="5">
        <v>7120820</v>
      </c>
    </row>
    <row r="8342" spans="7:7">
      <c r="G8342" s="7">
        <v>44263</v>
      </c>
    </row>
    <row r="8343" spans="7:7">
      <c r="G8343" s="19" t="s">
        <v>263</v>
      </c>
    </row>
    <row r="8344" spans="7:7">
      <c r="G8344" s="7"/>
    </row>
    <row r="8345" spans="7:7">
      <c r="G8345" s="7">
        <v>44186</v>
      </c>
    </row>
    <row r="8346" spans="7:7">
      <c r="G8346" s="19" t="s">
        <v>263</v>
      </c>
    </row>
    <row r="8347" spans="7:7">
      <c r="G8347" s="7"/>
    </row>
    <row r="8348" spans="7:7">
      <c r="G8348" s="5">
        <v>7123522</v>
      </c>
    </row>
    <row r="8349" spans="7:7">
      <c r="G8349" s="7">
        <v>44745</v>
      </c>
    </row>
    <row r="8350" spans="7:7">
      <c r="G8350" s="19" t="s">
        <v>2383</v>
      </c>
    </row>
    <row r="8351" spans="7:7">
      <c r="G8351" s="7"/>
    </row>
    <row r="8352" spans="7:7">
      <c r="G8352" s="5">
        <v>7133238</v>
      </c>
    </row>
    <row r="8353" spans="7:7">
      <c r="G8353" s="7">
        <v>44384</v>
      </c>
    </row>
    <row r="8354" spans="7:7">
      <c r="G8354" s="19" t="s">
        <v>1067</v>
      </c>
    </row>
    <row r="8355" spans="7:7">
      <c r="G8355" s="7"/>
    </row>
    <row r="8356" spans="7:7">
      <c r="G8356" s="7">
        <v>44677</v>
      </c>
    </row>
    <row r="8357" spans="7:7">
      <c r="G8357" s="19" t="s">
        <v>2309</v>
      </c>
    </row>
    <row r="8358" spans="7:7">
      <c r="G8358" s="7"/>
    </row>
    <row r="8359" spans="7:7">
      <c r="G8359" s="5">
        <v>7149576</v>
      </c>
    </row>
    <row r="8360" spans="7:7">
      <c r="G8360" s="7">
        <v>44648</v>
      </c>
    </row>
    <row r="8361" spans="7:7">
      <c r="G8361" s="19" t="s">
        <v>563</v>
      </c>
    </row>
    <row r="8362" spans="7:7">
      <c r="G8362" s="7"/>
    </row>
    <row r="8363" spans="7:7">
      <c r="G8363" s="5">
        <v>7154693</v>
      </c>
    </row>
    <row r="8364" spans="7:7">
      <c r="G8364" s="7">
        <v>44726</v>
      </c>
    </row>
    <row r="8365" spans="7:7">
      <c r="G8365" s="19" t="s">
        <v>2383</v>
      </c>
    </row>
    <row r="8366" spans="7:7">
      <c r="G8366" s="7"/>
    </row>
    <row r="8367" spans="7:7">
      <c r="G8367" s="5">
        <v>7157243</v>
      </c>
    </row>
    <row r="8368" spans="7:7">
      <c r="G8368" s="7">
        <v>44697</v>
      </c>
    </row>
    <row r="8369" spans="7:7">
      <c r="G8369" s="19" t="s">
        <v>563</v>
      </c>
    </row>
    <row r="8370" spans="7:7">
      <c r="G8370" s="7"/>
    </row>
    <row r="8371" spans="7:7">
      <c r="G8371" s="5">
        <v>7164364</v>
      </c>
    </row>
    <row r="8372" spans="7:7">
      <c r="G8372" s="7">
        <v>44292</v>
      </c>
    </row>
    <row r="8373" spans="7:7">
      <c r="G8373" s="19" t="s">
        <v>263</v>
      </c>
    </row>
    <row r="8374" spans="7:7">
      <c r="G8374" s="7"/>
    </row>
    <row r="8375" spans="7:7">
      <c r="G8375" s="5">
        <v>7168260</v>
      </c>
    </row>
    <row r="8376" spans="7:7">
      <c r="G8376" s="7">
        <v>44340</v>
      </c>
    </row>
    <row r="8377" spans="7:7">
      <c r="G8377" s="19" t="s">
        <v>583</v>
      </c>
    </row>
    <row r="8378" spans="7:7">
      <c r="G8378" s="7"/>
    </row>
    <row r="8379" spans="7:7">
      <c r="G8379" s="5">
        <v>7222874</v>
      </c>
    </row>
    <row r="8380" spans="7:7">
      <c r="G8380" s="7">
        <v>44759</v>
      </c>
    </row>
    <row r="8381" spans="7:7">
      <c r="G8381" s="19" t="s">
        <v>2383</v>
      </c>
    </row>
    <row r="8382" spans="7:7">
      <c r="G8382" s="7"/>
    </row>
    <row r="8383" spans="7:7">
      <c r="G8383" s="5">
        <v>7232970</v>
      </c>
    </row>
    <row r="8384" spans="7:7">
      <c r="G8384" s="7">
        <v>44635</v>
      </c>
    </row>
    <row r="8385" spans="7:7">
      <c r="G8385" s="19" t="s">
        <v>89</v>
      </c>
    </row>
    <row r="8386" spans="7:7">
      <c r="G8386" s="7"/>
    </row>
    <row r="8387" spans="7:7">
      <c r="G8387" s="5">
        <v>7246348</v>
      </c>
    </row>
    <row r="8388" spans="7:7">
      <c r="G8388" s="7">
        <v>44686</v>
      </c>
    </row>
    <row r="8389" spans="7:7">
      <c r="G8389" s="19" t="s">
        <v>563</v>
      </c>
    </row>
    <row r="8390" spans="7:7">
      <c r="G8390" s="7"/>
    </row>
    <row r="8391" spans="7:7">
      <c r="G8391" s="5">
        <v>7253924</v>
      </c>
    </row>
    <row r="8392" spans="7:7">
      <c r="G8392" s="7">
        <v>44246</v>
      </c>
    </row>
    <row r="8393" spans="7:7">
      <c r="G8393" s="19" t="s">
        <v>507</v>
      </c>
    </row>
    <row r="8394" spans="7:7">
      <c r="G8394" s="7"/>
    </row>
    <row r="8395" spans="7:7">
      <c r="G8395" s="5">
        <v>7262150</v>
      </c>
    </row>
    <row r="8396" spans="7:7">
      <c r="G8396" s="7">
        <v>44335</v>
      </c>
    </row>
    <row r="8397" spans="7:7">
      <c r="G8397" s="19" t="s">
        <v>686</v>
      </c>
    </row>
    <row r="8398" spans="7:7">
      <c r="G8398" s="7"/>
    </row>
    <row r="8399" spans="7:7">
      <c r="G8399" s="5">
        <v>7263099</v>
      </c>
    </row>
    <row r="8400" spans="7:7">
      <c r="G8400" s="7">
        <v>44315</v>
      </c>
    </row>
    <row r="8401" spans="7:7">
      <c r="G8401" s="19" t="s">
        <v>583</v>
      </c>
    </row>
    <row r="8402" spans="7:7">
      <c r="G8402" s="7"/>
    </row>
    <row r="8403" spans="7:7">
      <c r="G8403" s="5">
        <v>7272811</v>
      </c>
    </row>
    <row r="8404" spans="7:7">
      <c r="G8404" s="7">
        <v>44658</v>
      </c>
    </row>
    <row r="8405" spans="7:7">
      <c r="G8405" s="19" t="s">
        <v>819</v>
      </c>
    </row>
    <row r="8406" spans="7:7">
      <c r="G8406" s="7"/>
    </row>
    <row r="8407" spans="7:7">
      <c r="G8407" s="5">
        <v>7290279</v>
      </c>
    </row>
    <row r="8408" spans="7:7">
      <c r="G8408" s="7">
        <v>44707</v>
      </c>
    </row>
    <row r="8409" spans="7:7">
      <c r="G8409" s="19" t="s">
        <v>563</v>
      </c>
    </row>
    <row r="8410" spans="7:7">
      <c r="G8410" s="7"/>
    </row>
    <row r="8411" spans="7:7">
      <c r="G8411" s="5">
        <v>7346940</v>
      </c>
    </row>
    <row r="8412" spans="7:7">
      <c r="G8412" s="7">
        <v>44617</v>
      </c>
    </row>
    <row r="8413" spans="7:7">
      <c r="G8413" s="19" t="s">
        <v>1929</v>
      </c>
    </row>
    <row r="8414" spans="7:7">
      <c r="G8414" s="7"/>
    </row>
    <row r="8415" spans="7:7">
      <c r="G8415" s="5">
        <v>7412153</v>
      </c>
    </row>
    <row r="8416" spans="7:7">
      <c r="G8416" s="7">
        <v>44644</v>
      </c>
    </row>
    <row r="8417" spans="7:7">
      <c r="G8417" s="19" t="s">
        <v>2383</v>
      </c>
    </row>
    <row r="8418" spans="7:7">
      <c r="G8418" s="7"/>
    </row>
    <row r="8419" spans="7:7">
      <c r="G8419" s="5">
        <v>7437275</v>
      </c>
    </row>
    <row r="8420" spans="7:7">
      <c r="G8420" s="7">
        <v>44748</v>
      </c>
    </row>
    <row r="8421" spans="7:7">
      <c r="G8421" s="19" t="s">
        <v>2383</v>
      </c>
    </row>
    <row r="8422" spans="7:7">
      <c r="G8422" s="7"/>
    </row>
    <row r="8423" spans="7:7">
      <c r="G8423" s="5">
        <v>7461662</v>
      </c>
    </row>
    <row r="8424" spans="7:7">
      <c r="G8424" s="7">
        <v>44766</v>
      </c>
    </row>
    <row r="8425" spans="7:7">
      <c r="G8425" s="19" t="s">
        <v>2383</v>
      </c>
    </row>
    <row r="8426" spans="7:7">
      <c r="G8426" s="7"/>
    </row>
    <row r="8427" spans="7:7">
      <c r="G8427" s="5">
        <v>7481408</v>
      </c>
    </row>
    <row r="8428" spans="7:7">
      <c r="G8428" s="7">
        <v>44739</v>
      </c>
    </row>
    <row r="8429" spans="7:7">
      <c r="G8429" s="19" t="s">
        <v>2309</v>
      </c>
    </row>
    <row r="8430" spans="7:7">
      <c r="G8430" s="7"/>
    </row>
    <row r="8431" spans="7:7">
      <c r="G8431" s="5">
        <v>7507480</v>
      </c>
    </row>
    <row r="8432" spans="7:7">
      <c r="G8432" s="7">
        <v>44238</v>
      </c>
    </row>
    <row r="8433" spans="7:7">
      <c r="G8433" s="19" t="s">
        <v>583</v>
      </c>
    </row>
    <row r="8434" spans="7:7">
      <c r="G8434" s="7"/>
    </row>
    <row r="8435" spans="7:7">
      <c r="G8435" s="5">
        <v>7511547</v>
      </c>
    </row>
    <row r="8436" spans="7:7">
      <c r="G8436" s="7">
        <v>44489</v>
      </c>
    </row>
    <row r="8437" spans="7:7">
      <c r="G8437" s="19" t="s">
        <v>516</v>
      </c>
    </row>
    <row r="8438" spans="7:7">
      <c r="G8438" s="7"/>
    </row>
    <row r="8439" spans="7:7">
      <c r="G8439" s="5">
        <v>7543806</v>
      </c>
    </row>
    <row r="8440" spans="7:7">
      <c r="G8440" s="7">
        <v>44511</v>
      </c>
    </row>
    <row r="8441" spans="7:7">
      <c r="G8441" s="19" t="s">
        <v>151</v>
      </c>
    </row>
    <row r="8442" spans="7:7">
      <c r="G8442" s="7"/>
    </row>
    <row r="8443" spans="7:7">
      <c r="G8443" s="5">
        <v>7577641</v>
      </c>
    </row>
    <row r="8444" spans="7:7">
      <c r="G8444" s="7">
        <v>44266</v>
      </c>
    </row>
    <row r="8445" spans="7:7">
      <c r="G8445" s="19" t="s">
        <v>263</v>
      </c>
    </row>
    <row r="8446" spans="7:7">
      <c r="G8446" s="7"/>
    </row>
    <row r="8447" spans="7:7">
      <c r="G8447" s="5">
        <v>7578117</v>
      </c>
    </row>
    <row r="8448" spans="7:7">
      <c r="G8448" s="7">
        <v>44691</v>
      </c>
    </row>
    <row r="8449" spans="7:7">
      <c r="G8449" s="19" t="s">
        <v>563</v>
      </c>
    </row>
    <row r="8450" spans="7:7">
      <c r="G8450" s="7"/>
    </row>
    <row r="8451" spans="7:7">
      <c r="G8451" s="5">
        <v>7592476</v>
      </c>
    </row>
    <row r="8452" spans="7:7">
      <c r="G8452" s="7">
        <v>44756</v>
      </c>
    </row>
    <row r="8453" spans="7:7">
      <c r="G8453" s="19" t="s">
        <v>2383</v>
      </c>
    </row>
    <row r="8454" spans="7:7">
      <c r="G8454" s="7"/>
    </row>
    <row r="8455" spans="7:7">
      <c r="G8455" s="5">
        <v>7603870</v>
      </c>
    </row>
    <row r="8456" spans="7:7">
      <c r="G8456" s="7">
        <v>44721</v>
      </c>
    </row>
    <row r="8457" spans="7:7">
      <c r="G8457" s="19" t="s">
        <v>3096</v>
      </c>
    </row>
    <row r="8458" spans="7:7">
      <c r="G8458" s="7"/>
    </row>
    <row r="8459" spans="7:7">
      <c r="G8459" s="5">
        <v>7618120</v>
      </c>
    </row>
    <row r="8460" spans="7:7">
      <c r="G8460" s="7">
        <v>44754</v>
      </c>
    </row>
    <row r="8461" spans="7:7">
      <c r="G8461" s="19" t="s">
        <v>2383</v>
      </c>
    </row>
    <row r="8462" spans="7:7">
      <c r="G8462" s="7"/>
    </row>
    <row r="8463" spans="7:7">
      <c r="G8463" s="5">
        <v>7643605</v>
      </c>
    </row>
    <row r="8464" spans="7:7">
      <c r="G8464" s="7">
        <v>44746</v>
      </c>
    </row>
    <row r="8465" spans="7:7">
      <c r="G8465" s="19" t="s">
        <v>552</v>
      </c>
    </row>
    <row r="8466" spans="7:7">
      <c r="G8466" s="7"/>
    </row>
    <row r="8467" spans="7:7">
      <c r="G8467" s="5">
        <v>7680954</v>
      </c>
    </row>
    <row r="8468" spans="7:7">
      <c r="G8468" s="7">
        <v>44737</v>
      </c>
    </row>
    <row r="8469" spans="7:7">
      <c r="G8469" s="19" t="s">
        <v>2383</v>
      </c>
    </row>
    <row r="8470" spans="7:7">
      <c r="G8470" s="7"/>
    </row>
    <row r="8471" spans="7:7">
      <c r="G8471" s="5">
        <v>7697330</v>
      </c>
    </row>
    <row r="8472" spans="7:7">
      <c r="G8472" s="7">
        <v>44771</v>
      </c>
    </row>
    <row r="8473" spans="7:7">
      <c r="G8473" s="19" t="s">
        <v>2383</v>
      </c>
    </row>
    <row r="8474" spans="7:7">
      <c r="G8474" s="7"/>
    </row>
    <row r="8475" spans="7:7">
      <c r="G8475" s="5">
        <v>7704146</v>
      </c>
    </row>
    <row r="8476" spans="7:7">
      <c r="G8476" s="7">
        <v>44446</v>
      </c>
    </row>
    <row r="8477" spans="7:7">
      <c r="G8477" s="19" t="s">
        <v>1300</v>
      </c>
    </row>
    <row r="8478" spans="7:7">
      <c r="G8478" s="7"/>
    </row>
    <row r="8479" spans="7:7">
      <c r="G8479" s="5">
        <v>7818063</v>
      </c>
    </row>
    <row r="8480" spans="7:7">
      <c r="G8480" s="7">
        <v>44503</v>
      </c>
    </row>
    <row r="8481" spans="7:7">
      <c r="G8481" s="19" t="s">
        <v>1631</v>
      </c>
    </row>
    <row r="8482" spans="7:7">
      <c r="G8482" s="7"/>
    </row>
    <row r="8483" spans="7:7">
      <c r="G8483" s="7">
        <v>44502</v>
      </c>
    </row>
    <row r="8484" spans="7:7">
      <c r="G8484" s="19" t="s">
        <v>1631</v>
      </c>
    </row>
    <row r="8485" spans="7:7">
      <c r="G8485" s="7"/>
    </row>
    <row r="8486" spans="7:7">
      <c r="G8486" s="5">
        <v>7818663</v>
      </c>
    </row>
    <row r="8487" spans="7:7">
      <c r="G8487" s="7">
        <v>44504</v>
      </c>
    </row>
    <row r="8488" spans="7:7">
      <c r="G8488" s="19" t="s">
        <v>1826</v>
      </c>
    </row>
    <row r="8489" spans="7:7">
      <c r="G8489" s="7"/>
    </row>
    <row r="8490" spans="7:7">
      <c r="G8490" s="5">
        <v>7821044</v>
      </c>
    </row>
    <row r="8491" spans="7:7">
      <c r="G8491" s="7">
        <v>44643</v>
      </c>
    </row>
    <row r="8492" spans="7:7">
      <c r="G8492" s="19" t="s">
        <v>563</v>
      </c>
    </row>
    <row r="8493" spans="7:7">
      <c r="G8493" s="7"/>
    </row>
    <row r="8494" spans="7:7">
      <c r="G8494" s="7">
        <v>44655</v>
      </c>
    </row>
    <row r="8495" spans="7:7">
      <c r="G8495" s="19" t="s">
        <v>563</v>
      </c>
    </row>
    <row r="8496" spans="7:7">
      <c r="G8496" s="7"/>
    </row>
    <row r="8497" spans="7:7">
      <c r="G8497" s="5">
        <v>7846890</v>
      </c>
    </row>
    <row r="8498" spans="7:7">
      <c r="G8498" s="7">
        <v>44698</v>
      </c>
    </row>
    <row r="8499" spans="7:7">
      <c r="G8499" s="19" t="s">
        <v>563</v>
      </c>
    </row>
    <row r="8500" spans="7:7">
      <c r="G8500" s="7"/>
    </row>
    <row r="8501" spans="7:7">
      <c r="G8501" s="5">
        <v>7900199</v>
      </c>
    </row>
    <row r="8502" spans="7:7">
      <c r="G8502" s="7">
        <v>44244</v>
      </c>
    </row>
    <row r="8503" spans="7:7">
      <c r="G8503" s="19" t="s">
        <v>498</v>
      </c>
    </row>
    <row r="8504" spans="7:7">
      <c r="G8504" s="7"/>
    </row>
    <row r="8505" spans="7:7">
      <c r="G8505" s="5">
        <v>7912925</v>
      </c>
    </row>
    <row r="8506" spans="7:7">
      <c r="G8506" s="7">
        <v>44692</v>
      </c>
    </row>
    <row r="8507" spans="7:7">
      <c r="G8507" s="19" t="s">
        <v>2237</v>
      </c>
    </row>
    <row r="8508" spans="7:7">
      <c r="G8508" s="7"/>
    </row>
    <row r="8509" spans="7:7">
      <c r="G8509" s="5">
        <v>7985797</v>
      </c>
    </row>
    <row r="8510" spans="7:7">
      <c r="G8510" s="7">
        <v>44328</v>
      </c>
    </row>
    <row r="8511" spans="7:7">
      <c r="G8511" s="19" t="s">
        <v>583</v>
      </c>
    </row>
    <row r="8512" spans="7:7">
      <c r="G8512" s="7"/>
    </row>
    <row r="8513" spans="7:7">
      <c r="G8513" s="5">
        <v>7999207</v>
      </c>
    </row>
    <row r="8514" spans="7:7">
      <c r="G8514" s="7">
        <v>44683</v>
      </c>
    </row>
    <row r="8515" spans="7:7">
      <c r="G8515" s="19" t="s">
        <v>1203</v>
      </c>
    </row>
    <row r="8516" spans="7:7">
      <c r="G8516" s="7"/>
    </row>
    <row r="8517" spans="7:7">
      <c r="G8517" s="5">
        <v>7999410</v>
      </c>
    </row>
    <row r="8518" spans="7:7">
      <c r="G8518" s="7">
        <v>44662</v>
      </c>
    </row>
    <row r="8519" spans="7:7">
      <c r="G8519" s="19" t="s">
        <v>563</v>
      </c>
    </row>
    <row r="8520" spans="7:7">
      <c r="G8520" s="7"/>
    </row>
    <row r="8521" spans="7:7">
      <c r="G8521" s="5">
        <v>8013882</v>
      </c>
    </row>
    <row r="8522" spans="7:7">
      <c r="G8522" s="7">
        <v>44656</v>
      </c>
    </row>
    <row r="8523" spans="7:7">
      <c r="G8523" s="19" t="s">
        <v>563</v>
      </c>
    </row>
    <row r="8524" spans="7:7">
      <c r="G8524" s="7"/>
    </row>
    <row r="8525" spans="7:7">
      <c r="G8525" s="5">
        <v>8030615</v>
      </c>
    </row>
    <row r="8526" spans="7:7">
      <c r="G8526" s="7">
        <v>44763</v>
      </c>
    </row>
    <row r="8527" spans="7:7">
      <c r="G8527" s="19" t="s">
        <v>3077</v>
      </c>
    </row>
    <row r="8528" spans="7:7">
      <c r="G8528" s="7"/>
    </row>
    <row r="8529" spans="7:7">
      <c r="G8529" s="5">
        <v>8062522</v>
      </c>
    </row>
    <row r="8530" spans="7:7">
      <c r="G8530" s="7">
        <v>44316</v>
      </c>
    </row>
    <row r="8531" spans="7:7">
      <c r="G8531" s="19" t="s">
        <v>643</v>
      </c>
    </row>
    <row r="8532" spans="7:7">
      <c r="G8532" s="7"/>
    </row>
    <row r="8533" spans="7:7">
      <c r="G8533" s="5">
        <v>8084923</v>
      </c>
    </row>
    <row r="8534" spans="7:7">
      <c r="G8534" s="7">
        <v>44718</v>
      </c>
    </row>
    <row r="8535" spans="7:7">
      <c r="G8535" s="19" t="s">
        <v>2383</v>
      </c>
    </row>
    <row r="8536" spans="7:7">
      <c r="G8536" s="7"/>
    </row>
    <row r="8537" spans="7:7">
      <c r="G8537" s="5">
        <v>8097100</v>
      </c>
    </row>
    <row r="8538" spans="7:7">
      <c r="G8538" s="7">
        <v>44715</v>
      </c>
    </row>
    <row r="8539" spans="7:7">
      <c r="G8539" s="19" t="s">
        <v>2383</v>
      </c>
    </row>
    <row r="8540" spans="7:7">
      <c r="G8540" s="7"/>
    </row>
    <row r="8541" spans="7:7">
      <c r="G8541" s="5">
        <v>8133802</v>
      </c>
    </row>
    <row r="8542" spans="7:7">
      <c r="G8542" s="7">
        <v>44362</v>
      </c>
    </row>
    <row r="8543" spans="7:7">
      <c r="G8543" s="19" t="s">
        <v>544</v>
      </c>
    </row>
    <row r="8544" spans="7:7">
      <c r="G8544" s="7"/>
    </row>
    <row r="8545" spans="7:7">
      <c r="G8545" s="5">
        <v>8153148</v>
      </c>
    </row>
    <row r="8546" spans="7:7">
      <c r="G8546" s="7">
        <v>44557</v>
      </c>
    </row>
    <row r="8547" spans="7:7">
      <c r="G8547" s="19" t="s">
        <v>1274</v>
      </c>
    </row>
    <row r="8548" spans="7:7">
      <c r="G8548" s="7"/>
    </row>
    <row r="8549" spans="7:7">
      <c r="G8549" s="7">
        <v>44761</v>
      </c>
    </row>
    <row r="8550" spans="7:7">
      <c r="G8550" s="19" t="s">
        <v>2383</v>
      </c>
    </row>
    <row r="8551" spans="7:7">
      <c r="G8551" s="7"/>
    </row>
    <row r="8552" spans="7:7">
      <c r="G8552" s="5">
        <v>8259161</v>
      </c>
    </row>
    <row r="8553" spans="7:7">
      <c r="G8553" s="7">
        <v>44671</v>
      </c>
    </row>
    <row r="8554" spans="7:7">
      <c r="G8554" s="19" t="s">
        <v>563</v>
      </c>
    </row>
    <row r="8555" spans="7:7">
      <c r="G8555" s="7"/>
    </row>
    <row r="8556" spans="7:7">
      <c r="G8556" s="5">
        <v>8315081</v>
      </c>
    </row>
    <row r="8557" spans="7:7">
      <c r="G8557" s="7">
        <v>44334</v>
      </c>
    </row>
    <row r="8558" spans="7:7">
      <c r="G8558" s="19" t="s">
        <v>583</v>
      </c>
    </row>
    <row r="8559" spans="7:7">
      <c r="G8559" s="7"/>
    </row>
    <row r="8560" spans="7:7">
      <c r="G8560" s="5">
        <v>8398977</v>
      </c>
    </row>
    <row r="8561" spans="7:7">
      <c r="G8561" s="7">
        <v>44484</v>
      </c>
    </row>
    <row r="8562" spans="7:7">
      <c r="G8562" s="19" t="s">
        <v>1679</v>
      </c>
    </row>
    <row r="8563" spans="7:7">
      <c r="G8563" s="7"/>
    </row>
    <row r="8564" spans="7:7">
      <c r="G8564" s="5">
        <v>8431028</v>
      </c>
    </row>
    <row r="8565" spans="7:7">
      <c r="G8565" s="7">
        <v>44656</v>
      </c>
    </row>
    <row r="8566" spans="7:7">
      <c r="G8566" s="19" t="s">
        <v>563</v>
      </c>
    </row>
    <row r="8567" spans="7:7">
      <c r="G8567" s="7"/>
    </row>
    <row r="8568" spans="7:7">
      <c r="G8568" s="5">
        <v>8453488</v>
      </c>
    </row>
    <row r="8569" spans="7:7">
      <c r="G8569" s="7">
        <v>44560</v>
      </c>
    </row>
    <row r="8570" spans="7:7">
      <c r="G8570" s="19" t="s">
        <v>1767</v>
      </c>
    </row>
    <row r="8571" spans="7:7">
      <c r="G8571" s="7"/>
    </row>
    <row r="8572" spans="7:7">
      <c r="G8572" s="5">
        <v>8482529</v>
      </c>
    </row>
    <row r="8573" spans="7:7">
      <c r="G8573" s="7">
        <v>44314</v>
      </c>
    </row>
    <row r="8574" spans="7:7">
      <c r="G8574" s="19" t="s">
        <v>596</v>
      </c>
    </row>
    <row r="8575" spans="7:7">
      <c r="G8575" s="7"/>
    </row>
    <row r="8576" spans="7:7">
      <c r="G8576" s="5">
        <v>8512775</v>
      </c>
    </row>
    <row r="8577" spans="7:7">
      <c r="G8577" s="7">
        <v>44706</v>
      </c>
    </row>
    <row r="8578" spans="7:7">
      <c r="G8578" s="19" t="s">
        <v>563</v>
      </c>
    </row>
    <row r="8579" spans="7:7">
      <c r="G8579" s="7"/>
    </row>
    <row r="8580" spans="7:7">
      <c r="G8580" s="5">
        <v>9217126</v>
      </c>
    </row>
    <row r="8581" spans="7:7">
      <c r="G8581" s="7">
        <v>44769</v>
      </c>
    </row>
    <row r="8582" spans="7:7">
      <c r="G8582" s="19" t="s">
        <v>2383</v>
      </c>
    </row>
    <row r="8583" spans="7:7">
      <c r="G8583" s="7"/>
    </row>
    <row r="8584" spans="7:7">
      <c r="G8584" s="5">
        <v>9336965</v>
      </c>
    </row>
    <row r="8585" spans="7:7">
      <c r="G8585" s="7">
        <v>44483</v>
      </c>
    </row>
    <row r="8586" spans="7:7">
      <c r="G8586" s="19" t="s">
        <v>506</v>
      </c>
    </row>
    <row r="8587" spans="7:7">
      <c r="G8587" s="7"/>
    </row>
    <row r="8588" spans="7:7">
      <c r="G8588" s="5">
        <v>9450045</v>
      </c>
    </row>
    <row r="8589" spans="7:7">
      <c r="G8589" s="7">
        <v>44350</v>
      </c>
    </row>
    <row r="8590" spans="7:7">
      <c r="G8590" s="19" t="s">
        <v>583</v>
      </c>
    </row>
    <row r="8591" spans="7:7">
      <c r="G8591" s="7"/>
    </row>
    <row r="8592" spans="7:7">
      <c r="G8592" s="5">
        <v>9549989</v>
      </c>
    </row>
    <row r="8593" spans="7:7">
      <c r="G8593" s="7">
        <v>44760</v>
      </c>
    </row>
    <row r="8594" spans="7:7">
      <c r="G8594" s="19" t="s">
        <v>2408</v>
      </c>
    </row>
    <row r="8595" spans="7:7">
      <c r="G8595" s="7"/>
    </row>
    <row r="8596" spans="7:7">
      <c r="G8596" s="5">
        <v>9648508</v>
      </c>
    </row>
    <row r="8597" spans="7:7">
      <c r="G8597" s="7">
        <v>44648</v>
      </c>
    </row>
    <row r="8598" spans="7:7">
      <c r="G8598" s="19" t="s">
        <v>2383</v>
      </c>
    </row>
    <row r="8599" spans="7:7">
      <c r="G8599" s="7"/>
    </row>
    <row r="8600" spans="7:7">
      <c r="G8600" s="5">
        <v>9650615</v>
      </c>
    </row>
    <row r="8601" spans="7:7">
      <c r="G8601" s="7">
        <v>44314</v>
      </c>
    </row>
    <row r="8602" spans="7:7">
      <c r="G8602" s="19" t="s">
        <v>599</v>
      </c>
    </row>
    <row r="8603" spans="7:7">
      <c r="G8603" s="7"/>
    </row>
    <row r="8604" spans="7:7">
      <c r="G8604" s="5">
        <v>9716529</v>
      </c>
    </row>
    <row r="8605" spans="7:7">
      <c r="G8605" s="7">
        <v>44738</v>
      </c>
    </row>
    <row r="8606" spans="7:7">
      <c r="G8606" s="19" t="s">
        <v>2383</v>
      </c>
    </row>
    <row r="8607" spans="7:7">
      <c r="G8607" s="7"/>
    </row>
    <row r="8608" spans="7:7">
      <c r="G8608" s="5">
        <v>9843947</v>
      </c>
    </row>
    <row r="8609" spans="7:7">
      <c r="G8609" s="7">
        <v>44335</v>
      </c>
    </row>
    <row r="8610" spans="7:7">
      <c r="G8610" s="19" t="s">
        <v>687</v>
      </c>
    </row>
    <row r="8611" spans="7:7">
      <c r="G8611" s="7"/>
    </row>
    <row r="8612" spans="7:7">
      <c r="G8612" s="5">
        <v>10091337</v>
      </c>
    </row>
    <row r="8613" spans="7:7">
      <c r="G8613" s="7">
        <v>44669</v>
      </c>
    </row>
    <row r="8614" spans="7:7">
      <c r="G8614" s="19" t="s">
        <v>563</v>
      </c>
    </row>
    <row r="8615" spans="7:7">
      <c r="G8615" s="7"/>
    </row>
    <row r="8616" spans="7:7">
      <c r="G8616" s="5">
        <v>10168600</v>
      </c>
    </row>
    <row r="8617" spans="7:7">
      <c r="G8617" s="7">
        <v>44340</v>
      </c>
    </row>
    <row r="8618" spans="7:7">
      <c r="G8618" s="19" t="s">
        <v>100</v>
      </c>
    </row>
    <row r="8619" spans="7:7">
      <c r="G8619" s="7"/>
    </row>
    <row r="8620" spans="7:7">
      <c r="G8620" s="5">
        <v>10267174</v>
      </c>
    </row>
    <row r="8621" spans="7:7">
      <c r="G8621" s="7">
        <v>44694</v>
      </c>
    </row>
    <row r="8622" spans="7:7">
      <c r="G8622" s="19" t="s">
        <v>563</v>
      </c>
    </row>
    <row r="8623" spans="7:7">
      <c r="G8623" s="7"/>
    </row>
    <row r="8624" spans="7:7">
      <c r="G8624" s="5">
        <v>10434097</v>
      </c>
    </row>
    <row r="8625" spans="7:7">
      <c r="G8625" s="7">
        <v>44252</v>
      </c>
    </row>
    <row r="8626" spans="7:7">
      <c r="G8626" s="19" t="s">
        <v>583</v>
      </c>
    </row>
    <row r="8627" spans="7:7">
      <c r="G8627" s="7"/>
    </row>
    <row r="8628" spans="7:7">
      <c r="G8628" s="5">
        <v>10443170</v>
      </c>
    </row>
    <row r="8629" spans="7:7">
      <c r="G8629" s="7">
        <v>44716</v>
      </c>
    </row>
    <row r="8630" spans="7:7">
      <c r="G8630" s="19" t="s">
        <v>2383</v>
      </c>
    </row>
    <row r="8631" spans="7:7">
      <c r="G8631" s="7"/>
    </row>
    <row r="8632" spans="7:7">
      <c r="G8632" s="5">
        <v>10466712</v>
      </c>
    </row>
    <row r="8633" spans="7:7">
      <c r="G8633" s="7">
        <v>44656</v>
      </c>
    </row>
    <row r="8634" spans="7:7">
      <c r="G8634" s="19" t="s">
        <v>563</v>
      </c>
    </row>
    <row r="8635" spans="7:7">
      <c r="G8635" s="7"/>
    </row>
    <row r="8636" spans="7:7">
      <c r="G8636" s="5">
        <v>10483935</v>
      </c>
    </row>
    <row r="8637" spans="7:7">
      <c r="G8637" s="7">
        <v>44714</v>
      </c>
    </row>
    <row r="8638" spans="7:7">
      <c r="G8638" s="19" t="s">
        <v>3031</v>
      </c>
    </row>
    <row r="8639" spans="7:7">
      <c r="G8639" s="7"/>
    </row>
    <row r="8640" spans="7:7">
      <c r="G8640" s="5">
        <v>10497045</v>
      </c>
    </row>
    <row r="8641" spans="7:7">
      <c r="G8641" s="7">
        <v>44397</v>
      </c>
    </row>
    <row r="8642" spans="7:7">
      <c r="G8642" s="19" t="s">
        <v>397</v>
      </c>
    </row>
    <row r="8643" spans="7:7">
      <c r="G8643" s="7"/>
    </row>
    <row r="8644" spans="7:7">
      <c r="G8644" s="5">
        <v>10591565</v>
      </c>
    </row>
    <row r="8645" spans="7:7">
      <c r="G8645" s="7">
        <v>44336</v>
      </c>
    </row>
    <row r="8646" spans="7:7">
      <c r="G8646" s="19" t="s">
        <v>583</v>
      </c>
    </row>
    <row r="8647" spans="7:7">
      <c r="G8647" s="7"/>
    </row>
    <row r="8648" spans="7:7">
      <c r="G8648" s="5">
        <v>10593147</v>
      </c>
    </row>
    <row r="8649" spans="7:7">
      <c r="G8649" s="7">
        <v>44320</v>
      </c>
    </row>
    <row r="8650" spans="7:7">
      <c r="G8650" s="19" t="s">
        <v>583</v>
      </c>
    </row>
    <row r="8651" spans="7:7">
      <c r="G8651" s="7"/>
    </row>
    <row r="8652" spans="7:7">
      <c r="G8652" s="5">
        <v>10796900</v>
      </c>
    </row>
    <row r="8653" spans="7:7">
      <c r="G8653" s="7">
        <v>44770</v>
      </c>
    </row>
    <row r="8654" spans="7:7">
      <c r="G8654" s="19" t="s">
        <v>2309</v>
      </c>
    </row>
    <row r="8655" spans="7:7">
      <c r="G8655" s="7"/>
    </row>
    <row r="8656" spans="7:7">
      <c r="G8656" s="5">
        <v>10826765</v>
      </c>
    </row>
    <row r="8657" spans="7:7">
      <c r="G8657" s="7">
        <v>44475</v>
      </c>
    </row>
    <row r="8658" spans="7:7">
      <c r="G8658" s="19" t="s">
        <v>1711</v>
      </c>
    </row>
    <row r="8659" spans="7:7">
      <c r="G8659" s="7"/>
    </row>
    <row r="8660" spans="7:7">
      <c r="G8660" s="5">
        <v>10890838</v>
      </c>
    </row>
    <row r="8661" spans="7:7">
      <c r="G8661" s="7">
        <v>44637</v>
      </c>
    </row>
    <row r="8662" spans="7:7">
      <c r="G8662" s="19" t="s">
        <v>2241</v>
      </c>
    </row>
    <row r="8663" spans="7:7">
      <c r="G8663" s="7"/>
    </row>
    <row r="8664" spans="7:7">
      <c r="G8664" s="5">
        <v>10917790</v>
      </c>
    </row>
    <row r="8665" spans="7:7">
      <c r="G8665" s="7">
        <v>44342</v>
      </c>
    </row>
    <row r="8666" spans="7:7">
      <c r="G8666" s="19" t="s">
        <v>509</v>
      </c>
    </row>
    <row r="8667" spans="7:7">
      <c r="G8667" s="7"/>
    </row>
    <row r="8668" spans="7:7">
      <c r="G8668" s="5">
        <v>10947430</v>
      </c>
    </row>
    <row r="8669" spans="7:7">
      <c r="G8669" s="7">
        <v>44621</v>
      </c>
    </row>
    <row r="8670" spans="7:7">
      <c r="G8670" s="19" t="s">
        <v>2227</v>
      </c>
    </row>
    <row r="8671" spans="7:7">
      <c r="G8671" s="7"/>
    </row>
    <row r="8672" spans="7:7">
      <c r="G8672" s="5">
        <v>10948634</v>
      </c>
    </row>
    <row r="8673" spans="7:7">
      <c r="G8673" s="7">
        <v>44663</v>
      </c>
    </row>
    <row r="8674" spans="7:7">
      <c r="G8674" s="19" t="s">
        <v>563</v>
      </c>
    </row>
    <row r="8675" spans="7:7">
      <c r="G8675" s="7"/>
    </row>
    <row r="8676" spans="7:7">
      <c r="G8676" s="5">
        <v>10958585</v>
      </c>
    </row>
    <row r="8677" spans="7:7">
      <c r="G8677" s="7">
        <v>44712</v>
      </c>
    </row>
    <row r="8678" spans="7:7">
      <c r="G8678" s="19" t="s">
        <v>2237</v>
      </c>
    </row>
    <row r="8679" spans="7:7">
      <c r="G8679" s="7"/>
    </row>
    <row r="8680" spans="7:7">
      <c r="G8680" s="5">
        <v>11132037</v>
      </c>
    </row>
    <row r="8681" spans="7:7">
      <c r="G8681" s="7">
        <v>44363</v>
      </c>
    </row>
    <row r="8682" spans="7:7">
      <c r="G8682" s="19" t="s">
        <v>143</v>
      </c>
    </row>
    <row r="8683" spans="7:7">
      <c r="G8683" s="7"/>
    </row>
    <row r="8684" spans="7:7">
      <c r="G8684" s="7">
        <v>44362</v>
      </c>
    </row>
    <row r="8685" spans="7:7">
      <c r="G8685" s="19" t="s">
        <v>841</v>
      </c>
    </row>
    <row r="8686" spans="7:7">
      <c r="G8686" s="7"/>
    </row>
    <row r="8687" spans="7:7">
      <c r="G8687" s="7">
        <v>44344</v>
      </c>
    </row>
    <row r="8688" spans="7:7">
      <c r="G8688" s="19" t="s">
        <v>832</v>
      </c>
    </row>
    <row r="8689" spans="7:7">
      <c r="G8689" s="7"/>
    </row>
    <row r="8690" spans="7:7">
      <c r="G8690" s="7">
        <v>44684</v>
      </c>
    </row>
    <row r="8691" spans="7:7">
      <c r="G8691" s="19" t="s">
        <v>1293</v>
      </c>
    </row>
    <row r="8692" spans="7:7">
      <c r="G8692" s="7"/>
    </row>
    <row r="8693" spans="7:7">
      <c r="G8693" s="5">
        <v>11132642</v>
      </c>
    </row>
    <row r="8694" spans="7:7">
      <c r="G8694" s="7">
        <v>44256</v>
      </c>
    </row>
    <row r="8695" spans="7:7">
      <c r="G8695" s="19" t="s">
        <v>89</v>
      </c>
    </row>
    <row r="8696" spans="7:7">
      <c r="G8696" s="7"/>
    </row>
    <row r="8697" spans="7:7">
      <c r="G8697" s="7">
        <v>44368</v>
      </c>
    </row>
    <row r="8698" spans="7:7">
      <c r="G8698" s="19" t="s">
        <v>89</v>
      </c>
    </row>
    <row r="8699" spans="7:7">
      <c r="G8699" s="7"/>
    </row>
    <row r="8700" spans="7:7">
      <c r="G8700" s="5">
        <v>11176480</v>
      </c>
    </row>
    <row r="8701" spans="7:7">
      <c r="G8701" s="7">
        <v>44390</v>
      </c>
    </row>
    <row r="8702" spans="7:7">
      <c r="G8702" s="19" t="s">
        <v>552</v>
      </c>
    </row>
    <row r="8703" spans="7:7">
      <c r="G8703" s="7"/>
    </row>
    <row r="8704" spans="7:7">
      <c r="G8704" s="5">
        <v>11285575</v>
      </c>
    </row>
    <row r="8705" spans="7:7">
      <c r="G8705" s="7">
        <v>44719</v>
      </c>
    </row>
    <row r="8706" spans="7:7">
      <c r="G8706" s="19" t="s">
        <v>1923</v>
      </c>
    </row>
    <row r="8707" spans="7:7">
      <c r="G8707" s="7"/>
    </row>
    <row r="8708" spans="7:7">
      <c r="G8708" s="7">
        <v>44747</v>
      </c>
    </row>
    <row r="8709" spans="7:7">
      <c r="G8709" s="19" t="s">
        <v>1923</v>
      </c>
    </row>
    <row r="8710" spans="7:7">
      <c r="G8710" s="7"/>
    </row>
    <row r="8711" spans="7:7">
      <c r="G8711" s="5">
        <v>11396648</v>
      </c>
    </row>
    <row r="8712" spans="7:7">
      <c r="G8712" s="7">
        <v>44281</v>
      </c>
    </row>
    <row r="8713" spans="7:7">
      <c r="G8713" s="19" t="s">
        <v>263</v>
      </c>
    </row>
    <row r="8714" spans="7:7">
      <c r="G8714" s="7"/>
    </row>
    <row r="8715" spans="7:7">
      <c r="G8715" s="5">
        <v>11450645</v>
      </c>
    </row>
    <row r="8716" spans="7:7">
      <c r="G8716" s="7">
        <v>44357</v>
      </c>
    </row>
    <row r="8717" spans="7:7">
      <c r="G8717" s="19" t="s">
        <v>85</v>
      </c>
    </row>
    <row r="8718" spans="7:7">
      <c r="G8718" s="7"/>
    </row>
    <row r="8719" spans="7:7">
      <c r="G8719" s="5">
        <v>11452962</v>
      </c>
    </row>
    <row r="8720" spans="7:7">
      <c r="G8720" s="7">
        <v>44773</v>
      </c>
    </row>
    <row r="8721" spans="7:7">
      <c r="G8721" s="19" t="s">
        <v>2383</v>
      </c>
    </row>
    <row r="8722" spans="7:7">
      <c r="G8722" s="7"/>
    </row>
    <row r="8723" spans="7:7">
      <c r="G8723" s="5">
        <v>11464251</v>
      </c>
    </row>
    <row r="8724" spans="7:7">
      <c r="G8724" s="7">
        <v>44511</v>
      </c>
    </row>
    <row r="8725" spans="7:7">
      <c r="G8725" s="19" t="s">
        <v>1300</v>
      </c>
    </row>
    <row r="8726" spans="7:7">
      <c r="G8726" s="7"/>
    </row>
    <row r="8727" spans="7:7">
      <c r="G8727" s="5">
        <v>11466787</v>
      </c>
    </row>
    <row r="8728" spans="7:7">
      <c r="G8728" s="7">
        <v>44330</v>
      </c>
    </row>
    <row r="8729" spans="7:7">
      <c r="G8729" s="19" t="s">
        <v>583</v>
      </c>
    </row>
    <row r="8730" spans="7:7">
      <c r="G8730" s="7"/>
    </row>
    <row r="8731" spans="7:7">
      <c r="G8731" s="5">
        <v>11515321</v>
      </c>
    </row>
    <row r="8732" spans="7:7">
      <c r="G8732" s="7">
        <v>44732</v>
      </c>
    </row>
    <row r="8733" spans="7:7">
      <c r="G8733" s="19" t="s">
        <v>2309</v>
      </c>
    </row>
    <row r="8734" spans="7:7">
      <c r="G8734" s="7"/>
    </row>
    <row r="8735" spans="7:7">
      <c r="G8735" s="5">
        <v>11541319</v>
      </c>
    </row>
    <row r="8736" spans="7:7">
      <c r="G8736" s="7">
        <v>44585</v>
      </c>
    </row>
    <row r="8737" spans="7:7">
      <c r="G8737" s="19" t="s">
        <v>1300</v>
      </c>
    </row>
    <row r="8738" spans="7:7">
      <c r="G8738" s="7"/>
    </row>
    <row r="8739" spans="7:7">
      <c r="G8739" s="5">
        <v>11575960</v>
      </c>
    </row>
    <row r="8740" spans="7:7">
      <c r="G8740" s="7">
        <v>44278</v>
      </c>
    </row>
    <row r="8741" spans="7:7">
      <c r="G8741" s="19" t="s">
        <v>263</v>
      </c>
    </row>
    <row r="8742" spans="7:7">
      <c r="G8742" s="7"/>
    </row>
    <row r="8743" spans="7:7">
      <c r="G8743" s="5">
        <v>11705090</v>
      </c>
    </row>
    <row r="8744" spans="7:7">
      <c r="G8744" s="7">
        <v>44347</v>
      </c>
    </row>
    <row r="8745" spans="7:7">
      <c r="G8745" s="19" t="s">
        <v>583</v>
      </c>
    </row>
    <row r="8746" spans="7:7">
      <c r="G8746" s="7"/>
    </row>
    <row r="8747" spans="7:7">
      <c r="G8747" s="5">
        <v>11741652</v>
      </c>
    </row>
    <row r="8748" spans="7:7">
      <c r="G8748" s="7">
        <v>44673</v>
      </c>
    </row>
    <row r="8749" spans="7:7">
      <c r="G8749" s="19" t="s">
        <v>563</v>
      </c>
    </row>
    <row r="8750" spans="7:7">
      <c r="G8750" s="7"/>
    </row>
    <row r="8751" spans="7:7">
      <c r="G8751" s="5">
        <v>11757112</v>
      </c>
    </row>
    <row r="8752" spans="7:7">
      <c r="G8752" s="7">
        <v>44313</v>
      </c>
    </row>
    <row r="8753" spans="7:7">
      <c r="G8753" s="19" t="s">
        <v>583</v>
      </c>
    </row>
    <row r="8754" spans="7:7">
      <c r="G8754" s="7"/>
    </row>
    <row r="8755" spans="7:7">
      <c r="G8755" s="5">
        <v>11781720</v>
      </c>
    </row>
    <row r="8756" spans="7:7">
      <c r="G8756" s="7">
        <v>44573</v>
      </c>
    </row>
    <row r="8757" spans="7:7">
      <c r="G8757" s="19" t="s">
        <v>2014</v>
      </c>
    </row>
    <row r="8758" spans="7:7">
      <c r="G8758" s="7"/>
    </row>
    <row r="8759" spans="7:7">
      <c r="G8759" s="7">
        <v>44649</v>
      </c>
    </row>
    <row r="8760" spans="7:7">
      <c r="G8760" s="19" t="s">
        <v>2440</v>
      </c>
    </row>
    <row r="8761" spans="7:7">
      <c r="G8761" s="7"/>
    </row>
    <row r="8762" spans="7:7">
      <c r="G8762" s="5">
        <v>11788738</v>
      </c>
    </row>
    <row r="8763" spans="7:7">
      <c r="G8763" s="7">
        <v>44431</v>
      </c>
    </row>
    <row r="8764" spans="7:7">
      <c r="G8764" s="19" t="s">
        <v>89</v>
      </c>
    </row>
    <row r="8765" spans="7:7">
      <c r="G8765" s="7"/>
    </row>
    <row r="8766" spans="7:7">
      <c r="G8766" s="5">
        <v>11805844</v>
      </c>
    </row>
    <row r="8767" spans="7:7">
      <c r="G8767" s="7">
        <v>44480</v>
      </c>
    </row>
    <row r="8768" spans="7:7">
      <c r="G8768" s="19" t="s">
        <v>139</v>
      </c>
    </row>
    <row r="8769" spans="7:7">
      <c r="G8769" s="7"/>
    </row>
    <row r="8770" spans="7:7">
      <c r="G8770" s="7">
        <v>44614</v>
      </c>
    </row>
    <row r="8771" spans="7:7">
      <c r="G8771" s="19" t="s">
        <v>173</v>
      </c>
    </row>
    <row r="8772" spans="7:7">
      <c r="G8772" s="7"/>
    </row>
    <row r="8773" spans="7:7">
      <c r="G8773" s="7">
        <v>44700</v>
      </c>
    </row>
    <row r="8774" spans="7:7">
      <c r="G8774" s="19" t="s">
        <v>2201</v>
      </c>
    </row>
    <row r="8775" spans="7:7">
      <c r="G8775" s="7"/>
    </row>
    <row r="8776" spans="7:7">
      <c r="G8776" s="5">
        <v>11810950</v>
      </c>
    </row>
    <row r="8777" spans="7:7">
      <c r="G8777" s="7">
        <v>44342</v>
      </c>
    </row>
    <row r="8778" spans="7:7">
      <c r="G8778" s="19" t="s">
        <v>705</v>
      </c>
    </row>
    <row r="8779" spans="7:7">
      <c r="G8779" s="7"/>
    </row>
    <row r="8780" spans="7:7">
      <c r="G8780" s="5">
        <v>11810986</v>
      </c>
    </row>
    <row r="8781" spans="7:7">
      <c r="G8781" s="7">
        <v>44344</v>
      </c>
    </row>
    <row r="8782" spans="7:7">
      <c r="G8782" s="19" t="s">
        <v>583</v>
      </c>
    </row>
    <row r="8783" spans="7:7">
      <c r="G8783" s="7"/>
    </row>
    <row r="8784" spans="7:7">
      <c r="G8784" s="5">
        <v>11834456</v>
      </c>
    </row>
    <row r="8785" spans="7:7">
      <c r="G8785" s="7">
        <v>44456</v>
      </c>
    </row>
    <row r="8786" spans="7:7">
      <c r="G8786" s="19" t="s">
        <v>1274</v>
      </c>
    </row>
    <row r="8787" spans="7:7">
      <c r="G8787" s="7"/>
    </row>
    <row r="8788" spans="7:7">
      <c r="G8788" s="5">
        <v>11845607</v>
      </c>
    </row>
    <row r="8789" spans="7:7">
      <c r="G8789" s="7">
        <v>44711</v>
      </c>
    </row>
    <row r="8790" spans="7:7">
      <c r="G8790" s="19" t="s">
        <v>563</v>
      </c>
    </row>
    <row r="8791" spans="7:7">
      <c r="G8791" s="7"/>
    </row>
    <row r="8792" spans="7:7">
      <c r="G8792" s="5">
        <v>11878110</v>
      </c>
    </row>
    <row r="8793" spans="7:7">
      <c r="G8793" s="7">
        <v>44734</v>
      </c>
    </row>
    <row r="8794" spans="7:7">
      <c r="G8794" s="19" t="s">
        <v>3077</v>
      </c>
    </row>
    <row r="8795" spans="7:7">
      <c r="G8795" s="7"/>
    </row>
    <row r="8796" spans="7:7">
      <c r="G8796" s="5">
        <v>11896938</v>
      </c>
    </row>
    <row r="8797" spans="7:7">
      <c r="G8797" s="7">
        <v>44400</v>
      </c>
    </row>
    <row r="8798" spans="7:7">
      <c r="G8798" s="19" t="s">
        <v>1132</v>
      </c>
    </row>
    <row r="8799" spans="7:7">
      <c r="G8799" s="7"/>
    </row>
    <row r="8800" spans="7:7">
      <c r="G8800" s="5">
        <v>12053479</v>
      </c>
    </row>
    <row r="8801" spans="7:7">
      <c r="G8801" s="7">
        <v>44322</v>
      </c>
    </row>
    <row r="8802" spans="7:7">
      <c r="G8802" s="19" t="s">
        <v>583</v>
      </c>
    </row>
    <row r="8803" spans="7:7">
      <c r="G8803" s="7"/>
    </row>
    <row r="8804" spans="7:7">
      <c r="G8804" s="5">
        <v>12056192</v>
      </c>
    </row>
    <row r="8805" spans="7:7">
      <c r="G8805" s="7">
        <v>44755</v>
      </c>
    </row>
    <row r="8806" spans="7:7">
      <c r="G8806" s="19" t="s">
        <v>2383</v>
      </c>
    </row>
    <row r="8807" spans="7:7">
      <c r="G8807" s="7"/>
    </row>
    <row r="8808" spans="7:7">
      <c r="G8808" s="5">
        <v>12086214</v>
      </c>
    </row>
    <row r="8809" spans="7:7">
      <c r="G8809" s="7">
        <v>44725</v>
      </c>
    </row>
    <row r="8810" spans="7:7">
      <c r="G8810" s="19" t="s">
        <v>2383</v>
      </c>
    </row>
    <row r="8811" spans="7:7">
      <c r="G8811" s="7"/>
    </row>
    <row r="8812" spans="7:7">
      <c r="G8812" s="5">
        <v>12097962</v>
      </c>
    </row>
    <row r="8813" spans="7:7">
      <c r="G8813" s="7">
        <v>44294</v>
      </c>
    </row>
    <row r="8814" spans="7:7">
      <c r="G8814" s="19" t="s">
        <v>583</v>
      </c>
    </row>
    <row r="8815" spans="7:7">
      <c r="G8815" s="7"/>
    </row>
    <row r="8816" spans="7:7">
      <c r="G8816" s="7">
        <v>44235</v>
      </c>
    </row>
    <row r="8817" spans="7:7">
      <c r="G8817" s="19" t="s">
        <v>583</v>
      </c>
    </row>
    <row r="8818" spans="7:7">
      <c r="G8818" s="7"/>
    </row>
    <row r="8819" spans="7:7">
      <c r="G8819" s="5">
        <v>12098521</v>
      </c>
    </row>
    <row r="8820" spans="7:7">
      <c r="G8820" s="7">
        <v>44356</v>
      </c>
    </row>
    <row r="8821" spans="7:7">
      <c r="G8821" s="19" t="s">
        <v>599</v>
      </c>
    </row>
    <row r="8822" spans="7:7">
      <c r="G8822" s="7"/>
    </row>
    <row r="8823" spans="7:7">
      <c r="G8823" s="5">
        <v>12128788</v>
      </c>
    </row>
    <row r="8824" spans="7:7">
      <c r="G8824" s="7">
        <v>44699</v>
      </c>
    </row>
    <row r="8825" spans="7:7">
      <c r="G8825" s="19" t="s">
        <v>563</v>
      </c>
    </row>
    <row r="8826" spans="7:7">
      <c r="G8826" s="7"/>
    </row>
    <row r="8827" spans="7:7">
      <c r="G8827" s="5">
        <v>12148768</v>
      </c>
    </row>
    <row r="8828" spans="7:7">
      <c r="G8828" s="7">
        <v>44722</v>
      </c>
    </row>
    <row r="8829" spans="7:7">
      <c r="G8829" s="19" t="s">
        <v>2383</v>
      </c>
    </row>
    <row r="8830" spans="7:7">
      <c r="G8830" s="7"/>
    </row>
    <row r="8831" spans="7:7">
      <c r="G8831" s="5">
        <v>12223156</v>
      </c>
    </row>
    <row r="8832" spans="7:7">
      <c r="G8832" s="7">
        <v>44279</v>
      </c>
    </row>
    <row r="8833" spans="7:7">
      <c r="G8833" s="19" t="s">
        <v>533</v>
      </c>
    </row>
    <row r="8834" spans="7:7">
      <c r="G8834" s="7"/>
    </row>
    <row r="8835" spans="7:7">
      <c r="G8835" s="5">
        <v>12223366</v>
      </c>
    </row>
    <row r="8836" spans="7:7">
      <c r="G8836" s="7">
        <v>44671</v>
      </c>
    </row>
    <row r="8837" spans="7:7">
      <c r="G8837" s="19" t="s">
        <v>1274</v>
      </c>
    </row>
    <row r="8838" spans="7:7">
      <c r="G8838" s="7"/>
    </row>
    <row r="8839" spans="7:7">
      <c r="G8839" s="5">
        <v>12233971</v>
      </c>
    </row>
    <row r="8840" spans="7:7">
      <c r="G8840" s="7">
        <v>44335</v>
      </c>
    </row>
    <row r="8841" spans="7:7">
      <c r="G8841" s="19" t="s">
        <v>705</v>
      </c>
    </row>
    <row r="8842" spans="7:7">
      <c r="G8842" s="7"/>
    </row>
    <row r="8843" spans="7:7">
      <c r="G8843" s="5">
        <v>12237207</v>
      </c>
    </row>
    <row r="8844" spans="7:7">
      <c r="G8844" s="7">
        <v>44400</v>
      </c>
    </row>
    <row r="8845" spans="7:7">
      <c r="G8845" s="19" t="s">
        <v>502</v>
      </c>
    </row>
    <row r="8846" spans="7:7">
      <c r="G8846" s="7"/>
    </row>
    <row r="8847" spans="7:7">
      <c r="G8847" s="7">
        <v>44399</v>
      </c>
    </row>
    <row r="8848" spans="7:7">
      <c r="G8848" s="19" t="s">
        <v>1126</v>
      </c>
    </row>
    <row r="8849" spans="7:7">
      <c r="G8849" s="7"/>
    </row>
    <row r="8850" spans="7:7">
      <c r="G8850" s="7">
        <v>44504</v>
      </c>
    </row>
    <row r="8851" spans="7:7">
      <c r="G8851" s="19" t="s">
        <v>502</v>
      </c>
    </row>
    <row r="8852" spans="7:7">
      <c r="G8852" s="7"/>
    </row>
    <row r="8853" spans="7:7">
      <c r="G8853" s="5">
        <v>12246972</v>
      </c>
    </row>
    <row r="8854" spans="7:7">
      <c r="G8854" s="7">
        <v>44265</v>
      </c>
    </row>
    <row r="8855" spans="7:7">
      <c r="G8855" s="19" t="s">
        <v>563</v>
      </c>
    </row>
    <row r="8856" spans="7:7">
      <c r="G8856" s="7"/>
    </row>
    <row r="8857" spans="7:7">
      <c r="G8857" s="5">
        <v>12249788</v>
      </c>
    </row>
    <row r="8858" spans="7:7">
      <c r="G8858" s="7">
        <v>44718</v>
      </c>
    </row>
    <row r="8859" spans="7:7">
      <c r="G8859" s="19" t="s">
        <v>2383</v>
      </c>
    </row>
    <row r="8860" spans="7:7">
      <c r="G8860" s="7"/>
    </row>
    <row r="8861" spans="7:7">
      <c r="G8861" s="5">
        <v>12301367</v>
      </c>
    </row>
    <row r="8862" spans="7:7">
      <c r="G8862" s="7">
        <v>44119</v>
      </c>
    </row>
    <row r="8863" spans="7:7">
      <c r="G8863" s="19" t="s">
        <v>318</v>
      </c>
    </row>
    <row r="8864" spans="7:7">
      <c r="G8864" s="7"/>
    </row>
    <row r="8865" spans="7:7">
      <c r="G8865" s="5">
        <v>12389022</v>
      </c>
    </row>
    <row r="8866" spans="7:7">
      <c r="G8866" s="7">
        <v>44658</v>
      </c>
    </row>
    <row r="8867" spans="7:7">
      <c r="G8867" s="19" t="s">
        <v>502</v>
      </c>
    </row>
    <row r="8868" spans="7:7">
      <c r="G8868" s="7"/>
    </row>
    <row r="8869" spans="7:7">
      <c r="G8869" s="5">
        <v>12445044</v>
      </c>
    </row>
    <row r="8870" spans="7:7">
      <c r="G8870" s="7">
        <v>44721</v>
      </c>
    </row>
    <row r="8871" spans="7:7">
      <c r="G8871" s="19" t="s">
        <v>2383</v>
      </c>
    </row>
    <row r="8872" spans="7:7">
      <c r="G8872" s="7"/>
    </row>
    <row r="8873" spans="7:7">
      <c r="G8873" s="5">
        <v>12448683</v>
      </c>
    </row>
    <row r="8874" spans="7:7">
      <c r="G8874" s="7">
        <v>44342</v>
      </c>
    </row>
    <row r="8875" spans="7:7">
      <c r="G8875" s="19" t="s">
        <v>740</v>
      </c>
    </row>
    <row r="8876" spans="7:7">
      <c r="G8876" s="7"/>
    </row>
    <row r="8877" spans="7:7">
      <c r="G8877" s="5">
        <v>12455085</v>
      </c>
    </row>
    <row r="8878" spans="7:7">
      <c r="G8878" s="7">
        <v>44645</v>
      </c>
    </row>
    <row r="8879" spans="7:7">
      <c r="G8879" s="19" t="s">
        <v>563</v>
      </c>
    </row>
    <row r="8880" spans="7:7">
      <c r="G8880" s="7"/>
    </row>
    <row r="8881" spans="7:7">
      <c r="G8881" s="5">
        <v>12455947</v>
      </c>
    </row>
    <row r="8882" spans="7:7">
      <c r="G8882" s="7">
        <v>44344</v>
      </c>
    </row>
    <row r="8883" spans="7:7">
      <c r="G8883" s="19" t="s">
        <v>583</v>
      </c>
    </row>
    <row r="8884" spans="7:7">
      <c r="G8884" s="7"/>
    </row>
    <row r="8885" spans="7:7">
      <c r="G8885" s="5">
        <v>12494909</v>
      </c>
    </row>
    <row r="8886" spans="7:7">
      <c r="G8886" s="7">
        <v>44448</v>
      </c>
    </row>
    <row r="8887" spans="7:7">
      <c r="G8887" s="19" t="s">
        <v>1233</v>
      </c>
    </row>
    <row r="8888" spans="7:7">
      <c r="G8888" s="7"/>
    </row>
    <row r="8889" spans="7:7">
      <c r="G8889" s="7">
        <v>44467</v>
      </c>
    </row>
    <row r="8890" spans="7:7">
      <c r="G8890" s="19" t="s">
        <v>143</v>
      </c>
    </row>
    <row r="8891" spans="7:7">
      <c r="G8891" s="7"/>
    </row>
    <row r="8892" spans="7:7">
      <c r="G8892" s="5">
        <v>12510681</v>
      </c>
    </row>
    <row r="8893" spans="7:7">
      <c r="G8893" s="7">
        <v>44739</v>
      </c>
    </row>
    <row r="8894" spans="7:7">
      <c r="G8894" s="19" t="s">
        <v>2383</v>
      </c>
    </row>
    <row r="8895" spans="7:7">
      <c r="G8895" s="7"/>
    </row>
    <row r="8896" spans="7:7">
      <c r="G8896" s="7">
        <v>44734</v>
      </c>
    </row>
    <row r="8897" spans="7:7">
      <c r="G8897" s="19" t="s">
        <v>2383</v>
      </c>
    </row>
    <row r="8898" spans="7:7">
      <c r="G8898" s="7"/>
    </row>
    <row r="8899" spans="7:7">
      <c r="G8899" s="5">
        <v>12557556</v>
      </c>
    </row>
    <row r="8900" spans="7:7">
      <c r="G8900" s="7">
        <v>44097</v>
      </c>
    </row>
    <row r="8901" spans="7:7">
      <c r="G8901" s="19" t="s">
        <v>397</v>
      </c>
    </row>
    <row r="8902" spans="7:7">
      <c r="G8902" s="7"/>
    </row>
    <row r="8903" spans="7:7">
      <c r="G8903" s="7">
        <v>44098</v>
      </c>
    </row>
    <row r="8904" spans="7:7">
      <c r="G8904" s="19" t="s">
        <v>164</v>
      </c>
    </row>
    <row r="8905" spans="7:7">
      <c r="G8905" s="7"/>
    </row>
    <row r="8906" spans="7:7">
      <c r="G8906" s="5">
        <v>12562365</v>
      </c>
    </row>
    <row r="8907" spans="7:7">
      <c r="G8907" s="7">
        <v>44655</v>
      </c>
    </row>
    <row r="8908" spans="7:7">
      <c r="G8908" s="19" t="s">
        <v>819</v>
      </c>
    </row>
    <row r="8909" spans="7:7">
      <c r="G8909" s="7"/>
    </row>
    <row r="8910" spans="7:7">
      <c r="G8910" s="5">
        <v>12615325</v>
      </c>
    </row>
    <row r="8911" spans="7:7">
      <c r="G8911" s="7">
        <v>44230</v>
      </c>
    </row>
    <row r="8912" spans="7:7">
      <c r="G8912" s="19" t="s">
        <v>583</v>
      </c>
    </row>
    <row r="8913" spans="7:7">
      <c r="G8913" s="7"/>
    </row>
    <row r="8914" spans="7:7">
      <c r="G8914" s="5">
        <v>12648248</v>
      </c>
    </row>
    <row r="8915" spans="7:7">
      <c r="G8915" s="7">
        <v>44319</v>
      </c>
    </row>
    <row r="8916" spans="7:7">
      <c r="G8916" s="19" t="s">
        <v>583</v>
      </c>
    </row>
    <row r="8917" spans="7:7">
      <c r="G8917" s="7"/>
    </row>
    <row r="8918" spans="7:7">
      <c r="G8918" s="5">
        <v>12675675</v>
      </c>
    </row>
    <row r="8919" spans="7:7">
      <c r="G8919" s="7">
        <v>44347</v>
      </c>
    </row>
    <row r="8920" spans="7:7">
      <c r="G8920" s="19" t="s">
        <v>563</v>
      </c>
    </row>
    <row r="8921" spans="7:7">
      <c r="G8921" s="7"/>
    </row>
    <row r="8922" spans="7:7">
      <c r="G8922" s="5">
        <v>12675710</v>
      </c>
    </row>
    <row r="8923" spans="7:7">
      <c r="G8923" s="7">
        <v>44586</v>
      </c>
    </row>
    <row r="8924" spans="7:7">
      <c r="G8924" s="19" t="s">
        <v>2102</v>
      </c>
    </row>
    <row r="8925" spans="7:7">
      <c r="G8925" s="7"/>
    </row>
    <row r="8926" spans="7:7">
      <c r="G8926" s="5">
        <v>12710458</v>
      </c>
    </row>
    <row r="8927" spans="7:7">
      <c r="G8927" s="7">
        <v>44341</v>
      </c>
    </row>
    <row r="8928" spans="7:7">
      <c r="G8928" s="19" t="s">
        <v>583</v>
      </c>
    </row>
    <row r="8929" spans="7:7">
      <c r="G8929" s="7"/>
    </row>
    <row r="8930" spans="7:7">
      <c r="G8930" s="7">
        <v>44250</v>
      </c>
    </row>
    <row r="8931" spans="7:7">
      <c r="G8931" s="19" t="s">
        <v>583</v>
      </c>
    </row>
    <row r="8932" spans="7:7">
      <c r="G8932" s="7"/>
    </row>
    <row r="8933" spans="7:7">
      <c r="G8933" s="5">
        <v>12793438</v>
      </c>
    </row>
    <row r="8934" spans="7:7">
      <c r="G8934" s="7">
        <v>44704</v>
      </c>
    </row>
    <row r="8935" spans="7:7">
      <c r="G8935" s="19" t="s">
        <v>563</v>
      </c>
    </row>
    <row r="8936" spans="7:7">
      <c r="G8936" s="7"/>
    </row>
    <row r="8937" spans="7:7">
      <c r="G8937" s="5">
        <v>12794345</v>
      </c>
    </row>
    <row r="8938" spans="7:7">
      <c r="G8938" s="7">
        <v>44643</v>
      </c>
    </row>
    <row r="8939" spans="7:7">
      <c r="G8939" s="19" t="s">
        <v>563</v>
      </c>
    </row>
    <row r="8940" spans="7:7">
      <c r="G8940" s="7"/>
    </row>
    <row r="8941" spans="7:7">
      <c r="G8941" s="5">
        <v>12812178</v>
      </c>
    </row>
    <row r="8942" spans="7:7">
      <c r="G8942" s="7">
        <v>44699</v>
      </c>
    </row>
    <row r="8943" spans="7:7">
      <c r="G8943" s="19" t="s">
        <v>563</v>
      </c>
    </row>
    <row r="8944" spans="7:7">
      <c r="G8944" s="7"/>
    </row>
    <row r="8945" spans="7:7">
      <c r="G8945" s="5">
        <v>12825976</v>
      </c>
    </row>
    <row r="8946" spans="7:7">
      <c r="G8946" s="7">
        <v>44658</v>
      </c>
    </row>
    <row r="8947" spans="7:7">
      <c r="G8947" s="19" t="s">
        <v>2309</v>
      </c>
    </row>
    <row r="8948" spans="7:7">
      <c r="G8948" s="7"/>
    </row>
    <row r="8949" spans="7:7">
      <c r="G8949" s="5">
        <v>12839811</v>
      </c>
    </row>
    <row r="8950" spans="7:7">
      <c r="G8950" s="7">
        <v>44771</v>
      </c>
    </row>
    <row r="8951" spans="7:7">
      <c r="G8951" s="19" t="s">
        <v>2962</v>
      </c>
    </row>
    <row r="8952" spans="7:7">
      <c r="G8952" s="7"/>
    </row>
    <row r="8953" spans="7:7">
      <c r="G8953" s="5">
        <v>12843633</v>
      </c>
    </row>
    <row r="8954" spans="7:7">
      <c r="G8954" s="7">
        <v>44531</v>
      </c>
    </row>
    <row r="8955" spans="7:7">
      <c r="G8955" s="19" t="s">
        <v>151</v>
      </c>
    </row>
    <row r="8956" spans="7:7">
      <c r="G8956" s="7"/>
    </row>
    <row r="8957" spans="7:7">
      <c r="G8957" s="5">
        <v>12851181</v>
      </c>
    </row>
    <row r="8958" spans="7:7">
      <c r="G8958" s="7">
        <v>44342</v>
      </c>
    </row>
    <row r="8959" spans="7:7">
      <c r="G8959" s="19" t="s">
        <v>705</v>
      </c>
    </row>
    <row r="8960" spans="7:7">
      <c r="G8960" s="7"/>
    </row>
    <row r="8961" spans="7:7">
      <c r="G8961" s="7">
        <v>44286</v>
      </c>
    </row>
    <row r="8962" spans="7:7">
      <c r="G8962" s="19" t="s">
        <v>541</v>
      </c>
    </row>
    <row r="8963" spans="7:7">
      <c r="G8963" s="7"/>
    </row>
    <row r="8964" spans="7:7">
      <c r="G8964" s="5">
        <v>12860498</v>
      </c>
    </row>
    <row r="8965" spans="7:7">
      <c r="G8965" s="7">
        <v>44454</v>
      </c>
    </row>
    <row r="8966" spans="7:7">
      <c r="G8966" s="19" t="s">
        <v>1651</v>
      </c>
    </row>
    <row r="8967" spans="7:7">
      <c r="G8967" s="7"/>
    </row>
    <row r="8968" spans="7:7">
      <c r="G8968" s="5">
        <v>12867515</v>
      </c>
    </row>
    <row r="8969" spans="7:7">
      <c r="G8969" s="7">
        <v>44758</v>
      </c>
    </row>
    <row r="8970" spans="7:7">
      <c r="G8970" s="19" t="s">
        <v>2383</v>
      </c>
    </row>
    <row r="8971" spans="7:7">
      <c r="G8971" s="7"/>
    </row>
    <row r="8972" spans="7:7">
      <c r="G8972" s="5">
        <v>12872007</v>
      </c>
    </row>
    <row r="8973" spans="7:7">
      <c r="G8973" s="7">
        <v>44305</v>
      </c>
    </row>
    <row r="8974" spans="7:7">
      <c r="G8974" s="19" t="s">
        <v>263</v>
      </c>
    </row>
    <row r="8975" spans="7:7">
      <c r="G8975" s="7"/>
    </row>
    <row r="8976" spans="7:7">
      <c r="G8976" s="5">
        <v>12892702</v>
      </c>
    </row>
    <row r="8977" spans="7:7">
      <c r="G8977" s="7">
        <v>44733</v>
      </c>
    </row>
    <row r="8978" spans="7:7">
      <c r="G8978" s="19" t="s">
        <v>2383</v>
      </c>
    </row>
    <row r="8979" spans="7:7">
      <c r="G8979" s="7"/>
    </row>
    <row r="8980" spans="7:7">
      <c r="G8980" s="5">
        <v>12899269</v>
      </c>
    </row>
    <row r="8981" spans="7:7">
      <c r="G8981" s="7">
        <v>44321</v>
      </c>
    </row>
    <row r="8982" spans="7:7">
      <c r="G8982" s="19" t="s">
        <v>583</v>
      </c>
    </row>
    <row r="8983" spans="7:7">
      <c r="G8983" s="7"/>
    </row>
    <row r="8984" spans="7:7">
      <c r="G8984" s="5">
        <v>12902693</v>
      </c>
    </row>
    <row r="8985" spans="7:7">
      <c r="G8985" s="7">
        <v>44456</v>
      </c>
    </row>
    <row r="8986" spans="7:7">
      <c r="G8986" s="19" t="s">
        <v>1631</v>
      </c>
    </row>
    <row r="8987" spans="7:7">
      <c r="G8987" s="7"/>
    </row>
    <row r="8988" spans="7:7">
      <c r="G8988" s="5">
        <v>12913420</v>
      </c>
    </row>
    <row r="8989" spans="7:7">
      <c r="G8989" s="7">
        <v>44347</v>
      </c>
    </row>
    <row r="8990" spans="7:7">
      <c r="G8990" s="19" t="s">
        <v>128</v>
      </c>
    </row>
    <row r="8991" spans="7:7">
      <c r="G8991" s="7"/>
    </row>
    <row r="8992" spans="7:7">
      <c r="G8992" s="5">
        <v>12925178</v>
      </c>
    </row>
    <row r="8993" spans="7:7">
      <c r="G8993" s="7">
        <v>44257</v>
      </c>
    </row>
    <row r="8994" spans="7:7">
      <c r="G8994" s="19" t="s">
        <v>583</v>
      </c>
    </row>
    <row r="8995" spans="7:7">
      <c r="G8995" s="7"/>
    </row>
    <row r="8996" spans="7:7">
      <c r="G8996" s="5">
        <v>12927732</v>
      </c>
    </row>
    <row r="8997" spans="7:7">
      <c r="G8997" s="7">
        <v>44741</v>
      </c>
    </row>
    <row r="8998" spans="7:7">
      <c r="G8998" s="19" t="s">
        <v>2383</v>
      </c>
    </row>
    <row r="8999" spans="7:7">
      <c r="G8999" s="7"/>
    </row>
    <row r="9000" spans="7:7">
      <c r="G9000" s="5">
        <v>12930459</v>
      </c>
    </row>
    <row r="9001" spans="7:7">
      <c r="G9001" s="7">
        <v>44277</v>
      </c>
    </row>
    <row r="9002" spans="7:7">
      <c r="G9002" s="19" t="s">
        <v>583</v>
      </c>
    </row>
    <row r="9003" spans="7:7">
      <c r="G9003" s="7"/>
    </row>
    <row r="9004" spans="7:7">
      <c r="G9004" s="5">
        <v>13006114</v>
      </c>
    </row>
    <row r="9005" spans="7:7">
      <c r="G9005" s="7">
        <v>44343</v>
      </c>
    </row>
    <row r="9006" spans="7:7">
      <c r="G9006" s="19" t="s">
        <v>583</v>
      </c>
    </row>
    <row r="9007" spans="7:7">
      <c r="G9007" s="7"/>
    </row>
    <row r="9008" spans="7:7">
      <c r="G9008" s="5">
        <v>13020054</v>
      </c>
    </row>
    <row r="9009" spans="7:7">
      <c r="G9009" s="7">
        <v>44270</v>
      </c>
    </row>
    <row r="9010" spans="7:7">
      <c r="G9010" s="19" t="s">
        <v>345</v>
      </c>
    </row>
    <row r="9011" spans="7:7">
      <c r="G9011" s="7"/>
    </row>
    <row r="9012" spans="7:7">
      <c r="G9012" s="5">
        <v>13027262</v>
      </c>
    </row>
    <row r="9013" spans="7:7">
      <c r="G9013" s="7">
        <v>44259</v>
      </c>
    </row>
    <row r="9014" spans="7:7">
      <c r="G9014" s="19" t="s">
        <v>583</v>
      </c>
    </row>
    <row r="9015" spans="7:7">
      <c r="G9015" s="7"/>
    </row>
    <row r="9016" spans="7:7">
      <c r="G9016" s="5">
        <v>13030412</v>
      </c>
    </row>
    <row r="9017" spans="7:7">
      <c r="G9017" s="7">
        <v>44314</v>
      </c>
    </row>
    <row r="9018" spans="7:7">
      <c r="G9018" s="19" t="s">
        <v>611</v>
      </c>
    </row>
    <row r="9019" spans="7:7">
      <c r="G9019" s="7"/>
    </row>
    <row r="9020" spans="7:7">
      <c r="G9020" s="5">
        <v>13045433</v>
      </c>
    </row>
    <row r="9021" spans="7:7">
      <c r="G9021" s="7">
        <v>44349</v>
      </c>
    </row>
    <row r="9022" spans="7:7">
      <c r="G9022" s="19" t="s">
        <v>807</v>
      </c>
    </row>
    <row r="9023" spans="7:7">
      <c r="G9023" s="7"/>
    </row>
    <row r="9024" spans="7:7">
      <c r="G9024" s="5">
        <v>13055785</v>
      </c>
    </row>
    <row r="9025" spans="7:7">
      <c r="G9025" s="7">
        <v>44634</v>
      </c>
    </row>
    <row r="9026" spans="7:7">
      <c r="G9026" s="19" t="s">
        <v>107</v>
      </c>
    </row>
    <row r="9027" spans="7:7">
      <c r="G9027" s="7"/>
    </row>
    <row r="9028" spans="7:7">
      <c r="G9028" s="5">
        <v>13061288</v>
      </c>
    </row>
    <row r="9029" spans="7:7">
      <c r="G9029" s="7">
        <v>44660</v>
      </c>
    </row>
    <row r="9030" spans="7:7">
      <c r="G9030" s="19" t="s">
        <v>563</v>
      </c>
    </row>
    <row r="9031" spans="7:7">
      <c r="G9031" s="7"/>
    </row>
    <row r="9032" spans="7:7">
      <c r="G9032" s="5">
        <v>13064638</v>
      </c>
    </row>
    <row r="9033" spans="7:7">
      <c r="G9033" s="7">
        <v>44236</v>
      </c>
    </row>
    <row r="9034" spans="7:7">
      <c r="G9034" s="19" t="s">
        <v>583</v>
      </c>
    </row>
    <row r="9035" spans="7:7">
      <c r="G9035" s="7"/>
    </row>
    <row r="9036" spans="7:7">
      <c r="G9036" s="5">
        <v>13072300</v>
      </c>
    </row>
    <row r="9037" spans="7:7">
      <c r="G9037" s="7">
        <v>44510</v>
      </c>
    </row>
    <row r="9038" spans="7:7">
      <c r="G9038" s="19" t="s">
        <v>1851</v>
      </c>
    </row>
    <row r="9039" spans="7:7">
      <c r="G9039" s="7"/>
    </row>
    <row r="9040" spans="7:7">
      <c r="G9040" s="5">
        <v>13074011</v>
      </c>
    </row>
    <row r="9041" spans="7:7">
      <c r="G9041" s="7">
        <v>44355</v>
      </c>
    </row>
    <row r="9042" spans="7:7">
      <c r="G9042" s="19" t="s">
        <v>583</v>
      </c>
    </row>
    <row r="9043" spans="7:7">
      <c r="G9043" s="7"/>
    </row>
    <row r="9044" spans="7:7">
      <c r="G9044" s="5">
        <v>13090672</v>
      </c>
    </row>
    <row r="9045" spans="7:7">
      <c r="G9045" s="7">
        <v>44343</v>
      </c>
    </row>
    <row r="9046" spans="7:7">
      <c r="G9046" s="19" t="s">
        <v>807</v>
      </c>
    </row>
    <row r="9047" spans="7:7">
      <c r="G9047" s="7"/>
    </row>
    <row r="9048" spans="7:7">
      <c r="G9048" s="5">
        <v>13091286</v>
      </c>
    </row>
    <row r="9049" spans="7:7">
      <c r="G9049" s="7">
        <v>44333</v>
      </c>
    </row>
    <row r="9050" spans="7:7">
      <c r="G9050" s="19" t="s">
        <v>583</v>
      </c>
    </row>
    <row r="9051" spans="7:7">
      <c r="G9051" s="7"/>
    </row>
    <row r="9052" spans="7:7">
      <c r="G9052" s="5">
        <v>13094297</v>
      </c>
    </row>
    <row r="9053" spans="7:7">
      <c r="G9053" s="7">
        <v>44581</v>
      </c>
    </row>
    <row r="9054" spans="7:7">
      <c r="G9054" s="19" t="s">
        <v>1274</v>
      </c>
    </row>
    <row r="9055" spans="7:7">
      <c r="G9055" s="7"/>
    </row>
    <row r="9056" spans="7:7">
      <c r="G9056" s="5">
        <v>13102642</v>
      </c>
    </row>
    <row r="9057" spans="7:7">
      <c r="G9057" s="7">
        <v>44672</v>
      </c>
    </row>
    <row r="9058" spans="7:7">
      <c r="G9058" s="19" t="s">
        <v>563</v>
      </c>
    </row>
    <row r="9059" spans="7:7">
      <c r="G9059" s="7"/>
    </row>
    <row r="9060" spans="7:7">
      <c r="G9060" s="5">
        <v>13106653</v>
      </c>
    </row>
    <row r="9061" spans="7:7">
      <c r="G9061" s="7">
        <v>44299</v>
      </c>
    </row>
    <row r="9062" spans="7:7">
      <c r="G9062" s="19" t="s">
        <v>583</v>
      </c>
    </row>
    <row r="9063" spans="7:7">
      <c r="G9063" s="7"/>
    </row>
    <row r="9064" spans="7:7">
      <c r="G9064" s="5">
        <v>13106849</v>
      </c>
    </row>
    <row r="9065" spans="7:7">
      <c r="G9065" s="7">
        <v>44686</v>
      </c>
    </row>
    <row r="9066" spans="7:7">
      <c r="G9066" s="19" t="s">
        <v>563</v>
      </c>
    </row>
    <row r="9067" spans="7:7">
      <c r="G9067" s="7"/>
    </row>
    <row r="9068" spans="7:7">
      <c r="G9068" s="5">
        <v>13109284</v>
      </c>
    </row>
    <row r="9069" spans="7:7">
      <c r="G9069" s="7">
        <v>44329</v>
      </c>
    </row>
    <row r="9070" spans="7:7">
      <c r="G9070" s="19" t="s">
        <v>583</v>
      </c>
    </row>
    <row r="9071" spans="7:7">
      <c r="G9071" s="7"/>
    </row>
    <row r="9072" spans="7:7">
      <c r="G9072" s="5">
        <v>13116229</v>
      </c>
    </row>
    <row r="9073" spans="7:7">
      <c r="G9073" s="7">
        <v>44364</v>
      </c>
    </row>
    <row r="9074" spans="7:7">
      <c r="G9074" s="19" t="s">
        <v>107</v>
      </c>
    </row>
    <row r="9075" spans="7:7">
      <c r="G9075" s="7"/>
    </row>
    <row r="9076" spans="7:7">
      <c r="G9076" s="5">
        <v>13117302</v>
      </c>
    </row>
    <row r="9077" spans="7:7">
      <c r="G9077" s="7">
        <v>44323</v>
      </c>
    </row>
    <row r="9078" spans="7:7">
      <c r="G9078" s="19" t="s">
        <v>583</v>
      </c>
    </row>
    <row r="9079" spans="7:7">
      <c r="G9079" s="7"/>
    </row>
    <row r="9080" spans="7:7">
      <c r="G9080" s="5">
        <v>13147895</v>
      </c>
    </row>
    <row r="9081" spans="7:7">
      <c r="G9081" s="7">
        <v>44360</v>
      </c>
    </row>
    <row r="9082" spans="7:7">
      <c r="G9082" s="19" t="s">
        <v>924</v>
      </c>
    </row>
    <row r="9083" spans="7:7">
      <c r="G9083" s="7"/>
    </row>
    <row r="9084" spans="7:7">
      <c r="G9084" s="5">
        <v>13150094</v>
      </c>
    </row>
    <row r="9085" spans="7:7">
      <c r="G9085" s="7">
        <v>44762</v>
      </c>
    </row>
    <row r="9086" spans="7:7">
      <c r="G9086" s="19" t="s">
        <v>2383</v>
      </c>
    </row>
    <row r="9087" spans="7:7">
      <c r="G9087" s="7"/>
    </row>
    <row r="9088" spans="7:7">
      <c r="G9088" s="5">
        <v>13272657</v>
      </c>
    </row>
    <row r="9089" spans="7:7">
      <c r="G9089" s="7">
        <v>44450</v>
      </c>
    </row>
    <row r="9090" spans="7:7">
      <c r="G9090" s="19" t="s">
        <v>1193</v>
      </c>
    </row>
    <row r="9091" spans="7:7">
      <c r="G9091" s="7"/>
    </row>
    <row r="9092" spans="7:7">
      <c r="G9092" s="5">
        <v>13273157</v>
      </c>
    </row>
    <row r="9093" spans="7:7">
      <c r="G9093" s="7">
        <v>44496</v>
      </c>
    </row>
    <row r="9094" spans="7:7">
      <c r="G9094" s="19" t="s">
        <v>1839</v>
      </c>
    </row>
    <row r="9095" spans="7:7">
      <c r="G9095" s="7"/>
    </row>
    <row r="9096" spans="7:7">
      <c r="G9096" s="7">
        <v>44497</v>
      </c>
    </row>
    <row r="9097" spans="7:7">
      <c r="G9097" s="19" t="s">
        <v>1670</v>
      </c>
    </row>
    <row r="9098" spans="7:7">
      <c r="G9098" s="7"/>
    </row>
    <row r="9099" spans="7:7">
      <c r="G9099" s="5">
        <v>13275874</v>
      </c>
    </row>
    <row r="9100" spans="7:7">
      <c r="G9100" s="7">
        <v>44477</v>
      </c>
    </row>
    <row r="9101" spans="7:7">
      <c r="G9101" s="19" t="s">
        <v>139</v>
      </c>
    </row>
    <row r="9102" spans="7:7">
      <c r="G9102" s="7"/>
    </row>
    <row r="9103" spans="7:7">
      <c r="G9103" s="5">
        <v>13278541</v>
      </c>
    </row>
    <row r="9104" spans="7:7">
      <c r="G9104" s="7">
        <v>44680</v>
      </c>
    </row>
    <row r="9105" spans="7:7">
      <c r="G9105" s="19" t="s">
        <v>2714</v>
      </c>
    </row>
    <row r="9106" spans="7:7">
      <c r="G9106" s="7"/>
    </row>
    <row r="9107" spans="7:7">
      <c r="G9107" s="5">
        <v>13280212</v>
      </c>
    </row>
    <row r="9108" spans="7:7">
      <c r="G9108" s="7">
        <v>44452</v>
      </c>
    </row>
    <row r="9109" spans="7:7">
      <c r="G9109" s="19" t="s">
        <v>1630</v>
      </c>
    </row>
    <row r="9110" spans="7:7">
      <c r="G9110" s="7"/>
    </row>
    <row r="9111" spans="7:7">
      <c r="G9111" s="5">
        <v>13283510</v>
      </c>
    </row>
    <row r="9112" spans="7:7">
      <c r="G9112" s="7">
        <v>44476</v>
      </c>
    </row>
    <row r="9113" spans="7:7">
      <c r="G9113" s="19" t="s">
        <v>139</v>
      </c>
    </row>
    <row r="9114" spans="7:7">
      <c r="G9114" s="7"/>
    </row>
    <row r="9115" spans="7:7">
      <c r="G9115" s="5">
        <v>13299385</v>
      </c>
    </row>
    <row r="9116" spans="7:7">
      <c r="G9116" s="7">
        <v>44475</v>
      </c>
    </row>
    <row r="9117" spans="7:7">
      <c r="G9117" s="19" t="s">
        <v>1116</v>
      </c>
    </row>
    <row r="9118" spans="7:7">
      <c r="G9118" s="7"/>
    </row>
    <row r="9119" spans="7:7">
      <c r="G9119" s="5">
        <v>13311103</v>
      </c>
    </row>
    <row r="9120" spans="7:7">
      <c r="G9120" s="7">
        <v>44490</v>
      </c>
    </row>
    <row r="9121" spans="7:7">
      <c r="G9121" s="19" t="s">
        <v>139</v>
      </c>
    </row>
    <row r="9122" spans="7:7">
      <c r="G9122" s="7"/>
    </row>
    <row r="9123" spans="7:7">
      <c r="G9123" s="5">
        <v>13332680</v>
      </c>
    </row>
    <row r="9124" spans="7:7">
      <c r="G9124" s="7">
        <v>44672</v>
      </c>
    </row>
    <row r="9125" spans="7:7">
      <c r="G9125" s="19" t="s">
        <v>509</v>
      </c>
    </row>
    <row r="9126" spans="7:7">
      <c r="G9126" s="7"/>
    </row>
    <row r="9127" spans="7:7">
      <c r="G9127" s="5">
        <v>13339566</v>
      </c>
    </row>
    <row r="9128" spans="7:7">
      <c r="G9128" s="7">
        <v>44743</v>
      </c>
    </row>
    <row r="9129" spans="7:7">
      <c r="G9129" s="19" t="s">
        <v>3077</v>
      </c>
    </row>
    <row r="9130" spans="7:7">
      <c r="G9130" s="7"/>
    </row>
    <row r="9131" spans="7:7">
      <c r="G9131" s="5">
        <v>13357159</v>
      </c>
    </row>
    <row r="9132" spans="7:7">
      <c r="G9132" s="7">
        <v>44658</v>
      </c>
    </row>
    <row r="9133" spans="7:7">
      <c r="G9133" s="19" t="s">
        <v>563</v>
      </c>
    </row>
    <row r="9134" spans="7:7">
      <c r="G9134" s="7"/>
    </row>
    <row r="9135" spans="7:7">
      <c r="G9135" s="7">
        <v>44680</v>
      </c>
    </row>
    <row r="9136" spans="7:7">
      <c r="G9136" s="19" t="s">
        <v>563</v>
      </c>
    </row>
    <row r="9137" spans="7:7">
      <c r="G9137" s="7"/>
    </row>
    <row r="9138" spans="7:7">
      <c r="G9138" s="5">
        <v>13372839</v>
      </c>
    </row>
    <row r="9139" spans="7:7">
      <c r="G9139" s="7">
        <v>44555</v>
      </c>
    </row>
    <row r="9140" spans="7:7">
      <c r="G9140" s="19" t="s">
        <v>550</v>
      </c>
    </row>
    <row r="9141" spans="7:7">
      <c r="G9141" s="7"/>
    </row>
    <row r="9142" spans="7:7">
      <c r="G9142" s="5">
        <v>13448107</v>
      </c>
    </row>
    <row r="9143" spans="7:7">
      <c r="G9143" s="7">
        <v>44720</v>
      </c>
    </row>
    <row r="9144" spans="7:7">
      <c r="G9144" s="19" t="s">
        <v>2383</v>
      </c>
    </row>
    <row r="9145" spans="7:7">
      <c r="G9145" s="7"/>
    </row>
    <row r="9146" spans="7:7">
      <c r="G9146" s="5">
        <v>13456116</v>
      </c>
    </row>
    <row r="9147" spans="7:7">
      <c r="G9147" s="7">
        <v>44652</v>
      </c>
    </row>
    <row r="9148" spans="7:7">
      <c r="G9148" s="19" t="s">
        <v>2253</v>
      </c>
    </row>
    <row r="9149" spans="7:7">
      <c r="G9149" s="7"/>
    </row>
    <row r="9150" spans="7:7">
      <c r="G9150" s="5">
        <v>13461144</v>
      </c>
    </row>
    <row r="9151" spans="7:7">
      <c r="G9151" s="7">
        <v>44705</v>
      </c>
    </row>
    <row r="9152" spans="7:7">
      <c r="G9152" s="19" t="s">
        <v>563</v>
      </c>
    </row>
    <row r="9153" spans="7:7">
      <c r="G9153" s="7"/>
    </row>
    <row r="9154" spans="7:7">
      <c r="G9154" s="5">
        <v>13472224</v>
      </c>
    </row>
    <row r="9155" spans="7:7">
      <c r="G9155" s="7">
        <v>44670</v>
      </c>
    </row>
    <row r="9156" spans="7:7">
      <c r="G9156" s="19" t="s">
        <v>563</v>
      </c>
    </row>
    <row r="9157" spans="7:7">
      <c r="G9157" s="7"/>
    </row>
    <row r="9158" spans="7:7">
      <c r="G9158" s="5">
        <v>13473199</v>
      </c>
    </row>
    <row r="9159" spans="7:7">
      <c r="G9159" s="7">
        <v>44666</v>
      </c>
    </row>
    <row r="9160" spans="7:7">
      <c r="G9160" s="19" t="s">
        <v>563</v>
      </c>
    </row>
    <row r="9161" spans="7:7">
      <c r="G9161" s="7"/>
    </row>
    <row r="9162" spans="7:7">
      <c r="G9162" s="5">
        <v>13487318</v>
      </c>
    </row>
    <row r="9163" spans="7:7">
      <c r="G9163" s="7">
        <v>44683</v>
      </c>
    </row>
    <row r="9164" spans="7:7">
      <c r="G9164" s="19" t="s">
        <v>563</v>
      </c>
    </row>
    <row r="9165" spans="7:7">
      <c r="G9165" s="7"/>
    </row>
    <row r="9166" spans="7:7">
      <c r="G9166" s="5">
        <v>13536665</v>
      </c>
    </row>
    <row r="9167" spans="7:7">
      <c r="G9167" s="7">
        <v>44736</v>
      </c>
    </row>
    <row r="9168" spans="7:7">
      <c r="G9168" s="19" t="s">
        <v>107</v>
      </c>
    </row>
    <row r="9169" spans="7:7">
      <c r="G9169" s="7"/>
    </row>
    <row r="9170" spans="7:7">
      <c r="G9170" s="5">
        <v>13536845</v>
      </c>
    </row>
    <row r="9171" spans="7:7">
      <c r="G9171" s="7">
        <v>44736</v>
      </c>
    </row>
    <row r="9172" spans="7:7">
      <c r="G9172" s="19" t="s">
        <v>2383</v>
      </c>
    </row>
    <row r="9173" spans="7:7">
      <c r="G9173" s="7"/>
    </row>
    <row r="9174" spans="7:7">
      <c r="G9174" s="5">
        <v>13538348</v>
      </c>
    </row>
    <row r="9175" spans="7:7">
      <c r="G9175" s="7">
        <v>44738</v>
      </c>
    </row>
    <row r="9176" spans="7:7">
      <c r="G9176" s="19" t="s">
        <v>2383</v>
      </c>
    </row>
    <row r="9177" spans="7:7">
      <c r="G9177" s="7"/>
    </row>
    <row r="9178" spans="7:7">
      <c r="G9178" s="5">
        <v>18624110</v>
      </c>
    </row>
    <row r="9179" spans="7:7">
      <c r="G9179" s="7">
        <v>44672</v>
      </c>
    </row>
    <row r="9180" spans="7:7">
      <c r="G9180" s="19" t="s">
        <v>2696</v>
      </c>
    </row>
    <row r="9181" spans="7:7">
      <c r="G9181" s="7"/>
    </row>
    <row r="9182" spans="7:7">
      <c r="G9182" s="5">
        <v>20377731</v>
      </c>
    </row>
    <row r="9183" spans="7:7">
      <c r="G9183" s="7">
        <v>44732</v>
      </c>
    </row>
    <row r="9184" spans="7:7">
      <c r="G9184" s="19" t="s">
        <v>2383</v>
      </c>
    </row>
    <row r="9185" spans="7:7">
      <c r="G9185" s="7"/>
    </row>
    <row r="9186" spans="7:7">
      <c r="G9186" s="5">
        <v>22644616</v>
      </c>
    </row>
    <row r="9187" spans="7:7">
      <c r="G9187" s="7">
        <v>44652</v>
      </c>
    </row>
    <row r="9188" spans="7:7">
      <c r="G9188" s="19" t="s">
        <v>563</v>
      </c>
    </row>
    <row r="9189" spans="7:7">
      <c r="G9189" s="7"/>
    </row>
    <row r="9190" spans="7:7">
      <c r="G9190" s="5">
        <v>28490235</v>
      </c>
    </row>
    <row r="9191" spans="7:7">
      <c r="G9191" s="7">
        <v>44517</v>
      </c>
    </row>
    <row r="9192" spans="7:7">
      <c r="G9192" s="19" t="s">
        <v>1918</v>
      </c>
    </row>
    <row r="9193" spans="7:7">
      <c r="G9193" s="7"/>
    </row>
    <row r="9194" spans="7:7">
      <c r="G9194" s="5">
        <v>35092736</v>
      </c>
    </row>
    <row r="9195" spans="7:7">
      <c r="G9195" s="7">
        <v>44688</v>
      </c>
    </row>
    <row r="9196" spans="7:7">
      <c r="G9196" s="19" t="s">
        <v>563</v>
      </c>
    </row>
    <row r="9197" spans="7:7">
      <c r="G9197" s="7"/>
    </row>
    <row r="9198" spans="7:7">
      <c r="G9198" s="5">
        <v>37916294</v>
      </c>
    </row>
    <row r="9199" spans="7:7">
      <c r="G9199" s="7">
        <v>44557</v>
      </c>
    </row>
    <row r="9200" spans="7:7">
      <c r="G9200" s="19" t="s">
        <v>1274</v>
      </c>
    </row>
    <row r="9201" spans="7:7">
      <c r="G9201" s="7"/>
    </row>
    <row r="9202" spans="7:7">
      <c r="G9202" s="5" t="s">
        <v>397</v>
      </c>
    </row>
    <row r="9203" spans="7:7">
      <c r="G9203" s="7" t="s">
        <v>397</v>
      </c>
    </row>
    <row r="9204" spans="7:7">
      <c r="G9204" s="19" t="s">
        <v>397</v>
      </c>
    </row>
    <row r="9205" spans="7:7">
      <c r="G9205" s="7"/>
    </row>
    <row r="9206" spans="7:7">
      <c r="G9206" s="5" t="s">
        <v>186</v>
      </c>
    </row>
  </sheetData>
  <pageMargins left="0.7" right="0.7" top="0.75" bottom="0.75" header="0.3" footer="0.3"/>
  <drawing r:id="rId4"/>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dimension ref="A3:I852"/>
  <sheetViews>
    <sheetView topLeftCell="A523" workbookViewId="0">
      <selection activeCell="E262" sqref="E262"/>
    </sheetView>
  </sheetViews>
  <sheetFormatPr baseColWidth="10" defaultRowHeight="15"/>
  <cols>
    <col min="1" max="1" width="36.140625" customWidth="1"/>
    <col min="2" max="2" width="18.140625" customWidth="1"/>
    <col min="3" max="3" width="19.28515625" style="32" customWidth="1"/>
    <col min="4" max="4" width="7.140625" customWidth="1"/>
    <col min="5" max="5" width="9.7109375" customWidth="1"/>
    <col min="6" max="6" width="8.42578125" customWidth="1"/>
    <col min="7" max="7" width="7.28515625" customWidth="1"/>
    <col min="8" max="8" width="6.140625" customWidth="1"/>
    <col min="9" max="9" width="36.140625" customWidth="1"/>
    <col min="10" max="10" width="18.140625" customWidth="1"/>
    <col min="11" max="11" width="8.140625" customWidth="1"/>
    <col min="12" max="12" width="6.85546875" customWidth="1"/>
    <col min="13" max="13" width="13.28515625" bestFit="1" customWidth="1"/>
    <col min="14" max="14" width="6.42578125" customWidth="1"/>
    <col min="15" max="15" width="7.85546875" customWidth="1"/>
    <col min="16" max="16" width="8.140625" customWidth="1"/>
    <col min="17" max="17" width="6" customWidth="1"/>
    <col min="18" max="18" width="6.140625" customWidth="1"/>
    <col min="19" max="19" width="7.42578125" customWidth="1"/>
    <col min="20" max="20" width="6" customWidth="1"/>
    <col min="21" max="21" width="6.5703125" customWidth="1"/>
    <col min="22" max="22" width="10.140625" customWidth="1"/>
    <col min="23" max="23" width="9" customWidth="1"/>
    <col min="24" max="24" width="9.140625" customWidth="1"/>
    <col min="25" max="25" width="8.85546875" customWidth="1"/>
    <col min="26" max="26" width="10" customWidth="1"/>
    <col min="27" max="27" width="6.7109375" customWidth="1"/>
    <col min="28" max="28" width="15" bestFit="1" customWidth="1"/>
    <col min="29" max="29" width="8.5703125" customWidth="1"/>
    <col min="30" max="30" width="8.140625" customWidth="1"/>
    <col min="31" max="31" width="14.28515625" bestFit="1" customWidth="1"/>
    <col min="32" max="32" width="6.28515625" customWidth="1"/>
    <col min="33" max="33" width="7.140625" customWidth="1"/>
    <col min="34" max="34" width="7" customWidth="1"/>
    <col min="35" max="35" width="6" customWidth="1"/>
    <col min="36" max="36" width="7.85546875" customWidth="1"/>
    <col min="37" max="37" width="6" customWidth="1"/>
    <col min="38" max="38" width="12.42578125" bestFit="1" customWidth="1"/>
    <col min="39" max="40" width="12.140625" bestFit="1" customWidth="1"/>
    <col min="41" max="41" width="6.5703125" customWidth="1"/>
    <col min="42" max="42" width="6" customWidth="1"/>
    <col min="43" max="43" width="9.28515625" customWidth="1"/>
    <col min="44" max="44" width="10.7109375" customWidth="1"/>
    <col min="45" max="45" width="6" customWidth="1"/>
    <col min="46" max="46" width="8" customWidth="1"/>
    <col min="47" max="47" width="10" customWidth="1"/>
    <col min="48" max="48" width="10.140625" customWidth="1"/>
    <col min="49" max="49" width="7.85546875" customWidth="1"/>
    <col min="50" max="50" width="8.85546875" customWidth="1"/>
    <col min="51" max="51" width="15" bestFit="1" customWidth="1"/>
    <col min="52" max="52" width="13.42578125" bestFit="1" customWidth="1"/>
    <col min="53" max="53" width="7.42578125" customWidth="1"/>
    <col min="54" max="54" width="12.7109375" bestFit="1" customWidth="1"/>
    <col min="55" max="55" width="6.28515625" customWidth="1"/>
    <col min="56" max="56" width="16.85546875" bestFit="1" customWidth="1"/>
    <col min="57" max="57" width="9.28515625" customWidth="1"/>
    <col min="58" max="58" width="7.28515625" customWidth="1"/>
    <col min="59" max="59" width="12.85546875" bestFit="1" customWidth="1"/>
    <col min="60" max="60" width="18" bestFit="1" customWidth="1"/>
    <col min="61" max="61" width="8.7109375" customWidth="1"/>
    <col min="62" max="62" width="7.5703125" customWidth="1"/>
    <col min="63" max="63" width="6" customWidth="1"/>
    <col min="64" max="65" width="7.5703125" customWidth="1"/>
    <col min="66" max="66" width="13.5703125" bestFit="1" customWidth="1"/>
    <col min="67" max="67" width="6" customWidth="1"/>
    <col min="68" max="68" width="7.7109375" customWidth="1"/>
    <col min="69" max="69" width="7.42578125" customWidth="1"/>
    <col min="70" max="70" width="6.5703125" customWidth="1"/>
    <col min="71" max="71" width="7" customWidth="1"/>
    <col min="72" max="72" width="7.140625" customWidth="1"/>
    <col min="73" max="73" width="7.7109375" customWidth="1"/>
    <col min="74" max="74" width="10.7109375" customWidth="1"/>
    <col min="75" max="76" width="8.5703125" customWidth="1"/>
    <col min="77" max="77" width="7.7109375" customWidth="1"/>
    <col min="78" max="78" width="7.85546875" customWidth="1"/>
    <col min="79" max="79" width="6.28515625" customWidth="1"/>
    <col min="80" max="80" width="6.42578125" customWidth="1"/>
    <col min="81" max="81" width="11" customWidth="1"/>
    <col min="82" max="82" width="12.5703125" bestFit="1" customWidth="1"/>
  </cols>
  <sheetData>
    <row r="3" spans="1:9">
      <c r="A3" s="4" t="s">
        <v>185</v>
      </c>
      <c r="B3" t="s">
        <v>187</v>
      </c>
      <c r="I3" s="4" t="s">
        <v>185</v>
      </c>
    </row>
    <row r="4" spans="1:9">
      <c r="A4" s="5" t="s">
        <v>459</v>
      </c>
      <c r="B4" s="6">
        <v>0.39600000000000002</v>
      </c>
      <c r="I4" s="5" t="s">
        <v>459</v>
      </c>
    </row>
    <row r="5" spans="1:9">
      <c r="A5" s="7">
        <v>14645</v>
      </c>
      <c r="B5" s="6">
        <v>0.39600000000000002</v>
      </c>
      <c r="I5" s="7">
        <v>14645</v>
      </c>
    </row>
    <row r="6" spans="1:9">
      <c r="A6" s="19">
        <v>3329365</v>
      </c>
      <c r="B6" s="6">
        <v>0.39600000000000002</v>
      </c>
      <c r="I6" s="5" t="s">
        <v>474</v>
      </c>
    </row>
    <row r="7" spans="1:9">
      <c r="A7" s="21">
        <v>44306</v>
      </c>
      <c r="B7" s="6">
        <v>0.39600000000000002</v>
      </c>
      <c r="I7" s="7">
        <v>18462</v>
      </c>
    </row>
    <row r="8" spans="1:9">
      <c r="A8" s="5" t="s">
        <v>474</v>
      </c>
      <c r="B8" s="6">
        <v>3.5249999999999999</v>
      </c>
      <c r="I8" s="5" t="s">
        <v>471</v>
      </c>
    </row>
    <row r="9" spans="1:9">
      <c r="A9" s="7">
        <v>18462</v>
      </c>
      <c r="B9" s="6">
        <v>3.5249999999999999</v>
      </c>
      <c r="I9" s="7">
        <v>24782</v>
      </c>
    </row>
    <row r="10" spans="1:9">
      <c r="A10" s="23">
        <v>4484462</v>
      </c>
      <c r="B10" s="22">
        <v>3.5249999999999999</v>
      </c>
      <c r="I10" s="5" t="s">
        <v>449</v>
      </c>
    </row>
    <row r="11" spans="1:9">
      <c r="A11" s="24">
        <v>44040</v>
      </c>
      <c r="B11" s="22">
        <v>3.5249999999999999</v>
      </c>
      <c r="I11" s="7">
        <v>13107</v>
      </c>
    </row>
    <row r="12" spans="1:9">
      <c r="A12" s="5" t="s">
        <v>471</v>
      </c>
      <c r="B12" s="6">
        <v>6.6129999999999995</v>
      </c>
      <c r="I12" s="5" t="s">
        <v>494</v>
      </c>
    </row>
    <row r="13" spans="1:9">
      <c r="A13" s="7">
        <v>24782</v>
      </c>
      <c r="B13" s="6">
        <v>6.6129999999999995</v>
      </c>
      <c r="I13" s="7">
        <v>20623</v>
      </c>
    </row>
    <row r="14" spans="1:9">
      <c r="A14" s="23">
        <v>4023574</v>
      </c>
      <c r="B14" s="22">
        <v>6.6129999999999995</v>
      </c>
      <c r="I14" s="5" t="s">
        <v>450</v>
      </c>
    </row>
    <row r="15" spans="1:9">
      <c r="A15" s="24">
        <v>44059</v>
      </c>
      <c r="B15" s="22">
        <v>3.077</v>
      </c>
      <c r="I15" s="7">
        <v>16751</v>
      </c>
    </row>
    <row r="16" spans="1:9">
      <c r="A16" s="24">
        <v>44060</v>
      </c>
      <c r="B16" s="22">
        <v>3.536</v>
      </c>
      <c r="I16" s="5" t="s">
        <v>581</v>
      </c>
    </row>
    <row r="17" spans="1:9">
      <c r="A17" s="5" t="s">
        <v>449</v>
      </c>
      <c r="B17" s="6">
        <v>0.94399999999999995</v>
      </c>
      <c r="I17" s="7">
        <v>39930</v>
      </c>
    </row>
    <row r="18" spans="1:9">
      <c r="A18" s="7">
        <v>13107</v>
      </c>
      <c r="B18" s="6">
        <v>0.94399999999999995</v>
      </c>
      <c r="I18" s="5" t="s">
        <v>404</v>
      </c>
    </row>
    <row r="19" spans="1:9">
      <c r="A19" s="19">
        <v>3152027</v>
      </c>
      <c r="B19" s="6">
        <v>0.94399999999999995</v>
      </c>
      <c r="I19" s="7">
        <v>20745</v>
      </c>
    </row>
    <row r="20" spans="1:9">
      <c r="A20" s="21">
        <v>44265</v>
      </c>
      <c r="B20" s="6">
        <v>0.94399999999999995</v>
      </c>
      <c r="I20" s="5" t="s">
        <v>439</v>
      </c>
    </row>
    <row r="21" spans="1:9">
      <c r="A21" s="5" t="s">
        <v>494</v>
      </c>
      <c r="B21" s="6">
        <v>5.0939999999999994</v>
      </c>
      <c r="I21" s="7">
        <v>21480</v>
      </c>
    </row>
    <row r="22" spans="1:9">
      <c r="A22" s="7">
        <v>20623</v>
      </c>
      <c r="B22" s="6">
        <v>5.0939999999999994</v>
      </c>
      <c r="I22" s="5" t="s">
        <v>422</v>
      </c>
    </row>
    <row r="23" spans="1:9">
      <c r="A23" s="23">
        <v>12557556</v>
      </c>
      <c r="B23" s="22">
        <v>5.0939999999999994</v>
      </c>
      <c r="I23" s="7">
        <v>21554</v>
      </c>
    </row>
    <row r="24" spans="1:9">
      <c r="A24" s="24">
        <v>44097</v>
      </c>
      <c r="B24" s="22">
        <v>1.3759999999999999</v>
      </c>
      <c r="I24" s="5" t="s">
        <v>579</v>
      </c>
    </row>
    <row r="25" spans="1:9">
      <c r="A25" s="24">
        <v>44098</v>
      </c>
      <c r="B25" s="22">
        <v>3.718</v>
      </c>
      <c r="I25" s="7">
        <v>20739</v>
      </c>
    </row>
    <row r="26" spans="1:9">
      <c r="A26" s="5" t="s">
        <v>450</v>
      </c>
      <c r="B26" s="6">
        <v>3.7</v>
      </c>
      <c r="I26" s="5" t="s">
        <v>487</v>
      </c>
    </row>
    <row r="27" spans="1:9">
      <c r="A27" s="7">
        <v>16751</v>
      </c>
      <c r="B27" s="6">
        <v>3.7</v>
      </c>
      <c r="I27" s="7">
        <v>38673</v>
      </c>
    </row>
    <row r="28" spans="1:9">
      <c r="A28" s="23">
        <v>3189874</v>
      </c>
      <c r="B28" s="22">
        <v>3.7</v>
      </c>
      <c r="I28" s="5" t="s">
        <v>448</v>
      </c>
    </row>
    <row r="29" spans="1:9">
      <c r="A29" s="24">
        <v>44020</v>
      </c>
      <c r="B29" s="22">
        <v>3.7</v>
      </c>
      <c r="I29" s="7">
        <v>18095</v>
      </c>
    </row>
    <row r="30" spans="1:9">
      <c r="A30" s="5" t="s">
        <v>581</v>
      </c>
      <c r="B30" s="6">
        <v>0.72099999999999997</v>
      </c>
      <c r="I30" s="5" t="s">
        <v>433</v>
      </c>
    </row>
    <row r="31" spans="1:9">
      <c r="A31" s="7">
        <v>39930</v>
      </c>
      <c r="B31" s="6">
        <v>0.72099999999999997</v>
      </c>
      <c r="I31" s="7">
        <v>17567</v>
      </c>
    </row>
    <row r="32" spans="1:9">
      <c r="A32" s="19">
        <v>12872007</v>
      </c>
      <c r="B32" s="6">
        <v>0.72099999999999997</v>
      </c>
      <c r="I32" s="5" t="s">
        <v>427</v>
      </c>
    </row>
    <row r="33" spans="1:9">
      <c r="A33" s="21">
        <v>44305</v>
      </c>
      <c r="B33" s="6">
        <v>0.72099999999999997</v>
      </c>
      <c r="I33" s="7">
        <v>16009</v>
      </c>
    </row>
    <row r="34" spans="1:9">
      <c r="A34" s="5" t="s">
        <v>404</v>
      </c>
      <c r="B34" s="6">
        <v>1.508</v>
      </c>
      <c r="I34" s="5" t="s">
        <v>488</v>
      </c>
    </row>
    <row r="35" spans="1:9">
      <c r="A35" s="7">
        <v>20745</v>
      </c>
      <c r="B35" s="6">
        <v>1.508</v>
      </c>
      <c r="I35" s="7">
        <v>27939</v>
      </c>
    </row>
    <row r="36" spans="1:9">
      <c r="A36" s="19">
        <v>264626</v>
      </c>
      <c r="B36" s="6">
        <v>1.508</v>
      </c>
      <c r="I36" s="5" t="s">
        <v>428</v>
      </c>
    </row>
    <row r="37" spans="1:9">
      <c r="A37" s="21">
        <v>43985</v>
      </c>
      <c r="B37" s="6">
        <v>0.872</v>
      </c>
      <c r="I37" s="7">
        <v>16188</v>
      </c>
    </row>
    <row r="38" spans="1:9">
      <c r="A38" s="21">
        <v>44257</v>
      </c>
      <c r="B38" s="6">
        <v>0.63600000000000001</v>
      </c>
      <c r="I38" s="5" t="s">
        <v>444</v>
      </c>
    </row>
    <row r="39" spans="1:9">
      <c r="A39" s="5" t="s">
        <v>439</v>
      </c>
      <c r="B39" s="6">
        <v>8.27</v>
      </c>
      <c r="I39" s="7">
        <v>12294</v>
      </c>
    </row>
    <row r="40" spans="1:9">
      <c r="A40" s="7">
        <v>21480</v>
      </c>
      <c r="B40" s="6">
        <v>8.27</v>
      </c>
      <c r="I40" s="5" t="s">
        <v>435</v>
      </c>
    </row>
    <row r="41" spans="1:9">
      <c r="A41" s="23">
        <v>2910430</v>
      </c>
      <c r="B41" s="22">
        <v>8.27</v>
      </c>
      <c r="I41" s="7">
        <v>16969</v>
      </c>
    </row>
    <row r="42" spans="1:9">
      <c r="A42" s="24">
        <v>43873</v>
      </c>
      <c r="B42" s="22">
        <v>5.6</v>
      </c>
      <c r="I42" s="5" t="s">
        <v>415</v>
      </c>
    </row>
    <row r="43" spans="1:9">
      <c r="A43" s="24">
        <v>44054</v>
      </c>
      <c r="B43" s="22">
        <v>2.67</v>
      </c>
      <c r="I43" s="7">
        <v>15388</v>
      </c>
    </row>
    <row r="44" spans="1:9">
      <c r="A44" s="5" t="s">
        <v>422</v>
      </c>
      <c r="B44" s="6">
        <v>0.76300000000000001</v>
      </c>
      <c r="I44" s="5" t="s">
        <v>443</v>
      </c>
    </row>
    <row r="45" spans="1:9">
      <c r="A45" s="7">
        <v>21554</v>
      </c>
      <c r="B45" s="6">
        <v>0.76300000000000001</v>
      </c>
      <c r="I45" s="7">
        <v>26249</v>
      </c>
    </row>
    <row r="46" spans="1:9">
      <c r="A46" s="19">
        <v>2316361</v>
      </c>
      <c r="B46" s="6">
        <v>0.76300000000000001</v>
      </c>
      <c r="I46" s="5" t="s">
        <v>417</v>
      </c>
    </row>
    <row r="47" spans="1:9">
      <c r="A47" s="21">
        <v>44084</v>
      </c>
      <c r="B47" s="6">
        <v>0.11</v>
      </c>
      <c r="I47" s="7">
        <v>16591</v>
      </c>
    </row>
    <row r="48" spans="1:9">
      <c r="A48" s="21">
        <v>44134</v>
      </c>
      <c r="B48" s="6">
        <v>0.111</v>
      </c>
      <c r="I48" s="5" t="s">
        <v>441</v>
      </c>
    </row>
    <row r="49" spans="1:9">
      <c r="A49" s="21">
        <v>44176</v>
      </c>
      <c r="B49" s="6">
        <v>0.37</v>
      </c>
      <c r="I49" s="7">
        <v>21196</v>
      </c>
    </row>
    <row r="50" spans="1:9">
      <c r="A50" s="21">
        <v>44225</v>
      </c>
      <c r="B50" s="6">
        <v>1.2E-2</v>
      </c>
      <c r="I50" s="5" t="s">
        <v>437</v>
      </c>
    </row>
    <row r="51" spans="1:9">
      <c r="A51" s="21">
        <v>44245</v>
      </c>
      <c r="B51" s="6">
        <v>0.16</v>
      </c>
      <c r="I51" s="7">
        <v>21898</v>
      </c>
    </row>
    <row r="52" spans="1:9">
      <c r="A52" s="5" t="s">
        <v>579</v>
      </c>
      <c r="B52" s="6">
        <v>1.472</v>
      </c>
      <c r="I52" s="5" t="s">
        <v>440</v>
      </c>
    </row>
    <row r="53" spans="1:9">
      <c r="A53" s="7">
        <v>20739</v>
      </c>
      <c r="B53" s="6">
        <v>1.472</v>
      </c>
      <c r="I53" s="7">
        <v>23362</v>
      </c>
    </row>
    <row r="54" spans="1:9">
      <c r="A54" s="19">
        <v>3745640</v>
      </c>
      <c r="B54" s="6">
        <v>1.472</v>
      </c>
      <c r="I54" s="5" t="s">
        <v>454</v>
      </c>
    </row>
    <row r="55" spans="1:9">
      <c r="A55" s="21">
        <v>44305</v>
      </c>
      <c r="B55" s="6">
        <v>1.472</v>
      </c>
      <c r="I55" s="7">
        <v>12161</v>
      </c>
    </row>
    <row r="56" spans="1:9">
      <c r="A56" s="5" t="s">
        <v>487</v>
      </c>
      <c r="B56" s="6">
        <v>0.36</v>
      </c>
      <c r="I56" s="5" t="s">
        <v>447</v>
      </c>
    </row>
    <row r="57" spans="1:9">
      <c r="A57" s="7">
        <v>38673</v>
      </c>
      <c r="B57" s="6">
        <v>0.36</v>
      </c>
      <c r="I57" s="7">
        <v>21040</v>
      </c>
    </row>
    <row r="58" spans="1:9">
      <c r="A58" s="19">
        <v>7120820</v>
      </c>
      <c r="B58" s="6">
        <v>0.36</v>
      </c>
      <c r="I58" s="5" t="s">
        <v>580</v>
      </c>
    </row>
    <row r="59" spans="1:9">
      <c r="A59" s="21">
        <v>44263</v>
      </c>
      <c r="B59" s="6">
        <v>0.36</v>
      </c>
      <c r="I59" s="7">
        <v>20872</v>
      </c>
    </row>
    <row r="60" spans="1:9">
      <c r="A60" s="5" t="s">
        <v>448</v>
      </c>
      <c r="B60" s="6">
        <v>8.3490000000000002</v>
      </c>
      <c r="I60" s="5" t="s">
        <v>478</v>
      </c>
    </row>
    <row r="61" spans="1:9">
      <c r="A61" s="7">
        <v>18095</v>
      </c>
      <c r="B61" s="6">
        <v>8.3490000000000002</v>
      </c>
      <c r="I61" s="7">
        <v>20783</v>
      </c>
    </row>
    <row r="62" spans="1:9">
      <c r="A62" s="23">
        <v>3116475</v>
      </c>
      <c r="B62" s="22">
        <v>8.3490000000000002</v>
      </c>
      <c r="I62" s="5" t="s">
        <v>517</v>
      </c>
    </row>
    <row r="63" spans="1:9">
      <c r="A63" s="24">
        <v>44040</v>
      </c>
      <c r="B63" s="22">
        <v>6.1840000000000002</v>
      </c>
      <c r="I63" s="7">
        <v>23085</v>
      </c>
    </row>
    <row r="64" spans="1:9">
      <c r="A64" s="24">
        <v>44056</v>
      </c>
      <c r="B64" s="22">
        <v>2.165</v>
      </c>
      <c r="I64" s="5" t="s">
        <v>491</v>
      </c>
    </row>
    <row r="65" spans="1:9">
      <c r="A65" s="5" t="s">
        <v>433</v>
      </c>
      <c r="B65" s="6">
        <v>6.2839999999999998</v>
      </c>
      <c r="I65" s="7">
        <v>28240</v>
      </c>
    </row>
    <row r="66" spans="1:9">
      <c r="A66" s="7">
        <v>17567</v>
      </c>
      <c r="B66" s="6">
        <v>6.2839999999999998</v>
      </c>
      <c r="I66" s="5" t="s">
        <v>400</v>
      </c>
    </row>
    <row r="67" spans="1:9">
      <c r="A67" s="23">
        <v>2608848</v>
      </c>
      <c r="B67" s="22">
        <v>6.2839999999999998</v>
      </c>
      <c r="I67" s="7">
        <v>25389</v>
      </c>
    </row>
    <row r="68" spans="1:9">
      <c r="A68" s="24">
        <v>44007</v>
      </c>
      <c r="B68" s="22">
        <v>6.2839999999999998</v>
      </c>
      <c r="I68" s="5" t="s">
        <v>413</v>
      </c>
    </row>
    <row r="69" spans="1:9">
      <c r="A69" s="5" t="s">
        <v>427</v>
      </c>
      <c r="B69" s="6">
        <v>2.9849999999999999</v>
      </c>
      <c r="I69" s="7">
        <v>21413</v>
      </c>
    </row>
    <row r="70" spans="1:9">
      <c r="A70" s="7">
        <v>16009</v>
      </c>
      <c r="B70" s="6">
        <v>2.9849999999999999</v>
      </c>
      <c r="I70" s="5" t="s">
        <v>420</v>
      </c>
    </row>
    <row r="71" spans="1:9">
      <c r="A71" s="23">
        <v>2398262</v>
      </c>
      <c r="B71" s="22">
        <v>2.9849999999999999</v>
      </c>
      <c r="I71" s="7">
        <v>17869</v>
      </c>
    </row>
    <row r="72" spans="1:9">
      <c r="A72" s="24">
        <v>43981</v>
      </c>
      <c r="B72" s="22">
        <v>2.9849999999999999</v>
      </c>
      <c r="I72" s="5" t="s">
        <v>493</v>
      </c>
    </row>
    <row r="73" spans="1:9">
      <c r="A73" s="5" t="s">
        <v>488</v>
      </c>
      <c r="B73" s="6">
        <v>0.48649999999999999</v>
      </c>
      <c r="I73" s="7">
        <v>23905</v>
      </c>
    </row>
    <row r="74" spans="1:9">
      <c r="A74" s="7">
        <v>27939</v>
      </c>
      <c r="B74" s="6">
        <v>0.48649999999999999</v>
      </c>
      <c r="I74" s="5" t="s">
        <v>567</v>
      </c>
    </row>
    <row r="75" spans="1:9">
      <c r="A75" s="19">
        <v>7253924</v>
      </c>
      <c r="B75" s="6">
        <v>0.48649999999999999</v>
      </c>
      <c r="I75" s="7">
        <v>24094</v>
      </c>
    </row>
    <row r="76" spans="1:9">
      <c r="A76" s="21">
        <v>44246</v>
      </c>
      <c r="B76" s="6">
        <v>0.48649999999999999</v>
      </c>
      <c r="I76" s="5" t="s">
        <v>432</v>
      </c>
    </row>
    <row r="77" spans="1:9">
      <c r="A77" s="5" t="s">
        <v>428</v>
      </c>
      <c r="B77" s="6">
        <v>4.1280000000000001</v>
      </c>
      <c r="I77" s="7">
        <v>18080</v>
      </c>
    </row>
    <row r="78" spans="1:9">
      <c r="A78" s="7">
        <v>16188</v>
      </c>
      <c r="B78" s="6">
        <v>4.1280000000000001</v>
      </c>
      <c r="I78" s="5" t="s">
        <v>564</v>
      </c>
    </row>
    <row r="79" spans="1:9">
      <c r="A79" s="23">
        <v>2401168</v>
      </c>
      <c r="B79" s="22">
        <v>4.1280000000000001</v>
      </c>
      <c r="I79" s="7">
        <v>23078</v>
      </c>
    </row>
    <row r="80" spans="1:9">
      <c r="A80" s="24">
        <v>44121</v>
      </c>
      <c r="B80" s="22">
        <v>4.1280000000000001</v>
      </c>
      <c r="I80" s="5" t="s">
        <v>577</v>
      </c>
    </row>
    <row r="81" spans="1:9">
      <c r="A81" s="5" t="s">
        <v>444</v>
      </c>
      <c r="B81" s="6">
        <v>0.54600000000000004</v>
      </c>
      <c r="I81" s="7">
        <v>21300</v>
      </c>
    </row>
    <row r="82" spans="1:9">
      <c r="A82" s="7">
        <v>12294</v>
      </c>
      <c r="B82" s="6">
        <v>0.54600000000000004</v>
      </c>
      <c r="I82" s="5" t="s">
        <v>455</v>
      </c>
    </row>
    <row r="83" spans="1:9">
      <c r="A83" s="19">
        <v>2983985</v>
      </c>
      <c r="B83" s="6">
        <v>0.54600000000000004</v>
      </c>
      <c r="I83" s="7">
        <v>16369</v>
      </c>
    </row>
    <row r="84" spans="1:9">
      <c r="A84" s="21">
        <v>43848</v>
      </c>
      <c r="B84" s="6">
        <v>0.54600000000000004</v>
      </c>
      <c r="I84" s="5" t="s">
        <v>464</v>
      </c>
    </row>
    <row r="85" spans="1:9">
      <c r="A85" s="5" t="s">
        <v>435</v>
      </c>
      <c r="B85" s="6">
        <v>0.02</v>
      </c>
      <c r="I85" s="7">
        <v>14260</v>
      </c>
    </row>
    <row r="86" spans="1:9">
      <c r="A86" s="7">
        <v>16969</v>
      </c>
      <c r="B86" s="6">
        <v>0.02</v>
      </c>
      <c r="I86" s="5" t="s">
        <v>403</v>
      </c>
    </row>
    <row r="87" spans="1:9">
      <c r="A87" s="19">
        <v>2861579</v>
      </c>
      <c r="B87" s="6">
        <v>0.02</v>
      </c>
      <c r="I87" s="7">
        <v>21269</v>
      </c>
    </row>
    <row r="88" spans="1:9">
      <c r="A88" s="21">
        <v>44257</v>
      </c>
      <c r="B88" s="6">
        <v>0.02</v>
      </c>
      <c r="I88" s="5" t="s">
        <v>453</v>
      </c>
    </row>
    <row r="89" spans="1:9">
      <c r="A89" s="5" t="s">
        <v>415</v>
      </c>
      <c r="B89" s="6">
        <v>0.28699999999999998</v>
      </c>
      <c r="I89" s="7">
        <v>16866</v>
      </c>
    </row>
    <row r="90" spans="1:9">
      <c r="A90" s="7">
        <v>15388</v>
      </c>
      <c r="B90" s="6">
        <v>0.28699999999999998</v>
      </c>
      <c r="I90" s="5" t="s">
        <v>436</v>
      </c>
    </row>
    <row r="91" spans="1:9">
      <c r="A91" s="19">
        <v>1867828</v>
      </c>
      <c r="B91" s="6">
        <v>0.28699999999999998</v>
      </c>
      <c r="I91" s="7">
        <v>21378</v>
      </c>
    </row>
    <row r="92" spans="1:9">
      <c r="A92" s="21">
        <v>44239</v>
      </c>
      <c r="B92" s="6">
        <v>0.28699999999999998</v>
      </c>
      <c r="I92" s="5" t="s">
        <v>572</v>
      </c>
    </row>
    <row r="93" spans="1:9">
      <c r="A93" s="5" t="s">
        <v>443</v>
      </c>
      <c r="B93" s="6">
        <v>0.9</v>
      </c>
      <c r="I93" s="7">
        <v>42261</v>
      </c>
    </row>
    <row r="94" spans="1:9">
      <c r="A94" s="7">
        <v>26249</v>
      </c>
      <c r="B94" s="6">
        <v>0.9</v>
      </c>
      <c r="I94" s="5" t="s">
        <v>421</v>
      </c>
    </row>
    <row r="95" spans="1:9">
      <c r="A95" s="19">
        <v>2949196</v>
      </c>
      <c r="B95" s="6">
        <v>0.9</v>
      </c>
      <c r="I95" s="7">
        <v>21862</v>
      </c>
    </row>
    <row r="96" spans="1:9">
      <c r="A96" s="21">
        <v>44305</v>
      </c>
      <c r="B96" s="6">
        <v>0.9</v>
      </c>
      <c r="I96" s="5" t="s">
        <v>398</v>
      </c>
    </row>
    <row r="97" spans="1:9">
      <c r="A97" s="5" t="s">
        <v>417</v>
      </c>
      <c r="B97" s="6">
        <v>8.9350000000000005</v>
      </c>
      <c r="I97" s="7">
        <v>19487</v>
      </c>
    </row>
    <row r="98" spans="1:9">
      <c r="A98" s="7">
        <v>16591</v>
      </c>
      <c r="B98" s="6">
        <v>8.9350000000000005</v>
      </c>
      <c r="I98" s="5" t="s">
        <v>408</v>
      </c>
    </row>
    <row r="99" spans="1:9">
      <c r="A99" s="23">
        <v>1987869</v>
      </c>
      <c r="B99" s="22">
        <v>8.9350000000000005</v>
      </c>
      <c r="I99" s="7">
        <v>15082</v>
      </c>
    </row>
    <row r="100" spans="1:9">
      <c r="A100" s="24">
        <v>43669</v>
      </c>
      <c r="B100" s="22">
        <v>8.9350000000000005</v>
      </c>
      <c r="I100" s="5" t="s">
        <v>442</v>
      </c>
    </row>
    <row r="101" spans="1:9">
      <c r="A101" s="5" t="s">
        <v>441</v>
      </c>
      <c r="B101" s="6">
        <v>14.587</v>
      </c>
      <c r="I101" s="7">
        <v>21548</v>
      </c>
    </row>
    <row r="102" spans="1:9">
      <c r="A102" s="7">
        <v>21196</v>
      </c>
      <c r="B102" s="6">
        <v>14.587</v>
      </c>
      <c r="I102" s="5" t="s">
        <v>477</v>
      </c>
    </row>
    <row r="103" spans="1:9">
      <c r="A103" s="23">
        <v>2932082</v>
      </c>
      <c r="B103" s="22">
        <v>14.587</v>
      </c>
      <c r="I103" s="7">
        <v>22475</v>
      </c>
    </row>
    <row r="104" spans="1:9">
      <c r="A104" s="24">
        <v>43157</v>
      </c>
      <c r="B104" s="22">
        <v>4.17</v>
      </c>
      <c r="I104" s="5" t="s">
        <v>458</v>
      </c>
    </row>
    <row r="105" spans="1:9">
      <c r="A105" s="24">
        <v>43731</v>
      </c>
      <c r="B105" s="22">
        <v>2.7250000000000001</v>
      </c>
      <c r="I105" s="7">
        <v>14675</v>
      </c>
    </row>
    <row r="106" spans="1:9">
      <c r="A106" s="24">
        <v>43802</v>
      </c>
      <c r="B106" s="22">
        <v>5.8280000000000003</v>
      </c>
      <c r="I106" s="5" t="s">
        <v>481</v>
      </c>
    </row>
    <row r="107" spans="1:9">
      <c r="A107" s="24">
        <v>43825</v>
      </c>
      <c r="B107" s="22">
        <v>0.83899999999999997</v>
      </c>
      <c r="I107" s="7">
        <v>26596</v>
      </c>
    </row>
    <row r="108" spans="1:9">
      <c r="A108" s="24">
        <v>44203</v>
      </c>
      <c r="B108" s="22">
        <v>1.0249999999999999</v>
      </c>
      <c r="I108" s="5" t="s">
        <v>429</v>
      </c>
    </row>
    <row r="109" spans="1:9">
      <c r="A109" s="5" t="s">
        <v>437</v>
      </c>
      <c r="B109" s="6">
        <v>1.498</v>
      </c>
      <c r="I109" s="7">
        <v>21557</v>
      </c>
    </row>
    <row r="110" spans="1:9">
      <c r="A110" s="7">
        <v>21898</v>
      </c>
      <c r="B110" s="6">
        <v>1.498</v>
      </c>
      <c r="I110" s="5" t="s">
        <v>571</v>
      </c>
    </row>
    <row r="111" spans="1:9">
      <c r="A111" s="19">
        <v>2878193</v>
      </c>
      <c r="B111" s="6">
        <v>1.498</v>
      </c>
      <c r="I111" s="7">
        <v>39318</v>
      </c>
    </row>
    <row r="112" spans="1:9">
      <c r="A112" s="21">
        <v>44253</v>
      </c>
      <c r="B112" s="6">
        <v>0.41699999999999998</v>
      </c>
      <c r="I112" s="5" t="s">
        <v>402</v>
      </c>
    </row>
    <row r="113" spans="1:9">
      <c r="A113" s="21">
        <v>44242</v>
      </c>
      <c r="B113" s="6">
        <v>1.081</v>
      </c>
      <c r="I113" s="7">
        <v>32866</v>
      </c>
    </row>
    <row r="114" spans="1:9">
      <c r="A114" s="5" t="s">
        <v>440</v>
      </c>
      <c r="B114" s="6">
        <v>3.8069999999999999</v>
      </c>
      <c r="I114" s="5" t="s">
        <v>463</v>
      </c>
    </row>
    <row r="115" spans="1:9">
      <c r="A115" s="7">
        <v>23362</v>
      </c>
      <c r="B115" s="6">
        <v>3.8069999999999999</v>
      </c>
      <c r="I115" s="7">
        <v>29554</v>
      </c>
    </row>
    <row r="116" spans="1:9">
      <c r="A116" s="23">
        <v>2925628</v>
      </c>
      <c r="B116" s="22">
        <v>3.8069999999999999</v>
      </c>
      <c r="I116" s="5" t="s">
        <v>483</v>
      </c>
    </row>
    <row r="117" spans="1:9">
      <c r="A117" s="24">
        <v>44281</v>
      </c>
      <c r="B117" s="22">
        <v>3.8069999999999999</v>
      </c>
      <c r="I117" s="7">
        <v>39114</v>
      </c>
    </row>
    <row r="118" spans="1:9">
      <c r="A118" s="5" t="s">
        <v>454</v>
      </c>
      <c r="B118" s="6">
        <v>0.63700000000000001</v>
      </c>
      <c r="I118" s="5" t="s">
        <v>575</v>
      </c>
    </row>
    <row r="119" spans="1:9">
      <c r="A119" s="7">
        <v>12161</v>
      </c>
      <c r="B119" s="6">
        <v>0.63700000000000001</v>
      </c>
      <c r="I119" s="7">
        <v>16979</v>
      </c>
    </row>
    <row r="120" spans="1:9">
      <c r="A120" s="19">
        <v>3256868</v>
      </c>
      <c r="B120" s="6">
        <v>0.63700000000000001</v>
      </c>
      <c r="I120" s="5" t="s">
        <v>486</v>
      </c>
    </row>
    <row r="121" spans="1:9">
      <c r="A121" s="21">
        <v>43611</v>
      </c>
      <c r="B121" s="6">
        <v>0.63700000000000001</v>
      </c>
      <c r="I121" s="7">
        <v>21524</v>
      </c>
    </row>
    <row r="122" spans="1:9">
      <c r="A122" s="5" t="s">
        <v>447</v>
      </c>
      <c r="B122" s="6">
        <v>0.123</v>
      </c>
      <c r="I122" s="5" t="s">
        <v>565</v>
      </c>
    </row>
    <row r="123" spans="1:9">
      <c r="A123" s="7">
        <v>21040</v>
      </c>
      <c r="B123" s="6">
        <v>0.123</v>
      </c>
      <c r="I123" s="7">
        <v>14114</v>
      </c>
    </row>
    <row r="124" spans="1:9">
      <c r="A124" s="19">
        <v>3065170</v>
      </c>
      <c r="B124" s="6">
        <v>0.123</v>
      </c>
      <c r="I124" s="5" t="s">
        <v>568</v>
      </c>
    </row>
    <row r="125" spans="1:9">
      <c r="A125" s="21">
        <v>43979</v>
      </c>
      <c r="B125" s="6">
        <v>0.123</v>
      </c>
      <c r="I125" s="7">
        <v>26442</v>
      </c>
    </row>
    <row r="126" spans="1:9">
      <c r="A126" s="5" t="s">
        <v>580</v>
      </c>
      <c r="B126" s="6">
        <v>0.63500000000000001</v>
      </c>
      <c r="I126" s="5" t="s">
        <v>514</v>
      </c>
    </row>
    <row r="127" spans="1:9">
      <c r="A127" s="7">
        <v>20872</v>
      </c>
      <c r="B127" s="6">
        <v>0.63500000000000001</v>
      </c>
      <c r="I127" s="7">
        <v>23971</v>
      </c>
    </row>
    <row r="128" spans="1:9">
      <c r="A128" s="19">
        <v>2409224</v>
      </c>
      <c r="B128" s="6">
        <v>0.63500000000000001</v>
      </c>
      <c r="I128" s="5" t="s">
        <v>566</v>
      </c>
    </row>
    <row r="129" spans="1:9">
      <c r="A129" s="21">
        <v>44299</v>
      </c>
      <c r="B129" s="6">
        <v>0.63500000000000001</v>
      </c>
      <c r="I129" s="7">
        <v>39443</v>
      </c>
    </row>
    <row r="130" spans="1:9">
      <c r="A130" s="5" t="s">
        <v>478</v>
      </c>
      <c r="B130" s="6">
        <v>0.2</v>
      </c>
      <c r="I130" s="5" t="s">
        <v>569</v>
      </c>
    </row>
    <row r="131" spans="1:9">
      <c r="A131" s="7">
        <v>20783</v>
      </c>
      <c r="B131" s="6">
        <v>0.2</v>
      </c>
      <c r="I131" s="7">
        <v>42480</v>
      </c>
    </row>
    <row r="132" spans="1:9">
      <c r="A132" s="19">
        <v>4726973</v>
      </c>
      <c r="B132" s="6">
        <v>0.2</v>
      </c>
      <c r="I132" s="5" t="s">
        <v>573</v>
      </c>
    </row>
    <row r="133" spans="1:9">
      <c r="A133" s="21">
        <v>44246</v>
      </c>
      <c r="B133" s="6">
        <v>0.2</v>
      </c>
      <c r="I133" s="7">
        <v>43832</v>
      </c>
    </row>
    <row r="134" spans="1:9">
      <c r="A134" s="5" t="s">
        <v>517</v>
      </c>
      <c r="B134" s="6">
        <v>0.3</v>
      </c>
      <c r="I134" s="5" t="s">
        <v>469</v>
      </c>
    </row>
    <row r="135" spans="1:9">
      <c r="A135" s="7">
        <v>23085</v>
      </c>
      <c r="B135" s="6">
        <v>0.3</v>
      </c>
      <c r="I135" s="7">
        <v>25239</v>
      </c>
    </row>
    <row r="136" spans="1:9">
      <c r="A136" s="19">
        <v>1847325</v>
      </c>
      <c r="B136" s="6">
        <v>0.3</v>
      </c>
      <c r="I136" s="5" t="s">
        <v>446</v>
      </c>
    </row>
    <row r="137" spans="1:9">
      <c r="A137" s="21">
        <v>44271</v>
      </c>
      <c r="B137" s="6">
        <v>0.3</v>
      </c>
      <c r="I137" s="7">
        <v>22711</v>
      </c>
    </row>
    <row r="138" spans="1:9">
      <c r="A138" s="5" t="s">
        <v>491</v>
      </c>
      <c r="B138" s="6">
        <v>0.40500000000000003</v>
      </c>
      <c r="I138" s="5" t="s">
        <v>411</v>
      </c>
    </row>
    <row r="139" spans="1:9">
      <c r="A139" s="7">
        <v>28240</v>
      </c>
      <c r="B139" s="6">
        <v>0.40500000000000003</v>
      </c>
      <c r="I139" s="7">
        <v>17109</v>
      </c>
    </row>
    <row r="140" spans="1:9">
      <c r="A140" s="19">
        <v>11132642</v>
      </c>
      <c r="B140" s="6">
        <v>0.40500000000000003</v>
      </c>
      <c r="I140" s="5" t="s">
        <v>465</v>
      </c>
    </row>
    <row r="141" spans="1:9">
      <c r="A141" s="21">
        <v>44256</v>
      </c>
      <c r="B141" s="6">
        <v>0.40500000000000003</v>
      </c>
      <c r="I141" s="7">
        <v>14850</v>
      </c>
    </row>
    <row r="142" spans="1:9">
      <c r="A142" s="5" t="s">
        <v>400</v>
      </c>
      <c r="B142" s="6">
        <v>0.19</v>
      </c>
      <c r="I142" s="5" t="s">
        <v>484</v>
      </c>
    </row>
    <row r="143" spans="1:9">
      <c r="A143" s="7">
        <v>25389</v>
      </c>
      <c r="B143" s="6">
        <v>0.19</v>
      </c>
      <c r="I143" s="7">
        <v>39130</v>
      </c>
    </row>
    <row r="144" spans="1:9">
      <c r="A144" s="19">
        <v>116680</v>
      </c>
      <c r="B144" s="6">
        <v>0.19</v>
      </c>
      <c r="I144" s="5" t="s">
        <v>480</v>
      </c>
    </row>
    <row r="145" spans="1:9">
      <c r="A145" s="21">
        <v>44245</v>
      </c>
      <c r="B145" s="6">
        <v>0.19</v>
      </c>
      <c r="I145" s="7">
        <v>23409</v>
      </c>
    </row>
    <row r="146" spans="1:9">
      <c r="A146" s="5" t="s">
        <v>413</v>
      </c>
      <c r="B146" s="6">
        <v>4.3319999999999999</v>
      </c>
      <c r="I146" s="5" t="s">
        <v>424</v>
      </c>
    </row>
    <row r="147" spans="1:9">
      <c r="A147" s="7">
        <v>21413</v>
      </c>
      <c r="B147" s="6">
        <v>4.3319999999999999</v>
      </c>
      <c r="I147" s="7">
        <v>28723</v>
      </c>
    </row>
    <row r="148" spans="1:9">
      <c r="A148" s="23">
        <v>1858960</v>
      </c>
      <c r="B148" s="22">
        <v>4.3319999999999999</v>
      </c>
      <c r="I148" s="5" t="s">
        <v>418</v>
      </c>
    </row>
    <row r="149" spans="1:9">
      <c r="A149" s="24">
        <v>43944</v>
      </c>
      <c r="B149" s="22">
        <v>3.262</v>
      </c>
      <c r="I149" s="7">
        <v>19746</v>
      </c>
    </row>
    <row r="150" spans="1:9">
      <c r="A150" s="24">
        <v>44231</v>
      </c>
      <c r="B150" s="22">
        <v>1.07</v>
      </c>
      <c r="I150" s="5" t="s">
        <v>518</v>
      </c>
    </row>
    <row r="151" spans="1:9">
      <c r="A151" s="5" t="s">
        <v>420</v>
      </c>
      <c r="B151" s="6">
        <v>2.44</v>
      </c>
      <c r="I151" s="7">
        <v>12425</v>
      </c>
    </row>
    <row r="152" spans="1:9">
      <c r="A152" s="7">
        <v>17869</v>
      </c>
      <c r="B152" s="6">
        <v>2.44</v>
      </c>
      <c r="I152" s="5" t="s">
        <v>438</v>
      </c>
    </row>
    <row r="153" spans="1:9">
      <c r="A153" s="19">
        <v>2290059</v>
      </c>
      <c r="B153" s="6">
        <v>2.44</v>
      </c>
      <c r="I153" s="7">
        <v>20621</v>
      </c>
    </row>
    <row r="154" spans="1:9">
      <c r="A154" s="21">
        <v>44284</v>
      </c>
      <c r="B154" s="6">
        <v>2.44</v>
      </c>
      <c r="I154" s="5" t="s">
        <v>475</v>
      </c>
    </row>
    <row r="155" spans="1:9">
      <c r="A155" s="5" t="s">
        <v>493</v>
      </c>
      <c r="B155" s="6">
        <v>0.623</v>
      </c>
      <c r="I155" s="7">
        <v>25763</v>
      </c>
    </row>
    <row r="156" spans="1:9">
      <c r="A156" s="7">
        <v>23905</v>
      </c>
      <c r="B156" s="6">
        <v>0.623</v>
      </c>
      <c r="I156" s="5" t="s">
        <v>468</v>
      </c>
    </row>
    <row r="157" spans="1:9">
      <c r="A157" s="19">
        <v>12301367</v>
      </c>
      <c r="B157" s="6">
        <v>0.623</v>
      </c>
      <c r="I157" s="7">
        <v>23126</v>
      </c>
    </row>
    <row r="158" spans="1:9">
      <c r="A158" s="21">
        <v>44119</v>
      </c>
      <c r="B158" s="6">
        <v>0.623</v>
      </c>
      <c r="I158" s="5" t="s">
        <v>470</v>
      </c>
    </row>
    <row r="159" spans="1:9">
      <c r="A159" s="5" t="s">
        <v>567</v>
      </c>
      <c r="B159" s="6">
        <v>1.024</v>
      </c>
      <c r="I159" s="7">
        <v>23870</v>
      </c>
    </row>
    <row r="160" spans="1:9">
      <c r="A160" s="7">
        <v>24094</v>
      </c>
      <c r="B160" s="6">
        <v>1.024</v>
      </c>
      <c r="I160" s="5" t="s">
        <v>467</v>
      </c>
    </row>
    <row r="161" spans="1:9">
      <c r="A161" s="19">
        <v>244541</v>
      </c>
      <c r="B161" s="6">
        <v>1.024</v>
      </c>
      <c r="I161" s="7">
        <v>18437</v>
      </c>
    </row>
    <row r="162" spans="1:9">
      <c r="A162" s="21">
        <v>44301</v>
      </c>
      <c r="B162" s="6">
        <v>1.024</v>
      </c>
      <c r="I162" s="5" t="s">
        <v>461</v>
      </c>
    </row>
    <row r="163" spans="1:9">
      <c r="A163" s="5" t="s">
        <v>432</v>
      </c>
      <c r="B163" s="6">
        <v>0.41299999999999998</v>
      </c>
      <c r="I163" s="7">
        <v>16149</v>
      </c>
    </row>
    <row r="164" spans="1:9">
      <c r="A164" s="7">
        <v>18080</v>
      </c>
      <c r="B164" s="6">
        <v>0.41299999999999998</v>
      </c>
      <c r="I164" s="5" t="s">
        <v>582</v>
      </c>
    </row>
    <row r="165" spans="1:9">
      <c r="A165" s="19">
        <v>2530715</v>
      </c>
      <c r="B165" s="6">
        <v>0.41299999999999998</v>
      </c>
      <c r="I165" s="7">
        <v>39039</v>
      </c>
    </row>
    <row r="166" spans="1:9">
      <c r="A166" s="21">
        <v>44124</v>
      </c>
      <c r="B166" s="6">
        <v>0.41299999999999998</v>
      </c>
      <c r="I166" s="5" t="s">
        <v>460</v>
      </c>
    </row>
    <row r="167" spans="1:9">
      <c r="A167" s="5" t="s">
        <v>564</v>
      </c>
      <c r="B167" s="6">
        <v>0.81499999999999995</v>
      </c>
      <c r="I167" s="7">
        <v>23247</v>
      </c>
    </row>
    <row r="168" spans="1:9">
      <c r="A168" s="7">
        <v>23078</v>
      </c>
      <c r="B168" s="6">
        <v>0.81499999999999995</v>
      </c>
      <c r="I168" s="5" t="s">
        <v>462</v>
      </c>
    </row>
    <row r="169" spans="1:9">
      <c r="A169" s="19">
        <v>221667</v>
      </c>
      <c r="B169" s="6">
        <v>0.81499999999999995</v>
      </c>
      <c r="I169" s="7">
        <v>13515</v>
      </c>
    </row>
    <row r="170" spans="1:9">
      <c r="A170" s="21">
        <v>44294</v>
      </c>
      <c r="B170" s="6">
        <v>0.81499999999999995</v>
      </c>
      <c r="I170" s="5" t="s">
        <v>412</v>
      </c>
    </row>
    <row r="171" spans="1:9">
      <c r="A171" s="5" t="s">
        <v>577</v>
      </c>
      <c r="B171" s="6">
        <v>0.99099999999999999</v>
      </c>
      <c r="I171" s="7">
        <v>22185</v>
      </c>
    </row>
    <row r="172" spans="1:9">
      <c r="A172" s="7">
        <v>21300</v>
      </c>
      <c r="B172" s="6">
        <v>0.99099999999999999</v>
      </c>
      <c r="I172" s="5" t="s">
        <v>492</v>
      </c>
    </row>
    <row r="173" spans="1:9">
      <c r="A173" s="19">
        <v>4271173</v>
      </c>
      <c r="B173" s="6">
        <v>0.99099999999999999</v>
      </c>
      <c r="I173" s="7">
        <v>25106</v>
      </c>
    </row>
    <row r="174" spans="1:9">
      <c r="A174" s="21">
        <v>44285</v>
      </c>
      <c r="B174" s="6">
        <v>0.99099999999999999</v>
      </c>
      <c r="I174" s="5" t="s">
        <v>423</v>
      </c>
    </row>
    <row r="175" spans="1:9">
      <c r="A175" s="5" t="s">
        <v>455</v>
      </c>
      <c r="B175" s="6">
        <v>0.4</v>
      </c>
      <c r="I175" s="7">
        <v>23323</v>
      </c>
    </row>
    <row r="176" spans="1:9">
      <c r="A176" s="7">
        <v>16369</v>
      </c>
      <c r="B176" s="6">
        <v>0.4</v>
      </c>
      <c r="I176" s="5" t="s">
        <v>485</v>
      </c>
    </row>
    <row r="177" spans="1:9">
      <c r="A177" s="19">
        <v>3264182</v>
      </c>
      <c r="B177" s="6">
        <v>0.4</v>
      </c>
      <c r="I177" s="7">
        <v>31498</v>
      </c>
    </row>
    <row r="178" spans="1:9">
      <c r="A178" s="21">
        <v>44271</v>
      </c>
      <c r="B178" s="6">
        <v>0.4</v>
      </c>
      <c r="I178" s="5" t="s">
        <v>456</v>
      </c>
    </row>
    <row r="179" spans="1:9">
      <c r="A179" s="5" t="s">
        <v>464</v>
      </c>
      <c r="B179" s="6">
        <v>0.93799999999999994</v>
      </c>
      <c r="I179" s="7">
        <v>18921</v>
      </c>
    </row>
    <row r="180" spans="1:9">
      <c r="A180" s="7">
        <v>14260</v>
      </c>
      <c r="B180" s="6">
        <v>0.93799999999999994</v>
      </c>
      <c r="I180" s="5" t="s">
        <v>451</v>
      </c>
    </row>
    <row r="181" spans="1:9">
      <c r="A181" s="19">
        <v>3479017</v>
      </c>
      <c r="B181" s="6">
        <v>0.93799999999999994</v>
      </c>
      <c r="I181" s="7">
        <v>17430</v>
      </c>
    </row>
    <row r="182" spans="1:9">
      <c r="A182" s="21">
        <v>44140</v>
      </c>
      <c r="B182" s="6">
        <v>0.93799999999999994</v>
      </c>
      <c r="I182" s="5" t="s">
        <v>510</v>
      </c>
    </row>
    <row r="183" spans="1:9">
      <c r="A183" s="5" t="s">
        <v>403</v>
      </c>
      <c r="B183" s="6">
        <v>8.6069999999999993</v>
      </c>
      <c r="I183" s="7">
        <v>13085</v>
      </c>
    </row>
    <row r="184" spans="1:9">
      <c r="A184" s="7">
        <v>21269</v>
      </c>
      <c r="B184" s="6">
        <v>8.6069999999999993</v>
      </c>
      <c r="I184" s="5" t="s">
        <v>482</v>
      </c>
    </row>
    <row r="185" spans="1:9">
      <c r="A185" s="23">
        <v>248481</v>
      </c>
      <c r="B185" s="22">
        <v>8.6069999999999993</v>
      </c>
      <c r="I185" s="7">
        <v>38751</v>
      </c>
    </row>
    <row r="186" spans="1:9">
      <c r="A186" s="24">
        <v>43992</v>
      </c>
      <c r="B186" s="22">
        <v>2.839</v>
      </c>
      <c r="I186" s="5" t="s">
        <v>495</v>
      </c>
    </row>
    <row r="187" spans="1:9">
      <c r="A187" s="24">
        <v>44043</v>
      </c>
      <c r="B187" s="22">
        <v>5.7679999999999998</v>
      </c>
      <c r="I187" s="7">
        <v>44126</v>
      </c>
    </row>
    <row r="188" spans="1:9">
      <c r="A188" s="5" t="s">
        <v>453</v>
      </c>
      <c r="B188" s="6">
        <v>1.9159999999999999</v>
      </c>
      <c r="I188" s="5" t="s">
        <v>476</v>
      </c>
    </row>
    <row r="189" spans="1:9">
      <c r="A189" s="7">
        <v>16866</v>
      </c>
      <c r="B189" s="6">
        <v>1.9159999999999999</v>
      </c>
      <c r="I189" s="7">
        <v>26210</v>
      </c>
    </row>
    <row r="190" spans="1:9">
      <c r="A190" s="19">
        <v>3208027</v>
      </c>
      <c r="B190" s="6">
        <v>1.9159999999999999</v>
      </c>
      <c r="I190" s="5" t="s">
        <v>578</v>
      </c>
    </row>
    <row r="191" spans="1:9">
      <c r="A191" s="21">
        <v>44125</v>
      </c>
      <c r="B191" s="6">
        <v>1.9159999999999999</v>
      </c>
      <c r="I191" s="7">
        <v>23384</v>
      </c>
    </row>
    <row r="192" spans="1:9">
      <c r="A192" s="5" t="s">
        <v>436</v>
      </c>
      <c r="B192" s="6">
        <v>1.087</v>
      </c>
      <c r="I192" s="5" t="s">
        <v>445</v>
      </c>
    </row>
    <row r="193" spans="1:9">
      <c r="A193" s="7">
        <v>21378</v>
      </c>
      <c r="B193" s="6">
        <v>1.087</v>
      </c>
      <c r="I193" s="7">
        <v>22663</v>
      </c>
    </row>
    <row r="194" spans="1:9">
      <c r="A194" s="19">
        <v>2874613</v>
      </c>
      <c r="B194" s="6">
        <v>1.087</v>
      </c>
      <c r="I194" s="5" t="s">
        <v>490</v>
      </c>
    </row>
    <row r="195" spans="1:9">
      <c r="A195" s="21">
        <v>44260</v>
      </c>
      <c r="B195" s="6">
        <v>1.087</v>
      </c>
      <c r="I195" s="7">
        <v>40070</v>
      </c>
    </row>
    <row r="196" spans="1:9">
      <c r="A196" s="5" t="s">
        <v>572</v>
      </c>
      <c r="B196" s="6">
        <v>0.107</v>
      </c>
      <c r="I196" s="5" t="s">
        <v>452</v>
      </c>
    </row>
    <row r="197" spans="1:9">
      <c r="A197" s="7">
        <v>42261</v>
      </c>
      <c r="B197" s="6">
        <v>0.107</v>
      </c>
      <c r="I197" s="7">
        <v>18428</v>
      </c>
    </row>
    <row r="198" spans="1:9">
      <c r="A198" s="19">
        <v>11396648</v>
      </c>
      <c r="B198" s="6">
        <v>0.107</v>
      </c>
      <c r="I198" s="5" t="s">
        <v>489</v>
      </c>
    </row>
    <row r="199" spans="1:9">
      <c r="A199" s="21">
        <v>44281</v>
      </c>
      <c r="B199" s="6">
        <v>0.107</v>
      </c>
      <c r="I199" s="7">
        <v>39775</v>
      </c>
    </row>
    <row r="200" spans="1:9">
      <c r="A200" s="5" t="s">
        <v>421</v>
      </c>
      <c r="B200" s="6">
        <v>0.98</v>
      </c>
      <c r="I200" s="5" t="s">
        <v>466</v>
      </c>
    </row>
    <row r="201" spans="1:9">
      <c r="A201" s="7">
        <v>21862</v>
      </c>
      <c r="B201" s="6">
        <v>0.98</v>
      </c>
      <c r="I201" s="7">
        <v>11864</v>
      </c>
    </row>
    <row r="202" spans="1:9">
      <c r="A202" s="19">
        <v>2309838</v>
      </c>
      <c r="B202" s="6">
        <v>0.98</v>
      </c>
      <c r="I202" s="5" t="s">
        <v>414</v>
      </c>
    </row>
    <row r="203" spans="1:9">
      <c r="A203" s="21">
        <v>44267</v>
      </c>
      <c r="B203" s="6">
        <v>0.98</v>
      </c>
      <c r="I203" s="7">
        <v>21951</v>
      </c>
    </row>
    <row r="204" spans="1:9">
      <c r="A204" s="5" t="s">
        <v>398</v>
      </c>
      <c r="B204" s="6">
        <v>1.6870000000000001</v>
      </c>
      <c r="I204" s="5" t="s">
        <v>425</v>
      </c>
    </row>
    <row r="205" spans="1:9">
      <c r="A205" s="7">
        <v>19487</v>
      </c>
      <c r="B205" s="6">
        <v>1.6870000000000001</v>
      </c>
      <c r="I205" s="7">
        <v>22027</v>
      </c>
    </row>
    <row r="206" spans="1:9">
      <c r="A206" s="19">
        <v>42108</v>
      </c>
      <c r="B206" s="6">
        <v>1.6870000000000001</v>
      </c>
      <c r="I206" s="5" t="s">
        <v>406</v>
      </c>
    </row>
    <row r="207" spans="1:9">
      <c r="A207" s="21">
        <v>44139</v>
      </c>
      <c r="B207" s="6">
        <v>1.6870000000000001</v>
      </c>
      <c r="I207" s="7">
        <v>28983</v>
      </c>
    </row>
    <row r="208" spans="1:9">
      <c r="A208" s="5" t="s">
        <v>408</v>
      </c>
      <c r="B208" s="6">
        <v>1.073</v>
      </c>
      <c r="I208" s="5" t="s">
        <v>457</v>
      </c>
    </row>
    <row r="209" spans="1:9">
      <c r="A209" s="7">
        <v>15082</v>
      </c>
      <c r="B209" s="6">
        <v>1.073</v>
      </c>
      <c r="I209" s="7">
        <v>19108</v>
      </c>
    </row>
    <row r="210" spans="1:9">
      <c r="A210" s="19">
        <v>805641</v>
      </c>
      <c r="B210" s="6">
        <v>1.073</v>
      </c>
      <c r="I210" s="5" t="s">
        <v>570</v>
      </c>
    </row>
    <row r="211" spans="1:9">
      <c r="A211" s="21">
        <v>44272</v>
      </c>
      <c r="B211" s="6">
        <v>1.073</v>
      </c>
      <c r="I211" s="7">
        <v>35234</v>
      </c>
    </row>
    <row r="212" spans="1:9">
      <c r="A212" s="5" t="s">
        <v>442</v>
      </c>
      <c r="B212" s="6">
        <v>4.6760000000000002</v>
      </c>
      <c r="I212" s="5" t="s">
        <v>419</v>
      </c>
    </row>
    <row r="213" spans="1:9">
      <c r="A213" s="7">
        <v>21548</v>
      </c>
      <c r="B213" s="6">
        <v>4.6760000000000002</v>
      </c>
      <c r="I213" s="7">
        <v>18862</v>
      </c>
    </row>
    <row r="214" spans="1:9">
      <c r="A214" s="23">
        <v>2932156</v>
      </c>
      <c r="B214" s="22">
        <v>4.6760000000000002</v>
      </c>
      <c r="I214" s="5" t="s">
        <v>576</v>
      </c>
    </row>
    <row r="215" spans="1:9">
      <c r="A215" s="24">
        <v>43262</v>
      </c>
      <c r="B215" s="22">
        <v>2.9</v>
      </c>
      <c r="I215" s="7">
        <v>17244</v>
      </c>
    </row>
    <row r="216" spans="1:9">
      <c r="A216" s="24">
        <v>44111</v>
      </c>
      <c r="B216" s="22">
        <v>0.97599999999999998</v>
      </c>
      <c r="I216" s="5" t="s">
        <v>410</v>
      </c>
    </row>
    <row r="217" spans="1:9">
      <c r="A217" s="24">
        <v>44230</v>
      </c>
      <c r="B217" s="22">
        <v>0.8</v>
      </c>
      <c r="I217" s="7">
        <v>13344</v>
      </c>
    </row>
    <row r="218" spans="1:9">
      <c r="A218" s="5" t="s">
        <v>477</v>
      </c>
      <c r="B218" s="6">
        <v>9.7420000000000009</v>
      </c>
      <c r="I218" s="5" t="s">
        <v>416</v>
      </c>
    </row>
    <row r="219" spans="1:9">
      <c r="A219" s="7">
        <v>22475</v>
      </c>
      <c r="B219" s="6">
        <v>9.7420000000000009</v>
      </c>
      <c r="I219" s="7">
        <v>18973</v>
      </c>
    </row>
    <row r="220" spans="1:9">
      <c r="A220" s="23">
        <v>4724594</v>
      </c>
      <c r="B220" s="22">
        <v>9.7420000000000009</v>
      </c>
      <c r="I220" s="5" t="s">
        <v>407</v>
      </c>
    </row>
    <row r="221" spans="1:9">
      <c r="A221" s="24">
        <v>43501</v>
      </c>
      <c r="B221" s="22">
        <v>2.4550000000000001</v>
      </c>
      <c r="I221" s="7">
        <v>20218</v>
      </c>
    </row>
    <row r="222" spans="1:9">
      <c r="A222" s="24">
        <v>43879</v>
      </c>
      <c r="B222" s="22">
        <v>1.141</v>
      </c>
      <c r="I222" s="5" t="s">
        <v>405</v>
      </c>
    </row>
    <row r="223" spans="1:9">
      <c r="A223" s="24">
        <v>44111</v>
      </c>
      <c r="B223" s="22">
        <v>6.1459999999999999</v>
      </c>
      <c r="I223" s="7">
        <v>14094</v>
      </c>
    </row>
    <row r="224" spans="1:9">
      <c r="A224" s="5" t="s">
        <v>458</v>
      </c>
      <c r="B224" s="6">
        <v>2.1440000000000001</v>
      </c>
      <c r="I224" s="5" t="s">
        <v>472</v>
      </c>
    </row>
    <row r="225" spans="1:9">
      <c r="A225" s="7">
        <v>14675</v>
      </c>
      <c r="B225" s="6">
        <v>2.1440000000000001</v>
      </c>
      <c r="I225" s="7">
        <v>20354</v>
      </c>
    </row>
    <row r="226" spans="1:9">
      <c r="A226" s="19">
        <v>3328651</v>
      </c>
      <c r="B226" s="6">
        <v>2.1440000000000001</v>
      </c>
      <c r="I226" s="5" t="s">
        <v>431</v>
      </c>
    </row>
    <row r="227" spans="1:9">
      <c r="A227" s="21">
        <v>44267</v>
      </c>
      <c r="B227" s="6">
        <v>2.1440000000000001</v>
      </c>
      <c r="I227" s="7">
        <v>21797</v>
      </c>
    </row>
    <row r="228" spans="1:9">
      <c r="A228" s="5" t="s">
        <v>481</v>
      </c>
      <c r="B228" s="6">
        <v>0.93599999999999994</v>
      </c>
      <c r="I228" s="5" t="s">
        <v>426</v>
      </c>
    </row>
    <row r="229" spans="1:9">
      <c r="A229" s="7">
        <v>26596</v>
      </c>
      <c r="B229" s="6">
        <v>0.93599999999999994</v>
      </c>
      <c r="I229" s="7">
        <v>26063</v>
      </c>
    </row>
    <row r="230" spans="1:9">
      <c r="A230" s="19">
        <v>5350920</v>
      </c>
      <c r="B230" s="6">
        <v>0.93599999999999994</v>
      </c>
      <c r="I230" s="5" t="s">
        <v>409</v>
      </c>
    </row>
    <row r="231" spans="1:9">
      <c r="A231" s="21">
        <v>44258</v>
      </c>
      <c r="B231" s="6">
        <v>0.61899999999999999</v>
      </c>
      <c r="I231" s="7">
        <v>21229</v>
      </c>
    </row>
    <row r="232" spans="1:9">
      <c r="A232" s="21">
        <v>44285</v>
      </c>
      <c r="B232" s="6">
        <v>0.317</v>
      </c>
      <c r="I232" s="5" t="s">
        <v>479</v>
      </c>
    </row>
    <row r="233" spans="1:9">
      <c r="A233" s="5" t="s">
        <v>429</v>
      </c>
      <c r="B233" s="6">
        <v>1.1000000000000001</v>
      </c>
      <c r="I233" s="7">
        <v>28635</v>
      </c>
    </row>
    <row r="234" spans="1:9">
      <c r="A234" s="7">
        <v>21557</v>
      </c>
      <c r="B234" s="6">
        <v>1.1000000000000001</v>
      </c>
      <c r="I234" s="5" t="s">
        <v>574</v>
      </c>
    </row>
    <row r="235" spans="1:9">
      <c r="A235" s="19">
        <v>2418238</v>
      </c>
      <c r="B235" s="6">
        <v>1.1000000000000001</v>
      </c>
      <c r="I235" s="7">
        <v>23031</v>
      </c>
    </row>
    <row r="236" spans="1:9">
      <c r="A236" s="21">
        <v>44236</v>
      </c>
      <c r="B236" s="6">
        <v>1.1000000000000001</v>
      </c>
      <c r="I236" s="5" t="s">
        <v>434</v>
      </c>
    </row>
    <row r="237" spans="1:9">
      <c r="A237" s="5" t="s">
        <v>571</v>
      </c>
      <c r="B237" s="6">
        <v>0.24199999999999999</v>
      </c>
      <c r="I237" s="7">
        <v>22295</v>
      </c>
    </row>
    <row r="238" spans="1:9">
      <c r="A238" s="7">
        <v>39318</v>
      </c>
      <c r="B238" s="6">
        <v>0.24199999999999999</v>
      </c>
      <c r="I238" s="5" t="s">
        <v>401</v>
      </c>
    </row>
    <row r="239" spans="1:9">
      <c r="A239" s="19">
        <v>7014360</v>
      </c>
      <c r="B239" s="6">
        <v>0.24199999999999999</v>
      </c>
      <c r="I239" s="7">
        <v>23965</v>
      </c>
    </row>
    <row r="240" spans="1:9">
      <c r="A240" s="21">
        <v>44280</v>
      </c>
      <c r="B240" s="6">
        <v>0.24199999999999999</v>
      </c>
      <c r="I240" s="5" t="s">
        <v>473</v>
      </c>
    </row>
    <row r="241" spans="1:9">
      <c r="A241" s="5" t="s">
        <v>402</v>
      </c>
      <c r="B241" s="6">
        <v>0.372</v>
      </c>
      <c r="I241" s="7">
        <v>15798</v>
      </c>
    </row>
    <row r="242" spans="1:9">
      <c r="A242" s="7">
        <v>32866</v>
      </c>
      <c r="B242" s="6">
        <v>0.372</v>
      </c>
      <c r="I242" s="5" t="s">
        <v>399</v>
      </c>
    </row>
    <row r="243" spans="1:9">
      <c r="A243" s="19">
        <v>196981</v>
      </c>
      <c r="B243" s="6">
        <v>0.372</v>
      </c>
      <c r="I243" s="7">
        <v>21458</v>
      </c>
    </row>
    <row r="244" spans="1:9">
      <c r="A244" s="21">
        <v>44240</v>
      </c>
      <c r="B244" s="6">
        <v>0.31</v>
      </c>
      <c r="I244" s="5" t="s">
        <v>430</v>
      </c>
    </row>
    <row r="245" spans="1:9">
      <c r="A245" s="21">
        <v>44252</v>
      </c>
      <c r="B245" s="6">
        <v>6.2E-2</v>
      </c>
      <c r="I245" s="7">
        <v>17369</v>
      </c>
    </row>
    <row r="246" spans="1:9">
      <c r="A246" s="5" t="s">
        <v>463</v>
      </c>
      <c r="B246" s="6">
        <v>2.851</v>
      </c>
      <c r="I246" s="5" t="s">
        <v>496</v>
      </c>
    </row>
    <row r="247" spans="1:9">
      <c r="A247" s="7">
        <v>29554</v>
      </c>
      <c r="B247" s="6">
        <v>2.851</v>
      </c>
      <c r="I247" s="7">
        <v>44139</v>
      </c>
    </row>
    <row r="248" spans="1:9">
      <c r="A248" s="19">
        <v>3395822</v>
      </c>
      <c r="B248" s="6">
        <v>2.851</v>
      </c>
      <c r="I248" s="5" t="s">
        <v>397</v>
      </c>
    </row>
    <row r="249" spans="1:9">
      <c r="A249" s="21">
        <v>44110</v>
      </c>
      <c r="B249" s="6">
        <v>2.7730000000000001</v>
      </c>
      <c r="I249" s="7">
        <v>18973</v>
      </c>
    </row>
    <row r="250" spans="1:9">
      <c r="A250" s="21">
        <v>44204</v>
      </c>
      <c r="B250" s="6">
        <v>7.8E-2</v>
      </c>
      <c r="I250" s="7">
        <v>25239</v>
      </c>
    </row>
    <row r="251" spans="1:9">
      <c r="A251" s="5" t="s">
        <v>483</v>
      </c>
      <c r="B251" s="6">
        <v>4.8000000000000001E-2</v>
      </c>
      <c r="I251" s="7">
        <v>28240</v>
      </c>
    </row>
    <row r="252" spans="1:9">
      <c r="A252" s="7">
        <v>39114</v>
      </c>
      <c r="B252" s="6">
        <v>4.8000000000000001E-2</v>
      </c>
      <c r="I252" s="18" t="s">
        <v>397</v>
      </c>
    </row>
    <row r="253" spans="1:9">
      <c r="A253" s="19">
        <v>6700426</v>
      </c>
      <c r="B253" s="6">
        <v>4.8000000000000001E-2</v>
      </c>
      <c r="I253" s="7">
        <v>25438</v>
      </c>
    </row>
    <row r="254" spans="1:9">
      <c r="A254" s="21">
        <v>44245</v>
      </c>
      <c r="B254" s="6">
        <v>4.8000000000000001E-2</v>
      </c>
      <c r="I254" s="7">
        <v>28672</v>
      </c>
    </row>
    <row r="255" spans="1:9">
      <c r="A255" s="5" t="s">
        <v>575</v>
      </c>
      <c r="B255" s="6">
        <v>1.5409999999999999</v>
      </c>
      <c r="I255" s="7">
        <v>21473</v>
      </c>
    </row>
    <row r="256" spans="1:9">
      <c r="A256" s="7">
        <v>16979</v>
      </c>
      <c r="B256" s="6">
        <v>1.5409999999999999</v>
      </c>
      <c r="I256" s="7">
        <v>23001</v>
      </c>
    </row>
    <row r="257" spans="1:9">
      <c r="A257" s="19">
        <v>3604125</v>
      </c>
      <c r="B257" s="6">
        <v>1.5409999999999999</v>
      </c>
      <c r="I257" s="7">
        <v>21339</v>
      </c>
    </row>
    <row r="258" spans="1:9">
      <c r="A258" s="21">
        <v>44280</v>
      </c>
      <c r="B258" s="6">
        <v>1.5409999999999999</v>
      </c>
      <c r="I258" s="7">
        <v>15103</v>
      </c>
    </row>
    <row r="259" spans="1:9">
      <c r="A259" s="33" t="s">
        <v>486</v>
      </c>
      <c r="B259" s="6">
        <v>4.3</v>
      </c>
      <c r="I259" s="7">
        <v>21521</v>
      </c>
    </row>
    <row r="260" spans="1:9">
      <c r="A260" s="34">
        <v>21524</v>
      </c>
      <c r="B260" s="6">
        <v>4.3</v>
      </c>
      <c r="I260" s="7">
        <v>12148</v>
      </c>
    </row>
    <row r="261" spans="1:9">
      <c r="A261" s="35">
        <v>6842969</v>
      </c>
      <c r="B261" s="6">
        <v>4.3</v>
      </c>
      <c r="I261" s="7">
        <v>20831</v>
      </c>
    </row>
    <row r="262" spans="1:9">
      <c r="A262" s="36">
        <v>44281</v>
      </c>
      <c r="B262" s="6">
        <v>4.3</v>
      </c>
      <c r="I262" s="7">
        <v>14266</v>
      </c>
    </row>
    <row r="263" spans="1:9">
      <c r="A263" s="5" t="s">
        <v>565</v>
      </c>
      <c r="B263" s="6">
        <v>1.05</v>
      </c>
      <c r="I263" s="7">
        <v>15489</v>
      </c>
    </row>
    <row r="264" spans="1:9">
      <c r="A264" s="7">
        <v>14114</v>
      </c>
      <c r="B264" s="6">
        <v>1.05</v>
      </c>
      <c r="I264" s="7">
        <v>18723</v>
      </c>
    </row>
    <row r="265" spans="1:9">
      <c r="A265" s="19">
        <v>2803018</v>
      </c>
      <c r="B265" s="6">
        <v>1.05</v>
      </c>
      <c r="I265" s="7">
        <v>15188</v>
      </c>
    </row>
    <row r="266" spans="1:9">
      <c r="A266" s="21">
        <v>44292</v>
      </c>
      <c r="B266" s="6">
        <v>1.05</v>
      </c>
      <c r="I266" s="7">
        <v>25895</v>
      </c>
    </row>
    <row r="267" spans="1:9">
      <c r="A267" s="5" t="s">
        <v>568</v>
      </c>
      <c r="B267" s="6">
        <v>0.53</v>
      </c>
      <c r="I267" s="7">
        <v>16091</v>
      </c>
    </row>
    <row r="268" spans="1:9">
      <c r="A268" s="7">
        <v>26442</v>
      </c>
      <c r="B268" s="6">
        <v>0.53</v>
      </c>
      <c r="I268" s="7">
        <v>24753</v>
      </c>
    </row>
    <row r="269" spans="1:9">
      <c r="A269" s="19">
        <v>6771491</v>
      </c>
      <c r="B269" s="6">
        <v>0.53</v>
      </c>
      <c r="I269" s="7">
        <v>16169</v>
      </c>
    </row>
    <row r="270" spans="1:9">
      <c r="A270" s="21">
        <v>44306</v>
      </c>
      <c r="B270" s="6">
        <v>0.53</v>
      </c>
      <c r="I270" s="7">
        <v>17478</v>
      </c>
    </row>
    <row r="271" spans="1:9">
      <c r="A271" s="5" t="s">
        <v>514</v>
      </c>
      <c r="B271" s="6">
        <v>11.337</v>
      </c>
      <c r="I271" s="7">
        <v>17533</v>
      </c>
    </row>
    <row r="272" spans="1:9">
      <c r="A272" s="7">
        <v>23971</v>
      </c>
      <c r="B272" s="6">
        <v>11.337</v>
      </c>
      <c r="I272" s="7">
        <v>21770</v>
      </c>
    </row>
    <row r="273" spans="1:9">
      <c r="A273" s="23">
        <v>1698821</v>
      </c>
      <c r="B273" s="22">
        <v>11.337</v>
      </c>
      <c r="I273" s="7">
        <v>14719</v>
      </c>
    </row>
    <row r="274" spans="1:9">
      <c r="A274" s="24">
        <v>43865</v>
      </c>
      <c r="B274" s="22">
        <v>5.2409999999999997</v>
      </c>
      <c r="I274" s="7">
        <v>17046</v>
      </c>
    </row>
    <row r="275" spans="1:9">
      <c r="A275" s="24">
        <v>44004</v>
      </c>
      <c r="B275" s="22">
        <v>3.0939999999999999</v>
      </c>
      <c r="I275" s="7">
        <v>14929</v>
      </c>
    </row>
    <row r="276" spans="1:9">
      <c r="A276" s="24">
        <v>44092</v>
      </c>
      <c r="B276" s="22">
        <v>3.0019999999999998</v>
      </c>
      <c r="I276" s="7">
        <v>25978</v>
      </c>
    </row>
    <row r="277" spans="1:9">
      <c r="A277" s="5" t="s">
        <v>566</v>
      </c>
      <c r="B277" s="6">
        <v>0.746</v>
      </c>
      <c r="I277" s="7">
        <v>21375</v>
      </c>
    </row>
    <row r="278" spans="1:9">
      <c r="A278" s="7">
        <v>39443</v>
      </c>
      <c r="B278" s="6">
        <v>0.746</v>
      </c>
      <c r="I278" s="7">
        <v>27345</v>
      </c>
    </row>
    <row r="279" spans="1:9">
      <c r="A279" s="19">
        <v>7164364</v>
      </c>
      <c r="B279" s="6">
        <v>0.746</v>
      </c>
      <c r="I279" s="7">
        <v>19074</v>
      </c>
    </row>
    <row r="280" spans="1:9">
      <c r="A280" s="21">
        <v>44292</v>
      </c>
      <c r="B280" s="6">
        <v>0.746</v>
      </c>
      <c r="I280" s="7">
        <v>16507</v>
      </c>
    </row>
    <row r="281" spans="1:9">
      <c r="A281" s="5" t="s">
        <v>569</v>
      </c>
      <c r="B281" s="6">
        <v>0.2</v>
      </c>
      <c r="I281" s="7">
        <v>24000</v>
      </c>
    </row>
    <row r="282" spans="1:9">
      <c r="A282" s="7">
        <v>42480</v>
      </c>
      <c r="B282" s="6">
        <v>0.2</v>
      </c>
      <c r="I282" s="7">
        <v>24809</v>
      </c>
    </row>
    <row r="283" spans="1:9">
      <c r="A283" s="19">
        <v>11575960</v>
      </c>
      <c r="B283" s="6">
        <v>0.2</v>
      </c>
      <c r="I283" s="7">
        <v>17167</v>
      </c>
    </row>
    <row r="284" spans="1:9">
      <c r="A284" s="21">
        <v>44278</v>
      </c>
      <c r="B284" s="6">
        <v>0.2</v>
      </c>
      <c r="I284" s="7">
        <v>15953</v>
      </c>
    </row>
    <row r="285" spans="1:9">
      <c r="A285" s="5" t="s">
        <v>573</v>
      </c>
      <c r="B285" s="6">
        <v>0.155</v>
      </c>
      <c r="I285" s="7">
        <v>23600</v>
      </c>
    </row>
    <row r="286" spans="1:9">
      <c r="A286" s="7">
        <v>43832</v>
      </c>
      <c r="B286" s="6">
        <v>0.155</v>
      </c>
      <c r="I286" s="7">
        <v>14657</v>
      </c>
    </row>
    <row r="287" spans="1:9">
      <c r="A287" s="19">
        <v>12851181</v>
      </c>
      <c r="B287" s="6">
        <v>0.155</v>
      </c>
      <c r="I287" s="7">
        <v>21150</v>
      </c>
    </row>
    <row r="288" spans="1:9">
      <c r="A288" s="21">
        <v>44286</v>
      </c>
      <c r="B288" s="6">
        <v>0.155</v>
      </c>
      <c r="I288" s="7">
        <v>21766</v>
      </c>
    </row>
    <row r="289" spans="1:9">
      <c r="A289" s="5" t="s">
        <v>469</v>
      </c>
      <c r="B289" s="6">
        <v>0.32700000000000001</v>
      </c>
      <c r="I289" s="7">
        <v>21887</v>
      </c>
    </row>
    <row r="290" spans="1:9">
      <c r="A290" s="7">
        <v>25239</v>
      </c>
      <c r="B290" s="6">
        <v>0.32700000000000001</v>
      </c>
      <c r="I290" s="7">
        <v>24788</v>
      </c>
    </row>
    <row r="291" spans="1:9">
      <c r="A291" s="19">
        <v>3824620</v>
      </c>
      <c r="B291" s="6">
        <v>0.32700000000000001</v>
      </c>
      <c r="I291" s="7">
        <v>21829</v>
      </c>
    </row>
    <row r="292" spans="1:9">
      <c r="A292" s="21">
        <v>44241</v>
      </c>
      <c r="B292" s="6">
        <v>0.217</v>
      </c>
      <c r="I292" s="7">
        <v>20695</v>
      </c>
    </row>
    <row r="293" spans="1:9">
      <c r="A293" s="21">
        <v>44244</v>
      </c>
      <c r="B293" s="6">
        <v>0.11</v>
      </c>
      <c r="I293" s="7">
        <v>18676</v>
      </c>
    </row>
    <row r="294" spans="1:9">
      <c r="A294" s="5" t="s">
        <v>446</v>
      </c>
      <c r="B294" s="6">
        <v>0.41399999999999998</v>
      </c>
      <c r="I294" s="7">
        <v>22926</v>
      </c>
    </row>
    <row r="295" spans="1:9">
      <c r="A295" s="7">
        <v>22711</v>
      </c>
      <c r="B295" s="6">
        <v>0.41399999999999998</v>
      </c>
      <c r="I295" s="7">
        <v>22984</v>
      </c>
    </row>
    <row r="296" spans="1:9">
      <c r="A296" s="19">
        <v>3042189</v>
      </c>
      <c r="B296" s="6">
        <v>0.41399999999999998</v>
      </c>
      <c r="I296" s="7">
        <v>14155</v>
      </c>
    </row>
    <row r="297" spans="1:9">
      <c r="A297" s="21">
        <v>44277</v>
      </c>
      <c r="B297" s="6">
        <v>0.41399999999999998</v>
      </c>
      <c r="I297" s="7">
        <v>13739</v>
      </c>
    </row>
    <row r="298" spans="1:9">
      <c r="A298" s="5" t="s">
        <v>411</v>
      </c>
      <c r="B298" s="6">
        <v>6.3140000000000001</v>
      </c>
      <c r="I298" s="7">
        <v>26546</v>
      </c>
    </row>
    <row r="299" spans="1:9">
      <c r="A299" s="7">
        <v>17109</v>
      </c>
      <c r="B299" s="6">
        <v>6.3140000000000001</v>
      </c>
      <c r="I299" s="7">
        <v>23057</v>
      </c>
    </row>
    <row r="300" spans="1:9">
      <c r="A300" s="23">
        <v>1276398</v>
      </c>
      <c r="B300" s="22">
        <v>6.3140000000000001</v>
      </c>
      <c r="I300" s="7">
        <v>20996</v>
      </c>
    </row>
    <row r="301" spans="1:9">
      <c r="A301" s="24">
        <v>43955</v>
      </c>
      <c r="B301" s="22">
        <v>2.5619999999999998</v>
      </c>
      <c r="I301" s="7">
        <v>39129</v>
      </c>
    </row>
    <row r="302" spans="1:9">
      <c r="A302" s="24">
        <v>43985</v>
      </c>
      <c r="B302" s="22">
        <v>3.7519999999999998</v>
      </c>
      <c r="I302" s="7">
        <v>20004</v>
      </c>
    </row>
    <row r="303" spans="1:9">
      <c r="A303" s="5" t="s">
        <v>465</v>
      </c>
      <c r="B303" s="6">
        <v>4.9939999999999998</v>
      </c>
      <c r="I303" s="7">
        <v>15905</v>
      </c>
    </row>
    <row r="304" spans="1:9">
      <c r="A304" s="7">
        <v>14850</v>
      </c>
      <c r="B304" s="6">
        <v>4.9939999999999998</v>
      </c>
      <c r="I304" s="7">
        <v>22651</v>
      </c>
    </row>
    <row r="305" spans="1:9">
      <c r="A305" s="23">
        <v>3481236</v>
      </c>
      <c r="B305" s="22">
        <v>4.9939999999999998</v>
      </c>
      <c r="I305" s="7">
        <v>33422</v>
      </c>
    </row>
    <row r="306" spans="1:9">
      <c r="A306" s="24">
        <v>43972</v>
      </c>
      <c r="B306" s="22">
        <v>2.1709999999999998</v>
      </c>
      <c r="I306" s="7">
        <v>31675</v>
      </c>
    </row>
    <row r="307" spans="1:9">
      <c r="A307" s="24">
        <v>43993</v>
      </c>
      <c r="B307" s="22">
        <v>2.823</v>
      </c>
      <c r="I307" s="7">
        <v>16454</v>
      </c>
    </row>
    <row r="308" spans="1:9">
      <c r="A308" s="5" t="s">
        <v>484</v>
      </c>
      <c r="B308" s="6">
        <v>2.9000000000000001E-2</v>
      </c>
      <c r="I308" s="7">
        <v>21646</v>
      </c>
    </row>
    <row r="309" spans="1:9">
      <c r="A309" s="7">
        <v>39130</v>
      </c>
      <c r="B309" s="6">
        <v>2.9000000000000001E-2</v>
      </c>
      <c r="I309" s="7">
        <v>30621</v>
      </c>
    </row>
    <row r="310" spans="1:9">
      <c r="A310" s="19">
        <v>6704909</v>
      </c>
      <c r="B310" s="6">
        <v>2.9000000000000001E-2</v>
      </c>
      <c r="I310" s="7">
        <v>21861</v>
      </c>
    </row>
    <row r="311" spans="1:9">
      <c r="A311" s="21">
        <v>44270</v>
      </c>
      <c r="B311" s="6">
        <v>2.9000000000000001E-2</v>
      </c>
      <c r="I311" s="7">
        <v>17561</v>
      </c>
    </row>
    <row r="312" spans="1:9">
      <c r="A312" s="5" t="s">
        <v>480</v>
      </c>
      <c r="B312" s="6">
        <v>0.06</v>
      </c>
      <c r="I312" s="7">
        <v>33940</v>
      </c>
    </row>
    <row r="313" spans="1:9">
      <c r="A313" s="7">
        <v>23409</v>
      </c>
      <c r="B313" s="6">
        <v>0.06</v>
      </c>
      <c r="I313" s="7">
        <v>22670</v>
      </c>
    </row>
    <row r="314" spans="1:9">
      <c r="A314" s="19">
        <v>5152251</v>
      </c>
      <c r="B314" s="6">
        <v>0.06</v>
      </c>
      <c r="I314" s="7">
        <v>15378</v>
      </c>
    </row>
    <row r="315" spans="1:9">
      <c r="A315" s="21">
        <v>44264</v>
      </c>
      <c r="B315" s="6">
        <v>0.06</v>
      </c>
      <c r="I315" s="7">
        <v>19028</v>
      </c>
    </row>
    <row r="316" spans="1:9">
      <c r="A316" s="5" t="s">
        <v>424</v>
      </c>
      <c r="B316" s="6">
        <v>3.05</v>
      </c>
      <c r="I316" s="7">
        <v>29636</v>
      </c>
    </row>
    <row r="317" spans="1:9">
      <c r="A317" s="7">
        <v>28723</v>
      </c>
      <c r="B317" s="6">
        <v>3.05</v>
      </c>
      <c r="I317" s="7">
        <v>17864</v>
      </c>
    </row>
    <row r="318" spans="1:9">
      <c r="A318" s="23">
        <v>6230481</v>
      </c>
      <c r="B318" s="22">
        <v>3.05</v>
      </c>
      <c r="I318" s="7">
        <v>26079</v>
      </c>
    </row>
    <row r="319" spans="1:9">
      <c r="A319" s="24">
        <v>43986</v>
      </c>
      <c r="B319" s="22">
        <v>3.05</v>
      </c>
      <c r="I319" s="7">
        <v>30392</v>
      </c>
    </row>
    <row r="320" spans="1:9">
      <c r="A320" s="5" t="s">
        <v>418</v>
      </c>
      <c r="B320" s="6">
        <v>0.60099999999999998</v>
      </c>
      <c r="I320" s="7">
        <v>21776</v>
      </c>
    </row>
    <row r="321" spans="1:9">
      <c r="A321" s="7">
        <v>19746</v>
      </c>
      <c r="B321" s="6">
        <v>0.60099999999999998</v>
      </c>
      <c r="I321" s="7">
        <v>30479</v>
      </c>
    </row>
    <row r="322" spans="1:9">
      <c r="A322" s="19">
        <v>2272024</v>
      </c>
      <c r="B322" s="6">
        <v>0.60099999999999998</v>
      </c>
      <c r="I322" s="7">
        <v>25635</v>
      </c>
    </row>
    <row r="323" spans="1:9">
      <c r="A323" s="21">
        <v>44302</v>
      </c>
      <c r="B323" s="6">
        <v>0.60099999999999998</v>
      </c>
      <c r="I323" s="7">
        <v>31297</v>
      </c>
    </row>
    <row r="324" spans="1:9">
      <c r="A324" s="5" t="s">
        <v>518</v>
      </c>
      <c r="B324" s="6">
        <v>0.255</v>
      </c>
      <c r="I324" s="7">
        <v>15370</v>
      </c>
    </row>
    <row r="325" spans="1:9">
      <c r="A325" s="7">
        <v>12425</v>
      </c>
      <c r="B325" s="6">
        <v>0.255</v>
      </c>
      <c r="I325" s="5" t="s">
        <v>1325</v>
      </c>
    </row>
    <row r="326" spans="1:9">
      <c r="A326" s="19">
        <v>3122982</v>
      </c>
      <c r="B326" s="6">
        <v>0.255</v>
      </c>
      <c r="I326" s="7">
        <v>16009</v>
      </c>
    </row>
    <row r="327" spans="1:9">
      <c r="A327" s="21">
        <v>44272</v>
      </c>
      <c r="B327" s="6">
        <v>0.255</v>
      </c>
      <c r="I327" s="5" t="s">
        <v>1326</v>
      </c>
    </row>
    <row r="328" spans="1:9">
      <c r="A328" s="5" t="s">
        <v>438</v>
      </c>
      <c r="B328" s="6">
        <v>3.476</v>
      </c>
      <c r="I328" s="7">
        <v>24277</v>
      </c>
    </row>
    <row r="329" spans="1:9">
      <c r="A329" s="7">
        <v>20621</v>
      </c>
      <c r="B329" s="6">
        <v>3.476</v>
      </c>
      <c r="I329" s="7">
        <v>35235</v>
      </c>
    </row>
    <row r="330" spans="1:9">
      <c r="A330" s="23">
        <v>2908045</v>
      </c>
      <c r="B330" s="22">
        <v>3.476</v>
      </c>
      <c r="I330" s="5" t="s">
        <v>1327</v>
      </c>
    </row>
    <row r="331" spans="1:9">
      <c r="A331" s="24">
        <v>44012</v>
      </c>
      <c r="B331" s="22">
        <v>3.476</v>
      </c>
      <c r="I331" s="7">
        <v>12680</v>
      </c>
    </row>
    <row r="332" spans="1:9">
      <c r="A332" s="5" t="s">
        <v>475</v>
      </c>
      <c r="B332" s="6">
        <v>7.4690000000000003</v>
      </c>
      <c r="I332" s="5" t="s">
        <v>1328</v>
      </c>
    </row>
    <row r="333" spans="1:9">
      <c r="A333" s="7">
        <v>25763</v>
      </c>
      <c r="B333" s="6">
        <v>7.4690000000000003</v>
      </c>
      <c r="I333" s="7">
        <v>30042</v>
      </c>
    </row>
    <row r="334" spans="1:9">
      <c r="A334" s="23">
        <v>4664774</v>
      </c>
      <c r="B334" s="22">
        <v>7.4690000000000003</v>
      </c>
      <c r="I334" s="5" t="s">
        <v>1329</v>
      </c>
    </row>
    <row r="335" spans="1:9">
      <c r="A335" s="24">
        <v>44028</v>
      </c>
      <c r="B335" s="22">
        <v>7.4690000000000003</v>
      </c>
      <c r="I335" s="7">
        <v>34699</v>
      </c>
    </row>
    <row r="336" spans="1:9">
      <c r="A336" s="5" t="s">
        <v>468</v>
      </c>
      <c r="B336" s="6">
        <v>0.23499999999999999</v>
      </c>
      <c r="I336" s="5" t="s">
        <v>1330</v>
      </c>
    </row>
    <row r="337" spans="1:9">
      <c r="A337" s="7">
        <v>23126</v>
      </c>
      <c r="B337" s="6">
        <v>0.23499999999999999</v>
      </c>
      <c r="I337" s="7">
        <v>18898</v>
      </c>
    </row>
    <row r="338" spans="1:9">
      <c r="A338" s="19">
        <v>3760411</v>
      </c>
      <c r="B338" s="6">
        <v>0.23499999999999999</v>
      </c>
      <c r="I338" s="5" t="s">
        <v>1331</v>
      </c>
    </row>
    <row r="339" spans="1:9">
      <c r="A339" s="21">
        <v>44265</v>
      </c>
      <c r="B339" s="6">
        <v>0.23499999999999999</v>
      </c>
      <c r="I339" s="7">
        <v>25126</v>
      </c>
    </row>
    <row r="340" spans="1:9">
      <c r="A340" s="5" t="s">
        <v>470</v>
      </c>
      <c r="B340" s="6">
        <v>0.67100000000000004</v>
      </c>
      <c r="I340" s="7">
        <v>21473</v>
      </c>
    </row>
    <row r="341" spans="1:9">
      <c r="A341" s="7">
        <v>23870</v>
      </c>
      <c r="B341" s="6">
        <v>0.67100000000000004</v>
      </c>
      <c r="I341" s="5" t="s">
        <v>1332</v>
      </c>
    </row>
    <row r="342" spans="1:9">
      <c r="A342" s="19">
        <v>3847337</v>
      </c>
      <c r="B342" s="6">
        <v>0.67100000000000004</v>
      </c>
      <c r="I342" s="7">
        <v>25137</v>
      </c>
    </row>
    <row r="343" spans="1:9">
      <c r="A343" s="21">
        <v>44265</v>
      </c>
      <c r="B343" s="6">
        <v>0.67100000000000004</v>
      </c>
      <c r="I343" s="5" t="s">
        <v>1333</v>
      </c>
    </row>
    <row r="344" spans="1:9">
      <c r="A344" s="5" t="s">
        <v>467</v>
      </c>
      <c r="B344" s="6">
        <v>0.83899999999999997</v>
      </c>
      <c r="I344" s="7">
        <v>29994</v>
      </c>
    </row>
    <row r="345" spans="1:9">
      <c r="A345" s="7">
        <v>18437</v>
      </c>
      <c r="B345" s="6">
        <v>0.83899999999999997</v>
      </c>
      <c r="I345" s="5" t="s">
        <v>1334</v>
      </c>
    </row>
    <row r="346" spans="1:9">
      <c r="A346" s="19">
        <v>3720067</v>
      </c>
      <c r="B346" s="6">
        <v>0.83899999999999997</v>
      </c>
      <c r="I346" s="7">
        <v>27137</v>
      </c>
    </row>
    <row r="347" spans="1:9">
      <c r="A347" s="21">
        <v>44259</v>
      </c>
      <c r="B347" s="6">
        <v>0.83899999999999997</v>
      </c>
      <c r="I347" s="5" t="s">
        <v>1335</v>
      </c>
    </row>
    <row r="348" spans="1:9">
      <c r="A348" s="5" t="s">
        <v>461</v>
      </c>
      <c r="B348" s="6">
        <v>0.43</v>
      </c>
      <c r="I348" s="7">
        <v>22283</v>
      </c>
    </row>
    <row r="349" spans="1:9">
      <c r="A349" s="7">
        <v>16149</v>
      </c>
      <c r="B349" s="6">
        <v>0.43</v>
      </c>
      <c r="I349" s="5" t="s">
        <v>1336</v>
      </c>
    </row>
    <row r="350" spans="1:9">
      <c r="A350" s="19">
        <v>3370441</v>
      </c>
      <c r="B350" s="6">
        <v>0.43</v>
      </c>
      <c r="I350" s="7">
        <v>19085</v>
      </c>
    </row>
    <row r="351" spans="1:9">
      <c r="A351" s="21">
        <v>44269</v>
      </c>
      <c r="B351" s="6">
        <v>0.43</v>
      </c>
      <c r="I351" s="5" t="s">
        <v>1337</v>
      </c>
    </row>
    <row r="352" spans="1:9">
      <c r="A352" s="5" t="s">
        <v>582</v>
      </c>
      <c r="B352" s="6">
        <v>3.4140000000000001</v>
      </c>
      <c r="I352" s="7">
        <v>19171</v>
      </c>
    </row>
    <row r="353" spans="1:9">
      <c r="A353" s="7">
        <v>39039</v>
      </c>
      <c r="B353" s="6">
        <v>3.4140000000000001</v>
      </c>
      <c r="I353" s="5" t="s">
        <v>1338</v>
      </c>
    </row>
    <row r="354" spans="1:9">
      <c r="A354" s="19">
        <v>6617691</v>
      </c>
      <c r="B354" s="6">
        <v>3.4140000000000001</v>
      </c>
      <c r="I354" s="7">
        <v>22346</v>
      </c>
    </row>
    <row r="355" spans="1:9">
      <c r="A355" s="21">
        <v>44299</v>
      </c>
      <c r="B355" s="6">
        <v>3.4140000000000001</v>
      </c>
      <c r="I355" s="5" t="s">
        <v>1339</v>
      </c>
    </row>
    <row r="356" spans="1:9">
      <c r="A356" s="5" t="s">
        <v>460</v>
      </c>
      <c r="B356" s="6">
        <v>0.46500000000000002</v>
      </c>
      <c r="I356" s="7">
        <v>16737</v>
      </c>
    </row>
    <row r="357" spans="1:9">
      <c r="A357" s="7">
        <v>23247</v>
      </c>
      <c r="B357" s="6">
        <v>0.46500000000000002</v>
      </c>
      <c r="I357" s="5" t="s">
        <v>1340</v>
      </c>
    </row>
    <row r="358" spans="1:9">
      <c r="A358" s="19">
        <v>3342662</v>
      </c>
      <c r="B358" s="6">
        <v>0.46500000000000002</v>
      </c>
      <c r="I358" s="7">
        <v>20847</v>
      </c>
    </row>
    <row r="359" spans="1:9">
      <c r="A359" s="21">
        <v>44265</v>
      </c>
      <c r="B359" s="6">
        <v>0.46500000000000002</v>
      </c>
      <c r="I359" s="5" t="s">
        <v>1341</v>
      </c>
    </row>
    <row r="360" spans="1:9">
      <c r="A360" s="5" t="s">
        <v>462</v>
      </c>
      <c r="B360" s="6">
        <v>4.2060000000000004</v>
      </c>
      <c r="I360" s="7">
        <v>23409</v>
      </c>
    </row>
    <row r="361" spans="1:9">
      <c r="A361" s="7">
        <v>13515</v>
      </c>
      <c r="B361" s="6">
        <v>4.2060000000000004</v>
      </c>
      <c r="I361" s="5" t="s">
        <v>1342</v>
      </c>
    </row>
    <row r="362" spans="1:9">
      <c r="A362" s="23">
        <v>3386511</v>
      </c>
      <c r="B362" s="22">
        <v>4.2060000000000004</v>
      </c>
      <c r="I362" s="7">
        <v>18890</v>
      </c>
    </row>
    <row r="363" spans="1:9">
      <c r="A363" s="24">
        <v>44120</v>
      </c>
      <c r="B363" s="22">
        <v>4.2060000000000004</v>
      </c>
      <c r="I363" s="5" t="s">
        <v>1343</v>
      </c>
    </row>
    <row r="364" spans="1:9">
      <c r="A364" s="5" t="s">
        <v>412</v>
      </c>
      <c r="B364" s="6">
        <v>4.1500000000000004</v>
      </c>
      <c r="I364" s="7">
        <v>23243</v>
      </c>
    </row>
    <row r="365" spans="1:9">
      <c r="A365" s="7">
        <v>22185</v>
      </c>
      <c r="B365" s="6">
        <v>4.1500000000000004</v>
      </c>
      <c r="I365" s="5" t="s">
        <v>1344</v>
      </c>
    </row>
    <row r="366" spans="1:9">
      <c r="A366" s="23">
        <v>1819791</v>
      </c>
      <c r="B366" s="22">
        <v>4.1500000000000004</v>
      </c>
      <c r="I366" s="7">
        <v>21162</v>
      </c>
    </row>
    <row r="367" spans="1:9">
      <c r="A367" s="24">
        <v>44249</v>
      </c>
      <c r="B367" s="22">
        <v>4.1500000000000004</v>
      </c>
      <c r="I367" s="5" t="s">
        <v>1345</v>
      </c>
    </row>
    <row r="368" spans="1:9">
      <c r="A368" s="5" t="s">
        <v>492</v>
      </c>
      <c r="B368" s="6">
        <v>0.23599999999999999</v>
      </c>
      <c r="I368" s="7">
        <v>16506</v>
      </c>
    </row>
    <row r="369" spans="1:9">
      <c r="A369" s="7">
        <v>25106</v>
      </c>
      <c r="B369" s="6">
        <v>0.23599999999999999</v>
      </c>
      <c r="I369" s="5" t="s">
        <v>1346</v>
      </c>
    </row>
    <row r="370" spans="1:9">
      <c r="A370" s="19">
        <v>12246972</v>
      </c>
      <c r="B370" s="6">
        <v>0.23599999999999999</v>
      </c>
      <c r="I370" s="7">
        <v>19445</v>
      </c>
    </row>
    <row r="371" spans="1:9">
      <c r="A371" s="21">
        <v>44265</v>
      </c>
      <c r="B371" s="6">
        <v>0.23599999999999999</v>
      </c>
      <c r="I371" s="5" t="s">
        <v>1347</v>
      </c>
    </row>
    <row r="372" spans="1:9">
      <c r="A372" s="5" t="s">
        <v>423</v>
      </c>
      <c r="B372" s="6">
        <v>6.1820000000000004</v>
      </c>
      <c r="I372" s="7">
        <v>17399</v>
      </c>
    </row>
    <row r="373" spans="1:9">
      <c r="A373" s="7">
        <v>23323</v>
      </c>
      <c r="B373" s="6">
        <v>6.1820000000000004</v>
      </c>
      <c r="I373" s="5" t="s">
        <v>1348</v>
      </c>
    </row>
    <row r="374" spans="1:9">
      <c r="A374" s="23">
        <v>2334536</v>
      </c>
      <c r="B374" s="22">
        <v>6.1820000000000004</v>
      </c>
      <c r="I374" s="7">
        <v>32518</v>
      </c>
    </row>
    <row r="375" spans="1:9">
      <c r="A375" s="24">
        <v>43815</v>
      </c>
      <c r="B375" s="22">
        <v>6.1820000000000004</v>
      </c>
      <c r="I375" s="5" t="s">
        <v>1349</v>
      </c>
    </row>
    <row r="376" spans="1:9">
      <c r="A376" s="5" t="s">
        <v>485</v>
      </c>
      <c r="B376" s="6">
        <v>0.9</v>
      </c>
      <c r="I376" s="7">
        <v>16524</v>
      </c>
    </row>
    <row r="377" spans="1:9">
      <c r="A377" s="7">
        <v>31498</v>
      </c>
      <c r="B377" s="6">
        <v>0.9</v>
      </c>
      <c r="I377" s="5" t="s">
        <v>1350</v>
      </c>
    </row>
    <row r="378" spans="1:9">
      <c r="A378" s="19">
        <v>6733815</v>
      </c>
      <c r="B378" s="6">
        <v>0.9</v>
      </c>
      <c r="I378" s="7">
        <v>21937</v>
      </c>
    </row>
    <row r="379" spans="1:9">
      <c r="A379" s="21">
        <v>44231</v>
      </c>
      <c r="B379" s="6">
        <v>0.9</v>
      </c>
      <c r="I379" s="5" t="s">
        <v>1351</v>
      </c>
    </row>
    <row r="380" spans="1:9">
      <c r="A380" s="5" t="s">
        <v>456</v>
      </c>
      <c r="B380" s="6">
        <v>2.9980000000000002</v>
      </c>
      <c r="I380" s="7">
        <v>38559</v>
      </c>
    </row>
    <row r="381" spans="1:9">
      <c r="A381" s="7">
        <v>18921</v>
      </c>
      <c r="B381" s="6">
        <v>2.9980000000000002</v>
      </c>
      <c r="I381" s="5" t="s">
        <v>1352</v>
      </c>
    </row>
    <row r="382" spans="1:9">
      <c r="A382" s="23">
        <v>3273662</v>
      </c>
      <c r="B382" s="22">
        <v>2.9980000000000002</v>
      </c>
      <c r="I382" s="7">
        <v>22952</v>
      </c>
    </row>
    <row r="383" spans="1:9">
      <c r="A383" s="24">
        <v>44004</v>
      </c>
      <c r="B383" s="22">
        <v>2.9980000000000002</v>
      </c>
      <c r="I383" s="5" t="s">
        <v>1353</v>
      </c>
    </row>
    <row r="384" spans="1:9">
      <c r="A384" s="5" t="s">
        <v>451</v>
      </c>
      <c r="B384" s="6">
        <v>2.456</v>
      </c>
      <c r="I384" s="7">
        <v>19659</v>
      </c>
    </row>
    <row r="385" spans="1:9">
      <c r="A385" s="7">
        <v>17430</v>
      </c>
      <c r="B385" s="6">
        <v>2.456</v>
      </c>
      <c r="I385" s="5" t="s">
        <v>1354</v>
      </c>
    </row>
    <row r="386" spans="1:9">
      <c r="A386" s="19">
        <v>3190819</v>
      </c>
      <c r="B386" s="6">
        <v>2.456</v>
      </c>
      <c r="I386" s="7">
        <v>22359</v>
      </c>
    </row>
    <row r="387" spans="1:9">
      <c r="A387" s="21">
        <v>44070</v>
      </c>
      <c r="B387" s="6">
        <v>2.456</v>
      </c>
      <c r="I387" s="5" t="s">
        <v>1355</v>
      </c>
    </row>
    <row r="388" spans="1:9">
      <c r="A388" s="5" t="s">
        <v>510</v>
      </c>
      <c r="B388" s="6">
        <v>3.8679999999999999</v>
      </c>
      <c r="I388" s="7">
        <v>22054</v>
      </c>
    </row>
    <row r="389" spans="1:9">
      <c r="A389" s="7">
        <v>13085</v>
      </c>
      <c r="B389" s="6">
        <v>3.8679999999999999</v>
      </c>
      <c r="I389" s="5" t="s">
        <v>1356</v>
      </c>
    </row>
    <row r="390" spans="1:9">
      <c r="A390" s="23">
        <v>3130505</v>
      </c>
      <c r="B390" s="22">
        <v>3.8679999999999999</v>
      </c>
      <c r="I390" s="7">
        <v>27296</v>
      </c>
    </row>
    <row r="391" spans="1:9">
      <c r="A391" s="24">
        <v>43761</v>
      </c>
      <c r="B391" s="22">
        <v>3.8679999999999999</v>
      </c>
      <c r="I391" s="5" t="s">
        <v>1357</v>
      </c>
    </row>
    <row r="392" spans="1:9">
      <c r="A392" s="5" t="s">
        <v>482</v>
      </c>
      <c r="B392" s="6">
        <v>0.182</v>
      </c>
      <c r="I392" s="7">
        <v>16524</v>
      </c>
    </row>
    <row r="393" spans="1:9">
      <c r="A393" s="7">
        <v>38751</v>
      </c>
      <c r="B393" s="6">
        <v>0.182</v>
      </c>
      <c r="I393" s="5" t="s">
        <v>1358</v>
      </c>
    </row>
    <row r="394" spans="1:9">
      <c r="A394" s="19">
        <v>6203670</v>
      </c>
      <c r="B394" s="6">
        <v>0.182</v>
      </c>
      <c r="I394" s="7">
        <v>16837</v>
      </c>
    </row>
    <row r="395" spans="1:9">
      <c r="A395" s="21">
        <v>44243</v>
      </c>
      <c r="B395" s="6">
        <v>0.182</v>
      </c>
      <c r="I395" s="5" t="s">
        <v>1359</v>
      </c>
    </row>
    <row r="396" spans="1:9">
      <c r="A396" s="5" t="s">
        <v>495</v>
      </c>
      <c r="B396" s="6">
        <v>1.2999999999999999E-2</v>
      </c>
      <c r="I396" s="7">
        <v>20696</v>
      </c>
    </row>
    <row r="397" spans="1:9">
      <c r="A397" s="7">
        <v>44126</v>
      </c>
      <c r="B397" s="6">
        <v>1.2999999999999999E-2</v>
      </c>
      <c r="I397" s="5" t="s">
        <v>1360</v>
      </c>
    </row>
    <row r="398" spans="1:9">
      <c r="A398" s="19">
        <v>13020054</v>
      </c>
      <c r="B398" s="6">
        <v>1.2999999999999999E-2</v>
      </c>
      <c r="I398" s="7">
        <v>19135</v>
      </c>
    </row>
    <row r="399" spans="1:9">
      <c r="A399" s="21">
        <v>44270</v>
      </c>
      <c r="B399" s="6">
        <v>1.2999999999999999E-2</v>
      </c>
      <c r="I399" s="5" t="s">
        <v>1361</v>
      </c>
    </row>
    <row r="400" spans="1:9">
      <c r="A400" s="5" t="s">
        <v>476</v>
      </c>
      <c r="B400" s="6">
        <v>3.1440000000000001</v>
      </c>
      <c r="I400" s="7">
        <v>19543</v>
      </c>
    </row>
    <row r="401" spans="1:9">
      <c r="A401" s="7">
        <v>26210</v>
      </c>
      <c r="B401" s="6">
        <v>3.1440000000000001</v>
      </c>
      <c r="I401" s="5" t="s">
        <v>1362</v>
      </c>
    </row>
    <row r="402" spans="1:9">
      <c r="A402" s="23">
        <v>4715136</v>
      </c>
      <c r="B402" s="22">
        <v>3.1440000000000001</v>
      </c>
      <c r="I402" s="7">
        <v>25438</v>
      </c>
    </row>
    <row r="403" spans="1:9">
      <c r="A403" s="24">
        <v>44158</v>
      </c>
      <c r="B403" s="22">
        <v>2.8650000000000002</v>
      </c>
      <c r="I403" s="5" t="s">
        <v>1363</v>
      </c>
    </row>
    <row r="404" spans="1:9">
      <c r="A404" s="24">
        <v>44179</v>
      </c>
      <c r="B404" s="22">
        <v>0.27900000000000003</v>
      </c>
      <c r="I404" s="7">
        <v>25137</v>
      </c>
    </row>
    <row r="405" spans="1:9">
      <c r="A405" s="5" t="s">
        <v>578</v>
      </c>
      <c r="B405" s="6">
        <v>0.877</v>
      </c>
      <c r="I405" s="5" t="s">
        <v>1364</v>
      </c>
    </row>
    <row r="406" spans="1:9">
      <c r="A406" s="7">
        <v>23384</v>
      </c>
      <c r="B406" s="6">
        <v>0.877</v>
      </c>
      <c r="I406" s="7">
        <v>25012</v>
      </c>
    </row>
    <row r="407" spans="1:9">
      <c r="A407" s="19">
        <v>2987571</v>
      </c>
      <c r="B407" s="6">
        <v>0.877</v>
      </c>
      <c r="I407" s="5" t="s">
        <v>1365</v>
      </c>
    </row>
    <row r="408" spans="1:9">
      <c r="A408" s="21">
        <v>44305</v>
      </c>
      <c r="B408" s="6">
        <v>0.877</v>
      </c>
      <c r="I408" s="7">
        <v>23740</v>
      </c>
    </row>
    <row r="409" spans="1:9">
      <c r="A409" s="5" t="s">
        <v>445</v>
      </c>
      <c r="B409" s="6">
        <v>0.627</v>
      </c>
      <c r="I409" s="5" t="s">
        <v>1366</v>
      </c>
    </row>
    <row r="410" spans="1:9">
      <c r="A410" s="7">
        <v>22663</v>
      </c>
      <c r="B410" s="6">
        <v>0.627</v>
      </c>
      <c r="I410" s="7">
        <v>20995</v>
      </c>
    </row>
    <row r="411" spans="1:9">
      <c r="A411" s="19">
        <v>3028955</v>
      </c>
      <c r="B411" s="6">
        <v>0.627</v>
      </c>
      <c r="I411" s="5" t="s">
        <v>1367</v>
      </c>
    </row>
    <row r="412" spans="1:9">
      <c r="A412" s="21">
        <v>44270</v>
      </c>
      <c r="B412" s="6">
        <v>0.627</v>
      </c>
      <c r="I412" s="7">
        <v>44523</v>
      </c>
    </row>
    <row r="413" spans="1:9">
      <c r="A413" s="5" t="s">
        <v>490</v>
      </c>
      <c r="B413" s="6">
        <v>0.10299999999999999</v>
      </c>
      <c r="I413" s="5" t="s">
        <v>1368</v>
      </c>
    </row>
    <row r="414" spans="1:9">
      <c r="A414" s="7">
        <v>40070</v>
      </c>
      <c r="B414" s="6">
        <v>0.10299999999999999</v>
      </c>
      <c r="I414" s="7">
        <v>21613</v>
      </c>
    </row>
    <row r="415" spans="1:9">
      <c r="A415" s="19">
        <v>7900199</v>
      </c>
      <c r="B415" s="6">
        <v>0.10299999999999999</v>
      </c>
      <c r="I415" s="5" t="s">
        <v>1369</v>
      </c>
    </row>
    <row r="416" spans="1:9">
      <c r="A416" s="21">
        <v>44244</v>
      </c>
      <c r="B416" s="6">
        <v>0.10299999999999999</v>
      </c>
      <c r="I416" s="7">
        <v>18687</v>
      </c>
    </row>
    <row r="417" spans="1:9">
      <c r="A417" s="5" t="s">
        <v>452</v>
      </c>
      <c r="B417" s="6">
        <v>5.4779999999999998</v>
      </c>
      <c r="I417" s="5" t="s">
        <v>1370</v>
      </c>
    </row>
    <row r="418" spans="1:9">
      <c r="A418" s="7">
        <v>18428</v>
      </c>
      <c r="B418" s="6">
        <v>5.4779999999999998</v>
      </c>
      <c r="I418" s="7">
        <v>17380</v>
      </c>
    </row>
    <row r="419" spans="1:9">
      <c r="A419" s="23">
        <v>3194477</v>
      </c>
      <c r="B419" s="22">
        <v>5.4779999999999998</v>
      </c>
      <c r="I419" s="5" t="s">
        <v>1371</v>
      </c>
    </row>
    <row r="420" spans="1:9">
      <c r="A420" s="24">
        <v>43756</v>
      </c>
      <c r="B420" s="22">
        <v>5.4779999999999998</v>
      </c>
      <c r="I420" s="7">
        <v>28672</v>
      </c>
    </row>
    <row r="421" spans="1:9">
      <c r="A421" s="5" t="s">
        <v>489</v>
      </c>
      <c r="B421" s="6">
        <v>0.42399999999999999</v>
      </c>
      <c r="I421" s="5" t="s">
        <v>1372</v>
      </c>
    </row>
    <row r="422" spans="1:9">
      <c r="A422" s="7">
        <v>39775</v>
      </c>
      <c r="B422" s="6">
        <v>0.42399999999999999</v>
      </c>
      <c r="I422" s="7">
        <v>23409</v>
      </c>
    </row>
    <row r="423" spans="1:9">
      <c r="A423" s="19">
        <v>7577641</v>
      </c>
      <c r="B423" s="6">
        <v>0.42399999999999999</v>
      </c>
      <c r="I423" s="5" t="s">
        <v>1373</v>
      </c>
    </row>
    <row r="424" spans="1:9">
      <c r="A424" s="21">
        <v>44266</v>
      </c>
      <c r="B424" s="6">
        <v>0.42399999999999999</v>
      </c>
      <c r="I424" s="7">
        <v>20662</v>
      </c>
    </row>
    <row r="425" spans="1:9">
      <c r="A425" s="5" t="s">
        <v>466</v>
      </c>
      <c r="B425" s="6">
        <v>0.97499999999999998</v>
      </c>
      <c r="I425" s="5" t="s">
        <v>1374</v>
      </c>
    </row>
    <row r="426" spans="1:9">
      <c r="A426" s="7">
        <v>11864</v>
      </c>
      <c r="B426" s="6">
        <v>0.97499999999999998</v>
      </c>
      <c r="I426" s="7">
        <v>11818</v>
      </c>
    </row>
    <row r="427" spans="1:9">
      <c r="A427" s="19">
        <v>3701013</v>
      </c>
      <c r="B427" s="6">
        <v>0.97499999999999998</v>
      </c>
      <c r="I427" s="5" t="s">
        <v>1375</v>
      </c>
    </row>
    <row r="428" spans="1:9">
      <c r="A428" s="21">
        <v>44264</v>
      </c>
      <c r="B428" s="6">
        <v>0.97499999999999998</v>
      </c>
      <c r="I428" s="7">
        <v>16189</v>
      </c>
    </row>
    <row r="429" spans="1:9">
      <c r="A429" s="5" t="s">
        <v>414</v>
      </c>
      <c r="B429" s="6">
        <v>3.944</v>
      </c>
      <c r="I429" s="5" t="s">
        <v>1376</v>
      </c>
    </row>
    <row r="430" spans="1:9">
      <c r="A430" s="7">
        <v>21951</v>
      </c>
      <c r="B430" s="6">
        <v>3.944</v>
      </c>
      <c r="I430" s="7">
        <v>18837</v>
      </c>
    </row>
    <row r="431" spans="1:9">
      <c r="A431" s="23">
        <v>1862484</v>
      </c>
      <c r="B431" s="22">
        <v>3.944</v>
      </c>
      <c r="I431" s="5" t="s">
        <v>1377</v>
      </c>
    </row>
    <row r="432" spans="1:9">
      <c r="A432" s="21">
        <v>43873</v>
      </c>
      <c r="B432" s="22">
        <v>3.944</v>
      </c>
      <c r="I432" s="7">
        <v>18740</v>
      </c>
    </row>
    <row r="433" spans="1:9">
      <c r="A433" s="5" t="s">
        <v>425</v>
      </c>
      <c r="B433" s="6">
        <v>0.78500000000000003</v>
      </c>
      <c r="I433" s="5" t="s">
        <v>1378</v>
      </c>
    </row>
    <row r="434" spans="1:9">
      <c r="A434" s="7">
        <v>22027</v>
      </c>
      <c r="B434" s="6">
        <v>0.78500000000000003</v>
      </c>
      <c r="I434" s="7">
        <v>29443</v>
      </c>
    </row>
    <row r="435" spans="1:9">
      <c r="A435" s="19">
        <v>2343053</v>
      </c>
      <c r="B435" s="6">
        <v>0.78500000000000003</v>
      </c>
      <c r="I435" s="5" t="s">
        <v>1379</v>
      </c>
    </row>
    <row r="436" spans="1:9">
      <c r="A436" s="21">
        <v>44252</v>
      </c>
      <c r="B436" s="6">
        <v>0.78500000000000003</v>
      </c>
      <c r="I436" s="7">
        <v>21494</v>
      </c>
    </row>
    <row r="437" spans="1:9">
      <c r="A437" s="5" t="s">
        <v>406</v>
      </c>
      <c r="B437" s="6">
        <v>0.33200000000000002</v>
      </c>
      <c r="I437" s="5" t="s">
        <v>1380</v>
      </c>
    </row>
    <row r="438" spans="1:9">
      <c r="A438" s="7">
        <v>28983</v>
      </c>
      <c r="B438" s="6">
        <v>0.33200000000000002</v>
      </c>
      <c r="I438" s="7">
        <v>17579</v>
      </c>
    </row>
    <row r="439" spans="1:9">
      <c r="A439" s="19">
        <v>339746</v>
      </c>
      <c r="B439" s="6">
        <v>0.33200000000000002</v>
      </c>
      <c r="I439" s="5" t="s">
        <v>1381</v>
      </c>
    </row>
    <row r="440" spans="1:9">
      <c r="A440" s="21">
        <v>44140</v>
      </c>
      <c r="B440" s="6">
        <v>0.33200000000000002</v>
      </c>
      <c r="I440" s="7">
        <v>19635</v>
      </c>
    </row>
    <row r="441" spans="1:9">
      <c r="A441" s="5" t="s">
        <v>457</v>
      </c>
      <c r="B441" s="6">
        <v>0.28699999999999998</v>
      </c>
      <c r="I441" s="5" t="s">
        <v>1382</v>
      </c>
    </row>
    <row r="442" spans="1:9">
      <c r="A442" s="7">
        <v>19108</v>
      </c>
      <c r="B442" s="6">
        <v>0.28699999999999998</v>
      </c>
      <c r="I442" s="7">
        <v>21878</v>
      </c>
    </row>
    <row r="443" spans="1:9">
      <c r="A443" s="19">
        <v>3296336</v>
      </c>
      <c r="B443" s="6">
        <v>0.28699999999999998</v>
      </c>
      <c r="I443" s="5" t="s">
        <v>1383</v>
      </c>
    </row>
    <row r="444" spans="1:9">
      <c r="A444" s="21">
        <v>44265</v>
      </c>
      <c r="B444" s="6">
        <v>0.28699999999999998</v>
      </c>
      <c r="I444" s="7">
        <v>18103</v>
      </c>
    </row>
    <row r="445" spans="1:9">
      <c r="A445" s="5" t="s">
        <v>570</v>
      </c>
      <c r="B445" s="6">
        <v>0.36499999999999999</v>
      </c>
      <c r="I445" s="5" t="s">
        <v>1384</v>
      </c>
    </row>
    <row r="446" spans="1:9">
      <c r="A446" s="7">
        <v>35234</v>
      </c>
      <c r="B446" s="6">
        <v>0.36499999999999999</v>
      </c>
      <c r="I446" s="7">
        <v>33928</v>
      </c>
    </row>
    <row r="447" spans="1:9">
      <c r="A447" s="19">
        <v>12223156</v>
      </c>
      <c r="B447" s="6">
        <v>0.36499999999999999</v>
      </c>
      <c r="I447" s="5" t="s">
        <v>1385</v>
      </c>
    </row>
    <row r="448" spans="1:9">
      <c r="A448" s="21">
        <v>44279</v>
      </c>
      <c r="B448" s="6">
        <v>0.36499999999999999</v>
      </c>
      <c r="I448" s="7">
        <v>19275</v>
      </c>
    </row>
    <row r="449" spans="1:9">
      <c r="A449" s="5" t="s">
        <v>419</v>
      </c>
      <c r="B449" s="6">
        <v>4.532</v>
      </c>
      <c r="I449" s="5" t="s">
        <v>1386</v>
      </c>
    </row>
    <row r="450" spans="1:9">
      <c r="A450" s="7">
        <v>18862</v>
      </c>
      <c r="B450" s="6">
        <v>4.532</v>
      </c>
      <c r="I450" s="7">
        <v>14052</v>
      </c>
    </row>
    <row r="451" spans="1:9">
      <c r="A451" s="23">
        <v>2281733</v>
      </c>
      <c r="B451" s="22">
        <v>4.532</v>
      </c>
      <c r="I451" s="5" t="s">
        <v>1387</v>
      </c>
    </row>
    <row r="452" spans="1:9">
      <c r="A452" s="24">
        <v>44152</v>
      </c>
      <c r="B452" s="22">
        <v>4.532</v>
      </c>
      <c r="I452" s="7">
        <v>21144</v>
      </c>
    </row>
    <row r="453" spans="1:9">
      <c r="A453" s="5" t="s">
        <v>576</v>
      </c>
      <c r="B453" s="6">
        <v>0.78600000000000003</v>
      </c>
      <c r="I453" s="5" t="s">
        <v>1388</v>
      </c>
    </row>
    <row r="454" spans="1:9">
      <c r="A454" s="7">
        <v>17244</v>
      </c>
      <c r="B454" s="6">
        <v>0.78600000000000003</v>
      </c>
      <c r="I454" s="7">
        <v>20757</v>
      </c>
    </row>
    <row r="455" spans="1:9">
      <c r="A455" s="19">
        <v>3498767</v>
      </c>
      <c r="B455" s="6">
        <v>0.78600000000000003</v>
      </c>
      <c r="I455" s="5" t="s">
        <v>1389</v>
      </c>
    </row>
    <row r="456" spans="1:9">
      <c r="A456" s="21">
        <v>44284</v>
      </c>
      <c r="B456" s="6">
        <v>0.78600000000000003</v>
      </c>
      <c r="I456" s="7">
        <v>22720</v>
      </c>
    </row>
    <row r="457" spans="1:9">
      <c r="A457" s="5" t="s">
        <v>410</v>
      </c>
      <c r="B457" s="6">
        <v>0.72599999999999998</v>
      </c>
      <c r="I457" s="5" t="s">
        <v>1390</v>
      </c>
    </row>
    <row r="458" spans="1:9">
      <c r="A458" s="7">
        <v>13344</v>
      </c>
      <c r="B458" s="6">
        <v>0.72599999999999998</v>
      </c>
      <c r="I458" s="7">
        <v>11793</v>
      </c>
    </row>
    <row r="459" spans="1:9">
      <c r="A459" s="19">
        <v>1213680</v>
      </c>
      <c r="B459" s="6">
        <v>0.72599999999999998</v>
      </c>
      <c r="I459" s="5" t="s">
        <v>1391</v>
      </c>
    </row>
    <row r="460" spans="1:9">
      <c r="A460" s="21">
        <v>44301</v>
      </c>
      <c r="B460" s="6">
        <v>0.72599999999999998</v>
      </c>
      <c r="I460" s="7">
        <v>20982</v>
      </c>
    </row>
    <row r="461" spans="1:9">
      <c r="A461" s="5" t="s">
        <v>416</v>
      </c>
      <c r="B461" s="6">
        <v>6.4559999999999995</v>
      </c>
      <c r="I461" s="5" t="s">
        <v>1392</v>
      </c>
    </row>
    <row r="462" spans="1:9">
      <c r="A462" s="7">
        <v>18973</v>
      </c>
      <c r="B462" s="6">
        <v>6.4559999999999995</v>
      </c>
      <c r="I462" s="7">
        <v>25036</v>
      </c>
    </row>
    <row r="463" spans="1:9">
      <c r="A463" s="23">
        <v>1900685</v>
      </c>
      <c r="B463" s="22">
        <v>6.4559999999999995</v>
      </c>
      <c r="I463" s="5" t="s">
        <v>1393</v>
      </c>
    </row>
    <row r="464" spans="1:9">
      <c r="A464" s="24">
        <v>44092</v>
      </c>
      <c r="B464" s="22">
        <v>3.5640000000000001</v>
      </c>
      <c r="I464" s="7">
        <v>16915</v>
      </c>
    </row>
    <row r="465" spans="1:9">
      <c r="A465" s="24">
        <v>44119</v>
      </c>
      <c r="B465" s="22">
        <v>2.8919999999999999</v>
      </c>
      <c r="I465" s="5" t="s">
        <v>1394</v>
      </c>
    </row>
    <row r="466" spans="1:9">
      <c r="A466" s="5" t="s">
        <v>407</v>
      </c>
      <c r="B466" s="6">
        <v>4.2350000000000003</v>
      </c>
      <c r="I466" s="7">
        <v>24048</v>
      </c>
    </row>
    <row r="467" spans="1:9">
      <c r="A467" s="7">
        <v>20218</v>
      </c>
      <c r="B467" s="6">
        <v>4.2350000000000003</v>
      </c>
      <c r="I467" s="5" t="s">
        <v>1395</v>
      </c>
    </row>
    <row r="468" spans="1:9">
      <c r="A468" s="23">
        <v>1755575</v>
      </c>
      <c r="B468" s="22">
        <v>4.2350000000000003</v>
      </c>
      <c r="I468" s="7">
        <v>21301</v>
      </c>
    </row>
    <row r="469" spans="1:9">
      <c r="A469" s="24">
        <v>44008</v>
      </c>
      <c r="B469" s="22">
        <v>4.2350000000000003</v>
      </c>
      <c r="I469" s="5" t="s">
        <v>1396</v>
      </c>
    </row>
    <row r="470" spans="1:9">
      <c r="A470" s="5" t="s">
        <v>405</v>
      </c>
      <c r="B470" s="6">
        <v>0.8</v>
      </c>
      <c r="I470" s="7">
        <v>19006</v>
      </c>
    </row>
    <row r="471" spans="1:9">
      <c r="A471" s="7">
        <v>14094</v>
      </c>
      <c r="B471" s="6">
        <v>0.8</v>
      </c>
      <c r="I471" s="5" t="s">
        <v>1397</v>
      </c>
    </row>
    <row r="472" spans="1:9">
      <c r="A472" s="19">
        <v>323546</v>
      </c>
      <c r="B472" s="6">
        <v>0.8</v>
      </c>
      <c r="I472" s="7">
        <v>15881</v>
      </c>
    </row>
    <row r="473" spans="1:9">
      <c r="A473" s="21">
        <v>44263</v>
      </c>
      <c r="B473" s="6">
        <v>0.8</v>
      </c>
      <c r="I473" s="5" t="s">
        <v>1398</v>
      </c>
    </row>
    <row r="474" spans="1:9">
      <c r="A474" s="5" t="s">
        <v>472</v>
      </c>
      <c r="B474" s="6">
        <v>5.9149999999999991</v>
      </c>
      <c r="I474" s="7">
        <v>16345</v>
      </c>
    </row>
    <row r="475" spans="1:9">
      <c r="A475" s="7">
        <v>20354</v>
      </c>
      <c r="B475" s="6">
        <v>5.9149999999999991</v>
      </c>
      <c r="I475" s="5" t="s">
        <v>1399</v>
      </c>
    </row>
    <row r="476" spans="1:9">
      <c r="A476" s="23">
        <v>4245699</v>
      </c>
      <c r="B476" s="22">
        <v>5.9149999999999991</v>
      </c>
      <c r="I476" s="7">
        <v>20098</v>
      </c>
    </row>
    <row r="477" spans="1:9">
      <c r="A477" s="24">
        <v>43115</v>
      </c>
      <c r="B477" s="22">
        <v>3.1589999999999998</v>
      </c>
      <c r="I477" s="5" t="s">
        <v>1400</v>
      </c>
    </row>
    <row r="478" spans="1:9">
      <c r="A478" s="24">
        <v>44089</v>
      </c>
      <c r="B478" s="22">
        <v>2.7559999999999998</v>
      </c>
      <c r="I478" s="7">
        <v>44447</v>
      </c>
    </row>
    <row r="479" spans="1:9">
      <c r="A479" s="5" t="s">
        <v>431</v>
      </c>
      <c r="B479" s="6">
        <v>5.5620000000000003</v>
      </c>
      <c r="I479" s="5" t="s">
        <v>1401</v>
      </c>
    </row>
    <row r="480" spans="1:9">
      <c r="A480" s="7">
        <v>21797</v>
      </c>
      <c r="B480" s="6">
        <v>5.5620000000000003</v>
      </c>
      <c r="I480" s="7">
        <v>20505</v>
      </c>
    </row>
    <row r="481" spans="1:9">
      <c r="A481" s="23">
        <v>2516454</v>
      </c>
      <c r="B481" s="22">
        <v>5.5620000000000003</v>
      </c>
      <c r="I481" s="5" t="s">
        <v>1402</v>
      </c>
    </row>
    <row r="482" spans="1:9">
      <c r="A482" s="24">
        <v>44126</v>
      </c>
      <c r="B482" s="22">
        <v>2.0510000000000002</v>
      </c>
      <c r="I482" s="7">
        <v>23001</v>
      </c>
    </row>
    <row r="483" spans="1:9">
      <c r="A483" s="24">
        <v>44127</v>
      </c>
      <c r="B483" s="22">
        <v>3.5110000000000001</v>
      </c>
      <c r="I483" s="5" t="s">
        <v>1403</v>
      </c>
    </row>
    <row r="484" spans="1:9">
      <c r="A484" s="5" t="s">
        <v>426</v>
      </c>
      <c r="B484" s="6">
        <v>0.317</v>
      </c>
      <c r="I484" s="7">
        <v>44398</v>
      </c>
    </row>
    <row r="485" spans="1:9">
      <c r="A485" s="7">
        <v>26063</v>
      </c>
      <c r="B485" s="6">
        <v>0.317</v>
      </c>
      <c r="I485" s="5" t="s">
        <v>1404</v>
      </c>
    </row>
    <row r="486" spans="1:9">
      <c r="A486" s="19">
        <v>2357868</v>
      </c>
      <c r="B486" s="6">
        <v>0.317</v>
      </c>
      <c r="I486" s="7">
        <v>19635</v>
      </c>
    </row>
    <row r="487" spans="1:9">
      <c r="A487" s="21">
        <v>43979</v>
      </c>
      <c r="B487" s="6">
        <v>0.254</v>
      </c>
      <c r="I487" s="5" t="s">
        <v>1405</v>
      </c>
    </row>
    <row r="488" spans="1:9">
      <c r="A488" s="21">
        <v>43980</v>
      </c>
      <c r="B488" s="6">
        <v>6.3E-2</v>
      </c>
      <c r="I488" s="7">
        <v>21588</v>
      </c>
    </row>
    <row r="489" spans="1:9">
      <c r="A489" s="5" t="s">
        <v>409</v>
      </c>
      <c r="B489" s="6">
        <v>0.34300000000000003</v>
      </c>
      <c r="I489" s="5" t="s">
        <v>1406</v>
      </c>
    </row>
    <row r="490" spans="1:9">
      <c r="A490" s="7">
        <v>21229</v>
      </c>
      <c r="B490" s="6">
        <v>0.34300000000000003</v>
      </c>
      <c r="I490" s="7">
        <v>16578</v>
      </c>
    </row>
    <row r="491" spans="1:9">
      <c r="A491" s="19">
        <v>1006232</v>
      </c>
      <c r="B491" s="6">
        <v>0.34300000000000003</v>
      </c>
      <c r="I491" s="5" t="s">
        <v>1407</v>
      </c>
    </row>
    <row r="492" spans="1:9">
      <c r="A492" s="21">
        <v>44300</v>
      </c>
      <c r="B492" s="6">
        <v>0.34300000000000003</v>
      </c>
      <c r="I492" s="7">
        <v>16668</v>
      </c>
    </row>
    <row r="493" spans="1:9">
      <c r="A493" s="5" t="s">
        <v>479</v>
      </c>
      <c r="B493" s="6">
        <v>0.77600000000000002</v>
      </c>
      <c r="I493" s="5" t="s">
        <v>1408</v>
      </c>
    </row>
    <row r="494" spans="1:9">
      <c r="A494" s="7">
        <v>28635</v>
      </c>
      <c r="B494" s="6">
        <v>0.77600000000000002</v>
      </c>
      <c r="I494" s="7">
        <v>44350</v>
      </c>
    </row>
    <row r="495" spans="1:9">
      <c r="A495" s="19">
        <v>4976109</v>
      </c>
      <c r="B495" s="6">
        <v>0.77600000000000002</v>
      </c>
      <c r="I495" s="7">
        <v>21339</v>
      </c>
    </row>
    <row r="496" spans="1:9">
      <c r="A496" s="21">
        <v>44253</v>
      </c>
      <c r="B496" s="6">
        <v>0.35199999999999998</v>
      </c>
      <c r="I496" s="5" t="s">
        <v>1409</v>
      </c>
    </row>
    <row r="497" spans="1:9">
      <c r="A497" s="21">
        <v>44265</v>
      </c>
      <c r="B497" s="6">
        <v>0.42399999999999999</v>
      </c>
      <c r="I497" s="7">
        <v>21753</v>
      </c>
    </row>
    <row r="498" spans="1:9">
      <c r="A498" s="5" t="s">
        <v>574</v>
      </c>
      <c r="B498" s="6">
        <v>0.43</v>
      </c>
      <c r="I498" s="5" t="s">
        <v>1410</v>
      </c>
    </row>
    <row r="499" spans="1:9">
      <c r="A499" s="7">
        <v>23031</v>
      </c>
      <c r="B499" s="6">
        <v>0.43</v>
      </c>
      <c r="I499" s="7">
        <v>16525</v>
      </c>
    </row>
    <row r="500" spans="1:9">
      <c r="A500" s="19">
        <v>2881585</v>
      </c>
      <c r="B500" s="6">
        <v>0.43</v>
      </c>
      <c r="I500" s="5" t="s">
        <v>1411</v>
      </c>
    </row>
    <row r="501" spans="1:9">
      <c r="A501" s="21">
        <v>44278</v>
      </c>
      <c r="B501" s="6">
        <v>0.43</v>
      </c>
      <c r="I501" s="7">
        <v>15928</v>
      </c>
    </row>
    <row r="502" spans="1:9">
      <c r="A502" s="5" t="s">
        <v>434</v>
      </c>
      <c r="B502" s="6">
        <v>0.14500000000000002</v>
      </c>
      <c r="I502" s="5" t="s">
        <v>1412</v>
      </c>
    </row>
    <row r="503" spans="1:9">
      <c r="A503" s="7">
        <v>22295</v>
      </c>
      <c r="B503" s="6">
        <v>0.14500000000000002</v>
      </c>
      <c r="I503" s="7">
        <v>21588</v>
      </c>
    </row>
    <row r="504" spans="1:9">
      <c r="A504" s="19">
        <v>2616513</v>
      </c>
      <c r="B504" s="6">
        <v>0.14500000000000002</v>
      </c>
      <c r="I504" s="5" t="s">
        <v>1413</v>
      </c>
    </row>
    <row r="505" spans="1:9">
      <c r="A505" s="21">
        <v>44138</v>
      </c>
      <c r="B505" s="6">
        <v>0.03</v>
      </c>
      <c r="I505" s="7">
        <v>17437</v>
      </c>
    </row>
    <row r="506" spans="1:9">
      <c r="A506" s="21">
        <v>44139</v>
      </c>
      <c r="B506" s="6">
        <v>0.115</v>
      </c>
      <c r="I506" s="5" t="s">
        <v>1414</v>
      </c>
    </row>
    <row r="507" spans="1:9">
      <c r="A507" s="5" t="s">
        <v>401</v>
      </c>
      <c r="B507" s="6">
        <v>3.36</v>
      </c>
      <c r="I507" s="7">
        <v>20189</v>
      </c>
    </row>
    <row r="508" spans="1:9">
      <c r="A508" s="7">
        <v>23965</v>
      </c>
      <c r="B508" s="6">
        <v>3.36</v>
      </c>
      <c r="I508" s="5" t="s">
        <v>1415</v>
      </c>
    </row>
    <row r="509" spans="1:9">
      <c r="A509" s="23">
        <v>146669</v>
      </c>
      <c r="B509" s="22">
        <v>3.36</v>
      </c>
      <c r="I509" s="7">
        <v>12517</v>
      </c>
    </row>
    <row r="510" spans="1:9">
      <c r="A510" s="24">
        <v>43980</v>
      </c>
      <c r="B510" s="22">
        <v>3.36</v>
      </c>
      <c r="I510" s="5" t="s">
        <v>1416</v>
      </c>
    </row>
    <row r="511" spans="1:9">
      <c r="A511" s="5" t="s">
        <v>473</v>
      </c>
      <c r="B511" s="6">
        <v>2.8580000000000001</v>
      </c>
      <c r="I511" s="7">
        <v>37620</v>
      </c>
    </row>
    <row r="512" spans="1:9">
      <c r="A512" s="7">
        <v>15798</v>
      </c>
      <c r="B512" s="6">
        <v>2.8580000000000001</v>
      </c>
      <c r="I512" s="5" t="s">
        <v>1417</v>
      </c>
    </row>
    <row r="513" spans="1:9">
      <c r="A513" s="19">
        <v>4343935</v>
      </c>
      <c r="B513" s="6">
        <v>2.8580000000000001</v>
      </c>
      <c r="I513" s="7">
        <v>30061</v>
      </c>
    </row>
    <row r="514" spans="1:9">
      <c r="A514" s="21">
        <v>44228</v>
      </c>
      <c r="B514" s="6">
        <v>2.8580000000000001</v>
      </c>
      <c r="I514" s="5" t="s">
        <v>1418</v>
      </c>
    </row>
    <row r="515" spans="1:9">
      <c r="A515" s="5" t="s">
        <v>399</v>
      </c>
      <c r="B515" s="6">
        <v>2.762</v>
      </c>
      <c r="I515" s="7">
        <v>17314</v>
      </c>
    </row>
    <row r="516" spans="1:9">
      <c r="A516" s="7">
        <v>21458</v>
      </c>
      <c r="B516" s="6">
        <v>2.762</v>
      </c>
      <c r="I516" s="7">
        <v>14392</v>
      </c>
    </row>
    <row r="517" spans="1:9">
      <c r="A517" s="19">
        <v>93062</v>
      </c>
      <c r="B517" s="6">
        <v>2.762</v>
      </c>
      <c r="I517" s="5" t="s">
        <v>1419</v>
      </c>
    </row>
    <row r="518" spans="1:9">
      <c r="A518" s="21">
        <v>44059</v>
      </c>
      <c r="B518" s="6">
        <v>2.762</v>
      </c>
      <c r="I518" s="7">
        <v>25148</v>
      </c>
    </row>
    <row r="519" spans="1:9">
      <c r="A519" s="5" t="s">
        <v>430</v>
      </c>
      <c r="B519" s="6">
        <v>6.9320000000000004</v>
      </c>
      <c r="I519" s="5" t="s">
        <v>1420</v>
      </c>
    </row>
    <row r="520" spans="1:9">
      <c r="A520" s="7">
        <v>17369</v>
      </c>
      <c r="B520" s="6">
        <v>6.9320000000000004</v>
      </c>
      <c r="I520" s="7">
        <v>32406</v>
      </c>
    </row>
    <row r="521" spans="1:9">
      <c r="A521" s="23">
        <v>2484685</v>
      </c>
      <c r="B521" s="22">
        <v>6.9320000000000004</v>
      </c>
      <c r="I521" s="5" t="s">
        <v>1421</v>
      </c>
    </row>
    <row r="522" spans="1:9">
      <c r="A522" s="24">
        <v>43844</v>
      </c>
      <c r="B522" s="22">
        <v>0.28699999999999998</v>
      </c>
      <c r="I522" s="7">
        <v>23126</v>
      </c>
    </row>
    <row r="523" spans="1:9">
      <c r="A523" s="24">
        <v>43853</v>
      </c>
      <c r="B523" s="22">
        <v>1.145</v>
      </c>
      <c r="I523" s="5" t="s">
        <v>1422</v>
      </c>
    </row>
    <row r="524" spans="1:9">
      <c r="A524" s="24">
        <v>44105</v>
      </c>
      <c r="B524" s="22">
        <v>5.5</v>
      </c>
      <c r="I524" s="7">
        <v>31087</v>
      </c>
    </row>
    <row r="525" spans="1:9">
      <c r="A525" s="5" t="s">
        <v>496</v>
      </c>
      <c r="B525" s="6">
        <v>0.191</v>
      </c>
      <c r="I525" s="5" t="s">
        <v>1423</v>
      </c>
    </row>
    <row r="526" spans="1:9">
      <c r="A526" s="7">
        <v>44139</v>
      </c>
      <c r="B526" s="6">
        <v>0.191</v>
      </c>
      <c r="I526" s="7">
        <v>34391</v>
      </c>
    </row>
    <row r="527" spans="1:9">
      <c r="A527" s="19">
        <v>13027262</v>
      </c>
      <c r="B527" s="6">
        <v>0.191</v>
      </c>
      <c r="I527" s="5" t="s">
        <v>1424</v>
      </c>
    </row>
    <row r="528" spans="1:9">
      <c r="A528" s="21">
        <v>44259</v>
      </c>
      <c r="B528" s="6">
        <v>0.191</v>
      </c>
      <c r="I528" s="7">
        <v>18517</v>
      </c>
    </row>
    <row r="529" spans="1:9">
      <c r="A529" s="5" t="s">
        <v>397</v>
      </c>
      <c r="B529" s="6"/>
      <c r="I529" s="5" t="s">
        <v>1425</v>
      </c>
    </row>
    <row r="530" spans="1:9">
      <c r="A530" s="18" t="s">
        <v>397</v>
      </c>
      <c r="B530" s="6"/>
      <c r="I530" s="7">
        <v>13929</v>
      </c>
    </row>
    <row r="531" spans="1:9">
      <c r="A531" s="19" t="s">
        <v>397</v>
      </c>
      <c r="B531" s="6"/>
      <c r="I531" s="5" t="s">
        <v>1426</v>
      </c>
    </row>
    <row r="532" spans="1:9">
      <c r="A532" s="20" t="s">
        <v>397</v>
      </c>
      <c r="B532" s="6"/>
      <c r="I532" s="7">
        <v>18357</v>
      </c>
    </row>
    <row r="533" spans="1:9">
      <c r="A533" s="5" t="s">
        <v>186</v>
      </c>
      <c r="B533" s="6">
        <v>280.77249999999998</v>
      </c>
      <c r="I533" s="5" t="s">
        <v>1427</v>
      </c>
    </row>
    <row r="534" spans="1:9">
      <c r="I534" s="18" t="s">
        <v>397</v>
      </c>
    </row>
    <row r="535" spans="1:9">
      <c r="I535" s="5" t="s">
        <v>1428</v>
      </c>
    </row>
    <row r="536" spans="1:9">
      <c r="I536" s="7">
        <v>15103</v>
      </c>
    </row>
    <row r="537" spans="1:9">
      <c r="I537" s="5" t="s">
        <v>1429</v>
      </c>
    </row>
    <row r="538" spans="1:9">
      <c r="I538" s="7">
        <v>37931</v>
      </c>
    </row>
    <row r="539" spans="1:9">
      <c r="I539" s="5" t="s">
        <v>1430</v>
      </c>
    </row>
    <row r="540" spans="1:9">
      <c r="I540" s="7">
        <v>35189</v>
      </c>
    </row>
    <row r="541" spans="1:9">
      <c r="I541" s="5" t="s">
        <v>1431</v>
      </c>
    </row>
    <row r="542" spans="1:9">
      <c r="I542" s="7">
        <v>18531</v>
      </c>
    </row>
    <row r="543" spans="1:9">
      <c r="I543" s="7">
        <v>18521</v>
      </c>
    </row>
    <row r="544" spans="1:9">
      <c r="I544" s="5" t="s">
        <v>1432</v>
      </c>
    </row>
    <row r="545" spans="9:9">
      <c r="I545" s="7">
        <v>18807</v>
      </c>
    </row>
    <row r="546" spans="9:9">
      <c r="I546" s="5" t="s">
        <v>1433</v>
      </c>
    </row>
    <row r="547" spans="9:9">
      <c r="I547" s="7">
        <v>21521</v>
      </c>
    </row>
    <row r="548" spans="9:9">
      <c r="I548" s="5" t="s">
        <v>1434</v>
      </c>
    </row>
    <row r="549" spans="9:9">
      <c r="I549" s="7">
        <v>13411</v>
      </c>
    </row>
    <row r="550" spans="9:9">
      <c r="I550" s="5" t="s">
        <v>1435</v>
      </c>
    </row>
    <row r="551" spans="9:9">
      <c r="I551" s="7">
        <v>22486</v>
      </c>
    </row>
    <row r="552" spans="9:9">
      <c r="I552" s="5" t="s">
        <v>1436</v>
      </c>
    </row>
    <row r="553" spans="9:9">
      <c r="I553" s="7">
        <v>22384</v>
      </c>
    </row>
    <row r="554" spans="9:9">
      <c r="I554" s="5" t="s">
        <v>1437</v>
      </c>
    </row>
    <row r="555" spans="9:9">
      <c r="I555" s="7">
        <v>14380</v>
      </c>
    </row>
    <row r="556" spans="9:9">
      <c r="I556" s="5" t="s">
        <v>1438</v>
      </c>
    </row>
    <row r="557" spans="9:9">
      <c r="I557" s="7">
        <v>18379</v>
      </c>
    </row>
    <row r="558" spans="9:9">
      <c r="I558" s="5" t="s">
        <v>1439</v>
      </c>
    </row>
    <row r="559" spans="9:9">
      <c r="I559" s="7">
        <v>15833</v>
      </c>
    </row>
    <row r="560" spans="9:9">
      <c r="I560" s="5" t="s">
        <v>1440</v>
      </c>
    </row>
    <row r="561" spans="9:9">
      <c r="I561" s="7">
        <v>22121</v>
      </c>
    </row>
    <row r="562" spans="9:9">
      <c r="I562" s="5" t="s">
        <v>1441</v>
      </c>
    </row>
    <row r="563" spans="9:9">
      <c r="I563" s="7">
        <v>13228</v>
      </c>
    </row>
    <row r="564" spans="9:9">
      <c r="I564" s="5" t="s">
        <v>1442</v>
      </c>
    </row>
    <row r="565" spans="9:9">
      <c r="I565" s="7">
        <v>28048</v>
      </c>
    </row>
    <row r="566" spans="9:9">
      <c r="I566" s="5" t="s">
        <v>1443</v>
      </c>
    </row>
    <row r="567" spans="9:9">
      <c r="I567" s="7">
        <v>22512</v>
      </c>
    </row>
    <row r="568" spans="9:9">
      <c r="I568" s="5" t="s">
        <v>1444</v>
      </c>
    </row>
    <row r="569" spans="9:9">
      <c r="I569" s="7">
        <v>24988</v>
      </c>
    </row>
    <row r="570" spans="9:9">
      <c r="I570" s="5" t="s">
        <v>1445</v>
      </c>
    </row>
    <row r="571" spans="9:9">
      <c r="I571" s="7">
        <v>19888</v>
      </c>
    </row>
    <row r="572" spans="9:9">
      <c r="I572" s="5" t="s">
        <v>1446</v>
      </c>
    </row>
    <row r="573" spans="9:9">
      <c r="I573" s="7">
        <v>24231</v>
      </c>
    </row>
    <row r="574" spans="9:9">
      <c r="I574" s="5" t="s">
        <v>1447</v>
      </c>
    </row>
    <row r="575" spans="9:9">
      <c r="I575" s="7">
        <v>30952</v>
      </c>
    </row>
    <row r="576" spans="9:9">
      <c r="I576" s="5" t="s">
        <v>1448</v>
      </c>
    </row>
    <row r="577" spans="9:9">
      <c r="I577" s="7">
        <v>24333</v>
      </c>
    </row>
    <row r="578" spans="9:9">
      <c r="I578" s="5" t="s">
        <v>1449</v>
      </c>
    </row>
    <row r="579" spans="9:9">
      <c r="I579" s="7">
        <v>16463</v>
      </c>
    </row>
    <row r="580" spans="9:9">
      <c r="I580" s="5" t="s">
        <v>1450</v>
      </c>
    </row>
    <row r="581" spans="9:9">
      <c r="I581" s="7">
        <v>16693</v>
      </c>
    </row>
    <row r="582" spans="9:9">
      <c r="I582" s="5" t="s">
        <v>1451</v>
      </c>
    </row>
    <row r="583" spans="9:9">
      <c r="I583" s="7">
        <v>20941</v>
      </c>
    </row>
    <row r="584" spans="9:9">
      <c r="I584" s="5" t="s">
        <v>1452</v>
      </c>
    </row>
    <row r="585" spans="9:9">
      <c r="I585" s="7">
        <v>16861</v>
      </c>
    </row>
    <row r="586" spans="9:9">
      <c r="I586" s="5" t="s">
        <v>1453</v>
      </c>
    </row>
    <row r="587" spans="9:9">
      <c r="I587" s="7">
        <v>18321</v>
      </c>
    </row>
    <row r="588" spans="9:9">
      <c r="I588" s="5" t="s">
        <v>1454</v>
      </c>
    </row>
    <row r="589" spans="9:9">
      <c r="I589" s="7">
        <v>30903</v>
      </c>
    </row>
    <row r="590" spans="9:9">
      <c r="I590" s="5" t="s">
        <v>1455</v>
      </c>
    </row>
    <row r="591" spans="9:9">
      <c r="I591" s="7">
        <v>23595</v>
      </c>
    </row>
    <row r="592" spans="9:9">
      <c r="I592" s="5" t="s">
        <v>1456</v>
      </c>
    </row>
    <row r="593" spans="9:9">
      <c r="I593" s="7">
        <v>22359</v>
      </c>
    </row>
    <row r="594" spans="9:9">
      <c r="I594" s="5" t="s">
        <v>1457</v>
      </c>
    </row>
    <row r="595" spans="9:9">
      <c r="I595" s="7">
        <v>27051</v>
      </c>
    </row>
    <row r="596" spans="9:9">
      <c r="I596" s="5" t="s">
        <v>1458</v>
      </c>
    </row>
    <row r="597" spans="9:9">
      <c r="I597" s="7">
        <v>20475</v>
      </c>
    </row>
    <row r="598" spans="9:9">
      <c r="I598" s="5" t="s">
        <v>1459</v>
      </c>
    </row>
    <row r="599" spans="9:9">
      <c r="I599" s="7">
        <v>37284</v>
      </c>
    </row>
    <row r="600" spans="9:9">
      <c r="I600" s="5" t="s">
        <v>1460</v>
      </c>
    </row>
    <row r="601" spans="9:9">
      <c r="I601" s="7">
        <v>14894</v>
      </c>
    </row>
    <row r="602" spans="9:9">
      <c r="I602" s="5" t="s">
        <v>1461</v>
      </c>
    </row>
    <row r="603" spans="9:9">
      <c r="I603" s="7">
        <v>13632</v>
      </c>
    </row>
    <row r="604" spans="9:9">
      <c r="I604" s="5" t="s">
        <v>1462</v>
      </c>
    </row>
    <row r="605" spans="9:9">
      <c r="I605" s="7">
        <v>11679</v>
      </c>
    </row>
    <row r="606" spans="9:9">
      <c r="I606" s="5" t="s">
        <v>1463</v>
      </c>
    </row>
    <row r="607" spans="9:9">
      <c r="I607" s="7">
        <v>25309</v>
      </c>
    </row>
    <row r="608" spans="9:9">
      <c r="I608" s="5" t="s">
        <v>1464</v>
      </c>
    </row>
    <row r="609" spans="9:9">
      <c r="I609" s="7">
        <v>18037</v>
      </c>
    </row>
    <row r="610" spans="9:9">
      <c r="I610" s="5" t="s">
        <v>1465</v>
      </c>
    </row>
    <row r="611" spans="9:9">
      <c r="I611" s="7">
        <v>43041</v>
      </c>
    </row>
    <row r="612" spans="9:9">
      <c r="I612" s="5" t="s">
        <v>1466</v>
      </c>
    </row>
    <row r="613" spans="9:9">
      <c r="I613" s="7">
        <v>23696</v>
      </c>
    </row>
    <row r="614" spans="9:9">
      <c r="I614" s="5" t="s">
        <v>1467</v>
      </c>
    </row>
    <row r="615" spans="9:9">
      <c r="I615" s="7">
        <v>25787</v>
      </c>
    </row>
    <row r="616" spans="9:9">
      <c r="I616" s="5" t="s">
        <v>1468</v>
      </c>
    </row>
    <row r="617" spans="9:9">
      <c r="I617" s="7">
        <v>23750</v>
      </c>
    </row>
    <row r="618" spans="9:9">
      <c r="I618" s="5" t="s">
        <v>1469</v>
      </c>
    </row>
    <row r="619" spans="9:9">
      <c r="I619" s="7">
        <v>39086</v>
      </c>
    </row>
    <row r="620" spans="9:9">
      <c r="I620" s="5" t="s">
        <v>1470</v>
      </c>
    </row>
    <row r="621" spans="9:9">
      <c r="I621" s="7">
        <v>44249</v>
      </c>
    </row>
    <row r="622" spans="9:9">
      <c r="I622" s="5" t="s">
        <v>1471</v>
      </c>
    </row>
    <row r="623" spans="9:9">
      <c r="I623" s="7">
        <v>19632</v>
      </c>
    </row>
    <row r="624" spans="9:9">
      <c r="I624" s="5" t="s">
        <v>1472</v>
      </c>
    </row>
    <row r="625" spans="9:9">
      <c r="I625" s="7">
        <v>15485</v>
      </c>
    </row>
    <row r="626" spans="9:9">
      <c r="I626" s="5" t="s">
        <v>1473</v>
      </c>
    </row>
    <row r="627" spans="9:9">
      <c r="I627" s="7">
        <v>20767</v>
      </c>
    </row>
    <row r="628" spans="9:9">
      <c r="I628" s="5" t="s">
        <v>1474</v>
      </c>
    </row>
    <row r="629" spans="9:9">
      <c r="I629" s="7">
        <v>17021</v>
      </c>
    </row>
    <row r="630" spans="9:9">
      <c r="I630" s="5" t="s">
        <v>1475</v>
      </c>
    </row>
    <row r="631" spans="9:9">
      <c r="I631" s="7">
        <v>21617</v>
      </c>
    </row>
    <row r="632" spans="9:9">
      <c r="I632" s="5" t="s">
        <v>1476</v>
      </c>
    </row>
    <row r="633" spans="9:9">
      <c r="I633" s="7">
        <v>38327</v>
      </c>
    </row>
    <row r="634" spans="9:9">
      <c r="I634" s="5" t="s">
        <v>1477</v>
      </c>
    </row>
    <row r="635" spans="9:9">
      <c r="I635" s="7">
        <v>16307</v>
      </c>
    </row>
    <row r="636" spans="9:9">
      <c r="I636" s="5" t="s">
        <v>1478</v>
      </c>
    </row>
    <row r="637" spans="9:9">
      <c r="I637" s="7">
        <v>19086</v>
      </c>
    </row>
    <row r="638" spans="9:9">
      <c r="I638" s="5" t="s">
        <v>1479</v>
      </c>
    </row>
    <row r="639" spans="9:9">
      <c r="I639" s="7">
        <v>21750</v>
      </c>
    </row>
    <row r="640" spans="9:9">
      <c r="I640" s="5" t="s">
        <v>1480</v>
      </c>
    </row>
    <row r="641" spans="9:9">
      <c r="I641" s="7">
        <v>15224</v>
      </c>
    </row>
    <row r="642" spans="9:9">
      <c r="I642" s="5" t="s">
        <v>1481</v>
      </c>
    </row>
    <row r="643" spans="9:9">
      <c r="I643" s="7">
        <v>24254</v>
      </c>
    </row>
    <row r="644" spans="9:9">
      <c r="I644" s="5" t="s">
        <v>1482</v>
      </c>
    </row>
    <row r="645" spans="9:9">
      <c r="I645" s="7">
        <v>17809</v>
      </c>
    </row>
    <row r="646" spans="9:9">
      <c r="I646" s="5" t="s">
        <v>1483</v>
      </c>
    </row>
    <row r="647" spans="9:9">
      <c r="I647" s="7">
        <v>24048</v>
      </c>
    </row>
    <row r="648" spans="9:9">
      <c r="I648" s="5" t="s">
        <v>1484</v>
      </c>
    </row>
    <row r="649" spans="9:9">
      <c r="I649" s="7">
        <v>39005</v>
      </c>
    </row>
    <row r="650" spans="9:9">
      <c r="I650" s="5" t="s">
        <v>1485</v>
      </c>
    </row>
    <row r="651" spans="9:9">
      <c r="I651" s="7">
        <v>27804</v>
      </c>
    </row>
    <row r="652" spans="9:9">
      <c r="I652" s="5" t="s">
        <v>1486</v>
      </c>
    </row>
    <row r="653" spans="9:9">
      <c r="I653" s="7">
        <v>11008</v>
      </c>
    </row>
    <row r="654" spans="9:9">
      <c r="I654" s="5" t="s">
        <v>1487</v>
      </c>
    </row>
    <row r="655" spans="9:9">
      <c r="I655" s="7">
        <v>13424</v>
      </c>
    </row>
    <row r="656" spans="9:9">
      <c r="I656" s="5" t="s">
        <v>1488</v>
      </c>
    </row>
    <row r="657" spans="9:9">
      <c r="I657" s="7">
        <v>23282</v>
      </c>
    </row>
    <row r="658" spans="9:9">
      <c r="I658" s="5" t="s">
        <v>1489</v>
      </c>
    </row>
    <row r="659" spans="9:9">
      <c r="I659" s="7">
        <v>12777</v>
      </c>
    </row>
    <row r="660" spans="9:9">
      <c r="I660" s="5" t="s">
        <v>1490</v>
      </c>
    </row>
    <row r="661" spans="9:9">
      <c r="I661" s="7">
        <v>20488</v>
      </c>
    </row>
    <row r="662" spans="9:9">
      <c r="I662" s="5" t="s">
        <v>1491</v>
      </c>
    </row>
    <row r="663" spans="9:9">
      <c r="I663" s="7">
        <v>22257</v>
      </c>
    </row>
    <row r="664" spans="9:9">
      <c r="I664" s="5" t="s">
        <v>1492</v>
      </c>
    </row>
    <row r="665" spans="9:9">
      <c r="I665" s="7">
        <v>15410</v>
      </c>
    </row>
    <row r="666" spans="9:9">
      <c r="I666" s="5" t="s">
        <v>1493</v>
      </c>
    </row>
    <row r="667" spans="9:9">
      <c r="I667" s="7">
        <v>22156</v>
      </c>
    </row>
    <row r="668" spans="9:9">
      <c r="I668" s="5" t="s">
        <v>1494</v>
      </c>
    </row>
    <row r="669" spans="9:9">
      <c r="I669" s="7">
        <v>44179</v>
      </c>
    </row>
    <row r="670" spans="9:9">
      <c r="I670" s="5" t="s">
        <v>1495</v>
      </c>
    </row>
    <row r="671" spans="9:9">
      <c r="I671" s="7">
        <v>37724</v>
      </c>
    </row>
    <row r="672" spans="9:9">
      <c r="I672" s="5" t="s">
        <v>1496</v>
      </c>
    </row>
    <row r="673" spans="9:9">
      <c r="I673" s="7">
        <v>16353</v>
      </c>
    </row>
    <row r="674" spans="9:9">
      <c r="I674" s="5" t="s">
        <v>1497</v>
      </c>
    </row>
    <row r="675" spans="9:9">
      <c r="I675" s="7">
        <v>27090</v>
      </c>
    </row>
    <row r="676" spans="9:9">
      <c r="I676" s="5" t="s">
        <v>1498</v>
      </c>
    </row>
    <row r="677" spans="9:9">
      <c r="I677" s="7">
        <v>16025</v>
      </c>
    </row>
    <row r="678" spans="9:9">
      <c r="I678" s="5" t="s">
        <v>1499</v>
      </c>
    </row>
    <row r="679" spans="9:9">
      <c r="I679" s="7">
        <v>18285</v>
      </c>
    </row>
    <row r="680" spans="9:9">
      <c r="I680" s="5" t="s">
        <v>1500</v>
      </c>
    </row>
    <row r="681" spans="9:9">
      <c r="I681" s="7">
        <v>27151</v>
      </c>
    </row>
    <row r="682" spans="9:9">
      <c r="I682" s="5" t="s">
        <v>1501</v>
      </c>
    </row>
    <row r="683" spans="9:9">
      <c r="I683" s="7">
        <v>19007</v>
      </c>
    </row>
    <row r="684" spans="9:9">
      <c r="I684" s="5" t="s">
        <v>1502</v>
      </c>
    </row>
    <row r="685" spans="9:9">
      <c r="I685" s="7">
        <v>42594</v>
      </c>
    </row>
    <row r="686" spans="9:9">
      <c r="I686" s="5" t="s">
        <v>1503</v>
      </c>
    </row>
    <row r="687" spans="9:9">
      <c r="I687" s="7">
        <v>20630</v>
      </c>
    </row>
    <row r="688" spans="9:9">
      <c r="I688" s="5" t="s">
        <v>1504</v>
      </c>
    </row>
    <row r="689" spans="9:9">
      <c r="I689" s="7">
        <v>23794</v>
      </c>
    </row>
    <row r="690" spans="9:9">
      <c r="I690" s="5" t="s">
        <v>1505</v>
      </c>
    </row>
    <row r="691" spans="9:9">
      <c r="I691" s="7">
        <v>43360</v>
      </c>
    </row>
    <row r="692" spans="9:9">
      <c r="I692" s="5" t="s">
        <v>1506</v>
      </c>
    </row>
    <row r="693" spans="9:9">
      <c r="I693" s="7">
        <v>42720</v>
      </c>
    </row>
    <row r="694" spans="9:9">
      <c r="I694" s="5" t="s">
        <v>1507</v>
      </c>
    </row>
    <row r="695" spans="9:9">
      <c r="I695" s="7">
        <v>19052</v>
      </c>
    </row>
    <row r="696" spans="9:9">
      <c r="I696" s="5" t="s">
        <v>1508</v>
      </c>
    </row>
    <row r="697" spans="9:9">
      <c r="I697" s="7">
        <v>14155</v>
      </c>
    </row>
    <row r="698" spans="9:9">
      <c r="I698" s="5" t="s">
        <v>1509</v>
      </c>
    </row>
    <row r="699" spans="9:9">
      <c r="I699" s="7">
        <v>15321</v>
      </c>
    </row>
    <row r="700" spans="9:9">
      <c r="I700" s="5" t="s">
        <v>1510</v>
      </c>
    </row>
    <row r="701" spans="9:9">
      <c r="I701" s="7">
        <v>15903</v>
      </c>
    </row>
    <row r="702" spans="9:9">
      <c r="I702" s="5" t="s">
        <v>1511</v>
      </c>
    </row>
    <row r="703" spans="9:9">
      <c r="I703" s="7">
        <v>29127</v>
      </c>
    </row>
    <row r="704" spans="9:9">
      <c r="I704" s="5" t="s">
        <v>1512</v>
      </c>
    </row>
    <row r="705" spans="9:9">
      <c r="I705" s="7">
        <v>28482</v>
      </c>
    </row>
    <row r="706" spans="9:9">
      <c r="I706" s="5" t="s">
        <v>1513</v>
      </c>
    </row>
    <row r="707" spans="9:9">
      <c r="I707" s="7">
        <v>40783</v>
      </c>
    </row>
    <row r="708" spans="9:9">
      <c r="I708" s="5" t="s">
        <v>1514</v>
      </c>
    </row>
    <row r="709" spans="9:9">
      <c r="I709" s="7">
        <v>44267</v>
      </c>
    </row>
    <row r="710" spans="9:9">
      <c r="I710" s="5" t="s">
        <v>1515</v>
      </c>
    </row>
    <row r="711" spans="9:9">
      <c r="I711" s="7">
        <v>12068</v>
      </c>
    </row>
    <row r="712" spans="9:9">
      <c r="I712" s="5" t="s">
        <v>1516</v>
      </c>
    </row>
    <row r="713" spans="9:9">
      <c r="I713" s="7">
        <v>18246</v>
      </c>
    </row>
    <row r="714" spans="9:9">
      <c r="I714" s="5" t="s">
        <v>1517</v>
      </c>
    </row>
    <row r="715" spans="9:9">
      <c r="I715" s="7">
        <v>24208</v>
      </c>
    </row>
    <row r="716" spans="9:9">
      <c r="I716" s="5" t="s">
        <v>1518</v>
      </c>
    </row>
    <row r="717" spans="9:9">
      <c r="I717" s="7">
        <v>42716</v>
      </c>
    </row>
    <row r="718" spans="9:9">
      <c r="I718" s="5" t="s">
        <v>1519</v>
      </c>
    </row>
    <row r="719" spans="9:9">
      <c r="I719" s="7">
        <v>41800</v>
      </c>
    </row>
    <row r="720" spans="9:9">
      <c r="I720" s="5" t="s">
        <v>1520</v>
      </c>
    </row>
    <row r="721" spans="9:9">
      <c r="I721" s="7">
        <v>18692</v>
      </c>
    </row>
    <row r="722" spans="9:9">
      <c r="I722" s="5" t="s">
        <v>1521</v>
      </c>
    </row>
    <row r="723" spans="9:9">
      <c r="I723" s="7">
        <v>43682</v>
      </c>
    </row>
    <row r="724" spans="9:9">
      <c r="I724" s="5" t="s">
        <v>1522</v>
      </c>
    </row>
    <row r="725" spans="9:9">
      <c r="I725" s="7">
        <v>21466</v>
      </c>
    </row>
    <row r="726" spans="9:9">
      <c r="I726" s="5" t="s">
        <v>1523</v>
      </c>
    </row>
    <row r="727" spans="9:9">
      <c r="I727" s="7">
        <v>33613</v>
      </c>
    </row>
    <row r="728" spans="9:9">
      <c r="I728" s="5" t="s">
        <v>1524</v>
      </c>
    </row>
    <row r="729" spans="9:9">
      <c r="I729" s="7">
        <v>12846</v>
      </c>
    </row>
    <row r="730" spans="9:9">
      <c r="I730" s="5" t="s">
        <v>1525</v>
      </c>
    </row>
    <row r="731" spans="9:9">
      <c r="I731" s="7">
        <v>39449</v>
      </c>
    </row>
    <row r="732" spans="9:9">
      <c r="I732" s="5" t="s">
        <v>1526</v>
      </c>
    </row>
    <row r="733" spans="9:9">
      <c r="I733" s="7">
        <v>25934</v>
      </c>
    </row>
    <row r="734" spans="9:9">
      <c r="I734" s="5" t="s">
        <v>1527</v>
      </c>
    </row>
    <row r="735" spans="9:9">
      <c r="I735" s="7">
        <v>21473</v>
      </c>
    </row>
    <row r="736" spans="9:9">
      <c r="I736" s="5" t="s">
        <v>1528</v>
      </c>
    </row>
    <row r="737" spans="9:9">
      <c r="I737" s="7">
        <v>12940</v>
      </c>
    </row>
    <row r="738" spans="9:9">
      <c r="I738" s="5" t="s">
        <v>1529</v>
      </c>
    </row>
    <row r="739" spans="9:9">
      <c r="I739" s="7">
        <v>17598</v>
      </c>
    </row>
    <row r="740" spans="9:9">
      <c r="I740" s="5" t="s">
        <v>1530</v>
      </c>
    </row>
    <row r="741" spans="9:9">
      <c r="I741" s="7">
        <v>37970</v>
      </c>
    </row>
    <row r="742" spans="9:9">
      <c r="I742" s="5" t="s">
        <v>1531</v>
      </c>
    </row>
    <row r="743" spans="9:9">
      <c r="I743" s="7">
        <v>12839</v>
      </c>
    </row>
    <row r="744" spans="9:9">
      <c r="I744" s="5" t="s">
        <v>1532</v>
      </c>
    </row>
    <row r="745" spans="9:9">
      <c r="I745" s="7">
        <v>15905</v>
      </c>
    </row>
    <row r="746" spans="9:9">
      <c r="I746" s="5" t="s">
        <v>1533</v>
      </c>
    </row>
    <row r="747" spans="9:9">
      <c r="I747" s="7">
        <v>23315</v>
      </c>
    </row>
    <row r="748" spans="9:9">
      <c r="I748" s="5" t="s">
        <v>1534</v>
      </c>
    </row>
    <row r="749" spans="9:9">
      <c r="I749" s="7">
        <v>14165</v>
      </c>
    </row>
    <row r="750" spans="9:9">
      <c r="I750" s="5" t="s">
        <v>1535</v>
      </c>
    </row>
    <row r="751" spans="9:9">
      <c r="I751" s="7">
        <v>41425</v>
      </c>
    </row>
    <row r="752" spans="9:9">
      <c r="I752" s="5" t="s">
        <v>1536</v>
      </c>
    </row>
    <row r="753" spans="9:9">
      <c r="I753" s="7">
        <v>14062</v>
      </c>
    </row>
    <row r="754" spans="9:9">
      <c r="I754" s="5" t="s">
        <v>1537</v>
      </c>
    </row>
    <row r="755" spans="9:9">
      <c r="I755" s="7">
        <v>41034</v>
      </c>
    </row>
    <row r="756" spans="9:9">
      <c r="I756" s="5" t="s">
        <v>1538</v>
      </c>
    </row>
    <row r="757" spans="9:9">
      <c r="I757" s="7">
        <v>39541</v>
      </c>
    </row>
    <row r="758" spans="9:9">
      <c r="I758" s="5" t="s">
        <v>1539</v>
      </c>
    </row>
    <row r="759" spans="9:9">
      <c r="I759" s="7">
        <v>43200</v>
      </c>
    </row>
    <row r="760" spans="9:9">
      <c r="I760" s="5" t="s">
        <v>1540</v>
      </c>
    </row>
    <row r="761" spans="9:9">
      <c r="I761" s="7">
        <v>18023</v>
      </c>
    </row>
    <row r="762" spans="9:9">
      <c r="I762" s="5" t="s">
        <v>1541</v>
      </c>
    </row>
    <row r="763" spans="9:9">
      <c r="I763" s="7">
        <v>40494</v>
      </c>
    </row>
    <row r="764" spans="9:9">
      <c r="I764" s="5" t="s">
        <v>1542</v>
      </c>
    </row>
    <row r="765" spans="9:9">
      <c r="I765" s="7">
        <v>15331</v>
      </c>
    </row>
    <row r="766" spans="9:9">
      <c r="I766" s="5" t="s">
        <v>1543</v>
      </c>
    </row>
    <row r="767" spans="9:9">
      <c r="I767" s="7">
        <v>44268</v>
      </c>
    </row>
    <row r="768" spans="9:9">
      <c r="I768" s="5" t="s">
        <v>1544</v>
      </c>
    </row>
    <row r="769" spans="9:9">
      <c r="I769" s="7">
        <v>25491</v>
      </c>
    </row>
    <row r="770" spans="9:9">
      <c r="I770" s="5" t="s">
        <v>1545</v>
      </c>
    </row>
    <row r="771" spans="9:9">
      <c r="I771" s="7">
        <v>14544</v>
      </c>
    </row>
    <row r="772" spans="9:9">
      <c r="I772" s="5" t="s">
        <v>1546</v>
      </c>
    </row>
    <row r="773" spans="9:9">
      <c r="I773" s="7">
        <v>42337</v>
      </c>
    </row>
    <row r="774" spans="9:9">
      <c r="I774" s="5" t="s">
        <v>1547</v>
      </c>
    </row>
    <row r="775" spans="9:9">
      <c r="I775" s="7">
        <v>37887</v>
      </c>
    </row>
    <row r="776" spans="9:9">
      <c r="I776" s="5" t="s">
        <v>1548</v>
      </c>
    </row>
    <row r="777" spans="9:9">
      <c r="I777" s="7">
        <v>23397</v>
      </c>
    </row>
    <row r="778" spans="9:9">
      <c r="I778" s="5" t="s">
        <v>1549</v>
      </c>
    </row>
    <row r="779" spans="9:9">
      <c r="I779" s="7">
        <v>21644</v>
      </c>
    </row>
    <row r="780" spans="9:9">
      <c r="I780" s="5" t="s">
        <v>1550</v>
      </c>
    </row>
    <row r="781" spans="9:9">
      <c r="I781" s="7">
        <v>43978</v>
      </c>
    </row>
    <row r="782" spans="9:9">
      <c r="I782" s="5" t="s">
        <v>1551</v>
      </c>
    </row>
    <row r="783" spans="9:9">
      <c r="I783" s="7">
        <v>40202</v>
      </c>
    </row>
    <row r="784" spans="9:9">
      <c r="I784" s="5" t="s">
        <v>1552</v>
      </c>
    </row>
    <row r="785" spans="9:9">
      <c r="I785" s="7">
        <v>38652</v>
      </c>
    </row>
    <row r="786" spans="9:9">
      <c r="I786" s="5" t="s">
        <v>1553</v>
      </c>
    </row>
    <row r="787" spans="9:9">
      <c r="I787" s="7">
        <v>26498</v>
      </c>
    </row>
    <row r="788" spans="9:9">
      <c r="I788" s="5" t="s">
        <v>1554</v>
      </c>
    </row>
    <row r="789" spans="9:9">
      <c r="I789" s="7">
        <v>24285</v>
      </c>
    </row>
    <row r="790" spans="9:9">
      <c r="I790" s="5" t="s">
        <v>1555</v>
      </c>
    </row>
    <row r="791" spans="9:9">
      <c r="I791" s="7">
        <v>15413</v>
      </c>
    </row>
    <row r="792" spans="9:9">
      <c r="I792" s="5" t="s">
        <v>1556</v>
      </c>
    </row>
    <row r="793" spans="9:9">
      <c r="I793" s="7">
        <v>29063</v>
      </c>
    </row>
    <row r="794" spans="9:9">
      <c r="I794" s="5" t="s">
        <v>1557</v>
      </c>
    </row>
    <row r="795" spans="9:9">
      <c r="I795" s="7">
        <v>44316</v>
      </c>
    </row>
    <row r="796" spans="9:9">
      <c r="I796" s="5" t="s">
        <v>1558</v>
      </c>
    </row>
    <row r="797" spans="9:9">
      <c r="I797" s="7">
        <v>11211</v>
      </c>
    </row>
    <row r="798" spans="9:9">
      <c r="I798" s="5" t="s">
        <v>1559</v>
      </c>
    </row>
    <row r="799" spans="9:9">
      <c r="I799" s="7">
        <v>15526</v>
      </c>
    </row>
    <row r="800" spans="9:9">
      <c r="I800" s="5" t="s">
        <v>1560</v>
      </c>
    </row>
    <row r="801" spans="9:9">
      <c r="I801" s="7">
        <v>42986</v>
      </c>
    </row>
    <row r="802" spans="9:9">
      <c r="I802" s="5" t="s">
        <v>1561</v>
      </c>
    </row>
    <row r="803" spans="9:9">
      <c r="I803" s="7">
        <v>43905</v>
      </c>
    </row>
    <row r="804" spans="9:9">
      <c r="I804" s="5" t="s">
        <v>1562</v>
      </c>
    </row>
    <row r="805" spans="9:9">
      <c r="I805" s="7">
        <v>41427</v>
      </c>
    </row>
    <row r="806" spans="9:9">
      <c r="I806" s="5" t="s">
        <v>1563</v>
      </c>
    </row>
    <row r="807" spans="9:9">
      <c r="I807" s="7">
        <v>43643</v>
      </c>
    </row>
    <row r="808" spans="9:9">
      <c r="I808" s="5" t="s">
        <v>1564</v>
      </c>
    </row>
    <row r="809" spans="9:9">
      <c r="I809" s="7">
        <v>43973</v>
      </c>
    </row>
    <row r="810" spans="9:9">
      <c r="I810" s="5" t="s">
        <v>1565</v>
      </c>
    </row>
    <row r="811" spans="9:9">
      <c r="I811" s="7">
        <v>43949</v>
      </c>
    </row>
    <row r="812" spans="9:9">
      <c r="I812" s="5" t="s">
        <v>1566</v>
      </c>
    </row>
    <row r="813" spans="9:9">
      <c r="I813" s="7">
        <v>39551</v>
      </c>
    </row>
    <row r="814" spans="9:9">
      <c r="I814" s="5" t="s">
        <v>1567</v>
      </c>
    </row>
    <row r="815" spans="9:9">
      <c r="I815" s="7">
        <v>39086</v>
      </c>
    </row>
    <row r="816" spans="9:9">
      <c r="I816" s="5" t="s">
        <v>1568</v>
      </c>
    </row>
    <row r="817" spans="9:9">
      <c r="I817" s="7">
        <v>40595</v>
      </c>
    </row>
    <row r="818" spans="9:9">
      <c r="I818" s="5" t="s">
        <v>1569</v>
      </c>
    </row>
    <row r="819" spans="9:9">
      <c r="I819" s="7">
        <v>40956</v>
      </c>
    </row>
    <row r="820" spans="9:9">
      <c r="I820" s="5" t="s">
        <v>1570</v>
      </c>
    </row>
    <row r="821" spans="9:9">
      <c r="I821" s="7">
        <v>44145</v>
      </c>
    </row>
    <row r="822" spans="9:9">
      <c r="I822" s="5" t="s">
        <v>1571</v>
      </c>
    </row>
    <row r="823" spans="9:9">
      <c r="I823" s="7">
        <v>16757</v>
      </c>
    </row>
    <row r="824" spans="9:9">
      <c r="I824" s="5" t="s">
        <v>1572</v>
      </c>
    </row>
    <row r="825" spans="9:9">
      <c r="I825" s="7">
        <v>42633</v>
      </c>
    </row>
    <row r="826" spans="9:9">
      <c r="I826" s="5" t="s">
        <v>1573</v>
      </c>
    </row>
    <row r="827" spans="9:9">
      <c r="I827" s="7">
        <v>19591</v>
      </c>
    </row>
    <row r="828" spans="9:9">
      <c r="I828" s="5" t="s">
        <v>1574</v>
      </c>
    </row>
    <row r="829" spans="9:9">
      <c r="I829" s="7">
        <v>20522</v>
      </c>
    </row>
    <row r="830" spans="9:9">
      <c r="I830" s="5" t="s">
        <v>1575</v>
      </c>
    </row>
    <row r="831" spans="9:9">
      <c r="I831" s="7">
        <v>44299</v>
      </c>
    </row>
    <row r="832" spans="9:9">
      <c r="I832" s="5" t="s">
        <v>1576</v>
      </c>
    </row>
    <row r="833" spans="9:9">
      <c r="I833" s="7">
        <v>39059</v>
      </c>
    </row>
    <row r="834" spans="9:9">
      <c r="I834" s="5" t="s">
        <v>1577</v>
      </c>
    </row>
    <row r="835" spans="9:9">
      <c r="I835" s="7">
        <v>44014</v>
      </c>
    </row>
    <row r="836" spans="9:9">
      <c r="I836" s="5" t="s">
        <v>1578</v>
      </c>
    </row>
    <row r="837" spans="9:9">
      <c r="I837" s="7">
        <v>38988</v>
      </c>
    </row>
    <row r="838" spans="9:9">
      <c r="I838" s="5" t="s">
        <v>1579</v>
      </c>
    </row>
    <row r="839" spans="9:9">
      <c r="I839" s="7">
        <v>43998</v>
      </c>
    </row>
    <row r="840" spans="9:9">
      <c r="I840" s="5" t="s">
        <v>1580</v>
      </c>
    </row>
    <row r="841" spans="9:9">
      <c r="I841" s="7">
        <v>41236</v>
      </c>
    </row>
    <row r="842" spans="9:9">
      <c r="I842" s="5" t="s">
        <v>1581</v>
      </c>
    </row>
    <row r="843" spans="9:9">
      <c r="I843" s="7">
        <v>39700</v>
      </c>
    </row>
    <row r="844" spans="9:9">
      <c r="I844" s="5" t="s">
        <v>1582</v>
      </c>
    </row>
    <row r="845" spans="9:9">
      <c r="I845" s="7">
        <v>44225</v>
      </c>
    </row>
    <row r="846" spans="9:9">
      <c r="I846" s="5" t="s">
        <v>1583</v>
      </c>
    </row>
    <row r="847" spans="9:9">
      <c r="I847" s="7">
        <v>43600</v>
      </c>
    </row>
    <row r="848" spans="9:9">
      <c r="I848" s="5" t="s">
        <v>1584</v>
      </c>
    </row>
    <row r="849" spans="9:9">
      <c r="I849" s="7">
        <v>20354</v>
      </c>
    </row>
    <row r="850" spans="9:9">
      <c r="I850" s="5" t="s">
        <v>1585</v>
      </c>
    </row>
    <row r="851" spans="9:9">
      <c r="I851" s="18" t="s">
        <v>397</v>
      </c>
    </row>
    <row r="852" spans="9:9">
      <c r="I852" s="5" t="s">
        <v>186</v>
      </c>
    </row>
  </sheetData>
  <conditionalFormatting pivot="1" sqref="B4 B5 B6 B7 B8 B9 B10 B11 B12 B13 B14 B15:B16 B17 B18 B19 B20 B21 B22 B23 B24:B25 B26 B27 B28 B29 B30 B31 B32 B33 B34 B35 B36 B37:B38 B39 B40 B41 B42:B43 B44 B45 B46 B47:B51 B52 B53 B54 B55 B56 B57 B58 B59 B60 B61 B62 B63:B64 B65 B66 B67 B68 B69 B70 B71 B72 B73 B74 B75 B76 B77 B78 B79 B80 B81 B82 B83 B84 B85 B86 B87 B88 B89 B90 B91 B92 B93 B94 B95 B96 B97 B98 B99 B100 B101 B102 B103 B104:B108 B109 B110 B111 B112:B113 B114 B115 B116 B117 B118 B119 B120 B121 B122 B123 B124 B125 B126 B127 B128 B129 B130 B131 B132 B133 B134 B135 B136 B137 B138 B139 B140 B141 B142 B143 B144 B145 B146 B147 B148 B149:B150 B151 B152 B153 B154 B155 B156 B157 B158 B159 B160 B161 B162 B163 B164 B165 B166 B167 B168 B169 B170 B171 B172 B173 B174 B175 B176 B177 B178 B179 B180 B181 B182 B183 B184 B185 B186:B187 B188 B189 B190 B191 B192 B193 B194 B195 B196 B197 B198 B199 B200 B201 B202 B203 B204 B205 B206 B207 B208 B209 B210 B211 B212 B213 B214 B215:B217 B218 B219 B220 B221:B223 B224 B225 B226 B227 B228 B229 B230 B231:B232 B233 B234 B235 B236 B237 B238 B239 B240 B241 B242 B243 B244:B245 B246 B247 B248 B249:B250 B251 B252 B253 B254 B255 B256 B257 B258 B259 B260 B261 B262 B263 B264 B265 B266 B267 B268 B269 B270 B271 B272 B273 B274:B276 B277 B278 B279 B280 B281 B282 B283 B284 B285 B286 B287 B288 B289 B290 B291 B292:B293 B294 B295 B296 B297 B298 B299 B300 B301:B302 B303 B304 B305 B306:B307 B308 B309 B310 B311 B312 B313 B314 B315 B316 B317 B318 B319 B320 B321 B322 B323 B324 B325 B326 B327 B328 B329 B330 B331 B332 B333 B334 B335 B336 B337 B338 B339 B340 B341 B342 B343 B344 B345 B346 B347 B348 B349 B350 B351 B352 B353 B354 B355 B356 B357 B358 B359 B360 B361 B362 B363 B364 B365 B366 B367 B368 B369 B370 B371 B372 B373 B374 B375 B376 B377 B378 B379 B380 B381 B382 B383 B384 B385 B386 B387 B388 B389 B390 B391 B392 B393 B394 B395 B396 B397 B398 B399 B400 B401 B402 B403:B404 B405 B406 B407 B408 B409 B410 B411 B412 B413 B414 B415 B416 B417 B418 B419 B420 B421 B422 B423 B424 B425 B426 B427 B428 B429 B430 B431 B432 B433 B434 B435 B436 B437 B438 B439 B440 B441 B442 B443 B444 B445 B446 B447 B448 B449 B450 B451 B452 B453 B454 B455 B456 B457 B458 B459 B460 B461 B462 B463 B464:B465 B466 B467 B468 B469 B470 B471 B472 B473 B474 B475 B476 B477:B478 B479 B480 B481 B482:B483 B484 B485 B486 B487:B488 B489 B490 B491 B492 B493 B494 B495 B496:B497 B498 B499 B500 B501 B502 B503 B504 B505:B506 B507 B508 B509 B510 B511 B512 B513 B514 B515 B516 B517 B518 B519 B520 B521 B522:B524 B525 B526 B527 B528 B529 B530 B531 B532">
    <cfRule type="cellIs" dxfId="13" priority="1" operator="greaterThan">
      <formula>3</formula>
    </cfRule>
  </conditionalFormatting>
  <pageMargins left="0.7" right="0.7" top="0.75" bottom="0.75" header="0.3" footer="0.3"/>
  <pageSetup paperSize="9" orientation="portrait"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D4:K14"/>
  <sheetViews>
    <sheetView zoomScaleNormal="100" workbookViewId="0">
      <selection activeCell="N8" sqref="N8"/>
    </sheetView>
  </sheetViews>
  <sheetFormatPr baseColWidth="10" defaultRowHeight="15"/>
  <cols>
    <col min="4" max="4" width="16.42578125" customWidth="1"/>
    <col min="5" max="5" width="11.85546875" bestFit="1" customWidth="1"/>
    <col min="7" max="7" width="8.5703125" bestFit="1" customWidth="1"/>
    <col min="8" max="8" width="8.85546875" bestFit="1" customWidth="1"/>
    <col min="9" max="9" width="9.85546875" bestFit="1" customWidth="1"/>
    <col min="10" max="10" width="19.5703125" bestFit="1" customWidth="1"/>
    <col min="11" max="11" width="8.7109375" bestFit="1" customWidth="1"/>
  </cols>
  <sheetData>
    <row r="4" spans="4:11" ht="15.75">
      <c r="G4" s="17" t="s">
        <v>370</v>
      </c>
      <c r="H4" s="17" t="s">
        <v>371</v>
      </c>
      <c r="I4" s="17" t="s">
        <v>374</v>
      </c>
      <c r="J4" s="17" t="s">
        <v>372</v>
      </c>
      <c r="K4" s="16" t="s">
        <v>373</v>
      </c>
    </row>
    <row r="5" spans="4:11">
      <c r="G5">
        <v>0</v>
      </c>
      <c r="H5">
        <v>1</v>
      </c>
      <c r="I5" t="s">
        <v>378</v>
      </c>
      <c r="J5">
        <v>25.903499999999998</v>
      </c>
      <c r="K5">
        <v>64</v>
      </c>
    </row>
    <row r="6" spans="4:11">
      <c r="G6">
        <v>1</v>
      </c>
      <c r="H6">
        <v>2</v>
      </c>
      <c r="I6" s="13" t="s">
        <v>379</v>
      </c>
      <c r="J6">
        <v>11.532999999999999</v>
      </c>
      <c r="K6">
        <v>9</v>
      </c>
    </row>
    <row r="7" spans="4:11" ht="30" customHeight="1">
      <c r="D7" s="283" t="s">
        <v>349</v>
      </c>
      <c r="E7" s="284"/>
      <c r="G7">
        <v>2</v>
      </c>
      <c r="H7">
        <v>3</v>
      </c>
      <c r="I7" s="13" t="s">
        <v>380</v>
      </c>
      <c r="J7">
        <v>55.290000000000006</v>
      </c>
      <c r="K7">
        <v>21</v>
      </c>
    </row>
    <row r="8" spans="4:11" ht="18.75" customHeight="1">
      <c r="D8" s="14" t="s">
        <v>350</v>
      </c>
      <c r="E8" s="15">
        <f>MAX(Datos!I671:I956)</f>
        <v>309957</v>
      </c>
      <c r="G8">
        <v>3</v>
      </c>
      <c r="H8">
        <v>4</v>
      </c>
      <c r="I8" s="13" t="s">
        <v>381</v>
      </c>
      <c r="J8">
        <v>58.597999999999992</v>
      </c>
      <c r="K8">
        <v>17</v>
      </c>
    </row>
    <row r="9" spans="4:11" ht="21.75" customHeight="1">
      <c r="D9" s="14" t="s">
        <v>351</v>
      </c>
      <c r="E9" s="15">
        <f>MIN(Datos!I671:I956)</f>
        <v>5.0000000000000002E-5</v>
      </c>
      <c r="G9">
        <v>4</v>
      </c>
      <c r="H9">
        <v>5</v>
      </c>
      <c r="I9" s="13" t="s">
        <v>382</v>
      </c>
      <c r="J9">
        <v>29.721</v>
      </c>
      <c r="K9">
        <v>7</v>
      </c>
    </row>
    <row r="10" spans="4:11" ht="36" customHeight="1">
      <c r="D10" s="14" t="s">
        <v>352</v>
      </c>
      <c r="E10" s="15">
        <v>10</v>
      </c>
      <c r="G10">
        <v>5</v>
      </c>
      <c r="H10">
        <v>6</v>
      </c>
      <c r="I10" s="13" t="s">
        <v>383</v>
      </c>
      <c r="J10">
        <v>27.815000000000001</v>
      </c>
      <c r="K10">
        <v>5</v>
      </c>
    </row>
    <row r="11" spans="4:11">
      <c r="G11">
        <v>6</v>
      </c>
      <c r="H11">
        <v>7</v>
      </c>
      <c r="I11" s="13" t="s">
        <v>384</v>
      </c>
      <c r="J11">
        <v>24.796000000000003</v>
      </c>
      <c r="K11">
        <v>4</v>
      </c>
    </row>
    <row r="12" spans="4:11">
      <c r="D12" s="285"/>
      <c r="E12" s="285"/>
      <c r="G12">
        <v>7</v>
      </c>
      <c r="H12">
        <v>8</v>
      </c>
      <c r="I12" s="13" t="s">
        <v>385</v>
      </c>
      <c r="J12">
        <v>7.4690000000000003</v>
      </c>
      <c r="K12">
        <v>1</v>
      </c>
    </row>
    <row r="13" spans="4:11">
      <c r="D13" s="47" t="s">
        <v>875</v>
      </c>
      <c r="E13" t="s">
        <v>877</v>
      </c>
      <c r="G13">
        <v>8</v>
      </c>
      <c r="H13">
        <v>9</v>
      </c>
      <c r="I13" s="13" t="s">
        <v>386</v>
      </c>
      <c r="J13">
        <v>0</v>
      </c>
      <c r="K13">
        <v>0</v>
      </c>
    </row>
    <row r="14" spans="4:11">
      <c r="D14" s="47" t="s">
        <v>876</v>
      </c>
      <c r="E14" t="s">
        <v>878</v>
      </c>
    </row>
  </sheetData>
  <mergeCells count="2">
    <mergeCell ref="D7:E7"/>
    <mergeCell ref="D12:E12"/>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AC2907"/>
  <sheetViews>
    <sheetView zoomScale="70" zoomScaleNormal="70" workbookViewId="0">
      <pane ySplit="8" topLeftCell="A9" activePane="bottomLeft" state="frozen"/>
      <selection pane="bottomLeft" activeCell="C8" sqref="C8:V8"/>
    </sheetView>
  </sheetViews>
  <sheetFormatPr baseColWidth="10" defaultRowHeight="15"/>
  <cols>
    <col min="2" max="2" width="16" customWidth="1"/>
    <col min="3" max="3" width="22.42578125" customWidth="1"/>
    <col min="4" max="4" width="20.5703125" customWidth="1"/>
    <col min="5" max="5" width="20.7109375" customWidth="1"/>
    <col min="6" max="6" width="22" customWidth="1"/>
    <col min="7" max="7" width="20" customWidth="1"/>
    <col min="8" max="8" width="23.42578125" customWidth="1"/>
    <col min="9" max="9" width="37.28515625" customWidth="1"/>
    <col min="10" max="19" width="11.42578125" hidden="1" customWidth="1"/>
    <col min="20" max="20" width="27.140625" customWidth="1"/>
    <col min="21" max="21" width="24.7109375" hidden="1" customWidth="1"/>
    <col min="22" max="22" width="59.28515625" customWidth="1"/>
    <col min="23" max="23" width="23.85546875" customWidth="1"/>
    <col min="24" max="24" width="17.28515625" customWidth="1"/>
    <col min="25" max="25" width="14.85546875" customWidth="1"/>
    <col min="26" max="26" width="18.7109375" customWidth="1"/>
    <col min="27" max="27" width="22" customWidth="1"/>
    <col min="29" max="29" width="11.42578125" customWidth="1"/>
  </cols>
  <sheetData>
    <row r="2" spans="2:29" ht="31.5">
      <c r="B2" s="171" t="s">
        <v>3175</v>
      </c>
      <c r="G2" s="171" t="s">
        <v>3334</v>
      </c>
    </row>
    <row r="3" spans="2:29" ht="15.75" thickBot="1"/>
    <row r="4" spans="2:29" ht="15" customHeight="1">
      <c r="D4" s="288" t="s">
        <v>5</v>
      </c>
      <c r="E4" s="289"/>
      <c r="F4" s="289"/>
      <c r="G4" s="289"/>
      <c r="H4" s="289"/>
      <c r="I4" s="289"/>
      <c r="J4" s="289"/>
      <c r="K4" s="289"/>
      <c r="L4" s="289"/>
      <c r="M4" s="289"/>
      <c r="N4" s="289"/>
      <c r="O4" s="289"/>
      <c r="P4" s="289"/>
      <c r="Q4" s="289"/>
      <c r="R4" s="289"/>
      <c r="S4" s="289"/>
      <c r="T4" s="289"/>
      <c r="U4" s="289"/>
      <c r="V4" s="290"/>
      <c r="X4" s="286" t="s">
        <v>63</v>
      </c>
      <c r="Y4" s="287"/>
    </row>
    <row r="5" spans="2:29" ht="15" customHeight="1">
      <c r="D5" s="291"/>
      <c r="E5" s="292"/>
      <c r="F5" s="292"/>
      <c r="G5" s="292"/>
      <c r="H5" s="292"/>
      <c r="I5" s="292"/>
      <c r="J5" s="292"/>
      <c r="K5" s="292"/>
      <c r="L5" s="292"/>
      <c r="M5" s="292"/>
      <c r="N5" s="292"/>
      <c r="O5" s="292"/>
      <c r="P5" s="292"/>
      <c r="Q5" s="292"/>
      <c r="R5" s="292"/>
      <c r="S5" s="292"/>
      <c r="T5" s="292"/>
      <c r="U5" s="292"/>
      <c r="V5" s="293"/>
      <c r="X5" s="11" t="s">
        <v>892</v>
      </c>
      <c r="Y5" s="12" t="s">
        <v>893</v>
      </c>
      <c r="AC5" t="s">
        <v>553</v>
      </c>
    </row>
    <row r="6" spans="2:29" ht="15.75" customHeight="1" thickBot="1">
      <c r="D6" s="294"/>
      <c r="E6" s="295"/>
      <c r="F6" s="295"/>
      <c r="G6" s="295"/>
      <c r="H6" s="295"/>
      <c r="I6" s="295"/>
      <c r="J6" s="295"/>
      <c r="K6" s="295"/>
      <c r="L6" s="295"/>
      <c r="M6" s="295"/>
      <c r="N6" s="295"/>
      <c r="O6" s="295"/>
      <c r="P6" s="295"/>
      <c r="Q6" s="295"/>
      <c r="R6" s="295"/>
      <c r="S6" s="295"/>
      <c r="T6" s="295"/>
      <c r="U6" s="295"/>
      <c r="V6" s="296"/>
      <c r="X6" s="2">
        <v>44773</v>
      </c>
      <c r="Y6" s="149" t="s">
        <v>2246</v>
      </c>
    </row>
    <row r="8" spans="2:29" ht="30">
      <c r="C8" s="28" t="s">
        <v>396</v>
      </c>
      <c r="D8" s="28" t="s">
        <v>0</v>
      </c>
      <c r="E8" s="28" t="s">
        <v>1</v>
      </c>
      <c r="F8" s="28" t="s">
        <v>2</v>
      </c>
      <c r="G8" s="28" t="s">
        <v>10</v>
      </c>
      <c r="H8" s="28" t="s">
        <v>3</v>
      </c>
      <c r="I8" s="28" t="s">
        <v>1143</v>
      </c>
      <c r="J8" s="28" t="s">
        <v>255</v>
      </c>
      <c r="K8" s="29" t="s">
        <v>387</v>
      </c>
      <c r="L8" s="29" t="s">
        <v>388</v>
      </c>
      <c r="M8" s="29" t="s">
        <v>389</v>
      </c>
      <c r="N8" s="29" t="s">
        <v>390</v>
      </c>
      <c r="O8" s="29" t="s">
        <v>391</v>
      </c>
      <c r="P8" s="29" t="s">
        <v>392</v>
      </c>
      <c r="Q8" s="29" t="s">
        <v>393</v>
      </c>
      <c r="R8" s="29" t="s">
        <v>394</v>
      </c>
      <c r="S8" s="29" t="s">
        <v>395</v>
      </c>
      <c r="T8" s="28" t="s">
        <v>76</v>
      </c>
      <c r="U8" s="30" t="s">
        <v>511</v>
      </c>
      <c r="V8" s="29" t="s">
        <v>84</v>
      </c>
      <c r="W8" s="28" t="s">
        <v>191</v>
      </c>
      <c r="X8" s="28" t="s">
        <v>253</v>
      </c>
      <c r="Y8" s="28" t="s">
        <v>254</v>
      </c>
      <c r="Z8" s="31" t="s">
        <v>264</v>
      </c>
      <c r="AA8" s="245" t="s">
        <v>3446</v>
      </c>
    </row>
    <row r="9" spans="2:29">
      <c r="C9" s="94" t="str">
        <f t="shared" ref="C9:C72" si="0">IF(OR(H9="",T9=""),"",IF((H9-T9)/12/30&lt;18,"Pediátrico","Adulto"))</f>
        <v>Adulto</v>
      </c>
      <c r="D9" s="101" t="s">
        <v>168</v>
      </c>
      <c r="E9" s="101" t="s">
        <v>169</v>
      </c>
      <c r="F9" s="101" t="s">
        <v>117</v>
      </c>
      <c r="G9" s="101">
        <v>4245699</v>
      </c>
      <c r="H9" s="102">
        <v>43115</v>
      </c>
      <c r="I9" s="101">
        <v>3.1589999999999998</v>
      </c>
      <c r="J9" s="101"/>
      <c r="K9" s="101"/>
      <c r="L9" s="101"/>
      <c r="M9" s="101"/>
      <c r="N9" s="101"/>
      <c r="O9" s="101"/>
      <c r="P9" s="101"/>
      <c r="Q9" s="101"/>
      <c r="R9" s="101"/>
      <c r="S9" s="101"/>
      <c r="T9" s="102">
        <v>20354</v>
      </c>
      <c r="U9" s="101" t="s">
        <v>512</v>
      </c>
      <c r="V9" s="101"/>
      <c r="W9" s="92" t="str">
        <f t="shared" ref="W9:W40" si="1">CONCATENATE(D9,$A$591,E9,",",F9)</f>
        <v>Torregrosa Valero,M Carmen</v>
      </c>
      <c r="X9" s="95">
        <f t="shared" ref="X9:X40" si="2">MONTH(H9)</f>
        <v>1</v>
      </c>
      <c r="Y9" s="95">
        <f t="shared" ref="Y9:Y40" si="3">YEAR(H9)</f>
        <v>2018</v>
      </c>
      <c r="Z9" s="103" t="s">
        <v>265</v>
      </c>
      <c r="AA9">
        <f>IF(Tabla1[[#This Row],[Kerma en aire acumulada (Gy)]]&gt;1,SUMIF(G:G,Tabla1[[#This Row],[SIP]],I:I)-Tabla1[[#This Row],[Kerma en aire acumulada (Gy)]],"")</f>
        <v>2.7559999999999993</v>
      </c>
    </row>
    <row r="10" spans="2:29">
      <c r="C10" s="89" t="str">
        <f t="shared" si="0"/>
        <v>Adulto</v>
      </c>
      <c r="D10" s="101" t="s">
        <v>21</v>
      </c>
      <c r="E10" s="101" t="s">
        <v>22</v>
      </c>
      <c r="F10" s="101" t="s">
        <v>20</v>
      </c>
      <c r="G10" s="101">
        <v>2932082</v>
      </c>
      <c r="H10" s="102">
        <v>43157</v>
      </c>
      <c r="I10" s="101">
        <v>4.17</v>
      </c>
      <c r="J10" s="101" t="s">
        <v>256</v>
      </c>
      <c r="K10" s="101"/>
      <c r="L10" s="101"/>
      <c r="M10" s="101"/>
      <c r="N10" s="101"/>
      <c r="O10" s="101"/>
      <c r="P10" s="101"/>
      <c r="Q10" s="101"/>
      <c r="R10" s="101"/>
      <c r="S10" s="101"/>
      <c r="T10" s="102">
        <v>21196</v>
      </c>
      <c r="U10" s="101" t="s">
        <v>512</v>
      </c>
      <c r="V10" s="101" t="s">
        <v>89</v>
      </c>
      <c r="W10" s="158" t="str">
        <f t="shared" si="1"/>
        <v>Cervera Ruiz,Antonio</v>
      </c>
      <c r="X10" s="211">
        <f t="shared" si="2"/>
        <v>2</v>
      </c>
      <c r="Y10" s="211">
        <f t="shared" si="3"/>
        <v>2018</v>
      </c>
      <c r="Z10" s="103" t="s">
        <v>265</v>
      </c>
      <c r="AA10">
        <f>IF(Tabla1[[#This Row],[Kerma en aire acumulada (Gy)]]&gt;1,SUMIF(G:G,Tabla1[[#This Row],[SIP]],I:I)-Tabla1[[#This Row],[Kerma en aire acumulada (Gy)]],"")</f>
        <v>10.417</v>
      </c>
    </row>
    <row r="11" spans="2:29">
      <c r="C11" s="94" t="str">
        <f t="shared" si="0"/>
        <v>Adulto</v>
      </c>
      <c r="D11" s="101" t="s">
        <v>189</v>
      </c>
      <c r="E11" s="101" t="s">
        <v>6</v>
      </c>
      <c r="F11" s="101" t="s">
        <v>7</v>
      </c>
      <c r="G11" s="101">
        <v>2932156</v>
      </c>
      <c r="H11" s="102">
        <v>43262</v>
      </c>
      <c r="I11" s="101">
        <v>2.9</v>
      </c>
      <c r="J11" s="101" t="s">
        <v>256</v>
      </c>
      <c r="K11" s="101"/>
      <c r="L11" s="101"/>
      <c r="M11" s="101"/>
      <c r="N11" s="101"/>
      <c r="O11" s="101"/>
      <c r="P11" s="101"/>
      <c r="Q11" s="101"/>
      <c r="R11" s="101"/>
      <c r="S11" s="101"/>
      <c r="T11" s="102">
        <v>21548</v>
      </c>
      <c r="U11" s="101" t="s">
        <v>512</v>
      </c>
      <c r="V11" s="101" t="s">
        <v>89</v>
      </c>
      <c r="W11" s="158" t="str">
        <f t="shared" si="1"/>
        <v>Giner Ortega,Francisca</v>
      </c>
      <c r="X11" s="211">
        <f t="shared" si="2"/>
        <v>6</v>
      </c>
      <c r="Y11" s="211">
        <f t="shared" si="3"/>
        <v>2018</v>
      </c>
      <c r="Z11" s="103" t="s">
        <v>265</v>
      </c>
      <c r="AA11">
        <f>IF(Tabla1[[#This Row],[Kerma en aire acumulada (Gy)]]&gt;1,SUMIF(G:G,Tabla1[[#This Row],[SIP]],I:I)-Tabla1[[#This Row],[Kerma en aire acumulada (Gy)]],"")</f>
        <v>3.7112699999999994</v>
      </c>
    </row>
    <row r="12" spans="2:29">
      <c r="C12" s="89" t="str">
        <f t="shared" si="0"/>
        <v>Adulto</v>
      </c>
      <c r="D12" s="101" t="s">
        <v>319</v>
      </c>
      <c r="E12" s="101" t="s">
        <v>158</v>
      </c>
      <c r="F12" s="101" t="s">
        <v>75</v>
      </c>
      <c r="G12" s="101">
        <v>4724594</v>
      </c>
      <c r="H12" s="102">
        <v>43501</v>
      </c>
      <c r="I12" s="101">
        <v>2.4550000000000001</v>
      </c>
      <c r="J12" s="101"/>
      <c r="K12" s="101"/>
      <c r="L12" s="101"/>
      <c r="M12" s="101"/>
      <c r="N12" s="101"/>
      <c r="O12" s="101"/>
      <c r="P12" s="101"/>
      <c r="Q12" s="101"/>
      <c r="R12" s="101"/>
      <c r="S12" s="101"/>
      <c r="T12" s="102">
        <v>22475</v>
      </c>
      <c r="U12" s="101" t="s">
        <v>512</v>
      </c>
      <c r="V12" s="101"/>
      <c r="W12" s="158" t="str">
        <f t="shared" si="1"/>
        <v>Gonzalez Climent,Javier</v>
      </c>
      <c r="X12" s="211">
        <f t="shared" si="2"/>
        <v>2</v>
      </c>
      <c r="Y12" s="211">
        <f t="shared" si="3"/>
        <v>2019</v>
      </c>
      <c r="Z12" s="103" t="s">
        <v>265</v>
      </c>
      <c r="AA12">
        <f>IF(Tabla1[[#This Row],[Kerma en aire acumulada (Gy)]]&gt;1,SUMIF(G:G,Tabla1[[#This Row],[SIP]],I:I)-Tabla1[[#This Row],[Kerma en aire acumulada (Gy)]],"")</f>
        <v>7.2870000000000008</v>
      </c>
    </row>
    <row r="13" spans="2:29" ht="15.75">
      <c r="C13" s="94" t="str">
        <f t="shared" si="0"/>
        <v>Adulto</v>
      </c>
      <c r="D13" s="95" t="s">
        <v>323</v>
      </c>
      <c r="E13" s="95" t="s">
        <v>104</v>
      </c>
      <c r="F13" s="95" t="s">
        <v>324</v>
      </c>
      <c r="G13" s="95">
        <v>3256868</v>
      </c>
      <c r="H13" s="96">
        <v>43611</v>
      </c>
      <c r="I13" s="95">
        <v>0.63700000000000001</v>
      </c>
      <c r="J13" s="95">
        <v>0</v>
      </c>
      <c r="K13" s="95">
        <v>2.5999999999999999E-2</v>
      </c>
      <c r="L13" s="95">
        <v>0.51300000000000001</v>
      </c>
      <c r="M13" s="95">
        <v>0.51300000000000001</v>
      </c>
      <c r="N13" s="95">
        <v>0</v>
      </c>
      <c r="O13" s="95">
        <v>0</v>
      </c>
      <c r="P13" s="95">
        <v>5.2999999999999999E-2</v>
      </c>
      <c r="Q13" s="95">
        <v>0.11899999999999999</v>
      </c>
      <c r="R13" s="95">
        <v>9.2999999999999999E-2</v>
      </c>
      <c r="S13" s="95">
        <v>0</v>
      </c>
      <c r="T13" s="96">
        <v>12161</v>
      </c>
      <c r="U13" s="95"/>
      <c r="V13" s="121" t="s">
        <v>563</v>
      </c>
      <c r="W13" s="232" t="str">
        <f t="shared" si="1"/>
        <v>Cocera Martínez,Rogelio</v>
      </c>
      <c r="X13" s="154">
        <f t="shared" si="2"/>
        <v>5</v>
      </c>
      <c r="Y13" s="154">
        <f t="shared" si="3"/>
        <v>2019</v>
      </c>
      <c r="Z13" s="97" t="s">
        <v>266</v>
      </c>
      <c r="AA13" t="str">
        <f>IF(Tabla1[[#This Row],[Kerma en aire acumulada (Gy)]]&gt;1,SUMIF(G:G,Tabla1[[#This Row],[SIP]],I:I)-Tabla1[[#This Row],[Kerma en aire acumulada (Gy)]],"")</f>
        <v/>
      </c>
    </row>
    <row r="14" spans="2:29">
      <c r="C14" s="89" t="str">
        <f t="shared" si="0"/>
        <v>Adulto</v>
      </c>
      <c r="D14" s="101" t="s">
        <v>86</v>
      </c>
      <c r="E14" s="101" t="s">
        <v>87</v>
      </c>
      <c r="F14" s="101" t="s">
        <v>88</v>
      </c>
      <c r="G14" s="101">
        <v>1987869</v>
      </c>
      <c r="H14" s="102">
        <v>43669</v>
      </c>
      <c r="I14" s="101">
        <v>8.9350000000000005</v>
      </c>
      <c r="J14" s="101"/>
      <c r="K14" s="101"/>
      <c r="L14" s="101"/>
      <c r="M14" s="101"/>
      <c r="N14" s="101"/>
      <c r="O14" s="101"/>
      <c r="P14" s="101"/>
      <c r="Q14" s="101"/>
      <c r="R14" s="101"/>
      <c r="S14" s="101"/>
      <c r="T14" s="102">
        <v>16591</v>
      </c>
      <c r="U14" s="101" t="s">
        <v>512</v>
      </c>
      <c r="V14" s="101" t="s">
        <v>92</v>
      </c>
      <c r="W14" s="158" t="str">
        <f t="shared" si="1"/>
        <v>Cebriá  Gamón,Vicente</v>
      </c>
      <c r="X14" s="211">
        <f t="shared" si="2"/>
        <v>7</v>
      </c>
      <c r="Y14" s="211">
        <f t="shared" si="3"/>
        <v>2019</v>
      </c>
      <c r="Z14" s="103" t="s">
        <v>265</v>
      </c>
      <c r="AA14">
        <f>IF(Tabla1[[#This Row],[Kerma en aire acumulada (Gy)]]&gt;1,SUMIF(G:G,Tabla1[[#This Row],[SIP]],I:I)-Tabla1[[#This Row],[Kerma en aire acumulada (Gy)]],"")</f>
        <v>0</v>
      </c>
    </row>
    <row r="15" spans="2:29">
      <c r="C15" s="94" t="str">
        <f t="shared" si="0"/>
        <v>Adulto</v>
      </c>
      <c r="D15" s="101" t="s">
        <v>21</v>
      </c>
      <c r="E15" s="101" t="s">
        <v>22</v>
      </c>
      <c r="F15" s="101" t="s">
        <v>20</v>
      </c>
      <c r="G15" s="101">
        <v>2932082</v>
      </c>
      <c r="H15" s="102">
        <v>43731</v>
      </c>
      <c r="I15" s="101">
        <v>2.7250000000000001</v>
      </c>
      <c r="J15" s="101" t="s">
        <v>256</v>
      </c>
      <c r="K15" s="101"/>
      <c r="L15" s="101"/>
      <c r="M15" s="101"/>
      <c r="N15" s="101"/>
      <c r="O15" s="101"/>
      <c r="P15" s="101"/>
      <c r="Q15" s="101"/>
      <c r="R15" s="101"/>
      <c r="S15" s="101"/>
      <c r="T15" s="102">
        <v>21196</v>
      </c>
      <c r="U15" s="101" t="s">
        <v>512</v>
      </c>
      <c r="V15" s="101" t="s">
        <v>89</v>
      </c>
      <c r="W15" s="158" t="str">
        <f t="shared" si="1"/>
        <v>Cervera Ruiz,Antonio</v>
      </c>
      <c r="X15" s="211">
        <f t="shared" si="2"/>
        <v>9</v>
      </c>
      <c r="Y15" s="211">
        <f t="shared" si="3"/>
        <v>2019</v>
      </c>
      <c r="Z15" s="103" t="s">
        <v>265</v>
      </c>
      <c r="AA15">
        <f>IF(Tabla1[[#This Row],[Kerma en aire acumulada (Gy)]]&gt;1,SUMIF(G:G,Tabla1[[#This Row],[SIP]],I:I)-Tabla1[[#This Row],[Kerma en aire acumulada (Gy)]],"")</f>
        <v>11.862</v>
      </c>
    </row>
    <row r="16" spans="2:29">
      <c r="C16" s="89" t="str">
        <f t="shared" si="0"/>
        <v>Adulto</v>
      </c>
      <c r="D16" s="101" t="s">
        <v>93</v>
      </c>
      <c r="E16" s="101" t="s">
        <v>46</v>
      </c>
      <c r="F16" s="101" t="s">
        <v>94</v>
      </c>
      <c r="G16" s="101">
        <v>3194477</v>
      </c>
      <c r="H16" s="102">
        <v>43756</v>
      </c>
      <c r="I16" s="101">
        <v>5.4779999999999998</v>
      </c>
      <c r="J16" s="101"/>
      <c r="K16" s="101"/>
      <c r="L16" s="101"/>
      <c r="M16" s="101"/>
      <c r="N16" s="101"/>
      <c r="O16" s="101"/>
      <c r="P16" s="101"/>
      <c r="Q16" s="101"/>
      <c r="R16" s="101"/>
      <c r="S16" s="101"/>
      <c r="T16" s="102">
        <v>18428</v>
      </c>
      <c r="U16" s="101" t="s">
        <v>512</v>
      </c>
      <c r="V16" s="101" t="s">
        <v>95</v>
      </c>
      <c r="W16" s="158" t="str">
        <f t="shared" si="1"/>
        <v>Piorno Pérez,Ángel</v>
      </c>
      <c r="X16" s="211">
        <f t="shared" si="2"/>
        <v>10</v>
      </c>
      <c r="Y16" s="211">
        <f t="shared" si="3"/>
        <v>2019</v>
      </c>
      <c r="Z16" s="103" t="s">
        <v>265</v>
      </c>
      <c r="AA16">
        <f>IF(Tabla1[[#This Row],[Kerma en aire acumulada (Gy)]]&gt;1,SUMIF(G:G,Tabla1[[#This Row],[SIP]],I:I)-Tabla1[[#This Row],[Kerma en aire acumulada (Gy)]],"")</f>
        <v>7.3299999999996146E-3</v>
      </c>
    </row>
    <row r="17" spans="1:27">
      <c r="C17" s="94" t="str">
        <f t="shared" si="0"/>
        <v>Adulto</v>
      </c>
      <c r="D17" s="101" t="s">
        <v>497</v>
      </c>
      <c r="E17" s="101" t="s">
        <v>90</v>
      </c>
      <c r="F17" s="101" t="s">
        <v>91</v>
      </c>
      <c r="G17" s="101">
        <v>3130505</v>
      </c>
      <c r="H17" s="102">
        <v>43761</v>
      </c>
      <c r="I17" s="101">
        <v>3.8679999999999999</v>
      </c>
      <c r="J17" s="101"/>
      <c r="K17" s="101"/>
      <c r="L17" s="101"/>
      <c r="M17" s="101"/>
      <c r="N17" s="101"/>
      <c r="O17" s="101"/>
      <c r="P17" s="101"/>
      <c r="Q17" s="101"/>
      <c r="R17" s="101"/>
      <c r="S17" s="101"/>
      <c r="T17" s="102">
        <v>13085</v>
      </c>
      <c r="U17" s="101" t="s">
        <v>512</v>
      </c>
      <c r="V17" s="101" t="s">
        <v>92</v>
      </c>
      <c r="W17" s="158" t="str">
        <f t="shared" si="1"/>
        <v>Patiño Nieto,Donato</v>
      </c>
      <c r="X17" s="211">
        <f t="shared" si="2"/>
        <v>10</v>
      </c>
      <c r="Y17" s="211">
        <f t="shared" si="3"/>
        <v>2019</v>
      </c>
      <c r="Z17" s="103" t="s">
        <v>265</v>
      </c>
      <c r="AA17">
        <f>IF(Tabla1[[#This Row],[Kerma en aire acumulada (Gy)]]&gt;1,SUMIF(G:G,Tabla1[[#This Row],[SIP]],I:I)-Tabla1[[#This Row],[Kerma en aire acumulada (Gy)]],"")</f>
        <v>1.31324</v>
      </c>
    </row>
    <row r="18" spans="1:27">
      <c r="C18" s="89" t="str">
        <f t="shared" si="0"/>
        <v>Adulto</v>
      </c>
      <c r="D18" s="101" t="s">
        <v>21</v>
      </c>
      <c r="E18" s="101" t="s">
        <v>22</v>
      </c>
      <c r="F18" s="101" t="s">
        <v>20</v>
      </c>
      <c r="G18" s="101">
        <v>2932082</v>
      </c>
      <c r="H18" s="102">
        <v>43802</v>
      </c>
      <c r="I18" s="101">
        <v>5.8280000000000003</v>
      </c>
      <c r="J18" s="101" t="s">
        <v>256</v>
      </c>
      <c r="K18" s="101"/>
      <c r="L18" s="101"/>
      <c r="M18" s="101"/>
      <c r="N18" s="101"/>
      <c r="O18" s="101"/>
      <c r="P18" s="101"/>
      <c r="Q18" s="101"/>
      <c r="R18" s="101"/>
      <c r="S18" s="101"/>
      <c r="T18" s="102">
        <v>21196</v>
      </c>
      <c r="U18" s="101" t="s">
        <v>512</v>
      </c>
      <c r="V18" s="101" t="s">
        <v>89</v>
      </c>
      <c r="W18" s="158" t="str">
        <f t="shared" si="1"/>
        <v>Cervera Ruiz,Antonio</v>
      </c>
      <c r="X18" s="211">
        <f t="shared" si="2"/>
        <v>12</v>
      </c>
      <c r="Y18" s="211">
        <f t="shared" si="3"/>
        <v>2019</v>
      </c>
      <c r="Z18" s="103" t="s">
        <v>265</v>
      </c>
      <c r="AA18">
        <f>IF(Tabla1[[#This Row],[Kerma en aire acumulada (Gy)]]&gt;1,SUMIF(G:G,Tabla1[[#This Row],[SIP]],I:I)-Tabla1[[#This Row],[Kerma en aire acumulada (Gy)]],"")</f>
        <v>8.7590000000000003</v>
      </c>
    </row>
    <row r="19" spans="1:27">
      <c r="C19" s="94" t="str">
        <f t="shared" si="0"/>
        <v>Adulto</v>
      </c>
      <c r="D19" s="101" t="s">
        <v>81</v>
      </c>
      <c r="E19" s="101" t="s">
        <v>82</v>
      </c>
      <c r="F19" s="101" t="s">
        <v>83</v>
      </c>
      <c r="G19" s="101">
        <v>2334536</v>
      </c>
      <c r="H19" s="102">
        <v>43815</v>
      </c>
      <c r="I19" s="101">
        <v>6.1820000000000004</v>
      </c>
      <c r="J19" s="101"/>
      <c r="K19" s="101"/>
      <c r="L19" s="101"/>
      <c r="M19" s="101"/>
      <c r="N19" s="101"/>
      <c r="O19" s="101"/>
      <c r="P19" s="101"/>
      <c r="Q19" s="101"/>
      <c r="R19" s="101"/>
      <c r="S19" s="101"/>
      <c r="T19" s="102">
        <v>23323</v>
      </c>
      <c r="U19" s="130" t="s">
        <v>512</v>
      </c>
      <c r="V19" s="101" t="s">
        <v>85</v>
      </c>
      <c r="W19" s="158" t="str">
        <f t="shared" si="1"/>
        <v>Palanca Pascual,Francisco</v>
      </c>
      <c r="X19" s="211">
        <f t="shared" si="2"/>
        <v>12</v>
      </c>
      <c r="Y19" s="211">
        <f t="shared" si="3"/>
        <v>2019</v>
      </c>
      <c r="Z19" s="103" t="s">
        <v>265</v>
      </c>
      <c r="AA19">
        <f>IF(Tabla1[[#This Row],[Kerma en aire acumulada (Gy)]]&gt;1,SUMIF(G:G,Tabla1[[#This Row],[SIP]],I:I)-Tabla1[[#This Row],[Kerma en aire acumulada (Gy)]],"")</f>
        <v>0</v>
      </c>
    </row>
    <row r="20" spans="1:27" ht="15.75">
      <c r="C20" s="89" t="str">
        <f t="shared" si="0"/>
        <v>Adulto</v>
      </c>
      <c r="D20" s="101" t="s">
        <v>21</v>
      </c>
      <c r="E20" s="101" t="s">
        <v>22</v>
      </c>
      <c r="F20" s="101" t="s">
        <v>20</v>
      </c>
      <c r="G20" s="101">
        <v>2932082</v>
      </c>
      <c r="H20" s="102">
        <v>43825</v>
      </c>
      <c r="I20" s="101">
        <v>0.83899999999999997</v>
      </c>
      <c r="J20" s="101" t="s">
        <v>256</v>
      </c>
      <c r="K20" s="101"/>
      <c r="L20" s="101"/>
      <c r="M20" s="101"/>
      <c r="N20" s="101"/>
      <c r="O20" s="101"/>
      <c r="P20" s="101"/>
      <c r="Q20" s="101"/>
      <c r="R20" s="101"/>
      <c r="S20" s="101"/>
      <c r="T20" s="102">
        <v>21196</v>
      </c>
      <c r="U20" s="101" t="s">
        <v>512</v>
      </c>
      <c r="V20" s="129" t="s">
        <v>258</v>
      </c>
      <c r="W20" s="158" t="str">
        <f t="shared" si="1"/>
        <v>Cervera Ruiz,Antonio</v>
      </c>
      <c r="X20" s="211">
        <f t="shared" si="2"/>
        <v>12</v>
      </c>
      <c r="Y20" s="211">
        <f t="shared" si="3"/>
        <v>2019</v>
      </c>
      <c r="Z20" s="103" t="s">
        <v>265</v>
      </c>
      <c r="AA20" t="str">
        <f>IF(Tabla1[[#This Row],[Kerma en aire acumulada (Gy)]]&gt;1,SUMIF(G:G,Tabla1[[#This Row],[SIP]],I:I)-Tabla1[[#This Row],[Kerma en aire acumulada (Gy)]],"")</f>
        <v/>
      </c>
    </row>
    <row r="21" spans="1:27" ht="15.75" thickBot="1">
      <c r="C21" s="166" t="str">
        <f t="shared" si="0"/>
        <v>Adulto</v>
      </c>
      <c r="D21" s="210" t="s">
        <v>159</v>
      </c>
      <c r="E21" s="210" t="s">
        <v>160</v>
      </c>
      <c r="F21" s="210" t="s">
        <v>102</v>
      </c>
      <c r="G21" s="210">
        <v>2484685</v>
      </c>
      <c r="H21" s="213">
        <v>43844</v>
      </c>
      <c r="I21" s="210">
        <v>0.28699999999999998</v>
      </c>
      <c r="J21" s="210"/>
      <c r="K21" s="210"/>
      <c r="L21" s="210"/>
      <c r="M21" s="210"/>
      <c r="N21" s="210"/>
      <c r="O21" s="210"/>
      <c r="P21" s="210"/>
      <c r="Q21" s="210"/>
      <c r="R21" s="210"/>
      <c r="S21" s="210"/>
      <c r="T21" s="213">
        <v>17369</v>
      </c>
      <c r="U21" s="210" t="s">
        <v>512</v>
      </c>
      <c r="V21" s="210" t="s">
        <v>89</v>
      </c>
      <c r="W21" s="231" t="str">
        <f t="shared" si="1"/>
        <v>Villar Marín,José</v>
      </c>
      <c r="X21" s="160">
        <f t="shared" si="2"/>
        <v>1</v>
      </c>
      <c r="Y21" s="240">
        <f t="shared" si="3"/>
        <v>2020</v>
      </c>
      <c r="Z21" s="186" t="s">
        <v>265</v>
      </c>
      <c r="AA21" t="str">
        <f>IF(Tabla1[[#This Row],[Kerma en aire acumulada (Gy)]]&gt;1,SUMIF(G:G,Tabla1[[#This Row],[SIP]],I:I)-Tabla1[[#This Row],[Kerma en aire acumulada (Gy)]],"")</f>
        <v/>
      </c>
    </row>
    <row r="22" spans="1:27">
      <c r="A22">
        <v>10</v>
      </c>
      <c r="C22" s="157" t="str">
        <f t="shared" si="0"/>
        <v>Adulto</v>
      </c>
      <c r="D22" s="202" t="s">
        <v>320</v>
      </c>
      <c r="E22" s="202" t="s">
        <v>321</v>
      </c>
      <c r="F22" s="202" t="s">
        <v>322</v>
      </c>
      <c r="G22" s="202">
        <v>2983985</v>
      </c>
      <c r="H22" s="214">
        <v>43848</v>
      </c>
      <c r="I22" s="202">
        <v>0.54600000000000004</v>
      </c>
      <c r="J22" s="202">
        <v>0</v>
      </c>
      <c r="K22" s="202">
        <v>7.0999999999999994E-2</v>
      </c>
      <c r="L22" s="202">
        <v>0.377</v>
      </c>
      <c r="M22" s="202">
        <v>0.35399999999999998</v>
      </c>
      <c r="N22" s="202">
        <v>0</v>
      </c>
      <c r="O22" s="202">
        <v>0</v>
      </c>
      <c r="P22" s="202">
        <v>0.1</v>
      </c>
      <c r="Q22" s="202">
        <v>0.38</v>
      </c>
      <c r="R22" s="202">
        <v>0.36</v>
      </c>
      <c r="S22" s="202">
        <v>0</v>
      </c>
      <c r="T22" s="214">
        <v>12294</v>
      </c>
      <c r="U22" s="202"/>
      <c r="V22" s="223" t="s">
        <v>563</v>
      </c>
      <c r="W22" s="233" t="str">
        <f t="shared" si="1"/>
        <v>Cano Esteban,Juana</v>
      </c>
      <c r="X22" s="202">
        <f t="shared" si="2"/>
        <v>1</v>
      </c>
      <c r="Y22" s="202">
        <f t="shared" si="3"/>
        <v>2020</v>
      </c>
      <c r="Z22" s="203" t="s">
        <v>266</v>
      </c>
      <c r="AA22" t="str">
        <f>IF(Tabla1[[#This Row],[Kerma en aire acumulada (Gy)]]&gt;1,SUMIF(G:G,Tabla1[[#This Row],[SIP]],I:I)-Tabla1[[#This Row],[Kerma en aire acumulada (Gy)]],"")</f>
        <v/>
      </c>
    </row>
    <row r="23" spans="1:27">
      <c r="C23" s="94" t="str">
        <f t="shared" si="0"/>
        <v>Adulto</v>
      </c>
      <c r="D23" s="101" t="s">
        <v>159</v>
      </c>
      <c r="E23" s="101" t="s">
        <v>160</v>
      </c>
      <c r="F23" s="101" t="s">
        <v>102</v>
      </c>
      <c r="G23" s="101">
        <v>2484685</v>
      </c>
      <c r="H23" s="102">
        <v>43853</v>
      </c>
      <c r="I23" s="101">
        <v>1.145</v>
      </c>
      <c r="J23" s="101"/>
      <c r="K23" s="101"/>
      <c r="L23" s="101"/>
      <c r="M23" s="101"/>
      <c r="N23" s="101"/>
      <c r="O23" s="101"/>
      <c r="P23" s="101"/>
      <c r="Q23" s="101"/>
      <c r="R23" s="101"/>
      <c r="S23" s="101"/>
      <c r="T23" s="102">
        <v>17369</v>
      </c>
      <c r="U23" s="101" t="s">
        <v>512</v>
      </c>
      <c r="V23" s="101" t="s">
        <v>89</v>
      </c>
      <c r="W23" s="232" t="str">
        <f t="shared" si="1"/>
        <v>Villar Marín,José</v>
      </c>
      <c r="X23" s="154">
        <f t="shared" si="2"/>
        <v>1</v>
      </c>
      <c r="Y23" s="211">
        <f t="shared" si="3"/>
        <v>2020</v>
      </c>
      <c r="Z23" s="103" t="s">
        <v>265</v>
      </c>
      <c r="AA23">
        <f>IF(Tabla1[[#This Row],[Kerma en aire acumulada (Gy)]]&gt;1,SUMIF(G:G,Tabla1[[#This Row],[SIP]],I:I)-Tabla1[[#This Row],[Kerma en aire acumulada (Gy)]],"")</f>
        <v>5.7870000000000008</v>
      </c>
    </row>
    <row r="24" spans="1:27">
      <c r="C24" s="89" t="str">
        <f t="shared" si="0"/>
        <v>Adulto</v>
      </c>
      <c r="D24" s="101" t="s">
        <v>103</v>
      </c>
      <c r="E24" s="101" t="s">
        <v>513</v>
      </c>
      <c r="F24" s="101" t="s">
        <v>16</v>
      </c>
      <c r="G24" s="101">
        <v>1698821</v>
      </c>
      <c r="H24" s="102">
        <v>43865</v>
      </c>
      <c r="I24" s="101">
        <v>5.2409999999999997</v>
      </c>
      <c r="J24" s="101"/>
      <c r="K24" s="101"/>
      <c r="L24" s="101"/>
      <c r="M24" s="101"/>
      <c r="N24" s="101"/>
      <c r="O24" s="101"/>
      <c r="P24" s="101"/>
      <c r="Q24" s="101"/>
      <c r="R24" s="101"/>
      <c r="S24" s="101"/>
      <c r="T24" s="102">
        <v>23971</v>
      </c>
      <c r="U24" s="101" t="s">
        <v>512</v>
      </c>
      <c r="V24" s="101" t="s">
        <v>89</v>
      </c>
      <c r="W24" s="158" t="str">
        <f t="shared" si="1"/>
        <v>Llanes Tolosa,Ramón</v>
      </c>
      <c r="X24" s="211">
        <f t="shared" si="2"/>
        <v>2</v>
      </c>
      <c r="Y24" s="211">
        <f t="shared" si="3"/>
        <v>2020</v>
      </c>
      <c r="Z24" s="103" t="s">
        <v>265</v>
      </c>
      <c r="AA24">
        <f>IF(Tabla1[[#This Row],[Kerma en aire acumulada (Gy)]]&gt;1,SUMIF(G:G,Tabla1[[#This Row],[SIP]],I:I)-Tabla1[[#This Row],[Kerma en aire acumulada (Gy)]],"")</f>
        <v>6.0960000000000001</v>
      </c>
    </row>
    <row r="25" spans="1:27">
      <c r="C25" s="94" t="str">
        <f t="shared" si="0"/>
        <v>Adulto</v>
      </c>
      <c r="D25" s="101" t="s">
        <v>96</v>
      </c>
      <c r="E25" s="101" t="s">
        <v>97</v>
      </c>
      <c r="F25" s="101" t="s">
        <v>98</v>
      </c>
      <c r="G25" s="101">
        <v>1862484</v>
      </c>
      <c r="H25" s="102">
        <v>43873</v>
      </c>
      <c r="I25" s="101">
        <v>3.944</v>
      </c>
      <c r="J25" s="101"/>
      <c r="K25" s="101"/>
      <c r="L25" s="101"/>
      <c r="M25" s="101"/>
      <c r="N25" s="101"/>
      <c r="O25" s="101"/>
      <c r="P25" s="101"/>
      <c r="Q25" s="101"/>
      <c r="R25" s="101"/>
      <c r="S25" s="101"/>
      <c r="T25" s="102">
        <v>21951</v>
      </c>
      <c r="U25" s="101" t="s">
        <v>512</v>
      </c>
      <c r="V25" s="101" t="s">
        <v>99</v>
      </c>
      <c r="W25" s="158" t="str">
        <f t="shared" si="1"/>
        <v>Punzano Egea,Felipe</v>
      </c>
      <c r="X25" s="211">
        <f t="shared" si="2"/>
        <v>2</v>
      </c>
      <c r="Y25" s="211">
        <f t="shared" si="3"/>
        <v>2020</v>
      </c>
      <c r="Z25" s="103" t="s">
        <v>265</v>
      </c>
      <c r="AA25">
        <f>IF(Tabla1[[#This Row],[Kerma en aire acumulada (Gy)]]&gt;1,SUMIF(G:G,Tabla1[[#This Row],[SIP]],I:I)-Tabla1[[#This Row],[Kerma en aire acumulada (Gy)]],"")</f>
        <v>0</v>
      </c>
    </row>
    <row r="26" spans="1:27">
      <c r="C26" s="89" t="str">
        <f t="shared" si="0"/>
        <v>Adulto</v>
      </c>
      <c r="D26" s="101" t="s">
        <v>78</v>
      </c>
      <c r="E26" s="101" t="s">
        <v>79</v>
      </c>
      <c r="F26" s="101" t="s">
        <v>80</v>
      </c>
      <c r="G26" s="101">
        <v>2910430</v>
      </c>
      <c r="H26" s="102">
        <v>43873</v>
      </c>
      <c r="I26" s="101">
        <v>5.6</v>
      </c>
      <c r="J26" s="101"/>
      <c r="K26" s="101"/>
      <c r="L26" s="101"/>
      <c r="M26" s="101"/>
      <c r="N26" s="101"/>
      <c r="O26" s="101"/>
      <c r="P26" s="101"/>
      <c r="Q26" s="101"/>
      <c r="R26" s="101"/>
      <c r="S26" s="101"/>
      <c r="T26" s="102">
        <v>21480</v>
      </c>
      <c r="U26" s="101" t="s">
        <v>512</v>
      </c>
      <c r="V26" s="101" t="s">
        <v>89</v>
      </c>
      <c r="W26" s="158" t="str">
        <f t="shared" si="1"/>
        <v>Ballester Noguera,José Vicente</v>
      </c>
      <c r="X26" s="211">
        <f t="shared" si="2"/>
        <v>2</v>
      </c>
      <c r="Y26" s="211">
        <f t="shared" si="3"/>
        <v>2020</v>
      </c>
      <c r="Z26" s="103" t="s">
        <v>265</v>
      </c>
      <c r="AA26">
        <f>IF(Tabla1[[#This Row],[Kerma en aire acumulada (Gy)]]&gt;1,SUMIF(G:G,Tabla1[[#This Row],[SIP]],I:I)-Tabla1[[#This Row],[Kerma en aire acumulada (Gy)]],"")</f>
        <v>2.67</v>
      </c>
    </row>
    <row r="27" spans="1:27">
      <c r="C27" s="94" t="str">
        <f t="shared" si="0"/>
        <v>Adulto</v>
      </c>
      <c r="D27" s="101" t="s">
        <v>319</v>
      </c>
      <c r="E27" s="101" t="s">
        <v>158</v>
      </c>
      <c r="F27" s="101" t="s">
        <v>75</v>
      </c>
      <c r="G27" s="101">
        <v>4724594</v>
      </c>
      <c r="H27" s="102">
        <v>43879</v>
      </c>
      <c r="I27" s="101">
        <v>1.141</v>
      </c>
      <c r="J27" s="101"/>
      <c r="K27" s="101"/>
      <c r="L27" s="101"/>
      <c r="M27" s="101"/>
      <c r="N27" s="101"/>
      <c r="O27" s="101"/>
      <c r="P27" s="101"/>
      <c r="Q27" s="101"/>
      <c r="R27" s="101"/>
      <c r="S27" s="101"/>
      <c r="T27" s="102">
        <v>22475</v>
      </c>
      <c r="U27" s="101" t="s">
        <v>512</v>
      </c>
      <c r="V27" s="101"/>
      <c r="W27" s="158" t="str">
        <f t="shared" si="1"/>
        <v>Gonzalez Climent,Javier</v>
      </c>
      <c r="X27" s="211">
        <f t="shared" si="2"/>
        <v>2</v>
      </c>
      <c r="Y27" s="211">
        <f t="shared" si="3"/>
        <v>2020</v>
      </c>
      <c r="Z27" s="103" t="s">
        <v>265</v>
      </c>
      <c r="AA27">
        <f>IF(Tabla1[[#This Row],[Kerma en aire acumulada (Gy)]]&gt;1,SUMIF(G:G,Tabla1[[#This Row],[SIP]],I:I)-Tabla1[[#This Row],[Kerma en aire acumulada (Gy)]],"")</f>
        <v>8.6010000000000009</v>
      </c>
    </row>
    <row r="28" spans="1:27">
      <c r="C28" s="89" t="str">
        <f t="shared" si="0"/>
        <v>Adulto</v>
      </c>
      <c r="D28" s="101" t="s">
        <v>14</v>
      </c>
      <c r="E28" s="101" t="s">
        <v>15</v>
      </c>
      <c r="F28" s="101" t="s">
        <v>16</v>
      </c>
      <c r="G28" s="101">
        <v>1858960</v>
      </c>
      <c r="H28" s="102">
        <v>43944</v>
      </c>
      <c r="I28" s="101">
        <v>3.262</v>
      </c>
      <c r="J28" s="101" t="s">
        <v>256</v>
      </c>
      <c r="K28" s="101"/>
      <c r="L28" s="101"/>
      <c r="M28" s="101"/>
      <c r="N28" s="101"/>
      <c r="O28" s="101"/>
      <c r="P28" s="101"/>
      <c r="Q28" s="101"/>
      <c r="R28" s="101"/>
      <c r="S28" s="101"/>
      <c r="T28" s="102">
        <v>21413</v>
      </c>
      <c r="U28" s="101" t="s">
        <v>512</v>
      </c>
      <c r="V28" s="101" t="s">
        <v>89</v>
      </c>
      <c r="W28" s="158" t="str">
        <f t="shared" si="1"/>
        <v>Duro  Moreno,Ramón</v>
      </c>
      <c r="X28" s="211">
        <f t="shared" si="2"/>
        <v>4</v>
      </c>
      <c r="Y28" s="211">
        <f t="shared" si="3"/>
        <v>2020</v>
      </c>
      <c r="Z28" s="103" t="s">
        <v>265</v>
      </c>
      <c r="AA28">
        <f>IF(Tabla1[[#This Row],[Kerma en aire acumulada (Gy)]]&gt;1,SUMIF(G:G,Tabla1[[#This Row],[SIP]],I:I)-Tabla1[[#This Row],[Kerma en aire acumulada (Gy)]],"")</f>
        <v>1.0699999999999998</v>
      </c>
    </row>
    <row r="29" spans="1:27">
      <c r="C29" s="155" t="str">
        <f t="shared" si="0"/>
        <v>Adulto</v>
      </c>
      <c r="D29" s="101" t="s">
        <v>104</v>
      </c>
      <c r="E29" s="101" t="s">
        <v>109</v>
      </c>
      <c r="F29" s="101" t="s">
        <v>110</v>
      </c>
      <c r="G29" s="101">
        <v>1276398</v>
      </c>
      <c r="H29" s="102">
        <v>43955</v>
      </c>
      <c r="I29" s="101">
        <v>2.5619999999999998</v>
      </c>
      <c r="J29" s="101"/>
      <c r="K29" s="101"/>
      <c r="L29" s="101"/>
      <c r="M29" s="101"/>
      <c r="N29" s="101"/>
      <c r="O29" s="101"/>
      <c r="P29" s="101"/>
      <c r="Q29" s="101"/>
      <c r="R29" s="101"/>
      <c r="S29" s="101"/>
      <c r="T29" s="102">
        <v>17109</v>
      </c>
      <c r="U29" s="101" t="s">
        <v>512</v>
      </c>
      <c r="V29" s="101" t="s">
        <v>111</v>
      </c>
      <c r="W29" s="158" t="str">
        <f t="shared" si="1"/>
        <v>Martínez Ibáñez,Valentín</v>
      </c>
      <c r="X29" s="211">
        <f t="shared" si="2"/>
        <v>5</v>
      </c>
      <c r="Y29" s="211">
        <f t="shared" si="3"/>
        <v>2020</v>
      </c>
      <c r="Z29" s="103" t="s">
        <v>265</v>
      </c>
      <c r="AA29">
        <f>IF(Tabla1[[#This Row],[Kerma en aire acumulada (Gy)]]&gt;1,SUMIF(G:G,Tabla1[[#This Row],[SIP]],I:I)-Tabla1[[#This Row],[Kerma en aire acumulada (Gy)]],"")</f>
        <v>3.7520000000000002</v>
      </c>
    </row>
    <row r="30" spans="1:27">
      <c r="C30" s="89" t="str">
        <f t="shared" si="0"/>
        <v>Adulto</v>
      </c>
      <c r="D30" s="101" t="s">
        <v>104</v>
      </c>
      <c r="E30" s="101" t="s">
        <v>105</v>
      </c>
      <c r="F30" s="101" t="s">
        <v>106</v>
      </c>
      <c r="G30" s="101">
        <v>3481236</v>
      </c>
      <c r="H30" s="102">
        <v>43972</v>
      </c>
      <c r="I30" s="101">
        <v>2.1709999999999998</v>
      </c>
      <c r="J30" s="101"/>
      <c r="K30" s="101"/>
      <c r="L30" s="101"/>
      <c r="M30" s="101"/>
      <c r="N30" s="101"/>
      <c r="O30" s="101"/>
      <c r="P30" s="101"/>
      <c r="Q30" s="101"/>
      <c r="R30" s="101"/>
      <c r="S30" s="101"/>
      <c r="T30" s="102">
        <v>14850</v>
      </c>
      <c r="U30" s="101" t="s">
        <v>512</v>
      </c>
      <c r="V30" s="101" t="s">
        <v>107</v>
      </c>
      <c r="W30" s="158" t="str">
        <f t="shared" si="1"/>
        <v>Martínez Soriano,Carmen</v>
      </c>
      <c r="X30" s="211">
        <f t="shared" si="2"/>
        <v>5</v>
      </c>
      <c r="Y30" s="211">
        <f t="shared" si="3"/>
        <v>2020</v>
      </c>
      <c r="Z30" s="103" t="s">
        <v>265</v>
      </c>
      <c r="AA30">
        <f>IF(Tabla1[[#This Row],[Kerma en aire acumulada (Gy)]]&gt;1,SUMIF(G:G,Tabla1[[#This Row],[SIP]],I:I)-Tabla1[[#This Row],[Kerma en aire acumulada (Gy)]],"")</f>
        <v>2.823</v>
      </c>
    </row>
    <row r="31" spans="1:27">
      <c r="C31" s="157" t="str">
        <f t="shared" si="0"/>
        <v>Adulto</v>
      </c>
      <c r="D31" s="90" t="s">
        <v>367</v>
      </c>
      <c r="E31" s="90" t="s">
        <v>368</v>
      </c>
      <c r="F31" s="90" t="s">
        <v>369</v>
      </c>
      <c r="G31" s="90">
        <v>2357868</v>
      </c>
      <c r="H31" s="91">
        <v>43979</v>
      </c>
      <c r="I31" s="90">
        <v>0.254</v>
      </c>
      <c r="J31" s="90"/>
      <c r="K31" s="90"/>
      <c r="L31" s="90"/>
      <c r="M31" s="90"/>
      <c r="N31" s="90"/>
      <c r="O31" s="90"/>
      <c r="P31" s="90"/>
      <c r="Q31" s="90"/>
      <c r="R31" s="90"/>
      <c r="S31" s="90"/>
      <c r="T31" s="91">
        <v>26063</v>
      </c>
      <c r="U31" s="90"/>
      <c r="V31" s="90"/>
      <c r="W31" s="233" t="str">
        <f t="shared" si="1"/>
        <v>Urbán García,Alejandro</v>
      </c>
      <c r="X31" s="202">
        <f t="shared" si="2"/>
        <v>5</v>
      </c>
      <c r="Y31" s="202">
        <f t="shared" si="3"/>
        <v>2020</v>
      </c>
      <c r="Z31" s="93" t="s">
        <v>265</v>
      </c>
      <c r="AA31" t="str">
        <f>IF(Tabla1[[#This Row],[Kerma en aire acumulada (Gy)]]&gt;1,SUMIF(G:G,Tabla1[[#This Row],[SIP]],I:I)-Tabla1[[#This Row],[Kerma en aire acumulada (Gy)]],"")</f>
        <v/>
      </c>
    </row>
    <row r="32" spans="1:27" ht="15.75" thickBot="1">
      <c r="C32" s="198" t="str">
        <f t="shared" si="0"/>
        <v>Adulto</v>
      </c>
      <c r="D32" s="195" t="s">
        <v>365</v>
      </c>
      <c r="E32" s="195" t="s">
        <v>366</v>
      </c>
      <c r="F32" s="195" t="s">
        <v>80</v>
      </c>
      <c r="G32" s="195">
        <v>3065170</v>
      </c>
      <c r="H32" s="196">
        <v>43979</v>
      </c>
      <c r="I32" s="195">
        <v>0.123</v>
      </c>
      <c r="J32" s="195"/>
      <c r="K32" s="195"/>
      <c r="L32" s="195"/>
      <c r="M32" s="195"/>
      <c r="N32" s="195"/>
      <c r="O32" s="195"/>
      <c r="P32" s="195"/>
      <c r="Q32" s="195"/>
      <c r="R32" s="195"/>
      <c r="S32" s="195"/>
      <c r="T32" s="196">
        <v>21040</v>
      </c>
      <c r="U32" s="195"/>
      <c r="V32" s="195"/>
      <c r="W32" s="234" t="str">
        <f t="shared" si="1"/>
        <v>Collado Rodríguez,José Vicente</v>
      </c>
      <c r="X32" s="170">
        <f t="shared" si="2"/>
        <v>5</v>
      </c>
      <c r="Y32" s="170">
        <f t="shared" si="3"/>
        <v>2020</v>
      </c>
      <c r="Z32" s="197" t="s">
        <v>265</v>
      </c>
      <c r="AA32" t="str">
        <f>IF(Tabla1[[#This Row],[Kerma en aire acumulada (Gy)]]&gt;1,SUMIF(G:G,Tabla1[[#This Row],[SIP]],I:I)-Tabla1[[#This Row],[Kerma en aire acumulada (Gy)]],"")</f>
        <v/>
      </c>
    </row>
    <row r="33" spans="3:28" ht="15.75" thickTop="1">
      <c r="C33" s="157" t="str">
        <f t="shared" si="0"/>
        <v>Adulto</v>
      </c>
      <c r="D33" s="211" t="s">
        <v>119</v>
      </c>
      <c r="E33" s="211" t="s">
        <v>120</v>
      </c>
      <c r="F33" s="211" t="s">
        <v>121</v>
      </c>
      <c r="G33" s="211">
        <v>146669</v>
      </c>
      <c r="H33" s="215">
        <v>43980</v>
      </c>
      <c r="I33" s="211">
        <v>3.36</v>
      </c>
      <c r="J33" s="211"/>
      <c r="K33" s="211"/>
      <c r="L33" s="211"/>
      <c r="M33" s="211"/>
      <c r="N33" s="211"/>
      <c r="O33" s="211"/>
      <c r="P33" s="211"/>
      <c r="Q33" s="211"/>
      <c r="R33" s="211"/>
      <c r="S33" s="211"/>
      <c r="T33" s="215">
        <v>23965</v>
      </c>
      <c r="U33" s="211" t="s">
        <v>512</v>
      </c>
      <c r="V33" s="211" t="s">
        <v>122</v>
      </c>
      <c r="W33" s="233" t="str">
        <f t="shared" si="1"/>
        <v>Verdejo Matrínez,José Manuel</v>
      </c>
      <c r="X33" s="202">
        <f t="shared" si="2"/>
        <v>5</v>
      </c>
      <c r="Y33" s="211">
        <f t="shared" si="3"/>
        <v>2020</v>
      </c>
      <c r="Z33" s="204" t="s">
        <v>265</v>
      </c>
      <c r="AA33">
        <f>IF(Tabla1[[#This Row],[Kerma en aire acumulada (Gy)]]&gt;1,SUMIF(G:G,Tabla1[[#This Row],[SIP]],I:I)-Tabla1[[#This Row],[Kerma en aire acumulada (Gy)]],"")</f>
        <v>0</v>
      </c>
    </row>
    <row r="34" spans="3:28">
      <c r="C34" s="94" t="str">
        <f t="shared" si="0"/>
        <v>Adulto</v>
      </c>
      <c r="D34" s="95" t="s">
        <v>367</v>
      </c>
      <c r="E34" s="95" t="s">
        <v>368</v>
      </c>
      <c r="F34" s="95" t="s">
        <v>369</v>
      </c>
      <c r="G34" s="95">
        <v>2357868</v>
      </c>
      <c r="H34" s="96">
        <v>43980</v>
      </c>
      <c r="I34" s="95">
        <v>6.3E-2</v>
      </c>
      <c r="J34" s="95"/>
      <c r="K34" s="95"/>
      <c r="L34" s="95"/>
      <c r="M34" s="95"/>
      <c r="N34" s="95"/>
      <c r="O34" s="95"/>
      <c r="P34" s="95"/>
      <c r="Q34" s="95"/>
      <c r="R34" s="95"/>
      <c r="S34" s="95"/>
      <c r="T34" s="96">
        <v>26063</v>
      </c>
      <c r="U34" s="95"/>
      <c r="V34" s="95"/>
      <c r="W34" s="232" t="str">
        <f t="shared" si="1"/>
        <v>Urbán García,Alejandro</v>
      </c>
      <c r="X34" s="154">
        <f t="shared" si="2"/>
        <v>5</v>
      </c>
      <c r="Y34" s="154">
        <f t="shared" si="3"/>
        <v>2020</v>
      </c>
      <c r="Z34" s="97" t="s">
        <v>265</v>
      </c>
      <c r="AA34" t="str">
        <f>IF(Tabla1[[#This Row],[Kerma en aire acumulada (Gy)]]&gt;1,SUMIF(G:G,Tabla1[[#This Row],[SIP]],I:I)-Tabla1[[#This Row],[Kerma en aire acumulada (Gy)]],"")</f>
        <v/>
      </c>
    </row>
    <row r="35" spans="3:28">
      <c r="C35" s="94" t="str">
        <f t="shared" si="0"/>
        <v>Adulto</v>
      </c>
      <c r="D35" s="101" t="s">
        <v>101</v>
      </c>
      <c r="E35" s="101" t="s">
        <v>32</v>
      </c>
      <c r="F35" s="101" t="s">
        <v>102</v>
      </c>
      <c r="G35" s="101">
        <v>2398262</v>
      </c>
      <c r="H35" s="102">
        <v>43981</v>
      </c>
      <c r="I35" s="101">
        <v>2.9849999999999999</v>
      </c>
      <c r="J35" s="101"/>
      <c r="K35" s="101"/>
      <c r="L35" s="101"/>
      <c r="M35" s="101"/>
      <c r="N35" s="101"/>
      <c r="O35" s="101"/>
      <c r="P35" s="101"/>
      <c r="Q35" s="101"/>
      <c r="R35" s="101"/>
      <c r="S35" s="101"/>
      <c r="T35" s="102">
        <v>16009</v>
      </c>
      <c r="U35" s="101" t="s">
        <v>512</v>
      </c>
      <c r="V35" s="101" t="s">
        <v>85</v>
      </c>
      <c r="W35" s="158" t="str">
        <f t="shared" si="1"/>
        <v>Calvo Gómez,José</v>
      </c>
      <c r="X35" s="211">
        <f t="shared" si="2"/>
        <v>5</v>
      </c>
      <c r="Y35" s="211">
        <f t="shared" si="3"/>
        <v>2020</v>
      </c>
      <c r="Z35" s="103" t="s">
        <v>265</v>
      </c>
      <c r="AA35">
        <f>IF(Tabla1[[#This Row],[Kerma en aire acumulada (Gy)]]&gt;1,SUMIF(G:G,Tabla1[[#This Row],[SIP]],I:I)-Tabla1[[#This Row],[Kerma en aire acumulada (Gy)]],"")</f>
        <v>1.4036300000000002</v>
      </c>
    </row>
    <row r="36" spans="3:28">
      <c r="C36" s="94" t="str">
        <f t="shared" si="0"/>
        <v>Adulto</v>
      </c>
      <c r="D36" s="101" t="s">
        <v>104</v>
      </c>
      <c r="E36" s="101" t="s">
        <v>109</v>
      </c>
      <c r="F36" s="101" t="s">
        <v>110</v>
      </c>
      <c r="G36" s="101">
        <v>1276398</v>
      </c>
      <c r="H36" s="102">
        <v>43985</v>
      </c>
      <c r="I36" s="101">
        <v>3.7519999999999998</v>
      </c>
      <c r="J36" s="101"/>
      <c r="K36" s="101"/>
      <c r="L36" s="101"/>
      <c r="M36" s="101"/>
      <c r="N36" s="101"/>
      <c r="O36" s="101"/>
      <c r="P36" s="101"/>
      <c r="Q36" s="101"/>
      <c r="R36" s="101"/>
      <c r="S36" s="101"/>
      <c r="T36" s="102">
        <v>17109</v>
      </c>
      <c r="U36" s="101" t="s">
        <v>512</v>
      </c>
      <c r="V36" s="101" t="s">
        <v>108</v>
      </c>
      <c r="W36" s="158" t="str">
        <f t="shared" si="1"/>
        <v>Martínez Ibáñez,Valentín</v>
      </c>
      <c r="X36" s="211">
        <f t="shared" si="2"/>
        <v>6</v>
      </c>
      <c r="Y36" s="211">
        <f t="shared" si="3"/>
        <v>2020</v>
      </c>
      <c r="Z36" s="103" t="s">
        <v>265</v>
      </c>
      <c r="AA36">
        <f>IF(Tabla1[[#This Row],[Kerma en aire acumulada (Gy)]]&gt;1,SUMIF(G:G,Tabla1[[#This Row],[SIP]],I:I)-Tabla1[[#This Row],[Kerma en aire acumulada (Gy)]],"")</f>
        <v>2.5620000000000003</v>
      </c>
    </row>
    <row r="37" spans="3:28">
      <c r="C37" s="89" t="str">
        <f t="shared" si="0"/>
        <v>Adulto</v>
      </c>
      <c r="D37" s="90" t="s">
        <v>61</v>
      </c>
      <c r="E37" s="90" t="s">
        <v>47</v>
      </c>
      <c r="F37" s="90" t="s">
        <v>62</v>
      </c>
      <c r="G37" s="90">
        <v>264626</v>
      </c>
      <c r="H37" s="91">
        <v>43985</v>
      </c>
      <c r="I37" s="90">
        <v>0.872</v>
      </c>
      <c r="J37" s="90"/>
      <c r="K37" s="90"/>
      <c r="L37" s="90"/>
      <c r="M37" s="90"/>
      <c r="N37" s="90"/>
      <c r="O37" s="90"/>
      <c r="P37" s="90"/>
      <c r="Q37" s="90"/>
      <c r="R37" s="90"/>
      <c r="S37" s="90"/>
      <c r="T37" s="91">
        <v>20745</v>
      </c>
      <c r="U37" s="90"/>
      <c r="V37" s="90" t="s">
        <v>89</v>
      </c>
      <c r="W37" s="233" t="str">
        <f t="shared" si="1"/>
        <v>Astilleros Jiménez,Jacinto</v>
      </c>
      <c r="X37" s="202">
        <f t="shared" si="2"/>
        <v>6</v>
      </c>
      <c r="Y37" s="202">
        <f t="shared" si="3"/>
        <v>2020</v>
      </c>
      <c r="Z37" s="93" t="s">
        <v>265</v>
      </c>
      <c r="AA37" t="str">
        <f>IF(Tabla1[[#This Row],[Kerma en aire acumulada (Gy)]]&gt;1,SUMIF(G:G,Tabla1[[#This Row],[SIP]],I:I)-Tabla1[[#This Row],[Kerma en aire acumulada (Gy)]],"")</f>
        <v/>
      </c>
    </row>
    <row r="38" spans="3:28">
      <c r="C38" s="89" t="str">
        <f t="shared" si="0"/>
        <v>Adulto</v>
      </c>
      <c r="D38" s="101" t="s">
        <v>112</v>
      </c>
      <c r="E38" s="101" t="s">
        <v>113</v>
      </c>
      <c r="F38" s="101" t="s">
        <v>114</v>
      </c>
      <c r="G38" s="101">
        <v>6230481</v>
      </c>
      <c r="H38" s="102">
        <v>43986</v>
      </c>
      <c r="I38" s="101">
        <v>3.05</v>
      </c>
      <c r="J38" s="101"/>
      <c r="K38" s="101"/>
      <c r="L38" s="101"/>
      <c r="M38" s="101"/>
      <c r="N38" s="101"/>
      <c r="O38" s="101"/>
      <c r="P38" s="101"/>
      <c r="Q38" s="101"/>
      <c r="R38" s="101"/>
      <c r="S38" s="101"/>
      <c r="T38" s="102">
        <v>28723</v>
      </c>
      <c r="U38" s="101" t="s">
        <v>512</v>
      </c>
      <c r="V38" s="101" t="s">
        <v>100</v>
      </c>
      <c r="W38" s="158" t="str">
        <f t="shared" si="1"/>
        <v>Mitkov Rusev,Plamen</v>
      </c>
      <c r="X38" s="211">
        <f t="shared" si="2"/>
        <v>6</v>
      </c>
      <c r="Y38" s="211">
        <f t="shared" si="3"/>
        <v>2020</v>
      </c>
      <c r="Z38" s="103" t="s">
        <v>265</v>
      </c>
      <c r="AA38">
        <f>IF(Tabla1[[#This Row],[Kerma en aire acumulada (Gy)]]&gt;1,SUMIF(G:G,Tabla1[[#This Row],[SIP]],I:I)-Tabla1[[#This Row],[Kerma en aire acumulada (Gy)]],"")</f>
        <v>0</v>
      </c>
    </row>
    <row r="39" spans="3:28">
      <c r="C39" s="94" t="str">
        <f t="shared" si="0"/>
        <v>Adulto</v>
      </c>
      <c r="D39" s="101" t="s">
        <v>129</v>
      </c>
      <c r="E39" s="101" t="s">
        <v>130</v>
      </c>
      <c r="F39" s="101" t="s">
        <v>131</v>
      </c>
      <c r="G39" s="101">
        <v>248481</v>
      </c>
      <c r="H39" s="102">
        <v>43992</v>
      </c>
      <c r="I39" s="101">
        <v>2.839</v>
      </c>
      <c r="J39" s="101"/>
      <c r="K39" s="101"/>
      <c r="L39" s="101"/>
      <c r="M39" s="101"/>
      <c r="N39" s="101"/>
      <c r="O39" s="101"/>
      <c r="P39" s="101"/>
      <c r="Q39" s="101"/>
      <c r="R39" s="101"/>
      <c r="S39" s="101"/>
      <c r="T39" s="102">
        <v>21269</v>
      </c>
      <c r="U39" s="101" t="s">
        <v>512</v>
      </c>
      <c r="V39" s="101" t="s">
        <v>100</v>
      </c>
      <c r="W39" s="158" t="str">
        <f t="shared" si="1"/>
        <v>Gallego Hernández,Salvador</v>
      </c>
      <c r="X39" s="211">
        <f t="shared" si="2"/>
        <v>6</v>
      </c>
      <c r="Y39" s="211">
        <f t="shared" si="3"/>
        <v>2020</v>
      </c>
      <c r="Z39" s="103" t="s">
        <v>265</v>
      </c>
      <c r="AA39">
        <f>IF(Tabla1[[#This Row],[Kerma en aire acumulada (Gy)]]&gt;1,SUMIF(G:G,Tabla1[[#This Row],[SIP]],I:I)-Tabla1[[#This Row],[Kerma en aire acumulada (Gy)]],"")</f>
        <v>5.7679999999999989</v>
      </c>
    </row>
    <row r="40" spans="3:28">
      <c r="C40" s="157" t="str">
        <f t="shared" si="0"/>
        <v>Adulto</v>
      </c>
      <c r="D40" s="101" t="s">
        <v>104</v>
      </c>
      <c r="E40" s="101" t="s">
        <v>105</v>
      </c>
      <c r="F40" s="101" t="s">
        <v>106</v>
      </c>
      <c r="G40" s="101">
        <v>3481236</v>
      </c>
      <c r="H40" s="102">
        <v>43993</v>
      </c>
      <c r="I40" s="101">
        <v>2.823</v>
      </c>
      <c r="J40" s="101"/>
      <c r="K40" s="101"/>
      <c r="L40" s="101"/>
      <c r="M40" s="101"/>
      <c r="N40" s="101"/>
      <c r="O40" s="101"/>
      <c r="P40" s="101"/>
      <c r="Q40" s="101"/>
      <c r="R40" s="101"/>
      <c r="S40" s="101"/>
      <c r="T40" s="102">
        <v>14850</v>
      </c>
      <c r="U40" s="101" t="s">
        <v>512</v>
      </c>
      <c r="V40" s="101" t="s">
        <v>89</v>
      </c>
      <c r="W40" s="158" t="str">
        <f t="shared" si="1"/>
        <v>Martínez Soriano,Carmen</v>
      </c>
      <c r="X40" s="211">
        <f t="shared" si="2"/>
        <v>6</v>
      </c>
      <c r="Y40" s="211">
        <f t="shared" si="3"/>
        <v>2020</v>
      </c>
      <c r="Z40" s="103" t="s">
        <v>265</v>
      </c>
      <c r="AA40">
        <f>IF(Tabla1[[#This Row],[Kerma en aire acumulada (Gy)]]&gt;1,SUMIF(G:G,Tabla1[[#This Row],[SIP]],I:I)-Tabla1[[#This Row],[Kerma en aire acumulada (Gy)]],"")</f>
        <v>2.1709999999999998</v>
      </c>
    </row>
    <row r="41" spans="3:28">
      <c r="C41" s="154" t="str">
        <f t="shared" si="0"/>
        <v>Adulto</v>
      </c>
      <c r="D41" s="101" t="s">
        <v>115</v>
      </c>
      <c r="E41" s="101" t="s">
        <v>116</v>
      </c>
      <c r="F41" s="101" t="s">
        <v>117</v>
      </c>
      <c r="G41" s="101">
        <v>3273662</v>
      </c>
      <c r="H41" s="102">
        <v>44004</v>
      </c>
      <c r="I41" s="101">
        <v>2.9980000000000002</v>
      </c>
      <c r="J41" s="101"/>
      <c r="K41" s="101"/>
      <c r="L41" s="101"/>
      <c r="M41" s="101"/>
      <c r="N41" s="101"/>
      <c r="O41" s="101"/>
      <c r="P41" s="101"/>
      <c r="Q41" s="101"/>
      <c r="R41" s="101"/>
      <c r="S41" s="101"/>
      <c r="T41" s="102">
        <v>18921</v>
      </c>
      <c r="U41" s="101" t="s">
        <v>512</v>
      </c>
      <c r="V41" s="101" t="s">
        <v>118</v>
      </c>
      <c r="W41" s="158" t="str">
        <f t="shared" ref="W41:W72" si="4">CONCATENATE(D41,$A$591,E41,",",F41)</f>
        <v>Pardo Serrano,M Carmen</v>
      </c>
      <c r="X41" s="211">
        <f t="shared" ref="X41:X72" si="5">MONTH(H41)</f>
        <v>6</v>
      </c>
      <c r="Y41" s="211">
        <f t="shared" ref="Y41:Y72" si="6">YEAR(H41)</f>
        <v>2020</v>
      </c>
      <c r="Z41" s="103" t="s">
        <v>265</v>
      </c>
      <c r="AA41">
        <f>IF(Tabla1[[#This Row],[Kerma en aire acumulada (Gy)]]&gt;1,SUMIF(G:G,Tabla1[[#This Row],[SIP]],I:I)-Tabla1[[#This Row],[Kerma en aire acumulada (Gy)]],"")</f>
        <v>0</v>
      </c>
    </row>
    <row r="42" spans="3:28">
      <c r="C42" s="157" t="str">
        <f t="shared" si="0"/>
        <v>Adulto</v>
      </c>
      <c r="D42" s="101" t="s">
        <v>103</v>
      </c>
      <c r="E42" s="101" t="s">
        <v>513</v>
      </c>
      <c r="F42" s="101" t="s">
        <v>16</v>
      </c>
      <c r="G42" s="101">
        <v>1698821</v>
      </c>
      <c r="H42" s="102">
        <v>44004</v>
      </c>
      <c r="I42" s="101">
        <v>3.0939999999999999</v>
      </c>
      <c r="J42" s="101"/>
      <c r="K42" s="101"/>
      <c r="L42" s="101"/>
      <c r="M42" s="101"/>
      <c r="N42" s="101"/>
      <c r="O42" s="101"/>
      <c r="P42" s="101"/>
      <c r="Q42" s="101"/>
      <c r="R42" s="101"/>
      <c r="S42" s="101"/>
      <c r="T42" s="102">
        <v>23971</v>
      </c>
      <c r="U42" s="101" t="s">
        <v>512</v>
      </c>
      <c r="V42" s="101" t="s">
        <v>89</v>
      </c>
      <c r="W42" s="158" t="str">
        <f t="shared" si="4"/>
        <v>Llanes Tolosa,Ramón</v>
      </c>
      <c r="X42" s="211">
        <f t="shared" si="5"/>
        <v>6</v>
      </c>
      <c r="Y42" s="211">
        <f t="shared" si="6"/>
        <v>2020</v>
      </c>
      <c r="Z42" s="103" t="s">
        <v>265</v>
      </c>
      <c r="AA42">
        <f>IF(Tabla1[[#This Row],[Kerma en aire acumulada (Gy)]]&gt;1,SUMIF(G:G,Tabla1[[#This Row],[SIP]],I:I)-Tabla1[[#This Row],[Kerma en aire acumulada (Gy)]],"")</f>
        <v>8.2430000000000003</v>
      </c>
      <c r="AB42">
        <f>IF(Tabla1[[#This Row],[Kerma en aire acumulada (Gy)]]&gt;1,SUMIF(G:G,Tabla1[[#This Row],[SIP]],I:I)-Tabla1[[#This Row],[Kerma en aire acumulada (Gy)]],"")</f>
        <v>8.2430000000000003</v>
      </c>
    </row>
    <row r="43" spans="3:28">
      <c r="C43" s="154" t="str">
        <f t="shared" si="0"/>
        <v>Adulto</v>
      </c>
      <c r="D43" s="101" t="s">
        <v>124</v>
      </c>
      <c r="E43" s="101" t="s">
        <v>116</v>
      </c>
      <c r="F43" s="101" t="s">
        <v>123</v>
      </c>
      <c r="G43" s="101">
        <v>2608848</v>
      </c>
      <c r="H43" s="102">
        <v>44007</v>
      </c>
      <c r="I43" s="101">
        <v>6.2839999999999998</v>
      </c>
      <c r="J43" s="101"/>
      <c r="K43" s="101"/>
      <c r="L43" s="101"/>
      <c r="M43" s="101"/>
      <c r="N43" s="101"/>
      <c r="O43" s="101"/>
      <c r="P43" s="101"/>
      <c r="Q43" s="101"/>
      <c r="R43" s="101"/>
      <c r="S43" s="101"/>
      <c r="T43" s="102">
        <v>17567</v>
      </c>
      <c r="U43" s="101" t="s">
        <v>512</v>
      </c>
      <c r="V43" s="101" t="s">
        <v>107</v>
      </c>
      <c r="W43" s="158" t="str">
        <f t="shared" si="4"/>
        <v>Calero Serrano,Catalina</v>
      </c>
      <c r="X43" s="211">
        <f t="shared" si="5"/>
        <v>6</v>
      </c>
      <c r="Y43" s="211">
        <f t="shared" si="6"/>
        <v>2020</v>
      </c>
      <c r="Z43" s="103" t="s">
        <v>265</v>
      </c>
      <c r="AA43">
        <f>IF(Tabla1[[#This Row],[Kerma en aire acumulada (Gy)]]&gt;1,SUMIF(G:G,Tabla1[[#This Row],[SIP]],I:I)-Tabla1[[#This Row],[Kerma en aire acumulada (Gy)]],"")</f>
        <v>0</v>
      </c>
      <c r="AB43">
        <f>IF(Tabla1[[#This Row],[Kerma en aire acumulada (Gy)]]&gt;1,SUMIF(G:G,Tabla1[[#This Row],[SIP]],I:I)-Tabla1[[#This Row],[Kerma en aire acumulada (Gy)]],"")</f>
        <v>0</v>
      </c>
    </row>
    <row r="44" spans="3:28">
      <c r="C44" s="202" t="str">
        <f t="shared" si="0"/>
        <v>Adulto</v>
      </c>
      <c r="D44" s="101" t="s">
        <v>125</v>
      </c>
      <c r="E44" s="101" t="s">
        <v>126</v>
      </c>
      <c r="F44" s="101" t="s">
        <v>127</v>
      </c>
      <c r="G44" s="101">
        <v>1755575</v>
      </c>
      <c r="H44" s="102">
        <v>44008</v>
      </c>
      <c r="I44" s="101">
        <v>4.2350000000000003</v>
      </c>
      <c r="J44" s="101"/>
      <c r="K44" s="101"/>
      <c r="L44" s="101"/>
      <c r="M44" s="101"/>
      <c r="N44" s="101"/>
      <c r="O44" s="101"/>
      <c r="P44" s="101"/>
      <c r="Q44" s="101"/>
      <c r="R44" s="101"/>
      <c r="S44" s="101"/>
      <c r="T44" s="102">
        <v>20218</v>
      </c>
      <c r="U44" s="101" t="s">
        <v>512</v>
      </c>
      <c r="V44" s="101" t="s">
        <v>128</v>
      </c>
      <c r="W44" s="158" t="str">
        <f t="shared" si="4"/>
        <v>Timoner Domingo,Pedro Enrique</v>
      </c>
      <c r="X44" s="202">
        <f t="shared" si="5"/>
        <v>6</v>
      </c>
      <c r="Y44" s="202">
        <f t="shared" si="6"/>
        <v>2020</v>
      </c>
      <c r="Z44" s="103" t="s">
        <v>265</v>
      </c>
      <c r="AA44">
        <f>IF(Tabla1[[#This Row],[Kerma en aire acumulada (Gy)]]&gt;1,SUMIF(G:G,Tabla1[[#This Row],[SIP]],I:I)-Tabla1[[#This Row],[Kerma en aire acumulada (Gy)]],"")</f>
        <v>0</v>
      </c>
    </row>
    <row r="45" spans="3:28">
      <c r="C45" s="154" t="str">
        <f t="shared" si="0"/>
        <v>Adulto</v>
      </c>
      <c r="D45" s="101" t="s">
        <v>132</v>
      </c>
      <c r="E45" s="101" t="s">
        <v>133</v>
      </c>
      <c r="F45" s="101" t="s">
        <v>134</v>
      </c>
      <c r="G45" s="101">
        <v>2908045</v>
      </c>
      <c r="H45" s="102">
        <v>44012</v>
      </c>
      <c r="I45" s="101">
        <f>2.236+1.24</f>
        <v>3.476</v>
      </c>
      <c r="J45" s="101"/>
      <c r="K45" s="101"/>
      <c r="L45" s="101"/>
      <c r="M45" s="101"/>
      <c r="N45" s="101"/>
      <c r="O45" s="101"/>
      <c r="P45" s="101"/>
      <c r="Q45" s="101"/>
      <c r="R45" s="101"/>
      <c r="S45" s="101"/>
      <c r="T45" s="102">
        <v>20621</v>
      </c>
      <c r="U45" s="101" t="s">
        <v>512</v>
      </c>
      <c r="V45" s="101" t="s">
        <v>138</v>
      </c>
      <c r="W45" s="158" t="str">
        <f t="shared" si="4"/>
        <v>Murciano Rodilla,Herlinda</v>
      </c>
      <c r="X45" s="211">
        <f t="shared" si="5"/>
        <v>6</v>
      </c>
      <c r="Y45" s="211">
        <f t="shared" si="6"/>
        <v>2020</v>
      </c>
      <c r="Z45" s="103" t="s">
        <v>265</v>
      </c>
      <c r="AA45">
        <f>IF(Tabla1[[#This Row],[Kerma en aire acumulada (Gy)]]&gt;1,SUMIF(G:G,Tabla1[[#This Row],[SIP]],I:I)-Tabla1[[#This Row],[Kerma en aire acumulada (Gy)]],"")</f>
        <v>0</v>
      </c>
    </row>
    <row r="46" spans="3:28">
      <c r="C46" s="202" t="str">
        <f t="shared" si="0"/>
        <v>Adulto</v>
      </c>
      <c r="D46" s="101" t="s">
        <v>135</v>
      </c>
      <c r="E46" s="101" t="s">
        <v>136</v>
      </c>
      <c r="F46" s="101" t="s">
        <v>137</v>
      </c>
      <c r="G46" s="101">
        <v>3189874</v>
      </c>
      <c r="H46" s="102">
        <v>44020</v>
      </c>
      <c r="I46" s="101">
        <f>1.815+1.885</f>
        <v>3.7</v>
      </c>
      <c r="J46" s="101"/>
      <c r="K46" s="101"/>
      <c r="L46" s="101"/>
      <c r="M46" s="101"/>
      <c r="N46" s="101"/>
      <c r="O46" s="101"/>
      <c r="P46" s="101"/>
      <c r="Q46" s="101"/>
      <c r="R46" s="101"/>
      <c r="S46" s="101"/>
      <c r="T46" s="102">
        <v>16751</v>
      </c>
      <c r="U46" s="101" t="s">
        <v>512</v>
      </c>
      <c r="V46" s="101" t="s">
        <v>139</v>
      </c>
      <c r="W46" s="158" t="str">
        <f t="shared" si="4"/>
        <v>Arroyo Porta,Adela</v>
      </c>
      <c r="X46" s="211">
        <f t="shared" si="5"/>
        <v>7</v>
      </c>
      <c r="Y46" s="211">
        <f t="shared" si="6"/>
        <v>2020</v>
      </c>
      <c r="Z46" s="103" t="s">
        <v>265</v>
      </c>
      <c r="AA46">
        <f>IF(Tabla1[[#This Row],[Kerma en aire acumulada (Gy)]]&gt;1,SUMIF(G:G,Tabla1[[#This Row],[SIP]],I:I)-Tabla1[[#This Row],[Kerma en aire acumulada (Gy)]],"")</f>
        <v>0</v>
      </c>
    </row>
    <row r="47" spans="3:28" ht="15.75" thickBot="1">
      <c r="C47" s="166" t="str">
        <f t="shared" si="0"/>
        <v>Adulto</v>
      </c>
      <c r="D47" s="210" t="s">
        <v>140</v>
      </c>
      <c r="E47" s="210" t="s">
        <v>141</v>
      </c>
      <c r="F47" s="210" t="s">
        <v>142</v>
      </c>
      <c r="G47" s="210">
        <v>4664774</v>
      </c>
      <c r="H47" s="213">
        <v>44028</v>
      </c>
      <c r="I47" s="210">
        <v>7.4690000000000003</v>
      </c>
      <c r="J47" s="210"/>
      <c r="K47" s="210"/>
      <c r="L47" s="210"/>
      <c r="M47" s="210"/>
      <c r="N47" s="210"/>
      <c r="O47" s="210"/>
      <c r="P47" s="210"/>
      <c r="Q47" s="210"/>
      <c r="R47" s="210"/>
      <c r="S47" s="210"/>
      <c r="T47" s="213">
        <v>25763</v>
      </c>
      <c r="U47" s="210" t="s">
        <v>512</v>
      </c>
      <c r="V47" s="210" t="s">
        <v>100</v>
      </c>
      <c r="W47" s="167" t="str">
        <f t="shared" si="4"/>
        <v>Nadal Torralbo,David</v>
      </c>
      <c r="X47" s="240">
        <f t="shared" si="5"/>
        <v>7</v>
      </c>
      <c r="Y47" s="240">
        <f t="shared" si="6"/>
        <v>2020</v>
      </c>
      <c r="Z47" s="186" t="s">
        <v>265</v>
      </c>
      <c r="AA47">
        <f>IF(Tabla1[[#This Row],[Kerma en aire acumulada (Gy)]]&gt;1,SUMIF(G:G,Tabla1[[#This Row],[SIP]],I:I)-Tabla1[[#This Row],[Kerma en aire acumulada (Gy)]],"")</f>
        <v>0</v>
      </c>
    </row>
    <row r="48" spans="3:28">
      <c r="C48" s="155" t="str">
        <f t="shared" si="0"/>
        <v>Adulto</v>
      </c>
      <c r="D48" s="211" t="s">
        <v>144</v>
      </c>
      <c r="E48" s="211" t="s">
        <v>145</v>
      </c>
      <c r="F48" s="211" t="s">
        <v>121</v>
      </c>
      <c r="G48" s="211">
        <v>3116475</v>
      </c>
      <c r="H48" s="215">
        <v>44040</v>
      </c>
      <c r="I48" s="211">
        <v>6.1840000000000002</v>
      </c>
      <c r="J48" s="211"/>
      <c r="K48" s="211"/>
      <c r="L48" s="211"/>
      <c r="M48" s="211"/>
      <c r="N48" s="211"/>
      <c r="O48" s="211"/>
      <c r="P48" s="211"/>
      <c r="Q48" s="211"/>
      <c r="R48" s="211"/>
      <c r="S48" s="211"/>
      <c r="T48" s="215">
        <v>18095</v>
      </c>
      <c r="U48" s="211" t="s">
        <v>512</v>
      </c>
      <c r="V48" s="211" t="s">
        <v>100</v>
      </c>
      <c r="W48" s="158" t="str">
        <f t="shared" si="4"/>
        <v>Botella Crespo,José Manuel</v>
      </c>
      <c r="X48" s="211">
        <f t="shared" si="5"/>
        <v>7</v>
      </c>
      <c r="Y48" s="211">
        <f t="shared" si="6"/>
        <v>2020</v>
      </c>
      <c r="Z48" s="103" t="s">
        <v>265</v>
      </c>
      <c r="AA48">
        <f>IF(Tabla1[[#This Row],[Kerma en aire acumulada (Gy)]]&gt;1,SUMIF(G:G,Tabla1[[#This Row],[SIP]],I:I)-Tabla1[[#This Row],[Kerma en aire acumulada (Gy)]],"")</f>
        <v>2.165</v>
      </c>
    </row>
    <row r="49" spans="3:27">
      <c r="C49" s="89" t="str">
        <f t="shared" si="0"/>
        <v>Adulto</v>
      </c>
      <c r="D49" s="101" t="s">
        <v>146</v>
      </c>
      <c r="E49" s="101" t="s">
        <v>22</v>
      </c>
      <c r="F49" s="101" t="s">
        <v>102</v>
      </c>
      <c r="G49" s="101">
        <v>4484462</v>
      </c>
      <c r="H49" s="102">
        <v>44040</v>
      </c>
      <c r="I49" s="101">
        <v>3.5249999999999999</v>
      </c>
      <c r="J49" s="101"/>
      <c r="K49" s="101"/>
      <c r="L49" s="101"/>
      <c r="M49" s="101"/>
      <c r="N49" s="101"/>
      <c r="O49" s="101"/>
      <c r="P49" s="101"/>
      <c r="Q49" s="101"/>
      <c r="R49" s="101"/>
      <c r="S49" s="101"/>
      <c r="T49" s="102">
        <v>18462</v>
      </c>
      <c r="U49" s="101" t="s">
        <v>512</v>
      </c>
      <c r="V49" s="101" t="s">
        <v>143</v>
      </c>
      <c r="W49" s="158" t="str">
        <f t="shared" si="4"/>
        <v>Álvarez Ruiz,José</v>
      </c>
      <c r="X49" s="211">
        <f t="shared" si="5"/>
        <v>7</v>
      </c>
      <c r="Y49" s="211">
        <f t="shared" si="6"/>
        <v>2020</v>
      </c>
      <c r="Z49" s="103" t="s">
        <v>265</v>
      </c>
      <c r="AA49">
        <f>IF(Tabla1[[#This Row],[Kerma en aire acumulada (Gy)]]&gt;1,SUMIF(G:G,Tabla1[[#This Row],[SIP]],I:I)-Tabla1[[#This Row],[Kerma en aire acumulada (Gy)]],"")</f>
        <v>0</v>
      </c>
    </row>
    <row r="50" spans="3:27">
      <c r="C50" s="89" t="str">
        <f t="shared" si="0"/>
        <v>Adulto</v>
      </c>
      <c r="D50" s="101" t="s">
        <v>129</v>
      </c>
      <c r="E50" s="101" t="s">
        <v>130</v>
      </c>
      <c r="F50" s="101" t="s">
        <v>131</v>
      </c>
      <c r="G50" s="101">
        <v>248481</v>
      </c>
      <c r="H50" s="102">
        <v>44043</v>
      </c>
      <c r="I50" s="101">
        <v>5.7679999999999998</v>
      </c>
      <c r="J50" s="101"/>
      <c r="K50" s="101"/>
      <c r="L50" s="101"/>
      <c r="M50" s="101"/>
      <c r="N50" s="101"/>
      <c r="O50" s="101"/>
      <c r="P50" s="101"/>
      <c r="Q50" s="101"/>
      <c r="R50" s="101"/>
      <c r="S50" s="101"/>
      <c r="T50" s="102">
        <v>21269</v>
      </c>
      <c r="U50" s="101" t="s">
        <v>512</v>
      </c>
      <c r="V50" s="101" t="s">
        <v>147</v>
      </c>
      <c r="W50" s="158" t="str">
        <f t="shared" si="4"/>
        <v>Gallego Hernández,Salvador</v>
      </c>
      <c r="X50" s="211">
        <f t="shared" si="5"/>
        <v>7</v>
      </c>
      <c r="Y50" s="211">
        <f t="shared" si="6"/>
        <v>2020</v>
      </c>
      <c r="Z50" s="103" t="s">
        <v>265</v>
      </c>
      <c r="AA50">
        <f>IF(Tabla1[[#This Row],[Kerma en aire acumulada (Gy)]]&gt;1,SUMIF(G:G,Tabla1[[#This Row],[SIP]],I:I)-Tabla1[[#This Row],[Kerma en aire acumulada (Gy)]],"")</f>
        <v>2.8389999999999995</v>
      </c>
    </row>
    <row r="51" spans="3:27">
      <c r="C51" s="94" t="str">
        <f t="shared" si="0"/>
        <v>Adulto</v>
      </c>
      <c r="D51" s="101" t="s">
        <v>78</v>
      </c>
      <c r="E51" s="101" t="s">
        <v>79</v>
      </c>
      <c r="F51" s="101" t="s">
        <v>80</v>
      </c>
      <c r="G51" s="101">
        <v>2910430</v>
      </c>
      <c r="H51" s="102">
        <v>44054</v>
      </c>
      <c r="I51" s="101">
        <v>2.67</v>
      </c>
      <c r="J51" s="101"/>
      <c r="K51" s="101"/>
      <c r="L51" s="101"/>
      <c r="M51" s="101"/>
      <c r="N51" s="101"/>
      <c r="O51" s="101"/>
      <c r="P51" s="101"/>
      <c r="Q51" s="101"/>
      <c r="R51" s="101"/>
      <c r="S51" s="101"/>
      <c r="T51" s="102">
        <v>21480</v>
      </c>
      <c r="U51" s="101" t="s">
        <v>512</v>
      </c>
      <c r="V51" s="101" t="s">
        <v>89</v>
      </c>
      <c r="W51" s="158" t="str">
        <f t="shared" si="4"/>
        <v>Ballester Noguera,José Vicente</v>
      </c>
      <c r="X51" s="211">
        <f t="shared" si="5"/>
        <v>8</v>
      </c>
      <c r="Y51" s="211">
        <f t="shared" si="6"/>
        <v>2020</v>
      </c>
      <c r="Z51" s="103" t="s">
        <v>265</v>
      </c>
      <c r="AA51">
        <f>IF(Tabla1[[#This Row],[Kerma en aire acumulada (Gy)]]&gt;1,SUMIF(G:G,Tabla1[[#This Row],[SIP]],I:I)-Tabla1[[#This Row],[Kerma en aire acumulada (Gy)]],"")</f>
        <v>5.6</v>
      </c>
    </row>
    <row r="52" spans="3:27">
      <c r="C52" s="89" t="str">
        <f t="shared" si="0"/>
        <v>Adulto</v>
      </c>
      <c r="D52" s="101" t="s">
        <v>144</v>
      </c>
      <c r="E52" s="101" t="s">
        <v>145</v>
      </c>
      <c r="F52" s="101" t="s">
        <v>121</v>
      </c>
      <c r="G52" s="101">
        <v>3116475</v>
      </c>
      <c r="H52" s="102">
        <v>44056</v>
      </c>
      <c r="I52" s="101">
        <v>2.165</v>
      </c>
      <c r="J52" s="101"/>
      <c r="K52" s="101"/>
      <c r="L52" s="101"/>
      <c r="M52" s="101"/>
      <c r="N52" s="101"/>
      <c r="O52" s="101"/>
      <c r="P52" s="101"/>
      <c r="Q52" s="101"/>
      <c r="R52" s="101"/>
      <c r="S52" s="101"/>
      <c r="T52" s="102">
        <v>18095</v>
      </c>
      <c r="U52" s="101" t="s">
        <v>512</v>
      </c>
      <c r="V52" s="101" t="s">
        <v>147</v>
      </c>
      <c r="W52" s="158" t="str">
        <f t="shared" si="4"/>
        <v>Botella Crespo,José Manuel</v>
      </c>
      <c r="X52" s="211">
        <f t="shared" si="5"/>
        <v>8</v>
      </c>
      <c r="Y52" s="211">
        <f t="shared" si="6"/>
        <v>2020</v>
      </c>
      <c r="Z52" s="103" t="s">
        <v>265</v>
      </c>
      <c r="AA52">
        <f>IF(Tabla1[[#This Row],[Kerma en aire acumulada (Gy)]]&gt;1,SUMIF(G:G,Tabla1[[#This Row],[SIP]],I:I)-Tabla1[[#This Row],[Kerma en aire acumulada (Gy)]],"")</f>
        <v>6.1840000000000002</v>
      </c>
    </row>
    <row r="53" spans="3:27">
      <c r="C53" s="155" t="str">
        <f t="shared" si="0"/>
        <v>Adulto</v>
      </c>
      <c r="D53" s="95" t="s">
        <v>152</v>
      </c>
      <c r="E53" s="95" t="s">
        <v>153</v>
      </c>
      <c r="F53" s="95" t="s">
        <v>154</v>
      </c>
      <c r="G53" s="95">
        <v>93062</v>
      </c>
      <c r="H53" s="96">
        <v>44059</v>
      </c>
      <c r="I53" s="95">
        <v>2.762</v>
      </c>
      <c r="J53" s="95"/>
      <c r="K53" s="95"/>
      <c r="L53" s="95"/>
      <c r="M53" s="95"/>
      <c r="N53" s="95"/>
      <c r="O53" s="95"/>
      <c r="P53" s="95"/>
      <c r="Q53" s="95"/>
      <c r="R53" s="95"/>
      <c r="S53" s="95"/>
      <c r="T53" s="96">
        <v>21458</v>
      </c>
      <c r="U53" s="95"/>
      <c r="V53" s="95" t="s">
        <v>155</v>
      </c>
      <c r="W53" s="232" t="str">
        <f t="shared" si="4"/>
        <v>Vidal Morant,Ángel Salvador</v>
      </c>
      <c r="X53" s="154">
        <f t="shared" si="5"/>
        <v>8</v>
      </c>
      <c r="Y53" s="154">
        <f t="shared" si="6"/>
        <v>2020</v>
      </c>
      <c r="Z53" s="97" t="s">
        <v>265</v>
      </c>
      <c r="AA53">
        <f>IF(Tabla1[[#This Row],[Kerma en aire acumulada (Gy)]]&gt;1,SUMIF(G:G,Tabla1[[#This Row],[SIP]],I:I)-Tabla1[[#This Row],[Kerma en aire acumulada (Gy)]],"")</f>
        <v>0</v>
      </c>
    </row>
    <row r="54" spans="3:27">
      <c r="C54" s="89" t="str">
        <f t="shared" si="0"/>
        <v>Adulto</v>
      </c>
      <c r="D54" s="101" t="s">
        <v>148</v>
      </c>
      <c r="E54" s="101" t="s">
        <v>149</v>
      </c>
      <c r="F54" s="101" t="s">
        <v>150</v>
      </c>
      <c r="G54" s="101">
        <v>4023574</v>
      </c>
      <c r="H54" s="102">
        <v>44059</v>
      </c>
      <c r="I54" s="101">
        <v>3.077</v>
      </c>
      <c r="J54" s="101"/>
      <c r="K54" s="101"/>
      <c r="L54" s="101"/>
      <c r="M54" s="101"/>
      <c r="N54" s="101"/>
      <c r="O54" s="101"/>
      <c r="P54" s="101"/>
      <c r="Q54" s="101"/>
      <c r="R54" s="101"/>
      <c r="S54" s="101"/>
      <c r="T54" s="102">
        <v>24782</v>
      </c>
      <c r="U54" s="101" t="s">
        <v>512</v>
      </c>
      <c r="V54" s="101" t="s">
        <v>100</v>
      </c>
      <c r="W54" s="158" t="str">
        <f t="shared" si="4"/>
        <v>Andreu Soñer,Paloma</v>
      </c>
      <c r="X54" s="211">
        <f t="shared" si="5"/>
        <v>8</v>
      </c>
      <c r="Y54" s="211">
        <f t="shared" si="6"/>
        <v>2020</v>
      </c>
      <c r="Z54" s="103" t="s">
        <v>265</v>
      </c>
      <c r="AA54">
        <f>IF(Tabla1[[#This Row],[Kerma en aire acumulada (Gy)]]&gt;1,SUMIF(G:G,Tabla1[[#This Row],[SIP]],I:I)-Tabla1[[#This Row],[Kerma en aire acumulada (Gy)]],"")</f>
        <v>3.6294499999999994</v>
      </c>
    </row>
    <row r="55" spans="3:27">
      <c r="C55" s="94" t="str">
        <f t="shared" si="0"/>
        <v>Adulto</v>
      </c>
      <c r="D55" s="101" t="s">
        <v>148</v>
      </c>
      <c r="E55" s="101" t="s">
        <v>149</v>
      </c>
      <c r="F55" s="101" t="s">
        <v>150</v>
      </c>
      <c r="G55" s="101">
        <v>4023574</v>
      </c>
      <c r="H55" s="102">
        <v>44060</v>
      </c>
      <c r="I55" s="101">
        <v>3.536</v>
      </c>
      <c r="J55" s="101"/>
      <c r="K55" s="101"/>
      <c r="L55" s="101"/>
      <c r="M55" s="101"/>
      <c r="N55" s="101"/>
      <c r="O55" s="101"/>
      <c r="P55" s="101"/>
      <c r="Q55" s="101"/>
      <c r="R55" s="101"/>
      <c r="S55" s="101"/>
      <c r="T55" s="102">
        <v>24782</v>
      </c>
      <c r="U55" s="101" t="s">
        <v>512</v>
      </c>
      <c r="V55" s="101" t="s">
        <v>151</v>
      </c>
      <c r="W55" s="158" t="str">
        <f t="shared" si="4"/>
        <v>Andreu Soñer,Paloma</v>
      </c>
      <c r="X55" s="211">
        <f t="shared" si="5"/>
        <v>8</v>
      </c>
      <c r="Y55" s="211">
        <f t="shared" si="6"/>
        <v>2020</v>
      </c>
      <c r="Z55" s="103" t="s">
        <v>265</v>
      </c>
      <c r="AA55">
        <f>IF(Tabla1[[#This Row],[Kerma en aire acumulada (Gy)]]&gt;1,SUMIF(G:G,Tabla1[[#This Row],[SIP]],I:I)-Tabla1[[#This Row],[Kerma en aire acumulada (Gy)]],"")</f>
        <v>3.1704499999999993</v>
      </c>
    </row>
    <row r="56" spans="3:27">
      <c r="C56" s="89" t="str">
        <f t="shared" si="0"/>
        <v>Adulto</v>
      </c>
      <c r="D56" s="90" t="s">
        <v>156</v>
      </c>
      <c r="E56" s="90" t="s">
        <v>157</v>
      </c>
      <c r="F56" s="90" t="s">
        <v>82</v>
      </c>
      <c r="G56" s="90">
        <v>3190819</v>
      </c>
      <c r="H56" s="91">
        <v>44070</v>
      </c>
      <c r="I56" s="90">
        <v>2.456</v>
      </c>
      <c r="J56" s="90"/>
      <c r="K56" s="90"/>
      <c r="L56" s="90"/>
      <c r="M56" s="90"/>
      <c r="N56" s="90"/>
      <c r="O56" s="90"/>
      <c r="P56" s="90"/>
      <c r="Q56" s="90"/>
      <c r="R56" s="90"/>
      <c r="S56" s="90"/>
      <c r="T56" s="91">
        <v>17430</v>
      </c>
      <c r="U56" s="90"/>
      <c r="V56" s="90" t="s">
        <v>89</v>
      </c>
      <c r="W56" s="233" t="str">
        <f t="shared" si="4"/>
        <v>Pastor Sánchez,Pascual</v>
      </c>
      <c r="X56" s="202">
        <f t="shared" si="5"/>
        <v>8</v>
      </c>
      <c r="Y56" s="202">
        <f t="shared" si="6"/>
        <v>2020</v>
      </c>
      <c r="Z56" s="93" t="s">
        <v>265</v>
      </c>
      <c r="AA56">
        <f>IF(Tabla1[[#This Row],[Kerma en aire acumulada (Gy)]]&gt;1,SUMIF(G:G,Tabla1[[#This Row],[SIP]],I:I)-Tabla1[[#This Row],[Kerma en aire acumulada (Gy)]],"")</f>
        <v>0</v>
      </c>
    </row>
    <row r="57" spans="3:27">
      <c r="C57" s="155" t="str">
        <f t="shared" si="0"/>
        <v>Adulto</v>
      </c>
      <c r="D57" s="95" t="s">
        <v>26</v>
      </c>
      <c r="E57" s="95" t="s">
        <v>27</v>
      </c>
      <c r="F57" s="95" t="s">
        <v>28</v>
      </c>
      <c r="G57" s="95">
        <v>2316361</v>
      </c>
      <c r="H57" s="96">
        <v>44084</v>
      </c>
      <c r="I57" s="95">
        <v>0.11</v>
      </c>
      <c r="J57" s="95" t="s">
        <v>262</v>
      </c>
      <c r="K57" s="95"/>
      <c r="L57" s="95"/>
      <c r="M57" s="95"/>
      <c r="N57" s="95"/>
      <c r="O57" s="95"/>
      <c r="P57" s="95"/>
      <c r="Q57" s="95"/>
      <c r="R57" s="95"/>
      <c r="S57" s="95"/>
      <c r="T57" s="96">
        <v>21554</v>
      </c>
      <c r="U57" s="95"/>
      <c r="V57" s="95"/>
      <c r="W57" s="232" t="str">
        <f t="shared" si="4"/>
        <v>Blasco  Calatayud,Josefa</v>
      </c>
      <c r="X57" s="154">
        <f t="shared" si="5"/>
        <v>9</v>
      </c>
      <c r="Y57" s="154">
        <f t="shared" si="6"/>
        <v>2020</v>
      </c>
      <c r="Z57" s="97" t="s">
        <v>265</v>
      </c>
      <c r="AA57" t="str">
        <f>IF(Tabla1[[#This Row],[Kerma en aire acumulada (Gy)]]&gt;1,SUMIF(G:G,Tabla1[[#This Row],[SIP]],I:I)-Tabla1[[#This Row],[Kerma en aire acumulada (Gy)]],"")</f>
        <v/>
      </c>
    </row>
    <row r="58" spans="3:27">
      <c r="C58" s="89" t="str">
        <f t="shared" si="0"/>
        <v>Adulto</v>
      </c>
      <c r="D58" s="101" t="s">
        <v>168</v>
      </c>
      <c r="E58" s="101" t="s">
        <v>169</v>
      </c>
      <c r="F58" s="101" t="s">
        <v>170</v>
      </c>
      <c r="G58" s="101">
        <v>4245699</v>
      </c>
      <c r="H58" s="102">
        <v>44089</v>
      </c>
      <c r="I58" s="101">
        <v>2.7559999999999998</v>
      </c>
      <c r="J58" s="101"/>
      <c r="K58" s="101"/>
      <c r="L58" s="101"/>
      <c r="M58" s="101"/>
      <c r="N58" s="101"/>
      <c r="O58" s="101"/>
      <c r="P58" s="101"/>
      <c r="Q58" s="101"/>
      <c r="R58" s="101"/>
      <c r="S58" s="101"/>
      <c r="T58" s="102">
        <v>20354</v>
      </c>
      <c r="U58" s="101" t="s">
        <v>512</v>
      </c>
      <c r="V58" s="101" t="s">
        <v>147</v>
      </c>
      <c r="W58" s="158" t="str">
        <f t="shared" si="4"/>
        <v>Torregrosa Valero,Diego</v>
      </c>
      <c r="X58" s="202">
        <f t="shared" si="5"/>
        <v>9</v>
      </c>
      <c r="Y58" s="202">
        <f t="shared" si="6"/>
        <v>2020</v>
      </c>
      <c r="Z58" s="103" t="s">
        <v>265</v>
      </c>
      <c r="AA58">
        <f>IF(Tabla1[[#This Row],[Kerma en aire acumulada (Gy)]]&gt;1,SUMIF(G:G,Tabla1[[#This Row],[SIP]],I:I)-Tabla1[[#This Row],[Kerma en aire acumulada (Gy)]],"")</f>
        <v>3.1589999999999994</v>
      </c>
    </row>
    <row r="59" spans="3:27">
      <c r="C59" s="89" t="str">
        <f t="shared" si="0"/>
        <v>Adulto</v>
      </c>
      <c r="D59" s="101" t="s">
        <v>30</v>
      </c>
      <c r="E59" s="101" t="s">
        <v>68</v>
      </c>
      <c r="F59" s="101" t="s">
        <v>165</v>
      </c>
      <c r="G59" s="101">
        <v>1900685</v>
      </c>
      <c r="H59" s="102">
        <v>44092</v>
      </c>
      <c r="I59" s="101">
        <v>3.5640000000000001</v>
      </c>
      <c r="J59" s="101"/>
      <c r="K59" s="101"/>
      <c r="L59" s="101"/>
      <c r="M59" s="101"/>
      <c r="N59" s="101"/>
      <c r="O59" s="101"/>
      <c r="P59" s="101"/>
      <c r="Q59" s="101"/>
      <c r="R59" s="101"/>
      <c r="S59" s="101"/>
      <c r="T59" s="102">
        <v>18973</v>
      </c>
      <c r="U59" s="101" t="s">
        <v>512</v>
      </c>
      <c r="V59" s="101" t="s">
        <v>166</v>
      </c>
      <c r="W59" s="158" t="str">
        <f t="shared" si="4"/>
        <v>Soler Juan,Joaquín</v>
      </c>
      <c r="X59" s="202">
        <f t="shared" si="5"/>
        <v>9</v>
      </c>
      <c r="Y59" s="202">
        <f t="shared" si="6"/>
        <v>2020</v>
      </c>
      <c r="Z59" s="103" t="s">
        <v>265</v>
      </c>
      <c r="AA59">
        <f>IF(Tabla1[[#This Row],[Kerma en aire acumulada (Gy)]]&gt;1,SUMIF(G:G,Tabla1[[#This Row],[SIP]],I:I)-Tabla1[[#This Row],[Kerma en aire acumulada (Gy)]],"")</f>
        <v>3.9159999999999995</v>
      </c>
    </row>
    <row r="60" spans="3:27">
      <c r="C60" s="94" t="str">
        <f t="shared" si="0"/>
        <v>Adulto</v>
      </c>
      <c r="D60" s="101" t="s">
        <v>103</v>
      </c>
      <c r="E60" s="101" t="s">
        <v>513</v>
      </c>
      <c r="F60" s="101" t="s">
        <v>16</v>
      </c>
      <c r="G60" s="101">
        <v>1698821</v>
      </c>
      <c r="H60" s="102">
        <v>44092</v>
      </c>
      <c r="I60" s="101">
        <v>3.0019999999999998</v>
      </c>
      <c r="J60" s="101"/>
      <c r="K60" s="101"/>
      <c r="L60" s="101"/>
      <c r="M60" s="101"/>
      <c r="N60" s="101"/>
      <c r="O60" s="101"/>
      <c r="P60" s="101"/>
      <c r="Q60" s="101"/>
      <c r="R60" s="101"/>
      <c r="S60" s="101"/>
      <c r="T60" s="102">
        <v>23971</v>
      </c>
      <c r="U60" s="101" t="s">
        <v>512</v>
      </c>
      <c r="V60" s="101" t="s">
        <v>89</v>
      </c>
      <c r="W60" s="158" t="str">
        <f t="shared" si="4"/>
        <v>Llanes Tolosa,Ramón</v>
      </c>
      <c r="X60" s="211">
        <f t="shared" si="5"/>
        <v>9</v>
      </c>
      <c r="Y60" s="211">
        <f t="shared" si="6"/>
        <v>2020</v>
      </c>
      <c r="Z60" s="103" t="s">
        <v>265</v>
      </c>
      <c r="AA60">
        <f>IF(Tabla1[[#This Row],[Kerma en aire acumulada (Gy)]]&gt;1,SUMIF(G:G,Tabla1[[#This Row],[SIP]],I:I)-Tabla1[[#This Row],[Kerma en aire acumulada (Gy)]],"")</f>
        <v>8.3350000000000009</v>
      </c>
    </row>
    <row r="61" spans="3:27">
      <c r="C61" s="155" t="str">
        <f t="shared" si="0"/>
        <v>Adulto</v>
      </c>
      <c r="D61" s="101" t="s">
        <v>161</v>
      </c>
      <c r="E61" s="101" t="s">
        <v>162</v>
      </c>
      <c r="F61" s="101" t="s">
        <v>163</v>
      </c>
      <c r="G61" s="101">
        <v>12557556</v>
      </c>
      <c r="H61" s="102">
        <v>44097</v>
      </c>
      <c r="I61" s="101">
        <v>1.3759999999999999</v>
      </c>
      <c r="J61" s="101"/>
      <c r="K61" s="101"/>
      <c r="L61" s="101"/>
      <c r="M61" s="101"/>
      <c r="N61" s="101"/>
      <c r="O61" s="101"/>
      <c r="P61" s="101"/>
      <c r="Q61" s="101"/>
      <c r="R61" s="101"/>
      <c r="S61" s="101"/>
      <c r="T61" s="102">
        <v>20623</v>
      </c>
      <c r="U61" s="101" t="s">
        <v>512</v>
      </c>
      <c r="V61" s="101"/>
      <c r="W61" s="158" t="str">
        <f t="shared" si="4"/>
        <v>Arocha Mejías,Caridad María</v>
      </c>
      <c r="X61" s="211">
        <f t="shared" si="5"/>
        <v>9</v>
      </c>
      <c r="Y61" s="211">
        <f t="shared" si="6"/>
        <v>2020</v>
      </c>
      <c r="Z61" s="103" t="s">
        <v>265</v>
      </c>
      <c r="AA61">
        <f>IF(Tabla1[[#This Row],[Kerma en aire acumulada (Gy)]]&gt;1,SUMIF(G:G,Tabla1[[#This Row],[SIP]],I:I)-Tabla1[[#This Row],[Kerma en aire acumulada (Gy)]],"")</f>
        <v>3.7179999999999995</v>
      </c>
    </row>
    <row r="62" spans="3:27">
      <c r="C62" s="89" t="str">
        <f t="shared" si="0"/>
        <v>Adulto</v>
      </c>
      <c r="D62" s="101" t="s">
        <v>161</v>
      </c>
      <c r="E62" s="101" t="s">
        <v>162</v>
      </c>
      <c r="F62" s="101" t="s">
        <v>163</v>
      </c>
      <c r="G62" s="101">
        <v>12557556</v>
      </c>
      <c r="H62" s="102">
        <v>44098</v>
      </c>
      <c r="I62" s="101">
        <v>3.718</v>
      </c>
      <c r="J62" s="101"/>
      <c r="K62" s="101"/>
      <c r="L62" s="101"/>
      <c r="M62" s="101"/>
      <c r="N62" s="101"/>
      <c r="O62" s="101"/>
      <c r="P62" s="101"/>
      <c r="Q62" s="101"/>
      <c r="R62" s="101"/>
      <c r="S62" s="101"/>
      <c r="T62" s="102">
        <v>20623</v>
      </c>
      <c r="U62" s="101" t="s">
        <v>512</v>
      </c>
      <c r="V62" s="101" t="s">
        <v>164</v>
      </c>
      <c r="W62" s="158" t="str">
        <f t="shared" si="4"/>
        <v>Arocha Mejías,Caridad María</v>
      </c>
      <c r="X62" s="211">
        <f t="shared" si="5"/>
        <v>9</v>
      </c>
      <c r="Y62" s="211">
        <f t="shared" si="6"/>
        <v>2020</v>
      </c>
      <c r="Z62" s="103" t="s">
        <v>265</v>
      </c>
      <c r="AA62">
        <f>IF(Tabla1[[#This Row],[Kerma en aire acumulada (Gy)]]&gt;1,SUMIF(G:G,Tabla1[[#This Row],[SIP]],I:I)-Tabla1[[#This Row],[Kerma en aire acumulada (Gy)]],"")</f>
        <v>1.3759999999999994</v>
      </c>
    </row>
    <row r="63" spans="3:27" ht="15.75" thickBot="1">
      <c r="C63" s="166" t="str">
        <f t="shared" si="0"/>
        <v>Adulto</v>
      </c>
      <c r="D63" s="210" t="s">
        <v>159</v>
      </c>
      <c r="E63" s="210" t="s">
        <v>160</v>
      </c>
      <c r="F63" s="210" t="s">
        <v>102</v>
      </c>
      <c r="G63" s="210">
        <v>2484685</v>
      </c>
      <c r="H63" s="213">
        <v>44105</v>
      </c>
      <c r="I63" s="210">
        <v>5.5</v>
      </c>
      <c r="J63" s="210"/>
      <c r="K63" s="210"/>
      <c r="L63" s="210"/>
      <c r="M63" s="210"/>
      <c r="N63" s="210"/>
      <c r="O63" s="210"/>
      <c r="P63" s="210"/>
      <c r="Q63" s="210"/>
      <c r="R63" s="210"/>
      <c r="S63" s="210"/>
      <c r="T63" s="213">
        <v>17369</v>
      </c>
      <c r="U63" s="210" t="s">
        <v>512</v>
      </c>
      <c r="V63" s="210" t="s">
        <v>89</v>
      </c>
      <c r="W63" s="231" t="str">
        <f t="shared" si="4"/>
        <v>Villar Marín,José</v>
      </c>
      <c r="X63" s="160">
        <f t="shared" si="5"/>
        <v>10</v>
      </c>
      <c r="Y63" s="240">
        <f t="shared" si="6"/>
        <v>2020</v>
      </c>
      <c r="Z63" s="186" t="s">
        <v>265</v>
      </c>
      <c r="AA63">
        <f>IF(Tabla1[[#This Row],[Kerma en aire acumulada (Gy)]]&gt;1,SUMIF(G:G,Tabla1[[#This Row],[SIP]],I:I)-Tabla1[[#This Row],[Kerma en aire acumulada (Gy)]],"")</f>
        <v>1.4320000000000004</v>
      </c>
    </row>
    <row r="64" spans="3:27">
      <c r="C64" s="157" t="str">
        <f t="shared" si="0"/>
        <v>Adulto</v>
      </c>
      <c r="D64" s="202" t="s">
        <v>34</v>
      </c>
      <c r="E64" s="202" t="s">
        <v>66</v>
      </c>
      <c r="F64" s="202" t="s">
        <v>167</v>
      </c>
      <c r="G64" s="202">
        <v>3395822</v>
      </c>
      <c r="H64" s="214">
        <v>44110</v>
      </c>
      <c r="I64" s="202">
        <v>2.7730000000000001</v>
      </c>
      <c r="J64" s="202"/>
      <c r="K64" s="202"/>
      <c r="L64" s="202"/>
      <c r="M64" s="202"/>
      <c r="N64" s="202"/>
      <c r="O64" s="202"/>
      <c r="P64" s="202"/>
      <c r="Q64" s="202"/>
      <c r="R64" s="202"/>
      <c r="S64" s="202"/>
      <c r="T64" s="214">
        <v>29554</v>
      </c>
      <c r="U64" s="202"/>
      <c r="V64" s="202" t="s">
        <v>509</v>
      </c>
      <c r="W64" s="233" t="str">
        <f t="shared" si="4"/>
        <v>Jiménez  Navarro,Milagros</v>
      </c>
      <c r="X64" s="202">
        <f t="shared" si="5"/>
        <v>10</v>
      </c>
      <c r="Y64" s="202">
        <f t="shared" si="6"/>
        <v>2020</v>
      </c>
      <c r="Z64" s="203" t="s">
        <v>265</v>
      </c>
      <c r="AA64">
        <f>IF(Tabla1[[#This Row],[Kerma en aire acumulada (Gy)]]&gt;1,SUMIF(G:G,Tabla1[[#This Row],[SIP]],I:I)-Tabla1[[#This Row],[Kerma en aire acumulada (Gy)]],"")</f>
        <v>7.7999999999999847E-2</v>
      </c>
    </row>
    <row r="65" spans="3:27">
      <c r="C65" s="157" t="str">
        <f t="shared" si="0"/>
        <v>Adulto</v>
      </c>
      <c r="D65" s="101" t="s">
        <v>319</v>
      </c>
      <c r="E65" s="101" t="s">
        <v>158</v>
      </c>
      <c r="F65" s="101" t="s">
        <v>75</v>
      </c>
      <c r="G65" s="101">
        <v>4724594</v>
      </c>
      <c r="H65" s="102">
        <v>44111</v>
      </c>
      <c r="I65" s="101">
        <v>6.1459999999999999</v>
      </c>
      <c r="J65" s="101"/>
      <c r="K65" s="101"/>
      <c r="L65" s="101"/>
      <c r="M65" s="101"/>
      <c r="N65" s="101"/>
      <c r="O65" s="101"/>
      <c r="P65" s="101"/>
      <c r="Q65" s="101"/>
      <c r="R65" s="101"/>
      <c r="S65" s="101"/>
      <c r="T65" s="102">
        <v>22475</v>
      </c>
      <c r="U65" s="101" t="s">
        <v>512</v>
      </c>
      <c r="V65" s="101" t="s">
        <v>89</v>
      </c>
      <c r="W65" s="158" t="str">
        <f t="shared" si="4"/>
        <v>Gonzalez Climent,Javier</v>
      </c>
      <c r="X65" s="211">
        <f t="shared" si="5"/>
        <v>10</v>
      </c>
      <c r="Y65" s="211">
        <f t="shared" si="6"/>
        <v>2020</v>
      </c>
      <c r="Z65" s="103" t="s">
        <v>265</v>
      </c>
      <c r="AA65">
        <f>IF(Tabla1[[#This Row],[Kerma en aire acumulada (Gy)]]&gt;1,SUMIF(G:G,Tabla1[[#This Row],[SIP]],I:I)-Tabla1[[#This Row],[Kerma en aire acumulada (Gy)]],"")</f>
        <v>3.596000000000001</v>
      </c>
    </row>
    <row r="66" spans="3:27" ht="15.75">
      <c r="C66" s="94" t="str">
        <f t="shared" si="0"/>
        <v>Adulto</v>
      </c>
      <c r="D66" s="101" t="s">
        <v>189</v>
      </c>
      <c r="E66" s="101" t="s">
        <v>6</v>
      </c>
      <c r="F66" s="101" t="s">
        <v>7</v>
      </c>
      <c r="G66" s="101">
        <v>2932156</v>
      </c>
      <c r="H66" s="102">
        <v>44111</v>
      </c>
      <c r="I66" s="101">
        <v>0.97599999999999998</v>
      </c>
      <c r="J66" s="101" t="s">
        <v>256</v>
      </c>
      <c r="K66" s="101"/>
      <c r="L66" s="101"/>
      <c r="M66" s="101"/>
      <c r="N66" s="101"/>
      <c r="O66" s="101"/>
      <c r="P66" s="101"/>
      <c r="Q66" s="101"/>
      <c r="R66" s="101"/>
      <c r="S66" s="101"/>
      <c r="T66" s="102">
        <v>21548</v>
      </c>
      <c r="U66" s="101" t="s">
        <v>512</v>
      </c>
      <c r="V66" s="129" t="s">
        <v>257</v>
      </c>
      <c r="W66" s="158" t="str">
        <f t="shared" si="4"/>
        <v>Giner Ortega,Francisca</v>
      </c>
      <c r="X66" s="211">
        <f t="shared" si="5"/>
        <v>10</v>
      </c>
      <c r="Y66" s="211">
        <f t="shared" si="6"/>
        <v>2020</v>
      </c>
      <c r="Z66" s="103" t="s">
        <v>265</v>
      </c>
      <c r="AA66" t="str">
        <f>IF(Tabla1[[#This Row],[Kerma en aire acumulada (Gy)]]&gt;1,SUMIF(G:G,Tabla1[[#This Row],[SIP]],I:I)-Tabla1[[#This Row],[Kerma en aire acumulada (Gy)]],"")</f>
        <v/>
      </c>
    </row>
    <row r="67" spans="3:27">
      <c r="C67" s="89" t="str">
        <f t="shared" si="0"/>
        <v>Adulto</v>
      </c>
      <c r="D67" s="101" t="s">
        <v>30</v>
      </c>
      <c r="E67" s="101" t="s">
        <v>68</v>
      </c>
      <c r="F67" s="101" t="s">
        <v>165</v>
      </c>
      <c r="G67" s="101">
        <v>1900685</v>
      </c>
      <c r="H67" s="102">
        <v>44119</v>
      </c>
      <c r="I67" s="101">
        <v>2.8919999999999999</v>
      </c>
      <c r="J67" s="101"/>
      <c r="K67" s="101"/>
      <c r="L67" s="101"/>
      <c r="M67" s="101"/>
      <c r="N67" s="101"/>
      <c r="O67" s="101"/>
      <c r="P67" s="101"/>
      <c r="Q67" s="101"/>
      <c r="R67" s="101"/>
      <c r="S67" s="101"/>
      <c r="T67" s="102">
        <v>18973</v>
      </c>
      <c r="U67" s="101" t="s">
        <v>512</v>
      </c>
      <c r="V67" s="101" t="s">
        <v>147</v>
      </c>
      <c r="W67" s="158" t="str">
        <f t="shared" si="4"/>
        <v>Soler Juan,Joaquín</v>
      </c>
      <c r="X67" s="202">
        <f t="shared" si="5"/>
        <v>10</v>
      </c>
      <c r="Y67" s="202">
        <f t="shared" si="6"/>
        <v>2020</v>
      </c>
      <c r="Z67" s="103" t="s">
        <v>265</v>
      </c>
      <c r="AA67">
        <f>IF(Tabla1[[#This Row],[Kerma en aire acumulada (Gy)]]&gt;1,SUMIF(G:G,Tabla1[[#This Row],[SIP]],I:I)-Tabla1[[#This Row],[Kerma en aire acumulada (Gy)]],"")</f>
        <v>4.5879999999999992</v>
      </c>
    </row>
    <row r="68" spans="3:27" ht="15.75">
      <c r="C68" s="94" t="str">
        <f t="shared" si="0"/>
        <v>Adulto</v>
      </c>
      <c r="D68" s="95" t="s">
        <v>316</v>
      </c>
      <c r="E68" s="95"/>
      <c r="F68" s="95" t="s">
        <v>317</v>
      </c>
      <c r="G68" s="95">
        <v>12301367</v>
      </c>
      <c r="H68" s="96">
        <v>44119</v>
      </c>
      <c r="I68" s="95">
        <v>0.623</v>
      </c>
      <c r="J68" s="95"/>
      <c r="K68" s="95"/>
      <c r="L68" s="95"/>
      <c r="M68" s="95"/>
      <c r="N68" s="95"/>
      <c r="O68" s="95"/>
      <c r="P68" s="95"/>
      <c r="Q68" s="95"/>
      <c r="R68" s="95"/>
      <c r="S68" s="95"/>
      <c r="T68" s="96">
        <v>23905</v>
      </c>
      <c r="U68" s="95"/>
      <c r="V68" s="121" t="s">
        <v>318</v>
      </c>
      <c r="W68" s="232" t="str">
        <f t="shared" si="4"/>
        <v>Fengying ,Zheng</v>
      </c>
      <c r="X68" s="154">
        <f t="shared" si="5"/>
        <v>10</v>
      </c>
      <c r="Y68" s="154">
        <f t="shared" si="6"/>
        <v>2020</v>
      </c>
      <c r="Z68" s="97" t="s">
        <v>265</v>
      </c>
      <c r="AA68" t="str">
        <f>IF(Tabla1[[#This Row],[Kerma en aire acumulada (Gy)]]&gt;1,SUMIF(G:G,Tabla1[[#This Row],[SIP]],I:I)-Tabla1[[#This Row],[Kerma en aire acumulada (Gy)]],"")</f>
        <v/>
      </c>
    </row>
    <row r="69" spans="3:27">
      <c r="C69" s="155" t="str">
        <f t="shared" si="0"/>
        <v>Adulto</v>
      </c>
      <c r="D69" s="101" t="s">
        <v>171</v>
      </c>
      <c r="E69" s="101" t="s">
        <v>146</v>
      </c>
      <c r="F69" s="101" t="s">
        <v>172</v>
      </c>
      <c r="G69" s="101">
        <v>3386511</v>
      </c>
      <c r="H69" s="102">
        <v>44120</v>
      </c>
      <c r="I69" s="101">
        <v>4.2060000000000004</v>
      </c>
      <c r="J69" s="101"/>
      <c r="K69" s="101"/>
      <c r="L69" s="101"/>
      <c r="M69" s="101"/>
      <c r="N69" s="101"/>
      <c r="O69" s="101"/>
      <c r="P69" s="101"/>
      <c r="Q69" s="101"/>
      <c r="R69" s="101"/>
      <c r="S69" s="101"/>
      <c r="T69" s="102">
        <v>13515</v>
      </c>
      <c r="U69" s="101" t="s">
        <v>512</v>
      </c>
      <c r="V69" s="101" t="s">
        <v>173</v>
      </c>
      <c r="W69" s="158" t="str">
        <f t="shared" si="4"/>
        <v>Orallo Álvarez,Florentina</v>
      </c>
      <c r="X69" s="211">
        <f t="shared" si="5"/>
        <v>10</v>
      </c>
      <c r="Y69" s="211">
        <f t="shared" si="6"/>
        <v>2020</v>
      </c>
      <c r="Z69" s="103" t="s">
        <v>265</v>
      </c>
      <c r="AA69">
        <f>IF(Tabla1[[#This Row],[Kerma en aire acumulada (Gy)]]&gt;1,SUMIF(G:G,Tabla1[[#This Row],[SIP]],I:I)-Tabla1[[#This Row],[Kerma en aire acumulada (Gy)]],"")</f>
        <v>0</v>
      </c>
    </row>
    <row r="70" spans="3:27">
      <c r="C70" s="89" t="str">
        <f t="shared" si="0"/>
        <v>Adulto</v>
      </c>
      <c r="D70" s="101" t="s">
        <v>176</v>
      </c>
      <c r="E70" s="101" t="s">
        <v>177</v>
      </c>
      <c r="F70" s="101" t="s">
        <v>178</v>
      </c>
      <c r="G70" s="101">
        <v>2401168</v>
      </c>
      <c r="H70" s="102">
        <v>44121</v>
      </c>
      <c r="I70" s="101">
        <v>4.1280000000000001</v>
      </c>
      <c r="J70" s="101"/>
      <c r="K70" s="101"/>
      <c r="L70" s="101"/>
      <c r="M70" s="101"/>
      <c r="N70" s="101"/>
      <c r="O70" s="101"/>
      <c r="P70" s="101"/>
      <c r="Q70" s="101"/>
      <c r="R70" s="101"/>
      <c r="S70" s="101"/>
      <c r="T70" s="102">
        <v>16188</v>
      </c>
      <c r="U70" s="101" t="s">
        <v>512</v>
      </c>
      <c r="V70" s="101" t="s">
        <v>179</v>
      </c>
      <c r="W70" s="158" t="str">
        <f t="shared" si="4"/>
        <v>Campos Rogel,Basilio</v>
      </c>
      <c r="X70" s="211">
        <f t="shared" si="5"/>
        <v>10</v>
      </c>
      <c r="Y70" s="211">
        <f t="shared" si="6"/>
        <v>2020</v>
      </c>
      <c r="Z70" s="103" t="s">
        <v>265</v>
      </c>
      <c r="AA70">
        <f>IF(Tabla1[[#This Row],[Kerma en aire acumulada (Gy)]]&gt;1,SUMIF(G:G,Tabla1[[#This Row],[SIP]],I:I)-Tabla1[[#This Row],[Kerma en aire acumulada (Gy)]],"")</f>
        <v>0</v>
      </c>
    </row>
    <row r="71" spans="3:27" ht="15.75">
      <c r="C71" s="94" t="str">
        <f t="shared" si="0"/>
        <v>Adulto</v>
      </c>
      <c r="D71" s="95" t="s">
        <v>313</v>
      </c>
      <c r="E71" s="95" t="s">
        <v>116</v>
      </c>
      <c r="F71" s="95" t="s">
        <v>314</v>
      </c>
      <c r="G71" s="95">
        <v>2530715</v>
      </c>
      <c r="H71" s="96">
        <v>44124</v>
      </c>
      <c r="I71" s="95">
        <v>0.41299999999999998</v>
      </c>
      <c r="J71" s="95">
        <v>1.6E-2</v>
      </c>
      <c r="K71" s="95">
        <v>2.5000000000000001E-2</v>
      </c>
      <c r="L71" s="95">
        <v>1.6E-2</v>
      </c>
      <c r="M71" s="95">
        <v>1.7999999999999999E-2</v>
      </c>
      <c r="N71" s="95">
        <v>2.3E-2</v>
      </c>
      <c r="O71" s="95">
        <v>1.6E-2</v>
      </c>
      <c r="P71" s="95">
        <v>2.5000000000000001E-2</v>
      </c>
      <c r="Q71" s="95">
        <v>1.6E-2</v>
      </c>
      <c r="R71" s="95">
        <v>1.7999999999999999E-2</v>
      </c>
      <c r="S71" s="95">
        <v>2.3E-2</v>
      </c>
      <c r="T71" s="96">
        <v>18080</v>
      </c>
      <c r="U71" s="95"/>
      <c r="V71" s="121" t="s">
        <v>315</v>
      </c>
      <c r="W71" s="232" t="str">
        <f t="shared" si="4"/>
        <v>Fernández Serrano,Juan Pedro</v>
      </c>
      <c r="X71" s="154">
        <f t="shared" si="5"/>
        <v>10</v>
      </c>
      <c r="Y71" s="154">
        <f t="shared" si="6"/>
        <v>2020</v>
      </c>
      <c r="Z71" s="97" t="s">
        <v>265</v>
      </c>
      <c r="AA71" t="str">
        <f>IF(Tabla1[[#This Row],[Kerma en aire acumulada (Gy)]]&gt;1,SUMIF(G:G,Tabla1[[#This Row],[SIP]],I:I)-Tabla1[[#This Row],[Kerma en aire acumulada (Gy)]],"")</f>
        <v/>
      </c>
    </row>
    <row r="72" spans="3:27">
      <c r="C72" s="157" t="str">
        <f t="shared" si="0"/>
        <v>Adulto</v>
      </c>
      <c r="D72" s="90" t="s">
        <v>311</v>
      </c>
      <c r="E72" s="90" t="s">
        <v>312</v>
      </c>
      <c r="F72" s="90" t="s">
        <v>117</v>
      </c>
      <c r="G72" s="90">
        <v>3208027</v>
      </c>
      <c r="H72" s="91">
        <v>44125</v>
      </c>
      <c r="I72" s="90">
        <v>1.9159999999999999</v>
      </c>
      <c r="J72" s="90"/>
      <c r="K72" s="90"/>
      <c r="L72" s="90"/>
      <c r="M72" s="90"/>
      <c r="N72" s="90"/>
      <c r="O72" s="90"/>
      <c r="P72" s="90"/>
      <c r="Q72" s="90"/>
      <c r="R72" s="90"/>
      <c r="S72" s="90"/>
      <c r="T72" s="91">
        <v>16866</v>
      </c>
      <c r="U72" s="90"/>
      <c r="V72" s="128" t="s">
        <v>95</v>
      </c>
      <c r="W72" s="233" t="str">
        <f t="shared" si="4"/>
        <v>Gamiz Fos,M Carmen</v>
      </c>
      <c r="X72" s="202">
        <f t="shared" si="5"/>
        <v>10</v>
      </c>
      <c r="Y72" s="202">
        <f t="shared" si="6"/>
        <v>2020</v>
      </c>
      <c r="Z72" s="93" t="s">
        <v>265</v>
      </c>
      <c r="AA72">
        <f>IF(Tabla1[[#This Row],[Kerma en aire acumulada (Gy)]]&gt;1,SUMIF(G:G,Tabla1[[#This Row],[SIP]],I:I)-Tabla1[[#This Row],[Kerma en aire acumulada (Gy)]],"")</f>
        <v>0</v>
      </c>
    </row>
    <row r="73" spans="3:27">
      <c r="C73" s="94" t="str">
        <f t="shared" ref="C73:C136" si="7">IF(OR(H73="",T73=""),"",IF((H73-T73)/12/30&lt;18,"Pediátrico","Adulto"))</f>
        <v>Adulto</v>
      </c>
      <c r="D73" s="101" t="s">
        <v>77</v>
      </c>
      <c r="E73" s="101" t="s">
        <v>174</v>
      </c>
      <c r="F73" s="101" t="s">
        <v>88</v>
      </c>
      <c r="G73" s="101">
        <v>2516454</v>
      </c>
      <c r="H73" s="102">
        <v>44126</v>
      </c>
      <c r="I73" s="101">
        <v>2.0510000000000002</v>
      </c>
      <c r="J73" s="101"/>
      <c r="K73" s="101"/>
      <c r="L73" s="101"/>
      <c r="M73" s="101"/>
      <c r="N73" s="101"/>
      <c r="O73" s="101"/>
      <c r="P73" s="101"/>
      <c r="Q73" s="101"/>
      <c r="R73" s="101"/>
      <c r="S73" s="101"/>
      <c r="T73" s="102">
        <v>21797</v>
      </c>
      <c r="U73" s="101" t="s">
        <v>512</v>
      </c>
      <c r="V73" s="101" t="s">
        <v>175</v>
      </c>
      <c r="W73" s="158" t="str">
        <f t="shared" ref="W73:W104" si="8">CONCATENATE(D73,$A$591,E73,",",F73)</f>
        <v>Torres Oliver,Vicente</v>
      </c>
      <c r="X73" s="154">
        <f t="shared" ref="X73:X104" si="9">MONTH(H73)</f>
        <v>10</v>
      </c>
      <c r="Y73" s="154">
        <f t="shared" ref="Y73:Y104" si="10">YEAR(H73)</f>
        <v>2020</v>
      </c>
      <c r="Z73" s="103" t="s">
        <v>265</v>
      </c>
      <c r="AA73">
        <f>IF(Tabla1[[#This Row],[Kerma en aire acumulada (Gy)]]&gt;1,SUMIF(G:G,Tabla1[[#This Row],[SIP]],I:I)-Tabla1[[#This Row],[Kerma en aire acumulada (Gy)]],"")</f>
        <v>3.5110000000000001</v>
      </c>
    </row>
    <row r="74" spans="3:27">
      <c r="C74" s="89" t="str">
        <f t="shared" si="7"/>
        <v>Adulto</v>
      </c>
      <c r="D74" s="101" t="s">
        <v>77</v>
      </c>
      <c r="E74" s="101" t="s">
        <v>174</v>
      </c>
      <c r="F74" s="101" t="s">
        <v>88</v>
      </c>
      <c r="G74" s="101">
        <v>2516454</v>
      </c>
      <c r="H74" s="102">
        <v>44127</v>
      </c>
      <c r="I74" s="101">
        <v>3.5110000000000001</v>
      </c>
      <c r="J74" s="101"/>
      <c r="K74" s="101"/>
      <c r="L74" s="101"/>
      <c r="M74" s="101"/>
      <c r="N74" s="101"/>
      <c r="O74" s="101"/>
      <c r="P74" s="101"/>
      <c r="Q74" s="101"/>
      <c r="R74" s="101"/>
      <c r="S74" s="101"/>
      <c r="T74" s="102">
        <v>21797</v>
      </c>
      <c r="U74" s="101" t="s">
        <v>512</v>
      </c>
      <c r="V74" s="101" t="s">
        <v>175</v>
      </c>
      <c r="W74" s="158" t="str">
        <f t="shared" si="8"/>
        <v>Torres Oliver,Vicente</v>
      </c>
      <c r="X74" s="202">
        <f t="shared" si="9"/>
        <v>10</v>
      </c>
      <c r="Y74" s="202">
        <f t="shared" si="10"/>
        <v>2020</v>
      </c>
      <c r="Z74" s="103" t="s">
        <v>265</v>
      </c>
      <c r="AA74">
        <f>IF(Tabla1[[#This Row],[Kerma en aire acumulada (Gy)]]&gt;1,SUMIF(G:G,Tabla1[[#This Row],[SIP]],I:I)-Tabla1[[#This Row],[Kerma en aire acumulada (Gy)]],"")</f>
        <v>2.0510000000000002</v>
      </c>
    </row>
    <row r="75" spans="3:27">
      <c r="C75" s="94" t="str">
        <f t="shared" si="7"/>
        <v>Adulto</v>
      </c>
      <c r="D75" s="95" t="s">
        <v>26</v>
      </c>
      <c r="E75" s="95" t="s">
        <v>27</v>
      </c>
      <c r="F75" s="95" t="s">
        <v>28</v>
      </c>
      <c r="G75" s="95">
        <v>2316361</v>
      </c>
      <c r="H75" s="96">
        <v>44134</v>
      </c>
      <c r="I75" s="95">
        <v>0.111</v>
      </c>
      <c r="J75" s="95" t="s">
        <v>262</v>
      </c>
      <c r="K75" s="95">
        <v>0.11</v>
      </c>
      <c r="L75" s="95">
        <v>0.11</v>
      </c>
      <c r="M75" s="95">
        <v>0.11</v>
      </c>
      <c r="N75" s="95">
        <v>0</v>
      </c>
      <c r="O75" s="95">
        <v>0</v>
      </c>
      <c r="P75" s="95">
        <v>0.11</v>
      </c>
      <c r="Q75" s="95">
        <v>0.11</v>
      </c>
      <c r="R75" s="95">
        <v>0.11</v>
      </c>
      <c r="S75" s="95">
        <v>0</v>
      </c>
      <c r="T75" s="96">
        <v>21554</v>
      </c>
      <c r="U75" s="95"/>
      <c r="V75" s="95" t="s">
        <v>504</v>
      </c>
      <c r="W75" s="232" t="str">
        <f t="shared" si="8"/>
        <v>Blasco  Calatayud,Josefa</v>
      </c>
      <c r="X75" s="154">
        <f t="shared" si="9"/>
        <v>10</v>
      </c>
      <c r="Y75" s="154">
        <f t="shared" si="10"/>
        <v>2020</v>
      </c>
      <c r="Z75" s="97" t="s">
        <v>265</v>
      </c>
      <c r="AA75" t="str">
        <f>IF(Tabla1[[#This Row],[Kerma en aire acumulada (Gy)]]&gt;1,SUMIF(G:G,Tabla1[[#This Row],[SIP]],I:I)-Tabla1[[#This Row],[Kerma en aire acumulada (Gy)]],"")</f>
        <v/>
      </c>
    </row>
    <row r="76" spans="3:27" ht="15.75">
      <c r="C76" s="157" t="str">
        <f t="shared" si="7"/>
        <v>Adulto</v>
      </c>
      <c r="D76" s="90" t="s">
        <v>307</v>
      </c>
      <c r="E76" s="90" t="s">
        <v>308</v>
      </c>
      <c r="F76" s="90" t="s">
        <v>16</v>
      </c>
      <c r="G76" s="90">
        <v>2616513</v>
      </c>
      <c r="H76" s="91">
        <v>44138</v>
      </c>
      <c r="I76" s="90">
        <v>0.03</v>
      </c>
      <c r="J76" s="90"/>
      <c r="K76" s="90"/>
      <c r="L76" s="90"/>
      <c r="M76" s="90"/>
      <c r="N76" s="90"/>
      <c r="O76" s="90"/>
      <c r="P76" s="90"/>
      <c r="Q76" s="90"/>
      <c r="R76" s="90"/>
      <c r="S76" s="90"/>
      <c r="T76" s="91">
        <v>22295</v>
      </c>
      <c r="U76" s="90"/>
      <c r="V76" s="120" t="s">
        <v>309</v>
      </c>
      <c r="W76" s="233" t="str">
        <f t="shared" si="8"/>
        <v>Vercher Montañana,Ramón</v>
      </c>
      <c r="X76" s="202">
        <f t="shared" si="9"/>
        <v>11</v>
      </c>
      <c r="Y76" s="202">
        <f t="shared" si="10"/>
        <v>2020</v>
      </c>
      <c r="Z76" s="93" t="s">
        <v>265</v>
      </c>
      <c r="AA76" t="str">
        <f>IF(Tabla1[[#This Row],[Kerma en aire acumulada (Gy)]]&gt;1,SUMIF(G:G,Tabla1[[#This Row],[SIP]],I:I)-Tabla1[[#This Row],[Kerma en aire acumulada (Gy)]],"")</f>
        <v/>
      </c>
    </row>
    <row r="77" spans="3:27" ht="16.5" thickBot="1">
      <c r="C77" s="166" t="str">
        <f t="shared" si="7"/>
        <v>Adulto</v>
      </c>
      <c r="D77" s="163" t="s">
        <v>307</v>
      </c>
      <c r="E77" s="163" t="s">
        <v>308</v>
      </c>
      <c r="F77" s="163" t="s">
        <v>16</v>
      </c>
      <c r="G77" s="163">
        <v>2616513</v>
      </c>
      <c r="H77" s="173">
        <v>44139</v>
      </c>
      <c r="I77" s="163">
        <v>0.115</v>
      </c>
      <c r="J77" s="163"/>
      <c r="K77" s="163"/>
      <c r="L77" s="163"/>
      <c r="M77" s="163"/>
      <c r="N77" s="163"/>
      <c r="O77" s="163"/>
      <c r="P77" s="163"/>
      <c r="Q77" s="163"/>
      <c r="R77" s="163"/>
      <c r="S77" s="163"/>
      <c r="T77" s="173">
        <v>22295</v>
      </c>
      <c r="U77" s="163"/>
      <c r="V77" s="227" t="s">
        <v>310</v>
      </c>
      <c r="W77" s="231" t="str">
        <f t="shared" si="8"/>
        <v>Vercher Montañana,Ramón</v>
      </c>
      <c r="X77" s="160">
        <f t="shared" si="9"/>
        <v>11</v>
      </c>
      <c r="Y77" s="160">
        <f t="shared" si="10"/>
        <v>2020</v>
      </c>
      <c r="Z77" s="172" t="s">
        <v>265</v>
      </c>
      <c r="AA77" t="str">
        <f>IF(Tabla1[[#This Row],[Kerma en aire acumulada (Gy)]]&gt;1,SUMIF(G:G,Tabla1[[#This Row],[SIP]],I:I)-Tabla1[[#This Row],[Kerma en aire acumulada (Gy)]],"")</f>
        <v/>
      </c>
    </row>
    <row r="78" spans="3:27" ht="16.5" thickBot="1">
      <c r="C78" s="206" t="str">
        <f t="shared" si="7"/>
        <v>Adulto</v>
      </c>
      <c r="D78" s="209" t="s">
        <v>305</v>
      </c>
      <c r="E78" s="209" t="s">
        <v>306</v>
      </c>
      <c r="F78" s="209" t="s">
        <v>68</v>
      </c>
      <c r="G78" s="209">
        <v>42108</v>
      </c>
      <c r="H78" s="216">
        <v>44139</v>
      </c>
      <c r="I78" s="209">
        <v>1.6870000000000001</v>
      </c>
      <c r="J78" s="209"/>
      <c r="K78" s="209"/>
      <c r="L78" s="209"/>
      <c r="M78" s="209"/>
      <c r="N78" s="209"/>
      <c r="O78" s="209"/>
      <c r="P78" s="209"/>
      <c r="Q78" s="209"/>
      <c r="R78" s="209"/>
      <c r="S78" s="209"/>
      <c r="T78" s="216">
        <v>19487</v>
      </c>
      <c r="U78" s="209"/>
      <c r="V78" s="226" t="s">
        <v>95</v>
      </c>
      <c r="W78" s="235" t="str">
        <f t="shared" si="8"/>
        <v>Garrigues Langa,Juan</v>
      </c>
      <c r="X78" s="209">
        <f t="shared" si="9"/>
        <v>11</v>
      </c>
      <c r="Y78" s="209">
        <f t="shared" si="10"/>
        <v>2020</v>
      </c>
      <c r="Z78" s="205" t="s">
        <v>265</v>
      </c>
      <c r="AA78">
        <f>IF(Tabla1[[#This Row],[Kerma en aire acumulada (Gy)]]&gt;1,SUMIF(G:G,Tabla1[[#This Row],[SIP]],I:I)-Tabla1[[#This Row],[Kerma en aire acumulada (Gy)]],"")</f>
        <v>0</v>
      </c>
    </row>
    <row r="79" spans="3:27" ht="15.75">
      <c r="C79" s="155" t="str">
        <f t="shared" si="7"/>
        <v>Adulto</v>
      </c>
      <c r="D79" s="154" t="s">
        <v>299</v>
      </c>
      <c r="E79" s="154" t="s">
        <v>46</v>
      </c>
      <c r="F79" s="154" t="s">
        <v>300</v>
      </c>
      <c r="G79" s="154">
        <v>339746</v>
      </c>
      <c r="H79" s="156">
        <v>44140</v>
      </c>
      <c r="I79" s="154">
        <v>0.33200000000000002</v>
      </c>
      <c r="J79" s="154">
        <v>0.01</v>
      </c>
      <c r="K79" s="154">
        <v>1.6E-2</v>
      </c>
      <c r="L79" s="154">
        <v>8.9999999999999993E-3</v>
      </c>
      <c r="M79" s="154">
        <v>0.01</v>
      </c>
      <c r="N79" s="154">
        <v>1.4999999999999999E-2</v>
      </c>
      <c r="O79" s="154">
        <v>0.01</v>
      </c>
      <c r="P79" s="154">
        <v>1.6E-2</v>
      </c>
      <c r="Q79" s="154">
        <v>8.9999999999999993E-3</v>
      </c>
      <c r="R79" s="154">
        <v>0.01</v>
      </c>
      <c r="S79" s="154">
        <v>1.4999999999999999E-2</v>
      </c>
      <c r="T79" s="156">
        <v>28983</v>
      </c>
      <c r="U79" s="154"/>
      <c r="V79" s="225" t="s">
        <v>298</v>
      </c>
      <c r="W79" s="232" t="str">
        <f t="shared" si="8"/>
        <v>Reina Pérez,Carlos</v>
      </c>
      <c r="X79" s="154">
        <f t="shared" si="9"/>
        <v>11</v>
      </c>
      <c r="Y79" s="154">
        <f t="shared" si="10"/>
        <v>2020</v>
      </c>
      <c r="Z79" s="174" t="s">
        <v>265</v>
      </c>
      <c r="AA79" t="str">
        <f>IF(Tabla1[[#This Row],[Kerma en aire acumulada (Gy)]]&gt;1,SUMIF(G:G,Tabla1[[#This Row],[SIP]],I:I)-Tabla1[[#This Row],[Kerma en aire acumulada (Gy)]],"")</f>
        <v/>
      </c>
    </row>
    <row r="80" spans="3:27" ht="16.5" thickBot="1">
      <c r="C80" s="193" t="str">
        <f t="shared" si="7"/>
        <v>Adulto</v>
      </c>
      <c r="D80" s="181" t="s">
        <v>301</v>
      </c>
      <c r="E80" s="181" t="s">
        <v>302</v>
      </c>
      <c r="F80" s="181" t="s">
        <v>303</v>
      </c>
      <c r="G80" s="181">
        <v>3479017</v>
      </c>
      <c r="H80" s="194">
        <v>44140</v>
      </c>
      <c r="I80" s="181">
        <v>0.93799999999999994</v>
      </c>
      <c r="J80" s="181" t="s">
        <v>256</v>
      </c>
      <c r="K80" s="181"/>
      <c r="L80" s="181"/>
      <c r="M80" s="181"/>
      <c r="N80" s="181"/>
      <c r="O80" s="181"/>
      <c r="P80" s="181"/>
      <c r="Q80" s="181"/>
      <c r="R80" s="181"/>
      <c r="S80" s="181"/>
      <c r="T80" s="194">
        <v>14260</v>
      </c>
      <c r="U80" s="181"/>
      <c r="V80" s="224" t="s">
        <v>304</v>
      </c>
      <c r="W80" s="235" t="str">
        <f t="shared" si="8"/>
        <v>Galarza Perelló,María Dolores</v>
      </c>
      <c r="X80" s="209">
        <f t="shared" si="9"/>
        <v>11</v>
      </c>
      <c r="Y80" s="209">
        <f t="shared" si="10"/>
        <v>2020</v>
      </c>
      <c r="Z80" s="164" t="s">
        <v>265</v>
      </c>
      <c r="AA80" t="str">
        <f>IF(Tabla1[[#This Row],[Kerma en aire acumulada (Gy)]]&gt;1,SUMIF(G:G,Tabla1[[#This Row],[SIP]],I:I)-Tabla1[[#This Row],[Kerma en aire acumulada (Gy)]],"")</f>
        <v/>
      </c>
    </row>
    <row r="81" spans="3:27">
      <c r="C81" s="155" t="str">
        <f t="shared" si="7"/>
        <v>Adulto</v>
      </c>
      <c r="D81" s="211" t="s">
        <v>157</v>
      </c>
      <c r="E81" s="211" t="s">
        <v>181</v>
      </c>
      <c r="F81" s="211" t="s">
        <v>102</v>
      </c>
      <c r="G81" s="211">
        <v>2281733</v>
      </c>
      <c r="H81" s="215">
        <v>44152</v>
      </c>
      <c r="I81" s="211">
        <v>4.532</v>
      </c>
      <c r="J81" s="211"/>
      <c r="K81" s="211"/>
      <c r="L81" s="211"/>
      <c r="M81" s="211"/>
      <c r="N81" s="211"/>
      <c r="O81" s="211"/>
      <c r="P81" s="211"/>
      <c r="Q81" s="211"/>
      <c r="R81" s="211"/>
      <c r="S81" s="211"/>
      <c r="T81" s="215">
        <v>18862</v>
      </c>
      <c r="U81" s="211" t="s">
        <v>512</v>
      </c>
      <c r="V81" s="211" t="s">
        <v>89</v>
      </c>
      <c r="W81" s="158" t="str">
        <f t="shared" si="8"/>
        <v>Sánchez Castillo,José</v>
      </c>
      <c r="X81" s="211">
        <f t="shared" si="9"/>
        <v>11</v>
      </c>
      <c r="Y81" s="211">
        <f t="shared" si="10"/>
        <v>2020</v>
      </c>
      <c r="Z81" s="204" t="s">
        <v>265</v>
      </c>
      <c r="AA81">
        <f>IF(Tabla1[[#This Row],[Kerma en aire acumulada (Gy)]]&gt;1,SUMIF(G:G,Tabla1[[#This Row],[SIP]],I:I)-Tabla1[[#This Row],[Kerma en aire acumulada (Gy)]],"")</f>
        <v>0</v>
      </c>
    </row>
    <row r="82" spans="3:27">
      <c r="C82" s="89" t="str">
        <f t="shared" si="7"/>
        <v>Adulto</v>
      </c>
      <c r="D82" s="101" t="s">
        <v>182</v>
      </c>
      <c r="E82" s="101" t="s">
        <v>183</v>
      </c>
      <c r="F82" s="101" t="s">
        <v>184</v>
      </c>
      <c r="G82" s="101">
        <v>4715136</v>
      </c>
      <c r="H82" s="102">
        <v>44158</v>
      </c>
      <c r="I82" s="101">
        <v>2.8650000000000002</v>
      </c>
      <c r="J82" s="101"/>
      <c r="K82" s="101"/>
      <c r="L82" s="101"/>
      <c r="M82" s="101"/>
      <c r="N82" s="101"/>
      <c r="O82" s="101"/>
      <c r="P82" s="101"/>
      <c r="Q82" s="101"/>
      <c r="R82" s="101"/>
      <c r="S82" s="101"/>
      <c r="T82" s="102">
        <v>26210</v>
      </c>
      <c r="U82" s="101" t="s">
        <v>512</v>
      </c>
      <c r="V82" s="101" t="s">
        <v>180</v>
      </c>
      <c r="W82" s="158" t="str">
        <f t="shared" si="8"/>
        <v>Peiró Feliu,Amadeo</v>
      </c>
      <c r="X82" s="211">
        <f t="shared" si="9"/>
        <v>11</v>
      </c>
      <c r="Y82" s="211">
        <f t="shared" si="10"/>
        <v>2020</v>
      </c>
      <c r="Z82" s="103" t="s">
        <v>265</v>
      </c>
      <c r="AA82">
        <f>IF(Tabla1[[#This Row],[Kerma en aire acumulada (Gy)]]&gt;1,SUMIF(G:G,Tabla1[[#This Row],[SIP]],I:I)-Tabla1[[#This Row],[Kerma en aire acumulada (Gy)]],"")</f>
        <v>0.27899999999999991</v>
      </c>
    </row>
    <row r="83" spans="3:27">
      <c r="C83" s="155" t="str">
        <f t="shared" si="7"/>
        <v>Adulto</v>
      </c>
      <c r="D83" s="95" t="s">
        <v>26</v>
      </c>
      <c r="E83" s="95" t="s">
        <v>27</v>
      </c>
      <c r="F83" s="95" t="s">
        <v>28</v>
      </c>
      <c r="G83" s="95">
        <v>2316361</v>
      </c>
      <c r="H83" s="96">
        <v>44176</v>
      </c>
      <c r="I83" s="95">
        <v>0.37</v>
      </c>
      <c r="J83" s="95" t="s">
        <v>262</v>
      </c>
      <c r="K83" s="95"/>
      <c r="L83" s="95"/>
      <c r="M83" s="95"/>
      <c r="N83" s="95"/>
      <c r="O83" s="95"/>
      <c r="P83" s="95"/>
      <c r="Q83" s="95"/>
      <c r="R83" s="95"/>
      <c r="S83" s="95"/>
      <c r="T83" s="96">
        <v>21554</v>
      </c>
      <c r="U83" s="95"/>
      <c r="V83" s="95" t="s">
        <v>505</v>
      </c>
      <c r="W83" s="232" t="str">
        <f t="shared" si="8"/>
        <v>Blasco  Calatayud,Josefa</v>
      </c>
      <c r="X83" s="154">
        <f t="shared" si="9"/>
        <v>12</v>
      </c>
      <c r="Y83" s="154">
        <f t="shared" si="10"/>
        <v>2020</v>
      </c>
      <c r="Z83" s="97" t="s">
        <v>265</v>
      </c>
      <c r="AA83" t="str">
        <f>IF(Tabla1[[#This Row],[Kerma en aire acumulada (Gy)]]&gt;1,SUMIF(G:G,Tabla1[[#This Row],[SIP]],I:I)-Tabla1[[#This Row],[Kerma en aire acumulada (Gy)]],"")</f>
        <v/>
      </c>
    </row>
    <row r="84" spans="3:27">
      <c r="C84" s="89" t="str">
        <f t="shared" si="7"/>
        <v>Adulto</v>
      </c>
      <c r="D84" s="101" t="s">
        <v>182</v>
      </c>
      <c r="E84" s="101" t="s">
        <v>183</v>
      </c>
      <c r="F84" s="101" t="s">
        <v>184</v>
      </c>
      <c r="G84" s="101">
        <v>4715136</v>
      </c>
      <c r="H84" s="102">
        <v>44179</v>
      </c>
      <c r="I84" s="101">
        <v>0.27900000000000003</v>
      </c>
      <c r="J84" s="101"/>
      <c r="K84" s="101"/>
      <c r="L84" s="101"/>
      <c r="M84" s="101"/>
      <c r="N84" s="101"/>
      <c r="O84" s="101"/>
      <c r="P84" s="101"/>
      <c r="Q84" s="101"/>
      <c r="R84" s="101"/>
      <c r="S84" s="101"/>
      <c r="T84" s="102">
        <v>26210</v>
      </c>
      <c r="U84" s="101" t="s">
        <v>512</v>
      </c>
      <c r="V84" s="101" t="s">
        <v>147</v>
      </c>
      <c r="W84" s="158" t="str">
        <f t="shared" si="8"/>
        <v>Peiró Feliu,Amadeo</v>
      </c>
      <c r="X84" s="211">
        <f t="shared" si="9"/>
        <v>12</v>
      </c>
      <c r="Y84" s="211">
        <f t="shared" si="10"/>
        <v>2020</v>
      </c>
      <c r="Z84" s="103" t="s">
        <v>265</v>
      </c>
      <c r="AA84" t="str">
        <f>IF(Tabla1[[#This Row],[Kerma en aire acumulada (Gy)]]&gt;1,SUMIF(G:G,Tabla1[[#This Row],[SIP]],I:I)-Tabla1[[#This Row],[Kerma en aire acumulada (Gy)]],"")</f>
        <v/>
      </c>
    </row>
    <row r="85" spans="3:27">
      <c r="C85" s="94" t="str">
        <f t="shared" si="7"/>
        <v>Pediátrico</v>
      </c>
      <c r="D85" s="95" t="s">
        <v>334</v>
      </c>
      <c r="E85" s="95" t="s">
        <v>313</v>
      </c>
      <c r="F85" s="95" t="s">
        <v>335</v>
      </c>
      <c r="G85" s="95">
        <v>7120820</v>
      </c>
      <c r="H85" s="96">
        <v>44186</v>
      </c>
      <c r="I85" s="95">
        <f>0.36337+0.16552</f>
        <v>0.52889000000000008</v>
      </c>
      <c r="J85" s="95"/>
      <c r="K85" s="95"/>
      <c r="L85" s="95"/>
      <c r="M85" s="95"/>
      <c r="N85" s="95"/>
      <c r="O85" s="95"/>
      <c r="P85" s="95"/>
      <c r="Q85" s="95"/>
      <c r="R85" s="95"/>
      <c r="S85" s="95"/>
      <c r="T85" s="96">
        <v>38673</v>
      </c>
      <c r="U85" s="95"/>
      <c r="V85" s="95" t="s">
        <v>263</v>
      </c>
      <c r="W85" s="232" t="str">
        <f t="shared" si="8"/>
        <v>Boles Fernández,Alanna</v>
      </c>
      <c r="X85" s="154">
        <f t="shared" si="9"/>
        <v>12</v>
      </c>
      <c r="Y85" s="154">
        <f t="shared" si="10"/>
        <v>2020</v>
      </c>
      <c r="Z85" s="97" t="s">
        <v>266</v>
      </c>
      <c r="AA85" t="str">
        <f>IF(Tabla1[[#This Row],[Kerma en aire acumulada (Gy)]]&gt;1,SUMIF(G:G,Tabla1[[#This Row],[SIP]],I:I)-Tabla1[[#This Row],[Kerma en aire acumulada (Gy)]],"")</f>
        <v/>
      </c>
    </row>
    <row r="86" spans="3:27">
      <c r="C86" s="157" t="str">
        <f t="shared" si="7"/>
        <v>Adulto</v>
      </c>
      <c r="D86" s="101" t="s">
        <v>21</v>
      </c>
      <c r="E86" s="101" t="s">
        <v>22</v>
      </c>
      <c r="F86" s="101" t="s">
        <v>20</v>
      </c>
      <c r="G86" s="101">
        <v>2932082</v>
      </c>
      <c r="H86" s="102">
        <v>44203</v>
      </c>
      <c r="I86" s="101">
        <v>1.0249999999999999</v>
      </c>
      <c r="J86" s="101" t="s">
        <v>261</v>
      </c>
      <c r="K86" s="101"/>
      <c r="L86" s="101"/>
      <c r="M86" s="101"/>
      <c r="N86" s="101"/>
      <c r="O86" s="101"/>
      <c r="P86" s="101"/>
      <c r="Q86" s="101"/>
      <c r="R86" s="101"/>
      <c r="S86" s="101"/>
      <c r="T86" s="102">
        <v>21196</v>
      </c>
      <c r="U86" s="101" t="s">
        <v>512</v>
      </c>
      <c r="V86" s="101" t="s">
        <v>180</v>
      </c>
      <c r="W86" s="158" t="str">
        <f t="shared" si="8"/>
        <v>Cervera Ruiz,Antonio</v>
      </c>
      <c r="X86" s="211">
        <f t="shared" si="9"/>
        <v>1</v>
      </c>
      <c r="Y86" s="211">
        <f t="shared" si="10"/>
        <v>2021</v>
      </c>
      <c r="Z86" s="103" t="s">
        <v>265</v>
      </c>
      <c r="AA86">
        <f>IF(Tabla1[[#This Row],[Kerma en aire acumulada (Gy)]]&gt;1,SUMIF(G:G,Tabla1[[#This Row],[SIP]],I:I)-Tabla1[[#This Row],[Kerma en aire acumulada (Gy)]],"")</f>
        <v>13.561999999999999</v>
      </c>
    </row>
    <row r="87" spans="3:27">
      <c r="C87" s="94" t="str">
        <f t="shared" si="7"/>
        <v>Adulto</v>
      </c>
      <c r="D87" s="95" t="s">
        <v>34</v>
      </c>
      <c r="E87" s="95" t="s">
        <v>66</v>
      </c>
      <c r="F87" s="95" t="s">
        <v>167</v>
      </c>
      <c r="G87" s="95">
        <v>3395822</v>
      </c>
      <c r="H87" s="96">
        <v>44204</v>
      </c>
      <c r="I87" s="95">
        <v>7.8E-2</v>
      </c>
      <c r="J87" s="95"/>
      <c r="K87" s="95"/>
      <c r="L87" s="95"/>
      <c r="M87" s="95"/>
      <c r="N87" s="95"/>
      <c r="O87" s="95"/>
      <c r="P87" s="95"/>
      <c r="Q87" s="95"/>
      <c r="R87" s="95"/>
      <c r="S87" s="95"/>
      <c r="T87" s="96">
        <v>29554</v>
      </c>
      <c r="U87" s="95"/>
      <c r="V87" s="95" t="s">
        <v>509</v>
      </c>
      <c r="W87" s="232" t="str">
        <f t="shared" si="8"/>
        <v>Jiménez  Navarro,Milagros</v>
      </c>
      <c r="X87" s="154">
        <f t="shared" si="9"/>
        <v>1</v>
      </c>
      <c r="Y87" s="154">
        <f t="shared" si="10"/>
        <v>2021</v>
      </c>
      <c r="Z87" s="97" t="s">
        <v>265</v>
      </c>
      <c r="AA87" t="str">
        <f>IF(Tabla1[[#This Row],[Kerma en aire acumulada (Gy)]]&gt;1,SUMIF(G:G,Tabla1[[#This Row],[SIP]],I:I)-Tabla1[[#This Row],[Kerma en aire acumulada (Gy)]],"")</f>
        <v/>
      </c>
    </row>
    <row r="88" spans="3:27">
      <c r="C88" s="89" t="str">
        <f t="shared" si="7"/>
        <v>Adulto</v>
      </c>
      <c r="D88" s="90" t="s">
        <v>26</v>
      </c>
      <c r="E88" s="90" t="s">
        <v>27</v>
      </c>
      <c r="F88" s="90" t="s">
        <v>28</v>
      </c>
      <c r="G88" s="90">
        <v>2316361</v>
      </c>
      <c r="H88" s="91">
        <v>44225</v>
      </c>
      <c r="I88" s="90">
        <v>1.2E-2</v>
      </c>
      <c r="J88" s="90" t="s">
        <v>256</v>
      </c>
      <c r="K88" s="90"/>
      <c r="L88" s="90"/>
      <c r="M88" s="90"/>
      <c r="N88" s="90"/>
      <c r="O88" s="90"/>
      <c r="P88" s="90"/>
      <c r="Q88" s="90"/>
      <c r="R88" s="90"/>
      <c r="S88" s="90"/>
      <c r="T88" s="91">
        <v>21554</v>
      </c>
      <c r="U88" s="90"/>
      <c r="V88" s="90" t="s">
        <v>506</v>
      </c>
      <c r="W88" s="233" t="str">
        <f t="shared" si="8"/>
        <v>Blasco  Calatayud,Josefa</v>
      </c>
      <c r="X88" s="202">
        <f t="shared" si="9"/>
        <v>1</v>
      </c>
      <c r="Y88" s="202">
        <f t="shared" si="10"/>
        <v>2021</v>
      </c>
      <c r="Z88" s="93" t="s">
        <v>265</v>
      </c>
      <c r="AA88" t="str">
        <f>IF(Tabla1[[#This Row],[Kerma en aire acumulada (Gy)]]&gt;1,SUMIF(G:G,Tabla1[[#This Row],[SIP]],I:I)-Tabla1[[#This Row],[Kerma en aire acumulada (Gy)]],"")</f>
        <v/>
      </c>
    </row>
    <row r="89" spans="3:27">
      <c r="C89" s="155" t="str">
        <f t="shared" si="7"/>
        <v>Adulto</v>
      </c>
      <c r="D89" s="95" t="s">
        <v>17</v>
      </c>
      <c r="E89" s="95" t="s">
        <v>18</v>
      </c>
      <c r="F89" s="95" t="s">
        <v>19</v>
      </c>
      <c r="G89" s="95">
        <v>4343935</v>
      </c>
      <c r="H89" s="96">
        <v>44228</v>
      </c>
      <c r="I89" s="95">
        <v>2.8580000000000001</v>
      </c>
      <c r="J89" s="95" t="s">
        <v>256</v>
      </c>
      <c r="K89" s="95"/>
      <c r="L89" s="95"/>
      <c r="M89" s="95"/>
      <c r="N89" s="95"/>
      <c r="O89" s="95"/>
      <c r="P89" s="95"/>
      <c r="Q89" s="95"/>
      <c r="R89" s="95"/>
      <c r="S89" s="95"/>
      <c r="T89" s="96">
        <v>15798</v>
      </c>
      <c r="U89" s="127">
        <v>9040010010385090</v>
      </c>
      <c r="V89" s="95" t="s">
        <v>1069</v>
      </c>
      <c r="W89" s="232" t="str">
        <f t="shared" si="8"/>
        <v>Vicent Roig,Elvira</v>
      </c>
      <c r="X89" s="154">
        <f t="shared" si="9"/>
        <v>2</v>
      </c>
      <c r="Y89" s="154">
        <f t="shared" si="10"/>
        <v>2021</v>
      </c>
      <c r="Z89" s="97" t="s">
        <v>265</v>
      </c>
      <c r="AA89">
        <f>IF(Tabla1[[#This Row],[Kerma en aire acumulada (Gy)]]&gt;1,SUMIF(G:G,Tabla1[[#This Row],[SIP]],I:I)-Tabla1[[#This Row],[Kerma en aire acumulada (Gy)]],"")</f>
        <v>0</v>
      </c>
    </row>
    <row r="90" spans="3:27">
      <c r="C90" s="89" t="str">
        <f t="shared" si="7"/>
        <v>Pediátrico</v>
      </c>
      <c r="D90" s="90" t="s">
        <v>376</v>
      </c>
      <c r="E90" s="90" t="s">
        <v>607</v>
      </c>
      <c r="F90" s="90" t="s">
        <v>608</v>
      </c>
      <c r="G90" s="90">
        <v>12615325</v>
      </c>
      <c r="H90" s="91">
        <v>44230</v>
      </c>
      <c r="I90" s="90">
        <v>3.1E-2</v>
      </c>
      <c r="J90" s="90"/>
      <c r="K90" s="90"/>
      <c r="L90" s="90"/>
      <c r="M90" s="90"/>
      <c r="N90" s="90"/>
      <c r="O90" s="90"/>
      <c r="P90" s="90"/>
      <c r="Q90" s="90"/>
      <c r="R90" s="90"/>
      <c r="S90" s="90"/>
      <c r="T90" s="91">
        <v>43600</v>
      </c>
      <c r="U90" s="90"/>
      <c r="V90" s="90" t="s">
        <v>583</v>
      </c>
      <c r="W90" s="233" t="str">
        <f t="shared" si="8"/>
        <v>Saiz Amorós,Francis</v>
      </c>
      <c r="X90" s="202">
        <f t="shared" si="9"/>
        <v>2</v>
      </c>
      <c r="Y90" s="202">
        <f t="shared" si="10"/>
        <v>2021</v>
      </c>
      <c r="Z90" s="93" t="s">
        <v>266</v>
      </c>
      <c r="AA90" t="str">
        <f>IF(Tabla1[[#This Row],[Kerma en aire acumulada (Gy)]]&gt;1,SUMIF(G:G,Tabla1[[#This Row],[SIP]],I:I)-Tabla1[[#This Row],[Kerma en aire acumulada (Gy)]],"")</f>
        <v/>
      </c>
    </row>
    <row r="91" spans="3:27">
      <c r="C91" s="94" t="str">
        <f t="shared" si="7"/>
        <v>Adulto</v>
      </c>
      <c r="D91" s="101" t="s">
        <v>189</v>
      </c>
      <c r="E91" s="101" t="s">
        <v>6</v>
      </c>
      <c r="F91" s="101" t="s">
        <v>7</v>
      </c>
      <c r="G91" s="101">
        <v>2932156</v>
      </c>
      <c r="H91" s="102">
        <v>44230</v>
      </c>
      <c r="I91" s="101">
        <v>0.8</v>
      </c>
      <c r="J91" s="101" t="s">
        <v>256</v>
      </c>
      <c r="K91" s="101"/>
      <c r="L91" s="101"/>
      <c r="M91" s="101"/>
      <c r="N91" s="101"/>
      <c r="O91" s="101"/>
      <c r="P91" s="101"/>
      <c r="Q91" s="101"/>
      <c r="R91" s="101"/>
      <c r="S91" s="101"/>
      <c r="T91" s="102">
        <v>21548</v>
      </c>
      <c r="U91" s="101" t="s">
        <v>512</v>
      </c>
      <c r="V91" s="101" t="s">
        <v>89</v>
      </c>
      <c r="W91" s="158" t="str">
        <f t="shared" si="8"/>
        <v>Giner Ortega,Francisca</v>
      </c>
      <c r="X91" s="211">
        <f t="shared" si="9"/>
        <v>2</v>
      </c>
      <c r="Y91" s="211">
        <f t="shared" si="10"/>
        <v>2021</v>
      </c>
      <c r="Z91" s="103" t="s">
        <v>265</v>
      </c>
      <c r="AA91" t="str">
        <f>IF(Tabla1[[#This Row],[Kerma en aire acumulada (Gy)]]&gt;1,SUMIF(G:G,Tabla1[[#This Row],[SIP]],I:I)-Tabla1[[#This Row],[Kerma en aire acumulada (Gy)]],"")</f>
        <v/>
      </c>
    </row>
    <row r="92" spans="3:27" ht="15.75" thickBot="1">
      <c r="C92" s="206" t="str">
        <f t="shared" si="7"/>
        <v>Adulto</v>
      </c>
      <c r="D92" s="181" t="s">
        <v>8</v>
      </c>
      <c r="E92" s="181"/>
      <c r="F92" s="181" t="s">
        <v>9</v>
      </c>
      <c r="G92" s="181">
        <v>6733815</v>
      </c>
      <c r="H92" s="194">
        <v>44231</v>
      </c>
      <c r="I92" s="181">
        <v>0.9</v>
      </c>
      <c r="J92" s="181" t="s">
        <v>256</v>
      </c>
      <c r="K92" s="181"/>
      <c r="L92" s="181"/>
      <c r="M92" s="181"/>
      <c r="N92" s="181"/>
      <c r="O92" s="181"/>
      <c r="P92" s="181"/>
      <c r="Q92" s="181"/>
      <c r="R92" s="181"/>
      <c r="S92" s="181"/>
      <c r="T92" s="194">
        <v>31498</v>
      </c>
      <c r="U92" s="181"/>
      <c r="V92" s="181" t="s">
        <v>259</v>
      </c>
      <c r="W92" s="235" t="str">
        <f t="shared" si="8"/>
        <v>Paraschiv ,Mihaela Florentina</v>
      </c>
      <c r="X92" s="209">
        <f t="shared" si="9"/>
        <v>2</v>
      </c>
      <c r="Y92" s="209">
        <f t="shared" si="10"/>
        <v>2021</v>
      </c>
      <c r="Z92" s="164" t="s">
        <v>265</v>
      </c>
      <c r="AA92" t="str">
        <f>IF(Tabla1[[#This Row],[Kerma en aire acumulada (Gy)]]&gt;1,SUMIF(G:G,Tabla1[[#This Row],[SIP]],I:I)-Tabla1[[#This Row],[Kerma en aire acumulada (Gy)]],"")</f>
        <v/>
      </c>
    </row>
    <row r="93" spans="3:27">
      <c r="C93" s="155" t="str">
        <f t="shared" si="7"/>
        <v>Adulto</v>
      </c>
      <c r="D93" s="211" t="s">
        <v>14</v>
      </c>
      <c r="E93" s="211" t="s">
        <v>15</v>
      </c>
      <c r="F93" s="211" t="s">
        <v>16</v>
      </c>
      <c r="G93" s="211">
        <v>1858960</v>
      </c>
      <c r="H93" s="215">
        <v>44231</v>
      </c>
      <c r="I93" s="211">
        <v>1.07</v>
      </c>
      <c r="J93" s="211" t="s">
        <v>256</v>
      </c>
      <c r="K93" s="211"/>
      <c r="L93" s="211"/>
      <c r="M93" s="211"/>
      <c r="N93" s="211"/>
      <c r="O93" s="211"/>
      <c r="P93" s="211"/>
      <c r="Q93" s="211"/>
      <c r="R93" s="211"/>
      <c r="S93" s="211"/>
      <c r="T93" s="215">
        <v>21413</v>
      </c>
      <c r="U93" s="211" t="s">
        <v>512</v>
      </c>
      <c r="V93" s="211" t="s">
        <v>89</v>
      </c>
      <c r="W93" s="158" t="str">
        <f t="shared" si="8"/>
        <v>Duro  Moreno,Ramón</v>
      </c>
      <c r="X93" s="211">
        <f t="shared" si="9"/>
        <v>2</v>
      </c>
      <c r="Y93" s="211">
        <f t="shared" si="10"/>
        <v>2021</v>
      </c>
      <c r="Z93" s="204" t="s">
        <v>265</v>
      </c>
      <c r="AA93">
        <f>IF(Tabla1[[#This Row],[Kerma en aire acumulada (Gy)]]&gt;1,SUMIF(G:G,Tabla1[[#This Row],[SIP]],I:I)-Tabla1[[#This Row],[Kerma en aire acumulada (Gy)]],"")</f>
        <v>3.2619999999999996</v>
      </c>
    </row>
    <row r="94" spans="3:27">
      <c r="C94" s="89" t="str">
        <f t="shared" si="7"/>
        <v>Pediátrico</v>
      </c>
      <c r="D94" s="90" t="s">
        <v>615</v>
      </c>
      <c r="E94" s="90" t="s">
        <v>616</v>
      </c>
      <c r="F94" s="90" t="s">
        <v>617</v>
      </c>
      <c r="G94" s="90">
        <v>12097962</v>
      </c>
      <c r="H94" s="91">
        <v>44235</v>
      </c>
      <c r="I94" s="90">
        <v>0.41399999999999998</v>
      </c>
      <c r="J94" s="90"/>
      <c r="K94" s="90"/>
      <c r="L94" s="90"/>
      <c r="M94" s="90"/>
      <c r="N94" s="90"/>
      <c r="O94" s="90"/>
      <c r="P94" s="90"/>
      <c r="Q94" s="90"/>
      <c r="R94" s="90"/>
      <c r="S94" s="90"/>
      <c r="T94" s="91">
        <v>39059</v>
      </c>
      <c r="U94" s="90"/>
      <c r="V94" s="90" t="s">
        <v>583</v>
      </c>
      <c r="W94" s="233" t="str">
        <f t="shared" si="8"/>
        <v>Mancebo Matos,Junior</v>
      </c>
      <c r="X94" s="202">
        <f t="shared" si="9"/>
        <v>2</v>
      </c>
      <c r="Y94" s="202">
        <f t="shared" si="10"/>
        <v>2021</v>
      </c>
      <c r="Z94" s="93"/>
      <c r="AA94" t="str">
        <f>IF(Tabla1[[#This Row],[Kerma en aire acumulada (Gy)]]&gt;1,SUMIF(G:G,Tabla1[[#This Row],[SIP]],I:I)-Tabla1[[#This Row],[Kerma en aire acumulada (Gy)]],"")</f>
        <v/>
      </c>
    </row>
    <row r="95" spans="3:27">
      <c r="C95" s="155" t="str">
        <f t="shared" si="7"/>
        <v>Pediátrico</v>
      </c>
      <c r="D95" s="95" t="s">
        <v>600</v>
      </c>
      <c r="E95" s="95" t="s">
        <v>130</v>
      </c>
      <c r="F95" s="95" t="s">
        <v>148</v>
      </c>
      <c r="G95" s="95">
        <v>13064638</v>
      </c>
      <c r="H95" s="96">
        <v>44236</v>
      </c>
      <c r="I95" s="95">
        <v>0.1115</v>
      </c>
      <c r="J95" s="95"/>
      <c r="K95" s="95"/>
      <c r="L95" s="95"/>
      <c r="M95" s="95"/>
      <c r="N95" s="95"/>
      <c r="O95" s="95"/>
      <c r="P95" s="95"/>
      <c r="Q95" s="95"/>
      <c r="R95" s="95"/>
      <c r="S95" s="95"/>
      <c r="T95" s="96">
        <v>44225</v>
      </c>
      <c r="U95" s="95"/>
      <c r="V95" s="95" t="s">
        <v>583</v>
      </c>
      <c r="W95" s="232" t="str">
        <f t="shared" si="8"/>
        <v>Tortosa Hernández,Andreu</v>
      </c>
      <c r="X95" s="154">
        <f t="shared" si="9"/>
        <v>2</v>
      </c>
      <c r="Y95" s="154">
        <f t="shared" si="10"/>
        <v>2021</v>
      </c>
      <c r="Z95" s="97" t="s">
        <v>266</v>
      </c>
      <c r="AA95" t="str">
        <f>IF(Tabla1[[#This Row],[Kerma en aire acumulada (Gy)]]&gt;1,SUMIF(G:G,Tabla1[[#This Row],[SIP]],I:I)-Tabla1[[#This Row],[Kerma en aire acumulada (Gy)]],"")</f>
        <v/>
      </c>
    </row>
    <row r="96" spans="3:27">
      <c r="C96" s="89" t="str">
        <f t="shared" si="7"/>
        <v>Adulto</v>
      </c>
      <c r="D96" s="90" t="s">
        <v>11</v>
      </c>
      <c r="E96" s="90" t="s">
        <v>12</v>
      </c>
      <c r="F96" s="90" t="s">
        <v>13</v>
      </c>
      <c r="G96" s="90">
        <v>2418238</v>
      </c>
      <c r="H96" s="91">
        <v>44236</v>
      </c>
      <c r="I96" s="90">
        <v>1.1000000000000001</v>
      </c>
      <c r="J96" s="90" t="s">
        <v>261</v>
      </c>
      <c r="K96" s="90"/>
      <c r="L96" s="90"/>
      <c r="M96" s="90"/>
      <c r="N96" s="90"/>
      <c r="O96" s="90"/>
      <c r="P96" s="90"/>
      <c r="Q96" s="90"/>
      <c r="R96" s="90"/>
      <c r="S96" s="90"/>
      <c r="T96" s="91">
        <v>21557</v>
      </c>
      <c r="U96" s="90"/>
      <c r="V96" s="90" t="s">
        <v>260</v>
      </c>
      <c r="W96" s="233" t="str">
        <f t="shared" si="8"/>
        <v>Hueso  Borrego,Manuela</v>
      </c>
      <c r="X96" s="202">
        <f t="shared" si="9"/>
        <v>2</v>
      </c>
      <c r="Y96" s="202">
        <f t="shared" si="10"/>
        <v>2021</v>
      </c>
      <c r="Z96" s="93" t="s">
        <v>265</v>
      </c>
      <c r="AA96">
        <f>IF(Tabla1[[#This Row],[Kerma en aire acumulada (Gy)]]&gt;1,SUMIF(G:G,Tabla1[[#This Row],[SIP]],I:I)-Tabla1[[#This Row],[Kerma en aire acumulada (Gy)]],"")</f>
        <v>0</v>
      </c>
    </row>
    <row r="97" spans="3:27">
      <c r="C97" s="94" t="str">
        <f t="shared" si="7"/>
        <v>Pediátrico</v>
      </c>
      <c r="D97" s="95" t="s">
        <v>620</v>
      </c>
      <c r="E97" s="95" t="s">
        <v>621</v>
      </c>
      <c r="F97" s="95" t="s">
        <v>344</v>
      </c>
      <c r="G97" s="95">
        <v>7507480</v>
      </c>
      <c r="H97" s="96">
        <v>44238</v>
      </c>
      <c r="I97" s="95">
        <v>0.318</v>
      </c>
      <c r="J97" s="95"/>
      <c r="K97" s="95"/>
      <c r="L97" s="95"/>
      <c r="M97" s="95"/>
      <c r="N97" s="95"/>
      <c r="O97" s="95"/>
      <c r="P97" s="95"/>
      <c r="Q97" s="95"/>
      <c r="R97" s="95"/>
      <c r="S97" s="95"/>
      <c r="T97" s="96">
        <v>39700</v>
      </c>
      <c r="U97" s="95"/>
      <c r="V97" s="95" t="s">
        <v>583</v>
      </c>
      <c r="W97" s="232" t="str">
        <f t="shared" si="8"/>
        <v>Cruz Bermell,Ángela</v>
      </c>
      <c r="X97" s="154">
        <f t="shared" si="9"/>
        <v>2</v>
      </c>
      <c r="Y97" s="154">
        <f t="shared" si="10"/>
        <v>2021</v>
      </c>
      <c r="Z97" s="97"/>
      <c r="AA97" t="str">
        <f>IF(Tabla1[[#This Row],[Kerma en aire acumulada (Gy)]]&gt;1,SUMIF(G:G,Tabla1[[#This Row],[SIP]],I:I)-Tabla1[[#This Row],[Kerma en aire acumulada (Gy)]],"")</f>
        <v/>
      </c>
    </row>
    <row r="98" spans="3:27">
      <c r="C98" s="89" t="str">
        <f t="shared" si="7"/>
        <v>Adulto</v>
      </c>
      <c r="D98" s="90" t="s">
        <v>29</v>
      </c>
      <c r="E98" s="90" t="s">
        <v>30</v>
      </c>
      <c r="F98" s="90" t="s">
        <v>31</v>
      </c>
      <c r="G98" s="90">
        <v>1867828</v>
      </c>
      <c r="H98" s="91">
        <v>44239</v>
      </c>
      <c r="I98" s="90">
        <v>0.28699999999999998</v>
      </c>
      <c r="J98" s="90" t="s">
        <v>256</v>
      </c>
      <c r="K98" s="90"/>
      <c r="L98" s="90"/>
      <c r="M98" s="90"/>
      <c r="N98" s="90"/>
      <c r="O98" s="90"/>
      <c r="P98" s="90"/>
      <c r="Q98" s="90"/>
      <c r="R98" s="90"/>
      <c r="S98" s="90"/>
      <c r="T98" s="91">
        <v>15388</v>
      </c>
      <c r="U98" s="90"/>
      <c r="V98" s="90" t="s">
        <v>503</v>
      </c>
      <c r="W98" s="233" t="str">
        <f t="shared" si="8"/>
        <v xml:space="preserve">Castro Soler,Rafael </v>
      </c>
      <c r="X98" s="202">
        <f t="shared" si="9"/>
        <v>2</v>
      </c>
      <c r="Y98" s="202">
        <f t="shared" si="10"/>
        <v>2021</v>
      </c>
      <c r="Z98" s="93" t="s">
        <v>265</v>
      </c>
      <c r="AA98" t="str">
        <f>IF(Tabla1[[#This Row],[Kerma en aire acumulada (Gy)]]&gt;1,SUMIF(G:G,Tabla1[[#This Row],[SIP]],I:I)-Tabla1[[#This Row],[Kerma en aire acumulada (Gy)]],"")</f>
        <v/>
      </c>
    </row>
    <row r="99" spans="3:27">
      <c r="C99" s="94" t="str">
        <f t="shared" si="7"/>
        <v>Adulto</v>
      </c>
      <c r="D99" s="95" t="s">
        <v>34</v>
      </c>
      <c r="E99" s="95" t="s">
        <v>32</v>
      </c>
      <c r="F99" s="95" t="s">
        <v>33</v>
      </c>
      <c r="G99" s="95">
        <v>196981</v>
      </c>
      <c r="H99" s="96">
        <v>44240</v>
      </c>
      <c r="I99" s="95">
        <v>0.31</v>
      </c>
      <c r="J99" s="95" t="s">
        <v>256</v>
      </c>
      <c r="K99" s="95"/>
      <c r="L99" s="95"/>
      <c r="M99" s="95"/>
      <c r="N99" s="95"/>
      <c r="O99" s="95"/>
      <c r="P99" s="95"/>
      <c r="Q99" s="95"/>
      <c r="R99" s="95"/>
      <c r="S99" s="95"/>
      <c r="T99" s="96">
        <v>32866</v>
      </c>
      <c r="U99" s="95"/>
      <c r="V99" s="95" t="s">
        <v>501</v>
      </c>
      <c r="W99" s="232" t="str">
        <f t="shared" si="8"/>
        <v>Jiménez  Gómez,Noel</v>
      </c>
      <c r="X99" s="154">
        <f t="shared" si="9"/>
        <v>2</v>
      </c>
      <c r="Y99" s="154">
        <f t="shared" si="10"/>
        <v>2021</v>
      </c>
      <c r="Z99" s="97" t="s">
        <v>265</v>
      </c>
      <c r="AA99" t="str">
        <f>IF(Tabla1[[#This Row],[Kerma en aire acumulada (Gy)]]&gt;1,SUMIF(G:G,Tabla1[[#This Row],[SIP]],I:I)-Tabla1[[#This Row],[Kerma en aire acumulada (Gy)]],"")</f>
        <v/>
      </c>
    </row>
    <row r="100" spans="3:27" ht="15.75" thickBot="1">
      <c r="C100" s="193" t="str">
        <f t="shared" si="7"/>
        <v>Adulto</v>
      </c>
      <c r="D100" s="181" t="s">
        <v>35</v>
      </c>
      <c r="E100" s="181" t="s">
        <v>36</v>
      </c>
      <c r="F100" s="181" t="s">
        <v>37</v>
      </c>
      <c r="G100" s="181">
        <v>3824620</v>
      </c>
      <c r="H100" s="194">
        <v>44241</v>
      </c>
      <c r="I100" s="181">
        <v>0.217</v>
      </c>
      <c r="J100" s="181" t="s">
        <v>256</v>
      </c>
      <c r="K100" s="181"/>
      <c r="L100" s="181"/>
      <c r="M100" s="181"/>
      <c r="N100" s="181"/>
      <c r="O100" s="181"/>
      <c r="P100" s="181"/>
      <c r="Q100" s="181"/>
      <c r="R100" s="181"/>
      <c r="S100" s="181"/>
      <c r="T100" s="194">
        <v>25239</v>
      </c>
      <c r="U100" s="181"/>
      <c r="V100" s="181" t="s">
        <v>500</v>
      </c>
      <c r="W100" s="235" t="str">
        <f t="shared" si="8"/>
        <v>Lozano Ramos,Miguel Ángel</v>
      </c>
      <c r="X100" s="209">
        <f t="shared" si="9"/>
        <v>2</v>
      </c>
      <c r="Y100" s="209">
        <f t="shared" si="10"/>
        <v>2021</v>
      </c>
      <c r="Z100" s="164" t="s">
        <v>265</v>
      </c>
      <c r="AA100" t="str">
        <f>IF(Tabla1[[#This Row],[Kerma en aire acumulada (Gy)]]&gt;1,SUMIF(G:G,Tabla1[[#This Row],[SIP]],I:I)-Tabla1[[#This Row],[Kerma en aire acumulada (Gy)]],"")</f>
        <v/>
      </c>
    </row>
    <row r="101" spans="3:27">
      <c r="C101" s="155" t="str">
        <f t="shared" si="7"/>
        <v>Adulto</v>
      </c>
      <c r="D101" s="154" t="s">
        <v>52</v>
      </c>
      <c r="E101" s="154" t="s">
        <v>53</v>
      </c>
      <c r="F101" s="154" t="s">
        <v>54</v>
      </c>
      <c r="G101" s="154">
        <v>2878193</v>
      </c>
      <c r="H101" s="156">
        <v>44242</v>
      </c>
      <c r="I101" s="154">
        <v>1.081</v>
      </c>
      <c r="J101" s="154"/>
      <c r="K101" s="154"/>
      <c r="L101" s="154"/>
      <c r="M101" s="154"/>
      <c r="N101" s="154"/>
      <c r="O101" s="154"/>
      <c r="P101" s="154"/>
      <c r="Q101" s="154"/>
      <c r="R101" s="154"/>
      <c r="S101" s="154"/>
      <c r="T101" s="156">
        <v>21898</v>
      </c>
      <c r="U101" s="154"/>
      <c r="V101" s="154" t="s">
        <v>89</v>
      </c>
      <c r="W101" s="232" t="str">
        <f t="shared" si="8"/>
        <v>Chust Piquer,Isabel</v>
      </c>
      <c r="X101" s="154">
        <f t="shared" si="9"/>
        <v>2</v>
      </c>
      <c r="Y101" s="154">
        <f t="shared" si="10"/>
        <v>2021</v>
      </c>
      <c r="Z101" s="174" t="s">
        <v>265</v>
      </c>
      <c r="AA101">
        <f>IF(Tabla1[[#This Row],[Kerma en aire acumulada (Gy)]]&gt;1,SUMIF(G:G,Tabla1[[#This Row],[SIP]],I:I)-Tabla1[[#This Row],[Kerma en aire acumulada (Gy)]],"")</f>
        <v>0.81700000000000017</v>
      </c>
    </row>
    <row r="102" spans="3:27">
      <c r="C102" s="89" t="str">
        <f t="shared" si="7"/>
        <v>Pediátrico</v>
      </c>
      <c r="D102" s="90" t="s">
        <v>38</v>
      </c>
      <c r="E102" s="90" t="s">
        <v>39</v>
      </c>
      <c r="F102" s="90" t="s">
        <v>40</v>
      </c>
      <c r="G102" s="90">
        <v>6203670</v>
      </c>
      <c r="H102" s="91">
        <v>44243</v>
      </c>
      <c r="I102" s="90">
        <v>0.182</v>
      </c>
      <c r="J102" s="90"/>
      <c r="K102" s="90">
        <v>3.1E-2</v>
      </c>
      <c r="L102" s="90">
        <v>3.1E-2</v>
      </c>
      <c r="M102" s="90">
        <v>0.121</v>
      </c>
      <c r="N102" s="90">
        <v>0.151</v>
      </c>
      <c r="O102" s="90">
        <v>0</v>
      </c>
      <c r="P102" s="90">
        <v>3.1E-2</v>
      </c>
      <c r="Q102" s="90">
        <v>3.1E-2</v>
      </c>
      <c r="R102" s="90">
        <v>0.121</v>
      </c>
      <c r="S102" s="90">
        <v>0.151</v>
      </c>
      <c r="T102" s="91">
        <v>38751</v>
      </c>
      <c r="U102" s="90"/>
      <c r="V102" s="90" t="s">
        <v>263</v>
      </c>
      <c r="W102" s="233" t="str">
        <f t="shared" si="8"/>
        <v>Pazmiño Manchón,Aaron Javier</v>
      </c>
      <c r="X102" s="202">
        <f t="shared" si="9"/>
        <v>2</v>
      </c>
      <c r="Y102" s="202">
        <f t="shared" si="10"/>
        <v>2021</v>
      </c>
      <c r="Z102" s="93" t="s">
        <v>265</v>
      </c>
      <c r="AA102" t="str">
        <f>IF(Tabla1[[#This Row],[Kerma en aire acumulada (Gy)]]&gt;1,SUMIF(G:G,Tabla1[[#This Row],[SIP]],I:I)-Tabla1[[#This Row],[Kerma en aire acumulada (Gy)]],"")</f>
        <v/>
      </c>
    </row>
    <row r="103" spans="3:27">
      <c r="C103" s="94" t="str">
        <f t="shared" si="7"/>
        <v>Pediátrico</v>
      </c>
      <c r="D103" s="95" t="s">
        <v>46</v>
      </c>
      <c r="E103" s="95" t="s">
        <v>47</v>
      </c>
      <c r="F103" s="95" t="s">
        <v>48</v>
      </c>
      <c r="G103" s="95">
        <v>7900199</v>
      </c>
      <c r="H103" s="96">
        <v>44244</v>
      </c>
      <c r="I103" s="95">
        <v>0.10299999999999999</v>
      </c>
      <c r="J103" s="95"/>
      <c r="K103" s="95"/>
      <c r="L103" s="95"/>
      <c r="M103" s="95"/>
      <c r="N103" s="95"/>
      <c r="O103" s="95"/>
      <c r="P103" s="95"/>
      <c r="Q103" s="95"/>
      <c r="R103" s="95"/>
      <c r="S103" s="95"/>
      <c r="T103" s="96">
        <v>40070</v>
      </c>
      <c r="U103" s="95"/>
      <c r="V103" s="95" t="s">
        <v>498</v>
      </c>
      <c r="W103" s="232" t="str">
        <f t="shared" si="8"/>
        <v>Pérez Jiménez,Meritxell</v>
      </c>
      <c r="X103" s="154">
        <f t="shared" si="9"/>
        <v>2</v>
      </c>
      <c r="Y103" s="154">
        <f t="shared" si="10"/>
        <v>2021</v>
      </c>
      <c r="Z103" s="97" t="s">
        <v>265</v>
      </c>
      <c r="AA103" t="str">
        <f>IF(Tabla1[[#This Row],[Kerma en aire acumulada (Gy)]]&gt;1,SUMIF(G:G,Tabla1[[#This Row],[SIP]],I:I)-Tabla1[[#This Row],[Kerma en aire acumulada (Gy)]],"")</f>
        <v/>
      </c>
    </row>
    <row r="104" spans="3:27">
      <c r="C104" s="89" t="str">
        <f t="shared" si="7"/>
        <v>Adulto</v>
      </c>
      <c r="D104" s="90" t="s">
        <v>35</v>
      </c>
      <c r="E104" s="90" t="s">
        <v>36</v>
      </c>
      <c r="F104" s="90" t="s">
        <v>37</v>
      </c>
      <c r="G104" s="90">
        <v>3824620</v>
      </c>
      <c r="H104" s="91">
        <v>44244</v>
      </c>
      <c r="I104" s="90">
        <v>0.11</v>
      </c>
      <c r="J104" s="90" t="s">
        <v>256</v>
      </c>
      <c r="K104" s="90"/>
      <c r="L104" s="90"/>
      <c r="M104" s="90"/>
      <c r="N104" s="90"/>
      <c r="O104" s="90"/>
      <c r="P104" s="90"/>
      <c r="Q104" s="90"/>
      <c r="R104" s="90"/>
      <c r="S104" s="90"/>
      <c r="T104" s="91">
        <v>25239</v>
      </c>
      <c r="U104" s="90"/>
      <c r="V104" s="90" t="s">
        <v>100</v>
      </c>
      <c r="W104" s="233" t="str">
        <f t="shared" si="8"/>
        <v>Lozano Ramos,Miguel Ángel</v>
      </c>
      <c r="X104" s="202">
        <f t="shared" si="9"/>
        <v>2</v>
      </c>
      <c r="Y104" s="202">
        <f t="shared" si="10"/>
        <v>2021</v>
      </c>
      <c r="Z104" s="93" t="s">
        <v>265</v>
      </c>
      <c r="AA104" t="str">
        <f>IF(Tabla1[[#This Row],[Kerma en aire acumulada (Gy)]]&gt;1,SUMIF(G:G,Tabla1[[#This Row],[SIP]],I:I)-Tabla1[[#This Row],[Kerma en aire acumulada (Gy)]],"")</f>
        <v/>
      </c>
    </row>
    <row r="105" spans="3:27">
      <c r="C105" s="94" t="str">
        <f t="shared" si="7"/>
        <v>Pediátrico</v>
      </c>
      <c r="D105" s="95" t="s">
        <v>34</v>
      </c>
      <c r="E105" s="95" t="s">
        <v>36</v>
      </c>
      <c r="F105" s="95" t="s">
        <v>49</v>
      </c>
      <c r="G105" s="95">
        <v>6700426</v>
      </c>
      <c r="H105" s="96">
        <v>44245</v>
      </c>
      <c r="I105" s="95">
        <v>4.8000000000000001E-2</v>
      </c>
      <c r="J105" s="95"/>
      <c r="K105" s="95"/>
      <c r="L105" s="95"/>
      <c r="M105" s="95"/>
      <c r="N105" s="95"/>
      <c r="O105" s="95"/>
      <c r="P105" s="95"/>
      <c r="Q105" s="95"/>
      <c r="R105" s="95"/>
      <c r="S105" s="95"/>
      <c r="T105" s="96">
        <v>39114</v>
      </c>
      <c r="U105" s="95"/>
      <c r="V105" s="95"/>
      <c r="W105" s="232" t="str">
        <f t="shared" ref="W105:W136" si="11">CONCATENATE(D105,$A$591,E105,",",F105)</f>
        <v>Jiménez  Ramos,Henderson Edin</v>
      </c>
      <c r="X105" s="154">
        <f t="shared" ref="X105:X136" si="12">MONTH(H105)</f>
        <v>2</v>
      </c>
      <c r="Y105" s="154">
        <f t="shared" ref="Y105:Y136" si="13">YEAR(H105)</f>
        <v>2021</v>
      </c>
      <c r="Z105" s="97" t="s">
        <v>265</v>
      </c>
      <c r="AA105" t="str">
        <f>IF(Tabla1[[#This Row],[Kerma en aire acumulada (Gy)]]&gt;1,SUMIF(G:G,Tabla1[[#This Row],[SIP]],I:I)-Tabla1[[#This Row],[Kerma en aire acumulada (Gy)]],"")</f>
        <v/>
      </c>
    </row>
    <row r="106" spans="3:27">
      <c r="C106" s="94" t="str">
        <f t="shared" si="7"/>
        <v>Adulto</v>
      </c>
      <c r="D106" s="95" t="s">
        <v>41</v>
      </c>
      <c r="E106" s="95" t="s">
        <v>42</v>
      </c>
      <c r="F106" s="95" t="s">
        <v>31</v>
      </c>
      <c r="G106" s="95">
        <v>116680</v>
      </c>
      <c r="H106" s="96">
        <v>44245</v>
      </c>
      <c r="I106" s="95">
        <v>0.19</v>
      </c>
      <c r="J106" s="95" t="s">
        <v>256</v>
      </c>
      <c r="K106" s="95"/>
      <c r="L106" s="95"/>
      <c r="M106" s="95"/>
      <c r="N106" s="95"/>
      <c r="O106" s="95"/>
      <c r="P106" s="95"/>
      <c r="Q106" s="95"/>
      <c r="R106" s="95"/>
      <c r="S106" s="95"/>
      <c r="T106" s="96">
        <v>25389</v>
      </c>
      <c r="U106" s="95"/>
      <c r="V106" s="95" t="s">
        <v>173</v>
      </c>
      <c r="W106" s="232" t="str">
        <f t="shared" si="11"/>
        <v xml:space="preserve">Donat Canet,Rafael </v>
      </c>
      <c r="X106" s="154">
        <f t="shared" si="12"/>
        <v>2</v>
      </c>
      <c r="Y106" s="154">
        <f t="shared" si="13"/>
        <v>2021</v>
      </c>
      <c r="Z106" s="97" t="s">
        <v>265</v>
      </c>
      <c r="AA106" t="str">
        <f>IF(Tabla1[[#This Row],[Kerma en aire acumulada (Gy)]]&gt;1,SUMIF(G:G,Tabla1[[#This Row],[SIP]],I:I)-Tabla1[[#This Row],[Kerma en aire acumulada (Gy)]],"")</f>
        <v/>
      </c>
    </row>
    <row r="107" spans="3:27">
      <c r="C107" s="157" t="str">
        <f t="shared" si="7"/>
        <v>Adulto</v>
      </c>
      <c r="D107" s="90" t="s">
        <v>26</v>
      </c>
      <c r="E107" s="90" t="s">
        <v>27</v>
      </c>
      <c r="F107" s="90" t="s">
        <v>28</v>
      </c>
      <c r="G107" s="90">
        <v>2316361</v>
      </c>
      <c r="H107" s="91">
        <v>44245</v>
      </c>
      <c r="I107" s="90">
        <v>0.16</v>
      </c>
      <c r="J107" s="90" t="s">
        <v>256</v>
      </c>
      <c r="K107" s="90"/>
      <c r="L107" s="90"/>
      <c r="M107" s="90"/>
      <c r="N107" s="90"/>
      <c r="O107" s="90"/>
      <c r="P107" s="90"/>
      <c r="Q107" s="90"/>
      <c r="R107" s="90"/>
      <c r="S107" s="90"/>
      <c r="T107" s="91">
        <v>21554</v>
      </c>
      <c r="U107" s="90"/>
      <c r="V107" s="90" t="s">
        <v>1025</v>
      </c>
      <c r="W107" s="233" t="str">
        <f t="shared" si="11"/>
        <v>Blasco  Calatayud,Josefa</v>
      </c>
      <c r="X107" s="202">
        <f t="shared" si="12"/>
        <v>2</v>
      </c>
      <c r="Y107" s="202">
        <f t="shared" si="13"/>
        <v>2021</v>
      </c>
      <c r="Z107" s="93" t="s">
        <v>265</v>
      </c>
      <c r="AA107" t="str">
        <f>IF(Tabla1[[#This Row],[Kerma en aire acumulada (Gy)]]&gt;1,SUMIF(G:G,Tabla1[[#This Row],[SIP]],I:I)-Tabla1[[#This Row],[Kerma en aire acumulada (Gy)]],"")</f>
        <v/>
      </c>
    </row>
    <row r="108" spans="3:27">
      <c r="C108" s="89" t="str">
        <f t="shared" si="7"/>
        <v>Adulto</v>
      </c>
      <c r="D108" s="90" t="s">
        <v>43</v>
      </c>
      <c r="E108" s="90" t="s">
        <v>44</v>
      </c>
      <c r="F108" s="90" t="s">
        <v>45</v>
      </c>
      <c r="G108" s="90">
        <v>4726973</v>
      </c>
      <c r="H108" s="91">
        <v>44246</v>
      </c>
      <c r="I108" s="90">
        <v>0.2</v>
      </c>
      <c r="J108" s="90" t="s">
        <v>262</v>
      </c>
      <c r="K108" s="90"/>
      <c r="L108" s="90"/>
      <c r="M108" s="90"/>
      <c r="N108" s="90"/>
      <c r="O108" s="90"/>
      <c r="P108" s="90"/>
      <c r="Q108" s="90"/>
      <c r="R108" s="90"/>
      <c r="S108" s="90"/>
      <c r="T108" s="91">
        <v>20783</v>
      </c>
      <c r="U108" s="90"/>
      <c r="V108" s="90" t="s">
        <v>499</v>
      </c>
      <c r="W108" s="233" t="str">
        <f t="shared" si="11"/>
        <v>Cuenca Puchalt,José Antonio</v>
      </c>
      <c r="X108" s="202">
        <f t="shared" si="12"/>
        <v>2</v>
      </c>
      <c r="Y108" s="202">
        <f t="shared" si="13"/>
        <v>2021</v>
      </c>
      <c r="Z108" s="93" t="s">
        <v>265</v>
      </c>
      <c r="AA108" t="str">
        <f>IF(Tabla1[[#This Row],[Kerma en aire acumulada (Gy)]]&gt;1,SUMIF(G:G,Tabla1[[#This Row],[SIP]],I:I)-Tabla1[[#This Row],[Kerma en aire acumulada (Gy)]],"")</f>
        <v/>
      </c>
    </row>
    <row r="109" spans="3:27">
      <c r="C109" s="94" t="str">
        <f t="shared" si="7"/>
        <v>Adulto</v>
      </c>
      <c r="D109" s="95" t="s">
        <v>23</v>
      </c>
      <c r="E109" s="95" t="s">
        <v>24</v>
      </c>
      <c r="F109" s="95" t="s">
        <v>25</v>
      </c>
      <c r="G109" s="95">
        <v>7253924</v>
      </c>
      <c r="H109" s="96">
        <v>44246</v>
      </c>
      <c r="I109" s="95">
        <v>0.48649999999999999</v>
      </c>
      <c r="J109" s="95" t="s">
        <v>256</v>
      </c>
      <c r="K109" s="95"/>
      <c r="L109" s="95"/>
      <c r="M109" s="95"/>
      <c r="N109" s="95"/>
      <c r="O109" s="95"/>
      <c r="P109" s="95"/>
      <c r="Q109" s="95"/>
      <c r="R109" s="95"/>
      <c r="S109" s="95"/>
      <c r="T109" s="96">
        <v>27939</v>
      </c>
      <c r="U109" s="95"/>
      <c r="V109" s="95" t="s">
        <v>507</v>
      </c>
      <c r="W109" s="232" t="str">
        <f t="shared" si="11"/>
        <v>Camargo Monasterio,Marilin</v>
      </c>
      <c r="X109" s="154">
        <f t="shared" si="12"/>
        <v>2</v>
      </c>
      <c r="Y109" s="154">
        <f t="shared" si="13"/>
        <v>2021</v>
      </c>
      <c r="Z109" s="97" t="s">
        <v>265</v>
      </c>
      <c r="AA109" t="str">
        <f>IF(Tabla1[[#This Row],[Kerma en aire acumulada (Gy)]]&gt;1,SUMIF(G:G,Tabla1[[#This Row],[SIP]],I:I)-Tabla1[[#This Row],[Kerma en aire acumulada (Gy)]],"")</f>
        <v/>
      </c>
    </row>
    <row r="110" spans="3:27">
      <c r="C110" s="89" t="str">
        <f t="shared" si="7"/>
        <v>Adulto</v>
      </c>
      <c r="D110" s="101" t="s">
        <v>55</v>
      </c>
      <c r="E110" s="101" t="s">
        <v>56</v>
      </c>
      <c r="F110" s="101" t="s">
        <v>57</v>
      </c>
      <c r="G110" s="101">
        <v>1819791</v>
      </c>
      <c r="H110" s="102">
        <v>44249</v>
      </c>
      <c r="I110" s="101">
        <v>4.1500000000000004</v>
      </c>
      <c r="J110" s="101"/>
      <c r="K110" s="101"/>
      <c r="L110" s="101"/>
      <c r="M110" s="101"/>
      <c r="N110" s="101"/>
      <c r="O110" s="101"/>
      <c r="P110" s="101"/>
      <c r="Q110" s="101"/>
      <c r="R110" s="101"/>
      <c r="S110" s="101"/>
      <c r="T110" s="102">
        <v>22185</v>
      </c>
      <c r="U110" s="101" t="s">
        <v>512</v>
      </c>
      <c r="V110" s="101"/>
      <c r="W110" s="158" t="str">
        <f t="shared" si="11"/>
        <v>Ortell Renau,Miguel</v>
      </c>
      <c r="X110" s="211">
        <f t="shared" si="12"/>
        <v>2</v>
      </c>
      <c r="Y110" s="211">
        <f t="shared" si="13"/>
        <v>2021</v>
      </c>
      <c r="Z110" s="103" t="s">
        <v>265</v>
      </c>
      <c r="AA110">
        <f>IF(Tabla1[[#This Row],[Kerma en aire acumulada (Gy)]]&gt;1,SUMIF(G:G,Tabla1[[#This Row],[SIP]],I:I)-Tabla1[[#This Row],[Kerma en aire acumulada (Gy)]],"")</f>
        <v>0</v>
      </c>
    </row>
    <row r="111" spans="3:27">
      <c r="C111" s="155" t="str">
        <f t="shared" si="7"/>
        <v>Pediátrico</v>
      </c>
      <c r="D111" s="95" t="s">
        <v>601</v>
      </c>
      <c r="E111" s="95"/>
      <c r="F111" s="95" t="s">
        <v>602</v>
      </c>
      <c r="G111" s="95">
        <v>12710458</v>
      </c>
      <c r="H111" s="96">
        <v>44250</v>
      </c>
      <c r="I111" s="95">
        <v>0.46400000000000002</v>
      </c>
      <c r="J111" s="95"/>
      <c r="K111" s="95"/>
      <c r="L111" s="95"/>
      <c r="M111" s="95"/>
      <c r="N111" s="95"/>
      <c r="O111" s="95"/>
      <c r="P111" s="95"/>
      <c r="Q111" s="95"/>
      <c r="R111" s="95"/>
      <c r="S111" s="95"/>
      <c r="T111" s="96">
        <v>43682</v>
      </c>
      <c r="U111" s="95"/>
      <c r="V111" s="95" t="s">
        <v>583</v>
      </c>
      <c r="W111" s="232" t="str">
        <f t="shared" si="11"/>
        <v>Falah ,Reda</v>
      </c>
      <c r="X111" s="154">
        <f t="shared" si="12"/>
        <v>2</v>
      </c>
      <c r="Y111" s="154">
        <f t="shared" si="13"/>
        <v>2021</v>
      </c>
      <c r="Z111" s="97" t="s">
        <v>266</v>
      </c>
      <c r="AA111" t="str">
        <f>IF(Tabla1[[#This Row],[Kerma en aire acumulada (Gy)]]&gt;1,SUMIF(G:G,Tabla1[[#This Row],[SIP]],I:I)-Tabla1[[#This Row],[Kerma en aire acumulada (Gy)]],"")</f>
        <v/>
      </c>
    </row>
    <row r="112" spans="3:27">
      <c r="C112" s="94" t="str">
        <f t="shared" si="7"/>
        <v>Pediátrico</v>
      </c>
      <c r="D112" s="95" t="s">
        <v>622</v>
      </c>
      <c r="E112" s="95" t="s">
        <v>623</v>
      </c>
      <c r="F112" s="95" t="s">
        <v>624</v>
      </c>
      <c r="G112" s="95">
        <v>10434097</v>
      </c>
      <c r="H112" s="96">
        <v>44252</v>
      </c>
      <c r="I112" s="95">
        <v>0.17299999999999999</v>
      </c>
      <c r="J112" s="95"/>
      <c r="K112" s="95"/>
      <c r="L112" s="95"/>
      <c r="M112" s="95"/>
      <c r="N112" s="95"/>
      <c r="O112" s="95"/>
      <c r="P112" s="95"/>
      <c r="Q112" s="95"/>
      <c r="R112" s="95"/>
      <c r="S112" s="95"/>
      <c r="T112" s="96">
        <v>41236</v>
      </c>
      <c r="U112" s="95"/>
      <c r="V112" s="95" t="s">
        <v>583</v>
      </c>
      <c r="W112" s="232" t="str">
        <f t="shared" si="11"/>
        <v>Villena Abadia,Mario</v>
      </c>
      <c r="X112" s="154">
        <f t="shared" si="12"/>
        <v>2</v>
      </c>
      <c r="Y112" s="154">
        <f t="shared" si="13"/>
        <v>2021</v>
      </c>
      <c r="Z112" s="97"/>
      <c r="AA112" t="str">
        <f>IF(Tabla1[[#This Row],[Kerma en aire acumulada (Gy)]]&gt;1,SUMIF(G:G,Tabla1[[#This Row],[SIP]],I:I)-Tabla1[[#This Row],[Kerma en aire acumulada (Gy)]],"")</f>
        <v/>
      </c>
    </row>
    <row r="113" spans="3:27">
      <c r="C113" s="89" t="str">
        <f t="shared" si="7"/>
        <v>Adulto</v>
      </c>
      <c r="D113" s="90" t="s">
        <v>50</v>
      </c>
      <c r="E113" s="90" t="s">
        <v>51</v>
      </c>
      <c r="F113" s="90" t="s">
        <v>37</v>
      </c>
      <c r="G113" s="90">
        <v>2343053</v>
      </c>
      <c r="H113" s="91">
        <v>44252</v>
      </c>
      <c r="I113" s="90">
        <v>0.78500000000000003</v>
      </c>
      <c r="J113" s="90"/>
      <c r="K113" s="90"/>
      <c r="L113" s="90"/>
      <c r="M113" s="90"/>
      <c r="N113" s="90"/>
      <c r="O113" s="90"/>
      <c r="P113" s="90"/>
      <c r="Q113" s="90"/>
      <c r="R113" s="90"/>
      <c r="S113" s="90"/>
      <c r="T113" s="91">
        <v>22027</v>
      </c>
      <c r="U113" s="90"/>
      <c r="V113" s="90"/>
      <c r="W113" s="233" t="str">
        <f t="shared" si="11"/>
        <v>Quintero Acosta,Miguel Ángel</v>
      </c>
      <c r="X113" s="202">
        <f t="shared" si="12"/>
        <v>2</v>
      </c>
      <c r="Y113" s="202">
        <f t="shared" si="13"/>
        <v>2021</v>
      </c>
      <c r="Z113" s="93" t="s">
        <v>265</v>
      </c>
      <c r="AA113" t="str">
        <f>IF(Tabla1[[#This Row],[Kerma en aire acumulada (Gy)]]&gt;1,SUMIF(G:G,Tabla1[[#This Row],[SIP]],I:I)-Tabla1[[#This Row],[Kerma en aire acumulada (Gy)]],"")</f>
        <v/>
      </c>
    </row>
    <row r="114" spans="3:27" ht="15.75" thickBot="1">
      <c r="C114" s="193" t="str">
        <f t="shared" si="7"/>
        <v>Adulto</v>
      </c>
      <c r="D114" s="181" t="s">
        <v>34</v>
      </c>
      <c r="E114" s="181" t="s">
        <v>32</v>
      </c>
      <c r="F114" s="181" t="s">
        <v>33</v>
      </c>
      <c r="G114" s="181">
        <v>196981</v>
      </c>
      <c r="H114" s="194">
        <v>44252</v>
      </c>
      <c r="I114" s="181">
        <v>6.2E-2</v>
      </c>
      <c r="J114" s="181" t="s">
        <v>256</v>
      </c>
      <c r="K114" s="181"/>
      <c r="L114" s="181"/>
      <c r="M114" s="181"/>
      <c r="N114" s="181"/>
      <c r="O114" s="181"/>
      <c r="P114" s="181"/>
      <c r="Q114" s="181"/>
      <c r="R114" s="181"/>
      <c r="S114" s="181"/>
      <c r="T114" s="194">
        <v>32866</v>
      </c>
      <c r="U114" s="181"/>
      <c r="V114" s="181" t="s">
        <v>502</v>
      </c>
      <c r="W114" s="235" t="str">
        <f t="shared" si="11"/>
        <v>Jiménez  Gómez,Noel</v>
      </c>
      <c r="X114" s="209">
        <f t="shared" si="12"/>
        <v>2</v>
      </c>
      <c r="Y114" s="209">
        <f t="shared" si="13"/>
        <v>2021</v>
      </c>
      <c r="Z114" s="164" t="s">
        <v>265</v>
      </c>
      <c r="AA114" t="str">
        <f>IF(Tabla1[[#This Row],[Kerma en aire acumulada (Gy)]]&gt;1,SUMIF(G:G,Tabla1[[#This Row],[SIP]],I:I)-Tabla1[[#This Row],[Kerma en aire acumulada (Gy)]],"")</f>
        <v/>
      </c>
    </row>
    <row r="115" spans="3:27">
      <c r="C115" s="155" t="str">
        <f t="shared" si="7"/>
        <v>Adulto</v>
      </c>
      <c r="D115" s="154" t="s">
        <v>58</v>
      </c>
      <c r="E115" s="154" t="s">
        <v>59</v>
      </c>
      <c r="F115" s="154" t="s">
        <v>60</v>
      </c>
      <c r="G115" s="154">
        <v>4976109</v>
      </c>
      <c r="H115" s="156">
        <v>44253</v>
      </c>
      <c r="I115" s="154">
        <v>0.35199999999999998</v>
      </c>
      <c r="J115" s="154"/>
      <c r="K115" s="154"/>
      <c r="L115" s="154"/>
      <c r="M115" s="154"/>
      <c r="N115" s="154"/>
      <c r="O115" s="154"/>
      <c r="P115" s="154"/>
      <c r="Q115" s="154"/>
      <c r="R115" s="154"/>
      <c r="S115" s="154"/>
      <c r="T115" s="156">
        <v>28635</v>
      </c>
      <c r="U115" s="154"/>
      <c r="V115" s="154"/>
      <c r="W115" s="232" t="str">
        <f t="shared" si="11"/>
        <v>Veliz Cadena,Marlon Omar</v>
      </c>
      <c r="X115" s="154">
        <f t="shared" si="12"/>
        <v>2</v>
      </c>
      <c r="Y115" s="154">
        <f t="shared" si="13"/>
        <v>2021</v>
      </c>
      <c r="Z115" s="174" t="s">
        <v>265</v>
      </c>
      <c r="AA115" t="str">
        <f>IF(Tabla1[[#This Row],[Kerma en aire acumulada (Gy)]]&gt;1,SUMIF(G:G,Tabla1[[#This Row],[SIP]],I:I)-Tabla1[[#This Row],[Kerma en aire acumulada (Gy)]],"")</f>
        <v/>
      </c>
    </row>
    <row r="116" spans="3:27">
      <c r="C116" s="89" t="str">
        <f t="shared" si="7"/>
        <v>Adulto</v>
      </c>
      <c r="D116" s="90" t="s">
        <v>52</v>
      </c>
      <c r="E116" s="90" t="s">
        <v>53</v>
      </c>
      <c r="F116" s="90" t="s">
        <v>54</v>
      </c>
      <c r="G116" s="90">
        <v>2878193</v>
      </c>
      <c r="H116" s="91">
        <v>44253</v>
      </c>
      <c r="I116" s="90">
        <v>0.41699999999999998</v>
      </c>
      <c r="J116" s="90"/>
      <c r="K116" s="90"/>
      <c r="L116" s="90"/>
      <c r="M116" s="90"/>
      <c r="N116" s="90"/>
      <c r="O116" s="90"/>
      <c r="P116" s="90"/>
      <c r="Q116" s="90"/>
      <c r="R116" s="90"/>
      <c r="S116" s="90"/>
      <c r="T116" s="91">
        <v>21898</v>
      </c>
      <c r="U116" s="90"/>
      <c r="V116" s="90" t="s">
        <v>89</v>
      </c>
      <c r="W116" s="233" t="str">
        <f t="shared" si="11"/>
        <v>Chust Piquer,Isabel</v>
      </c>
      <c r="X116" s="202">
        <f t="shared" si="12"/>
        <v>2</v>
      </c>
      <c r="Y116" s="202">
        <f t="shared" si="13"/>
        <v>2021</v>
      </c>
      <c r="Z116" s="93" t="s">
        <v>265</v>
      </c>
      <c r="AA116" t="str">
        <f>IF(Tabla1[[#This Row],[Kerma en aire acumulada (Gy)]]&gt;1,SUMIF(G:G,Tabla1[[#This Row],[SIP]],I:I)-Tabla1[[#This Row],[Kerma en aire acumulada (Gy)]],"")</f>
        <v/>
      </c>
    </row>
    <row r="117" spans="3:27">
      <c r="C117" s="155" t="str">
        <f t="shared" si="7"/>
        <v>Adulto</v>
      </c>
      <c r="D117" s="95" t="s">
        <v>74</v>
      </c>
      <c r="E117" s="95" t="s">
        <v>47</v>
      </c>
      <c r="F117" s="95" t="s">
        <v>75</v>
      </c>
      <c r="G117" s="95">
        <v>11132642</v>
      </c>
      <c r="H117" s="96">
        <v>44256</v>
      </c>
      <c r="I117" s="95">
        <v>0.40500000000000003</v>
      </c>
      <c r="J117" s="95"/>
      <c r="K117" s="95"/>
      <c r="L117" s="95"/>
      <c r="M117" s="95"/>
      <c r="N117" s="95"/>
      <c r="O117" s="95"/>
      <c r="P117" s="95"/>
      <c r="Q117" s="95"/>
      <c r="R117" s="95"/>
      <c r="S117" s="95"/>
      <c r="T117" s="96">
        <v>28240</v>
      </c>
      <c r="U117" s="95"/>
      <c r="V117" s="95" t="s">
        <v>89</v>
      </c>
      <c r="W117" s="232" t="str">
        <f t="shared" si="11"/>
        <v>Delgado Jiménez,Javier</v>
      </c>
      <c r="X117" s="154">
        <f t="shared" si="12"/>
        <v>3</v>
      </c>
      <c r="Y117" s="154">
        <f t="shared" si="13"/>
        <v>2021</v>
      </c>
      <c r="Z117" s="97" t="s">
        <v>265</v>
      </c>
      <c r="AA117" t="str">
        <f>IF(Tabla1[[#This Row],[Kerma en aire acumulada (Gy)]]&gt;1,SUMIF(G:G,Tabla1[[#This Row],[SIP]],I:I)-Tabla1[[#This Row],[Kerma en aire acumulada (Gy)]],"")</f>
        <v/>
      </c>
    </row>
    <row r="118" spans="3:27">
      <c r="C118" s="94" t="str">
        <f t="shared" si="7"/>
        <v>Pediátrico</v>
      </c>
      <c r="D118" s="95" t="s">
        <v>618</v>
      </c>
      <c r="E118" s="95" t="s">
        <v>313</v>
      </c>
      <c r="F118" s="95" t="s">
        <v>619</v>
      </c>
      <c r="G118" s="95">
        <v>12925178</v>
      </c>
      <c r="H118" s="96">
        <v>44257</v>
      </c>
      <c r="I118" s="95">
        <v>2.5000000000000001E-2</v>
      </c>
      <c r="J118" s="95"/>
      <c r="K118" s="95"/>
      <c r="L118" s="95"/>
      <c r="M118" s="95"/>
      <c r="N118" s="95"/>
      <c r="O118" s="95"/>
      <c r="P118" s="95"/>
      <c r="Q118" s="95"/>
      <c r="R118" s="95"/>
      <c r="S118" s="95"/>
      <c r="T118" s="96">
        <v>43998</v>
      </c>
      <c r="U118" s="95"/>
      <c r="V118" s="95" t="s">
        <v>583</v>
      </c>
      <c r="W118" s="232" t="str">
        <f t="shared" si="11"/>
        <v>Cobo Fernández,Iván</v>
      </c>
      <c r="X118" s="154">
        <f t="shared" si="12"/>
        <v>3</v>
      </c>
      <c r="Y118" s="154">
        <f t="shared" si="13"/>
        <v>2021</v>
      </c>
      <c r="Z118" s="97"/>
      <c r="AA118" t="str">
        <f>IF(Tabla1[[#This Row],[Kerma en aire acumulada (Gy)]]&gt;1,SUMIF(G:G,Tabla1[[#This Row],[SIP]],I:I)-Tabla1[[#This Row],[Kerma en aire acumulada (Gy)]],"")</f>
        <v/>
      </c>
    </row>
    <row r="119" spans="3:27">
      <c r="C119" s="89" t="str">
        <f t="shared" si="7"/>
        <v>Adulto</v>
      </c>
      <c r="D119" s="90" t="s">
        <v>278</v>
      </c>
      <c r="E119" s="90" t="s">
        <v>46</v>
      </c>
      <c r="F119" s="90" t="s">
        <v>279</v>
      </c>
      <c r="G119" s="90">
        <v>2861579</v>
      </c>
      <c r="H119" s="91">
        <v>44257</v>
      </c>
      <c r="I119" s="90">
        <v>0.02</v>
      </c>
      <c r="J119" s="90">
        <v>0</v>
      </c>
      <c r="K119" s="90">
        <v>0.02</v>
      </c>
      <c r="L119" s="90">
        <v>0.02</v>
      </c>
      <c r="M119" s="90">
        <v>0.02</v>
      </c>
      <c r="N119" s="90">
        <v>0</v>
      </c>
      <c r="O119" s="90">
        <v>0</v>
      </c>
      <c r="P119" s="90">
        <v>0.02</v>
      </c>
      <c r="Q119" s="90">
        <v>0.02</v>
      </c>
      <c r="R119" s="90">
        <v>0.02</v>
      </c>
      <c r="S119" s="90">
        <v>0</v>
      </c>
      <c r="T119" s="91">
        <v>16969</v>
      </c>
      <c r="U119" s="90"/>
      <c r="V119" s="90" t="s">
        <v>563</v>
      </c>
      <c r="W119" s="233" t="str">
        <f t="shared" si="11"/>
        <v>Casas Pérez,Gregorio</v>
      </c>
      <c r="X119" s="202">
        <f t="shared" si="12"/>
        <v>3</v>
      </c>
      <c r="Y119" s="202">
        <f t="shared" si="13"/>
        <v>2021</v>
      </c>
      <c r="Z119" s="93" t="s">
        <v>266</v>
      </c>
      <c r="AA119" t="str">
        <f>IF(Tabla1[[#This Row],[Kerma en aire acumulada (Gy)]]&gt;1,SUMIF(G:G,Tabla1[[#This Row],[SIP]],I:I)-Tabla1[[#This Row],[Kerma en aire acumulada (Gy)]],"")</f>
        <v/>
      </c>
    </row>
    <row r="120" spans="3:27">
      <c r="C120" s="89" t="str">
        <f t="shared" si="7"/>
        <v>Adulto</v>
      </c>
      <c r="D120" s="90" t="s">
        <v>61</v>
      </c>
      <c r="E120" s="90" t="s">
        <v>47</v>
      </c>
      <c r="F120" s="90" t="s">
        <v>62</v>
      </c>
      <c r="G120" s="90">
        <v>264626</v>
      </c>
      <c r="H120" s="91">
        <v>44257</v>
      </c>
      <c r="I120" s="90">
        <v>0.63600000000000001</v>
      </c>
      <c r="J120" s="90"/>
      <c r="K120" s="90"/>
      <c r="L120" s="90"/>
      <c r="M120" s="90"/>
      <c r="N120" s="90"/>
      <c r="O120" s="90"/>
      <c r="P120" s="90"/>
      <c r="Q120" s="90"/>
      <c r="R120" s="90"/>
      <c r="S120" s="90"/>
      <c r="T120" s="91">
        <v>20745</v>
      </c>
      <c r="U120" s="90"/>
      <c r="V120" s="90" t="s">
        <v>89</v>
      </c>
      <c r="W120" s="233" t="str">
        <f t="shared" si="11"/>
        <v>Astilleros Jiménez,Jacinto</v>
      </c>
      <c r="X120" s="202">
        <f t="shared" si="12"/>
        <v>3</v>
      </c>
      <c r="Y120" s="202">
        <f t="shared" si="13"/>
        <v>2021</v>
      </c>
      <c r="Z120" s="93" t="s">
        <v>265</v>
      </c>
      <c r="AA120" t="str">
        <f>IF(Tabla1[[#This Row],[Kerma en aire acumulada (Gy)]]&gt;1,SUMIF(G:G,Tabla1[[#This Row],[SIP]],I:I)-Tabla1[[#This Row],[Kerma en aire acumulada (Gy)]],"")</f>
        <v/>
      </c>
    </row>
    <row r="121" spans="3:27">
      <c r="C121" s="155" t="str">
        <f t="shared" si="7"/>
        <v>Adulto</v>
      </c>
      <c r="D121" s="95" t="s">
        <v>64</v>
      </c>
      <c r="E121" s="95"/>
      <c r="F121" s="95" t="s">
        <v>65</v>
      </c>
      <c r="G121" s="95">
        <v>5350920</v>
      </c>
      <c r="H121" s="96">
        <v>44258</v>
      </c>
      <c r="I121" s="95">
        <v>0.61899999999999999</v>
      </c>
      <c r="J121" s="95"/>
      <c r="K121" s="95"/>
      <c r="L121" s="95"/>
      <c r="M121" s="95"/>
      <c r="N121" s="95"/>
      <c r="O121" s="95"/>
      <c r="P121" s="95"/>
      <c r="Q121" s="95"/>
      <c r="R121" s="95"/>
      <c r="S121" s="95"/>
      <c r="T121" s="96">
        <v>26596</v>
      </c>
      <c r="U121" s="95"/>
      <c r="V121" s="95" t="s">
        <v>508</v>
      </c>
      <c r="W121" s="232" t="str">
        <f t="shared" si="11"/>
        <v>Hlioui ,Hamid</v>
      </c>
      <c r="X121" s="154">
        <f t="shared" si="12"/>
        <v>3</v>
      </c>
      <c r="Y121" s="154">
        <f t="shared" si="13"/>
        <v>2021</v>
      </c>
      <c r="Z121" s="97" t="s">
        <v>265</v>
      </c>
      <c r="AA121" t="str">
        <f>IF(Tabla1[[#This Row],[Kerma en aire acumulada (Gy)]]&gt;1,SUMIF(G:G,Tabla1[[#This Row],[SIP]],I:I)-Tabla1[[#This Row],[Kerma en aire acumulada (Gy)]],"")</f>
        <v/>
      </c>
    </row>
    <row r="122" spans="3:27">
      <c r="C122" s="89" t="str">
        <f t="shared" si="7"/>
        <v>Pediátrico</v>
      </c>
      <c r="D122" s="90" t="s">
        <v>72</v>
      </c>
      <c r="E122" s="90"/>
      <c r="F122" s="90" t="s">
        <v>73</v>
      </c>
      <c r="G122" s="90">
        <v>13027262</v>
      </c>
      <c r="H122" s="91">
        <v>44259</v>
      </c>
      <c r="I122" s="90">
        <v>0.191</v>
      </c>
      <c r="J122" s="90"/>
      <c r="K122" s="90"/>
      <c r="L122" s="90"/>
      <c r="M122" s="90"/>
      <c r="N122" s="90"/>
      <c r="O122" s="90"/>
      <c r="P122" s="90"/>
      <c r="Q122" s="90"/>
      <c r="R122" s="90"/>
      <c r="S122" s="90"/>
      <c r="T122" s="91">
        <v>44139</v>
      </c>
      <c r="U122" s="90"/>
      <c r="V122" s="90" t="s">
        <v>583</v>
      </c>
      <c r="W122" s="233" t="str">
        <f t="shared" si="11"/>
        <v>Waqas ,Hoolain Fatima</v>
      </c>
      <c r="X122" s="202">
        <f t="shared" si="12"/>
        <v>3</v>
      </c>
      <c r="Y122" s="202">
        <f t="shared" si="13"/>
        <v>2021</v>
      </c>
      <c r="Z122" s="93" t="s">
        <v>265</v>
      </c>
      <c r="AA122" t="str">
        <f>IF(Tabla1[[#This Row],[Kerma en aire acumulada (Gy)]]&gt;1,SUMIF(G:G,Tabla1[[#This Row],[SIP]],I:I)-Tabla1[[#This Row],[Kerma en aire acumulada (Gy)]],"")</f>
        <v/>
      </c>
    </row>
    <row r="123" spans="3:27">
      <c r="C123" s="94" t="str">
        <f t="shared" si="7"/>
        <v>Adulto</v>
      </c>
      <c r="D123" s="95" t="s">
        <v>66</v>
      </c>
      <c r="E123" s="95" t="s">
        <v>67</v>
      </c>
      <c r="F123" s="95" t="s">
        <v>68</v>
      </c>
      <c r="G123" s="95">
        <v>3720067</v>
      </c>
      <c r="H123" s="96">
        <v>44259</v>
      </c>
      <c r="I123" s="95">
        <v>0.83899999999999997</v>
      </c>
      <c r="J123" s="95"/>
      <c r="K123" s="95"/>
      <c r="L123" s="95"/>
      <c r="M123" s="95"/>
      <c r="N123" s="95"/>
      <c r="O123" s="95"/>
      <c r="P123" s="95"/>
      <c r="Q123" s="95"/>
      <c r="R123" s="95"/>
      <c r="S123" s="95"/>
      <c r="T123" s="96">
        <v>18437</v>
      </c>
      <c r="U123" s="95"/>
      <c r="V123" s="95" t="s">
        <v>85</v>
      </c>
      <c r="W123" s="232" t="str">
        <f t="shared" si="11"/>
        <v>Navarro Baixauli,Juan</v>
      </c>
      <c r="X123" s="154">
        <f t="shared" si="12"/>
        <v>3</v>
      </c>
      <c r="Y123" s="154">
        <f t="shared" si="13"/>
        <v>2021</v>
      </c>
      <c r="Z123" s="97" t="s">
        <v>265</v>
      </c>
      <c r="AA123" t="str">
        <f>IF(Tabla1[[#This Row],[Kerma en aire acumulada (Gy)]]&gt;1,SUMIF(G:G,Tabla1[[#This Row],[SIP]],I:I)-Tabla1[[#This Row],[Kerma en aire acumulada (Gy)]],"")</f>
        <v/>
      </c>
    </row>
    <row r="124" spans="3:27">
      <c r="C124" s="94" t="str">
        <f t="shared" si="7"/>
        <v>Adulto</v>
      </c>
      <c r="D124" s="95" t="s">
        <v>69</v>
      </c>
      <c r="E124" s="95" t="s">
        <v>70</v>
      </c>
      <c r="F124" s="95" t="s">
        <v>71</v>
      </c>
      <c r="G124" s="95">
        <v>2874613</v>
      </c>
      <c r="H124" s="96">
        <v>44260</v>
      </c>
      <c r="I124" s="95">
        <v>0.61899999999999999</v>
      </c>
      <c r="J124" s="95"/>
      <c r="K124" s="95"/>
      <c r="L124" s="95"/>
      <c r="M124" s="95"/>
      <c r="N124" s="95"/>
      <c r="O124" s="95"/>
      <c r="P124" s="95"/>
      <c r="Q124" s="95"/>
      <c r="R124" s="95"/>
      <c r="S124" s="95"/>
      <c r="T124" s="96">
        <v>21378</v>
      </c>
      <c r="U124" s="95"/>
      <c r="V124" s="95" t="s">
        <v>107</v>
      </c>
      <c r="W124" s="232" t="str">
        <f t="shared" si="11"/>
        <v>García  Martí,Rafael</v>
      </c>
      <c r="X124" s="154">
        <f t="shared" si="12"/>
        <v>3</v>
      </c>
      <c r="Y124" s="154">
        <f t="shared" si="13"/>
        <v>2021</v>
      </c>
      <c r="Z124" s="97" t="s">
        <v>265</v>
      </c>
      <c r="AA124" t="str">
        <f>IF(Tabla1[[#This Row],[Kerma en aire acumulada (Gy)]]&gt;1,SUMIF(G:G,Tabla1[[#This Row],[SIP]],I:I)-Tabla1[[#This Row],[Kerma en aire acumulada (Gy)]],"")</f>
        <v/>
      </c>
    </row>
    <row r="125" spans="3:27">
      <c r="C125" s="89" t="str">
        <f t="shared" si="7"/>
        <v>Adulto</v>
      </c>
      <c r="D125" s="90" t="s">
        <v>69</v>
      </c>
      <c r="E125" s="90" t="s">
        <v>70</v>
      </c>
      <c r="F125" s="90" t="s">
        <v>71</v>
      </c>
      <c r="G125" s="90">
        <v>2874613</v>
      </c>
      <c r="H125" s="91">
        <v>44260</v>
      </c>
      <c r="I125" s="90">
        <v>0.46800000000000003</v>
      </c>
      <c r="J125" s="90"/>
      <c r="K125" s="90"/>
      <c r="L125" s="90"/>
      <c r="M125" s="90"/>
      <c r="N125" s="90"/>
      <c r="O125" s="90"/>
      <c r="P125" s="90"/>
      <c r="Q125" s="90"/>
      <c r="R125" s="90"/>
      <c r="S125" s="90"/>
      <c r="T125" s="91">
        <v>21378</v>
      </c>
      <c r="U125" s="90"/>
      <c r="V125" s="90" t="s">
        <v>100</v>
      </c>
      <c r="W125" s="233" t="str">
        <f t="shared" si="11"/>
        <v>García  Martí,Rafael</v>
      </c>
      <c r="X125" s="202">
        <f t="shared" si="12"/>
        <v>3</v>
      </c>
      <c r="Y125" s="202">
        <f t="shared" si="13"/>
        <v>2021</v>
      </c>
      <c r="Z125" s="93" t="s">
        <v>265</v>
      </c>
      <c r="AA125" t="str">
        <f>IF(Tabla1[[#This Row],[Kerma en aire acumulada (Gy)]]&gt;1,SUMIF(G:G,Tabla1[[#This Row],[SIP]],I:I)-Tabla1[[#This Row],[Kerma en aire acumulada (Gy)]],"")</f>
        <v/>
      </c>
    </row>
    <row r="126" spans="3:27">
      <c r="C126" s="94" t="str">
        <f t="shared" si="7"/>
        <v>Adulto</v>
      </c>
      <c r="D126" s="95" t="s">
        <v>331</v>
      </c>
      <c r="E126" s="95" t="s">
        <v>332</v>
      </c>
      <c r="F126" s="95" t="s">
        <v>71</v>
      </c>
      <c r="G126" s="95">
        <v>323546</v>
      </c>
      <c r="H126" s="96">
        <v>44263</v>
      </c>
      <c r="I126" s="95">
        <v>0.8</v>
      </c>
      <c r="J126" s="95"/>
      <c r="K126" s="95"/>
      <c r="L126" s="95"/>
      <c r="M126" s="95"/>
      <c r="N126" s="95"/>
      <c r="O126" s="95"/>
      <c r="P126" s="95"/>
      <c r="Q126" s="95"/>
      <c r="R126" s="95"/>
      <c r="S126" s="95"/>
      <c r="T126" s="96">
        <v>14094</v>
      </c>
      <c r="U126" s="95"/>
      <c r="V126" s="95" t="s">
        <v>166</v>
      </c>
      <c r="W126" s="232" t="str">
        <f t="shared" si="11"/>
        <v>Tormo Albert,Rafael</v>
      </c>
      <c r="X126" s="154">
        <f t="shared" si="12"/>
        <v>3</v>
      </c>
      <c r="Y126" s="154">
        <f t="shared" si="13"/>
        <v>2021</v>
      </c>
      <c r="Z126" s="97" t="s">
        <v>265</v>
      </c>
      <c r="AA126" t="str">
        <f>IF(Tabla1[[#This Row],[Kerma en aire acumulada (Gy)]]&gt;1,SUMIF(G:G,Tabla1[[#This Row],[SIP]],I:I)-Tabla1[[#This Row],[Kerma en aire acumulada (Gy)]],"")</f>
        <v/>
      </c>
    </row>
    <row r="127" spans="3:27" ht="15.75" thickBot="1">
      <c r="C127" s="206" t="str">
        <f t="shared" si="7"/>
        <v>Pediátrico</v>
      </c>
      <c r="D127" s="181" t="s">
        <v>334</v>
      </c>
      <c r="E127" s="181" t="s">
        <v>313</v>
      </c>
      <c r="F127" s="181" t="s">
        <v>335</v>
      </c>
      <c r="G127" s="181">
        <v>7120820</v>
      </c>
      <c r="H127" s="194">
        <v>44263</v>
      </c>
      <c r="I127" s="181">
        <v>0.36</v>
      </c>
      <c r="J127" s="181"/>
      <c r="K127" s="181"/>
      <c r="L127" s="181"/>
      <c r="M127" s="181"/>
      <c r="N127" s="181"/>
      <c r="O127" s="181"/>
      <c r="P127" s="181"/>
      <c r="Q127" s="181"/>
      <c r="R127" s="181"/>
      <c r="S127" s="181"/>
      <c r="T127" s="194">
        <v>38673</v>
      </c>
      <c r="U127" s="181"/>
      <c r="V127" s="181" t="s">
        <v>263</v>
      </c>
      <c r="W127" s="235" t="str">
        <f t="shared" si="11"/>
        <v>Boles Fernández,Alanna</v>
      </c>
      <c r="X127" s="209">
        <f t="shared" si="12"/>
        <v>3</v>
      </c>
      <c r="Y127" s="209">
        <f t="shared" si="13"/>
        <v>2021</v>
      </c>
      <c r="Z127" s="164" t="s">
        <v>266</v>
      </c>
      <c r="AA127" t="str">
        <f>IF(Tabla1[[#This Row],[Kerma en aire acumulada (Gy)]]&gt;1,SUMIF(G:G,Tabla1[[#This Row],[SIP]],I:I)-Tabla1[[#This Row],[Kerma en aire acumulada (Gy)]],"")</f>
        <v/>
      </c>
    </row>
    <row r="128" spans="3:27" ht="15.75">
      <c r="C128" s="155" t="str">
        <f t="shared" si="7"/>
        <v>Adulto</v>
      </c>
      <c r="D128" s="154" t="s">
        <v>44</v>
      </c>
      <c r="E128" s="154" t="s">
        <v>280</v>
      </c>
      <c r="F128" s="154" t="s">
        <v>281</v>
      </c>
      <c r="G128" s="154">
        <v>3701013</v>
      </c>
      <c r="H128" s="156">
        <v>44264</v>
      </c>
      <c r="I128" s="154">
        <v>0.97499999999999998</v>
      </c>
      <c r="J128" s="154">
        <v>0</v>
      </c>
      <c r="K128" s="154">
        <v>0.217</v>
      </c>
      <c r="L128" s="154">
        <v>0.35799999999999998</v>
      </c>
      <c r="M128" s="154">
        <v>0.29299999999999998</v>
      </c>
      <c r="N128" s="154">
        <v>0</v>
      </c>
      <c r="O128" s="154">
        <v>0</v>
      </c>
      <c r="P128" s="154">
        <v>0.217</v>
      </c>
      <c r="Q128" s="154">
        <v>0.97499999999999998</v>
      </c>
      <c r="R128" s="154">
        <v>0.91</v>
      </c>
      <c r="S128" s="154">
        <v>0</v>
      </c>
      <c r="T128" s="156">
        <v>11864</v>
      </c>
      <c r="U128" s="154"/>
      <c r="V128" s="228" t="s">
        <v>563</v>
      </c>
      <c r="W128" s="232" t="str">
        <f t="shared" si="11"/>
        <v>Puchalt Rambla,Juan José</v>
      </c>
      <c r="X128" s="154">
        <f t="shared" si="12"/>
        <v>3</v>
      </c>
      <c r="Y128" s="154">
        <f t="shared" si="13"/>
        <v>2021</v>
      </c>
      <c r="Z128" s="174" t="s">
        <v>266</v>
      </c>
      <c r="AA128" t="str">
        <f>IF(Tabla1[[#This Row],[Kerma en aire acumulada (Gy)]]&gt;1,SUMIF(G:G,Tabla1[[#This Row],[SIP]],I:I)-Tabla1[[#This Row],[Kerma en aire acumulada (Gy)]],"")</f>
        <v/>
      </c>
    </row>
    <row r="129" spans="3:27" ht="15.75">
      <c r="C129" s="89" t="str">
        <f t="shared" si="7"/>
        <v>Adulto</v>
      </c>
      <c r="D129" s="90" t="s">
        <v>295</v>
      </c>
      <c r="E129" s="90" t="s">
        <v>296</v>
      </c>
      <c r="F129" s="90" t="s">
        <v>297</v>
      </c>
      <c r="G129" s="90">
        <v>5152251</v>
      </c>
      <c r="H129" s="91">
        <v>44264</v>
      </c>
      <c r="I129" s="90">
        <v>0.06</v>
      </c>
      <c r="J129" s="90">
        <v>0</v>
      </c>
      <c r="K129" s="90">
        <v>0.06</v>
      </c>
      <c r="L129" s="90">
        <v>0.06</v>
      </c>
      <c r="M129" s="90">
        <v>0.06</v>
      </c>
      <c r="N129" s="90">
        <v>0</v>
      </c>
      <c r="O129" s="90">
        <v>0</v>
      </c>
      <c r="P129" s="90">
        <v>0.06</v>
      </c>
      <c r="Q129" s="90">
        <v>0.06</v>
      </c>
      <c r="R129" s="90">
        <v>0.06</v>
      </c>
      <c r="S129" s="90">
        <v>0</v>
      </c>
      <c r="T129" s="91">
        <v>23409</v>
      </c>
      <c r="U129" s="90"/>
      <c r="V129" s="125" t="s">
        <v>563</v>
      </c>
      <c r="W129" s="233" t="str">
        <f t="shared" si="11"/>
        <v>Matute Tobias,Luis Javier</v>
      </c>
      <c r="X129" s="202">
        <f t="shared" si="12"/>
        <v>3</v>
      </c>
      <c r="Y129" s="202">
        <f t="shared" si="13"/>
        <v>2021</v>
      </c>
      <c r="Z129" s="93" t="s">
        <v>266</v>
      </c>
      <c r="AA129" t="str">
        <f>IF(Tabla1[[#This Row],[Kerma en aire acumulada (Gy)]]&gt;1,SUMIF(G:G,Tabla1[[#This Row],[SIP]],I:I)-Tabla1[[#This Row],[Kerma en aire acumulada (Gy)]],"")</f>
        <v/>
      </c>
    </row>
    <row r="130" spans="3:27">
      <c r="C130" s="94" t="str">
        <f t="shared" si="7"/>
        <v>Adulto</v>
      </c>
      <c r="D130" s="95" t="s">
        <v>58</v>
      </c>
      <c r="E130" s="95" t="s">
        <v>59</v>
      </c>
      <c r="F130" s="95" t="s">
        <v>60</v>
      </c>
      <c r="G130" s="95">
        <v>4976109</v>
      </c>
      <c r="H130" s="96">
        <v>44265</v>
      </c>
      <c r="I130" s="95">
        <v>0.42399999999999999</v>
      </c>
      <c r="J130" s="95"/>
      <c r="K130" s="95"/>
      <c r="L130" s="95"/>
      <c r="M130" s="95"/>
      <c r="N130" s="95"/>
      <c r="O130" s="95"/>
      <c r="P130" s="95"/>
      <c r="Q130" s="95"/>
      <c r="R130" s="95"/>
      <c r="S130" s="95"/>
      <c r="T130" s="96">
        <v>28635</v>
      </c>
      <c r="U130" s="95"/>
      <c r="V130" s="95" t="s">
        <v>325</v>
      </c>
      <c r="W130" s="232" t="str">
        <f t="shared" si="11"/>
        <v>Veliz Cadena,Marlon Omar</v>
      </c>
      <c r="X130" s="154">
        <f t="shared" si="12"/>
        <v>3</v>
      </c>
      <c r="Y130" s="154">
        <f t="shared" si="13"/>
        <v>2021</v>
      </c>
      <c r="Z130" s="97" t="s">
        <v>265</v>
      </c>
      <c r="AA130" t="str">
        <f>IF(Tabla1[[#This Row],[Kerma en aire acumulada (Gy)]]&gt;1,SUMIF(G:G,Tabla1[[#This Row],[SIP]],I:I)-Tabla1[[#This Row],[Kerma en aire acumulada (Gy)]],"")</f>
        <v/>
      </c>
    </row>
    <row r="131" spans="3:27" ht="15.75">
      <c r="C131" s="89" t="str">
        <f t="shared" si="7"/>
        <v>Adulto</v>
      </c>
      <c r="D131" s="90" t="s">
        <v>286</v>
      </c>
      <c r="E131" s="90" t="s">
        <v>287</v>
      </c>
      <c r="F131" s="90" t="s">
        <v>20</v>
      </c>
      <c r="G131" s="90">
        <v>3296336</v>
      </c>
      <c r="H131" s="91">
        <v>44265</v>
      </c>
      <c r="I131" s="90">
        <v>0.28699999999999998</v>
      </c>
      <c r="J131" s="90">
        <v>0</v>
      </c>
      <c r="K131" s="90">
        <v>6.2E-2</v>
      </c>
      <c r="L131" s="90">
        <v>0.13200000000000001</v>
      </c>
      <c r="M131" s="90">
        <v>8.5999999999999993E-2</v>
      </c>
      <c r="N131" s="90">
        <v>0</v>
      </c>
      <c r="O131" s="90">
        <v>0</v>
      </c>
      <c r="P131" s="90">
        <v>8.5999999999999993E-2</v>
      </c>
      <c r="Q131" s="90">
        <v>9.8000000000000004E-2</v>
      </c>
      <c r="R131" s="90">
        <v>0.154</v>
      </c>
      <c r="S131" s="90">
        <v>0</v>
      </c>
      <c r="T131" s="91">
        <v>19108</v>
      </c>
      <c r="U131" s="90"/>
      <c r="V131" s="125" t="s">
        <v>563</v>
      </c>
      <c r="W131" s="233" t="str">
        <f t="shared" si="11"/>
        <v>Rochina Herradón,Antonio</v>
      </c>
      <c r="X131" s="202">
        <f t="shared" si="12"/>
        <v>3</v>
      </c>
      <c r="Y131" s="202">
        <f t="shared" si="13"/>
        <v>2021</v>
      </c>
      <c r="Z131" s="93" t="s">
        <v>266</v>
      </c>
      <c r="AA131" t="str">
        <f>IF(Tabla1[[#This Row],[Kerma en aire acumulada (Gy)]]&gt;1,SUMIF(G:G,Tabla1[[#This Row],[SIP]],I:I)-Tabla1[[#This Row],[Kerma en aire acumulada (Gy)]],"")</f>
        <v/>
      </c>
    </row>
    <row r="132" spans="3:27" ht="15.75">
      <c r="C132" s="94" t="str">
        <f t="shared" si="7"/>
        <v>Adulto</v>
      </c>
      <c r="D132" s="95" t="s">
        <v>288</v>
      </c>
      <c r="E132" s="95" t="s">
        <v>289</v>
      </c>
      <c r="F132" s="95" t="s">
        <v>75</v>
      </c>
      <c r="G132" s="95">
        <v>12246972</v>
      </c>
      <c r="H132" s="96">
        <v>44265</v>
      </c>
      <c r="I132" s="95">
        <v>0.23599999999999999</v>
      </c>
      <c r="J132" s="95">
        <v>0</v>
      </c>
      <c r="K132" s="95">
        <v>2.1000000000000001E-2</v>
      </c>
      <c r="L132" s="95">
        <v>0.11700000000000001</v>
      </c>
      <c r="M132" s="95">
        <v>0.1</v>
      </c>
      <c r="N132" s="95">
        <v>0</v>
      </c>
      <c r="O132" s="95">
        <v>0</v>
      </c>
      <c r="P132" s="95">
        <v>0.3</v>
      </c>
      <c r="Q132" s="95">
        <v>0.11700000000000001</v>
      </c>
      <c r="R132" s="95">
        <v>0.1</v>
      </c>
      <c r="S132" s="95">
        <v>0</v>
      </c>
      <c r="T132" s="96">
        <v>25106</v>
      </c>
      <c r="U132" s="95"/>
      <c r="V132" s="126" t="s">
        <v>563</v>
      </c>
      <c r="W132" s="232" t="str">
        <f t="shared" si="11"/>
        <v>Ortiz Robles,Javier</v>
      </c>
      <c r="X132" s="154">
        <f t="shared" si="12"/>
        <v>3</v>
      </c>
      <c r="Y132" s="154">
        <f t="shared" si="13"/>
        <v>2021</v>
      </c>
      <c r="Z132" s="97" t="s">
        <v>266</v>
      </c>
      <c r="AA132" t="str">
        <f>IF(Tabla1[[#This Row],[Kerma en aire acumulada (Gy)]]&gt;1,SUMIF(G:G,Tabla1[[#This Row],[SIP]],I:I)-Tabla1[[#This Row],[Kerma en aire acumulada (Gy)]],"")</f>
        <v/>
      </c>
    </row>
    <row r="133" spans="3:27" ht="15.75">
      <c r="C133" s="157" t="str">
        <f t="shared" si="7"/>
        <v>Adulto</v>
      </c>
      <c r="D133" s="90" t="s">
        <v>292</v>
      </c>
      <c r="E133" s="90" t="s">
        <v>293</v>
      </c>
      <c r="F133" s="90" t="s">
        <v>294</v>
      </c>
      <c r="G133" s="90">
        <v>3342662</v>
      </c>
      <c r="H133" s="91">
        <v>44265</v>
      </c>
      <c r="I133" s="90">
        <v>0.46500000000000002</v>
      </c>
      <c r="J133" s="90">
        <v>0</v>
      </c>
      <c r="K133" s="90">
        <v>7.0999999999999994E-2</v>
      </c>
      <c r="L133" s="90">
        <v>0.35599999999999998</v>
      </c>
      <c r="M133" s="90">
        <v>0.307</v>
      </c>
      <c r="N133" s="90">
        <v>0</v>
      </c>
      <c r="O133" s="90">
        <v>0</v>
      </c>
      <c r="P133" s="90">
        <v>7.0999999999999994E-2</v>
      </c>
      <c r="Q133" s="90">
        <v>0.35699999999999998</v>
      </c>
      <c r="R133" s="90">
        <v>0.307</v>
      </c>
      <c r="S133" s="90">
        <v>0</v>
      </c>
      <c r="T133" s="91">
        <v>23247</v>
      </c>
      <c r="U133" s="90"/>
      <c r="V133" s="125" t="s">
        <v>563</v>
      </c>
      <c r="W133" s="233" t="str">
        <f t="shared" si="11"/>
        <v>Oliva Moresi,Lorenzo</v>
      </c>
      <c r="X133" s="202">
        <f t="shared" si="12"/>
        <v>3</v>
      </c>
      <c r="Y133" s="202">
        <f t="shared" si="13"/>
        <v>2021</v>
      </c>
      <c r="Z133" s="93" t="s">
        <v>266</v>
      </c>
      <c r="AA133" t="str">
        <f>IF(Tabla1[[#This Row],[Kerma en aire acumulada (Gy)]]&gt;1,SUMIF(G:G,Tabla1[[#This Row],[SIP]],I:I)-Tabla1[[#This Row],[Kerma en aire acumulada (Gy)]],"")</f>
        <v/>
      </c>
    </row>
    <row r="134" spans="3:27" ht="15.75">
      <c r="C134" s="94" t="str">
        <f t="shared" si="7"/>
        <v>Adulto</v>
      </c>
      <c r="D134" s="95" t="s">
        <v>284</v>
      </c>
      <c r="E134" s="95" t="s">
        <v>285</v>
      </c>
      <c r="F134" s="95" t="s">
        <v>75</v>
      </c>
      <c r="G134" s="95">
        <v>3847337</v>
      </c>
      <c r="H134" s="96">
        <v>44265</v>
      </c>
      <c r="I134" s="95">
        <v>0.67100000000000004</v>
      </c>
      <c r="J134" s="95">
        <v>0</v>
      </c>
      <c r="K134" s="95">
        <v>0.34200000000000003</v>
      </c>
      <c r="L134" s="95">
        <v>0.19700000000000001</v>
      </c>
      <c r="M134" s="95">
        <v>5.8000000000000003E-2</v>
      </c>
      <c r="N134" s="95">
        <v>0</v>
      </c>
      <c r="O134" s="95">
        <v>0</v>
      </c>
      <c r="P134" s="95">
        <v>0.34200000000000003</v>
      </c>
      <c r="Q134" s="95">
        <v>0.19700000000000001</v>
      </c>
      <c r="R134" s="95">
        <v>0.125</v>
      </c>
      <c r="S134" s="95">
        <v>0</v>
      </c>
      <c r="T134" s="96">
        <v>23870</v>
      </c>
      <c r="U134" s="95"/>
      <c r="V134" s="126" t="s">
        <v>563</v>
      </c>
      <c r="W134" s="232" t="str">
        <f t="shared" si="11"/>
        <v>Navalón Defez,Javier</v>
      </c>
      <c r="X134" s="154">
        <f t="shared" si="12"/>
        <v>3</v>
      </c>
      <c r="Y134" s="154">
        <f t="shared" si="13"/>
        <v>2021</v>
      </c>
      <c r="Z134" s="97" t="s">
        <v>266</v>
      </c>
      <c r="AA134" t="str">
        <f>IF(Tabla1[[#This Row],[Kerma en aire acumulada (Gy)]]&gt;1,SUMIF(G:G,Tabla1[[#This Row],[SIP]],I:I)-Tabla1[[#This Row],[Kerma en aire acumulada (Gy)]],"")</f>
        <v/>
      </c>
    </row>
    <row r="135" spans="3:27" ht="15.75">
      <c r="C135" s="157" t="str">
        <f t="shared" si="7"/>
        <v>Adulto</v>
      </c>
      <c r="D135" s="90" t="s">
        <v>282</v>
      </c>
      <c r="E135" s="90" t="s">
        <v>129</v>
      </c>
      <c r="F135" s="90" t="s">
        <v>283</v>
      </c>
      <c r="G135" s="90">
        <v>3760411</v>
      </c>
      <c r="H135" s="91">
        <v>44265</v>
      </c>
      <c r="I135" s="90">
        <v>0.23499999999999999</v>
      </c>
      <c r="J135" s="90">
        <v>0</v>
      </c>
      <c r="K135" s="90">
        <v>6.5000000000000002E-2</v>
      </c>
      <c r="L135" s="90">
        <v>0.105</v>
      </c>
      <c r="M135" s="90">
        <v>0.105</v>
      </c>
      <c r="N135" s="90">
        <v>0</v>
      </c>
      <c r="O135" s="90">
        <v>0</v>
      </c>
      <c r="P135" s="90">
        <v>2.5999999999999999E-2</v>
      </c>
      <c r="Q135" s="90">
        <v>0.105</v>
      </c>
      <c r="R135" s="90">
        <v>0.105</v>
      </c>
      <c r="S135" s="90">
        <v>0</v>
      </c>
      <c r="T135" s="91">
        <v>23126</v>
      </c>
      <c r="U135" s="90"/>
      <c r="V135" s="125" t="s">
        <v>563</v>
      </c>
      <c r="W135" s="233" t="str">
        <f t="shared" si="11"/>
        <v>Natividad Gallego,Andrés</v>
      </c>
      <c r="X135" s="202">
        <f t="shared" si="12"/>
        <v>3</v>
      </c>
      <c r="Y135" s="202">
        <f t="shared" si="13"/>
        <v>2021</v>
      </c>
      <c r="Z135" s="93" t="s">
        <v>266</v>
      </c>
      <c r="AA135" t="str">
        <f>IF(Tabla1[[#This Row],[Kerma en aire acumulada (Gy)]]&gt;1,SUMIF(G:G,Tabla1[[#This Row],[SIP]],I:I)-Tabla1[[#This Row],[Kerma en aire acumulada (Gy)]],"")</f>
        <v/>
      </c>
    </row>
    <row r="136" spans="3:27" ht="15.75">
      <c r="C136" s="89" t="str">
        <f t="shared" si="7"/>
        <v>Adulto</v>
      </c>
      <c r="D136" s="90" t="s">
        <v>290</v>
      </c>
      <c r="E136" s="90" t="s">
        <v>291</v>
      </c>
      <c r="F136" s="90" t="s">
        <v>68</v>
      </c>
      <c r="G136" s="90">
        <v>3152027</v>
      </c>
      <c r="H136" s="91">
        <v>44265</v>
      </c>
      <c r="I136" s="90">
        <v>0.94399999999999995</v>
      </c>
      <c r="J136" s="90">
        <v>0</v>
      </c>
      <c r="K136" s="90">
        <v>4.7E-2</v>
      </c>
      <c r="L136" s="90">
        <v>0.21299999999999999</v>
      </c>
      <c r="M136" s="90">
        <v>0.21299999999999999</v>
      </c>
      <c r="N136" s="90">
        <v>0</v>
      </c>
      <c r="O136" s="90">
        <v>0</v>
      </c>
      <c r="P136" s="90">
        <v>7.6999999999999999E-2</v>
      </c>
      <c r="Q136" s="90">
        <v>0.56699999999999995</v>
      </c>
      <c r="R136" s="90">
        <v>0.21299999999999999</v>
      </c>
      <c r="S136" s="90">
        <v>0</v>
      </c>
      <c r="T136" s="91">
        <v>13107</v>
      </c>
      <c r="U136" s="90"/>
      <c r="V136" s="125" t="s">
        <v>563</v>
      </c>
      <c r="W136" s="233" t="str">
        <f t="shared" si="11"/>
        <v>Argente Gomis,Juan</v>
      </c>
      <c r="X136" s="202">
        <f t="shared" si="12"/>
        <v>3</v>
      </c>
      <c r="Y136" s="202">
        <f t="shared" si="13"/>
        <v>2021</v>
      </c>
      <c r="Z136" s="93" t="s">
        <v>266</v>
      </c>
      <c r="AA136" t="str">
        <f>IF(Tabla1[[#This Row],[Kerma en aire acumulada (Gy)]]&gt;1,SUMIF(G:G,Tabla1[[#This Row],[SIP]],I:I)-Tabla1[[#This Row],[Kerma en aire acumulada (Gy)]],"")</f>
        <v/>
      </c>
    </row>
    <row r="137" spans="3:27">
      <c r="C137" s="155" t="str">
        <f t="shared" ref="C137:C200" si="14">IF(OR(H137="",T137=""),"",IF((H137-T137)/12/30&lt;18,"Pediátrico","Adulto"))</f>
        <v>Pediátrico</v>
      </c>
      <c r="D137" s="95" t="s">
        <v>328</v>
      </c>
      <c r="E137" s="95" t="s">
        <v>329</v>
      </c>
      <c r="F137" s="95" t="s">
        <v>330</v>
      </c>
      <c r="G137" s="95">
        <v>7577641</v>
      </c>
      <c r="H137" s="96">
        <v>44266</v>
      </c>
      <c r="I137" s="95">
        <f>0.108+0.316</f>
        <v>0.42399999999999999</v>
      </c>
      <c r="J137" s="95"/>
      <c r="K137" s="95"/>
      <c r="L137" s="95"/>
      <c r="M137" s="95"/>
      <c r="N137" s="95"/>
      <c r="O137" s="95"/>
      <c r="P137" s="95"/>
      <c r="Q137" s="95"/>
      <c r="R137" s="95"/>
      <c r="S137" s="95"/>
      <c r="T137" s="96">
        <v>39775</v>
      </c>
      <c r="U137" s="95"/>
      <c r="V137" s="95" t="s">
        <v>263</v>
      </c>
      <c r="W137" s="232" t="str">
        <f t="shared" ref="W137:W168" si="15">CONCATENATE(D137,$A$591,E137,",",F137)</f>
        <v>Prieto Bonora,Víctor</v>
      </c>
      <c r="X137" s="154">
        <f t="shared" ref="X137:X168" si="16">MONTH(H137)</f>
        <v>3</v>
      </c>
      <c r="Y137" s="154">
        <f t="shared" ref="Y137:Y168" si="17">YEAR(H137)</f>
        <v>2021</v>
      </c>
      <c r="Z137" s="97" t="s">
        <v>265</v>
      </c>
      <c r="AA137" t="str">
        <f>IF(Tabla1[[#This Row],[Kerma en aire acumulada (Gy)]]&gt;1,SUMIF(G:G,Tabla1[[#This Row],[SIP]],I:I)-Tabla1[[#This Row],[Kerma en aire acumulada (Gy)]],"")</f>
        <v/>
      </c>
    </row>
    <row r="138" spans="3:27" ht="16.5" thickBot="1">
      <c r="C138" s="166" t="str">
        <f t="shared" si="14"/>
        <v>Adulto</v>
      </c>
      <c r="D138" s="163" t="s">
        <v>275</v>
      </c>
      <c r="E138" s="163" t="s">
        <v>276</v>
      </c>
      <c r="F138" s="163" t="s">
        <v>277</v>
      </c>
      <c r="G138" s="163">
        <v>3328651</v>
      </c>
      <c r="H138" s="173">
        <v>44267</v>
      </c>
      <c r="I138" s="163">
        <v>2.1440000000000001</v>
      </c>
      <c r="J138" s="163">
        <v>0</v>
      </c>
      <c r="K138" s="163">
        <v>0.39700000000000002</v>
      </c>
      <c r="L138" s="163">
        <v>0.39700000000000002</v>
      </c>
      <c r="M138" s="163">
        <v>0.17399999999999999</v>
      </c>
      <c r="N138" s="163">
        <v>0</v>
      </c>
      <c r="O138" s="163">
        <v>0</v>
      </c>
      <c r="P138" s="163">
        <v>8.4000000000000005E-2</v>
      </c>
      <c r="Q138" s="163">
        <v>0.20899999999999999</v>
      </c>
      <c r="R138" s="163">
        <v>1.194</v>
      </c>
      <c r="S138" s="163">
        <v>0</v>
      </c>
      <c r="T138" s="173">
        <v>14675</v>
      </c>
      <c r="U138" s="163"/>
      <c r="V138" s="229" t="s">
        <v>563</v>
      </c>
      <c r="W138" s="231" t="str">
        <f t="shared" si="15"/>
        <v>Herrada Perona,Honorio</v>
      </c>
      <c r="X138" s="160">
        <f t="shared" si="16"/>
        <v>3</v>
      </c>
      <c r="Y138" s="160">
        <f t="shared" si="17"/>
        <v>2021</v>
      </c>
      <c r="Z138" s="172" t="s">
        <v>266</v>
      </c>
      <c r="AA138">
        <f>IF(Tabla1[[#This Row],[Kerma en aire acumulada (Gy)]]&gt;1,SUMIF(G:G,Tabla1[[#This Row],[SIP]],I:I)-Tabla1[[#This Row],[Kerma en aire acumulada (Gy)]],"")</f>
        <v>0</v>
      </c>
    </row>
    <row r="139" spans="3:27" ht="15.75" thickBot="1">
      <c r="C139" s="206" t="str">
        <f t="shared" si="14"/>
        <v>Adulto</v>
      </c>
      <c r="D139" s="209" t="s">
        <v>326</v>
      </c>
      <c r="E139" s="209" t="s">
        <v>327</v>
      </c>
      <c r="F139" s="209" t="s">
        <v>102</v>
      </c>
      <c r="G139" s="209">
        <v>2309838</v>
      </c>
      <c r="H139" s="216">
        <v>44267</v>
      </c>
      <c r="I139" s="209">
        <v>0.98</v>
      </c>
      <c r="J139" s="209"/>
      <c r="K139" s="209"/>
      <c r="L139" s="209"/>
      <c r="M139" s="209"/>
      <c r="N139" s="209"/>
      <c r="O139" s="209"/>
      <c r="P139" s="209"/>
      <c r="Q139" s="209"/>
      <c r="R139" s="209"/>
      <c r="S139" s="209"/>
      <c r="T139" s="216">
        <v>21862</v>
      </c>
      <c r="U139" s="209"/>
      <c r="V139" s="209" t="s">
        <v>175</v>
      </c>
      <c r="W139" s="235" t="str">
        <f t="shared" si="15"/>
        <v>García-Uceda Ruiz-Orejón,José</v>
      </c>
      <c r="X139" s="209">
        <f t="shared" si="16"/>
        <v>3</v>
      </c>
      <c r="Y139" s="209">
        <f t="shared" si="17"/>
        <v>2021</v>
      </c>
      <c r="Z139" s="205" t="s">
        <v>265</v>
      </c>
      <c r="AA139" t="str">
        <f>IF(Tabla1[[#This Row],[Kerma en aire acumulada (Gy)]]&gt;1,SUMIF(G:G,Tabla1[[#This Row],[SIP]],I:I)-Tabla1[[#This Row],[Kerma en aire acumulada (Gy)]],"")</f>
        <v/>
      </c>
    </row>
    <row r="140" spans="3:27" ht="15.75" thickBot="1">
      <c r="C140" s="207" t="str">
        <f t="shared" si="14"/>
        <v>Adulto</v>
      </c>
      <c r="D140" s="209" t="s">
        <v>66</v>
      </c>
      <c r="E140" s="209" t="s">
        <v>81</v>
      </c>
      <c r="F140" s="209" t="s">
        <v>333</v>
      </c>
      <c r="G140" s="209">
        <v>3370441</v>
      </c>
      <c r="H140" s="216">
        <v>44269</v>
      </c>
      <c r="I140" s="209">
        <v>0.43</v>
      </c>
      <c r="J140" s="209"/>
      <c r="K140" s="209"/>
      <c r="L140" s="209"/>
      <c r="M140" s="209"/>
      <c r="N140" s="209"/>
      <c r="O140" s="209"/>
      <c r="P140" s="209"/>
      <c r="Q140" s="209"/>
      <c r="R140" s="209"/>
      <c r="S140" s="209"/>
      <c r="T140" s="216">
        <v>16149</v>
      </c>
      <c r="U140" s="209"/>
      <c r="V140" s="209" t="s">
        <v>85</v>
      </c>
      <c r="W140" s="235" t="str">
        <f t="shared" si="15"/>
        <v>Navarro Palanca,Vicenta</v>
      </c>
      <c r="X140" s="209">
        <f t="shared" si="16"/>
        <v>3</v>
      </c>
      <c r="Y140" s="209">
        <f t="shared" si="17"/>
        <v>2021</v>
      </c>
      <c r="Z140" s="205" t="s">
        <v>265</v>
      </c>
      <c r="AA140" t="str">
        <f>IF(Tabla1[[#This Row],[Kerma en aire acumulada (Gy)]]&gt;1,SUMIF(G:G,Tabla1[[#This Row],[SIP]],I:I)-Tabla1[[#This Row],[Kerma en aire acumulada (Gy)]],"")</f>
        <v/>
      </c>
    </row>
    <row r="141" spans="3:27">
      <c r="C141" s="155" t="str">
        <f t="shared" si="14"/>
        <v>Adulto</v>
      </c>
      <c r="D141" s="154" t="s">
        <v>339</v>
      </c>
      <c r="E141" s="154" t="s">
        <v>340</v>
      </c>
      <c r="F141" s="154" t="s">
        <v>341</v>
      </c>
      <c r="G141" s="154">
        <v>3028955</v>
      </c>
      <c r="H141" s="156">
        <v>44270</v>
      </c>
      <c r="I141" s="154">
        <v>0.627</v>
      </c>
      <c r="J141" s="154"/>
      <c r="K141" s="154"/>
      <c r="L141" s="154"/>
      <c r="M141" s="154"/>
      <c r="N141" s="154"/>
      <c r="O141" s="154"/>
      <c r="P141" s="154"/>
      <c r="Q141" s="154"/>
      <c r="R141" s="154"/>
      <c r="S141" s="154"/>
      <c r="T141" s="156">
        <v>22663</v>
      </c>
      <c r="U141" s="154"/>
      <c r="V141" s="154" t="s">
        <v>107</v>
      </c>
      <c r="W141" s="232" t="str">
        <f t="shared" si="15"/>
        <v>Peñarrocha Piqueras,Marcos Antonio</v>
      </c>
      <c r="X141" s="154">
        <f t="shared" si="16"/>
        <v>3</v>
      </c>
      <c r="Y141" s="154">
        <f t="shared" si="17"/>
        <v>2021</v>
      </c>
      <c r="Z141" s="174" t="s">
        <v>265</v>
      </c>
      <c r="AA141" t="str">
        <f>IF(Tabla1[[#This Row],[Kerma en aire acumulada (Gy)]]&gt;1,SUMIF(G:G,Tabla1[[#This Row],[SIP]],I:I)-Tabla1[[#This Row],[Kerma en aire acumulada (Gy)]],"")</f>
        <v/>
      </c>
    </row>
    <row r="142" spans="3:27">
      <c r="C142" s="94" t="str">
        <f t="shared" si="14"/>
        <v>Pediátrico</v>
      </c>
      <c r="D142" s="95" t="s">
        <v>342</v>
      </c>
      <c r="E142" s="95" t="s">
        <v>343</v>
      </c>
      <c r="F142" s="95" t="s">
        <v>344</v>
      </c>
      <c r="G142" s="95">
        <v>13020054</v>
      </c>
      <c r="H142" s="96">
        <v>44270</v>
      </c>
      <c r="I142" s="95">
        <v>1.2999999999999999E-2</v>
      </c>
      <c r="J142" s="95"/>
      <c r="K142" s="95"/>
      <c r="L142" s="95"/>
      <c r="M142" s="95"/>
      <c r="N142" s="95"/>
      <c r="O142" s="95"/>
      <c r="P142" s="95"/>
      <c r="Q142" s="95"/>
      <c r="R142" s="95"/>
      <c r="S142" s="95"/>
      <c r="T142" s="96">
        <v>44126</v>
      </c>
      <c r="U142" s="95"/>
      <c r="V142" s="95" t="s">
        <v>345</v>
      </c>
      <c r="W142" s="232" t="str">
        <f t="shared" si="15"/>
        <v>Pedrón Caballero,Ángela</v>
      </c>
      <c r="X142" s="154">
        <f t="shared" si="16"/>
        <v>3</v>
      </c>
      <c r="Y142" s="154">
        <f t="shared" si="17"/>
        <v>2021</v>
      </c>
      <c r="Z142" s="97" t="s">
        <v>265</v>
      </c>
      <c r="AA142" t="str">
        <f>IF(Tabla1[[#This Row],[Kerma en aire acumulada (Gy)]]&gt;1,SUMIF(G:G,Tabla1[[#This Row],[SIP]],I:I)-Tabla1[[#This Row],[Kerma en aire acumulada (Gy)]],"")</f>
        <v/>
      </c>
    </row>
    <row r="143" spans="3:27">
      <c r="C143" s="89" t="str">
        <f t="shared" si="14"/>
        <v>Pediátrico</v>
      </c>
      <c r="D143" s="90" t="s">
        <v>336</v>
      </c>
      <c r="E143" s="90" t="s">
        <v>337</v>
      </c>
      <c r="F143" s="90" t="s">
        <v>338</v>
      </c>
      <c r="G143" s="90">
        <v>6704909</v>
      </c>
      <c r="H143" s="91">
        <v>44270</v>
      </c>
      <c r="I143" s="90">
        <v>2.9000000000000001E-2</v>
      </c>
      <c r="J143" s="90"/>
      <c r="K143" s="90"/>
      <c r="L143" s="90"/>
      <c r="M143" s="90"/>
      <c r="N143" s="90"/>
      <c r="O143" s="90"/>
      <c r="P143" s="90"/>
      <c r="Q143" s="90"/>
      <c r="R143" s="90"/>
      <c r="S143" s="90"/>
      <c r="T143" s="91">
        <v>39130</v>
      </c>
      <c r="U143" s="90"/>
      <c r="V143" s="90" t="s">
        <v>263</v>
      </c>
      <c r="W143" s="233" t="str">
        <f t="shared" si="15"/>
        <v>Mata Garrido,Marta</v>
      </c>
      <c r="X143" s="202">
        <f t="shared" si="16"/>
        <v>3</v>
      </c>
      <c r="Y143" s="202">
        <f t="shared" si="17"/>
        <v>2021</v>
      </c>
      <c r="Z143" s="93" t="s">
        <v>265</v>
      </c>
      <c r="AA143" t="str">
        <f>IF(Tabla1[[#This Row],[Kerma en aire acumulada (Gy)]]&gt;1,SUMIF(G:G,Tabla1[[#This Row],[SIP]],I:I)-Tabla1[[#This Row],[Kerma en aire acumulada (Gy)]],"")</f>
        <v/>
      </c>
    </row>
    <row r="144" spans="3:27">
      <c r="C144" s="89" t="str">
        <f t="shared" si="14"/>
        <v>Pediátrico</v>
      </c>
      <c r="D144" s="90" t="s">
        <v>625</v>
      </c>
      <c r="E144" s="90" t="s">
        <v>626</v>
      </c>
      <c r="F144" s="90" t="s">
        <v>627</v>
      </c>
      <c r="G144" s="90">
        <v>6557380</v>
      </c>
      <c r="H144" s="91">
        <v>44271</v>
      </c>
      <c r="I144" s="90">
        <v>0.161</v>
      </c>
      <c r="J144" s="90"/>
      <c r="K144" s="90"/>
      <c r="L144" s="90"/>
      <c r="M144" s="90"/>
      <c r="N144" s="90"/>
      <c r="O144" s="90"/>
      <c r="P144" s="90"/>
      <c r="Q144" s="90"/>
      <c r="R144" s="90"/>
      <c r="S144" s="90"/>
      <c r="T144" s="91">
        <v>38988</v>
      </c>
      <c r="U144" s="90"/>
      <c r="V144" s="90" t="s">
        <v>583</v>
      </c>
      <c r="W144" s="233" t="str">
        <f t="shared" si="15"/>
        <v>Morralla Dols,Sonia</v>
      </c>
      <c r="X144" s="202">
        <f t="shared" si="16"/>
        <v>3</v>
      </c>
      <c r="Y144" s="202">
        <f t="shared" si="17"/>
        <v>2021</v>
      </c>
      <c r="Z144" s="93"/>
      <c r="AA144" t="str">
        <f>IF(Tabla1[[#This Row],[Kerma en aire acumulada (Gy)]]&gt;1,SUMIF(G:G,Tabla1[[#This Row],[SIP]],I:I)-Tabla1[[#This Row],[Kerma en aire acumulada (Gy)]],"")</f>
        <v/>
      </c>
    </row>
    <row r="145" spans="3:27">
      <c r="C145" s="89" t="str">
        <f t="shared" si="14"/>
        <v>Adulto</v>
      </c>
      <c r="D145" s="90" t="s">
        <v>346</v>
      </c>
      <c r="E145" s="90" t="s">
        <v>347</v>
      </c>
      <c r="F145" s="90" t="s">
        <v>348</v>
      </c>
      <c r="G145" s="90">
        <v>3264182</v>
      </c>
      <c r="H145" s="91">
        <v>44271</v>
      </c>
      <c r="I145" s="90">
        <v>0.4</v>
      </c>
      <c r="J145" s="90"/>
      <c r="K145" s="90"/>
      <c r="L145" s="90"/>
      <c r="M145" s="90"/>
      <c r="N145" s="90"/>
      <c r="O145" s="90"/>
      <c r="P145" s="90"/>
      <c r="Q145" s="90"/>
      <c r="R145" s="90"/>
      <c r="S145" s="90"/>
      <c r="T145" s="91">
        <v>16369</v>
      </c>
      <c r="U145" s="90"/>
      <c r="V145" s="90" t="s">
        <v>173</v>
      </c>
      <c r="W145" s="233" t="str">
        <f t="shared" si="15"/>
        <v>Fuster Tarrazo,Rosa María</v>
      </c>
      <c r="X145" s="202">
        <f t="shared" si="16"/>
        <v>3</v>
      </c>
      <c r="Y145" s="202">
        <f t="shared" si="17"/>
        <v>2021</v>
      </c>
      <c r="Z145" s="93" t="s">
        <v>265</v>
      </c>
      <c r="AA145" t="str">
        <f>IF(Tabla1[[#This Row],[Kerma en aire acumulada (Gy)]]&gt;1,SUMIF(G:G,Tabla1[[#This Row],[SIP]],I:I)-Tabla1[[#This Row],[Kerma en aire acumulada (Gy)]],"")</f>
        <v/>
      </c>
    </row>
    <row r="146" spans="3:27">
      <c r="C146" s="94" t="str">
        <f t="shared" si="14"/>
        <v>Adulto</v>
      </c>
      <c r="D146" s="95" t="s">
        <v>515</v>
      </c>
      <c r="E146" s="95" t="s">
        <v>90</v>
      </c>
      <c r="F146" s="95" t="s">
        <v>28</v>
      </c>
      <c r="G146" s="95">
        <v>1847325</v>
      </c>
      <c r="H146" s="96">
        <v>44271</v>
      </c>
      <c r="I146" s="95">
        <v>0.3</v>
      </c>
      <c r="J146" s="95"/>
      <c r="K146" s="95"/>
      <c r="L146" s="95"/>
      <c r="M146" s="95"/>
      <c r="N146" s="95"/>
      <c r="O146" s="95"/>
      <c r="P146" s="95"/>
      <c r="Q146" s="95"/>
      <c r="R146" s="95"/>
      <c r="S146" s="95"/>
      <c r="T146" s="96">
        <v>23085</v>
      </c>
      <c r="U146" s="95"/>
      <c r="V146" s="95" t="s">
        <v>128</v>
      </c>
      <c r="W146" s="232" t="str">
        <f t="shared" si="15"/>
        <v>Del Pueblo Nieto,Josefa</v>
      </c>
      <c r="X146" s="154">
        <f t="shared" si="16"/>
        <v>3</v>
      </c>
      <c r="Y146" s="154">
        <f t="shared" si="17"/>
        <v>2021</v>
      </c>
      <c r="Z146" s="97" t="s">
        <v>265</v>
      </c>
      <c r="AA146" t="str">
        <f>IF(Tabla1[[#This Row],[Kerma en aire acumulada (Gy)]]&gt;1,SUMIF(G:G,Tabla1[[#This Row],[SIP]],I:I)-Tabla1[[#This Row],[Kerma en aire acumulada (Gy)]],"")</f>
        <v/>
      </c>
    </row>
    <row r="147" spans="3:27">
      <c r="C147" s="94" t="str">
        <f t="shared" si="14"/>
        <v>Adulto</v>
      </c>
      <c r="D147" s="95" t="s">
        <v>353</v>
      </c>
      <c r="E147" s="95" t="s">
        <v>130</v>
      </c>
      <c r="F147" s="95" t="s">
        <v>13</v>
      </c>
      <c r="G147" s="95">
        <v>3122982</v>
      </c>
      <c r="H147" s="96">
        <v>44272</v>
      </c>
      <c r="I147" s="95">
        <v>0.255</v>
      </c>
      <c r="J147" s="95"/>
      <c r="K147" s="95"/>
      <c r="L147" s="95"/>
      <c r="M147" s="95"/>
      <c r="N147" s="95"/>
      <c r="O147" s="95"/>
      <c r="P147" s="95"/>
      <c r="Q147" s="95"/>
      <c r="R147" s="95"/>
      <c r="S147" s="95"/>
      <c r="T147" s="96">
        <v>12425</v>
      </c>
      <c r="U147" s="95"/>
      <c r="V147" s="95" t="s">
        <v>516</v>
      </c>
      <c r="W147" s="232" t="str">
        <f t="shared" si="15"/>
        <v>Muñoz Hernández,Manuela</v>
      </c>
      <c r="X147" s="154">
        <f t="shared" si="16"/>
        <v>3</v>
      </c>
      <c r="Y147" s="154">
        <f t="shared" si="17"/>
        <v>2021</v>
      </c>
      <c r="Z147" s="97" t="s">
        <v>265</v>
      </c>
      <c r="AA147" t="str">
        <f>IF(Tabla1[[#This Row],[Kerma en aire acumulada (Gy)]]&gt;1,SUMIF(G:G,Tabla1[[#This Row],[SIP]],I:I)-Tabla1[[#This Row],[Kerma en aire acumulada (Gy)]],"")</f>
        <v/>
      </c>
    </row>
    <row r="148" spans="3:27" ht="15.75">
      <c r="C148" s="89" t="str">
        <f t="shared" si="14"/>
        <v>Adulto</v>
      </c>
      <c r="D148" s="90" t="s">
        <v>273</v>
      </c>
      <c r="E148" s="90" t="s">
        <v>168</v>
      </c>
      <c r="F148" s="90" t="s">
        <v>274</v>
      </c>
      <c r="G148" s="90">
        <v>805641</v>
      </c>
      <c r="H148" s="91">
        <v>44272</v>
      </c>
      <c r="I148" s="90">
        <v>1.073</v>
      </c>
      <c r="J148" s="90">
        <v>0</v>
      </c>
      <c r="K148" s="90">
        <v>0.14099999999999999</v>
      </c>
      <c r="L148" s="90">
        <v>0.45100000000000001</v>
      </c>
      <c r="M148" s="90">
        <v>0.45100000000000001</v>
      </c>
      <c r="N148" s="90">
        <v>0</v>
      </c>
      <c r="O148" s="90">
        <v>0</v>
      </c>
      <c r="P148" s="90">
        <v>8.4000000000000005E-2</v>
      </c>
      <c r="Q148" s="90">
        <v>0.377</v>
      </c>
      <c r="R148" s="90">
        <v>0.377</v>
      </c>
      <c r="S148" s="90">
        <v>0</v>
      </c>
      <c r="T148" s="91">
        <v>15082</v>
      </c>
      <c r="U148" s="90"/>
      <c r="V148" s="125" t="s">
        <v>563</v>
      </c>
      <c r="W148" s="233" t="str">
        <f t="shared" si="15"/>
        <v>Gerona Torregrosa,Guillermo</v>
      </c>
      <c r="X148" s="202">
        <f t="shared" si="16"/>
        <v>3</v>
      </c>
      <c r="Y148" s="202">
        <f t="shared" si="17"/>
        <v>2021</v>
      </c>
      <c r="Z148" s="93" t="s">
        <v>266</v>
      </c>
      <c r="AA148">
        <f>IF(Tabla1[[#This Row],[Kerma en aire acumulada (Gy)]]&gt;1,SUMIF(G:G,Tabla1[[#This Row],[SIP]],I:I)-Tabla1[[#This Row],[Kerma en aire acumulada (Gy)]],"")</f>
        <v>0</v>
      </c>
    </row>
    <row r="149" spans="3:27" ht="15.75">
      <c r="C149" s="89" t="str">
        <f t="shared" si="14"/>
        <v>Adulto</v>
      </c>
      <c r="D149" s="90" t="s">
        <v>270</v>
      </c>
      <c r="E149" s="90" t="s">
        <v>271</v>
      </c>
      <c r="F149" s="90" t="s">
        <v>272</v>
      </c>
      <c r="G149" s="90">
        <v>3042189</v>
      </c>
      <c r="H149" s="91">
        <v>44277</v>
      </c>
      <c r="I149" s="90">
        <v>0.41399999999999998</v>
      </c>
      <c r="J149" s="90">
        <v>0</v>
      </c>
      <c r="K149" s="90">
        <v>3.2000000000000001E-2</v>
      </c>
      <c r="L149" s="90">
        <v>0.182</v>
      </c>
      <c r="M149" s="90">
        <v>0.17</v>
      </c>
      <c r="N149" s="90">
        <v>0</v>
      </c>
      <c r="O149" s="90">
        <v>0</v>
      </c>
      <c r="P149" s="90">
        <v>7.1999999999999995E-2</v>
      </c>
      <c r="Q149" s="90">
        <v>0.183</v>
      </c>
      <c r="R149" s="90">
        <v>0.183</v>
      </c>
      <c r="S149" s="90">
        <v>0</v>
      </c>
      <c r="T149" s="91">
        <v>22711</v>
      </c>
      <c r="U149" s="90"/>
      <c r="V149" s="125" t="s">
        <v>563</v>
      </c>
      <c r="W149" s="233" t="str">
        <f t="shared" si="15"/>
        <v>Mariño San Martín,Maximino Andrés</v>
      </c>
      <c r="X149" s="202">
        <f t="shared" si="16"/>
        <v>3</v>
      </c>
      <c r="Y149" s="202">
        <f t="shared" si="17"/>
        <v>2021</v>
      </c>
      <c r="Z149" s="93" t="s">
        <v>266</v>
      </c>
      <c r="AA149" t="str">
        <f>IF(Tabla1[[#This Row],[Kerma en aire acumulada (Gy)]]&gt;1,SUMIF(G:G,Tabla1[[#This Row],[SIP]],I:I)-Tabla1[[#This Row],[Kerma en aire acumulada (Gy)]],"")</f>
        <v/>
      </c>
    </row>
    <row r="150" spans="3:27">
      <c r="C150" s="94" t="str">
        <f t="shared" si="14"/>
        <v>Pediátrico</v>
      </c>
      <c r="D150" s="95" t="s">
        <v>604</v>
      </c>
      <c r="E150" s="95" t="s">
        <v>606</v>
      </c>
      <c r="F150" s="95" t="s">
        <v>605</v>
      </c>
      <c r="G150" s="95">
        <v>12930459</v>
      </c>
      <c r="H150" s="96">
        <v>44277</v>
      </c>
      <c r="I150" s="95">
        <v>0.1</v>
      </c>
      <c r="J150" s="95"/>
      <c r="K150" s="95"/>
      <c r="L150" s="95"/>
      <c r="M150" s="95"/>
      <c r="N150" s="95"/>
      <c r="O150" s="95"/>
      <c r="P150" s="95"/>
      <c r="Q150" s="95"/>
      <c r="R150" s="95"/>
      <c r="S150" s="95"/>
      <c r="T150" s="96">
        <v>44014</v>
      </c>
      <c r="U150" s="95"/>
      <c r="V150" s="95" t="s">
        <v>583</v>
      </c>
      <c r="W150" s="232" t="str">
        <f t="shared" si="15"/>
        <v>Esteve Nevado,Lucía</v>
      </c>
      <c r="X150" s="154">
        <f t="shared" si="16"/>
        <v>3</v>
      </c>
      <c r="Y150" s="154">
        <f t="shared" si="17"/>
        <v>2021</v>
      </c>
      <c r="Z150" s="97" t="s">
        <v>266</v>
      </c>
      <c r="AA150" t="str">
        <f>IF(Tabla1[[#This Row],[Kerma en aire acumulada (Gy)]]&gt;1,SUMIF(G:G,Tabla1[[#This Row],[SIP]],I:I)-Tabla1[[#This Row],[Kerma en aire acumulada (Gy)]],"")</f>
        <v/>
      </c>
    </row>
    <row r="151" spans="3:27">
      <c r="C151" s="89" t="str">
        <f t="shared" si="14"/>
        <v>Adulto</v>
      </c>
      <c r="D151" s="90" t="s">
        <v>542</v>
      </c>
      <c r="E151" s="90" t="s">
        <v>543</v>
      </c>
      <c r="F151" s="90" t="s">
        <v>356</v>
      </c>
      <c r="G151" s="90">
        <v>2881585</v>
      </c>
      <c r="H151" s="91">
        <v>44278</v>
      </c>
      <c r="I151" s="90">
        <v>0.43</v>
      </c>
      <c r="J151" s="90"/>
      <c r="K151" s="90"/>
      <c r="L151" s="90"/>
      <c r="M151" s="90"/>
      <c r="N151" s="90"/>
      <c r="O151" s="90"/>
      <c r="P151" s="90"/>
      <c r="Q151" s="90"/>
      <c r="R151" s="90"/>
      <c r="S151" s="90"/>
      <c r="T151" s="91">
        <v>23031</v>
      </c>
      <c r="U151" s="90"/>
      <c r="V151" s="90" t="s">
        <v>544</v>
      </c>
      <c r="W151" s="233" t="str">
        <f t="shared" si="15"/>
        <v>Vera Domínguez,Manuel</v>
      </c>
      <c r="X151" s="202">
        <f t="shared" si="16"/>
        <v>3</v>
      </c>
      <c r="Y151" s="202">
        <f t="shared" si="17"/>
        <v>2021</v>
      </c>
      <c r="Z151" s="93" t="s">
        <v>265</v>
      </c>
      <c r="AA151" t="str">
        <f>IF(Tabla1[[#This Row],[Kerma en aire acumulada (Gy)]]&gt;1,SUMIF(G:G,Tabla1[[#This Row],[SIP]],I:I)-Tabla1[[#This Row],[Kerma en aire acumulada (Gy)]],"")</f>
        <v/>
      </c>
    </row>
    <row r="152" spans="3:27">
      <c r="C152" s="94" t="str">
        <f t="shared" si="14"/>
        <v>Pediátrico</v>
      </c>
      <c r="D152" s="95" t="s">
        <v>524</v>
      </c>
      <c r="E152" s="95" t="s">
        <v>157</v>
      </c>
      <c r="F152" s="95" t="s">
        <v>531</v>
      </c>
      <c r="G152" s="95">
        <v>11575960</v>
      </c>
      <c r="H152" s="96">
        <v>44278</v>
      </c>
      <c r="I152" s="95">
        <v>0.2</v>
      </c>
      <c r="J152" s="95"/>
      <c r="K152" s="95"/>
      <c r="L152" s="95"/>
      <c r="M152" s="95"/>
      <c r="N152" s="95"/>
      <c r="O152" s="95"/>
      <c r="P152" s="95"/>
      <c r="Q152" s="95"/>
      <c r="R152" s="95"/>
      <c r="S152" s="95"/>
      <c r="T152" s="96">
        <v>42480</v>
      </c>
      <c r="U152" s="95"/>
      <c r="V152" s="95" t="s">
        <v>263</v>
      </c>
      <c r="W152" s="232" t="str">
        <f t="shared" si="15"/>
        <v>López Sánchez,Emma</v>
      </c>
      <c r="X152" s="154">
        <f t="shared" si="16"/>
        <v>3</v>
      </c>
      <c r="Y152" s="154">
        <f t="shared" si="17"/>
        <v>2021</v>
      </c>
      <c r="Z152" s="97" t="s">
        <v>265</v>
      </c>
      <c r="AA152" t="str">
        <f>IF(Tabla1[[#This Row],[Kerma en aire acumulada (Gy)]]&gt;1,SUMIF(G:G,Tabla1[[#This Row],[SIP]],I:I)-Tabla1[[#This Row],[Kerma en aire acumulada (Gy)]],"")</f>
        <v/>
      </c>
    </row>
    <row r="153" spans="3:27">
      <c r="C153" s="94" t="str">
        <f t="shared" si="14"/>
        <v>Adulto</v>
      </c>
      <c r="D153" s="95" t="s">
        <v>366</v>
      </c>
      <c r="E153" s="95" t="s">
        <v>130</v>
      </c>
      <c r="F153" s="95" t="s">
        <v>532</v>
      </c>
      <c r="G153" s="95">
        <v>12223156</v>
      </c>
      <c r="H153" s="96">
        <v>44279</v>
      </c>
      <c r="I153" s="95">
        <v>0.36499999999999999</v>
      </c>
      <c r="J153" s="95"/>
      <c r="K153" s="95"/>
      <c r="L153" s="95"/>
      <c r="M153" s="95"/>
      <c r="N153" s="95"/>
      <c r="O153" s="95"/>
      <c r="P153" s="95"/>
      <c r="Q153" s="95"/>
      <c r="R153" s="95"/>
      <c r="S153" s="95"/>
      <c r="T153" s="96">
        <v>35234</v>
      </c>
      <c r="U153" s="95"/>
      <c r="V153" s="95" t="s">
        <v>533</v>
      </c>
      <c r="W153" s="232" t="str">
        <f t="shared" si="15"/>
        <v>Rodríguez Hernández,Edgar</v>
      </c>
      <c r="X153" s="154">
        <f t="shared" si="16"/>
        <v>3</v>
      </c>
      <c r="Y153" s="154">
        <f t="shared" si="17"/>
        <v>2021</v>
      </c>
      <c r="Z153" s="97" t="s">
        <v>265</v>
      </c>
      <c r="AA153" t="str">
        <f>IF(Tabla1[[#This Row],[Kerma en aire acumulada (Gy)]]&gt;1,SUMIF(G:G,Tabla1[[#This Row],[SIP]],I:I)-Tabla1[[#This Row],[Kerma en aire acumulada (Gy)]],"")</f>
        <v/>
      </c>
    </row>
    <row r="154" spans="3:27" ht="15.75" thickBot="1">
      <c r="C154" s="166" t="str">
        <f t="shared" si="14"/>
        <v>Adulto</v>
      </c>
      <c r="D154" s="163" t="s">
        <v>68</v>
      </c>
      <c r="E154" s="163" t="s">
        <v>545</v>
      </c>
      <c r="F154" s="163" t="s">
        <v>546</v>
      </c>
      <c r="G154" s="163">
        <v>3604125</v>
      </c>
      <c r="H154" s="173">
        <v>44280</v>
      </c>
      <c r="I154" s="163">
        <f>1.361+0.18</f>
        <v>1.5409999999999999</v>
      </c>
      <c r="J154" s="163"/>
      <c r="K154" s="163"/>
      <c r="L154" s="163"/>
      <c r="M154" s="163"/>
      <c r="N154" s="163"/>
      <c r="O154" s="163"/>
      <c r="P154" s="163"/>
      <c r="Q154" s="163"/>
      <c r="R154" s="163"/>
      <c r="S154" s="163"/>
      <c r="T154" s="173">
        <v>16979</v>
      </c>
      <c r="U154" s="163"/>
      <c r="V154" s="163" t="s">
        <v>107</v>
      </c>
      <c r="W154" s="231" t="str">
        <f t="shared" si="15"/>
        <v>Juan Verdú,Luis</v>
      </c>
      <c r="X154" s="160">
        <f t="shared" si="16"/>
        <v>3</v>
      </c>
      <c r="Y154" s="160">
        <f t="shared" si="17"/>
        <v>2021</v>
      </c>
      <c r="Z154" s="172" t="s">
        <v>265</v>
      </c>
      <c r="AA154">
        <f>IF(Tabla1[[#This Row],[Kerma en aire acumulada (Gy)]]&gt;1,SUMIF(G:G,Tabla1[[#This Row],[SIP]],I:I)-Tabla1[[#This Row],[Kerma en aire acumulada (Gy)]],"")</f>
        <v>0</v>
      </c>
    </row>
    <row r="155" spans="3:27">
      <c r="C155" s="157" t="str">
        <f t="shared" si="14"/>
        <v>Pediátrico</v>
      </c>
      <c r="D155" s="202" t="s">
        <v>534</v>
      </c>
      <c r="E155" s="202" t="s">
        <v>535</v>
      </c>
      <c r="F155" s="202" t="s">
        <v>536</v>
      </c>
      <c r="G155" s="202">
        <v>7014360</v>
      </c>
      <c r="H155" s="214">
        <v>44280</v>
      </c>
      <c r="I155" s="202">
        <v>0.24199999999999999</v>
      </c>
      <c r="J155" s="202"/>
      <c r="K155" s="202"/>
      <c r="L155" s="202"/>
      <c r="M155" s="202"/>
      <c r="N155" s="202"/>
      <c r="O155" s="202"/>
      <c r="P155" s="202"/>
      <c r="Q155" s="202"/>
      <c r="R155" s="202"/>
      <c r="S155" s="202"/>
      <c r="T155" s="214">
        <v>39318</v>
      </c>
      <c r="U155" s="202"/>
      <c r="V155" s="202" t="s">
        <v>263</v>
      </c>
      <c r="W155" s="233" t="str">
        <f t="shared" si="15"/>
        <v>Hurtado Pamies,Ainara</v>
      </c>
      <c r="X155" s="202">
        <f t="shared" si="16"/>
        <v>3</v>
      </c>
      <c r="Y155" s="202">
        <f t="shared" si="17"/>
        <v>2021</v>
      </c>
      <c r="Z155" s="203" t="s">
        <v>265</v>
      </c>
      <c r="AA155" t="str">
        <f>IF(Tabla1[[#This Row],[Kerma en aire acumulada (Gy)]]&gt;1,SUMIF(G:G,Tabla1[[#This Row],[SIP]],I:I)-Tabla1[[#This Row],[Kerma en aire acumulada (Gy)]],"")</f>
        <v/>
      </c>
    </row>
    <row r="156" spans="3:27" ht="15.75">
      <c r="C156" s="89" t="str">
        <f t="shared" si="14"/>
        <v>Adulto</v>
      </c>
      <c r="D156" s="101" t="s">
        <v>357</v>
      </c>
      <c r="E156" s="101"/>
      <c r="F156" s="101" t="s">
        <v>358</v>
      </c>
      <c r="G156" s="101">
        <v>6842969</v>
      </c>
      <c r="H156" s="102">
        <v>44281</v>
      </c>
      <c r="I156" s="101">
        <v>4.3</v>
      </c>
      <c r="J156" s="101">
        <v>0</v>
      </c>
      <c r="K156" s="101">
        <v>1.4</v>
      </c>
      <c r="L156" s="101">
        <v>1.38</v>
      </c>
      <c r="M156" s="101">
        <v>1.155</v>
      </c>
      <c r="N156" s="101">
        <v>0</v>
      </c>
      <c r="O156" s="101">
        <v>0</v>
      </c>
      <c r="P156" s="101">
        <v>0.35799999999999998</v>
      </c>
      <c r="Q156" s="101">
        <v>0.9</v>
      </c>
      <c r="R156" s="101">
        <v>2.5129999999999999</v>
      </c>
      <c r="S156" s="101">
        <v>0</v>
      </c>
      <c r="T156" s="102">
        <v>21524</v>
      </c>
      <c r="U156" s="101"/>
      <c r="V156" s="120" t="s">
        <v>563</v>
      </c>
      <c r="W156" s="158" t="str">
        <f t="shared" si="15"/>
        <v>Khoshbekyan ,Poghos</v>
      </c>
      <c r="X156" s="211">
        <f t="shared" si="16"/>
        <v>3</v>
      </c>
      <c r="Y156" s="211">
        <f t="shared" si="17"/>
        <v>2021</v>
      </c>
      <c r="Z156" s="103" t="s">
        <v>266</v>
      </c>
      <c r="AA156">
        <f>IF(Tabla1[[#This Row],[Kerma en aire acumulada (Gy)]]&gt;1,SUMIF(G:G,Tabla1[[#This Row],[SIP]],I:I)-Tabla1[[#This Row],[Kerma en aire acumulada (Gy)]],"")</f>
        <v>0</v>
      </c>
    </row>
    <row r="157" spans="3:27">
      <c r="C157" s="89" t="str">
        <f t="shared" si="14"/>
        <v>Pediátrico</v>
      </c>
      <c r="D157" s="90" t="s">
        <v>368</v>
      </c>
      <c r="E157" s="90" t="s">
        <v>537</v>
      </c>
      <c r="F157" s="90" t="s">
        <v>538</v>
      </c>
      <c r="G157" s="90">
        <v>11396648</v>
      </c>
      <c r="H157" s="91">
        <v>44281</v>
      </c>
      <c r="I157" s="90">
        <v>0.107</v>
      </c>
      <c r="J157" s="90"/>
      <c r="K157" s="90"/>
      <c r="L157" s="90"/>
      <c r="M157" s="90"/>
      <c r="N157" s="90"/>
      <c r="O157" s="90"/>
      <c r="P157" s="90"/>
      <c r="Q157" s="90"/>
      <c r="R157" s="90"/>
      <c r="S157" s="90"/>
      <c r="T157" s="91">
        <v>42261</v>
      </c>
      <c r="U157" s="90"/>
      <c r="V157" s="90" t="s">
        <v>263</v>
      </c>
      <c r="W157" s="233" t="str">
        <f t="shared" si="15"/>
        <v>García Oller,Hugo</v>
      </c>
      <c r="X157" s="202">
        <f t="shared" si="16"/>
        <v>3</v>
      </c>
      <c r="Y157" s="202">
        <f t="shared" si="17"/>
        <v>2021</v>
      </c>
      <c r="Z157" s="93" t="s">
        <v>265</v>
      </c>
      <c r="AA157" t="str">
        <f>IF(Tabla1[[#This Row],[Kerma en aire acumulada (Gy)]]&gt;1,SUMIF(G:G,Tabla1[[#This Row],[SIP]],I:I)-Tabla1[[#This Row],[Kerma en aire acumulada (Gy)]],"")</f>
        <v/>
      </c>
    </row>
    <row r="158" spans="3:27" ht="15.75">
      <c r="C158" s="94" t="str">
        <f t="shared" si="14"/>
        <v>Adulto</v>
      </c>
      <c r="D158" s="101" t="s">
        <v>359</v>
      </c>
      <c r="E158" s="101" t="s">
        <v>360</v>
      </c>
      <c r="F158" s="101" t="s">
        <v>269</v>
      </c>
      <c r="G158" s="101">
        <v>2925628</v>
      </c>
      <c r="H158" s="102">
        <v>44281</v>
      </c>
      <c r="I158" s="101">
        <v>3.8069999999999999</v>
      </c>
      <c r="J158" s="101">
        <v>0</v>
      </c>
      <c r="K158" s="101">
        <v>1.7110000000000001</v>
      </c>
      <c r="L158" s="101">
        <v>1.712</v>
      </c>
      <c r="M158" s="101">
        <v>0.68200000000000005</v>
      </c>
      <c r="N158" s="101">
        <v>0</v>
      </c>
      <c r="O158" s="101">
        <v>0</v>
      </c>
      <c r="P158" s="101">
        <v>1.698</v>
      </c>
      <c r="Q158" s="101">
        <v>1.7</v>
      </c>
      <c r="R158" s="101">
        <v>0.68200000000000005</v>
      </c>
      <c r="S158" s="101">
        <v>0</v>
      </c>
      <c r="T158" s="102">
        <v>23362</v>
      </c>
      <c r="U158" s="101" t="s">
        <v>512</v>
      </c>
      <c r="V158" s="121" t="s">
        <v>563</v>
      </c>
      <c r="W158" s="158" t="str">
        <f t="shared" si="15"/>
        <v>Cisne del Isaac,Jesús</v>
      </c>
      <c r="X158" s="211">
        <f t="shared" si="16"/>
        <v>3</v>
      </c>
      <c r="Y158" s="211">
        <f t="shared" si="17"/>
        <v>2021</v>
      </c>
      <c r="Z158" s="103" t="s">
        <v>266</v>
      </c>
      <c r="AA158">
        <f>IF(Tabla1[[#This Row],[Kerma en aire acumulada (Gy)]]&gt;1,SUMIF(G:G,Tabla1[[#This Row],[SIP]],I:I)-Tabla1[[#This Row],[Kerma en aire acumulada (Gy)]],"")</f>
        <v>0</v>
      </c>
    </row>
    <row r="159" spans="3:27">
      <c r="C159" s="94" t="str">
        <f t="shared" si="14"/>
        <v>Adulto</v>
      </c>
      <c r="D159" s="95" t="s">
        <v>547</v>
      </c>
      <c r="E159" s="95" t="s">
        <v>548</v>
      </c>
      <c r="F159" s="95" t="s">
        <v>549</v>
      </c>
      <c r="G159" s="95">
        <v>3498767</v>
      </c>
      <c r="H159" s="96">
        <v>44284</v>
      </c>
      <c r="I159" s="95">
        <v>0.78600000000000003</v>
      </c>
      <c r="J159" s="95"/>
      <c r="K159" s="95"/>
      <c r="L159" s="95"/>
      <c r="M159" s="95"/>
      <c r="N159" s="95"/>
      <c r="O159" s="95"/>
      <c r="P159" s="95"/>
      <c r="Q159" s="95"/>
      <c r="R159" s="95"/>
      <c r="S159" s="95"/>
      <c r="T159" s="96">
        <v>17244</v>
      </c>
      <c r="U159" s="95"/>
      <c r="V159" s="95" t="s">
        <v>550</v>
      </c>
      <c r="W159" s="232" t="str">
        <f t="shared" si="15"/>
        <v>Sarrión Benito,Regina</v>
      </c>
      <c r="X159" s="154">
        <f t="shared" si="16"/>
        <v>3</v>
      </c>
      <c r="Y159" s="154">
        <f t="shared" si="17"/>
        <v>2021</v>
      </c>
      <c r="Z159" s="97" t="s">
        <v>265</v>
      </c>
      <c r="AA159" t="str">
        <f>IF(Tabla1[[#This Row],[Kerma en aire acumulada (Gy)]]&gt;1,SUMIF(G:G,Tabla1[[#This Row],[SIP]],I:I)-Tabla1[[#This Row],[Kerma en aire acumulada (Gy)]],"")</f>
        <v/>
      </c>
    </row>
    <row r="160" spans="3:27" ht="15.75">
      <c r="C160" s="89" t="str">
        <f t="shared" si="14"/>
        <v>Adulto</v>
      </c>
      <c r="D160" s="90" t="s">
        <v>267</v>
      </c>
      <c r="E160" s="90" t="s">
        <v>268</v>
      </c>
      <c r="F160" s="90" t="s">
        <v>269</v>
      </c>
      <c r="G160" s="90">
        <v>2290059</v>
      </c>
      <c r="H160" s="91">
        <v>44284</v>
      </c>
      <c r="I160" s="90">
        <v>2.44</v>
      </c>
      <c r="J160" s="90">
        <v>0</v>
      </c>
      <c r="K160" s="90">
        <v>0.21</v>
      </c>
      <c r="L160" s="124">
        <f>0.98*I160</f>
        <v>2.3912</v>
      </c>
      <c r="M160" s="124">
        <f>0.87*I160</f>
        <v>2.1227999999999998</v>
      </c>
      <c r="N160" s="90">
        <v>0</v>
      </c>
      <c r="O160" s="90">
        <v>0</v>
      </c>
      <c r="P160" s="124">
        <f>0.18*I160</f>
        <v>0.43919999999999998</v>
      </c>
      <c r="Q160" s="124">
        <f>0.43*I160</f>
        <v>1.0491999999999999</v>
      </c>
      <c r="R160" s="124">
        <f>I160*0.29</f>
        <v>0.7075999999999999</v>
      </c>
      <c r="S160" s="90">
        <v>0</v>
      </c>
      <c r="T160" s="91">
        <v>17869</v>
      </c>
      <c r="U160" s="90"/>
      <c r="V160" s="125" t="s">
        <v>563</v>
      </c>
      <c r="W160" s="233" t="str">
        <f t="shared" si="15"/>
        <v>Felix Fontestad,Jesús</v>
      </c>
      <c r="X160" s="202">
        <f t="shared" si="16"/>
        <v>3</v>
      </c>
      <c r="Y160" s="202">
        <f t="shared" si="17"/>
        <v>2021</v>
      </c>
      <c r="Z160" s="93" t="s">
        <v>266</v>
      </c>
      <c r="AA160">
        <f>IF(Tabla1[[#This Row],[Kerma en aire acumulada (Gy)]]&gt;1,SUMIF(G:G,Tabla1[[#This Row],[SIP]],I:I)-Tabla1[[#This Row],[Kerma en aire acumulada (Gy)]],"")</f>
        <v>0</v>
      </c>
    </row>
    <row r="161" spans="3:27">
      <c r="C161" s="94" t="str">
        <f t="shared" si="14"/>
        <v>Adulto</v>
      </c>
      <c r="D161" s="95" t="s">
        <v>64</v>
      </c>
      <c r="E161" s="95"/>
      <c r="F161" s="95" t="s">
        <v>65</v>
      </c>
      <c r="G161" s="95">
        <v>5350920</v>
      </c>
      <c r="H161" s="96">
        <v>44285</v>
      </c>
      <c r="I161" s="95">
        <v>0.317</v>
      </c>
      <c r="J161" s="95"/>
      <c r="K161" s="95"/>
      <c r="L161" s="95"/>
      <c r="M161" s="95"/>
      <c r="N161" s="95"/>
      <c r="O161" s="95"/>
      <c r="P161" s="95"/>
      <c r="Q161" s="95"/>
      <c r="R161" s="95"/>
      <c r="S161" s="95"/>
      <c r="T161" s="96">
        <v>26596</v>
      </c>
      <c r="U161" s="95"/>
      <c r="V161" s="95" t="s">
        <v>508</v>
      </c>
      <c r="W161" s="232" t="str">
        <f t="shared" si="15"/>
        <v>Hlioui ,Hamid</v>
      </c>
      <c r="X161" s="154">
        <f t="shared" si="16"/>
        <v>3</v>
      </c>
      <c r="Y161" s="154">
        <f t="shared" si="17"/>
        <v>2021</v>
      </c>
      <c r="Z161" s="97" t="s">
        <v>265</v>
      </c>
      <c r="AA161" t="str">
        <f>IF(Tabla1[[#This Row],[Kerma en aire acumulada (Gy)]]&gt;1,SUMIF(G:G,Tabla1[[#This Row],[SIP]],I:I)-Tabla1[[#This Row],[Kerma en aire acumulada (Gy)]],"")</f>
        <v/>
      </c>
    </row>
    <row r="162" spans="3:27">
      <c r="C162" s="89" t="str">
        <f t="shared" si="14"/>
        <v>Adulto</v>
      </c>
      <c r="D162" s="90" t="s">
        <v>551</v>
      </c>
      <c r="E162" s="90" t="s">
        <v>548</v>
      </c>
      <c r="F162" s="90" t="s">
        <v>68</v>
      </c>
      <c r="G162" s="90">
        <v>4271173</v>
      </c>
      <c r="H162" s="91">
        <v>44285</v>
      </c>
      <c r="I162" s="90">
        <v>0.99099999999999999</v>
      </c>
      <c r="J162" s="90"/>
      <c r="K162" s="90"/>
      <c r="L162" s="90"/>
      <c r="M162" s="90"/>
      <c r="N162" s="90"/>
      <c r="O162" s="90"/>
      <c r="P162" s="90"/>
      <c r="Q162" s="90"/>
      <c r="R162" s="90"/>
      <c r="S162" s="90"/>
      <c r="T162" s="91">
        <v>21300</v>
      </c>
      <c r="U162" s="90"/>
      <c r="V162" s="90" t="s">
        <v>552</v>
      </c>
      <c r="W162" s="233" t="str">
        <f t="shared" si="15"/>
        <v>Frías Benito,Juan</v>
      </c>
      <c r="X162" s="202">
        <f t="shared" si="16"/>
        <v>3</v>
      </c>
      <c r="Y162" s="202">
        <f t="shared" si="17"/>
        <v>2021</v>
      </c>
      <c r="Z162" s="93" t="s">
        <v>265</v>
      </c>
      <c r="AA162" t="str">
        <f>IF(Tabla1[[#This Row],[Kerma en aire acumulada (Gy)]]&gt;1,SUMIF(G:G,Tabla1[[#This Row],[SIP]],I:I)-Tabla1[[#This Row],[Kerma en aire acumulada (Gy)]],"")</f>
        <v/>
      </c>
    </row>
    <row r="163" spans="3:27" ht="15.75" thickBot="1">
      <c r="C163" s="166" t="str">
        <f t="shared" si="14"/>
        <v>Pediátrico</v>
      </c>
      <c r="D163" s="163" t="s">
        <v>524</v>
      </c>
      <c r="E163" s="163" t="s">
        <v>539</v>
      </c>
      <c r="F163" s="163" t="s">
        <v>540</v>
      </c>
      <c r="G163" s="163">
        <v>12851181</v>
      </c>
      <c r="H163" s="173">
        <v>44286</v>
      </c>
      <c r="I163" s="163">
        <v>0.155</v>
      </c>
      <c r="J163" s="163"/>
      <c r="K163" s="163"/>
      <c r="L163" s="163"/>
      <c r="M163" s="163"/>
      <c r="N163" s="163"/>
      <c r="O163" s="163"/>
      <c r="P163" s="163"/>
      <c r="Q163" s="163"/>
      <c r="R163" s="163"/>
      <c r="S163" s="163"/>
      <c r="T163" s="173">
        <v>43832</v>
      </c>
      <c r="U163" s="163"/>
      <c r="V163" s="163" t="s">
        <v>541</v>
      </c>
      <c r="W163" s="231" t="str">
        <f t="shared" si="15"/>
        <v>López Yuste,Thiago</v>
      </c>
      <c r="X163" s="160">
        <f t="shared" si="16"/>
        <v>3</v>
      </c>
      <c r="Y163" s="160">
        <f t="shared" si="17"/>
        <v>2021</v>
      </c>
      <c r="Z163" s="172" t="s">
        <v>265</v>
      </c>
      <c r="AA163" t="str">
        <f>IF(Tabla1[[#This Row],[Kerma en aire acumulada (Gy)]]&gt;1,SUMIF(G:G,Tabla1[[#This Row],[SIP]],I:I)-Tabla1[[#This Row],[Kerma en aire acumulada (Gy)]],"")</f>
        <v/>
      </c>
    </row>
    <row r="164" spans="3:27">
      <c r="C164" s="157" t="str">
        <f t="shared" si="14"/>
        <v>Pediátrico</v>
      </c>
      <c r="D164" s="202" t="s">
        <v>524</v>
      </c>
      <c r="E164" s="202" t="s">
        <v>115</v>
      </c>
      <c r="F164" s="202" t="s">
        <v>525</v>
      </c>
      <c r="G164" s="202">
        <v>7164364</v>
      </c>
      <c r="H164" s="214">
        <v>44292</v>
      </c>
      <c r="I164" s="202">
        <v>0.746</v>
      </c>
      <c r="J164" s="202"/>
      <c r="K164" s="202"/>
      <c r="L164" s="202"/>
      <c r="M164" s="202"/>
      <c r="N164" s="202"/>
      <c r="O164" s="202"/>
      <c r="P164" s="202"/>
      <c r="Q164" s="202"/>
      <c r="R164" s="202"/>
      <c r="S164" s="202"/>
      <c r="T164" s="214">
        <v>39443</v>
      </c>
      <c r="U164" s="202"/>
      <c r="V164" s="202" t="s">
        <v>263</v>
      </c>
      <c r="W164" s="233" t="str">
        <f t="shared" si="15"/>
        <v>López Pardo,Lidia</v>
      </c>
      <c r="X164" s="202">
        <f t="shared" si="16"/>
        <v>4</v>
      </c>
      <c r="Y164" s="202">
        <f t="shared" si="17"/>
        <v>2021</v>
      </c>
      <c r="Z164" s="203" t="s">
        <v>265</v>
      </c>
      <c r="AA164" t="str">
        <f>IF(Tabla1[[#This Row],[Kerma en aire acumulada (Gy)]]&gt;1,SUMIF(G:G,Tabla1[[#This Row],[SIP]],I:I)-Tabla1[[#This Row],[Kerma en aire acumulada (Gy)]],"")</f>
        <v/>
      </c>
    </row>
    <row r="165" spans="3:27">
      <c r="C165" s="94" t="str">
        <f t="shared" si="14"/>
        <v>Adulto</v>
      </c>
      <c r="D165" s="95" t="s">
        <v>522</v>
      </c>
      <c r="E165" s="95" t="s">
        <v>523</v>
      </c>
      <c r="F165" s="95" t="s">
        <v>102</v>
      </c>
      <c r="G165" s="95">
        <v>2803018</v>
      </c>
      <c r="H165" s="96">
        <v>44292</v>
      </c>
      <c r="I165" s="95">
        <v>1.05</v>
      </c>
      <c r="J165" s="95"/>
      <c r="K165" s="95"/>
      <c r="L165" s="95"/>
      <c r="M165" s="95"/>
      <c r="N165" s="95"/>
      <c r="O165" s="95"/>
      <c r="P165" s="95"/>
      <c r="Q165" s="95"/>
      <c r="R165" s="95"/>
      <c r="S165" s="95"/>
      <c r="T165" s="96">
        <v>14114</v>
      </c>
      <c r="U165" s="95"/>
      <c r="V165" s="95" t="s">
        <v>89</v>
      </c>
      <c r="W165" s="232" t="str">
        <f t="shared" si="15"/>
        <v>Lacomba Albalate,José</v>
      </c>
      <c r="X165" s="154">
        <f t="shared" si="16"/>
        <v>4</v>
      </c>
      <c r="Y165" s="154">
        <f t="shared" si="17"/>
        <v>2021</v>
      </c>
      <c r="Z165" s="97" t="s">
        <v>265</v>
      </c>
      <c r="AA165">
        <f>IF(Tabla1[[#This Row],[Kerma en aire acumulada (Gy)]]&gt;1,SUMIF(G:G,Tabla1[[#This Row],[SIP]],I:I)-Tabla1[[#This Row],[Kerma en aire acumulada (Gy)]],"")</f>
        <v>0</v>
      </c>
    </row>
    <row r="166" spans="3:27">
      <c r="C166" s="89" t="str">
        <f t="shared" si="14"/>
        <v>Pediátrico</v>
      </c>
      <c r="D166" s="90" t="s">
        <v>615</v>
      </c>
      <c r="E166" s="90" t="s">
        <v>616</v>
      </c>
      <c r="F166" s="90" t="s">
        <v>617</v>
      </c>
      <c r="G166" s="90">
        <v>12097962</v>
      </c>
      <c r="H166" s="91">
        <v>44294</v>
      </c>
      <c r="I166" s="90">
        <v>0.03</v>
      </c>
      <c r="J166" s="90"/>
      <c r="K166" s="90"/>
      <c r="L166" s="90"/>
      <c r="M166" s="90"/>
      <c r="N166" s="90"/>
      <c r="O166" s="90"/>
      <c r="P166" s="90"/>
      <c r="Q166" s="90"/>
      <c r="R166" s="90"/>
      <c r="S166" s="90"/>
      <c r="T166" s="91">
        <v>39059</v>
      </c>
      <c r="U166" s="90"/>
      <c r="V166" s="90" t="s">
        <v>583</v>
      </c>
      <c r="W166" s="233" t="str">
        <f t="shared" si="15"/>
        <v>Mancebo Matos,Junior</v>
      </c>
      <c r="X166" s="202">
        <f t="shared" si="16"/>
        <v>4</v>
      </c>
      <c r="Y166" s="202">
        <f t="shared" si="17"/>
        <v>2021</v>
      </c>
      <c r="Z166" s="93"/>
      <c r="AA166" t="str">
        <f>IF(Tabla1[[#This Row],[Kerma en aire acumulada (Gy)]]&gt;1,SUMIF(G:G,Tabla1[[#This Row],[SIP]],I:I)-Tabla1[[#This Row],[Kerma en aire acumulada (Gy)]],"")</f>
        <v/>
      </c>
    </row>
    <row r="167" spans="3:27">
      <c r="C167" s="94" t="str">
        <f t="shared" si="14"/>
        <v>Adulto</v>
      </c>
      <c r="D167" s="95" t="s">
        <v>519</v>
      </c>
      <c r="E167" s="95" t="s">
        <v>520</v>
      </c>
      <c r="F167" s="95" t="s">
        <v>521</v>
      </c>
      <c r="G167" s="95">
        <v>221667</v>
      </c>
      <c r="H167" s="96">
        <v>44294</v>
      </c>
      <c r="I167" s="95">
        <v>0.81499999999999995</v>
      </c>
      <c r="J167" s="95"/>
      <c r="K167" s="95"/>
      <c r="L167" s="95"/>
      <c r="M167" s="95"/>
      <c r="N167" s="95"/>
      <c r="O167" s="95"/>
      <c r="P167" s="95"/>
      <c r="Q167" s="95"/>
      <c r="R167" s="95"/>
      <c r="S167" s="95"/>
      <c r="T167" s="96">
        <v>23078</v>
      </c>
      <c r="U167" s="95"/>
      <c r="V167" s="95" t="s">
        <v>180</v>
      </c>
      <c r="W167" s="232" t="str">
        <f t="shared" si="15"/>
        <v>Fernando Llorca,Consuelo</v>
      </c>
      <c r="X167" s="154">
        <f t="shared" si="16"/>
        <v>4</v>
      </c>
      <c r="Y167" s="154">
        <f t="shared" si="17"/>
        <v>2021</v>
      </c>
      <c r="Z167" s="97" t="s">
        <v>265</v>
      </c>
      <c r="AA167" t="str">
        <f>IF(Tabla1[[#This Row],[Kerma en aire acumulada (Gy)]]&gt;1,SUMIF(G:G,Tabla1[[#This Row],[SIP]],I:I)-Tabla1[[#This Row],[Kerma en aire acumulada (Gy)]],"")</f>
        <v/>
      </c>
    </row>
    <row r="168" spans="3:27">
      <c r="C168" s="89" t="str">
        <f t="shared" si="14"/>
        <v>Pediátrico</v>
      </c>
      <c r="D168" s="90" t="s">
        <v>628</v>
      </c>
      <c r="E168" s="90" t="s">
        <v>629</v>
      </c>
      <c r="F168" s="90" t="s">
        <v>630</v>
      </c>
      <c r="G168" s="90">
        <v>13106653</v>
      </c>
      <c r="H168" s="91">
        <v>44299</v>
      </c>
      <c r="I168" s="90">
        <v>3.7000000000000002E-3</v>
      </c>
      <c r="J168" s="90"/>
      <c r="K168" s="90"/>
      <c r="L168" s="90"/>
      <c r="M168" s="90"/>
      <c r="N168" s="90"/>
      <c r="O168" s="90"/>
      <c r="P168" s="90"/>
      <c r="Q168" s="90"/>
      <c r="R168" s="90"/>
      <c r="S168" s="90"/>
      <c r="T168" s="91">
        <v>44299</v>
      </c>
      <c r="U168" s="90"/>
      <c r="V168" s="90" t="s">
        <v>583</v>
      </c>
      <c r="W168" s="233" t="str">
        <f t="shared" si="15"/>
        <v>Pons Pous,Noa</v>
      </c>
      <c r="X168" s="202">
        <f t="shared" si="16"/>
        <v>4</v>
      </c>
      <c r="Y168" s="202">
        <f t="shared" si="17"/>
        <v>2021</v>
      </c>
      <c r="Z168" s="93"/>
      <c r="AA168" t="str">
        <f>IF(Tabla1[[#This Row],[Kerma en aire acumulada (Gy)]]&gt;1,SUMIF(G:G,Tabla1[[#This Row],[SIP]],I:I)-Tabla1[[#This Row],[Kerma en aire acumulada (Gy)]],"")</f>
        <v/>
      </c>
    </row>
    <row r="169" spans="3:27">
      <c r="C169" s="89" t="str">
        <f t="shared" si="14"/>
        <v>Pediátrico</v>
      </c>
      <c r="D169" s="106" t="s">
        <v>561</v>
      </c>
      <c r="E169" s="106" t="s">
        <v>288</v>
      </c>
      <c r="F169" s="106" t="s">
        <v>562</v>
      </c>
      <c r="G169" s="143">
        <v>6617691</v>
      </c>
      <c r="H169" s="122">
        <v>44299</v>
      </c>
      <c r="I169" s="106">
        <v>3.4140000000000001</v>
      </c>
      <c r="J169" s="106"/>
      <c r="K169" s="106"/>
      <c r="L169" s="106"/>
      <c r="M169" s="106"/>
      <c r="N169" s="106"/>
      <c r="O169" s="106"/>
      <c r="P169" s="106"/>
      <c r="Q169" s="106"/>
      <c r="R169" s="106"/>
      <c r="S169" s="106"/>
      <c r="T169" s="122">
        <v>39039</v>
      </c>
      <c r="U169" s="106"/>
      <c r="V169" s="106" t="s">
        <v>263</v>
      </c>
      <c r="W169" s="236" t="str">
        <f t="shared" ref="W169:W180" si="18">CONCATENATE(D169,$A$591,E169,",",F169)</f>
        <v>Núñez Ortiz,Rosa</v>
      </c>
      <c r="X169" s="241">
        <f t="shared" ref="X169:X180" si="19">MONTH(H169)</f>
        <v>4</v>
      </c>
      <c r="Y169" s="241">
        <f t="shared" ref="Y169:Y180" si="20">YEAR(H169)</f>
        <v>2021</v>
      </c>
      <c r="Z169" s="123" t="s">
        <v>265</v>
      </c>
      <c r="AA169">
        <f>IF(Tabla1[[#This Row],[Kerma en aire acumulada (Gy)]]&gt;1,SUMIF(G:G,Tabla1[[#This Row],[SIP]],I:I)-Tabla1[[#This Row],[Kerma en aire acumulada (Gy)]],"")</f>
        <v>0</v>
      </c>
    </row>
    <row r="170" spans="3:27">
      <c r="C170" s="94" t="str">
        <f t="shared" si="14"/>
        <v>Adulto</v>
      </c>
      <c r="D170" s="95" t="s">
        <v>556</v>
      </c>
      <c r="E170" s="95" t="s">
        <v>556</v>
      </c>
      <c r="F170" s="95" t="s">
        <v>557</v>
      </c>
      <c r="G170" s="95">
        <v>2409224</v>
      </c>
      <c r="H170" s="96">
        <v>44299</v>
      </c>
      <c r="I170" s="95">
        <v>0.63500000000000001</v>
      </c>
      <c r="J170" s="95"/>
      <c r="K170" s="95"/>
      <c r="L170" s="95"/>
      <c r="M170" s="95"/>
      <c r="N170" s="95"/>
      <c r="O170" s="95"/>
      <c r="P170" s="95"/>
      <c r="Q170" s="95"/>
      <c r="R170" s="95"/>
      <c r="S170" s="95"/>
      <c r="T170" s="96">
        <v>20872</v>
      </c>
      <c r="U170" s="95"/>
      <c r="V170" s="95" t="s">
        <v>175</v>
      </c>
      <c r="W170" s="232" t="str">
        <f t="shared" si="18"/>
        <v>Conde Conde,Miguel Francisco</v>
      </c>
      <c r="X170" s="154">
        <f t="shared" si="19"/>
        <v>4</v>
      </c>
      <c r="Y170" s="154">
        <f t="shared" si="20"/>
        <v>2021</v>
      </c>
      <c r="Z170" s="97" t="s">
        <v>265</v>
      </c>
      <c r="AA170" t="str">
        <f>IF(Tabla1[[#This Row],[Kerma en aire acumulada (Gy)]]&gt;1,SUMIF(G:G,Tabla1[[#This Row],[SIP]],I:I)-Tabla1[[#This Row],[Kerma en aire acumulada (Gy)]],"")</f>
        <v/>
      </c>
    </row>
    <row r="171" spans="3:27" ht="15.75">
      <c r="C171" s="94" t="str">
        <f t="shared" si="14"/>
        <v>Adulto</v>
      </c>
      <c r="D171" s="95" t="s">
        <v>354</v>
      </c>
      <c r="E171" s="95" t="s">
        <v>355</v>
      </c>
      <c r="F171" s="95" t="s">
        <v>356</v>
      </c>
      <c r="G171" s="95">
        <v>1006232</v>
      </c>
      <c r="H171" s="96">
        <v>44300</v>
      </c>
      <c r="I171" s="95">
        <v>0.34300000000000003</v>
      </c>
      <c r="J171" s="95">
        <v>0</v>
      </c>
      <c r="K171" s="95">
        <v>0.115</v>
      </c>
      <c r="L171" s="95">
        <v>0.17399999999999999</v>
      </c>
      <c r="M171" s="95">
        <v>0.17100000000000001</v>
      </c>
      <c r="N171" s="95">
        <v>0</v>
      </c>
      <c r="O171" s="95">
        <v>0</v>
      </c>
      <c r="P171" s="95">
        <v>7.6999999999999999E-2</v>
      </c>
      <c r="Q171" s="95">
        <v>0.14499999999999999</v>
      </c>
      <c r="R171" s="95">
        <v>0.14099999999999999</v>
      </c>
      <c r="S171" s="95">
        <v>0</v>
      </c>
      <c r="T171" s="96">
        <v>21229</v>
      </c>
      <c r="U171" s="95"/>
      <c r="V171" s="121" t="s">
        <v>563</v>
      </c>
      <c r="W171" s="232" t="str">
        <f t="shared" si="18"/>
        <v>Valverde Quevedo,Manuel</v>
      </c>
      <c r="X171" s="154">
        <f t="shared" si="19"/>
        <v>4</v>
      </c>
      <c r="Y171" s="154">
        <f t="shared" si="20"/>
        <v>2021</v>
      </c>
      <c r="Z171" s="97" t="s">
        <v>266</v>
      </c>
      <c r="AA171" t="str">
        <f>IF(Tabla1[[#This Row],[Kerma en aire acumulada (Gy)]]&gt;1,SUMIF(G:G,Tabla1[[#This Row],[SIP]],I:I)-Tabla1[[#This Row],[Kerma en aire acumulada (Gy)]],"")</f>
        <v/>
      </c>
    </row>
    <row r="172" spans="3:27" ht="15.75">
      <c r="C172" s="89" t="str">
        <f t="shared" si="14"/>
        <v>Adulto</v>
      </c>
      <c r="D172" s="90" t="s">
        <v>363</v>
      </c>
      <c r="E172" s="90" t="s">
        <v>364</v>
      </c>
      <c r="F172" s="90" t="s">
        <v>102</v>
      </c>
      <c r="G172" s="90">
        <v>1213680</v>
      </c>
      <c r="H172" s="91">
        <v>44301</v>
      </c>
      <c r="I172" s="90">
        <v>0.72599999999999998</v>
      </c>
      <c r="J172" s="90">
        <v>0</v>
      </c>
      <c r="K172" s="90">
        <v>0.26</v>
      </c>
      <c r="L172" s="90">
        <v>0.57599999999999996</v>
      </c>
      <c r="M172" s="90">
        <v>0.48099999999999998</v>
      </c>
      <c r="N172" s="90">
        <v>0</v>
      </c>
      <c r="O172" s="90">
        <v>0</v>
      </c>
      <c r="P172" s="90">
        <v>0.26</v>
      </c>
      <c r="Q172" s="90">
        <v>0.70399999999999996</v>
      </c>
      <c r="R172" s="90">
        <v>0.61</v>
      </c>
      <c r="S172" s="90">
        <v>0</v>
      </c>
      <c r="T172" s="91">
        <v>13344</v>
      </c>
      <c r="U172" s="90"/>
      <c r="V172" s="120" t="s">
        <v>563</v>
      </c>
      <c r="W172" s="233" t="str">
        <f t="shared" si="18"/>
        <v>Sendín Guerrero,José</v>
      </c>
      <c r="X172" s="202">
        <f t="shared" si="19"/>
        <v>4</v>
      </c>
      <c r="Y172" s="202">
        <f t="shared" si="20"/>
        <v>2021</v>
      </c>
      <c r="Z172" s="93" t="s">
        <v>266</v>
      </c>
      <c r="AA172" t="str">
        <f>IF(Tabla1[[#This Row],[Kerma en aire acumulada (Gy)]]&gt;1,SUMIF(G:G,Tabla1[[#This Row],[SIP]],I:I)-Tabla1[[#This Row],[Kerma en aire acumulada (Gy)]],"")</f>
        <v/>
      </c>
    </row>
    <row r="173" spans="3:27" ht="15.75" thickBot="1">
      <c r="C173" s="166" t="str">
        <f t="shared" si="14"/>
        <v>Adulto</v>
      </c>
      <c r="D173" s="163" t="s">
        <v>313</v>
      </c>
      <c r="E173" s="163" t="s">
        <v>526</v>
      </c>
      <c r="F173" s="163" t="s">
        <v>527</v>
      </c>
      <c r="G173" s="163">
        <v>244541</v>
      </c>
      <c r="H173" s="173">
        <v>44301</v>
      </c>
      <c r="I173" s="163">
        <v>1.024</v>
      </c>
      <c r="J173" s="163"/>
      <c r="K173" s="163"/>
      <c r="L173" s="163"/>
      <c r="M173" s="163"/>
      <c r="N173" s="163"/>
      <c r="O173" s="163"/>
      <c r="P173" s="163"/>
      <c r="Q173" s="163"/>
      <c r="R173" s="163"/>
      <c r="S173" s="163"/>
      <c r="T173" s="173">
        <v>24094</v>
      </c>
      <c r="U173" s="163"/>
      <c r="V173" s="163" t="s">
        <v>100</v>
      </c>
      <c r="W173" s="231" t="str">
        <f t="shared" si="18"/>
        <v>Fernández Bermúdez,Bienvenido</v>
      </c>
      <c r="X173" s="160">
        <f t="shared" si="19"/>
        <v>4</v>
      </c>
      <c r="Y173" s="160">
        <f t="shared" si="20"/>
        <v>2021</v>
      </c>
      <c r="Z173" s="172" t="s">
        <v>265</v>
      </c>
      <c r="AA173">
        <f>IF(Tabla1[[#This Row],[Kerma en aire acumulada (Gy)]]&gt;1,SUMIF(G:G,Tabla1[[#This Row],[SIP]],I:I)-Tabla1[[#This Row],[Kerma en aire acumulada (Gy)]],"")</f>
        <v>0</v>
      </c>
    </row>
    <row r="174" spans="3:27" ht="15.75">
      <c r="C174" s="157" t="str">
        <f t="shared" si="14"/>
        <v>Adulto</v>
      </c>
      <c r="D174" s="202" t="s">
        <v>353</v>
      </c>
      <c r="E174" s="202" t="s">
        <v>313</v>
      </c>
      <c r="F174" s="202" t="s">
        <v>83</v>
      </c>
      <c r="G174" s="202">
        <v>2272024</v>
      </c>
      <c r="H174" s="214">
        <v>44302</v>
      </c>
      <c r="I174" s="202">
        <v>0.60099999999999998</v>
      </c>
      <c r="J174" s="202">
        <v>0</v>
      </c>
      <c r="K174" s="202">
        <v>5.7000000000000002E-2</v>
      </c>
      <c r="L174" s="202">
        <v>0.36199999999999999</v>
      </c>
      <c r="M174" s="202">
        <v>0.35599999999999998</v>
      </c>
      <c r="N174" s="202">
        <v>0</v>
      </c>
      <c r="O174" s="202">
        <v>0</v>
      </c>
      <c r="P174" s="202">
        <v>9.0999999999999998E-2</v>
      </c>
      <c r="Q174" s="202">
        <v>0.41599999999999998</v>
      </c>
      <c r="R174" s="202">
        <v>4.1399999999999999E-2</v>
      </c>
      <c r="S174" s="202">
        <v>0</v>
      </c>
      <c r="T174" s="214">
        <v>19746</v>
      </c>
      <c r="U174" s="202"/>
      <c r="V174" s="230" t="s">
        <v>563</v>
      </c>
      <c r="W174" s="233" t="str">
        <f t="shared" si="18"/>
        <v>Muñoz Fernández,Francisco</v>
      </c>
      <c r="X174" s="202">
        <f t="shared" si="19"/>
        <v>4</v>
      </c>
      <c r="Y174" s="202">
        <f t="shared" si="20"/>
        <v>2021</v>
      </c>
      <c r="Z174" s="203" t="s">
        <v>266</v>
      </c>
      <c r="AA174" t="str">
        <f>IF(Tabla1[[#This Row],[Kerma en aire acumulada (Gy)]]&gt;1,SUMIF(G:G,Tabla1[[#This Row],[SIP]],I:I)-Tabla1[[#This Row],[Kerma en aire acumulada (Gy)]],"")</f>
        <v/>
      </c>
    </row>
    <row r="175" spans="3:27">
      <c r="C175" s="89" t="str">
        <f t="shared" si="14"/>
        <v>Adulto</v>
      </c>
      <c r="D175" s="90" t="s">
        <v>182</v>
      </c>
      <c r="E175" s="90" t="s">
        <v>554</v>
      </c>
      <c r="F175" s="90" t="s">
        <v>555</v>
      </c>
      <c r="G175" s="90">
        <v>2987571</v>
      </c>
      <c r="H175" s="91">
        <v>44305</v>
      </c>
      <c r="I175" s="90">
        <v>0.877</v>
      </c>
      <c r="J175" s="90"/>
      <c r="K175" s="90"/>
      <c r="L175" s="90"/>
      <c r="M175" s="90"/>
      <c r="N175" s="90"/>
      <c r="O175" s="90"/>
      <c r="P175" s="90"/>
      <c r="Q175" s="90"/>
      <c r="R175" s="90"/>
      <c r="S175" s="90"/>
      <c r="T175" s="91">
        <v>23384</v>
      </c>
      <c r="U175" s="90"/>
      <c r="V175" s="90"/>
      <c r="W175" s="233" t="str">
        <f t="shared" si="18"/>
        <v>Peiró Navarrete,Cándido</v>
      </c>
      <c r="X175" s="202">
        <f t="shared" si="19"/>
        <v>4</v>
      </c>
      <c r="Y175" s="202">
        <f t="shared" si="20"/>
        <v>2021</v>
      </c>
      <c r="Z175" s="93" t="s">
        <v>265</v>
      </c>
      <c r="AA175" t="str">
        <f>IF(Tabla1[[#This Row],[Kerma en aire acumulada (Gy)]]&gt;1,SUMIF(G:G,Tabla1[[#This Row],[SIP]],I:I)-Tabla1[[#This Row],[Kerma en aire acumulada (Gy)]],"")</f>
        <v/>
      </c>
    </row>
    <row r="176" spans="3:27">
      <c r="C176" s="94" t="str">
        <f t="shared" si="14"/>
        <v>Adulto</v>
      </c>
      <c r="D176" s="95" t="s">
        <v>361</v>
      </c>
      <c r="E176" s="95" t="s">
        <v>46</v>
      </c>
      <c r="F176" s="95" t="s">
        <v>362</v>
      </c>
      <c r="G176" s="95">
        <v>2949196</v>
      </c>
      <c r="H176" s="96">
        <v>44305</v>
      </c>
      <c r="I176" s="95">
        <v>0.9</v>
      </c>
      <c r="J176" s="95">
        <v>0</v>
      </c>
      <c r="K176" s="95">
        <v>0.28599999999999998</v>
      </c>
      <c r="L176" s="95">
        <v>0.28699999999999998</v>
      </c>
      <c r="M176" s="95">
        <v>0.08</v>
      </c>
      <c r="N176" s="95">
        <v>0</v>
      </c>
      <c r="O176" s="95">
        <v>0</v>
      </c>
      <c r="P176" s="95">
        <v>0.38400000000000001</v>
      </c>
      <c r="Q176" s="95">
        <v>0.38400000000000001</v>
      </c>
      <c r="R176" s="95">
        <v>0.13400000000000001</v>
      </c>
      <c r="S176" s="95">
        <v>0</v>
      </c>
      <c r="T176" s="96">
        <v>26249</v>
      </c>
      <c r="U176" s="95"/>
      <c r="V176" s="118" t="s">
        <v>563</v>
      </c>
      <c r="W176" s="232" t="str">
        <f t="shared" si="18"/>
        <v>Catalán Pérez,Mónica</v>
      </c>
      <c r="X176" s="154">
        <f t="shared" si="19"/>
        <v>4</v>
      </c>
      <c r="Y176" s="154">
        <f t="shared" si="20"/>
        <v>2021</v>
      </c>
      <c r="Z176" s="97" t="s">
        <v>266</v>
      </c>
      <c r="AA176" t="str">
        <f>IF(Tabla1[[#This Row],[Kerma en aire acumulada (Gy)]]&gt;1,SUMIF(G:G,Tabla1[[#This Row],[SIP]],I:I)-Tabla1[[#This Row],[Kerma en aire acumulada (Gy)]],"")</f>
        <v/>
      </c>
    </row>
    <row r="177" spans="3:27">
      <c r="C177" s="89" t="str">
        <f t="shared" si="14"/>
        <v>Adulto</v>
      </c>
      <c r="D177" s="90" t="s">
        <v>26</v>
      </c>
      <c r="E177" s="90" t="s">
        <v>524</v>
      </c>
      <c r="F177" s="90" t="s">
        <v>83</v>
      </c>
      <c r="G177" s="90">
        <v>3745640</v>
      </c>
      <c r="H177" s="91">
        <v>44305</v>
      </c>
      <c r="I177" s="90">
        <v>1.472</v>
      </c>
      <c r="J177" s="90"/>
      <c r="K177" s="90"/>
      <c r="L177" s="90"/>
      <c r="M177" s="90"/>
      <c r="N177" s="90"/>
      <c r="O177" s="90"/>
      <c r="P177" s="90"/>
      <c r="Q177" s="90"/>
      <c r="R177" s="90"/>
      <c r="S177" s="90"/>
      <c r="T177" s="91">
        <v>20739</v>
      </c>
      <c r="U177" s="90"/>
      <c r="V177" s="90" t="s">
        <v>550</v>
      </c>
      <c r="W177" s="233" t="str">
        <f t="shared" si="18"/>
        <v>Blasco  López,Francisco</v>
      </c>
      <c r="X177" s="202">
        <f t="shared" si="19"/>
        <v>4</v>
      </c>
      <c r="Y177" s="202">
        <f t="shared" si="20"/>
        <v>2021</v>
      </c>
      <c r="Z177" s="93" t="s">
        <v>265</v>
      </c>
      <c r="AA177">
        <f>IF(Tabla1[[#This Row],[Kerma en aire acumulada (Gy)]]&gt;1,SUMIF(G:G,Tabla1[[#This Row],[SIP]],I:I)-Tabla1[[#This Row],[Kerma en aire acumulada (Gy)]],"")</f>
        <v>0.60599999999999987</v>
      </c>
    </row>
    <row r="178" spans="3:27">
      <c r="C178" s="94" t="str">
        <f t="shared" si="14"/>
        <v>Pediátrico</v>
      </c>
      <c r="D178" s="95" t="s">
        <v>558</v>
      </c>
      <c r="E178" s="95" t="s">
        <v>559</v>
      </c>
      <c r="F178" s="95" t="s">
        <v>560</v>
      </c>
      <c r="G178" s="119">
        <v>12872007</v>
      </c>
      <c r="H178" s="96">
        <v>44305</v>
      </c>
      <c r="I178" s="95">
        <v>0.72099999999999997</v>
      </c>
      <c r="J178" s="95"/>
      <c r="K178" s="95"/>
      <c r="L178" s="95"/>
      <c r="M178" s="95"/>
      <c r="N178" s="95"/>
      <c r="O178" s="95"/>
      <c r="P178" s="95"/>
      <c r="Q178" s="95"/>
      <c r="R178" s="95"/>
      <c r="S178" s="95"/>
      <c r="T178" s="96">
        <v>39930</v>
      </c>
      <c r="U178" s="95"/>
      <c r="V178" s="95" t="s">
        <v>263</v>
      </c>
      <c r="W178" s="232" t="str">
        <f t="shared" si="18"/>
        <v>Arteaga Piedrahita,Dylan Adriy</v>
      </c>
      <c r="X178" s="154">
        <f t="shared" si="19"/>
        <v>4</v>
      </c>
      <c r="Y178" s="154">
        <f t="shared" si="20"/>
        <v>2021</v>
      </c>
      <c r="Z178" s="97" t="s">
        <v>265</v>
      </c>
      <c r="AA178" t="str">
        <f>IF(Tabla1[[#This Row],[Kerma en aire acumulada (Gy)]]&gt;1,SUMIF(G:G,Tabla1[[#This Row],[SIP]],I:I)-Tabla1[[#This Row],[Kerma en aire acumulada (Gy)]],"")</f>
        <v/>
      </c>
    </row>
    <row r="179" spans="3:27">
      <c r="C179" s="89" t="str">
        <f t="shared" si="14"/>
        <v>Adulto</v>
      </c>
      <c r="D179" s="90" t="s">
        <v>528</v>
      </c>
      <c r="E179" s="90"/>
      <c r="F179" s="90" t="s">
        <v>529</v>
      </c>
      <c r="G179" s="90">
        <v>6771491</v>
      </c>
      <c r="H179" s="91">
        <v>44306</v>
      </c>
      <c r="I179" s="90">
        <v>0.53</v>
      </c>
      <c r="J179" s="90"/>
      <c r="K179" s="90"/>
      <c r="L179" s="90"/>
      <c r="M179" s="90"/>
      <c r="N179" s="90"/>
      <c r="O179" s="90"/>
      <c r="P179" s="90"/>
      <c r="Q179" s="90"/>
      <c r="R179" s="90"/>
      <c r="S179" s="90"/>
      <c r="T179" s="91">
        <v>26442</v>
      </c>
      <c r="U179" s="90"/>
      <c r="V179" s="90" t="s">
        <v>530</v>
      </c>
      <c r="W179" s="233" t="str">
        <f t="shared" si="18"/>
        <v>Lamallem ,Jamil</v>
      </c>
      <c r="X179" s="202">
        <f t="shared" si="19"/>
        <v>4</v>
      </c>
      <c r="Y179" s="202">
        <f t="shared" si="20"/>
        <v>2021</v>
      </c>
      <c r="Z179" s="93" t="s">
        <v>265</v>
      </c>
      <c r="AA179" t="str">
        <f>IF(Tabla1[[#This Row],[Kerma en aire acumulada (Gy)]]&gt;1,SUMIF(G:G,Tabla1[[#This Row],[SIP]],I:I)-Tabla1[[#This Row],[Kerma en aire acumulada (Gy)]],"")</f>
        <v/>
      </c>
    </row>
    <row r="180" spans="3:27">
      <c r="C180" s="94" t="str">
        <f t="shared" si="14"/>
        <v>Adulto</v>
      </c>
      <c r="D180" s="95" t="s">
        <v>375</v>
      </c>
      <c r="E180" s="95" t="s">
        <v>376</v>
      </c>
      <c r="F180" s="95" t="s">
        <v>377</v>
      </c>
      <c r="G180" s="95">
        <v>3329365</v>
      </c>
      <c r="H180" s="96">
        <v>44306</v>
      </c>
      <c r="I180" s="95">
        <v>0.39600000000000002</v>
      </c>
      <c r="J180" s="95">
        <v>0</v>
      </c>
      <c r="K180" s="95">
        <v>0.123</v>
      </c>
      <c r="L180" s="95">
        <v>0.39400000000000002</v>
      </c>
      <c r="M180" s="95">
        <v>0.32400000000000001</v>
      </c>
      <c r="N180" s="95">
        <v>0</v>
      </c>
      <c r="O180" s="95">
        <v>0</v>
      </c>
      <c r="P180" s="95">
        <v>0.123</v>
      </c>
      <c r="Q180" s="95">
        <v>0.39400000000000002</v>
      </c>
      <c r="R180" s="95">
        <v>0.32400000000000001</v>
      </c>
      <c r="S180" s="95">
        <v>0</v>
      </c>
      <c r="T180" s="96">
        <v>14645</v>
      </c>
      <c r="U180" s="95"/>
      <c r="V180" s="118" t="s">
        <v>563</v>
      </c>
      <c r="W180" s="232" t="str">
        <f t="shared" si="18"/>
        <v>Alberto Saiz,Pilar</v>
      </c>
      <c r="X180" s="154">
        <f t="shared" si="19"/>
        <v>4</v>
      </c>
      <c r="Y180" s="154">
        <f t="shared" si="20"/>
        <v>2021</v>
      </c>
      <c r="Z180" s="97" t="s">
        <v>266</v>
      </c>
      <c r="AA180" t="str">
        <f>IF(Tabla1[[#This Row],[Kerma en aire acumulada (Gy)]]&gt;1,SUMIF(G:G,Tabla1[[#This Row],[SIP]],I:I)-Tabla1[[#This Row],[Kerma en aire acumulada (Gy)]],"")</f>
        <v/>
      </c>
    </row>
    <row r="181" spans="3:27">
      <c r="C181" s="94" t="str">
        <f t="shared" si="14"/>
        <v>Adulto</v>
      </c>
      <c r="D181" s="95" t="s">
        <v>772</v>
      </c>
      <c r="E181" s="95" t="s">
        <v>962</v>
      </c>
      <c r="F181" s="95" t="s">
        <v>963</v>
      </c>
      <c r="G181" s="95">
        <v>1244519</v>
      </c>
      <c r="H181" s="96">
        <v>44307</v>
      </c>
      <c r="I181" s="95">
        <v>0.30099999999999999</v>
      </c>
      <c r="J181" s="95"/>
      <c r="K181" s="95"/>
      <c r="L181" s="95"/>
      <c r="M181" s="95"/>
      <c r="N181" s="95"/>
      <c r="O181" s="95"/>
      <c r="P181" s="95"/>
      <c r="Q181" s="95"/>
      <c r="R181" s="95"/>
      <c r="S181" s="95"/>
      <c r="T181" s="96">
        <v>17167</v>
      </c>
      <c r="U181" s="95"/>
      <c r="V181" s="95" t="s">
        <v>92</v>
      </c>
      <c r="W181" s="154"/>
      <c r="X181" s="154"/>
      <c r="Y181" s="154"/>
      <c r="Z181" s="97"/>
      <c r="AA181" t="str">
        <f>IF(Tabla1[[#This Row],[Kerma en aire acumulada (Gy)]]&gt;1,SUMIF(G:G,Tabla1[[#This Row],[SIP]],I:I)-Tabla1[[#This Row],[Kerma en aire acumulada (Gy)]],"")</f>
        <v/>
      </c>
    </row>
    <row r="182" spans="3:27">
      <c r="C182" s="89" t="str">
        <f t="shared" si="14"/>
        <v>Adulto</v>
      </c>
      <c r="D182" s="90" t="s">
        <v>368</v>
      </c>
      <c r="E182" s="90" t="s">
        <v>587</v>
      </c>
      <c r="F182" s="90" t="s">
        <v>588</v>
      </c>
      <c r="G182" s="90">
        <v>3510329</v>
      </c>
      <c r="H182" s="91">
        <v>44312</v>
      </c>
      <c r="I182" s="90">
        <v>0.4</v>
      </c>
      <c r="J182" s="90"/>
      <c r="K182" s="90"/>
      <c r="L182" s="90"/>
      <c r="M182" s="90"/>
      <c r="N182" s="90"/>
      <c r="O182" s="90"/>
      <c r="P182" s="90"/>
      <c r="Q182" s="90"/>
      <c r="R182" s="90"/>
      <c r="S182" s="90"/>
      <c r="T182" s="91">
        <v>20522</v>
      </c>
      <c r="U182" s="90"/>
      <c r="V182" s="90" t="s">
        <v>89</v>
      </c>
      <c r="W182" s="233" t="str">
        <f t="shared" ref="W182:W196" si="21">CONCATENATE(D182,$A$591,E182,",",F182)</f>
        <v>García Calabuig,Eliduvina</v>
      </c>
      <c r="X182" s="202">
        <f t="shared" ref="X182:X196" si="22">MONTH(H182)</f>
        <v>4</v>
      </c>
      <c r="Y182" s="202">
        <f t="shared" ref="Y182:Y196" si="23">YEAR(H182)</f>
        <v>2021</v>
      </c>
      <c r="Z182" s="93"/>
      <c r="AA182" t="str">
        <f>IF(Tabla1[[#This Row],[Kerma en aire acumulada (Gy)]]&gt;1,SUMIF(G:G,Tabla1[[#This Row],[SIP]],I:I)-Tabla1[[#This Row],[Kerma en aire acumulada (Gy)]],"")</f>
        <v/>
      </c>
    </row>
    <row r="183" spans="3:27">
      <c r="C183" s="94" t="str">
        <f t="shared" si="14"/>
        <v>Adulto</v>
      </c>
      <c r="D183" s="95" t="s">
        <v>584</v>
      </c>
      <c r="E183" s="95" t="s">
        <v>584</v>
      </c>
      <c r="F183" s="95" t="s">
        <v>585</v>
      </c>
      <c r="G183" s="95">
        <v>245828</v>
      </c>
      <c r="H183" s="96">
        <v>44312</v>
      </c>
      <c r="I183" s="95">
        <v>1.032</v>
      </c>
      <c r="J183" s="95"/>
      <c r="K183" s="95"/>
      <c r="L183" s="95"/>
      <c r="M183" s="95"/>
      <c r="N183" s="95"/>
      <c r="O183" s="95"/>
      <c r="P183" s="95"/>
      <c r="Q183" s="95"/>
      <c r="R183" s="95"/>
      <c r="S183" s="95"/>
      <c r="T183" s="96">
        <v>19591</v>
      </c>
      <c r="U183" s="95"/>
      <c r="V183" s="95" t="s">
        <v>586</v>
      </c>
      <c r="W183" s="232" t="str">
        <f t="shared" si="21"/>
        <v>Estruch Estruch,Ricardo</v>
      </c>
      <c r="X183" s="154">
        <f t="shared" si="22"/>
        <v>4</v>
      </c>
      <c r="Y183" s="154">
        <f t="shared" si="23"/>
        <v>2021</v>
      </c>
      <c r="Z183" s="97" t="s">
        <v>265</v>
      </c>
      <c r="AA183">
        <f>IF(Tabla1[[#This Row],[Kerma en aire acumulada (Gy)]]&gt;1,SUMIF(G:G,Tabla1[[#This Row],[SIP]],I:I)-Tabla1[[#This Row],[Kerma en aire acumulada (Gy)]],"")</f>
        <v>0</v>
      </c>
    </row>
    <row r="184" spans="3:27">
      <c r="C184" s="89" t="str">
        <f t="shared" si="14"/>
        <v>Pediátrico</v>
      </c>
      <c r="D184" s="90" t="s">
        <v>32</v>
      </c>
      <c r="E184" s="90" t="s">
        <v>591</v>
      </c>
      <c r="F184" s="90" t="s">
        <v>592</v>
      </c>
      <c r="G184" s="90">
        <v>11757112</v>
      </c>
      <c r="H184" s="91">
        <v>44313</v>
      </c>
      <c r="I184" s="90">
        <f>9.94/1000</f>
        <v>9.9399999999999992E-3</v>
      </c>
      <c r="J184" s="90"/>
      <c r="K184" s="90"/>
      <c r="L184" s="90"/>
      <c r="M184" s="90"/>
      <c r="N184" s="90"/>
      <c r="O184" s="90"/>
      <c r="P184" s="90"/>
      <c r="Q184" s="90"/>
      <c r="R184" s="90"/>
      <c r="S184" s="90"/>
      <c r="T184" s="91">
        <v>42633</v>
      </c>
      <c r="U184" s="90"/>
      <c r="V184" s="90" t="s">
        <v>583</v>
      </c>
      <c r="W184" s="233" t="str">
        <f t="shared" si="21"/>
        <v>Gómez Poles,María</v>
      </c>
      <c r="X184" s="202">
        <f t="shared" si="22"/>
        <v>4</v>
      </c>
      <c r="Y184" s="202">
        <f t="shared" si="23"/>
        <v>2021</v>
      </c>
      <c r="Z184" s="93"/>
      <c r="AA184" t="str">
        <f>IF(Tabla1[[#This Row],[Kerma en aire acumulada (Gy)]]&gt;1,SUMIF(G:G,Tabla1[[#This Row],[SIP]],I:I)-Tabla1[[#This Row],[Kerma en aire acumulada (Gy)]],"")</f>
        <v/>
      </c>
    </row>
    <row r="185" spans="3:27" ht="15.75" thickBot="1">
      <c r="C185" s="166" t="str">
        <f t="shared" si="14"/>
        <v>Adulto</v>
      </c>
      <c r="D185" s="163" t="s">
        <v>589</v>
      </c>
      <c r="E185" s="163" t="s">
        <v>78</v>
      </c>
      <c r="F185" s="163" t="s">
        <v>590</v>
      </c>
      <c r="G185" s="163">
        <v>3523973</v>
      </c>
      <c r="H185" s="173">
        <v>44313</v>
      </c>
      <c r="I185" s="163">
        <v>1.3580000000000001</v>
      </c>
      <c r="J185" s="163"/>
      <c r="K185" s="163"/>
      <c r="L185" s="163"/>
      <c r="M185" s="163"/>
      <c r="N185" s="163"/>
      <c r="O185" s="163"/>
      <c r="P185" s="163"/>
      <c r="Q185" s="163"/>
      <c r="R185" s="163"/>
      <c r="S185" s="163"/>
      <c r="T185" s="173">
        <v>16757</v>
      </c>
      <c r="U185" s="163"/>
      <c r="V185" s="163" t="s">
        <v>89</v>
      </c>
      <c r="W185" s="231" t="str">
        <f t="shared" si="21"/>
        <v>Burriel Ballester,Herminio</v>
      </c>
      <c r="X185" s="160">
        <f t="shared" si="22"/>
        <v>4</v>
      </c>
      <c r="Y185" s="160">
        <f t="shared" si="23"/>
        <v>2021</v>
      </c>
      <c r="Z185" s="172"/>
      <c r="AA185">
        <f>IF(Tabla1[[#This Row],[Kerma en aire acumulada (Gy)]]&gt;1,SUMIF(G:G,Tabla1[[#This Row],[SIP]],I:I)-Tabla1[[#This Row],[Kerma en aire acumulada (Gy)]],"")</f>
        <v>0</v>
      </c>
    </row>
    <row r="186" spans="3:27">
      <c r="C186" s="155" t="str">
        <f t="shared" si="14"/>
        <v>Pediátrico</v>
      </c>
      <c r="D186" s="154" t="s">
        <v>597</v>
      </c>
      <c r="E186" s="154" t="s">
        <v>598</v>
      </c>
      <c r="F186" s="154" t="s">
        <v>142</v>
      </c>
      <c r="G186" s="154">
        <v>9650615</v>
      </c>
      <c r="H186" s="156">
        <v>44314</v>
      </c>
      <c r="I186" s="154">
        <f>12.8/1000</f>
        <v>1.2800000000000001E-2</v>
      </c>
      <c r="J186" s="154"/>
      <c r="K186" s="154"/>
      <c r="L186" s="154"/>
      <c r="M186" s="154"/>
      <c r="N186" s="154"/>
      <c r="O186" s="154"/>
      <c r="P186" s="154"/>
      <c r="Q186" s="154"/>
      <c r="R186" s="154"/>
      <c r="S186" s="154"/>
      <c r="T186" s="156">
        <v>40956</v>
      </c>
      <c r="U186" s="154"/>
      <c r="V186" s="154" t="s">
        <v>599</v>
      </c>
      <c r="W186" s="232" t="str">
        <f t="shared" si="21"/>
        <v>Peinado Castillejos,David</v>
      </c>
      <c r="X186" s="154">
        <f t="shared" si="22"/>
        <v>4</v>
      </c>
      <c r="Y186" s="154">
        <f t="shared" si="23"/>
        <v>2021</v>
      </c>
      <c r="Z186" s="174" t="s">
        <v>265</v>
      </c>
      <c r="AA186" t="str">
        <f>IF(Tabla1[[#This Row],[Kerma en aire acumulada (Gy)]]&gt;1,SUMIF(G:G,Tabla1[[#This Row],[SIP]],I:I)-Tabla1[[#This Row],[Kerma en aire acumulada (Gy)]],"")</f>
        <v/>
      </c>
    </row>
    <row r="187" spans="3:27">
      <c r="C187" s="89" t="str">
        <f t="shared" si="14"/>
        <v>Pediátrico</v>
      </c>
      <c r="D187" s="90" t="s">
        <v>609</v>
      </c>
      <c r="E187" s="90"/>
      <c r="F187" s="90" t="s">
        <v>610</v>
      </c>
      <c r="G187" s="90">
        <v>13030412</v>
      </c>
      <c r="H187" s="91">
        <v>44314</v>
      </c>
      <c r="I187" s="90">
        <f>1.46/1000</f>
        <v>1.4599999999999999E-3</v>
      </c>
      <c r="J187" s="90"/>
      <c r="K187" s="90"/>
      <c r="L187" s="90"/>
      <c r="M187" s="90"/>
      <c r="N187" s="90"/>
      <c r="O187" s="90"/>
      <c r="P187" s="90"/>
      <c r="Q187" s="90"/>
      <c r="R187" s="90"/>
      <c r="S187" s="90"/>
      <c r="T187" s="91">
        <v>44145</v>
      </c>
      <c r="U187" s="90"/>
      <c r="V187" s="90" t="s">
        <v>611</v>
      </c>
      <c r="W187" s="233" t="str">
        <f t="shared" si="21"/>
        <v>Ciochina ,Maya Paulina</v>
      </c>
      <c r="X187" s="202">
        <f t="shared" si="22"/>
        <v>4</v>
      </c>
      <c r="Y187" s="202">
        <f t="shared" si="23"/>
        <v>2021</v>
      </c>
      <c r="Z187" s="93" t="s">
        <v>265</v>
      </c>
      <c r="AA187" t="str">
        <f>IF(Tabla1[[#This Row],[Kerma en aire acumulada (Gy)]]&gt;1,SUMIF(G:G,Tabla1[[#This Row],[SIP]],I:I)-Tabla1[[#This Row],[Kerma en aire acumulada (Gy)]],"")</f>
        <v/>
      </c>
    </row>
    <row r="188" spans="3:27">
      <c r="C188" s="94" t="str">
        <f t="shared" si="14"/>
        <v>Adulto</v>
      </c>
      <c r="D188" s="95" t="s">
        <v>52</v>
      </c>
      <c r="E188" s="95" t="s">
        <v>53</v>
      </c>
      <c r="F188" s="95" t="s">
        <v>54</v>
      </c>
      <c r="G188" s="95">
        <v>2878193</v>
      </c>
      <c r="H188" s="96">
        <v>44314</v>
      </c>
      <c r="I188" s="95">
        <v>0.4</v>
      </c>
      <c r="J188" s="95"/>
      <c r="K188" s="95"/>
      <c r="L188" s="95"/>
      <c r="M188" s="95"/>
      <c r="N188" s="95"/>
      <c r="O188" s="95"/>
      <c r="P188" s="95"/>
      <c r="Q188" s="95"/>
      <c r="R188" s="95"/>
      <c r="S188" s="95"/>
      <c r="T188" s="96">
        <v>21898</v>
      </c>
      <c r="U188" s="95"/>
      <c r="V188" s="95" t="s">
        <v>552</v>
      </c>
      <c r="W188" s="232" t="str">
        <f t="shared" si="21"/>
        <v>Chust Piquer,Isabel</v>
      </c>
      <c r="X188" s="154">
        <f t="shared" si="22"/>
        <v>4</v>
      </c>
      <c r="Y188" s="154">
        <f t="shared" si="23"/>
        <v>2021</v>
      </c>
      <c r="Z188" s="97" t="s">
        <v>265</v>
      </c>
      <c r="AA188" t="str">
        <f>IF(Tabla1[[#This Row],[Kerma en aire acumulada (Gy)]]&gt;1,SUMIF(G:G,Tabla1[[#This Row],[SIP]],I:I)-Tabla1[[#This Row],[Kerma en aire acumulada (Gy)]],"")</f>
        <v/>
      </c>
    </row>
    <row r="189" spans="3:27">
      <c r="C189" s="89" t="str">
        <f t="shared" si="14"/>
        <v>Pediátrico</v>
      </c>
      <c r="D189" s="90" t="s">
        <v>593</v>
      </c>
      <c r="E189" s="90" t="s">
        <v>594</v>
      </c>
      <c r="F189" s="90" t="s">
        <v>595</v>
      </c>
      <c r="G189" s="90">
        <v>8482529</v>
      </c>
      <c r="H189" s="91">
        <v>44314</v>
      </c>
      <c r="I189" s="90">
        <f>34/1000</f>
        <v>3.4000000000000002E-2</v>
      </c>
      <c r="J189" s="90"/>
      <c r="K189" s="90"/>
      <c r="L189" s="90"/>
      <c r="M189" s="90"/>
      <c r="N189" s="90"/>
      <c r="O189" s="90"/>
      <c r="P189" s="90"/>
      <c r="Q189" s="90"/>
      <c r="R189" s="90"/>
      <c r="S189" s="90"/>
      <c r="T189" s="91">
        <v>40595</v>
      </c>
      <c r="U189" s="90"/>
      <c r="V189" s="90" t="s">
        <v>596</v>
      </c>
      <c r="W189" s="233" t="str">
        <f t="shared" si="21"/>
        <v>Cantos Mendoza,Rubén</v>
      </c>
      <c r="X189" s="202">
        <f t="shared" si="22"/>
        <v>4</v>
      </c>
      <c r="Y189" s="202">
        <f t="shared" si="23"/>
        <v>2021</v>
      </c>
      <c r="Z189" s="93"/>
      <c r="AA189" t="str">
        <f>IF(Tabla1[[#This Row],[Kerma en aire acumulada (Gy)]]&gt;1,SUMIF(G:G,Tabla1[[#This Row],[SIP]],I:I)-Tabla1[[#This Row],[Kerma en aire acumulada (Gy)]],"")</f>
        <v/>
      </c>
    </row>
    <row r="190" spans="3:27">
      <c r="C190" s="89" t="str">
        <f t="shared" si="14"/>
        <v>Pediátrico</v>
      </c>
      <c r="D190" s="90" t="s">
        <v>32</v>
      </c>
      <c r="E190" s="90" t="s">
        <v>614</v>
      </c>
      <c r="F190" s="90" t="s">
        <v>538</v>
      </c>
      <c r="G190" s="90">
        <v>6670344</v>
      </c>
      <c r="H190" s="91">
        <v>44315</v>
      </c>
      <c r="I190" s="90">
        <v>6.6000000000000003E-2</v>
      </c>
      <c r="J190" s="90"/>
      <c r="K190" s="90"/>
      <c r="L190" s="90"/>
      <c r="M190" s="90"/>
      <c r="N190" s="90"/>
      <c r="O190" s="90"/>
      <c r="P190" s="90"/>
      <c r="Q190" s="90"/>
      <c r="R190" s="90"/>
      <c r="S190" s="90"/>
      <c r="T190" s="91">
        <v>39086</v>
      </c>
      <c r="U190" s="90"/>
      <c r="V190" s="90" t="s">
        <v>599</v>
      </c>
      <c r="W190" s="233" t="str">
        <f t="shared" si="21"/>
        <v>Gómez Zambrano,Hugo</v>
      </c>
      <c r="X190" s="202">
        <f t="shared" si="22"/>
        <v>4</v>
      </c>
      <c r="Y190" s="202">
        <f t="shared" si="23"/>
        <v>2021</v>
      </c>
      <c r="Z190" s="93"/>
      <c r="AA190" t="str">
        <f>IF(Tabla1[[#This Row],[Kerma en aire acumulada (Gy)]]&gt;1,SUMIF(G:G,Tabla1[[#This Row],[SIP]],I:I)-Tabla1[[#This Row],[Kerma en aire acumulada (Gy)]],"")</f>
        <v/>
      </c>
    </row>
    <row r="191" spans="3:27">
      <c r="C191" s="94" t="str">
        <f t="shared" si="14"/>
        <v>Pediátrico</v>
      </c>
      <c r="D191" s="95" t="s">
        <v>612</v>
      </c>
      <c r="E191" s="95"/>
      <c r="F191" s="95" t="s">
        <v>613</v>
      </c>
      <c r="G191" s="95">
        <v>7263099</v>
      </c>
      <c r="H191" s="96">
        <v>44315</v>
      </c>
      <c r="I191" s="95">
        <v>0.36499999999999999</v>
      </c>
      <c r="J191" s="95"/>
      <c r="K191" s="95"/>
      <c r="L191" s="95"/>
      <c r="M191" s="95"/>
      <c r="N191" s="95"/>
      <c r="O191" s="95"/>
      <c r="P191" s="95"/>
      <c r="Q191" s="95"/>
      <c r="R191" s="95"/>
      <c r="S191" s="95"/>
      <c r="T191" s="96">
        <v>39551</v>
      </c>
      <c r="U191" s="95"/>
      <c r="V191" s="95" t="s">
        <v>583</v>
      </c>
      <c r="W191" s="232" t="str">
        <f t="shared" si="21"/>
        <v>Constinuc ,David Constanti</v>
      </c>
      <c r="X191" s="154">
        <f t="shared" si="22"/>
        <v>4</v>
      </c>
      <c r="Y191" s="154">
        <f t="shared" si="23"/>
        <v>2021</v>
      </c>
      <c r="Z191" s="97" t="s">
        <v>266</v>
      </c>
      <c r="AA191" t="str">
        <f>IF(Tabla1[[#This Row],[Kerma en aire acumulada (Gy)]]&gt;1,SUMIF(G:G,Tabla1[[#This Row],[SIP]],I:I)-Tabla1[[#This Row],[Kerma en aire acumulada (Gy)]],"")</f>
        <v/>
      </c>
    </row>
    <row r="192" spans="3:27">
      <c r="C192" s="94" t="str">
        <f t="shared" si="14"/>
        <v>Pediátrico</v>
      </c>
      <c r="D192" s="95" t="s">
        <v>189</v>
      </c>
      <c r="E192" s="95" t="s">
        <v>641</v>
      </c>
      <c r="F192" s="95" t="s">
        <v>642</v>
      </c>
      <c r="G192" s="95">
        <v>8062522</v>
      </c>
      <c r="H192" s="96">
        <v>44316</v>
      </c>
      <c r="I192" s="95">
        <v>0.10299999999999999</v>
      </c>
      <c r="J192" s="95"/>
      <c r="K192" s="95"/>
      <c r="L192" s="95"/>
      <c r="M192" s="95"/>
      <c r="N192" s="95"/>
      <c r="O192" s="95"/>
      <c r="P192" s="95"/>
      <c r="Q192" s="95"/>
      <c r="R192" s="95"/>
      <c r="S192" s="95"/>
      <c r="T192" s="96">
        <v>43973</v>
      </c>
      <c r="U192" s="95"/>
      <c r="V192" s="95" t="s">
        <v>643</v>
      </c>
      <c r="W192" s="232" t="str">
        <f t="shared" si="21"/>
        <v>Giner Parra,Alba</v>
      </c>
      <c r="X192" s="154">
        <f t="shared" si="22"/>
        <v>4</v>
      </c>
      <c r="Y192" s="154">
        <f t="shared" si="23"/>
        <v>2021</v>
      </c>
      <c r="Z192" s="97"/>
      <c r="AA192" t="str">
        <f>IF(Tabla1[[#This Row],[Kerma en aire acumulada (Gy)]]&gt;1,SUMIF(G:G,Tabla1[[#This Row],[SIP]],I:I)-Tabla1[[#This Row],[Kerma en aire acumulada (Gy)]],"")</f>
        <v/>
      </c>
    </row>
    <row r="193" spans="3:27">
      <c r="C193" s="89" t="str">
        <f t="shared" si="14"/>
        <v>Pediátrico</v>
      </c>
      <c r="D193" s="90" t="s">
        <v>653</v>
      </c>
      <c r="E193" s="90" t="s">
        <v>319</v>
      </c>
      <c r="F193" s="90" t="s">
        <v>654</v>
      </c>
      <c r="G193" s="90">
        <v>1290954</v>
      </c>
      <c r="H193" s="91">
        <v>44316</v>
      </c>
      <c r="I193" s="90">
        <f>(28.85+19.96)/1000</f>
        <v>4.8809999999999999E-2</v>
      </c>
      <c r="J193" s="90"/>
      <c r="K193" s="90"/>
      <c r="L193" s="90"/>
      <c r="M193" s="90"/>
      <c r="N193" s="90"/>
      <c r="O193" s="90"/>
      <c r="P193" s="90"/>
      <c r="Q193" s="90"/>
      <c r="R193" s="90"/>
      <c r="S193" s="90"/>
      <c r="T193" s="91">
        <v>43949</v>
      </c>
      <c r="U193" s="90"/>
      <c r="V193" s="90" t="s">
        <v>583</v>
      </c>
      <c r="W193" s="233" t="str">
        <f t="shared" si="21"/>
        <v>Ferrus Gonzalez,Laia</v>
      </c>
      <c r="X193" s="202">
        <f t="shared" si="22"/>
        <v>4</v>
      </c>
      <c r="Y193" s="202">
        <f t="shared" si="23"/>
        <v>2021</v>
      </c>
      <c r="Z193" s="93" t="s">
        <v>266</v>
      </c>
      <c r="AA193" t="str">
        <f>IF(Tabla1[[#This Row],[Kerma en aire acumulada (Gy)]]&gt;1,SUMIF(G:G,Tabla1[[#This Row],[SIP]],I:I)-Tabla1[[#This Row],[Kerma en aire acumulada (Gy)]],"")</f>
        <v/>
      </c>
    </row>
    <row r="194" spans="3:27" ht="15.75" thickBot="1">
      <c r="C194" s="193" t="str">
        <f t="shared" si="14"/>
        <v>Pediátrico</v>
      </c>
      <c r="D194" s="181" t="s">
        <v>644</v>
      </c>
      <c r="E194" s="181" t="s">
        <v>104</v>
      </c>
      <c r="F194" s="181" t="s">
        <v>642</v>
      </c>
      <c r="G194" s="181">
        <v>12648248</v>
      </c>
      <c r="H194" s="194">
        <v>44319</v>
      </c>
      <c r="I194" s="181">
        <v>4.5999999999999999E-2</v>
      </c>
      <c r="J194" s="181"/>
      <c r="K194" s="181"/>
      <c r="L194" s="181"/>
      <c r="M194" s="181"/>
      <c r="N194" s="181"/>
      <c r="O194" s="181"/>
      <c r="P194" s="181"/>
      <c r="Q194" s="181"/>
      <c r="R194" s="181"/>
      <c r="S194" s="181"/>
      <c r="T194" s="194">
        <v>43643</v>
      </c>
      <c r="U194" s="181"/>
      <c r="V194" s="181" t="s">
        <v>583</v>
      </c>
      <c r="W194" s="235" t="str">
        <f t="shared" si="21"/>
        <v>Sebastiá Martínez,Alba</v>
      </c>
      <c r="X194" s="209">
        <f t="shared" si="22"/>
        <v>5</v>
      </c>
      <c r="Y194" s="209">
        <f t="shared" si="23"/>
        <v>2021</v>
      </c>
      <c r="Z194" s="164" t="s">
        <v>266</v>
      </c>
      <c r="AA194" t="str">
        <f>IF(Tabla1[[#This Row],[Kerma en aire acumulada (Gy)]]&gt;1,SUMIF(G:G,Tabla1[[#This Row],[SIP]],I:I)-Tabla1[[#This Row],[Kerma en aire acumulada (Gy)]],"")</f>
        <v/>
      </c>
    </row>
    <row r="195" spans="3:27" ht="15.75" thickBot="1">
      <c r="C195" s="206" t="str">
        <f t="shared" si="14"/>
        <v>Adulto</v>
      </c>
      <c r="D195" s="209" t="s">
        <v>58</v>
      </c>
      <c r="E195" s="209" t="s">
        <v>59</v>
      </c>
      <c r="F195" s="209" t="s">
        <v>60</v>
      </c>
      <c r="G195" s="209">
        <v>4976109</v>
      </c>
      <c r="H195" s="216">
        <v>44320</v>
      </c>
      <c r="I195" s="209">
        <v>1.9650000000000001</v>
      </c>
      <c r="J195" s="209"/>
      <c r="K195" s="209"/>
      <c r="L195" s="209"/>
      <c r="M195" s="209"/>
      <c r="N195" s="209"/>
      <c r="O195" s="209"/>
      <c r="P195" s="209"/>
      <c r="Q195" s="209"/>
      <c r="R195" s="209"/>
      <c r="S195" s="209"/>
      <c r="T195" s="216">
        <v>28635</v>
      </c>
      <c r="U195" s="209"/>
      <c r="V195" s="209" t="s">
        <v>650</v>
      </c>
      <c r="W195" s="235" t="str">
        <f t="shared" si="21"/>
        <v>Veliz Cadena,Marlon Omar</v>
      </c>
      <c r="X195" s="209">
        <f t="shared" si="22"/>
        <v>5</v>
      </c>
      <c r="Y195" s="209">
        <f t="shared" si="23"/>
        <v>2021</v>
      </c>
      <c r="Z195" s="205" t="s">
        <v>265</v>
      </c>
      <c r="AA195">
        <f>IF(Tabla1[[#This Row],[Kerma en aire acumulada (Gy)]]&gt;1,SUMIF(G:G,Tabla1[[#This Row],[SIP]],I:I)-Tabla1[[#This Row],[Kerma en aire acumulada (Gy)]],"")</f>
        <v>1.0650000000000002</v>
      </c>
    </row>
    <row r="196" spans="3:27">
      <c r="C196" s="155" t="str">
        <f t="shared" si="14"/>
        <v>Pediátrico</v>
      </c>
      <c r="D196" s="154" t="s">
        <v>636</v>
      </c>
      <c r="E196" s="154" t="s">
        <v>637</v>
      </c>
      <c r="F196" s="154" t="s">
        <v>638</v>
      </c>
      <c r="G196" s="154">
        <v>10593147</v>
      </c>
      <c r="H196" s="156">
        <v>44320</v>
      </c>
      <c r="I196" s="154">
        <v>0.189</v>
      </c>
      <c r="J196" s="154"/>
      <c r="K196" s="154"/>
      <c r="L196" s="154"/>
      <c r="M196" s="154"/>
      <c r="N196" s="154"/>
      <c r="O196" s="154"/>
      <c r="P196" s="154"/>
      <c r="Q196" s="154"/>
      <c r="R196" s="154"/>
      <c r="S196" s="154"/>
      <c r="T196" s="156">
        <v>41427</v>
      </c>
      <c r="U196" s="154"/>
      <c r="V196" s="154" t="s">
        <v>583</v>
      </c>
      <c r="W196" s="232" t="str">
        <f t="shared" si="21"/>
        <v>Krasnoruzhskikh Sola,Zoe</v>
      </c>
      <c r="X196" s="154">
        <f t="shared" si="22"/>
        <v>5</v>
      </c>
      <c r="Y196" s="154">
        <f t="shared" si="23"/>
        <v>2021</v>
      </c>
      <c r="Z196" s="174" t="s">
        <v>603</v>
      </c>
      <c r="AA196" t="str">
        <f>IF(Tabla1[[#This Row],[Kerma en aire acumulada (Gy)]]&gt;1,SUMIF(G:G,Tabla1[[#This Row],[SIP]],I:I)-Tabla1[[#This Row],[Kerma en aire acumulada (Gy)]],"")</f>
        <v/>
      </c>
    </row>
    <row r="197" spans="3:27" ht="15.75" thickBot="1">
      <c r="C197" s="193" t="str">
        <f t="shared" si="14"/>
        <v>Adulto</v>
      </c>
      <c r="D197" s="181" t="s">
        <v>66</v>
      </c>
      <c r="E197" s="181" t="s">
        <v>964</v>
      </c>
      <c r="F197" s="181" t="s">
        <v>965</v>
      </c>
      <c r="G197" s="181">
        <v>1857041</v>
      </c>
      <c r="H197" s="194">
        <v>44321</v>
      </c>
      <c r="I197" s="181">
        <v>0.74099999999999999</v>
      </c>
      <c r="J197" s="181"/>
      <c r="K197" s="181"/>
      <c r="L197" s="181"/>
      <c r="M197" s="181"/>
      <c r="N197" s="181"/>
      <c r="O197" s="181"/>
      <c r="P197" s="181"/>
      <c r="Q197" s="181"/>
      <c r="R197" s="181"/>
      <c r="S197" s="181"/>
      <c r="T197" s="194">
        <v>15370</v>
      </c>
      <c r="U197" s="181"/>
      <c r="V197" s="181" t="s">
        <v>92</v>
      </c>
      <c r="W197" s="209"/>
      <c r="X197" s="209"/>
      <c r="Y197" s="209"/>
      <c r="Z197" s="164"/>
      <c r="AA197" t="str">
        <f>IF(Tabla1[[#This Row],[Kerma en aire acumulada (Gy)]]&gt;1,SUMIF(G:G,Tabla1[[#This Row],[SIP]],I:I)-Tabla1[[#This Row],[Kerma en aire acumulada (Gy)]],"")</f>
        <v/>
      </c>
    </row>
    <row r="198" spans="3:27">
      <c r="C198" s="155" t="str">
        <f t="shared" si="14"/>
        <v>Pediátrico</v>
      </c>
      <c r="D198" s="154" t="s">
        <v>645</v>
      </c>
      <c r="E198" s="154"/>
      <c r="F198" s="154" t="s">
        <v>646</v>
      </c>
      <c r="G198" s="154">
        <v>12899269</v>
      </c>
      <c r="H198" s="156">
        <v>44321</v>
      </c>
      <c r="I198" s="154">
        <v>0.05</v>
      </c>
      <c r="J198" s="154"/>
      <c r="K198" s="154"/>
      <c r="L198" s="154"/>
      <c r="M198" s="154"/>
      <c r="N198" s="154"/>
      <c r="O198" s="154"/>
      <c r="P198" s="154"/>
      <c r="Q198" s="154"/>
      <c r="R198" s="154"/>
      <c r="S198" s="154"/>
      <c r="T198" s="156">
        <v>43905</v>
      </c>
      <c r="U198" s="154"/>
      <c r="V198" s="154" t="s">
        <v>583</v>
      </c>
      <c r="W198" s="232" t="str">
        <f t="shared" ref="W198:W229" si="24">CONCATENATE(D198,$A$591,E198,",",F198)</f>
        <v>Hussain ,Rumi</v>
      </c>
      <c r="X198" s="154">
        <f t="shared" ref="X198:X229" si="25">MONTH(H198)</f>
        <v>5</v>
      </c>
      <c r="Y198" s="154">
        <f t="shared" ref="Y198:Y229" si="26">YEAR(H198)</f>
        <v>2021</v>
      </c>
      <c r="Z198" s="174" t="s">
        <v>266</v>
      </c>
      <c r="AA198" t="str">
        <f>IF(Tabla1[[#This Row],[Kerma en aire acumulada (Gy)]]&gt;1,SUMIF(G:G,Tabla1[[#This Row],[SIP]],I:I)-Tabla1[[#This Row],[Kerma en aire acumulada (Gy)]],"")</f>
        <v/>
      </c>
    </row>
    <row r="199" spans="3:27">
      <c r="C199" s="94" t="str">
        <f t="shared" si="14"/>
        <v>Pediátrico</v>
      </c>
      <c r="D199" s="95" t="s">
        <v>639</v>
      </c>
      <c r="E199" s="95" t="s">
        <v>124</v>
      </c>
      <c r="F199" s="95" t="s">
        <v>640</v>
      </c>
      <c r="G199" s="95">
        <v>12053479</v>
      </c>
      <c r="H199" s="96">
        <v>44322</v>
      </c>
      <c r="I199" s="95">
        <v>7.2999999999999995E-2</v>
      </c>
      <c r="J199" s="95"/>
      <c r="K199" s="95"/>
      <c r="L199" s="95"/>
      <c r="M199" s="95"/>
      <c r="N199" s="95"/>
      <c r="O199" s="95"/>
      <c r="P199" s="95"/>
      <c r="Q199" s="95"/>
      <c r="R199" s="95"/>
      <c r="S199" s="95"/>
      <c r="T199" s="96">
        <v>42986</v>
      </c>
      <c r="U199" s="95"/>
      <c r="V199" s="95" t="s">
        <v>583</v>
      </c>
      <c r="W199" s="232" t="str">
        <f t="shared" si="24"/>
        <v>Palomares Calero,Alex</v>
      </c>
      <c r="X199" s="154">
        <f t="shared" si="25"/>
        <v>5</v>
      </c>
      <c r="Y199" s="154">
        <f t="shared" si="26"/>
        <v>2021</v>
      </c>
      <c r="Z199" s="97" t="s">
        <v>603</v>
      </c>
      <c r="AA199" t="str">
        <f>IF(Tabla1[[#This Row],[Kerma en aire acumulada (Gy)]]&gt;1,SUMIF(G:G,Tabla1[[#This Row],[SIP]],I:I)-Tabla1[[#This Row],[Kerma en aire acumulada (Gy)]],"")</f>
        <v/>
      </c>
    </row>
    <row r="200" spans="3:27">
      <c r="C200" s="89" t="str">
        <f t="shared" si="14"/>
        <v>Adulto</v>
      </c>
      <c r="D200" s="90" t="s">
        <v>631</v>
      </c>
      <c r="E200" s="90" t="s">
        <v>632</v>
      </c>
      <c r="F200" s="90" t="s">
        <v>369</v>
      </c>
      <c r="G200" s="90">
        <v>3687383</v>
      </c>
      <c r="H200" s="91">
        <v>44322</v>
      </c>
      <c r="I200" s="90">
        <v>0.67700000000000005</v>
      </c>
      <c r="J200" s="90"/>
      <c r="K200" s="90"/>
      <c r="L200" s="90"/>
      <c r="M200" s="90"/>
      <c r="N200" s="90"/>
      <c r="O200" s="90"/>
      <c r="P200" s="90"/>
      <c r="Q200" s="90"/>
      <c r="R200" s="90"/>
      <c r="S200" s="90"/>
      <c r="T200" s="91">
        <v>15526</v>
      </c>
      <c r="U200" s="90"/>
      <c r="V200" s="90" t="s">
        <v>563</v>
      </c>
      <c r="W200" s="233" t="str">
        <f t="shared" si="24"/>
        <v>Molina Pavón,Alejandro</v>
      </c>
      <c r="X200" s="202">
        <f t="shared" si="25"/>
        <v>5</v>
      </c>
      <c r="Y200" s="202">
        <f t="shared" si="26"/>
        <v>2021</v>
      </c>
      <c r="Z200" s="93"/>
      <c r="AA200" t="str">
        <f>IF(Tabla1[[#This Row],[Kerma en aire acumulada (Gy)]]&gt;1,SUMIF(G:G,Tabla1[[#This Row],[SIP]],I:I)-Tabla1[[#This Row],[Kerma en aire acumulada (Gy)]],"")</f>
        <v/>
      </c>
    </row>
    <row r="201" spans="3:27">
      <c r="C201" s="94" t="str">
        <f t="shared" ref="C201:C264" si="27">IF(OR(H201="",T201=""),"",IF((H201-T201)/12/30&lt;18,"Pediátrico","Adulto"))</f>
        <v>Adulto</v>
      </c>
      <c r="D201" s="95" t="s">
        <v>633</v>
      </c>
      <c r="E201" s="95" t="s">
        <v>634</v>
      </c>
      <c r="F201" s="95" t="s">
        <v>635</v>
      </c>
      <c r="G201" s="95">
        <v>110067</v>
      </c>
      <c r="H201" s="96">
        <v>44322</v>
      </c>
      <c r="I201" s="95">
        <v>1.2</v>
      </c>
      <c r="J201" s="95"/>
      <c r="K201" s="95"/>
      <c r="L201" s="95"/>
      <c r="M201" s="95"/>
      <c r="N201" s="95"/>
      <c r="O201" s="95"/>
      <c r="P201" s="95"/>
      <c r="Q201" s="95"/>
      <c r="R201" s="95"/>
      <c r="S201" s="95"/>
      <c r="T201" s="96">
        <v>11211</v>
      </c>
      <c r="U201" s="95"/>
      <c r="V201" s="95" t="s">
        <v>563</v>
      </c>
      <c r="W201" s="232" t="str">
        <f t="shared" si="24"/>
        <v>Greus Gil,Enrique</v>
      </c>
      <c r="X201" s="154">
        <f t="shared" si="25"/>
        <v>5</v>
      </c>
      <c r="Y201" s="154">
        <f t="shared" si="26"/>
        <v>2021</v>
      </c>
      <c r="Z201" s="97"/>
      <c r="AA201">
        <f>IF(Tabla1[[#This Row],[Kerma en aire acumulada (Gy)]]&gt;1,SUMIF(G:G,Tabla1[[#This Row],[SIP]],I:I)-Tabla1[[#This Row],[Kerma en aire acumulada (Gy)]],"")</f>
        <v>0</v>
      </c>
    </row>
    <row r="202" spans="3:27">
      <c r="C202" s="89" t="str">
        <f t="shared" si="27"/>
        <v>Pediátrico</v>
      </c>
      <c r="D202" s="90" t="s">
        <v>647</v>
      </c>
      <c r="E202" s="90" t="s">
        <v>648</v>
      </c>
      <c r="F202" s="90" t="s">
        <v>649</v>
      </c>
      <c r="G202" s="90">
        <v>13117302</v>
      </c>
      <c r="H202" s="91">
        <v>44323</v>
      </c>
      <c r="I202" s="90">
        <v>3.5000000000000001E-3</v>
      </c>
      <c r="J202" s="90"/>
      <c r="K202" s="90"/>
      <c r="L202" s="90"/>
      <c r="M202" s="90"/>
      <c r="N202" s="90"/>
      <c r="O202" s="90"/>
      <c r="P202" s="90"/>
      <c r="Q202" s="90"/>
      <c r="R202" s="90"/>
      <c r="S202" s="90"/>
      <c r="T202" s="91">
        <v>44316</v>
      </c>
      <c r="U202" s="90"/>
      <c r="V202" s="90" t="s">
        <v>583</v>
      </c>
      <c r="W202" s="233" t="str">
        <f t="shared" si="24"/>
        <v>Duval Montoya,Jaqueline</v>
      </c>
      <c r="X202" s="202">
        <f t="shared" si="25"/>
        <v>5</v>
      </c>
      <c r="Y202" s="202">
        <f t="shared" si="26"/>
        <v>2021</v>
      </c>
      <c r="Z202" s="93" t="s">
        <v>266</v>
      </c>
      <c r="AA202" t="str">
        <f>IF(Tabla1[[#This Row],[Kerma en aire acumulada (Gy)]]&gt;1,SUMIF(G:G,Tabla1[[#This Row],[SIP]],I:I)-Tabla1[[#This Row],[Kerma en aire acumulada (Gy)]],"")</f>
        <v/>
      </c>
    </row>
    <row r="203" spans="3:27">
      <c r="C203" s="94" t="str">
        <f t="shared" si="27"/>
        <v>Adulto</v>
      </c>
      <c r="D203" s="95" t="s">
        <v>669</v>
      </c>
      <c r="E203" s="95" t="s">
        <v>670</v>
      </c>
      <c r="F203" s="95" t="s">
        <v>102</v>
      </c>
      <c r="G203" s="95">
        <v>2527533</v>
      </c>
      <c r="H203" s="96">
        <v>44326</v>
      </c>
      <c r="I203" s="95">
        <v>0.5</v>
      </c>
      <c r="J203" s="95"/>
      <c r="K203" s="95"/>
      <c r="L203" s="95"/>
      <c r="M203" s="95"/>
      <c r="N203" s="95"/>
      <c r="O203" s="95"/>
      <c r="P203" s="95"/>
      <c r="Q203" s="95"/>
      <c r="R203" s="95"/>
      <c r="S203" s="95"/>
      <c r="T203" s="96">
        <v>29063</v>
      </c>
      <c r="U203" s="95"/>
      <c r="V203" s="95" t="s">
        <v>563</v>
      </c>
      <c r="W203" s="232" t="str">
        <f t="shared" si="24"/>
        <v>Santamaria Biot,José</v>
      </c>
      <c r="X203" s="154">
        <f t="shared" si="25"/>
        <v>5</v>
      </c>
      <c r="Y203" s="154">
        <f t="shared" si="26"/>
        <v>2021</v>
      </c>
      <c r="Z203" s="97" t="s">
        <v>266</v>
      </c>
      <c r="AA203" t="str">
        <f>IF(Tabla1[[#This Row],[Kerma en aire acumulada (Gy)]]&gt;1,SUMIF(G:G,Tabla1[[#This Row],[SIP]],I:I)-Tabla1[[#This Row],[Kerma en aire acumulada (Gy)]],"")</f>
        <v/>
      </c>
    </row>
    <row r="204" spans="3:27">
      <c r="C204" s="94" t="str">
        <f t="shared" si="27"/>
        <v>Adulto</v>
      </c>
      <c r="D204" s="95" t="s">
        <v>665</v>
      </c>
      <c r="E204" s="95" t="s">
        <v>666</v>
      </c>
      <c r="F204" s="95" t="s">
        <v>142</v>
      </c>
      <c r="G204" s="95">
        <v>6279763</v>
      </c>
      <c r="H204" s="96">
        <v>44326</v>
      </c>
      <c r="I204" s="95">
        <v>0.57899999999999996</v>
      </c>
      <c r="J204" s="95"/>
      <c r="K204" s="95"/>
      <c r="L204" s="95"/>
      <c r="M204" s="95"/>
      <c r="N204" s="95"/>
      <c r="O204" s="95"/>
      <c r="P204" s="95"/>
      <c r="Q204" s="95"/>
      <c r="R204" s="95"/>
      <c r="S204" s="95"/>
      <c r="T204" s="96">
        <v>24285</v>
      </c>
      <c r="U204" s="95"/>
      <c r="V204" s="95" t="s">
        <v>563</v>
      </c>
      <c r="W204" s="232" t="str">
        <f t="shared" si="24"/>
        <v>Iranzo Anguis,David</v>
      </c>
      <c r="X204" s="154">
        <f t="shared" si="25"/>
        <v>5</v>
      </c>
      <c r="Y204" s="154">
        <f t="shared" si="26"/>
        <v>2021</v>
      </c>
      <c r="Z204" s="97" t="s">
        <v>266</v>
      </c>
      <c r="AA204" t="str">
        <f>IF(Tabla1[[#This Row],[Kerma en aire acumulada (Gy)]]&gt;1,SUMIF(G:G,Tabla1[[#This Row],[SIP]],I:I)-Tabla1[[#This Row],[Kerma en aire acumulada (Gy)]],"")</f>
        <v/>
      </c>
    </row>
    <row r="205" spans="3:27">
      <c r="C205" s="89" t="str">
        <f t="shared" si="27"/>
        <v>Adulto</v>
      </c>
      <c r="D205" s="90" t="s">
        <v>667</v>
      </c>
      <c r="E205" s="90" t="s">
        <v>668</v>
      </c>
      <c r="F205" s="90" t="s">
        <v>106</v>
      </c>
      <c r="G205" s="90">
        <v>2453990</v>
      </c>
      <c r="H205" s="91">
        <v>44326</v>
      </c>
      <c r="I205" s="90">
        <v>0.52</v>
      </c>
      <c r="J205" s="90"/>
      <c r="K205" s="90"/>
      <c r="L205" s="90"/>
      <c r="M205" s="90"/>
      <c r="N205" s="90"/>
      <c r="O205" s="90"/>
      <c r="P205" s="90"/>
      <c r="Q205" s="90"/>
      <c r="R205" s="90"/>
      <c r="S205" s="90"/>
      <c r="T205" s="91">
        <v>15413</v>
      </c>
      <c r="U205" s="90"/>
      <c r="V205" s="90" t="s">
        <v>563</v>
      </c>
      <c r="W205" s="233" t="str">
        <f t="shared" si="24"/>
        <v>Alós Salcedo,Carmen</v>
      </c>
      <c r="X205" s="202">
        <f t="shared" si="25"/>
        <v>5</v>
      </c>
      <c r="Y205" s="202">
        <f t="shared" si="26"/>
        <v>2021</v>
      </c>
      <c r="Z205" s="93" t="s">
        <v>266</v>
      </c>
      <c r="AA205" t="str">
        <f>IF(Tabla1[[#This Row],[Kerma en aire acumulada (Gy)]]&gt;1,SUMIF(G:G,Tabla1[[#This Row],[SIP]],I:I)-Tabla1[[#This Row],[Kerma en aire acumulada (Gy)]],"")</f>
        <v/>
      </c>
    </row>
    <row r="206" spans="3:27">
      <c r="C206" s="89" t="str">
        <f t="shared" si="27"/>
        <v>Adulto</v>
      </c>
      <c r="D206" s="90" t="s">
        <v>663</v>
      </c>
      <c r="E206" s="90" t="s">
        <v>66</v>
      </c>
      <c r="F206" s="90" t="s">
        <v>664</v>
      </c>
      <c r="G206" s="90">
        <v>2993897</v>
      </c>
      <c r="H206" s="91">
        <v>44327</v>
      </c>
      <c r="I206" s="90">
        <v>0.81</v>
      </c>
      <c r="J206" s="90"/>
      <c r="K206" s="90"/>
      <c r="L206" s="90"/>
      <c r="M206" s="90"/>
      <c r="N206" s="90"/>
      <c r="O206" s="90"/>
      <c r="P206" s="90"/>
      <c r="Q206" s="90"/>
      <c r="R206" s="90"/>
      <c r="S206" s="90"/>
      <c r="T206" s="91">
        <v>26498</v>
      </c>
      <c r="U206" s="90"/>
      <c r="V206" s="90" t="s">
        <v>563</v>
      </c>
      <c r="W206" s="233" t="str">
        <f t="shared" si="24"/>
        <v>Sanchis Navarro,Jaime</v>
      </c>
      <c r="X206" s="202">
        <f t="shared" si="25"/>
        <v>5</v>
      </c>
      <c r="Y206" s="202">
        <f t="shared" si="26"/>
        <v>2021</v>
      </c>
      <c r="Z206" s="93" t="s">
        <v>266</v>
      </c>
      <c r="AA206" t="str">
        <f>IF(Tabla1[[#This Row],[Kerma en aire acumulada (Gy)]]&gt;1,SUMIF(G:G,Tabla1[[#This Row],[SIP]],I:I)-Tabla1[[#This Row],[Kerma en aire acumulada (Gy)]],"")</f>
        <v/>
      </c>
    </row>
    <row r="207" spans="3:27">
      <c r="C207" s="94" t="str">
        <f t="shared" si="27"/>
        <v>Pediátrico</v>
      </c>
      <c r="D207" s="95" t="s">
        <v>694</v>
      </c>
      <c r="E207" s="95" t="s">
        <v>695</v>
      </c>
      <c r="F207" s="95" t="s">
        <v>696</v>
      </c>
      <c r="G207" s="95">
        <v>6078001</v>
      </c>
      <c r="H207" s="96">
        <v>44328</v>
      </c>
      <c r="I207" s="107">
        <v>0.38100000000000001</v>
      </c>
      <c r="J207" s="95"/>
      <c r="K207" s="95"/>
      <c r="L207" s="95"/>
      <c r="M207" s="95"/>
      <c r="N207" s="95"/>
      <c r="O207" s="95"/>
      <c r="P207" s="95"/>
      <c r="Q207" s="95"/>
      <c r="R207" s="95"/>
      <c r="S207" s="95"/>
      <c r="T207" s="96">
        <v>38652</v>
      </c>
      <c r="U207" s="95"/>
      <c r="V207" s="95" t="s">
        <v>583</v>
      </c>
      <c r="W207" s="232" t="str">
        <f t="shared" si="24"/>
        <v>Llopis Donaire,Francisco José</v>
      </c>
      <c r="X207" s="154">
        <f t="shared" si="25"/>
        <v>5</v>
      </c>
      <c r="Y207" s="154">
        <f t="shared" si="26"/>
        <v>2021</v>
      </c>
      <c r="Z207" s="97" t="s">
        <v>266</v>
      </c>
      <c r="AA207" t="str">
        <f>IF(Tabla1[[#This Row],[Kerma en aire acumulada (Gy)]]&gt;1,SUMIF(G:G,Tabla1[[#This Row],[SIP]],I:I)-Tabla1[[#This Row],[Kerma en aire acumulada (Gy)]],"")</f>
        <v/>
      </c>
    </row>
    <row r="208" spans="3:27">
      <c r="C208" s="89" t="str">
        <f t="shared" si="27"/>
        <v>Pediátrico</v>
      </c>
      <c r="D208" s="90" t="s">
        <v>634</v>
      </c>
      <c r="E208" s="90" t="s">
        <v>692</v>
      </c>
      <c r="F208" s="90" t="s">
        <v>693</v>
      </c>
      <c r="G208" s="90">
        <v>7985797</v>
      </c>
      <c r="H208" s="91">
        <v>44328</v>
      </c>
      <c r="I208" s="112">
        <v>0.48499999999999999</v>
      </c>
      <c r="J208" s="90"/>
      <c r="K208" s="90"/>
      <c r="L208" s="90"/>
      <c r="M208" s="90"/>
      <c r="N208" s="90"/>
      <c r="O208" s="90"/>
      <c r="P208" s="90"/>
      <c r="Q208" s="90"/>
      <c r="R208" s="90"/>
      <c r="S208" s="90"/>
      <c r="T208" s="91">
        <v>40202</v>
      </c>
      <c r="U208" s="90"/>
      <c r="V208" s="90" t="s">
        <v>583</v>
      </c>
      <c r="W208" s="233" t="str">
        <f t="shared" si="24"/>
        <v>Gil Toboso,Silvia</v>
      </c>
      <c r="X208" s="202">
        <f t="shared" si="25"/>
        <v>5</v>
      </c>
      <c r="Y208" s="202">
        <f t="shared" si="26"/>
        <v>2021</v>
      </c>
      <c r="Z208" s="93" t="s">
        <v>266</v>
      </c>
      <c r="AA208" t="str">
        <f>IF(Tabla1[[#This Row],[Kerma en aire acumulada (Gy)]]&gt;1,SUMIF(G:G,Tabla1[[#This Row],[SIP]],I:I)-Tabla1[[#This Row],[Kerma en aire acumulada (Gy)]],"")</f>
        <v/>
      </c>
    </row>
    <row r="209" spans="3:27">
      <c r="C209" s="94" t="str">
        <f t="shared" si="27"/>
        <v>Pediátrico</v>
      </c>
      <c r="D209" s="95" t="s">
        <v>697</v>
      </c>
      <c r="E209" s="95" t="s">
        <v>698</v>
      </c>
      <c r="F209" s="95" t="s">
        <v>699</v>
      </c>
      <c r="G209" s="95">
        <v>13109284</v>
      </c>
      <c r="H209" s="96">
        <v>44329</v>
      </c>
      <c r="I209" s="95">
        <f>(7.84+12.65)/1000</f>
        <v>2.0490000000000001E-2</v>
      </c>
      <c r="J209" s="95"/>
      <c r="K209" s="95"/>
      <c r="L209" s="95"/>
      <c r="M209" s="95"/>
      <c r="N209" s="95"/>
      <c r="O209" s="95"/>
      <c r="P209" s="95"/>
      <c r="Q209" s="95"/>
      <c r="R209" s="95"/>
      <c r="S209" s="95"/>
      <c r="T209" s="96">
        <v>43978</v>
      </c>
      <c r="U209" s="95"/>
      <c r="V209" s="95" t="s">
        <v>583</v>
      </c>
      <c r="W209" s="232" t="str">
        <f t="shared" si="24"/>
        <v>Ndumu Nseng,Cristina</v>
      </c>
      <c r="X209" s="154">
        <f t="shared" si="25"/>
        <v>5</v>
      </c>
      <c r="Y209" s="154">
        <f t="shared" si="26"/>
        <v>2021</v>
      </c>
      <c r="Z209" s="97" t="s">
        <v>266</v>
      </c>
      <c r="AA209" t="str">
        <f>IF(Tabla1[[#This Row],[Kerma en aire acumulada (Gy)]]&gt;1,SUMIF(G:G,Tabla1[[#This Row],[SIP]],I:I)-Tabla1[[#This Row],[Kerma en aire acumulada (Gy)]],"")</f>
        <v/>
      </c>
    </row>
    <row r="210" spans="3:27" ht="15.75" thickBot="1">
      <c r="C210" s="166" t="str">
        <f t="shared" si="27"/>
        <v>Adulto</v>
      </c>
      <c r="D210" s="163" t="s">
        <v>64</v>
      </c>
      <c r="E210" s="163"/>
      <c r="F210" s="163" t="s">
        <v>65</v>
      </c>
      <c r="G210" s="163">
        <v>5350920</v>
      </c>
      <c r="H210" s="173">
        <v>44329</v>
      </c>
      <c r="I210" s="163">
        <v>0.61399999999999999</v>
      </c>
      <c r="J210" s="163"/>
      <c r="K210" s="163"/>
      <c r="L210" s="163"/>
      <c r="M210" s="163"/>
      <c r="N210" s="163"/>
      <c r="O210" s="163"/>
      <c r="P210" s="163"/>
      <c r="Q210" s="163"/>
      <c r="R210" s="163"/>
      <c r="S210" s="163"/>
      <c r="T210" s="173">
        <v>26596</v>
      </c>
      <c r="U210" s="163"/>
      <c r="V210" s="163" t="s">
        <v>508</v>
      </c>
      <c r="W210" s="231" t="str">
        <f t="shared" si="24"/>
        <v>Hlioui ,Hamid</v>
      </c>
      <c r="X210" s="160">
        <f t="shared" si="25"/>
        <v>5</v>
      </c>
      <c r="Y210" s="160">
        <f t="shared" si="26"/>
        <v>2021</v>
      </c>
      <c r="Z210" s="172" t="s">
        <v>265</v>
      </c>
      <c r="AA210" t="str">
        <f>IF(Tabla1[[#This Row],[Kerma en aire acumulada (Gy)]]&gt;1,SUMIF(G:G,Tabla1[[#This Row],[SIP]],I:I)-Tabla1[[#This Row],[Kerma en aire acumulada (Gy)]],"")</f>
        <v/>
      </c>
    </row>
    <row r="211" spans="3:27">
      <c r="C211" s="157" t="str">
        <f t="shared" si="27"/>
        <v>Adulto</v>
      </c>
      <c r="D211" s="202" t="s">
        <v>29</v>
      </c>
      <c r="E211" s="202" t="s">
        <v>718</v>
      </c>
      <c r="F211" s="202" t="s">
        <v>719</v>
      </c>
      <c r="G211" s="202">
        <v>3070452</v>
      </c>
      <c r="H211" s="214">
        <v>44329</v>
      </c>
      <c r="I211" s="202">
        <v>0.45600000000000002</v>
      </c>
      <c r="J211" s="202"/>
      <c r="K211" s="202"/>
      <c r="L211" s="202"/>
      <c r="M211" s="202"/>
      <c r="N211" s="202"/>
      <c r="O211" s="202"/>
      <c r="P211" s="202"/>
      <c r="Q211" s="202"/>
      <c r="R211" s="202"/>
      <c r="S211" s="202"/>
      <c r="T211" s="214">
        <v>21644</v>
      </c>
      <c r="U211" s="202"/>
      <c r="V211" s="202" t="s">
        <v>563</v>
      </c>
      <c r="W211" s="233" t="str">
        <f t="shared" si="24"/>
        <v>Castro Pagán,Claudio</v>
      </c>
      <c r="X211" s="202">
        <f t="shared" si="25"/>
        <v>5</v>
      </c>
      <c r="Y211" s="202">
        <f t="shared" si="26"/>
        <v>2021</v>
      </c>
      <c r="Z211" s="203" t="s">
        <v>266</v>
      </c>
      <c r="AA211" t="str">
        <f>IF(Tabla1[[#This Row],[Kerma en aire acumulada (Gy)]]&gt;1,SUMIF(G:G,Tabla1[[#This Row],[SIP]],I:I)-Tabla1[[#This Row],[Kerma en aire acumulada (Gy)]],"")</f>
        <v/>
      </c>
    </row>
    <row r="212" spans="3:27">
      <c r="C212" s="94" t="str">
        <f t="shared" si="27"/>
        <v>Pediátrico</v>
      </c>
      <c r="D212" s="95" t="s">
        <v>656</v>
      </c>
      <c r="E212" s="95" t="s">
        <v>657</v>
      </c>
      <c r="F212" s="95" t="s">
        <v>658</v>
      </c>
      <c r="G212" s="95">
        <v>5490018</v>
      </c>
      <c r="H212" s="96">
        <v>44329</v>
      </c>
      <c r="I212" s="95">
        <v>1.8</v>
      </c>
      <c r="J212" s="95"/>
      <c r="K212" s="95"/>
      <c r="L212" s="95"/>
      <c r="M212" s="95"/>
      <c r="N212" s="95"/>
      <c r="O212" s="95"/>
      <c r="P212" s="95"/>
      <c r="Q212" s="95"/>
      <c r="R212" s="95"/>
      <c r="S212" s="95"/>
      <c r="T212" s="96">
        <v>37887</v>
      </c>
      <c r="U212" s="95"/>
      <c r="V212" s="95" t="s">
        <v>563</v>
      </c>
      <c r="W212" s="232" t="str">
        <f t="shared" si="24"/>
        <v>Calderón Herás,Zaira</v>
      </c>
      <c r="X212" s="154">
        <f t="shared" si="25"/>
        <v>5</v>
      </c>
      <c r="Y212" s="154">
        <f t="shared" si="26"/>
        <v>2021</v>
      </c>
      <c r="Z212" s="97" t="s">
        <v>266</v>
      </c>
      <c r="AA212">
        <f>IF(Tabla1[[#This Row],[Kerma en aire acumulada (Gy)]]&gt;1,SUMIF(G:G,Tabla1[[#This Row],[SIP]],I:I)-Tabla1[[#This Row],[Kerma en aire acumulada (Gy)]],"")</f>
        <v>0</v>
      </c>
    </row>
    <row r="213" spans="3:27">
      <c r="C213" s="89" t="str">
        <f t="shared" si="27"/>
        <v>Adulto</v>
      </c>
      <c r="D213" s="90" t="s">
        <v>660</v>
      </c>
      <c r="E213" s="90" t="s">
        <v>661</v>
      </c>
      <c r="F213" s="90" t="s">
        <v>662</v>
      </c>
      <c r="G213" s="90">
        <v>4774482</v>
      </c>
      <c r="H213" s="91">
        <v>44329</v>
      </c>
      <c r="I213" s="90">
        <v>1.6240000000000001</v>
      </c>
      <c r="J213" s="90"/>
      <c r="K213" s="90"/>
      <c r="L213" s="90"/>
      <c r="M213" s="90"/>
      <c r="N213" s="90"/>
      <c r="O213" s="90"/>
      <c r="P213" s="90"/>
      <c r="Q213" s="90"/>
      <c r="R213" s="90"/>
      <c r="S213" s="90"/>
      <c r="T213" s="91">
        <v>23397</v>
      </c>
      <c r="U213" s="90"/>
      <c r="V213" s="90" t="s">
        <v>563</v>
      </c>
      <c r="W213" s="233" t="str">
        <f t="shared" si="24"/>
        <v>Abad Isla,Azucena</v>
      </c>
      <c r="X213" s="202">
        <f t="shared" si="25"/>
        <v>5</v>
      </c>
      <c r="Y213" s="202">
        <f t="shared" si="26"/>
        <v>2021</v>
      </c>
      <c r="Z213" s="93" t="s">
        <v>266</v>
      </c>
      <c r="AA213">
        <f>IF(Tabla1[[#This Row],[Kerma en aire acumulada (Gy)]]&gt;1,SUMIF(G:G,Tabla1[[#This Row],[SIP]],I:I)-Tabla1[[#This Row],[Kerma en aire acumulada (Gy)]],"")</f>
        <v>0</v>
      </c>
    </row>
    <row r="214" spans="3:27">
      <c r="C214" s="94" t="str">
        <f t="shared" si="27"/>
        <v>Adulto</v>
      </c>
      <c r="D214" s="95" t="s">
        <v>104</v>
      </c>
      <c r="E214" s="95" t="s">
        <v>375</v>
      </c>
      <c r="F214" s="95" t="s">
        <v>106</v>
      </c>
      <c r="G214" s="95">
        <v>3329353</v>
      </c>
      <c r="H214" s="96">
        <v>44330</v>
      </c>
      <c r="I214" s="95">
        <v>0.45800000000000002</v>
      </c>
      <c r="J214" s="95"/>
      <c r="K214" s="95"/>
      <c r="L214" s="95"/>
      <c r="M214" s="95"/>
      <c r="N214" s="95"/>
      <c r="O214" s="95"/>
      <c r="P214" s="95"/>
      <c r="Q214" s="95"/>
      <c r="R214" s="95"/>
      <c r="S214" s="95"/>
      <c r="T214" s="96">
        <v>14544</v>
      </c>
      <c r="U214" s="95"/>
      <c r="V214" s="95" t="s">
        <v>563</v>
      </c>
      <c r="W214" s="232" t="str">
        <f t="shared" si="24"/>
        <v>Martínez Alberto,Carmen</v>
      </c>
      <c r="X214" s="154">
        <f t="shared" si="25"/>
        <v>5</v>
      </c>
      <c r="Y214" s="154">
        <f t="shared" si="26"/>
        <v>2021</v>
      </c>
      <c r="Z214" s="97" t="s">
        <v>266</v>
      </c>
      <c r="AA214" t="str">
        <f>IF(Tabla1[[#This Row],[Kerma en aire acumulada (Gy)]]&gt;1,SUMIF(G:G,Tabla1[[#This Row],[SIP]],I:I)-Tabla1[[#This Row],[Kerma en aire acumulada (Gy)]],"")</f>
        <v/>
      </c>
    </row>
    <row r="215" spans="3:27">
      <c r="C215" s="89" t="str">
        <f t="shared" si="27"/>
        <v>Adulto</v>
      </c>
      <c r="D215" s="90" t="s">
        <v>130</v>
      </c>
      <c r="E215" s="90" t="s">
        <v>159</v>
      </c>
      <c r="F215" s="90" t="s">
        <v>655</v>
      </c>
      <c r="G215" s="90">
        <v>1854528</v>
      </c>
      <c r="H215" s="91">
        <v>44330</v>
      </c>
      <c r="I215" s="90">
        <v>1.1339999999999999</v>
      </c>
      <c r="J215" s="90"/>
      <c r="K215" s="90"/>
      <c r="L215" s="90"/>
      <c r="M215" s="90"/>
      <c r="N215" s="90"/>
      <c r="O215" s="90"/>
      <c r="P215" s="90"/>
      <c r="Q215" s="90"/>
      <c r="R215" s="90"/>
      <c r="S215" s="90"/>
      <c r="T215" s="91">
        <v>25491</v>
      </c>
      <c r="U215" s="90"/>
      <c r="V215" s="90" t="s">
        <v>563</v>
      </c>
      <c r="W215" s="233" t="str">
        <f t="shared" si="24"/>
        <v>Hernández Villar,Juana María</v>
      </c>
      <c r="X215" s="202">
        <f t="shared" si="25"/>
        <v>5</v>
      </c>
      <c r="Y215" s="202">
        <f t="shared" si="26"/>
        <v>2021</v>
      </c>
      <c r="Z215" s="93" t="s">
        <v>266</v>
      </c>
      <c r="AA215">
        <f>IF(Tabla1[[#This Row],[Kerma en aire acumulada (Gy)]]&gt;1,SUMIF(G:G,Tabla1[[#This Row],[SIP]],I:I)-Tabla1[[#This Row],[Kerma en aire acumulada (Gy)]],"")</f>
        <v>0</v>
      </c>
    </row>
    <row r="216" spans="3:27">
      <c r="C216" s="89" t="str">
        <f t="shared" si="27"/>
        <v>Pediátrico</v>
      </c>
      <c r="D216" s="90" t="s">
        <v>700</v>
      </c>
      <c r="E216" s="90"/>
      <c r="F216" s="90" t="s">
        <v>701</v>
      </c>
      <c r="G216" s="90">
        <v>11466787</v>
      </c>
      <c r="H216" s="91">
        <v>44330</v>
      </c>
      <c r="I216" s="90">
        <f>(14.65+26.35)/1000</f>
        <v>4.1000000000000002E-2</v>
      </c>
      <c r="J216" s="90"/>
      <c r="K216" s="90"/>
      <c r="L216" s="90"/>
      <c r="M216" s="90"/>
      <c r="N216" s="90"/>
      <c r="O216" s="90"/>
      <c r="P216" s="90"/>
      <c r="Q216" s="90"/>
      <c r="R216" s="90"/>
      <c r="S216" s="90"/>
      <c r="T216" s="91">
        <v>42337</v>
      </c>
      <c r="U216" s="90"/>
      <c r="V216" s="90" t="s">
        <v>583</v>
      </c>
      <c r="W216" s="233" t="str">
        <f t="shared" si="24"/>
        <v>Abbas ,Zamma</v>
      </c>
      <c r="X216" s="202">
        <f t="shared" si="25"/>
        <v>5</v>
      </c>
      <c r="Y216" s="202">
        <f t="shared" si="26"/>
        <v>2021</v>
      </c>
      <c r="Z216" s="93" t="s">
        <v>266</v>
      </c>
      <c r="AA216" t="str">
        <f>IF(Tabla1[[#This Row],[Kerma en aire acumulada (Gy)]]&gt;1,SUMIF(G:G,Tabla1[[#This Row],[SIP]],I:I)-Tabla1[[#This Row],[Kerma en aire acumulada (Gy)]],"")</f>
        <v/>
      </c>
    </row>
    <row r="217" spans="3:27">
      <c r="C217" s="94" t="str">
        <f t="shared" si="27"/>
        <v>Adulto</v>
      </c>
      <c r="D217" s="95" t="s">
        <v>671</v>
      </c>
      <c r="E217" s="95" t="s">
        <v>319</v>
      </c>
      <c r="F217" s="95" t="s">
        <v>592</v>
      </c>
      <c r="G217" s="95">
        <v>2809006</v>
      </c>
      <c r="H217" s="96">
        <v>44333</v>
      </c>
      <c r="I217" s="95">
        <v>0.7</v>
      </c>
      <c r="J217" s="95"/>
      <c r="K217" s="95"/>
      <c r="L217" s="95"/>
      <c r="M217" s="95"/>
      <c r="N217" s="95"/>
      <c r="O217" s="95"/>
      <c r="P217" s="95"/>
      <c r="Q217" s="95"/>
      <c r="R217" s="95"/>
      <c r="S217" s="95"/>
      <c r="T217" s="96">
        <v>15331</v>
      </c>
      <c r="U217" s="95"/>
      <c r="V217" s="95" t="s">
        <v>100</v>
      </c>
      <c r="W217" s="232" t="str">
        <f t="shared" si="24"/>
        <v>Viña Gonzalez,María</v>
      </c>
      <c r="X217" s="154">
        <f t="shared" si="25"/>
        <v>5</v>
      </c>
      <c r="Y217" s="154">
        <f t="shared" si="26"/>
        <v>2021</v>
      </c>
      <c r="Z217" s="97" t="s">
        <v>265</v>
      </c>
      <c r="AA217" t="str">
        <f>IF(Tabla1[[#This Row],[Kerma en aire acumulada (Gy)]]&gt;1,SUMIF(G:G,Tabla1[[#This Row],[SIP]],I:I)-Tabla1[[#This Row],[Kerma en aire acumulada (Gy)]],"")</f>
        <v/>
      </c>
    </row>
    <row r="218" spans="3:27">
      <c r="C218" s="94" t="str">
        <f t="shared" si="27"/>
        <v>Pediátrico</v>
      </c>
      <c r="D218" s="95" t="s">
        <v>702</v>
      </c>
      <c r="E218" s="95" t="s">
        <v>703</v>
      </c>
      <c r="F218" s="95" t="s">
        <v>704</v>
      </c>
      <c r="G218" s="95">
        <v>13091286</v>
      </c>
      <c r="H218" s="96">
        <v>44333</v>
      </c>
      <c r="I218" s="95">
        <v>2.8670000000000001E-2</v>
      </c>
      <c r="J218" s="95"/>
      <c r="K218" s="95"/>
      <c r="L218" s="95"/>
      <c r="M218" s="95"/>
      <c r="N218" s="95"/>
      <c r="O218" s="95"/>
      <c r="P218" s="95"/>
      <c r="Q218" s="95"/>
      <c r="R218" s="95"/>
      <c r="S218" s="95"/>
      <c r="T218" s="96">
        <v>44268</v>
      </c>
      <c r="U218" s="95"/>
      <c r="V218" s="95" t="s">
        <v>583</v>
      </c>
      <c r="W218" s="232" t="str">
        <f t="shared" si="24"/>
        <v>Guzman Province,Ayun</v>
      </c>
      <c r="X218" s="154">
        <f t="shared" si="25"/>
        <v>5</v>
      </c>
      <c r="Y218" s="154">
        <f t="shared" si="26"/>
        <v>2021</v>
      </c>
      <c r="Z218" s="97" t="s">
        <v>266</v>
      </c>
      <c r="AA218" t="str">
        <f>IF(Tabla1[[#This Row],[Kerma en aire acumulada (Gy)]]&gt;1,SUMIF(G:G,Tabla1[[#This Row],[SIP]],I:I)-Tabla1[[#This Row],[Kerma en aire acumulada (Gy)]],"")</f>
        <v/>
      </c>
    </row>
    <row r="219" spans="3:27">
      <c r="C219" s="89" t="str">
        <f t="shared" si="27"/>
        <v>Adulto</v>
      </c>
      <c r="D219" s="90" t="s">
        <v>26</v>
      </c>
      <c r="E219" s="90" t="s">
        <v>524</v>
      </c>
      <c r="F219" s="90" t="s">
        <v>83</v>
      </c>
      <c r="G219" s="90">
        <v>3745640</v>
      </c>
      <c r="H219" s="91">
        <v>44333</v>
      </c>
      <c r="I219" s="90">
        <v>0.60599999999999998</v>
      </c>
      <c r="J219" s="90"/>
      <c r="K219" s="90"/>
      <c r="L219" s="90"/>
      <c r="M219" s="90"/>
      <c r="N219" s="90"/>
      <c r="O219" s="90"/>
      <c r="P219" s="90"/>
      <c r="Q219" s="90"/>
      <c r="R219" s="90"/>
      <c r="S219" s="90"/>
      <c r="T219" s="91">
        <v>20739</v>
      </c>
      <c r="U219" s="90"/>
      <c r="V219" s="90" t="s">
        <v>89</v>
      </c>
      <c r="W219" s="233" t="str">
        <f t="shared" si="24"/>
        <v>Blasco  López,Francisco</v>
      </c>
      <c r="X219" s="202">
        <f t="shared" si="25"/>
        <v>5</v>
      </c>
      <c r="Y219" s="202">
        <f t="shared" si="26"/>
        <v>2021</v>
      </c>
      <c r="Z219" s="93" t="s">
        <v>265</v>
      </c>
      <c r="AA219" t="str">
        <f>IF(Tabla1[[#This Row],[Kerma en aire acumulada (Gy)]]&gt;1,SUMIF(G:G,Tabla1[[#This Row],[SIP]],I:I)-Tabla1[[#This Row],[Kerma en aire acumulada (Gy)]],"")</f>
        <v/>
      </c>
    </row>
    <row r="220" spans="3:27">
      <c r="C220" s="94" t="str">
        <f t="shared" si="27"/>
        <v>Adulto</v>
      </c>
      <c r="D220" s="95" t="s">
        <v>672</v>
      </c>
      <c r="E220" s="95" t="s">
        <v>673</v>
      </c>
      <c r="F220" s="95" t="s">
        <v>356</v>
      </c>
      <c r="G220" s="95">
        <v>2269932</v>
      </c>
      <c r="H220" s="96">
        <v>44334</v>
      </c>
      <c r="I220" s="117">
        <v>3.2490000000000001</v>
      </c>
      <c r="J220" s="95"/>
      <c r="K220" s="95"/>
      <c r="L220" s="95"/>
      <c r="M220" s="95"/>
      <c r="N220" s="95"/>
      <c r="O220" s="95"/>
      <c r="P220" s="95"/>
      <c r="Q220" s="95"/>
      <c r="R220" s="95"/>
      <c r="S220" s="95"/>
      <c r="T220" s="96">
        <v>18023</v>
      </c>
      <c r="U220" s="95"/>
      <c r="V220" s="95" t="s">
        <v>89</v>
      </c>
      <c r="W220" s="232" t="str">
        <f t="shared" si="24"/>
        <v>Mila Piro,Manuel</v>
      </c>
      <c r="X220" s="154">
        <f t="shared" si="25"/>
        <v>5</v>
      </c>
      <c r="Y220" s="154">
        <f t="shared" si="26"/>
        <v>2021</v>
      </c>
      <c r="Z220" s="97" t="s">
        <v>265</v>
      </c>
      <c r="AA220">
        <f>IF(Tabla1[[#This Row],[Kerma en aire acumulada (Gy)]]&gt;1,SUMIF(G:G,Tabla1[[#This Row],[SIP]],I:I)-Tabla1[[#This Row],[Kerma en aire acumulada (Gy)]],"")</f>
        <v>1.0070999999999999</v>
      </c>
    </row>
    <row r="221" spans="3:27">
      <c r="C221" s="89" t="str">
        <f t="shared" si="27"/>
        <v>Pediátrico</v>
      </c>
      <c r="D221" s="90" t="s">
        <v>104</v>
      </c>
      <c r="E221" s="90" t="s">
        <v>366</v>
      </c>
      <c r="F221" s="90" t="s">
        <v>102</v>
      </c>
      <c r="G221" s="90">
        <v>8315081</v>
      </c>
      <c r="H221" s="91">
        <v>44334</v>
      </c>
      <c r="I221" s="90">
        <v>2.0570000000000001E-2</v>
      </c>
      <c r="J221" s="90"/>
      <c r="K221" s="90"/>
      <c r="L221" s="90"/>
      <c r="M221" s="90"/>
      <c r="N221" s="90"/>
      <c r="O221" s="90"/>
      <c r="P221" s="90"/>
      <c r="Q221" s="90"/>
      <c r="R221" s="90"/>
      <c r="S221" s="90"/>
      <c r="T221" s="91">
        <v>40494</v>
      </c>
      <c r="U221" s="90"/>
      <c r="V221" s="90" t="s">
        <v>583</v>
      </c>
      <c r="W221" s="233" t="str">
        <f t="shared" si="24"/>
        <v>Martínez Rodríguez,José</v>
      </c>
      <c r="X221" s="202">
        <f t="shared" si="25"/>
        <v>5</v>
      </c>
      <c r="Y221" s="202">
        <f t="shared" si="26"/>
        <v>2021</v>
      </c>
      <c r="Z221" s="93" t="s">
        <v>266</v>
      </c>
      <c r="AA221" t="str">
        <f>IF(Tabla1[[#This Row],[Kerma en aire acumulada (Gy)]]&gt;1,SUMIF(G:G,Tabla1[[#This Row],[SIP]],I:I)-Tabla1[[#This Row],[Kerma en aire acumulada (Gy)]],"")</f>
        <v/>
      </c>
    </row>
    <row r="222" spans="3:27">
      <c r="C222" s="94" t="str">
        <f t="shared" si="27"/>
        <v>Adulto</v>
      </c>
      <c r="D222" s="95" t="s">
        <v>77</v>
      </c>
      <c r="E222" s="95" t="s">
        <v>674</v>
      </c>
      <c r="F222" s="95" t="s">
        <v>356</v>
      </c>
      <c r="G222" s="95">
        <v>2860214</v>
      </c>
      <c r="H222" s="96">
        <v>44335</v>
      </c>
      <c r="I222" s="95">
        <v>0.53500000000000003</v>
      </c>
      <c r="J222" s="95"/>
      <c r="K222" s="95"/>
      <c r="L222" s="95"/>
      <c r="M222" s="95"/>
      <c r="N222" s="95"/>
      <c r="O222" s="95"/>
      <c r="P222" s="95"/>
      <c r="Q222" s="95"/>
      <c r="R222" s="95"/>
      <c r="S222" s="95"/>
      <c r="T222" s="96">
        <v>14062</v>
      </c>
      <c r="U222" s="95"/>
      <c r="V222" s="95" t="s">
        <v>675</v>
      </c>
      <c r="W222" s="232" t="str">
        <f t="shared" si="24"/>
        <v>Torres Carrillo,Manuel</v>
      </c>
      <c r="X222" s="154">
        <f t="shared" si="25"/>
        <v>5</v>
      </c>
      <c r="Y222" s="154">
        <f t="shared" si="26"/>
        <v>2021</v>
      </c>
      <c r="Z222" s="97" t="s">
        <v>265</v>
      </c>
      <c r="AA222" t="str">
        <f>IF(Tabla1[[#This Row],[Kerma en aire acumulada (Gy)]]&gt;1,SUMIF(G:G,Tabla1[[#This Row],[SIP]],I:I)-Tabla1[[#This Row],[Kerma en aire acumulada (Gy)]],"")</f>
        <v/>
      </c>
    </row>
    <row r="223" spans="3:27">
      <c r="C223" s="94" t="str">
        <f t="shared" si="27"/>
        <v>Pediátrico</v>
      </c>
      <c r="D223" s="95" t="s">
        <v>680</v>
      </c>
      <c r="E223" s="95" t="s">
        <v>681</v>
      </c>
      <c r="F223" s="95" t="s">
        <v>682</v>
      </c>
      <c r="G223" s="95">
        <v>7262150</v>
      </c>
      <c r="H223" s="96">
        <v>44335</v>
      </c>
      <c r="I223" s="95">
        <v>2.1999999999999999E-2</v>
      </c>
      <c r="J223" s="95"/>
      <c r="K223" s="95"/>
      <c r="L223" s="95"/>
      <c r="M223" s="95"/>
      <c r="N223" s="95"/>
      <c r="O223" s="95"/>
      <c r="P223" s="95"/>
      <c r="Q223" s="95"/>
      <c r="R223" s="95"/>
      <c r="S223" s="95"/>
      <c r="T223" s="96">
        <v>39541</v>
      </c>
      <c r="U223" s="95"/>
      <c r="V223" s="95" t="s">
        <v>686</v>
      </c>
      <c r="W223" s="232" t="str">
        <f t="shared" si="24"/>
        <v>Rico Blasco,Marc</v>
      </c>
      <c r="X223" s="154">
        <f t="shared" si="25"/>
        <v>5</v>
      </c>
      <c r="Y223" s="154">
        <f t="shared" si="26"/>
        <v>2021</v>
      </c>
      <c r="Z223" s="97" t="s">
        <v>688</v>
      </c>
      <c r="AA223" t="str">
        <f>IF(Tabla1[[#This Row],[Kerma en aire acumulada (Gy)]]&gt;1,SUMIF(G:G,Tabla1[[#This Row],[SIP]],I:I)-Tabla1[[#This Row],[Kerma en aire acumulada (Gy)]],"")</f>
        <v/>
      </c>
    </row>
    <row r="224" spans="3:27">
      <c r="C224" s="89" t="str">
        <f t="shared" si="27"/>
        <v>Pediátrico</v>
      </c>
      <c r="D224" s="90" t="s">
        <v>689</v>
      </c>
      <c r="E224" s="90" t="s">
        <v>690</v>
      </c>
      <c r="F224" s="90" t="s">
        <v>691</v>
      </c>
      <c r="G224" s="90">
        <v>12233971</v>
      </c>
      <c r="H224" s="91">
        <v>44335</v>
      </c>
      <c r="I224" s="90">
        <v>1.6E-2</v>
      </c>
      <c r="J224" s="90"/>
      <c r="K224" s="90"/>
      <c r="L224" s="90"/>
      <c r="M224" s="90"/>
      <c r="N224" s="90"/>
      <c r="O224" s="90"/>
      <c r="P224" s="90"/>
      <c r="Q224" s="90"/>
      <c r="R224" s="90"/>
      <c r="S224" s="90"/>
      <c r="T224" s="91">
        <v>43200</v>
      </c>
      <c r="U224" s="90"/>
      <c r="V224" s="90" t="s">
        <v>705</v>
      </c>
      <c r="W224" s="233" t="str">
        <f t="shared" si="24"/>
        <v>Berenguer Manzanera,Paula</v>
      </c>
      <c r="X224" s="202">
        <f t="shared" si="25"/>
        <v>5</v>
      </c>
      <c r="Y224" s="202">
        <f t="shared" si="26"/>
        <v>2021</v>
      </c>
      <c r="Z224" s="93" t="s">
        <v>688</v>
      </c>
      <c r="AA224" t="str">
        <f>IF(Tabla1[[#This Row],[Kerma en aire acumulada (Gy)]]&gt;1,SUMIF(G:G,Tabla1[[#This Row],[SIP]],I:I)-Tabla1[[#This Row],[Kerma en aire acumulada (Gy)]],"")</f>
        <v/>
      </c>
    </row>
    <row r="225" spans="3:27">
      <c r="C225" s="89" t="str">
        <f t="shared" si="27"/>
        <v>Pediátrico</v>
      </c>
      <c r="D225" s="90" t="s">
        <v>683</v>
      </c>
      <c r="E225" s="90" t="s">
        <v>684</v>
      </c>
      <c r="F225" s="90" t="s">
        <v>685</v>
      </c>
      <c r="G225" s="90">
        <v>9843947</v>
      </c>
      <c r="H225" s="91">
        <v>44335</v>
      </c>
      <c r="I225" s="90">
        <v>3.5000000000000003E-2</v>
      </c>
      <c r="J225" s="90"/>
      <c r="K225" s="90"/>
      <c r="L225" s="90"/>
      <c r="M225" s="90"/>
      <c r="N225" s="90"/>
      <c r="O225" s="90"/>
      <c r="P225" s="90"/>
      <c r="Q225" s="90"/>
      <c r="R225" s="90"/>
      <c r="S225" s="90"/>
      <c r="T225" s="91">
        <v>41034</v>
      </c>
      <c r="U225" s="90"/>
      <c r="V225" s="90" t="s">
        <v>687</v>
      </c>
      <c r="W225" s="233" t="str">
        <f t="shared" si="24"/>
        <v>Amiryan Peña,Sara</v>
      </c>
      <c r="X225" s="202">
        <f t="shared" si="25"/>
        <v>5</v>
      </c>
      <c r="Y225" s="202">
        <f t="shared" si="26"/>
        <v>2021</v>
      </c>
      <c r="Z225" s="93" t="s">
        <v>688</v>
      </c>
      <c r="AA225" t="str">
        <f>IF(Tabla1[[#This Row],[Kerma en aire acumulada (Gy)]]&gt;1,SUMIF(G:G,Tabla1[[#This Row],[SIP]],I:I)-Tabla1[[#This Row],[Kerma en aire acumulada (Gy)]],"")</f>
        <v/>
      </c>
    </row>
    <row r="226" spans="3:27" ht="15.75" thickBot="1">
      <c r="C226" s="166" t="str">
        <f t="shared" si="27"/>
        <v>Adulto</v>
      </c>
      <c r="D226" s="163" t="s">
        <v>749</v>
      </c>
      <c r="E226" s="163" t="s">
        <v>35</v>
      </c>
      <c r="F226" s="163" t="s">
        <v>546</v>
      </c>
      <c r="G226" s="163">
        <v>2711030</v>
      </c>
      <c r="H226" s="173">
        <v>44336</v>
      </c>
      <c r="I226" s="163">
        <v>0.26100000000000001</v>
      </c>
      <c r="J226" s="163"/>
      <c r="K226" s="163"/>
      <c r="L226" s="163"/>
      <c r="M226" s="163"/>
      <c r="N226" s="163"/>
      <c r="O226" s="163"/>
      <c r="P226" s="163"/>
      <c r="Q226" s="163"/>
      <c r="R226" s="163"/>
      <c r="S226" s="163"/>
      <c r="T226" s="173">
        <v>14165</v>
      </c>
      <c r="U226" s="163"/>
      <c r="V226" s="163" t="s">
        <v>750</v>
      </c>
      <c r="W226" s="231" t="str">
        <f t="shared" si="24"/>
        <v>Lahuerta Lozano,Luis</v>
      </c>
      <c r="X226" s="160">
        <f t="shared" si="25"/>
        <v>5</v>
      </c>
      <c r="Y226" s="160">
        <f t="shared" si="26"/>
        <v>2021</v>
      </c>
      <c r="Z226" s="172"/>
      <c r="AA226" t="str">
        <f>IF(Tabla1[[#This Row],[Kerma en aire acumulada (Gy)]]&gt;1,SUMIF(G:G,Tabla1[[#This Row],[SIP]],I:I)-Tabla1[[#This Row],[Kerma en aire acumulada (Gy)]],"")</f>
        <v/>
      </c>
    </row>
    <row r="227" spans="3:27">
      <c r="C227" s="157" t="str">
        <f t="shared" si="27"/>
        <v>Adulto</v>
      </c>
      <c r="D227" s="202" t="s">
        <v>728</v>
      </c>
      <c r="E227" s="202" t="s">
        <v>524</v>
      </c>
      <c r="F227" s="202" t="s">
        <v>83</v>
      </c>
      <c r="G227" s="202">
        <v>4348465</v>
      </c>
      <c r="H227" s="214">
        <v>44336</v>
      </c>
      <c r="I227" s="202">
        <v>0.26300000000000001</v>
      </c>
      <c r="J227" s="202"/>
      <c r="K227" s="202"/>
      <c r="L227" s="202"/>
      <c r="M227" s="202"/>
      <c r="N227" s="202"/>
      <c r="O227" s="202"/>
      <c r="P227" s="202"/>
      <c r="Q227" s="202"/>
      <c r="R227" s="202"/>
      <c r="S227" s="202"/>
      <c r="T227" s="214">
        <v>23315</v>
      </c>
      <c r="U227" s="202"/>
      <c r="V227" s="202" t="s">
        <v>729</v>
      </c>
      <c r="W227" s="233" t="str">
        <f t="shared" si="24"/>
        <v>Dueñas López,Francisco</v>
      </c>
      <c r="X227" s="202">
        <f t="shared" si="25"/>
        <v>5</v>
      </c>
      <c r="Y227" s="202">
        <f t="shared" si="26"/>
        <v>2021</v>
      </c>
      <c r="Z227" s="203"/>
      <c r="AA227" t="str">
        <f>IF(Tabla1[[#This Row],[Kerma en aire acumulada (Gy)]]&gt;1,SUMIF(G:G,Tabla1[[#This Row],[SIP]],I:I)-Tabla1[[#This Row],[Kerma en aire acumulada (Gy)]],"")</f>
        <v/>
      </c>
    </row>
    <row r="228" spans="3:27">
      <c r="C228" s="94" t="str">
        <f t="shared" si="27"/>
        <v>Adulto</v>
      </c>
      <c r="D228" s="95" t="s">
        <v>676</v>
      </c>
      <c r="E228" s="95" t="s">
        <v>94</v>
      </c>
      <c r="F228" s="95" t="s">
        <v>62</v>
      </c>
      <c r="G228" s="95">
        <v>2960626</v>
      </c>
      <c r="H228" s="96">
        <v>44336</v>
      </c>
      <c r="I228" s="95">
        <v>1.1559999999999999</v>
      </c>
      <c r="J228" s="95"/>
      <c r="K228" s="95"/>
      <c r="L228" s="95"/>
      <c r="M228" s="95"/>
      <c r="N228" s="95"/>
      <c r="O228" s="95"/>
      <c r="P228" s="95"/>
      <c r="Q228" s="95"/>
      <c r="R228" s="95"/>
      <c r="S228" s="95"/>
      <c r="T228" s="96">
        <v>15905</v>
      </c>
      <c r="U228" s="95"/>
      <c r="V228" s="95" t="s">
        <v>166</v>
      </c>
      <c r="W228" s="232" t="str">
        <f t="shared" si="24"/>
        <v>Castillero Ángel,Jacinto</v>
      </c>
      <c r="X228" s="154">
        <f t="shared" si="25"/>
        <v>5</v>
      </c>
      <c r="Y228" s="154">
        <f t="shared" si="26"/>
        <v>2021</v>
      </c>
      <c r="Z228" s="97" t="s">
        <v>265</v>
      </c>
      <c r="AA228">
        <f>IF(Tabla1[[#This Row],[Kerma en aire acumulada (Gy)]]&gt;1,SUMIF(G:G,Tabla1[[#This Row],[SIP]],I:I)-Tabla1[[#This Row],[Kerma en aire acumulada (Gy)]],"")</f>
        <v>0.65656000000000003</v>
      </c>
    </row>
    <row r="229" spans="3:27">
      <c r="C229" s="89" t="str">
        <f t="shared" si="27"/>
        <v>Pediátrico</v>
      </c>
      <c r="D229" s="90" t="s">
        <v>677</v>
      </c>
      <c r="E229" s="90" t="s">
        <v>678</v>
      </c>
      <c r="F229" s="90" t="s">
        <v>679</v>
      </c>
      <c r="G229" s="90">
        <v>10591565</v>
      </c>
      <c r="H229" s="91">
        <v>44336</v>
      </c>
      <c r="I229" s="90">
        <f>55/1000</f>
        <v>5.5E-2</v>
      </c>
      <c r="J229" s="90"/>
      <c r="K229" s="90"/>
      <c r="L229" s="90"/>
      <c r="M229" s="90"/>
      <c r="N229" s="90"/>
      <c r="O229" s="90"/>
      <c r="P229" s="90"/>
      <c r="Q229" s="90"/>
      <c r="R229" s="90"/>
      <c r="S229" s="90"/>
      <c r="T229" s="91">
        <v>41425</v>
      </c>
      <c r="U229" s="90"/>
      <c r="V229" s="90" t="s">
        <v>583</v>
      </c>
      <c r="W229" s="233" t="str">
        <f t="shared" si="24"/>
        <v>Aliaga Bea,Mª Pilar</v>
      </c>
      <c r="X229" s="202">
        <f t="shared" si="25"/>
        <v>5</v>
      </c>
      <c r="Y229" s="202">
        <f t="shared" si="26"/>
        <v>2021</v>
      </c>
      <c r="Z229" s="93" t="s">
        <v>266</v>
      </c>
      <c r="AA229" t="str">
        <f>IF(Tabla1[[#This Row],[Kerma en aire acumulada (Gy)]]&gt;1,SUMIF(G:G,Tabla1[[#This Row],[SIP]],I:I)-Tabla1[[#This Row],[Kerma en aire acumulada (Gy)]],"")</f>
        <v/>
      </c>
    </row>
    <row r="230" spans="3:27">
      <c r="C230" s="89" t="str">
        <f t="shared" si="27"/>
        <v>Adulto</v>
      </c>
      <c r="D230" s="90" t="s">
        <v>751</v>
      </c>
      <c r="E230" s="90" t="s">
        <v>66</v>
      </c>
      <c r="F230" s="90" t="s">
        <v>592</v>
      </c>
      <c r="G230" s="90">
        <v>2215136</v>
      </c>
      <c r="H230" s="91">
        <v>44337</v>
      </c>
      <c r="I230" s="90">
        <v>0.216</v>
      </c>
      <c r="J230" s="90"/>
      <c r="K230" s="90"/>
      <c r="L230" s="90"/>
      <c r="M230" s="90"/>
      <c r="N230" s="90"/>
      <c r="O230" s="90"/>
      <c r="P230" s="90"/>
      <c r="Q230" s="90"/>
      <c r="R230" s="90"/>
      <c r="S230" s="90"/>
      <c r="T230" s="91">
        <v>12839</v>
      </c>
      <c r="U230" s="90"/>
      <c r="V230" s="90" t="s">
        <v>752</v>
      </c>
      <c r="W230" s="233" t="str">
        <f t="shared" ref="W230:W261" si="28">CONCATENATE(D230,$A$591,E230,",",F230)</f>
        <v>Zaragoza Navarro,María</v>
      </c>
      <c r="X230" s="202">
        <f t="shared" ref="X230:X261" si="29">MONTH(H230)</f>
        <v>5</v>
      </c>
      <c r="Y230" s="202">
        <f t="shared" ref="Y230:Y261" si="30">YEAR(H230)</f>
        <v>2021</v>
      </c>
      <c r="Z230" s="93"/>
      <c r="AA230" t="str">
        <f>IF(Tabla1[[#This Row],[Kerma en aire acumulada (Gy)]]&gt;1,SUMIF(G:G,Tabla1[[#This Row],[SIP]],I:I)-Tabla1[[#This Row],[Kerma en aire acumulada (Gy)]],"")</f>
        <v/>
      </c>
    </row>
    <row r="231" spans="3:27">
      <c r="C231" s="94" t="str">
        <f t="shared" si="27"/>
        <v>Pediátrico</v>
      </c>
      <c r="D231" s="95" t="s">
        <v>744</v>
      </c>
      <c r="E231" s="95" t="s">
        <v>631</v>
      </c>
      <c r="F231" s="95" t="s">
        <v>745</v>
      </c>
      <c r="G231" s="95">
        <v>5393586</v>
      </c>
      <c r="H231" s="96">
        <v>44337</v>
      </c>
      <c r="I231" s="95">
        <v>0.3</v>
      </c>
      <c r="J231" s="95"/>
      <c r="K231" s="95"/>
      <c r="L231" s="95"/>
      <c r="M231" s="95"/>
      <c r="N231" s="95"/>
      <c r="O231" s="95"/>
      <c r="P231" s="95"/>
      <c r="Q231" s="95"/>
      <c r="R231" s="95"/>
      <c r="S231" s="95"/>
      <c r="T231" s="96">
        <v>37970</v>
      </c>
      <c r="U231" s="95"/>
      <c r="V231" s="95" t="s">
        <v>583</v>
      </c>
      <c r="W231" s="232" t="str">
        <f t="shared" si="28"/>
        <v>Rowland Molina,Elizabeth</v>
      </c>
      <c r="X231" s="154">
        <f t="shared" si="29"/>
        <v>5</v>
      </c>
      <c r="Y231" s="154">
        <f t="shared" si="30"/>
        <v>2021</v>
      </c>
      <c r="Z231" s="97"/>
      <c r="AA231" t="str">
        <f>IF(Tabla1[[#This Row],[Kerma en aire acumulada (Gy)]]&gt;1,SUMIF(G:G,Tabla1[[#This Row],[SIP]],I:I)-Tabla1[[#This Row],[Kerma en aire acumulada (Gy)]],"")</f>
        <v/>
      </c>
    </row>
    <row r="232" spans="3:27">
      <c r="C232" s="94" t="str">
        <f t="shared" si="27"/>
        <v>Adulto</v>
      </c>
      <c r="D232" s="95" t="s">
        <v>706</v>
      </c>
      <c r="E232" s="95" t="s">
        <v>707</v>
      </c>
      <c r="F232" s="95" t="s">
        <v>102</v>
      </c>
      <c r="G232" s="95">
        <v>2157186</v>
      </c>
      <c r="H232" s="96">
        <v>44337</v>
      </c>
      <c r="I232" s="95">
        <v>0.67800000000000005</v>
      </c>
      <c r="J232" s="95"/>
      <c r="K232" s="95"/>
      <c r="L232" s="95"/>
      <c r="M232" s="95"/>
      <c r="N232" s="95"/>
      <c r="O232" s="95"/>
      <c r="P232" s="95"/>
      <c r="Q232" s="95"/>
      <c r="R232" s="95"/>
      <c r="S232" s="95"/>
      <c r="T232" s="96">
        <v>12940</v>
      </c>
      <c r="U232" s="95"/>
      <c r="V232" s="95" t="s">
        <v>563</v>
      </c>
      <c r="W232" s="232" t="str">
        <f t="shared" si="28"/>
        <v>Osuna Degracia,José</v>
      </c>
      <c r="X232" s="154">
        <f t="shared" si="29"/>
        <v>5</v>
      </c>
      <c r="Y232" s="154">
        <f t="shared" si="30"/>
        <v>2021</v>
      </c>
      <c r="Z232" s="97" t="s">
        <v>266</v>
      </c>
      <c r="AA232" t="str">
        <f>IF(Tabla1[[#This Row],[Kerma en aire acumulada (Gy)]]&gt;1,SUMIF(G:G,Tabla1[[#This Row],[SIP]],I:I)-Tabla1[[#This Row],[Kerma en aire acumulada (Gy)]],"")</f>
        <v/>
      </c>
    </row>
    <row r="233" spans="3:27">
      <c r="C233" s="89" t="str">
        <f t="shared" si="27"/>
        <v>Adulto</v>
      </c>
      <c r="D233" s="90" t="s">
        <v>708</v>
      </c>
      <c r="E233" s="90" t="s">
        <v>709</v>
      </c>
      <c r="F233" s="90" t="s">
        <v>710</v>
      </c>
      <c r="G233" s="90">
        <v>2810676</v>
      </c>
      <c r="H233" s="91">
        <v>44337</v>
      </c>
      <c r="I233" s="90">
        <v>0.48099999999999998</v>
      </c>
      <c r="J233" s="90"/>
      <c r="K233" s="90"/>
      <c r="L233" s="90"/>
      <c r="M233" s="90"/>
      <c r="N233" s="90"/>
      <c r="O233" s="90"/>
      <c r="P233" s="90"/>
      <c r="Q233" s="90"/>
      <c r="R233" s="90"/>
      <c r="S233" s="90"/>
      <c r="T233" s="91">
        <v>17598</v>
      </c>
      <c r="U233" s="90"/>
      <c r="V233" s="90" t="s">
        <v>563</v>
      </c>
      <c r="W233" s="233" t="str">
        <f t="shared" si="28"/>
        <v>Calaforra Brisa,José Luis</v>
      </c>
      <c r="X233" s="202">
        <f t="shared" si="29"/>
        <v>5</v>
      </c>
      <c r="Y233" s="202">
        <f t="shared" si="30"/>
        <v>2021</v>
      </c>
      <c r="Z233" s="93" t="s">
        <v>266</v>
      </c>
      <c r="AA233" t="str">
        <f>IF(Tabla1[[#This Row],[Kerma en aire acumulada (Gy)]]&gt;1,SUMIF(G:G,Tabla1[[#This Row],[SIP]],I:I)-Tabla1[[#This Row],[Kerma en aire acumulada (Gy)]],"")</f>
        <v/>
      </c>
    </row>
    <row r="234" spans="3:27">
      <c r="C234" s="89" t="str">
        <f t="shared" si="27"/>
        <v>Adulto</v>
      </c>
      <c r="D234" s="90" t="s">
        <v>761</v>
      </c>
      <c r="E234" s="90" t="s">
        <v>762</v>
      </c>
      <c r="F234" s="90" t="s">
        <v>763</v>
      </c>
      <c r="G234" s="90">
        <v>2309540</v>
      </c>
      <c r="H234" s="91">
        <v>44338</v>
      </c>
      <c r="I234" s="90">
        <v>0.27</v>
      </c>
      <c r="J234" s="90"/>
      <c r="K234" s="90"/>
      <c r="L234" s="90"/>
      <c r="M234" s="90"/>
      <c r="N234" s="90"/>
      <c r="O234" s="90"/>
      <c r="P234" s="90"/>
      <c r="Q234" s="90"/>
      <c r="R234" s="90"/>
      <c r="S234" s="90"/>
      <c r="T234" s="91">
        <v>21473</v>
      </c>
      <c r="U234" s="90"/>
      <c r="V234" s="90" t="s">
        <v>155</v>
      </c>
      <c r="W234" s="233" t="str">
        <f t="shared" si="28"/>
        <v>Beltrán Arribas,Mª Teresa</v>
      </c>
      <c r="X234" s="202">
        <f t="shared" si="29"/>
        <v>5</v>
      </c>
      <c r="Y234" s="202">
        <f t="shared" si="30"/>
        <v>2021</v>
      </c>
      <c r="Z234" s="93"/>
      <c r="AA234" t="str">
        <f>IF(Tabla1[[#This Row],[Kerma en aire acumulada (Gy)]]&gt;1,SUMIF(G:G,Tabla1[[#This Row],[SIP]],I:I)-Tabla1[[#This Row],[Kerma en aire acumulada (Gy)]],"")</f>
        <v/>
      </c>
    </row>
    <row r="235" spans="3:27">
      <c r="C235" s="94" t="str">
        <f t="shared" si="27"/>
        <v>Adulto</v>
      </c>
      <c r="D235" s="95" t="s">
        <v>746</v>
      </c>
      <c r="E235" s="95" t="s">
        <v>747</v>
      </c>
      <c r="F235" s="95" t="s">
        <v>748</v>
      </c>
      <c r="G235" s="95">
        <v>120012</v>
      </c>
      <c r="H235" s="96">
        <v>44339</v>
      </c>
      <c r="I235" s="95">
        <v>0.371</v>
      </c>
      <c r="J235" s="95"/>
      <c r="K235" s="95"/>
      <c r="L235" s="95"/>
      <c r="M235" s="95"/>
      <c r="N235" s="95"/>
      <c r="O235" s="95"/>
      <c r="P235" s="95"/>
      <c r="Q235" s="95"/>
      <c r="R235" s="95"/>
      <c r="S235" s="95"/>
      <c r="T235" s="96">
        <v>25934</v>
      </c>
      <c r="U235" s="95"/>
      <c r="V235" s="95" t="s">
        <v>550</v>
      </c>
      <c r="W235" s="232" t="str">
        <f t="shared" si="28"/>
        <v>Monar Van Vliet,Juana Andrea</v>
      </c>
      <c r="X235" s="154">
        <f t="shared" si="29"/>
        <v>5</v>
      </c>
      <c r="Y235" s="154">
        <f t="shared" si="30"/>
        <v>2021</v>
      </c>
      <c r="Z235" s="97"/>
      <c r="AA235" t="str">
        <f>IF(Tabla1[[#This Row],[Kerma en aire acumulada (Gy)]]&gt;1,SUMIF(G:G,Tabla1[[#This Row],[SIP]],I:I)-Tabla1[[#This Row],[Kerma en aire acumulada (Gy)]],"")</f>
        <v/>
      </c>
    </row>
    <row r="236" spans="3:27">
      <c r="C236" s="94" t="str">
        <f t="shared" si="27"/>
        <v>Adulto</v>
      </c>
      <c r="D236" s="95" t="s">
        <v>725</v>
      </c>
      <c r="E236" s="95" t="s">
        <v>726</v>
      </c>
      <c r="F236" s="95" t="s">
        <v>727</v>
      </c>
      <c r="G236" s="95">
        <v>3469956</v>
      </c>
      <c r="H236" s="96">
        <v>44340</v>
      </c>
      <c r="I236" s="95">
        <v>0.48499999999999999</v>
      </c>
      <c r="J236" s="95"/>
      <c r="K236" s="95"/>
      <c r="L236" s="95"/>
      <c r="M236" s="95"/>
      <c r="N236" s="95"/>
      <c r="O236" s="95"/>
      <c r="P236" s="95"/>
      <c r="Q236" s="95"/>
      <c r="R236" s="95"/>
      <c r="S236" s="95"/>
      <c r="T236" s="96">
        <v>12846</v>
      </c>
      <c r="U236" s="95"/>
      <c r="V236" s="95" t="s">
        <v>89</v>
      </c>
      <c r="W236" s="232" t="str">
        <f t="shared" si="28"/>
        <v>Notario Ballesteros,Julián</v>
      </c>
      <c r="X236" s="154">
        <f t="shared" si="29"/>
        <v>5</v>
      </c>
      <c r="Y236" s="154">
        <f t="shared" si="30"/>
        <v>2021</v>
      </c>
      <c r="Z236" s="97"/>
      <c r="AA236" t="str">
        <f>IF(Tabla1[[#This Row],[Kerma en aire acumulada (Gy)]]&gt;1,SUMIF(G:G,Tabla1[[#This Row],[SIP]],I:I)-Tabla1[[#This Row],[Kerma en aire acumulada (Gy)]],"")</f>
        <v/>
      </c>
    </row>
    <row r="237" spans="3:27">
      <c r="C237" s="94" t="str">
        <f t="shared" si="27"/>
        <v>Adulto</v>
      </c>
      <c r="D237" s="95" t="s">
        <v>736</v>
      </c>
      <c r="E237" s="95" t="s">
        <v>737</v>
      </c>
      <c r="F237" s="95" t="s">
        <v>37</v>
      </c>
      <c r="G237" s="95">
        <v>4703316</v>
      </c>
      <c r="H237" s="96">
        <v>44340</v>
      </c>
      <c r="I237" s="95">
        <v>1.41</v>
      </c>
      <c r="J237" s="95"/>
      <c r="K237" s="95"/>
      <c r="L237" s="95"/>
      <c r="M237" s="95"/>
      <c r="N237" s="95"/>
      <c r="O237" s="95"/>
      <c r="P237" s="95"/>
      <c r="Q237" s="95"/>
      <c r="R237" s="95"/>
      <c r="S237" s="95"/>
      <c r="T237" s="96">
        <v>21466</v>
      </c>
      <c r="U237" s="95"/>
      <c r="V237" s="95" t="s">
        <v>89</v>
      </c>
      <c r="W237" s="232" t="str">
        <f t="shared" si="28"/>
        <v>Morcillo Mora,Miguel Ángel</v>
      </c>
      <c r="X237" s="154">
        <f t="shared" si="29"/>
        <v>5</v>
      </c>
      <c r="Y237" s="154">
        <f t="shared" si="30"/>
        <v>2021</v>
      </c>
      <c r="Z237" s="97"/>
      <c r="AA237">
        <f>IF(Tabla1[[#This Row],[Kerma en aire acumulada (Gy)]]&gt;1,SUMIF(G:G,Tabla1[[#This Row],[SIP]],I:I)-Tabla1[[#This Row],[Kerma en aire acumulada (Gy)]],"")</f>
        <v>0</v>
      </c>
    </row>
    <row r="238" spans="3:27">
      <c r="C238" s="89" t="str">
        <f t="shared" si="27"/>
        <v>Pediátrico</v>
      </c>
      <c r="D238" s="90" t="s">
        <v>756</v>
      </c>
      <c r="E238" s="90" t="s">
        <v>757</v>
      </c>
      <c r="F238" s="90" t="s">
        <v>758</v>
      </c>
      <c r="G238" s="90">
        <v>7168260</v>
      </c>
      <c r="H238" s="91">
        <v>44340</v>
      </c>
      <c r="I238" s="90">
        <v>1.6E-2</v>
      </c>
      <c r="J238" s="90"/>
      <c r="K238" s="90"/>
      <c r="L238" s="90"/>
      <c r="M238" s="90"/>
      <c r="N238" s="90"/>
      <c r="O238" s="90"/>
      <c r="P238" s="90"/>
      <c r="Q238" s="90"/>
      <c r="R238" s="90"/>
      <c r="S238" s="90"/>
      <c r="T238" s="91">
        <v>39449</v>
      </c>
      <c r="U238" s="90"/>
      <c r="V238" s="90" t="s">
        <v>583</v>
      </c>
      <c r="W238" s="233" t="str">
        <f t="shared" si="28"/>
        <v>Goterris Triguero,Adrián</v>
      </c>
      <c r="X238" s="202">
        <f t="shared" si="29"/>
        <v>5</v>
      </c>
      <c r="Y238" s="202">
        <f t="shared" si="30"/>
        <v>2021</v>
      </c>
      <c r="Z238" s="93"/>
      <c r="AA238" t="str">
        <f>IF(Tabla1[[#This Row],[Kerma en aire acumulada (Gy)]]&gt;1,SUMIF(G:G,Tabla1[[#This Row],[SIP]],I:I)-Tabla1[[#This Row],[Kerma en aire acumulada (Gy)]],"")</f>
        <v/>
      </c>
    </row>
    <row r="239" spans="3:27">
      <c r="C239" s="89" t="str">
        <f t="shared" si="27"/>
        <v>Adulto</v>
      </c>
      <c r="D239" s="90" t="s">
        <v>721</v>
      </c>
      <c r="E239" s="90"/>
      <c r="F239" s="90" t="s">
        <v>722</v>
      </c>
      <c r="G239" s="90">
        <v>10168600</v>
      </c>
      <c r="H239" s="91">
        <v>44340</v>
      </c>
      <c r="I239" s="90">
        <v>0.49299999999999999</v>
      </c>
      <c r="J239" s="90"/>
      <c r="K239" s="90"/>
      <c r="L239" s="90"/>
      <c r="M239" s="90"/>
      <c r="N239" s="90"/>
      <c r="O239" s="90"/>
      <c r="P239" s="90"/>
      <c r="Q239" s="90"/>
      <c r="R239" s="90"/>
      <c r="S239" s="90"/>
      <c r="T239" s="91">
        <v>33613</v>
      </c>
      <c r="U239" s="90"/>
      <c r="V239" s="90" t="s">
        <v>100</v>
      </c>
      <c r="W239" s="233" t="str">
        <f t="shared" si="28"/>
        <v>Charfaoui ,Sofiane</v>
      </c>
      <c r="X239" s="202">
        <f t="shared" si="29"/>
        <v>5</v>
      </c>
      <c r="Y239" s="202">
        <f t="shared" si="30"/>
        <v>2021</v>
      </c>
      <c r="Z239" s="93" t="s">
        <v>265</v>
      </c>
      <c r="AA239" t="str">
        <f>IF(Tabla1[[#This Row],[Kerma en aire acumulada (Gy)]]&gt;1,SUMIF(G:G,Tabla1[[#This Row],[SIP]],I:I)-Tabla1[[#This Row],[Kerma en aire acumulada (Gy)]],"")</f>
        <v/>
      </c>
    </row>
    <row r="240" spans="3:27">
      <c r="C240" s="94" t="str">
        <f t="shared" si="27"/>
        <v>Adulto</v>
      </c>
      <c r="D240" s="95" t="s">
        <v>104</v>
      </c>
      <c r="E240" s="95" t="s">
        <v>656</v>
      </c>
      <c r="F240" s="95" t="s">
        <v>734</v>
      </c>
      <c r="G240" s="95">
        <v>2868174</v>
      </c>
      <c r="H240" s="96">
        <v>44341</v>
      </c>
      <c r="I240" s="95">
        <v>0.38100000000000001</v>
      </c>
      <c r="J240" s="95"/>
      <c r="K240" s="95"/>
      <c r="L240" s="95"/>
      <c r="M240" s="95"/>
      <c r="N240" s="95"/>
      <c r="O240" s="95"/>
      <c r="P240" s="95"/>
      <c r="Q240" s="95"/>
      <c r="R240" s="95"/>
      <c r="S240" s="95"/>
      <c r="T240" s="96">
        <v>18692</v>
      </c>
      <c r="U240" s="95"/>
      <c r="V240" s="95" t="s">
        <v>735</v>
      </c>
      <c r="W240" s="232" t="str">
        <f t="shared" si="28"/>
        <v>Martínez Calderón,Julia Caridad</v>
      </c>
      <c r="X240" s="154">
        <f t="shared" si="29"/>
        <v>5</v>
      </c>
      <c r="Y240" s="154">
        <f t="shared" si="30"/>
        <v>2021</v>
      </c>
      <c r="Z240" s="97"/>
      <c r="AA240" t="str">
        <f>IF(Tabla1[[#This Row],[Kerma en aire acumulada (Gy)]]&gt;1,SUMIF(G:G,Tabla1[[#This Row],[SIP]],I:I)-Tabla1[[#This Row],[Kerma en aire acumulada (Gy)]],"")</f>
        <v/>
      </c>
    </row>
    <row r="241" spans="3:27">
      <c r="C241" s="89" t="str">
        <f t="shared" si="27"/>
        <v>Pediátrico</v>
      </c>
      <c r="D241" s="90" t="s">
        <v>601</v>
      </c>
      <c r="E241" s="90"/>
      <c r="F241" s="90" t="s">
        <v>602</v>
      </c>
      <c r="G241" s="90">
        <v>12710458</v>
      </c>
      <c r="H241" s="91">
        <v>44341</v>
      </c>
      <c r="I241" s="90">
        <v>0.35499999999999998</v>
      </c>
      <c r="J241" s="90"/>
      <c r="K241" s="90"/>
      <c r="L241" s="90"/>
      <c r="M241" s="90"/>
      <c r="N241" s="90"/>
      <c r="O241" s="90"/>
      <c r="P241" s="90"/>
      <c r="Q241" s="90"/>
      <c r="R241" s="90"/>
      <c r="S241" s="90"/>
      <c r="T241" s="91">
        <v>43682</v>
      </c>
      <c r="U241" s="90"/>
      <c r="V241" s="90" t="s">
        <v>583</v>
      </c>
      <c r="W241" s="233" t="str">
        <f t="shared" si="28"/>
        <v>Falah ,Reda</v>
      </c>
      <c r="X241" s="202">
        <f t="shared" si="29"/>
        <v>5</v>
      </c>
      <c r="Y241" s="202">
        <f t="shared" si="30"/>
        <v>2021</v>
      </c>
      <c r="Z241" s="93" t="s">
        <v>266</v>
      </c>
      <c r="AA241" t="str">
        <f>IF(Tabla1[[#This Row],[Kerma en aire acumulada (Gy)]]&gt;1,SUMIF(G:G,Tabla1[[#This Row],[SIP]],I:I)-Tabla1[[#This Row],[Kerma en aire acumulada (Gy)]],"")</f>
        <v/>
      </c>
    </row>
    <row r="242" spans="3:27">
      <c r="C242" s="94" t="str">
        <f t="shared" si="27"/>
        <v>Adulto</v>
      </c>
      <c r="D242" s="95" t="s">
        <v>731</v>
      </c>
      <c r="E242" s="95" t="s">
        <v>732</v>
      </c>
      <c r="F242" s="95" t="s">
        <v>733</v>
      </c>
      <c r="G242" s="95">
        <v>10917790</v>
      </c>
      <c r="H242" s="96">
        <v>44342</v>
      </c>
      <c r="I242" s="95">
        <v>0.108</v>
      </c>
      <c r="J242" s="95"/>
      <c r="K242" s="95"/>
      <c r="L242" s="95"/>
      <c r="M242" s="95"/>
      <c r="N242" s="95"/>
      <c r="O242" s="95"/>
      <c r="P242" s="95"/>
      <c r="Q242" s="95"/>
      <c r="R242" s="95"/>
      <c r="S242" s="95"/>
      <c r="T242" s="96">
        <v>24208</v>
      </c>
      <c r="U242" s="95"/>
      <c r="V242" s="95" t="s">
        <v>509</v>
      </c>
      <c r="W242" s="232" t="str">
        <f t="shared" si="28"/>
        <v>Vizcaya Ebuka,Marcelino</v>
      </c>
      <c r="X242" s="154">
        <f t="shared" si="29"/>
        <v>5</v>
      </c>
      <c r="Y242" s="154">
        <f t="shared" si="30"/>
        <v>2021</v>
      </c>
      <c r="Z242" s="97"/>
      <c r="AA242" t="str">
        <f>IF(Tabla1[[#This Row],[Kerma en aire acumulada (Gy)]]&gt;1,SUMIF(G:G,Tabla1[[#This Row],[SIP]],I:I)-Tabla1[[#This Row],[Kerma en aire acumulada (Gy)]],"")</f>
        <v/>
      </c>
    </row>
    <row r="243" spans="3:27">
      <c r="C243" s="89" t="str">
        <f t="shared" si="27"/>
        <v>Adulto</v>
      </c>
      <c r="D243" s="90" t="s">
        <v>58</v>
      </c>
      <c r="E243" s="90" t="s">
        <v>59</v>
      </c>
      <c r="F243" s="90" t="s">
        <v>60</v>
      </c>
      <c r="G243" s="90">
        <v>4976109</v>
      </c>
      <c r="H243" s="91">
        <v>44342</v>
      </c>
      <c r="I243" s="90">
        <v>0.193</v>
      </c>
      <c r="J243" s="90"/>
      <c r="K243" s="90"/>
      <c r="L243" s="90"/>
      <c r="M243" s="90"/>
      <c r="N243" s="90"/>
      <c r="O243" s="90"/>
      <c r="P243" s="90"/>
      <c r="Q243" s="90"/>
      <c r="R243" s="90"/>
      <c r="S243" s="90"/>
      <c r="T243" s="91">
        <v>28635</v>
      </c>
      <c r="U243" s="90"/>
      <c r="V243" s="90" t="s">
        <v>720</v>
      </c>
      <c r="W243" s="233" t="str">
        <f t="shared" si="28"/>
        <v>Veliz Cadena,Marlon Omar</v>
      </c>
      <c r="X243" s="202">
        <f t="shared" si="29"/>
        <v>5</v>
      </c>
      <c r="Y243" s="202">
        <f t="shared" si="30"/>
        <v>2021</v>
      </c>
      <c r="Z243" s="93"/>
      <c r="AA243" t="str">
        <f>IF(Tabla1[[#This Row],[Kerma en aire acumulada (Gy)]]&gt;1,SUMIF(G:G,Tabla1[[#This Row],[SIP]],I:I)-Tabla1[[#This Row],[Kerma en aire acumulada (Gy)]],"")</f>
        <v/>
      </c>
    </row>
    <row r="244" spans="3:27">
      <c r="C244" s="89" t="str">
        <f t="shared" si="27"/>
        <v>Adulto</v>
      </c>
      <c r="D244" s="90" t="s">
        <v>713</v>
      </c>
      <c r="E244" s="90" t="s">
        <v>714</v>
      </c>
      <c r="F244" s="90" t="s">
        <v>715</v>
      </c>
      <c r="G244" s="90">
        <v>3178515</v>
      </c>
      <c r="H244" s="91">
        <v>44342</v>
      </c>
      <c r="I244" s="90">
        <v>2.6360000000000001</v>
      </c>
      <c r="J244" s="90"/>
      <c r="K244" s="90"/>
      <c r="L244" s="90"/>
      <c r="M244" s="90"/>
      <c r="N244" s="90"/>
      <c r="O244" s="90"/>
      <c r="P244" s="90"/>
      <c r="Q244" s="90"/>
      <c r="R244" s="90"/>
      <c r="S244" s="90"/>
      <c r="T244" s="91">
        <v>12068</v>
      </c>
      <c r="U244" s="90"/>
      <c r="V244" s="90" t="s">
        <v>563</v>
      </c>
      <c r="W244" s="233" t="str">
        <f t="shared" si="28"/>
        <v>Sepúlveda Boix,Amparo</v>
      </c>
      <c r="X244" s="202">
        <f t="shared" si="29"/>
        <v>5</v>
      </c>
      <c r="Y244" s="202">
        <f t="shared" si="30"/>
        <v>2021</v>
      </c>
      <c r="Z244" s="93" t="s">
        <v>266</v>
      </c>
      <c r="AA244">
        <f>IF(Tabla1[[#This Row],[Kerma en aire acumulada (Gy)]]&gt;1,SUMIF(G:G,Tabla1[[#This Row],[SIP]],I:I)-Tabla1[[#This Row],[Kerma en aire acumulada (Gy)]],"")</f>
        <v>0</v>
      </c>
    </row>
    <row r="245" spans="3:27">
      <c r="C245" s="94" t="str">
        <f t="shared" si="27"/>
        <v>Adulto</v>
      </c>
      <c r="D245" s="95" t="s">
        <v>723</v>
      </c>
      <c r="E245" s="95" t="s">
        <v>724</v>
      </c>
      <c r="F245" s="95" t="s">
        <v>519</v>
      </c>
      <c r="G245" s="95">
        <v>2902203</v>
      </c>
      <c r="H245" s="96">
        <v>44342</v>
      </c>
      <c r="I245" s="95">
        <v>0.31</v>
      </c>
      <c r="J245" s="95"/>
      <c r="K245" s="95"/>
      <c r="L245" s="95"/>
      <c r="M245" s="95"/>
      <c r="N245" s="95"/>
      <c r="O245" s="95"/>
      <c r="P245" s="95"/>
      <c r="Q245" s="95"/>
      <c r="R245" s="95"/>
      <c r="S245" s="95"/>
      <c r="T245" s="96">
        <v>18246</v>
      </c>
      <c r="U245" s="95"/>
      <c r="V245" s="95" t="s">
        <v>92</v>
      </c>
      <c r="W245" s="232" t="str">
        <f t="shared" si="28"/>
        <v>Moscardo Ignacio,Fernando</v>
      </c>
      <c r="X245" s="154">
        <f t="shared" si="29"/>
        <v>5</v>
      </c>
      <c r="Y245" s="154">
        <f t="shared" si="30"/>
        <v>2021</v>
      </c>
      <c r="Z245" s="97"/>
      <c r="AA245" t="str">
        <f>IF(Tabla1[[#This Row],[Kerma en aire acumulada (Gy)]]&gt;1,SUMIF(G:G,Tabla1[[#This Row],[SIP]],I:I)-Tabla1[[#This Row],[Kerma en aire acumulada (Gy)]],"")</f>
        <v/>
      </c>
    </row>
    <row r="246" spans="3:27">
      <c r="C246" s="94" t="str">
        <f t="shared" si="27"/>
        <v>Pediátrico</v>
      </c>
      <c r="D246" s="95" t="s">
        <v>524</v>
      </c>
      <c r="E246" s="95" t="s">
        <v>539</v>
      </c>
      <c r="F246" s="95" t="s">
        <v>540</v>
      </c>
      <c r="G246" s="95">
        <v>12851181</v>
      </c>
      <c r="H246" s="96">
        <v>44342</v>
      </c>
      <c r="I246" s="95">
        <v>4.5599999999999998E-3</v>
      </c>
      <c r="J246" s="95"/>
      <c r="K246" s="95"/>
      <c r="L246" s="95"/>
      <c r="M246" s="95"/>
      <c r="N246" s="95"/>
      <c r="O246" s="95"/>
      <c r="P246" s="95"/>
      <c r="Q246" s="95"/>
      <c r="R246" s="95"/>
      <c r="S246" s="95"/>
      <c r="T246" s="96">
        <v>43832</v>
      </c>
      <c r="U246" s="95"/>
      <c r="V246" s="95" t="s">
        <v>705</v>
      </c>
      <c r="W246" s="232" t="str">
        <f t="shared" si="28"/>
        <v>López Yuste,Thiago</v>
      </c>
      <c r="X246" s="154">
        <f t="shared" si="29"/>
        <v>5</v>
      </c>
      <c r="Y246" s="154">
        <f t="shared" si="30"/>
        <v>2021</v>
      </c>
      <c r="Z246" s="97"/>
      <c r="AA246" t="str">
        <f>IF(Tabla1[[#This Row],[Kerma en aire acumulada (Gy)]]&gt;1,SUMIF(G:G,Tabla1[[#This Row],[SIP]],I:I)-Tabla1[[#This Row],[Kerma en aire acumulada (Gy)]],"")</f>
        <v/>
      </c>
    </row>
    <row r="247" spans="3:27">
      <c r="C247" s="89" t="str">
        <f t="shared" si="27"/>
        <v>Pediátrico</v>
      </c>
      <c r="D247" s="90" t="s">
        <v>738</v>
      </c>
      <c r="E247" s="90"/>
      <c r="F247" s="90" t="s">
        <v>739</v>
      </c>
      <c r="G247" s="90">
        <v>12448683</v>
      </c>
      <c r="H247" s="91">
        <v>44342</v>
      </c>
      <c r="I247" s="90">
        <v>3.6999999999999999E-4</v>
      </c>
      <c r="J247" s="90"/>
      <c r="K247" s="90"/>
      <c r="L247" s="90"/>
      <c r="M247" s="90"/>
      <c r="N247" s="90"/>
      <c r="O247" s="90"/>
      <c r="P247" s="90"/>
      <c r="Q247" s="90"/>
      <c r="R247" s="90"/>
      <c r="S247" s="90"/>
      <c r="T247" s="91">
        <v>41800</v>
      </c>
      <c r="U247" s="90"/>
      <c r="V247" s="90" t="s">
        <v>740</v>
      </c>
      <c r="W247" s="233" t="str">
        <f t="shared" si="28"/>
        <v>Kassouad ,Yasmine</v>
      </c>
      <c r="X247" s="202">
        <f t="shared" si="29"/>
        <v>5</v>
      </c>
      <c r="Y247" s="202">
        <f t="shared" si="30"/>
        <v>2021</v>
      </c>
      <c r="Z247" s="93"/>
      <c r="AA247" t="str">
        <f>IF(Tabla1[[#This Row],[Kerma en aire acumulada (Gy)]]&gt;1,SUMIF(G:G,Tabla1[[#This Row],[SIP]],I:I)-Tabla1[[#This Row],[Kerma en aire acumulada (Gy)]],"")</f>
        <v/>
      </c>
    </row>
    <row r="248" spans="3:27" ht="15.75" thickBot="1">
      <c r="C248" s="193" t="str">
        <f t="shared" si="27"/>
        <v>Pediátrico</v>
      </c>
      <c r="D248" s="181" t="s">
        <v>741</v>
      </c>
      <c r="E248" s="181" t="s">
        <v>742</v>
      </c>
      <c r="F248" s="181" t="s">
        <v>743</v>
      </c>
      <c r="G248" s="181">
        <v>11810950</v>
      </c>
      <c r="H248" s="194">
        <v>44342</v>
      </c>
      <c r="I248" s="181">
        <v>1.4999999999999999E-2</v>
      </c>
      <c r="J248" s="181"/>
      <c r="K248" s="181"/>
      <c r="L248" s="181"/>
      <c r="M248" s="181"/>
      <c r="N248" s="181"/>
      <c r="O248" s="181"/>
      <c r="P248" s="181"/>
      <c r="Q248" s="181"/>
      <c r="R248" s="181"/>
      <c r="S248" s="181"/>
      <c r="T248" s="194">
        <v>42716</v>
      </c>
      <c r="U248" s="181"/>
      <c r="V248" s="181" t="s">
        <v>705</v>
      </c>
      <c r="W248" s="235" t="str">
        <f t="shared" si="28"/>
        <v>Izquierdo Lluch,Malena</v>
      </c>
      <c r="X248" s="209">
        <f t="shared" si="29"/>
        <v>5</v>
      </c>
      <c r="Y248" s="209">
        <f t="shared" si="30"/>
        <v>2021</v>
      </c>
      <c r="Z248" s="164"/>
      <c r="AA248" t="str">
        <f>IF(Tabla1[[#This Row],[Kerma en aire acumulada (Gy)]]&gt;1,SUMIF(G:G,Tabla1[[#This Row],[SIP]],I:I)-Tabla1[[#This Row],[Kerma en aire acumulada (Gy)]],"")</f>
        <v/>
      </c>
    </row>
    <row r="249" spans="3:27">
      <c r="C249" s="157" t="str">
        <f t="shared" si="27"/>
        <v>Adulto</v>
      </c>
      <c r="D249" s="202" t="s">
        <v>826</v>
      </c>
      <c r="E249" s="202" t="s">
        <v>827</v>
      </c>
      <c r="F249" s="202" t="s">
        <v>828</v>
      </c>
      <c r="G249" s="202">
        <v>2914618</v>
      </c>
      <c r="H249" s="214">
        <v>44343</v>
      </c>
      <c r="I249" s="202">
        <v>0.628</v>
      </c>
      <c r="J249" s="202"/>
      <c r="K249" s="202"/>
      <c r="L249" s="202"/>
      <c r="M249" s="202"/>
      <c r="N249" s="202"/>
      <c r="O249" s="202"/>
      <c r="P249" s="202"/>
      <c r="Q249" s="202"/>
      <c r="R249" s="202"/>
      <c r="S249" s="202"/>
      <c r="T249" s="214">
        <v>19052</v>
      </c>
      <c r="U249" s="202"/>
      <c r="V249" s="202" t="s">
        <v>100</v>
      </c>
      <c r="W249" s="233" t="str">
        <f t="shared" si="28"/>
        <v>Samper Conca,Josep</v>
      </c>
      <c r="X249" s="202">
        <f t="shared" si="29"/>
        <v>5</v>
      </c>
      <c r="Y249" s="202">
        <f t="shared" si="30"/>
        <v>2021</v>
      </c>
      <c r="Z249" s="203"/>
      <c r="AA249" t="str">
        <f>IF(Tabla1[[#This Row],[Kerma en aire acumulada (Gy)]]&gt;1,SUMIF(G:G,Tabla1[[#This Row],[SIP]],I:I)-Tabla1[[#This Row],[Kerma en aire acumulada (Gy)]],"")</f>
        <v/>
      </c>
    </row>
    <row r="250" spans="3:27">
      <c r="C250" s="89" t="str">
        <f t="shared" si="27"/>
        <v>Adulto</v>
      </c>
      <c r="D250" s="90" t="s">
        <v>562</v>
      </c>
      <c r="E250" s="90" t="s">
        <v>368</v>
      </c>
      <c r="F250" s="90" t="s">
        <v>764</v>
      </c>
      <c r="G250" s="90">
        <v>3402217</v>
      </c>
      <c r="H250" s="91">
        <v>44343</v>
      </c>
      <c r="I250" s="90">
        <v>0.15</v>
      </c>
      <c r="J250" s="90"/>
      <c r="K250" s="90"/>
      <c r="L250" s="90"/>
      <c r="M250" s="90"/>
      <c r="N250" s="90"/>
      <c r="O250" s="90"/>
      <c r="P250" s="90"/>
      <c r="Q250" s="90"/>
      <c r="R250" s="90"/>
      <c r="S250" s="90"/>
      <c r="T250" s="91">
        <v>29127</v>
      </c>
      <c r="U250" s="90"/>
      <c r="V250" s="90" t="s">
        <v>765</v>
      </c>
      <c r="W250" s="233" t="str">
        <f t="shared" si="28"/>
        <v>Rosa García,Cristian</v>
      </c>
      <c r="X250" s="202">
        <f t="shared" si="29"/>
        <v>5</v>
      </c>
      <c r="Y250" s="202">
        <f t="shared" si="30"/>
        <v>2021</v>
      </c>
      <c r="Z250" s="93"/>
      <c r="AA250" t="str">
        <f>IF(Tabla1[[#This Row],[Kerma en aire acumulada (Gy)]]&gt;1,SUMIF(G:G,Tabla1[[#This Row],[SIP]],I:I)-Tabla1[[#This Row],[Kerma en aire acumulada (Gy)]],"")</f>
        <v/>
      </c>
    </row>
    <row r="251" spans="3:27">
      <c r="C251" s="94" t="str">
        <f t="shared" si="27"/>
        <v>Adulto</v>
      </c>
      <c r="D251" s="95" t="s">
        <v>753</v>
      </c>
      <c r="E251" s="95" t="s">
        <v>754</v>
      </c>
      <c r="F251" s="95" t="s">
        <v>755</v>
      </c>
      <c r="G251" s="95">
        <v>1906942</v>
      </c>
      <c r="H251" s="96">
        <v>44343</v>
      </c>
      <c r="I251" s="95">
        <v>9.2999999999999999E-2</v>
      </c>
      <c r="J251" s="95"/>
      <c r="K251" s="95"/>
      <c r="L251" s="95"/>
      <c r="M251" s="95"/>
      <c r="N251" s="95"/>
      <c r="O251" s="95"/>
      <c r="P251" s="95"/>
      <c r="Q251" s="95"/>
      <c r="R251" s="95"/>
      <c r="S251" s="95"/>
      <c r="T251" s="96">
        <v>28482</v>
      </c>
      <c r="U251" s="95"/>
      <c r="V251" s="95" t="s">
        <v>128</v>
      </c>
      <c r="W251" s="232" t="str">
        <f t="shared" si="28"/>
        <v xml:space="preserve">Morell Capellino,José </v>
      </c>
      <c r="X251" s="154">
        <f t="shared" si="29"/>
        <v>5</v>
      </c>
      <c r="Y251" s="154">
        <f t="shared" si="30"/>
        <v>2021</v>
      </c>
      <c r="Z251" s="97"/>
      <c r="AA251" t="str">
        <f>IF(Tabla1[[#This Row],[Kerma en aire acumulada (Gy)]]&gt;1,SUMIF(G:G,Tabla1[[#This Row],[SIP]],I:I)-Tabla1[[#This Row],[Kerma en aire acumulada (Gy)]],"")</f>
        <v/>
      </c>
    </row>
    <row r="252" spans="3:27">
      <c r="C252" s="89" t="str">
        <f t="shared" si="27"/>
        <v>Adulto</v>
      </c>
      <c r="D252" s="90" t="s">
        <v>768</v>
      </c>
      <c r="E252" s="90" t="s">
        <v>769</v>
      </c>
      <c r="F252" s="90" t="s">
        <v>20</v>
      </c>
      <c r="G252" s="90">
        <v>3206214</v>
      </c>
      <c r="H252" s="91">
        <v>44343</v>
      </c>
      <c r="I252" s="90">
        <v>0.54500000000000004</v>
      </c>
      <c r="J252" s="90"/>
      <c r="K252" s="90"/>
      <c r="L252" s="90"/>
      <c r="M252" s="90"/>
      <c r="N252" s="90"/>
      <c r="O252" s="90"/>
      <c r="P252" s="90"/>
      <c r="Q252" s="90"/>
      <c r="R252" s="90"/>
      <c r="S252" s="90"/>
      <c r="T252" s="91">
        <v>15321</v>
      </c>
      <c r="U252" s="90"/>
      <c r="V252" s="90" t="s">
        <v>563</v>
      </c>
      <c r="W252" s="233" t="str">
        <f t="shared" si="28"/>
        <v>Gutiérrez Duero,Antonio</v>
      </c>
      <c r="X252" s="202">
        <f t="shared" si="29"/>
        <v>5</v>
      </c>
      <c r="Y252" s="202">
        <f t="shared" si="30"/>
        <v>2021</v>
      </c>
      <c r="Z252" s="93"/>
      <c r="AA252" t="str">
        <f>IF(Tabla1[[#This Row],[Kerma en aire acumulada (Gy)]]&gt;1,SUMIF(G:G,Tabla1[[#This Row],[SIP]],I:I)-Tabla1[[#This Row],[Kerma en aire acumulada (Gy)]],"")</f>
        <v/>
      </c>
    </row>
    <row r="253" spans="3:27">
      <c r="C253" s="89" t="str">
        <f t="shared" si="27"/>
        <v>Pediátrico</v>
      </c>
      <c r="D253" s="90" t="s">
        <v>759</v>
      </c>
      <c r="E253" s="90"/>
      <c r="F253" s="90" t="s">
        <v>760</v>
      </c>
      <c r="G253" s="90">
        <v>13006114</v>
      </c>
      <c r="H253" s="91">
        <v>44343</v>
      </c>
      <c r="I253" s="90">
        <v>3.5999999999999997E-2</v>
      </c>
      <c r="J253" s="90"/>
      <c r="K253" s="90"/>
      <c r="L253" s="90"/>
      <c r="M253" s="90"/>
      <c r="N253" s="90"/>
      <c r="O253" s="90"/>
      <c r="P253" s="90"/>
      <c r="Q253" s="90"/>
      <c r="R253" s="90"/>
      <c r="S253" s="90"/>
      <c r="T253" s="91">
        <v>40783</v>
      </c>
      <c r="U253" s="90"/>
      <c r="V253" s="90" t="s">
        <v>583</v>
      </c>
      <c r="W253" s="233" t="str">
        <f t="shared" si="28"/>
        <v>Gavrilas ,Alin Constantin</v>
      </c>
      <c r="X253" s="202">
        <f t="shared" si="29"/>
        <v>5</v>
      </c>
      <c r="Y253" s="202">
        <f t="shared" si="30"/>
        <v>2021</v>
      </c>
      <c r="Z253" s="93"/>
      <c r="AA253" t="str">
        <f>IF(Tabla1[[#This Row],[Kerma en aire acumulada (Gy)]]&gt;1,SUMIF(G:G,Tabla1[[#This Row],[SIP]],I:I)-Tabla1[[#This Row],[Kerma en aire acumulada (Gy)]],"")</f>
        <v/>
      </c>
    </row>
    <row r="254" spans="3:27">
      <c r="C254" s="94" t="str">
        <f t="shared" si="27"/>
        <v>Adulto</v>
      </c>
      <c r="D254" s="95" t="s">
        <v>766</v>
      </c>
      <c r="E254" s="95" t="s">
        <v>767</v>
      </c>
      <c r="F254" s="95" t="s">
        <v>106</v>
      </c>
      <c r="G254" s="95">
        <v>3078017</v>
      </c>
      <c r="H254" s="96">
        <v>44343</v>
      </c>
      <c r="I254" s="95">
        <v>0.39800000000000002</v>
      </c>
      <c r="J254" s="95"/>
      <c r="K254" s="95"/>
      <c r="L254" s="95"/>
      <c r="M254" s="95"/>
      <c r="N254" s="95"/>
      <c r="O254" s="95"/>
      <c r="P254" s="95"/>
      <c r="Q254" s="95"/>
      <c r="R254" s="95"/>
      <c r="S254" s="95"/>
      <c r="T254" s="96">
        <v>15903</v>
      </c>
      <c r="U254" s="95"/>
      <c r="V254" s="95" t="s">
        <v>563</v>
      </c>
      <c r="W254" s="232" t="str">
        <f t="shared" si="28"/>
        <v>Frau Segarra,Carmen</v>
      </c>
      <c r="X254" s="154">
        <f t="shared" si="29"/>
        <v>5</v>
      </c>
      <c r="Y254" s="154">
        <f t="shared" si="30"/>
        <v>2021</v>
      </c>
      <c r="Z254" s="97"/>
      <c r="AA254" t="str">
        <f>IF(Tabla1[[#This Row],[Kerma en aire acumulada (Gy)]]&gt;1,SUMIF(G:G,Tabla1[[#This Row],[SIP]],I:I)-Tabla1[[#This Row],[Kerma en aire acumulada (Gy)]],"")</f>
        <v/>
      </c>
    </row>
    <row r="255" spans="3:27">
      <c r="C255" s="94" t="str">
        <f t="shared" si="27"/>
        <v>Adulto</v>
      </c>
      <c r="D255" s="95" t="s">
        <v>313</v>
      </c>
      <c r="E255" s="95" t="s">
        <v>730</v>
      </c>
      <c r="F255" s="95" t="s">
        <v>300</v>
      </c>
      <c r="G255" s="95">
        <v>321938</v>
      </c>
      <c r="H255" s="96">
        <v>44343</v>
      </c>
      <c r="I255" s="95">
        <v>0.60299999999999998</v>
      </c>
      <c r="J255" s="95"/>
      <c r="K255" s="95"/>
      <c r="L255" s="95"/>
      <c r="M255" s="95"/>
      <c r="N255" s="95"/>
      <c r="O255" s="95"/>
      <c r="P255" s="95"/>
      <c r="Q255" s="95"/>
      <c r="R255" s="95"/>
      <c r="S255" s="95"/>
      <c r="T255" s="96">
        <v>14155</v>
      </c>
      <c r="U255" s="95"/>
      <c r="V255" s="95" t="s">
        <v>100</v>
      </c>
      <c r="W255" s="232" t="str">
        <f t="shared" si="28"/>
        <v>Fernández Montalva,Carlos</v>
      </c>
      <c r="X255" s="154">
        <f t="shared" si="29"/>
        <v>5</v>
      </c>
      <c r="Y255" s="154">
        <f t="shared" si="30"/>
        <v>2021</v>
      </c>
      <c r="Z255" s="97"/>
      <c r="AA255" t="str">
        <f>IF(Tabla1[[#This Row],[Kerma en aire acumulada (Gy)]]&gt;1,SUMIF(G:G,Tabla1[[#This Row],[SIP]],I:I)-Tabla1[[#This Row],[Kerma en aire acumulada (Gy)]],"")</f>
        <v/>
      </c>
    </row>
    <row r="256" spans="3:27">
      <c r="C256" s="94" t="str">
        <f t="shared" si="27"/>
        <v>Pediátrico</v>
      </c>
      <c r="D256" s="95" t="s">
        <v>101</v>
      </c>
      <c r="E256" s="95" t="s">
        <v>805</v>
      </c>
      <c r="F256" s="95" t="s">
        <v>806</v>
      </c>
      <c r="G256" s="95">
        <v>13090672</v>
      </c>
      <c r="H256" s="96">
        <v>44343</v>
      </c>
      <c r="I256" s="95">
        <v>1.39E-3</v>
      </c>
      <c r="J256" s="95"/>
      <c r="K256" s="95"/>
      <c r="L256" s="95"/>
      <c r="M256" s="95"/>
      <c r="N256" s="95"/>
      <c r="O256" s="95"/>
      <c r="P256" s="95"/>
      <c r="Q256" s="95"/>
      <c r="R256" s="95"/>
      <c r="S256" s="95"/>
      <c r="T256" s="96">
        <v>44267</v>
      </c>
      <c r="U256" s="95"/>
      <c r="V256" s="95" t="s">
        <v>807</v>
      </c>
      <c r="W256" s="232" t="str">
        <f t="shared" si="28"/>
        <v>Calvo Barber,Annelise</v>
      </c>
      <c r="X256" s="154">
        <f t="shared" si="29"/>
        <v>5</v>
      </c>
      <c r="Y256" s="154">
        <f t="shared" si="30"/>
        <v>2021</v>
      </c>
      <c r="Z256" s="97"/>
      <c r="AA256" t="str">
        <f>IF(Tabla1[[#This Row],[Kerma en aire acumulada (Gy)]]&gt;1,SUMIF(G:G,Tabla1[[#This Row],[SIP]],I:I)-Tabla1[[#This Row],[Kerma en aire acumulada (Gy)]],"")</f>
        <v/>
      </c>
    </row>
    <row r="257" spans="3:27">
      <c r="C257" s="89" t="str">
        <f t="shared" si="27"/>
        <v>Adulto</v>
      </c>
      <c r="D257" s="90" t="s">
        <v>770</v>
      </c>
      <c r="E257" s="90" t="s">
        <v>770</v>
      </c>
      <c r="F257" s="90" t="s">
        <v>771</v>
      </c>
      <c r="G257" s="90">
        <v>4783967</v>
      </c>
      <c r="H257" s="91">
        <v>44344</v>
      </c>
      <c r="I257" s="90">
        <v>1.1000000000000001</v>
      </c>
      <c r="J257" s="90"/>
      <c r="K257" s="90"/>
      <c r="L257" s="90"/>
      <c r="M257" s="90"/>
      <c r="N257" s="90"/>
      <c r="O257" s="90"/>
      <c r="P257" s="90"/>
      <c r="Q257" s="90"/>
      <c r="R257" s="90"/>
      <c r="S257" s="90"/>
      <c r="T257" s="91">
        <v>23794</v>
      </c>
      <c r="U257" s="90"/>
      <c r="V257" s="90" t="s">
        <v>563</v>
      </c>
      <c r="W257" s="233" t="str">
        <f t="shared" si="28"/>
        <v>Sahakyan Sahakyan,Grigor</v>
      </c>
      <c r="X257" s="202">
        <f t="shared" si="29"/>
        <v>5</v>
      </c>
      <c r="Y257" s="202">
        <f t="shared" si="30"/>
        <v>2021</v>
      </c>
      <c r="Z257" s="93"/>
      <c r="AA257">
        <f>IF(Tabla1[[#This Row],[Kerma en aire acumulada (Gy)]]&gt;1,SUMIF(G:G,Tabla1[[#This Row],[SIP]],I:I)-Tabla1[[#This Row],[Kerma en aire acumulada (Gy)]],"")</f>
        <v>0</v>
      </c>
    </row>
    <row r="258" spans="3:27">
      <c r="C258" s="94" t="str">
        <f t="shared" si="27"/>
        <v>Adulto</v>
      </c>
      <c r="D258" s="95" t="s">
        <v>22</v>
      </c>
      <c r="E258" s="95" t="s">
        <v>337</v>
      </c>
      <c r="F258" s="95" t="s">
        <v>831</v>
      </c>
      <c r="G258" s="95">
        <v>11132037</v>
      </c>
      <c r="H258" s="96">
        <v>44344</v>
      </c>
      <c r="I258" s="95">
        <v>0.41899999999999998</v>
      </c>
      <c r="J258" s="95"/>
      <c r="K258" s="95"/>
      <c r="L258" s="95"/>
      <c r="M258" s="95"/>
      <c r="N258" s="95"/>
      <c r="O258" s="95"/>
      <c r="P258" s="95"/>
      <c r="Q258" s="95"/>
      <c r="R258" s="95"/>
      <c r="S258" s="95"/>
      <c r="T258" s="96">
        <v>23595</v>
      </c>
      <c r="U258" s="95"/>
      <c r="V258" s="95" t="s">
        <v>832</v>
      </c>
      <c r="W258" s="232" t="str">
        <f t="shared" si="28"/>
        <v>Ruiz Garrido,Encarnación</v>
      </c>
      <c r="X258" s="154">
        <f t="shared" si="29"/>
        <v>5</v>
      </c>
      <c r="Y258" s="154">
        <f t="shared" si="30"/>
        <v>2021</v>
      </c>
      <c r="Z258" s="97"/>
      <c r="AA258" t="str">
        <f>IF(Tabla1[[#This Row],[Kerma en aire acumulada (Gy)]]&gt;1,SUMIF(G:G,Tabla1[[#This Row],[SIP]],I:I)-Tabla1[[#This Row],[Kerma en aire acumulada (Gy)]],"")</f>
        <v/>
      </c>
    </row>
    <row r="259" spans="3:27">
      <c r="C259" s="94" t="str">
        <f t="shared" si="27"/>
        <v>Pediátrico</v>
      </c>
      <c r="D259" s="95" t="s">
        <v>843</v>
      </c>
      <c r="E259" s="95"/>
      <c r="F259" s="95" t="s">
        <v>844</v>
      </c>
      <c r="G259" s="95">
        <v>11810986</v>
      </c>
      <c r="H259" s="96">
        <v>44344</v>
      </c>
      <c r="I259" s="95">
        <v>8.3999999999999995E-3</v>
      </c>
      <c r="J259" s="95"/>
      <c r="K259" s="95"/>
      <c r="L259" s="95"/>
      <c r="M259" s="95"/>
      <c r="N259" s="95"/>
      <c r="O259" s="95"/>
      <c r="P259" s="95"/>
      <c r="Q259" s="95"/>
      <c r="R259" s="95"/>
      <c r="S259" s="95"/>
      <c r="T259" s="96">
        <v>42720</v>
      </c>
      <c r="U259" s="95"/>
      <c r="V259" s="95" t="s">
        <v>583</v>
      </c>
      <c r="W259" s="232" t="str">
        <f t="shared" si="28"/>
        <v>Omary ,Rayan</v>
      </c>
      <c r="X259" s="154">
        <f t="shared" si="29"/>
        <v>5</v>
      </c>
      <c r="Y259" s="154">
        <f t="shared" si="30"/>
        <v>2021</v>
      </c>
      <c r="Z259" s="97"/>
      <c r="AA259" t="str">
        <f>IF(Tabla1[[#This Row],[Kerma en aire acumulada (Gy)]]&gt;1,SUMIF(G:G,Tabla1[[#This Row],[SIP]],I:I)-Tabla1[[#This Row],[Kerma en aire acumulada (Gy)]],"")</f>
        <v/>
      </c>
    </row>
    <row r="260" spans="3:27">
      <c r="C260" s="94" t="str">
        <f t="shared" si="27"/>
        <v>Adulto</v>
      </c>
      <c r="D260" s="95" t="s">
        <v>829</v>
      </c>
      <c r="E260" s="95" t="s">
        <v>830</v>
      </c>
      <c r="F260" s="95" t="s">
        <v>519</v>
      </c>
      <c r="G260" s="95">
        <v>3122083</v>
      </c>
      <c r="H260" s="96">
        <v>44344</v>
      </c>
      <c r="I260" s="111">
        <v>2.9369999999999998</v>
      </c>
      <c r="J260" s="95"/>
      <c r="K260" s="95"/>
      <c r="L260" s="95"/>
      <c r="M260" s="95"/>
      <c r="N260" s="95"/>
      <c r="O260" s="95"/>
      <c r="P260" s="95"/>
      <c r="Q260" s="95"/>
      <c r="R260" s="95"/>
      <c r="S260" s="95"/>
      <c r="T260" s="96">
        <v>20630</v>
      </c>
      <c r="U260" s="95"/>
      <c r="V260" s="95" t="s">
        <v>128</v>
      </c>
      <c r="W260" s="232" t="str">
        <f t="shared" si="28"/>
        <v>Díaz Monedero,Fernando</v>
      </c>
      <c r="X260" s="154">
        <f t="shared" si="29"/>
        <v>5</v>
      </c>
      <c r="Y260" s="154">
        <f t="shared" si="30"/>
        <v>2021</v>
      </c>
      <c r="Z260" s="97"/>
      <c r="AA260">
        <f>IF(Tabla1[[#This Row],[Kerma en aire acumulada (Gy)]]&gt;1,SUMIF(G:G,Tabla1[[#This Row],[SIP]],I:I)-Tabla1[[#This Row],[Kerma en aire acumulada (Gy)]],"")</f>
        <v>0</v>
      </c>
    </row>
    <row r="261" spans="3:27">
      <c r="C261" s="89" t="str">
        <f t="shared" si="27"/>
        <v>Pediátrico</v>
      </c>
      <c r="D261" s="90" t="s">
        <v>845</v>
      </c>
      <c r="E261" s="90" t="s">
        <v>846</v>
      </c>
      <c r="F261" s="90" t="s">
        <v>546</v>
      </c>
      <c r="G261" s="90">
        <v>12455947</v>
      </c>
      <c r="H261" s="91">
        <v>44344</v>
      </c>
      <c r="I261" s="90">
        <v>3.3000000000000002E-2</v>
      </c>
      <c r="J261" s="90"/>
      <c r="K261" s="90"/>
      <c r="L261" s="90"/>
      <c r="M261" s="90"/>
      <c r="N261" s="90"/>
      <c r="O261" s="90"/>
      <c r="P261" s="90"/>
      <c r="Q261" s="90"/>
      <c r="R261" s="90"/>
      <c r="S261" s="90"/>
      <c r="T261" s="91">
        <v>43360</v>
      </c>
      <c r="U261" s="90"/>
      <c r="V261" s="90" t="s">
        <v>583</v>
      </c>
      <c r="W261" s="233" t="str">
        <f t="shared" si="28"/>
        <v>Bernal Pacheco,Luis</v>
      </c>
      <c r="X261" s="202">
        <f t="shared" si="29"/>
        <v>5</v>
      </c>
      <c r="Y261" s="202">
        <f t="shared" si="30"/>
        <v>2021</v>
      </c>
      <c r="Z261" s="93"/>
      <c r="AA261" t="str">
        <f>IF(Tabla1[[#This Row],[Kerma en aire acumulada (Gy)]]&gt;1,SUMIF(G:G,Tabla1[[#This Row],[SIP]],I:I)-Tabla1[[#This Row],[Kerma en aire acumulada (Gy)]],"")</f>
        <v/>
      </c>
    </row>
    <row r="262" spans="3:27">
      <c r="C262" s="89" t="str">
        <f t="shared" si="27"/>
        <v>Adulto</v>
      </c>
      <c r="D262" s="90" t="s">
        <v>780</v>
      </c>
      <c r="E262" s="90" t="s">
        <v>642</v>
      </c>
      <c r="F262" s="90" t="s">
        <v>781</v>
      </c>
      <c r="G262" s="90">
        <v>1859653</v>
      </c>
      <c r="H262" s="91">
        <v>44347</v>
      </c>
      <c r="I262" s="90">
        <v>0.375</v>
      </c>
      <c r="J262" s="90"/>
      <c r="K262" s="90"/>
      <c r="L262" s="90"/>
      <c r="M262" s="90"/>
      <c r="N262" s="90"/>
      <c r="O262" s="90"/>
      <c r="P262" s="90"/>
      <c r="Q262" s="90"/>
      <c r="R262" s="90"/>
      <c r="S262" s="90"/>
      <c r="T262" s="91">
        <v>27151</v>
      </c>
      <c r="U262" s="90"/>
      <c r="V262" s="90" t="s">
        <v>563</v>
      </c>
      <c r="W262" s="233" t="str">
        <f t="shared" ref="W262:W269" si="31">CONCATENATE(D262,$A$591,E262,",",F262)</f>
        <v>Serrador Alba,Armando</v>
      </c>
      <c r="X262" s="202">
        <f t="shared" ref="X262:X293" si="32">MONTH(H262)</f>
        <v>5</v>
      </c>
      <c r="Y262" s="202">
        <f t="shared" ref="Y262:Y294" si="33">YEAR(H262)</f>
        <v>2021</v>
      </c>
      <c r="Z262" s="93"/>
      <c r="AA262" t="str">
        <f>IF(Tabla1[[#This Row],[Kerma en aire acumulada (Gy)]]&gt;1,SUMIF(G:G,Tabla1[[#This Row],[SIP]],I:I)-Tabla1[[#This Row],[Kerma en aire acumulada (Gy)]],"")</f>
        <v/>
      </c>
    </row>
    <row r="263" spans="3:27" ht="15.75" thickBot="1">
      <c r="C263" s="193" t="str">
        <f t="shared" si="27"/>
        <v>Pediátrico</v>
      </c>
      <c r="D263" s="181" t="s">
        <v>157</v>
      </c>
      <c r="E263" s="181" t="s">
        <v>847</v>
      </c>
      <c r="F263" s="181" t="s">
        <v>664</v>
      </c>
      <c r="G263" s="181">
        <v>11705090</v>
      </c>
      <c r="H263" s="194">
        <v>44347</v>
      </c>
      <c r="I263" s="181">
        <v>4.5100000000000001E-2</v>
      </c>
      <c r="J263" s="181"/>
      <c r="K263" s="181"/>
      <c r="L263" s="181"/>
      <c r="M263" s="181"/>
      <c r="N263" s="181"/>
      <c r="O263" s="181"/>
      <c r="P263" s="181"/>
      <c r="Q263" s="181"/>
      <c r="R263" s="181"/>
      <c r="S263" s="181"/>
      <c r="T263" s="194">
        <v>42594</v>
      </c>
      <c r="U263" s="181"/>
      <c r="V263" s="181" t="s">
        <v>583</v>
      </c>
      <c r="W263" s="235" t="str">
        <f t="shared" si="31"/>
        <v>Sánchez Cortés,Jaime</v>
      </c>
      <c r="X263" s="209">
        <f t="shared" si="32"/>
        <v>5</v>
      </c>
      <c r="Y263" s="209">
        <f t="shared" si="33"/>
        <v>2021</v>
      </c>
      <c r="Z263" s="164"/>
      <c r="AA263" t="str">
        <f>IF(Tabla1[[#This Row],[Kerma en aire acumulada (Gy)]]&gt;1,SUMIF(G:G,Tabla1[[#This Row],[SIP]],I:I)-Tabla1[[#This Row],[Kerma en aire acumulada (Gy)]],"")</f>
        <v/>
      </c>
    </row>
    <row r="264" spans="3:27">
      <c r="C264" s="155" t="str">
        <f t="shared" si="27"/>
        <v>Adulto</v>
      </c>
      <c r="D264" s="154" t="s">
        <v>772</v>
      </c>
      <c r="E264" s="154" t="s">
        <v>773</v>
      </c>
      <c r="F264" s="154" t="s">
        <v>774</v>
      </c>
      <c r="G264" s="154">
        <v>12675675</v>
      </c>
      <c r="H264" s="156">
        <v>44347</v>
      </c>
      <c r="I264" s="154">
        <v>0.19</v>
      </c>
      <c r="J264" s="154"/>
      <c r="K264" s="154"/>
      <c r="L264" s="154"/>
      <c r="M264" s="154"/>
      <c r="N264" s="154"/>
      <c r="O264" s="154"/>
      <c r="P264" s="154"/>
      <c r="Q264" s="154"/>
      <c r="R264" s="154"/>
      <c r="S264" s="154"/>
      <c r="T264" s="156">
        <v>19007</v>
      </c>
      <c r="U264" s="154"/>
      <c r="V264" s="154" t="s">
        <v>563</v>
      </c>
      <c r="W264" s="232" t="str">
        <f t="shared" si="31"/>
        <v>Sanchez Plumed,Antonia</v>
      </c>
      <c r="X264" s="154">
        <f t="shared" si="32"/>
        <v>5</v>
      </c>
      <c r="Y264" s="154">
        <f t="shared" si="33"/>
        <v>2021</v>
      </c>
      <c r="Z264" s="174"/>
      <c r="AA264" t="str">
        <f>IF(Tabla1[[#This Row],[Kerma en aire acumulada (Gy)]]&gt;1,SUMIF(G:G,Tabla1[[#This Row],[SIP]],I:I)-Tabla1[[#This Row],[Kerma en aire acumulada (Gy)]],"")</f>
        <v/>
      </c>
    </row>
    <row r="265" spans="3:27">
      <c r="C265" s="89" t="str">
        <f t="shared" ref="C265:C328" si="34">IF(OR(H265="",T265=""),"",IF((H265-T265)/12/30&lt;18,"Pediátrico","Adulto"))</f>
        <v>Adulto</v>
      </c>
      <c r="D265" s="90" t="s">
        <v>833</v>
      </c>
      <c r="E265" s="90" t="s">
        <v>109</v>
      </c>
      <c r="F265" s="90" t="s">
        <v>834</v>
      </c>
      <c r="G265" s="90">
        <v>2182282</v>
      </c>
      <c r="H265" s="91">
        <v>44347</v>
      </c>
      <c r="I265" s="114">
        <v>1.385</v>
      </c>
      <c r="J265" s="90"/>
      <c r="K265" s="90"/>
      <c r="L265" s="90"/>
      <c r="M265" s="90"/>
      <c r="N265" s="90"/>
      <c r="O265" s="90"/>
      <c r="P265" s="90"/>
      <c r="Q265" s="90"/>
      <c r="R265" s="90"/>
      <c r="S265" s="90"/>
      <c r="T265" s="91">
        <v>16025</v>
      </c>
      <c r="U265" s="90"/>
      <c r="V265" s="90" t="s">
        <v>835</v>
      </c>
      <c r="W265" s="233" t="str">
        <f t="shared" si="31"/>
        <v>Redondo Ibáñez,Pedro</v>
      </c>
      <c r="X265" s="202">
        <f t="shared" si="32"/>
        <v>5</v>
      </c>
      <c r="Y265" s="202">
        <f t="shared" si="33"/>
        <v>2021</v>
      </c>
      <c r="Z265" s="93"/>
      <c r="AA265">
        <f>IF(Tabla1[[#This Row],[Kerma en aire acumulada (Gy)]]&gt;1,SUMIF(G:G,Tabla1[[#This Row],[SIP]],I:I)-Tabla1[[#This Row],[Kerma en aire acumulada (Gy)]],"")</f>
        <v>0</v>
      </c>
    </row>
    <row r="266" spans="3:27">
      <c r="C266" s="94" t="str">
        <f t="shared" si="34"/>
        <v>Adulto</v>
      </c>
      <c r="D266" s="95" t="s">
        <v>820</v>
      </c>
      <c r="E266" s="95"/>
      <c r="F266" s="95" t="s">
        <v>821</v>
      </c>
      <c r="G266" s="95">
        <v>12913420</v>
      </c>
      <c r="H266" s="96">
        <v>44347</v>
      </c>
      <c r="I266" s="115">
        <v>1.278</v>
      </c>
      <c r="J266" s="95"/>
      <c r="K266" s="95"/>
      <c r="L266" s="95"/>
      <c r="M266" s="95"/>
      <c r="N266" s="95"/>
      <c r="O266" s="95"/>
      <c r="P266" s="95"/>
      <c r="Q266" s="95"/>
      <c r="R266" s="95"/>
      <c r="S266" s="95"/>
      <c r="T266" s="96">
        <v>18285</v>
      </c>
      <c r="U266" s="95"/>
      <c r="V266" s="95" t="s">
        <v>128</v>
      </c>
      <c r="W266" s="232" t="str">
        <f t="shared" si="31"/>
        <v>Dehond ,Hans Agustinus B</v>
      </c>
      <c r="X266" s="154">
        <f t="shared" si="32"/>
        <v>5</v>
      </c>
      <c r="Y266" s="154">
        <f t="shared" si="33"/>
        <v>2021</v>
      </c>
      <c r="Z266" s="97"/>
      <c r="AA266">
        <f>IF(Tabla1[[#This Row],[Kerma en aire acumulada (Gy)]]&gt;1,SUMIF(G:G,Tabla1[[#This Row],[SIP]],I:I)-Tabla1[[#This Row],[Kerma en aire acumulada (Gy)]],"")</f>
        <v>0</v>
      </c>
    </row>
    <row r="267" spans="3:27">
      <c r="C267" s="94" t="str">
        <f t="shared" si="34"/>
        <v>Adulto</v>
      </c>
      <c r="D267" s="95" t="s">
        <v>104</v>
      </c>
      <c r="E267" s="95" t="s">
        <v>157</v>
      </c>
      <c r="F267" s="95" t="s">
        <v>80</v>
      </c>
      <c r="G267" s="95">
        <v>2844774</v>
      </c>
      <c r="H267" s="96">
        <v>44348</v>
      </c>
      <c r="I267" s="95">
        <v>0.249</v>
      </c>
      <c r="J267" s="95"/>
      <c r="K267" s="95"/>
      <c r="L267" s="95"/>
      <c r="M267" s="95"/>
      <c r="N267" s="95"/>
      <c r="O267" s="95"/>
      <c r="P267" s="95"/>
      <c r="Q267" s="95"/>
      <c r="R267" s="95"/>
      <c r="S267" s="95"/>
      <c r="T267" s="96">
        <v>27090</v>
      </c>
      <c r="U267" s="95"/>
      <c r="V267" s="95" t="s">
        <v>173</v>
      </c>
      <c r="W267" s="232" t="str">
        <f t="shared" si="31"/>
        <v>Martínez Sánchez,José Vicente</v>
      </c>
      <c r="X267" s="154">
        <f t="shared" si="32"/>
        <v>6</v>
      </c>
      <c r="Y267" s="154">
        <f t="shared" si="33"/>
        <v>2021</v>
      </c>
      <c r="Z267" s="97"/>
      <c r="AA267" t="str">
        <f>IF(Tabla1[[#This Row],[Kerma en aire acumulada (Gy)]]&gt;1,SUMIF(G:G,Tabla1[[#This Row],[SIP]],I:I)-Tabla1[[#This Row],[Kerma en aire acumulada (Gy)]],"")</f>
        <v/>
      </c>
    </row>
    <row r="268" spans="3:27">
      <c r="C268" s="94" t="str">
        <f t="shared" si="34"/>
        <v>Adulto</v>
      </c>
      <c r="D268" s="95" t="s">
        <v>543</v>
      </c>
      <c r="E268" s="95" t="s">
        <v>848</v>
      </c>
      <c r="F268" s="95" t="s">
        <v>849</v>
      </c>
      <c r="G268" s="95">
        <v>5224082</v>
      </c>
      <c r="H268" s="96">
        <v>44348</v>
      </c>
      <c r="I268" s="115">
        <v>0.73899999999999999</v>
      </c>
      <c r="J268" s="95"/>
      <c r="K268" s="95"/>
      <c r="L268" s="95"/>
      <c r="M268" s="95"/>
      <c r="N268" s="95"/>
      <c r="O268" s="95"/>
      <c r="P268" s="95"/>
      <c r="Q268" s="95"/>
      <c r="R268" s="95"/>
      <c r="S268" s="95"/>
      <c r="T268" s="96">
        <v>37724</v>
      </c>
      <c r="U268" s="95"/>
      <c r="V268" s="95" t="s">
        <v>530</v>
      </c>
      <c r="W268" s="232" t="str">
        <f t="shared" si="31"/>
        <v>Domínguez Vilar,Carles</v>
      </c>
      <c r="X268" s="154">
        <f t="shared" si="32"/>
        <v>6</v>
      </c>
      <c r="Y268" s="154">
        <f t="shared" si="33"/>
        <v>2021</v>
      </c>
      <c r="Z268" s="97" t="s">
        <v>265</v>
      </c>
      <c r="AA268" t="str">
        <f>IF(Tabla1[[#This Row],[Kerma en aire acumulada (Gy)]]&gt;1,SUMIF(G:G,Tabla1[[#This Row],[SIP]],I:I)-Tabla1[[#This Row],[Kerma en aire acumulada (Gy)]],"")</f>
        <v/>
      </c>
    </row>
    <row r="269" spans="3:27">
      <c r="C269" s="89" t="str">
        <f t="shared" si="34"/>
        <v>Adulto</v>
      </c>
      <c r="D269" s="90" t="s">
        <v>775</v>
      </c>
      <c r="E269" s="90" t="s">
        <v>772</v>
      </c>
      <c r="F269" s="90" t="s">
        <v>776</v>
      </c>
      <c r="G269" s="90">
        <v>2807868</v>
      </c>
      <c r="H269" s="91">
        <v>44348</v>
      </c>
      <c r="I269" s="90">
        <v>0.372</v>
      </c>
      <c r="J269" s="90"/>
      <c r="K269" s="90"/>
      <c r="L269" s="90"/>
      <c r="M269" s="90"/>
      <c r="N269" s="90"/>
      <c r="O269" s="90"/>
      <c r="P269" s="90"/>
      <c r="Q269" s="90"/>
      <c r="R269" s="90"/>
      <c r="S269" s="90"/>
      <c r="T269" s="91">
        <v>16353</v>
      </c>
      <c r="U269" s="90"/>
      <c r="V269" s="90" t="s">
        <v>563</v>
      </c>
      <c r="W269" s="233" t="str">
        <f t="shared" si="31"/>
        <v>Cantero Sanchez,Alfonso</v>
      </c>
      <c r="X269" s="202">
        <f t="shared" si="32"/>
        <v>6</v>
      </c>
      <c r="Y269" s="202">
        <f t="shared" si="33"/>
        <v>2021</v>
      </c>
      <c r="Z269" s="93"/>
      <c r="AA269" t="str">
        <f>IF(Tabla1[[#This Row],[Kerma en aire acumulada (Gy)]]&gt;1,SUMIF(G:G,Tabla1[[#This Row],[SIP]],I:I)-Tabla1[[#This Row],[Kerma en aire acumulada (Gy)]],"")</f>
        <v/>
      </c>
    </row>
    <row r="270" spans="3:27">
      <c r="C270" s="89" t="str">
        <f t="shared" si="34"/>
        <v>Adulto</v>
      </c>
      <c r="D270" s="105" t="s">
        <v>30</v>
      </c>
      <c r="E270" s="105" t="s">
        <v>68</v>
      </c>
      <c r="F270" s="105" t="s">
        <v>165</v>
      </c>
      <c r="G270" s="105">
        <v>1900685</v>
      </c>
      <c r="H270" s="104">
        <v>44349</v>
      </c>
      <c r="I270" s="105">
        <v>1.024</v>
      </c>
      <c r="J270" s="105"/>
      <c r="K270" s="105"/>
      <c r="L270" s="105"/>
      <c r="M270" s="105"/>
      <c r="N270" s="105"/>
      <c r="O270" s="105"/>
      <c r="P270" s="105"/>
      <c r="Q270" s="105"/>
      <c r="R270" s="105"/>
      <c r="S270" s="105"/>
      <c r="T270" s="104">
        <v>18973</v>
      </c>
      <c r="U270" s="105"/>
      <c r="V270" s="105" t="s">
        <v>89</v>
      </c>
      <c r="W270" s="237"/>
      <c r="X270" s="202">
        <f t="shared" si="32"/>
        <v>6</v>
      </c>
      <c r="Y270" s="202">
        <f t="shared" si="33"/>
        <v>2021</v>
      </c>
      <c r="Z270" s="116"/>
      <c r="AA270">
        <f>IF(Tabla1[[#This Row],[Kerma en aire acumulada (Gy)]]&gt;1,SUMIF(G:G,Tabla1[[#This Row],[SIP]],I:I)-Tabla1[[#This Row],[Kerma en aire acumulada (Gy)]],"")</f>
        <v>6.4559999999999995</v>
      </c>
    </row>
    <row r="271" spans="3:27">
      <c r="C271" s="94" t="str">
        <f t="shared" si="34"/>
        <v>Adulto</v>
      </c>
      <c r="D271" s="95" t="s">
        <v>368</v>
      </c>
      <c r="E271" s="95" t="s">
        <v>782</v>
      </c>
      <c r="F271" s="95" t="s">
        <v>783</v>
      </c>
      <c r="G271" s="95">
        <v>2308120</v>
      </c>
      <c r="H271" s="96">
        <v>44349</v>
      </c>
      <c r="I271" s="95">
        <v>0.105</v>
      </c>
      <c r="J271" s="95"/>
      <c r="K271" s="95"/>
      <c r="L271" s="95"/>
      <c r="M271" s="95"/>
      <c r="N271" s="95"/>
      <c r="O271" s="95"/>
      <c r="P271" s="95"/>
      <c r="Q271" s="95"/>
      <c r="R271" s="95"/>
      <c r="S271" s="95"/>
      <c r="T271" s="96">
        <v>22156</v>
      </c>
      <c r="U271" s="95"/>
      <c r="V271" s="95" t="s">
        <v>563</v>
      </c>
      <c r="W271" s="232" t="str">
        <f t="shared" ref="W271:W305" si="35">CONCATENATE(D271,$A$591,E271,",",F271)</f>
        <v>García Roger,José Miguel</v>
      </c>
      <c r="X271" s="154">
        <f t="shared" si="32"/>
        <v>6</v>
      </c>
      <c r="Y271" s="154">
        <f t="shared" si="33"/>
        <v>2021</v>
      </c>
      <c r="Z271" s="97"/>
      <c r="AA271" t="str">
        <f>IF(Tabla1[[#This Row],[Kerma en aire acumulada (Gy)]]&gt;1,SUMIF(G:G,Tabla1[[#This Row],[SIP]],I:I)-Tabla1[[#This Row],[Kerma en aire acumulada (Gy)]],"")</f>
        <v/>
      </c>
    </row>
    <row r="272" spans="3:27">
      <c r="C272" s="89" t="str">
        <f t="shared" si="34"/>
        <v>Adulto</v>
      </c>
      <c r="D272" s="90" t="s">
        <v>784</v>
      </c>
      <c r="E272" s="90" t="s">
        <v>785</v>
      </c>
      <c r="F272" s="90" t="s">
        <v>786</v>
      </c>
      <c r="G272" s="90">
        <v>2275619</v>
      </c>
      <c r="H272" s="91">
        <v>44349</v>
      </c>
      <c r="I272" s="90">
        <v>0.40760000000000002</v>
      </c>
      <c r="J272" s="90"/>
      <c r="K272" s="90"/>
      <c r="L272" s="90"/>
      <c r="M272" s="90"/>
      <c r="N272" s="90"/>
      <c r="O272" s="90"/>
      <c r="P272" s="90"/>
      <c r="Q272" s="90"/>
      <c r="R272" s="90"/>
      <c r="S272" s="90"/>
      <c r="T272" s="91">
        <v>20488</v>
      </c>
      <c r="U272" s="90"/>
      <c r="V272" s="90" t="s">
        <v>563</v>
      </c>
      <c r="W272" s="233" t="str">
        <f t="shared" si="35"/>
        <v>Coll Hilario,Maria Carmen</v>
      </c>
      <c r="X272" s="202">
        <f t="shared" si="32"/>
        <v>6</v>
      </c>
      <c r="Y272" s="202">
        <f t="shared" si="33"/>
        <v>2021</v>
      </c>
      <c r="Z272" s="93"/>
      <c r="AA272" t="str">
        <f>IF(Tabla1[[#This Row],[Kerma en aire acumulada (Gy)]]&gt;1,SUMIF(G:G,Tabla1[[#This Row],[SIP]],I:I)-Tabla1[[#This Row],[Kerma en aire acumulada (Gy)]],"")</f>
        <v/>
      </c>
    </row>
    <row r="273" spans="3:27">
      <c r="C273" s="94" t="str">
        <f t="shared" si="34"/>
        <v>Adulto</v>
      </c>
      <c r="D273" s="95" t="s">
        <v>787</v>
      </c>
      <c r="E273" s="95" t="s">
        <v>788</v>
      </c>
      <c r="F273" s="95" t="s">
        <v>789</v>
      </c>
      <c r="G273" s="95">
        <v>89641</v>
      </c>
      <c r="H273" s="96">
        <v>44349</v>
      </c>
      <c r="I273" s="95">
        <v>0.36599999999999999</v>
      </c>
      <c r="J273" s="95"/>
      <c r="K273" s="95"/>
      <c r="L273" s="95"/>
      <c r="M273" s="95"/>
      <c r="N273" s="95"/>
      <c r="O273" s="95"/>
      <c r="P273" s="95"/>
      <c r="Q273" s="95"/>
      <c r="R273" s="95"/>
      <c r="S273" s="95"/>
      <c r="T273" s="96">
        <v>22257</v>
      </c>
      <c r="U273" s="95"/>
      <c r="V273" s="95" t="s">
        <v>563</v>
      </c>
      <c r="W273" s="232" t="str">
        <f t="shared" si="35"/>
        <v>Bosch Bueno,Alfredo Manuel</v>
      </c>
      <c r="X273" s="154">
        <f t="shared" si="32"/>
        <v>6</v>
      </c>
      <c r="Y273" s="154">
        <f t="shared" si="33"/>
        <v>2021</v>
      </c>
      <c r="Z273" s="97"/>
      <c r="AA273" t="str">
        <f>IF(Tabla1[[#This Row],[Kerma en aire acumulada (Gy)]]&gt;1,SUMIF(G:G,Tabla1[[#This Row],[SIP]],I:I)-Tabla1[[#This Row],[Kerma en aire acumulada (Gy)]],"")</f>
        <v/>
      </c>
    </row>
    <row r="274" spans="3:27">
      <c r="C274" s="89" t="str">
        <f t="shared" si="34"/>
        <v>Adulto</v>
      </c>
      <c r="D274" s="90" t="s">
        <v>787</v>
      </c>
      <c r="E274" s="90" t="s">
        <v>810</v>
      </c>
      <c r="F274" s="90" t="s">
        <v>811</v>
      </c>
      <c r="G274" s="90">
        <v>2406075</v>
      </c>
      <c r="H274" s="91">
        <v>44349</v>
      </c>
      <c r="I274" s="90">
        <v>0.26800000000000002</v>
      </c>
      <c r="J274" s="90"/>
      <c r="K274" s="90"/>
      <c r="L274" s="90"/>
      <c r="M274" s="90"/>
      <c r="N274" s="90"/>
      <c r="O274" s="90"/>
      <c r="P274" s="90"/>
      <c r="Q274" s="90"/>
      <c r="R274" s="90"/>
      <c r="S274" s="90"/>
      <c r="T274" s="91">
        <v>15410</v>
      </c>
      <c r="U274" s="90"/>
      <c r="V274" s="90" t="s">
        <v>812</v>
      </c>
      <c r="W274" s="233" t="str">
        <f t="shared" si="35"/>
        <v>Bosch Giménez,Antonio José</v>
      </c>
      <c r="X274" s="202">
        <f t="shared" si="32"/>
        <v>6</v>
      </c>
      <c r="Y274" s="202">
        <f t="shared" si="33"/>
        <v>2021</v>
      </c>
      <c r="Z274" s="93"/>
      <c r="AA274" t="str">
        <f>IF(Tabla1[[#This Row],[Kerma en aire acumulada (Gy)]]&gt;1,SUMIF(G:G,Tabla1[[#This Row],[SIP]],I:I)-Tabla1[[#This Row],[Kerma en aire acumulada (Gy)]],"")</f>
        <v/>
      </c>
    </row>
    <row r="275" spans="3:27">
      <c r="C275" s="94" t="str">
        <f t="shared" si="34"/>
        <v>Adulto</v>
      </c>
      <c r="D275" s="95" t="s">
        <v>777</v>
      </c>
      <c r="E275" s="95" t="s">
        <v>778</v>
      </c>
      <c r="F275" s="95" t="s">
        <v>779</v>
      </c>
      <c r="G275" s="95">
        <v>4667464</v>
      </c>
      <c r="H275" s="96">
        <v>44349</v>
      </c>
      <c r="I275" s="95">
        <v>0.94399999999999995</v>
      </c>
      <c r="J275" s="95"/>
      <c r="K275" s="95"/>
      <c r="L275" s="95"/>
      <c r="M275" s="95"/>
      <c r="N275" s="95"/>
      <c r="O275" s="95"/>
      <c r="P275" s="95"/>
      <c r="Q275" s="95"/>
      <c r="R275" s="95"/>
      <c r="S275" s="95"/>
      <c r="T275" s="96">
        <v>12777</v>
      </c>
      <c r="U275" s="95"/>
      <c r="V275" s="95" t="s">
        <v>563</v>
      </c>
      <c r="W275" s="232" t="str">
        <f t="shared" si="35"/>
        <v>Basterra Montserrat,Samuel</v>
      </c>
      <c r="X275" s="154">
        <f t="shared" si="32"/>
        <v>6</v>
      </c>
      <c r="Y275" s="154">
        <f t="shared" si="33"/>
        <v>2021</v>
      </c>
      <c r="Z275" s="97"/>
      <c r="AA275" t="str">
        <f>IF(Tabla1[[#This Row],[Kerma en aire acumulada (Gy)]]&gt;1,SUMIF(G:G,Tabla1[[#This Row],[SIP]],I:I)-Tabla1[[#This Row],[Kerma en aire acumulada (Gy)]],"")</f>
        <v/>
      </c>
    </row>
    <row r="276" spans="3:27">
      <c r="C276" s="89" t="str">
        <f t="shared" si="34"/>
        <v>Pediátrico</v>
      </c>
      <c r="D276" s="90" t="s">
        <v>808</v>
      </c>
      <c r="E276" s="90" t="s">
        <v>130</v>
      </c>
      <c r="F276" s="90" t="s">
        <v>809</v>
      </c>
      <c r="G276" s="90">
        <v>13045433</v>
      </c>
      <c r="H276" s="91">
        <v>44349</v>
      </c>
      <c r="I276" s="90">
        <v>1.4599999999999999E-3</v>
      </c>
      <c r="J276" s="90"/>
      <c r="K276" s="90"/>
      <c r="L276" s="90"/>
      <c r="M276" s="90"/>
      <c r="N276" s="90"/>
      <c r="O276" s="90"/>
      <c r="P276" s="90"/>
      <c r="Q276" s="90"/>
      <c r="R276" s="90"/>
      <c r="S276" s="90"/>
      <c r="T276" s="91">
        <v>44179</v>
      </c>
      <c r="U276" s="90"/>
      <c r="V276" s="90" t="s">
        <v>807</v>
      </c>
      <c r="W276" s="233" t="str">
        <f t="shared" si="35"/>
        <v>Alabajos Hernández,Sofía</v>
      </c>
      <c r="X276" s="202">
        <f t="shared" si="32"/>
        <v>6</v>
      </c>
      <c r="Y276" s="202">
        <f t="shared" si="33"/>
        <v>2021</v>
      </c>
      <c r="Z276" s="93"/>
      <c r="AA276" t="str">
        <f>IF(Tabla1[[#This Row],[Kerma en aire acumulada (Gy)]]&gt;1,SUMIF(G:G,Tabla1[[#This Row],[SIP]],I:I)-Tabla1[[#This Row],[Kerma en aire acumulada (Gy)]],"")</f>
        <v/>
      </c>
    </row>
    <row r="277" spans="3:27">
      <c r="C277" s="94" t="str">
        <f t="shared" si="34"/>
        <v>Pediátrico</v>
      </c>
      <c r="D277" s="95" t="s">
        <v>850</v>
      </c>
      <c r="E277" s="95"/>
      <c r="F277" s="95" t="s">
        <v>851</v>
      </c>
      <c r="G277" s="95">
        <v>9450045</v>
      </c>
      <c r="H277" s="96">
        <v>44350</v>
      </c>
      <c r="I277" s="115">
        <v>0.90500000000000003</v>
      </c>
      <c r="J277" s="95"/>
      <c r="K277" s="95"/>
      <c r="L277" s="95"/>
      <c r="M277" s="95"/>
      <c r="N277" s="95"/>
      <c r="O277" s="95"/>
      <c r="P277" s="95"/>
      <c r="Q277" s="95"/>
      <c r="R277" s="95"/>
      <c r="S277" s="95"/>
      <c r="T277" s="96">
        <v>39005</v>
      </c>
      <c r="U277" s="95"/>
      <c r="V277" s="95" t="s">
        <v>583</v>
      </c>
      <c r="W277" s="232" t="str">
        <f t="shared" si="35"/>
        <v>Zhu ,David Weimin</v>
      </c>
      <c r="X277" s="154">
        <f t="shared" si="32"/>
        <v>6</v>
      </c>
      <c r="Y277" s="154">
        <f t="shared" si="33"/>
        <v>2021</v>
      </c>
      <c r="Z277" s="97"/>
      <c r="AA277" t="str">
        <f>IF(Tabla1[[#This Row],[Kerma en aire acumulada (Gy)]]&gt;1,SUMIF(G:G,Tabla1[[#This Row],[SIP]],I:I)-Tabla1[[#This Row],[Kerma en aire acumulada (Gy)]],"")</f>
        <v/>
      </c>
    </row>
    <row r="278" spans="3:27">
      <c r="C278" s="89" t="str">
        <f t="shared" si="34"/>
        <v>Adulto</v>
      </c>
      <c r="D278" s="90" t="s">
        <v>800</v>
      </c>
      <c r="E278" s="90" t="s">
        <v>801</v>
      </c>
      <c r="F278" s="90" t="s">
        <v>802</v>
      </c>
      <c r="G278" s="90">
        <v>1094226</v>
      </c>
      <c r="H278" s="91">
        <v>44350</v>
      </c>
      <c r="I278" s="90">
        <v>0.495</v>
      </c>
      <c r="J278" s="90"/>
      <c r="K278" s="90"/>
      <c r="L278" s="90"/>
      <c r="M278" s="90"/>
      <c r="N278" s="90"/>
      <c r="O278" s="90"/>
      <c r="P278" s="90"/>
      <c r="Q278" s="90"/>
      <c r="R278" s="90"/>
      <c r="S278" s="90"/>
      <c r="T278" s="91">
        <v>27804</v>
      </c>
      <c r="U278" s="90"/>
      <c r="V278" s="90" t="s">
        <v>563</v>
      </c>
      <c r="W278" s="233" t="str">
        <f t="shared" si="35"/>
        <v>Zamora Campillo,Noelia</v>
      </c>
      <c r="X278" s="202">
        <f t="shared" si="32"/>
        <v>6</v>
      </c>
      <c r="Y278" s="202">
        <f t="shared" si="33"/>
        <v>2021</v>
      </c>
      <c r="Z278" s="93"/>
      <c r="AA278" t="str">
        <f>IF(Tabla1[[#This Row],[Kerma en aire acumulada (Gy)]]&gt;1,SUMIF(G:G,Tabla1[[#This Row],[SIP]],I:I)-Tabla1[[#This Row],[Kerma en aire acumulada (Gy)]],"")</f>
        <v/>
      </c>
    </row>
    <row r="279" spans="3:27">
      <c r="C279" s="94" t="str">
        <f t="shared" si="34"/>
        <v>Adulto</v>
      </c>
      <c r="D279" s="95" t="s">
        <v>799</v>
      </c>
      <c r="E279" s="95" t="s">
        <v>32</v>
      </c>
      <c r="F279" s="95" t="s">
        <v>102</v>
      </c>
      <c r="G279" s="95">
        <v>2395826</v>
      </c>
      <c r="H279" s="96">
        <v>44350</v>
      </c>
      <c r="I279" s="95">
        <v>0.251</v>
      </c>
      <c r="J279" s="95"/>
      <c r="K279" s="95"/>
      <c r="L279" s="95"/>
      <c r="M279" s="95"/>
      <c r="N279" s="95"/>
      <c r="O279" s="95"/>
      <c r="P279" s="95"/>
      <c r="Q279" s="95"/>
      <c r="R279" s="95"/>
      <c r="S279" s="95"/>
      <c r="T279" s="96">
        <v>11008</v>
      </c>
      <c r="U279" s="95"/>
      <c r="V279" s="95" t="s">
        <v>563</v>
      </c>
      <c r="W279" s="232" t="str">
        <f t="shared" si="35"/>
        <v>Lacruz Gómez,José</v>
      </c>
      <c r="X279" s="154">
        <f t="shared" si="32"/>
        <v>6</v>
      </c>
      <c r="Y279" s="154">
        <f t="shared" si="33"/>
        <v>2021</v>
      </c>
      <c r="Z279" s="97"/>
      <c r="AA279" t="str">
        <f>IF(Tabla1[[#This Row],[Kerma en aire acumulada (Gy)]]&gt;1,SUMIF(G:G,Tabla1[[#This Row],[SIP]],I:I)-Tabla1[[#This Row],[Kerma en aire acumulada (Gy)]],"")</f>
        <v/>
      </c>
    </row>
    <row r="280" spans="3:27" ht="15.75" thickBot="1">
      <c r="C280" s="166" t="str">
        <f t="shared" si="34"/>
        <v>Adulto</v>
      </c>
      <c r="D280" s="163" t="s">
        <v>305</v>
      </c>
      <c r="E280" s="163" t="s">
        <v>305</v>
      </c>
      <c r="F280" s="163" t="s">
        <v>803</v>
      </c>
      <c r="G280" s="163">
        <v>4724530</v>
      </c>
      <c r="H280" s="173">
        <v>44350</v>
      </c>
      <c r="I280" s="163">
        <v>0.14099999999999999</v>
      </c>
      <c r="J280" s="163"/>
      <c r="K280" s="163"/>
      <c r="L280" s="163"/>
      <c r="M280" s="163"/>
      <c r="N280" s="163"/>
      <c r="O280" s="163"/>
      <c r="P280" s="163"/>
      <c r="Q280" s="163"/>
      <c r="R280" s="163"/>
      <c r="S280" s="163"/>
      <c r="T280" s="173">
        <v>23282</v>
      </c>
      <c r="U280" s="163"/>
      <c r="V280" s="163" t="s">
        <v>563</v>
      </c>
      <c r="W280" s="231" t="str">
        <f t="shared" si="35"/>
        <v>Garrigues Garrigues,Inmaculada</v>
      </c>
      <c r="X280" s="160">
        <f t="shared" si="32"/>
        <v>6</v>
      </c>
      <c r="Y280" s="160">
        <f t="shared" si="33"/>
        <v>2021</v>
      </c>
      <c r="Z280" s="172"/>
      <c r="AA280" t="str">
        <f>IF(Tabla1[[#This Row],[Kerma en aire acumulada (Gy)]]&gt;1,SUMIF(G:G,Tabla1[[#This Row],[SIP]],I:I)-Tabla1[[#This Row],[Kerma en aire acumulada (Gy)]],"")</f>
        <v/>
      </c>
    </row>
    <row r="281" spans="3:27">
      <c r="C281" s="157" t="str">
        <f t="shared" si="34"/>
        <v>Adulto</v>
      </c>
      <c r="D281" s="202" t="s">
        <v>313</v>
      </c>
      <c r="E281" s="202" t="s">
        <v>817</v>
      </c>
      <c r="F281" s="202" t="s">
        <v>818</v>
      </c>
      <c r="G281" s="202">
        <v>2032954</v>
      </c>
      <c r="H281" s="214">
        <v>44350</v>
      </c>
      <c r="I281" s="202">
        <v>0.20399999999999999</v>
      </c>
      <c r="J281" s="202"/>
      <c r="K281" s="202"/>
      <c r="L281" s="202"/>
      <c r="M281" s="202"/>
      <c r="N281" s="202"/>
      <c r="O281" s="202"/>
      <c r="P281" s="202"/>
      <c r="Q281" s="202"/>
      <c r="R281" s="202"/>
      <c r="S281" s="202"/>
      <c r="T281" s="214">
        <v>13424</v>
      </c>
      <c r="U281" s="202"/>
      <c r="V281" s="202" t="s">
        <v>819</v>
      </c>
      <c r="W281" s="233" t="str">
        <f t="shared" si="35"/>
        <v>Fernández Ávila,Luisa</v>
      </c>
      <c r="X281" s="202">
        <f t="shared" si="32"/>
        <v>6</v>
      </c>
      <c r="Y281" s="202">
        <f t="shared" si="33"/>
        <v>2021</v>
      </c>
      <c r="Z281" s="203"/>
      <c r="AA281" t="str">
        <f>IF(Tabla1[[#This Row],[Kerma en aire acumulada (Gy)]]&gt;1,SUMIF(G:G,Tabla1[[#This Row],[SIP]],I:I)-Tabla1[[#This Row],[Kerma en aire acumulada (Gy)]],"")</f>
        <v/>
      </c>
    </row>
    <row r="282" spans="3:27">
      <c r="C282" s="89" t="str">
        <f t="shared" si="34"/>
        <v>Adulto</v>
      </c>
      <c r="D282" s="90" t="s">
        <v>813</v>
      </c>
      <c r="E282" s="90" t="s">
        <v>814</v>
      </c>
      <c r="F282" s="90" t="s">
        <v>815</v>
      </c>
      <c r="G282" s="90">
        <v>2965323</v>
      </c>
      <c r="H282" s="91">
        <v>44350</v>
      </c>
      <c r="I282" s="114">
        <v>1.0860000000000001</v>
      </c>
      <c r="J282" s="90"/>
      <c r="K282" s="90"/>
      <c r="L282" s="90"/>
      <c r="M282" s="90"/>
      <c r="N282" s="90"/>
      <c r="O282" s="90"/>
      <c r="P282" s="90"/>
      <c r="Q282" s="90"/>
      <c r="R282" s="90"/>
      <c r="S282" s="90"/>
      <c r="T282" s="91">
        <v>24048</v>
      </c>
      <c r="U282" s="90"/>
      <c r="V282" s="90" t="s">
        <v>816</v>
      </c>
      <c r="W282" s="233" t="str">
        <f t="shared" si="35"/>
        <v>Davalillo Simó,Alicia</v>
      </c>
      <c r="X282" s="202">
        <f t="shared" si="32"/>
        <v>6</v>
      </c>
      <c r="Y282" s="202">
        <f t="shared" si="33"/>
        <v>2021</v>
      </c>
      <c r="Z282" s="93"/>
      <c r="AA282">
        <f>IF(Tabla1[[#This Row],[Kerma en aire acumulada (Gy)]]&gt;1,SUMIF(G:G,Tabla1[[#This Row],[SIP]],I:I)-Tabla1[[#This Row],[Kerma en aire acumulada (Gy)]],"")</f>
        <v>0</v>
      </c>
    </row>
    <row r="283" spans="3:27">
      <c r="C283" s="94" t="str">
        <f t="shared" si="34"/>
        <v>Adulto</v>
      </c>
      <c r="D283" s="95" t="s">
        <v>792</v>
      </c>
      <c r="E283" s="95" t="s">
        <v>793</v>
      </c>
      <c r="F283" s="95" t="s">
        <v>28</v>
      </c>
      <c r="G283" s="95">
        <v>2911947</v>
      </c>
      <c r="H283" s="96">
        <v>44351</v>
      </c>
      <c r="I283" s="95">
        <v>0.373</v>
      </c>
      <c r="J283" s="95"/>
      <c r="K283" s="95"/>
      <c r="L283" s="95"/>
      <c r="M283" s="95"/>
      <c r="N283" s="95"/>
      <c r="O283" s="95"/>
      <c r="P283" s="95"/>
      <c r="Q283" s="95"/>
      <c r="R283" s="95"/>
      <c r="S283" s="95"/>
      <c r="T283" s="96">
        <v>21750</v>
      </c>
      <c r="U283" s="95"/>
      <c r="V283" s="95" t="s">
        <v>563</v>
      </c>
      <c r="W283" s="232" t="str">
        <f t="shared" si="35"/>
        <v>Zafra Carrascosa,Josefa</v>
      </c>
      <c r="X283" s="154">
        <f t="shared" si="32"/>
        <v>6</v>
      </c>
      <c r="Y283" s="154">
        <f t="shared" si="33"/>
        <v>2021</v>
      </c>
      <c r="Z283" s="97"/>
      <c r="AA283" t="str">
        <f>IF(Tabla1[[#This Row],[Kerma en aire acumulada (Gy)]]&gt;1,SUMIF(G:G,Tabla1[[#This Row],[SIP]],I:I)-Tabla1[[#This Row],[Kerma en aire acumulada (Gy)]],"")</f>
        <v/>
      </c>
    </row>
    <row r="284" spans="3:27">
      <c r="C284" s="94" t="str">
        <f t="shared" si="34"/>
        <v>Adulto</v>
      </c>
      <c r="D284" s="95" t="s">
        <v>836</v>
      </c>
      <c r="E284" s="95" t="s">
        <v>837</v>
      </c>
      <c r="F284" s="95" t="s">
        <v>88</v>
      </c>
      <c r="G284" s="95">
        <v>164032</v>
      </c>
      <c r="H284" s="96">
        <v>44351</v>
      </c>
      <c r="I284" s="95">
        <v>0.23899999999999999</v>
      </c>
      <c r="J284" s="95"/>
      <c r="K284" s="95"/>
      <c r="L284" s="95"/>
      <c r="M284" s="95"/>
      <c r="N284" s="95"/>
      <c r="O284" s="95"/>
      <c r="P284" s="95"/>
      <c r="Q284" s="95"/>
      <c r="R284" s="95"/>
      <c r="S284" s="95"/>
      <c r="T284" s="96">
        <v>21937</v>
      </c>
      <c r="U284" s="95"/>
      <c r="V284" s="95" t="s">
        <v>838</v>
      </c>
      <c r="W284" s="232" t="str">
        <f t="shared" si="35"/>
        <v>Sapiña Fuertes,Vicente</v>
      </c>
      <c r="X284" s="154">
        <f t="shared" si="32"/>
        <v>6</v>
      </c>
      <c r="Y284" s="154">
        <f t="shared" si="33"/>
        <v>2021</v>
      </c>
      <c r="Z284" s="97"/>
      <c r="AA284" t="str">
        <f>IF(Tabla1[[#This Row],[Kerma en aire acumulada (Gy)]]&gt;1,SUMIF(G:G,Tabla1[[#This Row],[SIP]],I:I)-Tabla1[[#This Row],[Kerma en aire acumulada (Gy)]],"")</f>
        <v/>
      </c>
    </row>
    <row r="285" spans="3:27">
      <c r="C285" s="94" t="str">
        <f t="shared" si="34"/>
        <v>Adulto</v>
      </c>
      <c r="D285" s="95" t="s">
        <v>157</v>
      </c>
      <c r="E285" s="95" t="s">
        <v>839</v>
      </c>
      <c r="F285" s="95" t="s">
        <v>840</v>
      </c>
      <c r="G285" s="95">
        <v>2818175</v>
      </c>
      <c r="H285" s="96">
        <v>44351</v>
      </c>
      <c r="I285" s="95">
        <v>0.55500000000000005</v>
      </c>
      <c r="J285" s="95"/>
      <c r="K285" s="95"/>
      <c r="L285" s="95"/>
      <c r="M285" s="95"/>
      <c r="N285" s="95"/>
      <c r="O285" s="95"/>
      <c r="P285" s="95"/>
      <c r="Q285" s="95"/>
      <c r="R285" s="95"/>
      <c r="S285" s="95"/>
      <c r="T285" s="96">
        <v>21617</v>
      </c>
      <c r="U285" s="95"/>
      <c r="V285" s="95" t="s">
        <v>841</v>
      </c>
      <c r="W285" s="232" t="str">
        <f t="shared" si="35"/>
        <v>Sánchez Ferrer,Santiago</v>
      </c>
      <c r="X285" s="154">
        <f t="shared" si="32"/>
        <v>6</v>
      </c>
      <c r="Y285" s="154">
        <f t="shared" si="33"/>
        <v>2021</v>
      </c>
      <c r="Z285" s="97"/>
      <c r="AA285" t="str">
        <f>IF(Tabla1[[#This Row],[Kerma en aire acumulada (Gy)]]&gt;1,SUMIF(G:G,Tabla1[[#This Row],[SIP]],I:I)-Tabla1[[#This Row],[Kerma en aire acumulada (Gy)]],"")</f>
        <v/>
      </c>
    </row>
    <row r="286" spans="3:27" ht="15.75" thickBot="1">
      <c r="C286" s="166" t="str">
        <f t="shared" si="34"/>
        <v>Adulto</v>
      </c>
      <c r="D286" s="163" t="s">
        <v>133</v>
      </c>
      <c r="E286" s="163" t="s">
        <v>157</v>
      </c>
      <c r="F286" s="163" t="s">
        <v>106</v>
      </c>
      <c r="G286" s="163">
        <v>2231754</v>
      </c>
      <c r="H286" s="173">
        <v>44351</v>
      </c>
      <c r="I286" s="163">
        <v>0.436</v>
      </c>
      <c r="J286" s="163"/>
      <c r="K286" s="163"/>
      <c r="L286" s="163"/>
      <c r="M286" s="163"/>
      <c r="N286" s="163"/>
      <c r="O286" s="163"/>
      <c r="P286" s="163"/>
      <c r="Q286" s="163"/>
      <c r="R286" s="163"/>
      <c r="S286" s="163"/>
      <c r="T286" s="173">
        <v>16307</v>
      </c>
      <c r="U286" s="163"/>
      <c r="V286" s="163" t="s">
        <v>563</v>
      </c>
      <c r="W286" s="231" t="str">
        <f t="shared" si="35"/>
        <v>Rodilla Sánchez,Carmen</v>
      </c>
      <c r="X286" s="160">
        <f t="shared" si="32"/>
        <v>6</v>
      </c>
      <c r="Y286" s="160">
        <f t="shared" si="33"/>
        <v>2021</v>
      </c>
      <c r="Z286" s="172"/>
      <c r="AA286" t="str">
        <f>IF(Tabla1[[#This Row],[Kerma en aire acumulada (Gy)]]&gt;1,SUMIF(G:G,Tabla1[[#This Row],[SIP]],I:I)-Tabla1[[#This Row],[Kerma en aire acumulada (Gy)]],"")</f>
        <v/>
      </c>
    </row>
    <row r="287" spans="3:27">
      <c r="C287" s="157" t="str">
        <f t="shared" si="34"/>
        <v>Adulto</v>
      </c>
      <c r="D287" s="202" t="s">
        <v>115</v>
      </c>
      <c r="E287" s="202" t="s">
        <v>822</v>
      </c>
      <c r="F287" s="202" t="s">
        <v>823</v>
      </c>
      <c r="G287" s="202">
        <v>3781436</v>
      </c>
      <c r="H287" s="214">
        <v>44351</v>
      </c>
      <c r="I287" s="219">
        <v>0.191</v>
      </c>
      <c r="J287" s="202"/>
      <c r="K287" s="202"/>
      <c r="L287" s="202"/>
      <c r="M287" s="202"/>
      <c r="N287" s="202"/>
      <c r="O287" s="202"/>
      <c r="P287" s="202"/>
      <c r="Q287" s="202"/>
      <c r="R287" s="202"/>
      <c r="S287" s="202"/>
      <c r="T287" s="214">
        <v>24254</v>
      </c>
      <c r="U287" s="202"/>
      <c r="V287" s="202" t="s">
        <v>824</v>
      </c>
      <c r="W287" s="233" t="str">
        <f t="shared" si="35"/>
        <v>Pardo Bernes,Mª José</v>
      </c>
      <c r="X287" s="202">
        <f t="shared" si="32"/>
        <v>6</v>
      </c>
      <c r="Y287" s="202">
        <f t="shared" si="33"/>
        <v>2021</v>
      </c>
      <c r="Z287" s="203"/>
      <c r="AA287" t="str">
        <f>IF(Tabla1[[#This Row],[Kerma en aire acumulada (Gy)]]&gt;1,SUMIF(G:G,Tabla1[[#This Row],[SIP]],I:I)-Tabla1[[#This Row],[Kerma en aire acumulada (Gy)]],"")</f>
        <v/>
      </c>
    </row>
    <row r="288" spans="3:27" ht="15.75" thickBot="1">
      <c r="C288" s="166" t="str">
        <f t="shared" si="34"/>
        <v>Adulto</v>
      </c>
      <c r="D288" s="163" t="s">
        <v>825</v>
      </c>
      <c r="E288" s="163" t="s">
        <v>66</v>
      </c>
      <c r="F288" s="163" t="s">
        <v>546</v>
      </c>
      <c r="G288" s="163">
        <v>2863463</v>
      </c>
      <c r="H288" s="173">
        <v>44351</v>
      </c>
      <c r="I288" s="163">
        <v>0.19</v>
      </c>
      <c r="J288" s="163"/>
      <c r="K288" s="163"/>
      <c r="L288" s="163"/>
      <c r="M288" s="163"/>
      <c r="N288" s="163"/>
      <c r="O288" s="163"/>
      <c r="P288" s="163"/>
      <c r="Q288" s="163"/>
      <c r="R288" s="163"/>
      <c r="S288" s="163"/>
      <c r="T288" s="173">
        <v>17809</v>
      </c>
      <c r="U288" s="163"/>
      <c r="V288" s="163" t="s">
        <v>502</v>
      </c>
      <c r="W288" s="231" t="str">
        <f t="shared" si="35"/>
        <v>Jodar Navarro,Luis</v>
      </c>
      <c r="X288" s="160">
        <f t="shared" si="32"/>
        <v>6</v>
      </c>
      <c r="Y288" s="160">
        <f t="shared" si="33"/>
        <v>2021</v>
      </c>
      <c r="Z288" s="172"/>
      <c r="AA288" t="str">
        <f>IF(Tabla1[[#This Row],[Kerma en aire acumulada (Gy)]]&gt;1,SUMIF(G:G,Tabla1[[#This Row],[SIP]],I:I)-Tabla1[[#This Row],[Kerma en aire acumulada (Gy)]],"")</f>
        <v/>
      </c>
    </row>
    <row r="289" spans="3:27">
      <c r="C289" s="157" t="str">
        <f t="shared" si="34"/>
        <v>Adulto</v>
      </c>
      <c r="D289" s="202" t="s">
        <v>109</v>
      </c>
      <c r="E289" s="202" t="s">
        <v>109</v>
      </c>
      <c r="F289" s="202" t="s">
        <v>88</v>
      </c>
      <c r="G289" s="202">
        <v>3805063</v>
      </c>
      <c r="H289" s="214">
        <v>44351</v>
      </c>
      <c r="I289" s="202">
        <v>0.435</v>
      </c>
      <c r="J289" s="202"/>
      <c r="K289" s="202"/>
      <c r="L289" s="202"/>
      <c r="M289" s="202"/>
      <c r="N289" s="202"/>
      <c r="O289" s="202"/>
      <c r="P289" s="202"/>
      <c r="Q289" s="202"/>
      <c r="R289" s="202"/>
      <c r="S289" s="202"/>
      <c r="T289" s="214">
        <v>19086</v>
      </c>
      <c r="U289" s="202"/>
      <c r="V289" s="202" t="s">
        <v>563</v>
      </c>
      <c r="W289" s="233" t="str">
        <f t="shared" si="35"/>
        <v>Ibáñez Ibáñez,Vicente</v>
      </c>
      <c r="X289" s="202">
        <f t="shared" si="32"/>
        <v>6</v>
      </c>
      <c r="Y289" s="202">
        <f t="shared" si="33"/>
        <v>2021</v>
      </c>
      <c r="Z289" s="203"/>
      <c r="AA289" t="str">
        <f>IF(Tabla1[[#This Row],[Kerma en aire acumulada (Gy)]]&gt;1,SUMIF(G:G,Tabla1[[#This Row],[SIP]],I:I)-Tabla1[[#This Row],[Kerma en aire acumulada (Gy)]],"")</f>
        <v/>
      </c>
    </row>
    <row r="290" spans="3:27" ht="15.75" thickBot="1">
      <c r="C290" s="193" t="str">
        <f t="shared" si="34"/>
        <v>Adulto</v>
      </c>
      <c r="D290" s="181" t="s">
        <v>790</v>
      </c>
      <c r="E290" s="181" t="s">
        <v>791</v>
      </c>
      <c r="F290" s="181" t="s">
        <v>37</v>
      </c>
      <c r="G290" s="181">
        <v>5493247</v>
      </c>
      <c r="H290" s="194">
        <v>44351</v>
      </c>
      <c r="I290" s="181">
        <v>0.76300000000000001</v>
      </c>
      <c r="J290" s="181"/>
      <c r="K290" s="181"/>
      <c r="L290" s="181"/>
      <c r="M290" s="181"/>
      <c r="N290" s="181"/>
      <c r="O290" s="181"/>
      <c r="P290" s="181"/>
      <c r="Q290" s="181"/>
      <c r="R290" s="181"/>
      <c r="S290" s="181"/>
      <c r="T290" s="194">
        <v>17021</v>
      </c>
      <c r="U290" s="181"/>
      <c r="V290" s="181" t="s">
        <v>563</v>
      </c>
      <c r="W290" s="235" t="str">
        <f t="shared" si="35"/>
        <v>Gorostola Covelo,Miguel Ángel</v>
      </c>
      <c r="X290" s="209">
        <f t="shared" si="32"/>
        <v>6</v>
      </c>
      <c r="Y290" s="209">
        <f t="shared" si="33"/>
        <v>2021</v>
      </c>
      <c r="Z290" s="164"/>
      <c r="AA290" t="str">
        <f>IF(Tabla1[[#This Row],[Kerma en aire acumulada (Gy)]]&gt;1,SUMIF(G:G,Tabla1[[#This Row],[SIP]],I:I)-Tabla1[[#This Row],[Kerma en aire acumulada (Gy)]],"")</f>
        <v/>
      </c>
    </row>
    <row r="291" spans="3:27">
      <c r="C291" s="157" t="str">
        <f t="shared" si="34"/>
        <v>Pediátrico</v>
      </c>
      <c r="D291" s="202" t="s">
        <v>842</v>
      </c>
      <c r="E291" s="202" t="s">
        <v>104</v>
      </c>
      <c r="F291" s="202" t="s">
        <v>148</v>
      </c>
      <c r="G291" s="202">
        <v>5670105</v>
      </c>
      <c r="H291" s="214">
        <v>44351</v>
      </c>
      <c r="I291" s="202">
        <v>0.44800000000000001</v>
      </c>
      <c r="J291" s="202"/>
      <c r="K291" s="202"/>
      <c r="L291" s="202"/>
      <c r="M291" s="202"/>
      <c r="N291" s="202"/>
      <c r="O291" s="202"/>
      <c r="P291" s="202"/>
      <c r="Q291" s="202"/>
      <c r="R291" s="202"/>
      <c r="S291" s="202"/>
      <c r="T291" s="214">
        <v>38327</v>
      </c>
      <c r="U291" s="202"/>
      <c r="V291" s="202" t="s">
        <v>583</v>
      </c>
      <c r="W291" s="233" t="str">
        <f t="shared" si="35"/>
        <v>Corchado Martínez,Andreu</v>
      </c>
      <c r="X291" s="202">
        <f t="shared" si="32"/>
        <v>6</v>
      </c>
      <c r="Y291" s="202">
        <f t="shared" si="33"/>
        <v>2021</v>
      </c>
      <c r="Z291" s="203"/>
      <c r="AA291" t="str">
        <f>IF(Tabla1[[#This Row],[Kerma en aire acumulada (Gy)]]&gt;1,SUMIF(G:G,Tabla1[[#This Row],[SIP]],I:I)-Tabla1[[#This Row],[Kerma en aire acumulada (Gy)]],"")</f>
        <v/>
      </c>
    </row>
    <row r="292" spans="3:27">
      <c r="C292" s="94" t="str">
        <f t="shared" si="34"/>
        <v>Adulto</v>
      </c>
      <c r="D292" s="95" t="s">
        <v>804</v>
      </c>
      <c r="E292" s="95" t="s">
        <v>18</v>
      </c>
      <c r="F292" s="95" t="s">
        <v>348</v>
      </c>
      <c r="G292" s="95">
        <v>3804137</v>
      </c>
      <c r="H292" s="96">
        <v>44351</v>
      </c>
      <c r="I292" s="95">
        <v>0.97699999999999998</v>
      </c>
      <c r="J292" s="95"/>
      <c r="K292" s="95"/>
      <c r="L292" s="95"/>
      <c r="M292" s="95"/>
      <c r="N292" s="95"/>
      <c r="O292" s="95"/>
      <c r="P292" s="95"/>
      <c r="Q292" s="95"/>
      <c r="R292" s="95"/>
      <c r="S292" s="95"/>
      <c r="T292" s="96">
        <v>20767</v>
      </c>
      <c r="U292" s="95"/>
      <c r="V292" s="95" t="s">
        <v>563</v>
      </c>
      <c r="W292" s="232" t="str">
        <f t="shared" si="35"/>
        <v>Balaguer Roig,Rosa María</v>
      </c>
      <c r="X292" s="154">
        <f t="shared" si="32"/>
        <v>6</v>
      </c>
      <c r="Y292" s="154">
        <f t="shared" si="33"/>
        <v>2021</v>
      </c>
      <c r="Z292" s="97"/>
      <c r="AA292" t="str">
        <f>IF(Tabla1[[#This Row],[Kerma en aire acumulada (Gy)]]&gt;1,SUMIF(G:G,Tabla1[[#This Row],[SIP]],I:I)-Tabla1[[#This Row],[Kerma en aire acumulada (Gy)]],"")</f>
        <v/>
      </c>
    </row>
    <row r="293" spans="3:27">
      <c r="C293" s="89" t="str">
        <f t="shared" si="34"/>
        <v>Adulto</v>
      </c>
      <c r="D293" s="90" t="s">
        <v>794</v>
      </c>
      <c r="E293" s="90" t="s">
        <v>634</v>
      </c>
      <c r="F293" s="90" t="s">
        <v>795</v>
      </c>
      <c r="G293" s="90">
        <v>2691987</v>
      </c>
      <c r="H293" s="91">
        <v>44351</v>
      </c>
      <c r="I293" s="90">
        <v>0.27400000000000002</v>
      </c>
      <c r="J293" s="90"/>
      <c r="K293" s="90"/>
      <c r="L293" s="90"/>
      <c r="M293" s="90"/>
      <c r="N293" s="90"/>
      <c r="O293" s="90"/>
      <c r="P293" s="90"/>
      <c r="Q293" s="90"/>
      <c r="R293" s="90"/>
      <c r="S293" s="90"/>
      <c r="T293" s="91">
        <v>15224</v>
      </c>
      <c r="U293" s="90"/>
      <c r="V293" s="90" t="s">
        <v>563</v>
      </c>
      <c r="W293" s="233" t="str">
        <f t="shared" si="35"/>
        <v>Ases Gil,M Dolores Remedios</v>
      </c>
      <c r="X293" s="202">
        <f t="shared" si="32"/>
        <v>6</v>
      </c>
      <c r="Y293" s="202">
        <f t="shared" si="33"/>
        <v>2021</v>
      </c>
      <c r="Z293" s="93"/>
      <c r="AA293" t="str">
        <f>IF(Tabla1[[#This Row],[Kerma en aire acumulada (Gy)]]&gt;1,SUMIF(G:G,Tabla1[[#This Row],[SIP]],I:I)-Tabla1[[#This Row],[Kerma en aire acumulada (Gy)]],"")</f>
        <v/>
      </c>
    </row>
    <row r="294" spans="3:27">
      <c r="C294" s="89" t="str">
        <f t="shared" si="34"/>
        <v>Adulto</v>
      </c>
      <c r="D294" s="90" t="s">
        <v>796</v>
      </c>
      <c r="E294" s="90" t="s">
        <v>797</v>
      </c>
      <c r="F294" s="90" t="s">
        <v>798</v>
      </c>
      <c r="G294" s="113">
        <v>2858016</v>
      </c>
      <c r="H294" s="91">
        <v>44354</v>
      </c>
      <c r="I294" s="90">
        <v>0.85099999999999998</v>
      </c>
      <c r="J294" s="90"/>
      <c r="K294" s="90"/>
      <c r="L294" s="90"/>
      <c r="M294" s="90"/>
      <c r="N294" s="90"/>
      <c r="O294" s="90"/>
      <c r="P294" s="90"/>
      <c r="Q294" s="90"/>
      <c r="R294" s="90"/>
      <c r="S294" s="90"/>
      <c r="T294" s="91">
        <v>15485</v>
      </c>
      <c r="U294" s="90"/>
      <c r="V294" s="90" t="s">
        <v>563</v>
      </c>
      <c r="W294" s="233" t="str">
        <f t="shared" si="35"/>
        <v>Quesada Ruano,Ana</v>
      </c>
      <c r="X294" s="202">
        <f t="shared" ref="X294:X307" si="36">MONTH(H294)</f>
        <v>6</v>
      </c>
      <c r="Y294" s="202">
        <f t="shared" si="33"/>
        <v>2021</v>
      </c>
      <c r="Z294" s="93"/>
      <c r="AA294" t="str">
        <f>IF(Tabla1[[#This Row],[Kerma en aire acumulada (Gy)]]&gt;1,SUMIF(G:G,Tabla1[[#This Row],[SIP]],I:I)-Tabla1[[#This Row],[Kerma en aire acumulada (Gy)]],"")</f>
        <v/>
      </c>
    </row>
    <row r="295" spans="3:27">
      <c r="C295" s="94" t="str">
        <f t="shared" si="34"/>
        <v>Adulto</v>
      </c>
      <c r="D295" s="95" t="s">
        <v>891</v>
      </c>
      <c r="E295" s="95" t="s">
        <v>32</v>
      </c>
      <c r="F295" s="95" t="s">
        <v>57</v>
      </c>
      <c r="G295" s="95">
        <v>4435994</v>
      </c>
      <c r="H295" s="96">
        <v>44354</v>
      </c>
      <c r="I295" s="111">
        <v>5.8710000000000004</v>
      </c>
      <c r="J295" s="95"/>
      <c r="K295" s="95"/>
      <c r="L295" s="95"/>
      <c r="M295" s="95"/>
      <c r="N295" s="95"/>
      <c r="O295" s="95"/>
      <c r="P295" s="95"/>
      <c r="Q295" s="95"/>
      <c r="R295" s="95"/>
      <c r="S295" s="95"/>
      <c r="T295" s="96">
        <v>19632</v>
      </c>
      <c r="U295" s="95"/>
      <c r="V295" s="95" t="s">
        <v>563</v>
      </c>
      <c r="W295" s="232" t="str">
        <f t="shared" si="35"/>
        <v>Morales Gómez,Miguel</v>
      </c>
      <c r="X295" s="154">
        <f t="shared" si="36"/>
        <v>6</v>
      </c>
      <c r="Y295" s="154"/>
      <c r="Z295" s="97" t="s">
        <v>266</v>
      </c>
      <c r="AA295">
        <f>IF(Tabla1[[#This Row],[Kerma en aire acumulada (Gy)]]&gt;1,SUMIF(G:G,Tabla1[[#This Row],[SIP]],I:I)-Tabla1[[#This Row],[Kerma en aire acumulada (Gy)]],"")</f>
        <v>0</v>
      </c>
    </row>
    <row r="296" spans="3:27">
      <c r="C296" s="89" t="str">
        <f t="shared" si="34"/>
        <v>Adulto</v>
      </c>
      <c r="D296" s="90" t="s">
        <v>859</v>
      </c>
      <c r="E296" s="90" t="s">
        <v>860</v>
      </c>
      <c r="F296" s="90" t="s">
        <v>861</v>
      </c>
      <c r="G296" s="90">
        <v>997195</v>
      </c>
      <c r="H296" s="91">
        <v>44355</v>
      </c>
      <c r="I296" s="90">
        <v>0.33600000000000002</v>
      </c>
      <c r="J296" s="90"/>
      <c r="K296" s="90"/>
      <c r="L296" s="90"/>
      <c r="M296" s="90"/>
      <c r="N296" s="90"/>
      <c r="O296" s="90"/>
      <c r="P296" s="90"/>
      <c r="Q296" s="90"/>
      <c r="R296" s="90"/>
      <c r="S296" s="90"/>
      <c r="T296" s="91">
        <v>23750</v>
      </c>
      <c r="U296" s="90"/>
      <c r="V296" s="90" t="s">
        <v>107</v>
      </c>
      <c r="W296" s="233" t="str">
        <f t="shared" si="35"/>
        <v>Sastre Bay,Juan Carlos</v>
      </c>
      <c r="X296" s="202">
        <f t="shared" si="36"/>
        <v>6</v>
      </c>
      <c r="Y296" s="202">
        <f t="shared" ref="Y296:Y301" si="37">YEAR(H296)</f>
        <v>2021</v>
      </c>
      <c r="Z296" s="93" t="s">
        <v>265</v>
      </c>
      <c r="AA296" t="str">
        <f>IF(Tabla1[[#This Row],[Kerma en aire acumulada (Gy)]]&gt;1,SUMIF(G:G,Tabla1[[#This Row],[SIP]],I:I)-Tabla1[[#This Row],[Kerma en aire acumulada (Gy)]],"")</f>
        <v/>
      </c>
    </row>
    <row r="297" spans="3:27">
      <c r="C297" s="94" t="str">
        <f t="shared" si="34"/>
        <v>Adulto</v>
      </c>
      <c r="D297" s="95" t="s">
        <v>6</v>
      </c>
      <c r="E297" s="95" t="s">
        <v>157</v>
      </c>
      <c r="F297" s="95" t="s">
        <v>862</v>
      </c>
      <c r="G297" s="95">
        <v>3567377</v>
      </c>
      <c r="H297" s="96">
        <v>44355</v>
      </c>
      <c r="I297" s="95">
        <v>0.52400000000000002</v>
      </c>
      <c r="J297" s="95"/>
      <c r="K297" s="95"/>
      <c r="L297" s="95"/>
      <c r="M297" s="95"/>
      <c r="N297" s="95"/>
      <c r="O297" s="95"/>
      <c r="P297" s="95"/>
      <c r="Q297" s="95"/>
      <c r="R297" s="95"/>
      <c r="S297" s="95"/>
      <c r="T297" s="96">
        <v>25787</v>
      </c>
      <c r="U297" s="95"/>
      <c r="V297" s="95" t="s">
        <v>128</v>
      </c>
      <c r="W297" s="232" t="str">
        <f t="shared" si="35"/>
        <v>Ortega Sánchez,Juan Fran</v>
      </c>
      <c r="X297" s="154">
        <f t="shared" si="36"/>
        <v>6</v>
      </c>
      <c r="Y297" s="154">
        <f t="shared" si="37"/>
        <v>2021</v>
      </c>
      <c r="Z297" s="97" t="s">
        <v>265</v>
      </c>
      <c r="AA297" t="str">
        <f>IF(Tabla1[[#This Row],[Kerma en aire acumulada (Gy)]]&gt;1,SUMIF(G:G,Tabla1[[#This Row],[SIP]],I:I)-Tabla1[[#This Row],[Kerma en aire acumulada (Gy)]],"")</f>
        <v/>
      </c>
    </row>
    <row r="298" spans="3:27">
      <c r="C298" s="94" t="str">
        <f t="shared" si="34"/>
        <v>Pediátrico</v>
      </c>
      <c r="D298" s="95" t="s">
        <v>856</v>
      </c>
      <c r="E298" s="95" t="s">
        <v>857</v>
      </c>
      <c r="F298" s="95" t="s">
        <v>538</v>
      </c>
      <c r="G298" s="95">
        <v>6670344</v>
      </c>
      <c r="H298" s="96">
        <v>44355</v>
      </c>
      <c r="I298" s="95">
        <v>0.26200000000000001</v>
      </c>
      <c r="J298" s="95"/>
      <c r="K298" s="95"/>
      <c r="L298" s="95"/>
      <c r="M298" s="95"/>
      <c r="N298" s="95"/>
      <c r="O298" s="95"/>
      <c r="P298" s="95"/>
      <c r="Q298" s="95"/>
      <c r="R298" s="95"/>
      <c r="S298" s="95"/>
      <c r="T298" s="96">
        <v>39086</v>
      </c>
      <c r="U298" s="95"/>
      <c r="V298" s="95" t="s">
        <v>824</v>
      </c>
      <c r="W298" s="232" t="str">
        <f t="shared" si="35"/>
        <v>Gomez Zambrana,Hugo</v>
      </c>
      <c r="X298" s="154">
        <f t="shared" si="36"/>
        <v>6</v>
      </c>
      <c r="Y298" s="154">
        <f t="shared" si="37"/>
        <v>2021</v>
      </c>
      <c r="Z298" s="97" t="s">
        <v>265</v>
      </c>
      <c r="AA298" t="str">
        <f>IF(Tabla1[[#This Row],[Kerma en aire acumulada (Gy)]]&gt;1,SUMIF(G:G,Tabla1[[#This Row],[SIP]],I:I)-Tabla1[[#This Row],[Kerma en aire acumulada (Gy)]],"")</f>
        <v/>
      </c>
    </row>
    <row r="299" spans="3:27">
      <c r="C299" s="89" t="str">
        <f t="shared" si="34"/>
        <v>Pediátrico</v>
      </c>
      <c r="D299" s="90" t="s">
        <v>368</v>
      </c>
      <c r="E299" s="90" t="s">
        <v>868</v>
      </c>
      <c r="F299" s="90" t="s">
        <v>869</v>
      </c>
      <c r="G299" s="90">
        <v>13074011</v>
      </c>
      <c r="H299" s="91">
        <v>44355</v>
      </c>
      <c r="I299" s="90">
        <v>3.0499999999999999E-2</v>
      </c>
      <c r="J299" s="90"/>
      <c r="K299" s="90"/>
      <c r="L299" s="90"/>
      <c r="M299" s="90"/>
      <c r="N299" s="90"/>
      <c r="O299" s="90"/>
      <c r="P299" s="90"/>
      <c r="Q299" s="90"/>
      <c r="R299" s="90"/>
      <c r="S299" s="90"/>
      <c r="T299" s="91">
        <v>44249</v>
      </c>
      <c r="U299" s="90"/>
      <c r="V299" s="90" t="s">
        <v>583</v>
      </c>
      <c r="W299" s="233" t="str">
        <f t="shared" si="35"/>
        <v>García Peñalver,Jana</v>
      </c>
      <c r="X299" s="202">
        <f t="shared" si="36"/>
        <v>6</v>
      </c>
      <c r="Y299" s="202">
        <f t="shared" si="37"/>
        <v>2021</v>
      </c>
      <c r="Z299" s="93"/>
      <c r="AA299" t="str">
        <f>IF(Tabla1[[#This Row],[Kerma en aire acumulada (Gy)]]&gt;1,SUMIF(G:G,Tabla1[[#This Row],[SIP]],I:I)-Tabla1[[#This Row],[Kerma en aire acumulada (Gy)]],"")</f>
        <v/>
      </c>
    </row>
    <row r="300" spans="3:27">
      <c r="C300" s="89" t="str">
        <f t="shared" si="34"/>
        <v>Adulto</v>
      </c>
      <c r="D300" s="90" t="s">
        <v>320</v>
      </c>
      <c r="E300" s="90" t="s">
        <v>47</v>
      </c>
      <c r="F300" s="90" t="s">
        <v>102</v>
      </c>
      <c r="G300" s="90">
        <v>1781720</v>
      </c>
      <c r="H300" s="91">
        <v>44355</v>
      </c>
      <c r="I300" s="90">
        <v>1.698</v>
      </c>
      <c r="J300" s="90"/>
      <c r="K300" s="90"/>
      <c r="L300" s="90"/>
      <c r="M300" s="90"/>
      <c r="N300" s="90"/>
      <c r="O300" s="90"/>
      <c r="P300" s="90"/>
      <c r="Q300" s="90"/>
      <c r="R300" s="90"/>
      <c r="S300" s="90"/>
      <c r="T300" s="91">
        <v>23696</v>
      </c>
      <c r="U300" s="90"/>
      <c r="V300" s="90" t="s">
        <v>89</v>
      </c>
      <c r="W300" s="233" t="str">
        <f t="shared" si="35"/>
        <v>Cano Jiménez,José</v>
      </c>
      <c r="X300" s="202">
        <f t="shared" si="36"/>
        <v>6</v>
      </c>
      <c r="Y300" s="202">
        <f t="shared" si="37"/>
        <v>2021</v>
      </c>
      <c r="Z300" s="93" t="s">
        <v>265</v>
      </c>
      <c r="AA300">
        <f>IF(Tabla1[[#This Row],[Kerma en aire acumulada (Gy)]]&gt;1,SUMIF(G:G,Tabla1[[#This Row],[SIP]],I:I)-Tabla1[[#This Row],[Kerma en aire acumulada (Gy)]],"")</f>
        <v>0</v>
      </c>
    </row>
    <row r="301" spans="3:27">
      <c r="C301" s="94" t="str">
        <f t="shared" si="34"/>
        <v>Pediátrico</v>
      </c>
      <c r="D301" s="95" t="s">
        <v>853</v>
      </c>
      <c r="E301" s="95" t="s">
        <v>854</v>
      </c>
      <c r="F301" s="95" t="s">
        <v>855</v>
      </c>
      <c r="G301" s="95">
        <v>12098521</v>
      </c>
      <c r="H301" s="96">
        <v>44356</v>
      </c>
      <c r="I301" s="95">
        <v>3.8629999999999998E-2</v>
      </c>
      <c r="J301" s="95"/>
      <c r="K301" s="95"/>
      <c r="L301" s="95"/>
      <c r="M301" s="95"/>
      <c r="N301" s="95"/>
      <c r="O301" s="95"/>
      <c r="P301" s="95"/>
      <c r="Q301" s="95"/>
      <c r="R301" s="95"/>
      <c r="S301" s="95"/>
      <c r="T301" s="96">
        <v>43041</v>
      </c>
      <c r="U301" s="95"/>
      <c r="V301" s="95" t="s">
        <v>599</v>
      </c>
      <c r="W301" s="232" t="str">
        <f t="shared" si="35"/>
        <v>Marquez Heredia,Tonet</v>
      </c>
      <c r="X301" s="154">
        <f t="shared" si="36"/>
        <v>6</v>
      </c>
      <c r="Y301" s="154">
        <f t="shared" si="37"/>
        <v>2021</v>
      </c>
      <c r="Z301" s="97" t="s">
        <v>265</v>
      </c>
      <c r="AA301" t="str">
        <f>IF(Tabla1[[#This Row],[Kerma en aire acumulada (Gy)]]&gt;1,SUMIF(G:G,Tabla1[[#This Row],[SIP]],I:I)-Tabla1[[#This Row],[Kerma en aire acumulada (Gy)]],"")</f>
        <v/>
      </c>
    </row>
    <row r="302" spans="3:27">
      <c r="C302" s="89" t="str">
        <f t="shared" si="34"/>
        <v>Adulto</v>
      </c>
      <c r="D302" s="90" t="s">
        <v>913</v>
      </c>
      <c r="E302" s="90" t="s">
        <v>787</v>
      </c>
      <c r="F302" s="90" t="s">
        <v>356</v>
      </c>
      <c r="G302" s="90">
        <v>3179058</v>
      </c>
      <c r="H302" s="91">
        <v>44356</v>
      </c>
      <c r="I302" s="112">
        <v>0.377</v>
      </c>
      <c r="J302" s="90"/>
      <c r="K302" s="90"/>
      <c r="L302" s="90"/>
      <c r="M302" s="90"/>
      <c r="N302" s="90"/>
      <c r="O302" s="90"/>
      <c r="P302" s="90"/>
      <c r="Q302" s="90"/>
      <c r="R302" s="90"/>
      <c r="S302" s="90"/>
      <c r="T302" s="91">
        <v>14894</v>
      </c>
      <c r="U302" s="90"/>
      <c r="V302" s="90" t="s">
        <v>563</v>
      </c>
      <c r="W302" s="233" t="str">
        <f t="shared" si="35"/>
        <v>Llombart Bosch,Manuel</v>
      </c>
      <c r="X302" s="202">
        <f t="shared" si="36"/>
        <v>6</v>
      </c>
      <c r="Y302" s="202"/>
      <c r="Z302" s="93"/>
      <c r="AA302" t="str">
        <f>IF(Tabla1[[#This Row],[Kerma en aire acumulada (Gy)]]&gt;1,SUMIF(G:G,Tabla1[[#This Row],[SIP]],I:I)-Tabla1[[#This Row],[Kerma en aire acumulada (Gy)]],"")</f>
        <v/>
      </c>
    </row>
    <row r="303" spans="3:27">
      <c r="C303" s="94" t="str">
        <f t="shared" si="34"/>
        <v>Adulto</v>
      </c>
      <c r="D303" s="95" t="s">
        <v>337</v>
      </c>
      <c r="E303" s="95" t="s">
        <v>337</v>
      </c>
      <c r="F303" s="95" t="s">
        <v>88</v>
      </c>
      <c r="G303" s="95">
        <v>1896448</v>
      </c>
      <c r="H303" s="96">
        <v>44356</v>
      </c>
      <c r="I303" s="95">
        <v>0.67900000000000005</v>
      </c>
      <c r="J303" s="95"/>
      <c r="K303" s="95"/>
      <c r="L303" s="95"/>
      <c r="M303" s="95"/>
      <c r="N303" s="95"/>
      <c r="O303" s="95"/>
      <c r="P303" s="95"/>
      <c r="Q303" s="95"/>
      <c r="R303" s="95"/>
      <c r="S303" s="95"/>
      <c r="T303" s="96">
        <v>18037</v>
      </c>
      <c r="U303" s="95"/>
      <c r="V303" s="95" t="s">
        <v>863</v>
      </c>
      <c r="W303" s="232" t="str">
        <f t="shared" si="35"/>
        <v>Garrido Garrido,Vicente</v>
      </c>
      <c r="X303" s="154">
        <f t="shared" si="36"/>
        <v>6</v>
      </c>
      <c r="Y303" s="154">
        <f>YEAR(H303)</f>
        <v>2021</v>
      </c>
      <c r="Z303" s="97" t="s">
        <v>265</v>
      </c>
      <c r="AA303" t="str">
        <f>IF(Tabla1[[#This Row],[Kerma en aire acumulada (Gy)]]&gt;1,SUMIF(G:G,Tabla1[[#This Row],[SIP]],I:I)-Tabla1[[#This Row],[Kerma en aire acumulada (Gy)]],"")</f>
        <v/>
      </c>
    </row>
    <row r="304" spans="3:27" ht="15.75" thickBot="1">
      <c r="C304" s="193" t="str">
        <f t="shared" si="34"/>
        <v>Adulto</v>
      </c>
      <c r="D304" s="181" t="s">
        <v>864</v>
      </c>
      <c r="E304" s="181" t="s">
        <v>865</v>
      </c>
      <c r="F304" s="181" t="s">
        <v>866</v>
      </c>
      <c r="G304" s="181">
        <v>242936</v>
      </c>
      <c r="H304" s="194">
        <v>44356</v>
      </c>
      <c r="I304" s="181">
        <v>1.022</v>
      </c>
      <c r="J304" s="181"/>
      <c r="K304" s="181"/>
      <c r="L304" s="181"/>
      <c r="M304" s="181"/>
      <c r="N304" s="181"/>
      <c r="O304" s="181"/>
      <c r="P304" s="181"/>
      <c r="Q304" s="181"/>
      <c r="R304" s="181"/>
      <c r="S304" s="181"/>
      <c r="T304" s="194">
        <v>25309</v>
      </c>
      <c r="U304" s="181"/>
      <c r="V304" s="181" t="s">
        <v>175</v>
      </c>
      <c r="W304" s="235" t="str">
        <f t="shared" si="35"/>
        <v>Escrivá Faus,José Ramón</v>
      </c>
      <c r="X304" s="209">
        <f t="shared" si="36"/>
        <v>6</v>
      </c>
      <c r="Y304" s="209">
        <f>YEAR(H304)</f>
        <v>2021</v>
      </c>
      <c r="Z304" s="164" t="s">
        <v>265</v>
      </c>
      <c r="AA304">
        <f>IF(Tabla1[[#This Row],[Kerma en aire acumulada (Gy)]]&gt;1,SUMIF(G:G,Tabla1[[#This Row],[SIP]],I:I)-Tabla1[[#This Row],[Kerma en aire acumulada (Gy)]],"")</f>
        <v>0.15836000000000006</v>
      </c>
    </row>
    <row r="305" spans="3:27">
      <c r="C305" s="155" t="str">
        <f t="shared" si="34"/>
        <v>Adulto</v>
      </c>
      <c r="D305" s="154" t="s">
        <v>890</v>
      </c>
      <c r="E305" s="154" t="s">
        <v>829</v>
      </c>
      <c r="F305" s="154" t="s">
        <v>83</v>
      </c>
      <c r="G305" s="154">
        <v>2203390</v>
      </c>
      <c r="H305" s="156">
        <v>44356</v>
      </c>
      <c r="I305" s="154">
        <v>1.03</v>
      </c>
      <c r="J305" s="154"/>
      <c r="K305" s="154"/>
      <c r="L305" s="154"/>
      <c r="M305" s="154"/>
      <c r="N305" s="154"/>
      <c r="O305" s="154"/>
      <c r="P305" s="154"/>
      <c r="Q305" s="154"/>
      <c r="R305" s="154"/>
      <c r="S305" s="154"/>
      <c r="T305" s="156">
        <v>11679</v>
      </c>
      <c r="U305" s="154"/>
      <c r="V305" s="154" t="s">
        <v>563</v>
      </c>
      <c r="W305" s="232" t="str">
        <f t="shared" si="35"/>
        <v>Belenguer Díaz,Francisco</v>
      </c>
      <c r="X305" s="154">
        <f t="shared" si="36"/>
        <v>6</v>
      </c>
      <c r="Y305" s="154">
        <f>YEAR(H305)</f>
        <v>2021</v>
      </c>
      <c r="Z305" s="174" t="s">
        <v>266</v>
      </c>
      <c r="AA305">
        <f>IF(Tabla1[[#This Row],[Kerma en aire acumulada (Gy)]]&gt;1,SUMIF(G:G,Tabla1[[#This Row],[SIP]],I:I)-Tabla1[[#This Row],[Kerma en aire acumulada (Gy)]],"")</f>
        <v>0</v>
      </c>
    </row>
    <row r="306" spans="3:27">
      <c r="C306" s="94" t="str">
        <f t="shared" si="34"/>
        <v>Adulto</v>
      </c>
      <c r="D306" s="95" t="s">
        <v>933</v>
      </c>
      <c r="E306" s="95"/>
      <c r="F306" s="95" t="s">
        <v>934</v>
      </c>
      <c r="G306" s="95">
        <v>11450645</v>
      </c>
      <c r="H306" s="96">
        <v>44357</v>
      </c>
      <c r="I306" s="95">
        <v>0.92600000000000005</v>
      </c>
      <c r="J306" s="95"/>
      <c r="K306" s="95"/>
      <c r="L306" s="95"/>
      <c r="M306" s="95"/>
      <c r="N306" s="95"/>
      <c r="O306" s="95"/>
      <c r="P306" s="95"/>
      <c r="Q306" s="95"/>
      <c r="R306" s="95"/>
      <c r="S306" s="95"/>
      <c r="T306" s="96">
        <v>30392</v>
      </c>
      <c r="U306" s="95"/>
      <c r="V306" s="95" t="s">
        <v>85</v>
      </c>
      <c r="W306" s="154"/>
      <c r="X306" s="154">
        <f t="shared" si="36"/>
        <v>6</v>
      </c>
      <c r="Y306" s="154">
        <f>YEAR(H306)</f>
        <v>2021</v>
      </c>
      <c r="Z306" s="97"/>
      <c r="AA306" t="str">
        <f>IF(Tabla1[[#This Row],[Kerma en aire acumulada (Gy)]]&gt;1,SUMIF(G:G,Tabla1[[#This Row],[SIP]],I:I)-Tabla1[[#This Row],[Kerma en aire acumulada (Gy)]],"")</f>
        <v/>
      </c>
    </row>
    <row r="307" spans="3:27">
      <c r="C307" s="94" t="str">
        <f t="shared" si="34"/>
        <v>Adulto</v>
      </c>
      <c r="D307" s="95" t="s">
        <v>941</v>
      </c>
      <c r="E307" s="95" t="s">
        <v>942</v>
      </c>
      <c r="F307" s="95" t="s">
        <v>943</v>
      </c>
      <c r="G307" s="95">
        <v>2036987</v>
      </c>
      <c r="H307" s="96">
        <v>44357</v>
      </c>
      <c r="I307" s="95">
        <v>0.186</v>
      </c>
      <c r="J307" s="95"/>
      <c r="K307" s="95"/>
      <c r="L307" s="95"/>
      <c r="M307" s="95"/>
      <c r="N307" s="95"/>
      <c r="O307" s="95"/>
      <c r="P307" s="95"/>
      <c r="Q307" s="95"/>
      <c r="R307" s="95"/>
      <c r="S307" s="95"/>
      <c r="T307" s="96">
        <v>29636</v>
      </c>
      <c r="U307" s="95"/>
      <c r="V307" s="95" t="s">
        <v>675</v>
      </c>
      <c r="W307" s="154"/>
      <c r="X307" s="154">
        <f t="shared" si="36"/>
        <v>6</v>
      </c>
      <c r="Y307" s="154">
        <f>YEAR(H307)</f>
        <v>2021</v>
      </c>
      <c r="Z307" s="97"/>
      <c r="AA307" t="str">
        <f>IF(Tabla1[[#This Row],[Kerma en aire acumulada (Gy)]]&gt;1,SUMIF(G:G,Tabla1[[#This Row],[SIP]],I:I)-Tabla1[[#This Row],[Kerma en aire acumulada (Gy)]],"")</f>
        <v/>
      </c>
    </row>
    <row r="308" spans="3:27">
      <c r="C308" s="89" t="str">
        <f t="shared" si="34"/>
        <v>Adulto</v>
      </c>
      <c r="D308" s="90" t="s">
        <v>951</v>
      </c>
      <c r="E308" s="90" t="s">
        <v>524</v>
      </c>
      <c r="F308" s="90" t="s">
        <v>952</v>
      </c>
      <c r="G308" s="90">
        <v>2036158</v>
      </c>
      <c r="H308" s="91">
        <v>44357</v>
      </c>
      <c r="I308" s="90">
        <v>5.2999999999999999E-2</v>
      </c>
      <c r="J308" s="90"/>
      <c r="K308" s="90"/>
      <c r="L308" s="90"/>
      <c r="M308" s="90"/>
      <c r="N308" s="90"/>
      <c r="O308" s="90"/>
      <c r="P308" s="90"/>
      <c r="Q308" s="90"/>
      <c r="R308" s="90"/>
      <c r="S308" s="90"/>
      <c r="T308" s="91">
        <v>30479</v>
      </c>
      <c r="U308" s="90"/>
      <c r="V308" s="90" t="s">
        <v>953</v>
      </c>
      <c r="W308" s="202"/>
      <c r="X308" s="202"/>
      <c r="Y308" s="202"/>
      <c r="Z308" s="93"/>
      <c r="AA308" t="str">
        <f>IF(Tabla1[[#This Row],[Kerma en aire acumulada (Gy)]]&gt;1,SUMIF(G:G,Tabla1[[#This Row],[SIP]],I:I)-Tabla1[[#This Row],[Kerma en aire acumulada (Gy)]],"")</f>
        <v/>
      </c>
    </row>
    <row r="309" spans="3:27">
      <c r="C309" s="89" t="str">
        <f t="shared" si="34"/>
        <v>Adulto</v>
      </c>
      <c r="D309" s="90" t="s">
        <v>944</v>
      </c>
      <c r="E309" s="90" t="s">
        <v>366</v>
      </c>
      <c r="F309" s="90" t="s">
        <v>45</v>
      </c>
      <c r="G309" s="90">
        <v>2409387</v>
      </c>
      <c r="H309" s="91">
        <v>44357</v>
      </c>
      <c r="I309" s="90">
        <v>0.59199999999999997</v>
      </c>
      <c r="J309" s="90"/>
      <c r="K309" s="90"/>
      <c r="L309" s="90"/>
      <c r="M309" s="90"/>
      <c r="N309" s="90"/>
      <c r="O309" s="90"/>
      <c r="P309" s="90"/>
      <c r="Q309" s="90"/>
      <c r="R309" s="90"/>
      <c r="S309" s="90"/>
      <c r="T309" s="91">
        <v>21776</v>
      </c>
      <c r="U309" s="90"/>
      <c r="V309" s="90" t="s">
        <v>100</v>
      </c>
      <c r="W309" s="202"/>
      <c r="X309" s="202"/>
      <c r="Y309" s="202"/>
      <c r="Z309" s="93"/>
      <c r="AA309" t="str">
        <f>IF(Tabla1[[#This Row],[Kerma en aire acumulada (Gy)]]&gt;1,SUMIF(G:G,Tabla1[[#This Row],[SIP]],I:I)-Tabla1[[#This Row],[Kerma en aire acumulada (Gy)]],"")</f>
        <v/>
      </c>
    </row>
    <row r="310" spans="3:27">
      <c r="C310" s="94" t="str">
        <f t="shared" si="34"/>
        <v>Adulto</v>
      </c>
      <c r="D310" s="95" t="s">
        <v>954</v>
      </c>
      <c r="E310" s="95" t="s">
        <v>955</v>
      </c>
      <c r="F310" s="95" t="s">
        <v>98</v>
      </c>
      <c r="G310" s="95">
        <v>210073</v>
      </c>
      <c r="H310" s="96">
        <v>44357</v>
      </c>
      <c r="I310" s="95">
        <v>4.8000000000000001E-2</v>
      </c>
      <c r="J310" s="95"/>
      <c r="K310" s="95"/>
      <c r="L310" s="95"/>
      <c r="M310" s="95"/>
      <c r="N310" s="95"/>
      <c r="O310" s="95"/>
      <c r="P310" s="95"/>
      <c r="Q310" s="95"/>
      <c r="R310" s="95"/>
      <c r="S310" s="95"/>
      <c r="T310" s="96">
        <v>25635</v>
      </c>
      <c r="U310" s="95"/>
      <c r="V310" s="95" t="s">
        <v>953</v>
      </c>
      <c r="W310" s="154"/>
      <c r="X310" s="154"/>
      <c r="Y310" s="154"/>
      <c r="Z310" s="97"/>
      <c r="AA310" t="str">
        <f>IF(Tabla1[[#This Row],[Kerma en aire acumulada (Gy)]]&gt;1,SUMIF(G:G,Tabla1[[#This Row],[SIP]],I:I)-Tabla1[[#This Row],[Kerma en aire acumulada (Gy)]],"")</f>
        <v/>
      </c>
    </row>
    <row r="311" spans="3:27">
      <c r="C311" s="89" t="str">
        <f t="shared" si="34"/>
        <v>Adulto</v>
      </c>
      <c r="D311" s="90" t="s">
        <v>956</v>
      </c>
      <c r="E311" s="90" t="s">
        <v>21</v>
      </c>
      <c r="F311" s="90" t="s">
        <v>75</v>
      </c>
      <c r="G311" s="90">
        <v>2634637</v>
      </c>
      <c r="H311" s="91">
        <v>44357</v>
      </c>
      <c r="I311" s="90">
        <v>2.3E-2</v>
      </c>
      <c r="J311" s="90"/>
      <c r="K311" s="90"/>
      <c r="L311" s="90"/>
      <c r="M311" s="90"/>
      <c r="N311" s="90"/>
      <c r="O311" s="90"/>
      <c r="P311" s="90"/>
      <c r="Q311" s="90"/>
      <c r="R311" s="90"/>
      <c r="S311" s="90"/>
      <c r="T311" s="91">
        <v>31297</v>
      </c>
      <c r="U311" s="90"/>
      <c r="V311" s="90" t="s">
        <v>953</v>
      </c>
      <c r="W311" s="202"/>
      <c r="X311" s="202"/>
      <c r="Y311" s="202"/>
      <c r="Z311" s="93"/>
      <c r="AA311" t="str">
        <f>IF(Tabla1[[#This Row],[Kerma en aire acumulada (Gy)]]&gt;1,SUMIF(G:G,Tabla1[[#This Row],[SIP]],I:I)-Tabla1[[#This Row],[Kerma en aire acumulada (Gy)]],"")</f>
        <v/>
      </c>
    </row>
    <row r="312" spans="3:27">
      <c r="C312" s="89" t="str">
        <f t="shared" si="34"/>
        <v>Adulto</v>
      </c>
      <c r="D312" s="90" t="s">
        <v>947</v>
      </c>
      <c r="E312" s="90" t="s">
        <v>948</v>
      </c>
      <c r="F312" s="90" t="s">
        <v>949</v>
      </c>
      <c r="G312" s="90">
        <v>3264857</v>
      </c>
      <c r="H312" s="91">
        <v>44358</v>
      </c>
      <c r="I312" s="90">
        <v>2.8000000000000001E-2</v>
      </c>
      <c r="J312" s="90"/>
      <c r="K312" s="90"/>
      <c r="L312" s="90"/>
      <c r="M312" s="90"/>
      <c r="N312" s="90"/>
      <c r="O312" s="90"/>
      <c r="P312" s="90"/>
      <c r="Q312" s="90"/>
      <c r="R312" s="90"/>
      <c r="S312" s="90"/>
      <c r="T312" s="91">
        <v>26079</v>
      </c>
      <c r="U312" s="90"/>
      <c r="V312" s="90" t="s">
        <v>950</v>
      </c>
      <c r="W312" s="202"/>
      <c r="X312" s="202">
        <f>MONTH(H312)</f>
        <v>6</v>
      </c>
      <c r="Y312" s="202">
        <f>YEAR(H312)</f>
        <v>2021</v>
      </c>
      <c r="Z312" s="93"/>
      <c r="AA312" t="str">
        <f>IF(Tabla1[[#This Row],[Kerma en aire acumulada (Gy)]]&gt;1,SUMIF(G:G,Tabla1[[#This Row],[SIP]],I:I)-Tabla1[[#This Row],[Kerma en aire acumulada (Gy)]],"")</f>
        <v/>
      </c>
    </row>
    <row r="313" spans="3:27">
      <c r="C313" s="89" t="str">
        <f t="shared" si="34"/>
        <v>Adulto</v>
      </c>
      <c r="D313" s="90" t="s">
        <v>941</v>
      </c>
      <c r="E313" s="90" t="s">
        <v>942</v>
      </c>
      <c r="F313" s="90" t="s">
        <v>943</v>
      </c>
      <c r="G313" s="90">
        <v>2036987</v>
      </c>
      <c r="H313" s="91">
        <v>44358</v>
      </c>
      <c r="I313" s="90">
        <v>0.20300000000000001</v>
      </c>
      <c r="J313" s="90"/>
      <c r="K313" s="90"/>
      <c r="L313" s="90"/>
      <c r="M313" s="90"/>
      <c r="N313" s="90"/>
      <c r="O313" s="90"/>
      <c r="P313" s="90"/>
      <c r="Q313" s="90"/>
      <c r="R313" s="90"/>
      <c r="S313" s="90"/>
      <c r="T313" s="91">
        <v>29636</v>
      </c>
      <c r="U313" s="90"/>
      <c r="V313" s="90" t="s">
        <v>675</v>
      </c>
      <c r="W313" s="202"/>
      <c r="X313" s="202">
        <f>MONTH(H313)</f>
        <v>6</v>
      </c>
      <c r="Y313" s="202">
        <f>YEAR(H313)</f>
        <v>2021</v>
      </c>
      <c r="Z313" s="93"/>
      <c r="AA313" t="str">
        <f>IF(Tabla1[[#This Row],[Kerma en aire acumulada (Gy)]]&gt;1,SUMIF(G:G,Tabla1[[#This Row],[SIP]],I:I)-Tabla1[[#This Row],[Kerma en aire acumulada (Gy)]],"")</f>
        <v/>
      </c>
    </row>
    <row r="314" spans="3:27">
      <c r="C314" s="89" t="str">
        <f t="shared" si="34"/>
        <v>Adulto</v>
      </c>
      <c r="D314" s="90" t="s">
        <v>913</v>
      </c>
      <c r="E314" s="90" t="s">
        <v>787</v>
      </c>
      <c r="F314" s="90" t="s">
        <v>356</v>
      </c>
      <c r="G314" s="90">
        <v>3179058</v>
      </c>
      <c r="H314" s="91">
        <v>44358</v>
      </c>
      <c r="I314" s="112">
        <v>2.6349999999999998</v>
      </c>
      <c r="J314" s="90"/>
      <c r="K314" s="90"/>
      <c r="L314" s="90"/>
      <c r="M314" s="90"/>
      <c r="N314" s="90"/>
      <c r="O314" s="90"/>
      <c r="P314" s="90"/>
      <c r="Q314" s="90"/>
      <c r="R314" s="90"/>
      <c r="S314" s="90"/>
      <c r="T314" s="91">
        <v>14894</v>
      </c>
      <c r="U314" s="90"/>
      <c r="V314" s="90" t="s">
        <v>563</v>
      </c>
      <c r="W314" s="233" t="str">
        <f>CONCATENATE(D314,$A$591,E314,",",F314)</f>
        <v>Llombart Bosch,Manuel</v>
      </c>
      <c r="X314" s="202">
        <f>MONTH(H314)</f>
        <v>6</v>
      </c>
      <c r="Y314" s="202"/>
      <c r="Z314" s="93"/>
      <c r="AA314">
        <f>IF(Tabla1[[#This Row],[Kerma en aire acumulada (Gy)]]&gt;1,SUMIF(G:G,Tabla1[[#This Row],[SIP]],I:I)-Tabla1[[#This Row],[Kerma en aire acumulada (Gy)]],"")</f>
        <v>0.37699999999999978</v>
      </c>
    </row>
    <row r="315" spans="3:27">
      <c r="C315" s="94" t="str">
        <f t="shared" si="34"/>
        <v>Adulto</v>
      </c>
      <c r="D315" s="95" t="s">
        <v>957</v>
      </c>
      <c r="E315" s="95" t="s">
        <v>958</v>
      </c>
      <c r="F315" s="95" t="s">
        <v>585</v>
      </c>
      <c r="G315" s="95">
        <v>2867240</v>
      </c>
      <c r="H315" s="96">
        <v>44358</v>
      </c>
      <c r="I315" s="95">
        <v>4.3999999999999997E-2</v>
      </c>
      <c r="J315" s="95"/>
      <c r="K315" s="95"/>
      <c r="L315" s="95"/>
      <c r="M315" s="95"/>
      <c r="N315" s="95"/>
      <c r="O315" s="95"/>
      <c r="P315" s="95"/>
      <c r="Q315" s="95"/>
      <c r="R315" s="95"/>
      <c r="S315" s="95"/>
      <c r="T315" s="96">
        <v>17864</v>
      </c>
      <c r="U315" s="95"/>
      <c r="V315" s="95" t="s">
        <v>143</v>
      </c>
      <c r="W315" s="154"/>
      <c r="X315" s="154"/>
      <c r="Y315" s="154"/>
      <c r="Z315" s="97"/>
      <c r="AA315" t="str">
        <f>IF(Tabla1[[#This Row],[Kerma en aire acumulada (Gy)]]&gt;1,SUMIF(G:G,Tabla1[[#This Row],[SIP]],I:I)-Tabla1[[#This Row],[Kerma en aire acumulada (Gy)]],"")</f>
        <v/>
      </c>
    </row>
    <row r="316" spans="3:27">
      <c r="C316" s="94" t="str">
        <f t="shared" si="34"/>
        <v>Adulto</v>
      </c>
      <c r="D316" s="95" t="s">
        <v>914</v>
      </c>
      <c r="E316" s="95" t="s">
        <v>914</v>
      </c>
      <c r="F316" s="95" t="s">
        <v>83</v>
      </c>
      <c r="G316" s="95">
        <v>3065592</v>
      </c>
      <c r="H316" s="96">
        <v>44358</v>
      </c>
      <c r="I316" s="95">
        <v>2.2810000000000001</v>
      </c>
      <c r="J316" s="95"/>
      <c r="K316" s="95"/>
      <c r="L316" s="95"/>
      <c r="M316" s="95"/>
      <c r="N316" s="95"/>
      <c r="O316" s="95"/>
      <c r="P316" s="95"/>
      <c r="Q316" s="95"/>
      <c r="R316" s="95"/>
      <c r="S316" s="95"/>
      <c r="T316" s="96">
        <v>13632</v>
      </c>
      <c r="U316" s="95"/>
      <c r="V316" s="95" t="s">
        <v>563</v>
      </c>
      <c r="W316" s="232" t="str">
        <f>CONCATENATE(D316,$A$591,E316,",",F316)</f>
        <v>Bellver Bellver,Francisco</v>
      </c>
      <c r="X316" s="154">
        <f>MONTH(H316)</f>
        <v>6</v>
      </c>
      <c r="Y316" s="154"/>
      <c r="Z316" s="97"/>
      <c r="AA316">
        <f>IF(Tabla1[[#This Row],[Kerma en aire acumulada (Gy)]]&gt;1,SUMIF(G:G,Tabla1[[#This Row],[SIP]],I:I)-Tabla1[[#This Row],[Kerma en aire acumulada (Gy)]],"")</f>
        <v>0</v>
      </c>
    </row>
    <row r="317" spans="3:27">
      <c r="C317" s="94" t="str">
        <f t="shared" si="34"/>
        <v>Adulto</v>
      </c>
      <c r="D317" s="95" t="s">
        <v>960</v>
      </c>
      <c r="E317" s="95" t="s">
        <v>66</v>
      </c>
      <c r="F317" s="95" t="s">
        <v>961</v>
      </c>
      <c r="G317" s="95">
        <v>2271653</v>
      </c>
      <c r="H317" s="96">
        <v>44359</v>
      </c>
      <c r="I317" s="95">
        <v>0.92100000000000004</v>
      </c>
      <c r="J317" s="95"/>
      <c r="K317" s="95"/>
      <c r="L317" s="95"/>
      <c r="M317" s="95"/>
      <c r="N317" s="95"/>
      <c r="O317" s="95"/>
      <c r="P317" s="95"/>
      <c r="Q317" s="95"/>
      <c r="R317" s="95"/>
      <c r="S317" s="95"/>
      <c r="T317" s="96">
        <v>19028</v>
      </c>
      <c r="U317" s="95"/>
      <c r="V317" s="95" t="s">
        <v>924</v>
      </c>
      <c r="W317" s="154"/>
      <c r="X317" s="154"/>
      <c r="Y317" s="154"/>
      <c r="Z317" s="97"/>
      <c r="AA317" t="str">
        <f>IF(Tabla1[[#This Row],[Kerma en aire acumulada (Gy)]]&gt;1,SUMIF(G:G,Tabla1[[#This Row],[SIP]],I:I)-Tabla1[[#This Row],[Kerma en aire acumulada (Gy)]],"")</f>
        <v/>
      </c>
    </row>
    <row r="318" spans="3:27">
      <c r="C318" s="89" t="str">
        <f t="shared" si="34"/>
        <v>Adulto</v>
      </c>
      <c r="D318" s="90" t="s">
        <v>922</v>
      </c>
      <c r="E318" s="90"/>
      <c r="F318" s="90" t="s">
        <v>923</v>
      </c>
      <c r="G318" s="90">
        <v>13147895</v>
      </c>
      <c r="H318" s="91">
        <v>44360</v>
      </c>
      <c r="I318" s="90">
        <v>0.121</v>
      </c>
      <c r="J318" s="90"/>
      <c r="K318" s="90"/>
      <c r="L318" s="90"/>
      <c r="M318" s="90"/>
      <c r="N318" s="90"/>
      <c r="O318" s="90"/>
      <c r="P318" s="90"/>
      <c r="Q318" s="90"/>
      <c r="R318" s="90"/>
      <c r="S318" s="90"/>
      <c r="T318" s="91">
        <v>37284</v>
      </c>
      <c r="U318" s="90"/>
      <c r="V318" s="90" t="s">
        <v>924</v>
      </c>
      <c r="W318" s="233" t="str">
        <f>CONCATENATE(D318,$A$591,E318,",",F318)</f>
        <v>Yahaya ,Khairullamirin Bin</v>
      </c>
      <c r="X318" s="202">
        <f>MONTH(H318)</f>
        <v>6</v>
      </c>
      <c r="Y318" s="202">
        <f>YEAR(H318)</f>
        <v>2021</v>
      </c>
      <c r="Z318" s="93"/>
      <c r="AA318" t="str">
        <f>IF(Tabla1[[#This Row],[Kerma en aire acumulada (Gy)]]&gt;1,SUMIF(G:G,Tabla1[[#This Row],[SIP]],I:I)-Tabla1[[#This Row],[Kerma en aire acumulada (Gy)]],"")</f>
        <v/>
      </c>
    </row>
    <row r="319" spans="3:27">
      <c r="C319" s="89" t="str">
        <f t="shared" si="34"/>
        <v>Adulto</v>
      </c>
      <c r="D319" s="90" t="s">
        <v>918</v>
      </c>
      <c r="E319" s="90" t="s">
        <v>919</v>
      </c>
      <c r="F319" s="90" t="s">
        <v>165</v>
      </c>
      <c r="G319" s="90">
        <v>4335475</v>
      </c>
      <c r="H319" s="91">
        <v>44361</v>
      </c>
      <c r="I319" s="90">
        <v>1.837</v>
      </c>
      <c r="J319" s="90"/>
      <c r="K319" s="90"/>
      <c r="L319" s="90"/>
      <c r="M319" s="90"/>
      <c r="N319" s="90"/>
      <c r="O319" s="90"/>
      <c r="P319" s="90"/>
      <c r="Q319" s="90"/>
      <c r="R319" s="90"/>
      <c r="S319" s="90"/>
      <c r="T319" s="91">
        <v>20475</v>
      </c>
      <c r="U319" s="90"/>
      <c r="V319" s="90" t="s">
        <v>89</v>
      </c>
      <c r="W319" s="233" t="str">
        <f>CONCATENATE(D319,$A$591,E319,",",F319)</f>
        <v>Tarrazona Chover,Joaquín</v>
      </c>
      <c r="X319" s="202">
        <f>MONTH(H319)</f>
        <v>6</v>
      </c>
      <c r="Y319" s="202">
        <f>YEAR(H319)</f>
        <v>2021</v>
      </c>
      <c r="Z319" s="93"/>
      <c r="AA319">
        <f>IF(Tabla1[[#This Row],[Kerma en aire acumulada (Gy)]]&gt;1,SUMIF(G:G,Tabla1[[#This Row],[SIP]],I:I)-Tabla1[[#This Row],[Kerma en aire acumulada (Gy)]],"")</f>
        <v>0</v>
      </c>
    </row>
    <row r="320" spans="3:27">
      <c r="C320" s="94" t="str">
        <f t="shared" si="34"/>
        <v>Adulto</v>
      </c>
      <c r="D320" s="95" t="s">
        <v>945</v>
      </c>
      <c r="E320" s="95" t="s">
        <v>946</v>
      </c>
      <c r="F320" s="95" t="s">
        <v>300</v>
      </c>
      <c r="G320" s="95">
        <v>3552115</v>
      </c>
      <c r="H320" s="96">
        <v>44361</v>
      </c>
      <c r="I320" s="95">
        <v>0.878</v>
      </c>
      <c r="J320" s="95"/>
      <c r="K320" s="95"/>
      <c r="L320" s="95"/>
      <c r="M320" s="95"/>
      <c r="N320" s="95"/>
      <c r="O320" s="95"/>
      <c r="P320" s="95"/>
      <c r="Q320" s="95"/>
      <c r="R320" s="95"/>
      <c r="S320" s="95"/>
      <c r="T320" s="96">
        <v>22670</v>
      </c>
      <c r="U320" s="95"/>
      <c r="V320" s="95" t="s">
        <v>89</v>
      </c>
      <c r="W320" s="154"/>
      <c r="X320" s="154"/>
      <c r="Y320" s="154"/>
      <c r="Z320" s="97"/>
      <c r="AA320" t="str">
        <f>IF(Tabla1[[#This Row],[Kerma en aire acumulada (Gy)]]&gt;1,SUMIF(G:G,Tabla1[[#This Row],[SIP]],I:I)-Tabla1[[#This Row],[Kerma en aire acumulada (Gy)]],"")</f>
        <v/>
      </c>
    </row>
    <row r="321" spans="3:27">
      <c r="C321" s="94" t="str">
        <f t="shared" si="34"/>
        <v>Adulto</v>
      </c>
      <c r="D321" s="95" t="s">
        <v>945</v>
      </c>
      <c r="E321" s="95" t="s">
        <v>946</v>
      </c>
      <c r="F321" s="95" t="s">
        <v>300</v>
      </c>
      <c r="G321" s="95">
        <v>3552115</v>
      </c>
      <c r="H321" s="96">
        <v>44361</v>
      </c>
      <c r="I321" s="95">
        <v>6.9000000000000006E-2</v>
      </c>
      <c r="J321" s="95"/>
      <c r="K321" s="95"/>
      <c r="L321" s="95"/>
      <c r="M321" s="95"/>
      <c r="N321" s="95"/>
      <c r="O321" s="95"/>
      <c r="P321" s="95"/>
      <c r="Q321" s="95"/>
      <c r="R321" s="95"/>
      <c r="S321" s="95"/>
      <c r="T321" s="96">
        <v>22670</v>
      </c>
      <c r="U321" s="95"/>
      <c r="V321" s="95" t="s">
        <v>100</v>
      </c>
      <c r="W321" s="154"/>
      <c r="X321" s="154"/>
      <c r="Y321" s="154"/>
      <c r="Z321" s="97"/>
      <c r="AA321" t="str">
        <f>IF(Tabla1[[#This Row],[Kerma en aire acumulada (Gy)]]&gt;1,SUMIF(G:G,Tabla1[[#This Row],[SIP]],I:I)-Tabla1[[#This Row],[Kerma en aire acumulada (Gy)]],"")</f>
        <v/>
      </c>
    </row>
    <row r="322" spans="3:27">
      <c r="C322" s="89" t="str">
        <f t="shared" si="34"/>
        <v>Adulto</v>
      </c>
      <c r="D322" s="90" t="s">
        <v>6</v>
      </c>
      <c r="E322" s="90" t="s">
        <v>921</v>
      </c>
      <c r="F322" s="90" t="s">
        <v>774</v>
      </c>
      <c r="G322" s="90">
        <v>2847917</v>
      </c>
      <c r="H322" s="91">
        <v>44361</v>
      </c>
      <c r="I322" s="90">
        <v>0.105</v>
      </c>
      <c r="J322" s="90"/>
      <c r="K322" s="90"/>
      <c r="L322" s="90"/>
      <c r="M322" s="90"/>
      <c r="N322" s="90"/>
      <c r="O322" s="90"/>
      <c r="P322" s="90"/>
      <c r="Q322" s="90"/>
      <c r="R322" s="90"/>
      <c r="S322" s="90"/>
      <c r="T322" s="91">
        <v>15378</v>
      </c>
      <c r="U322" s="90"/>
      <c r="V322" s="90" t="s">
        <v>502</v>
      </c>
      <c r="W322" s="202"/>
      <c r="X322" s="202"/>
      <c r="Y322" s="202"/>
      <c r="Z322" s="93"/>
      <c r="AA322" t="str">
        <f>IF(Tabla1[[#This Row],[Kerma en aire acumulada (Gy)]]&gt;1,SUMIF(G:G,Tabla1[[#This Row],[SIP]],I:I)-Tabla1[[#This Row],[Kerma en aire acumulada (Gy)]],"")</f>
        <v/>
      </c>
    </row>
    <row r="323" spans="3:27">
      <c r="C323" s="94" t="str">
        <f t="shared" si="34"/>
        <v>Adulto</v>
      </c>
      <c r="D323" s="95" t="s">
        <v>931</v>
      </c>
      <c r="E323" s="95" t="s">
        <v>985</v>
      </c>
      <c r="F323" s="95" t="s">
        <v>932</v>
      </c>
      <c r="G323" s="95">
        <v>2950417</v>
      </c>
      <c r="H323" s="96">
        <v>44362</v>
      </c>
      <c r="I323" s="95">
        <v>0.05</v>
      </c>
      <c r="J323" s="95"/>
      <c r="K323" s="95"/>
      <c r="L323" s="95"/>
      <c r="M323" s="95"/>
      <c r="N323" s="95"/>
      <c r="O323" s="95"/>
      <c r="P323" s="95"/>
      <c r="Q323" s="95"/>
      <c r="R323" s="95"/>
      <c r="S323" s="95"/>
      <c r="T323" s="96">
        <v>27051</v>
      </c>
      <c r="U323" s="95"/>
      <c r="V323" s="95" t="s">
        <v>552</v>
      </c>
      <c r="W323" s="232" t="str">
        <f>CONCATENATE(D323,$A$591,E323,",",F323)</f>
        <v>Zalve Plaza,M Imperio</v>
      </c>
      <c r="X323" s="154">
        <f>MONTH(H323)</f>
        <v>6</v>
      </c>
      <c r="Y323" s="154">
        <f>YEAR(H323)</f>
        <v>2021</v>
      </c>
      <c r="Z323" s="97"/>
      <c r="AA323" t="str">
        <f>IF(Tabla1[[#This Row],[Kerma en aire acumulada (Gy)]]&gt;1,SUMIF(G:G,Tabla1[[#This Row],[SIP]],I:I)-Tabla1[[#This Row],[Kerma en aire acumulada (Gy)]],"")</f>
        <v/>
      </c>
    </row>
    <row r="324" spans="3:27" ht="15.75" thickBot="1">
      <c r="C324" s="193" t="str">
        <f t="shared" si="34"/>
        <v>Adulto</v>
      </c>
      <c r="D324" s="181" t="s">
        <v>22</v>
      </c>
      <c r="E324" s="181" t="s">
        <v>337</v>
      </c>
      <c r="F324" s="181" t="s">
        <v>831</v>
      </c>
      <c r="G324" s="181">
        <v>11132037</v>
      </c>
      <c r="H324" s="194">
        <v>44362</v>
      </c>
      <c r="I324" s="181">
        <v>0.13</v>
      </c>
      <c r="J324" s="181"/>
      <c r="K324" s="181"/>
      <c r="L324" s="181"/>
      <c r="M324" s="181"/>
      <c r="N324" s="181"/>
      <c r="O324" s="181"/>
      <c r="P324" s="181"/>
      <c r="Q324" s="181"/>
      <c r="R324" s="181"/>
      <c r="S324" s="181"/>
      <c r="T324" s="194">
        <v>23595</v>
      </c>
      <c r="U324" s="181"/>
      <c r="V324" s="181" t="s">
        <v>841</v>
      </c>
      <c r="W324" s="235" t="str">
        <f>CONCATENATE(D324,$A$591,E324,",",F324)</f>
        <v>Ruiz Garrido,Encarnación</v>
      </c>
      <c r="X324" s="209"/>
      <c r="Y324" s="209"/>
      <c r="Z324" s="164"/>
      <c r="AA324" t="str">
        <f>IF(Tabla1[[#This Row],[Kerma en aire acumulada (Gy)]]&gt;1,SUMIF(G:G,Tabla1[[#This Row],[SIP]],I:I)-Tabla1[[#This Row],[Kerma en aire acumulada (Gy)]],"")</f>
        <v/>
      </c>
    </row>
    <row r="325" spans="3:27">
      <c r="C325" s="155" t="str">
        <f t="shared" si="34"/>
        <v>Adulto</v>
      </c>
      <c r="D325" s="154" t="s">
        <v>915</v>
      </c>
      <c r="E325" s="154" t="s">
        <v>916</v>
      </c>
      <c r="F325" s="154" t="s">
        <v>102</v>
      </c>
      <c r="G325" s="154">
        <v>2381654</v>
      </c>
      <c r="H325" s="156">
        <v>44362</v>
      </c>
      <c r="I325" s="154">
        <v>0.88500000000000001</v>
      </c>
      <c r="J325" s="154"/>
      <c r="K325" s="154"/>
      <c r="L325" s="154"/>
      <c r="M325" s="154"/>
      <c r="N325" s="154"/>
      <c r="O325" s="154"/>
      <c r="P325" s="154"/>
      <c r="Q325" s="154"/>
      <c r="R325" s="154"/>
      <c r="S325" s="154"/>
      <c r="T325" s="156">
        <v>22359</v>
      </c>
      <c r="U325" s="154"/>
      <c r="V325" s="154" t="s">
        <v>89</v>
      </c>
      <c r="W325" s="232" t="str">
        <f>CONCATENATE(D325,$A$591,E325,",",F325)</f>
        <v>Gimenez Salazar,José</v>
      </c>
      <c r="X325" s="154"/>
      <c r="Y325" s="154"/>
      <c r="Z325" s="174"/>
      <c r="AA325" t="str">
        <f>IF(Tabla1[[#This Row],[Kerma en aire acumulada (Gy)]]&gt;1,SUMIF(G:G,Tabla1[[#This Row],[SIP]],I:I)-Tabla1[[#This Row],[Kerma en aire acumulada (Gy)]],"")</f>
        <v/>
      </c>
    </row>
    <row r="326" spans="3:27">
      <c r="C326" s="89" t="str">
        <f t="shared" si="34"/>
        <v>Adulto</v>
      </c>
      <c r="D326" s="90" t="s">
        <v>368</v>
      </c>
      <c r="E326" s="90" t="s">
        <v>920</v>
      </c>
      <c r="F326" s="90" t="s">
        <v>57</v>
      </c>
      <c r="G326" s="90">
        <v>8133802</v>
      </c>
      <c r="H326" s="91">
        <v>44362</v>
      </c>
      <c r="I326" s="90">
        <v>0.60599999999999998</v>
      </c>
      <c r="J326" s="90"/>
      <c r="K326" s="90"/>
      <c r="L326" s="90"/>
      <c r="M326" s="90"/>
      <c r="N326" s="90"/>
      <c r="O326" s="90"/>
      <c r="P326" s="90"/>
      <c r="Q326" s="90"/>
      <c r="R326" s="90"/>
      <c r="S326" s="90"/>
      <c r="T326" s="91">
        <v>33940</v>
      </c>
      <c r="U326" s="90"/>
      <c r="V326" s="90" t="s">
        <v>544</v>
      </c>
      <c r="W326" s="202"/>
      <c r="X326" s="202"/>
      <c r="Y326" s="202"/>
      <c r="Z326" s="93"/>
      <c r="AA326" t="str">
        <f>IF(Tabla1[[#This Row],[Kerma en aire acumulada (Gy)]]&gt;1,SUMIF(G:G,Tabla1[[#This Row],[SIP]],I:I)-Tabla1[[#This Row],[Kerma en aire acumulada (Gy)]],"")</f>
        <v/>
      </c>
    </row>
    <row r="327" spans="3:27">
      <c r="C327" s="94" t="str">
        <f t="shared" si="34"/>
        <v>Adulto</v>
      </c>
      <c r="D327" s="95" t="s">
        <v>320</v>
      </c>
      <c r="E327" s="95" t="s">
        <v>29</v>
      </c>
      <c r="F327" s="95" t="s">
        <v>959</v>
      </c>
      <c r="G327" s="95">
        <v>2955837</v>
      </c>
      <c r="H327" s="96">
        <v>44362</v>
      </c>
      <c r="I327" s="95">
        <v>0.41199999999999998</v>
      </c>
      <c r="J327" s="95"/>
      <c r="K327" s="95"/>
      <c r="L327" s="95"/>
      <c r="M327" s="95"/>
      <c r="N327" s="95"/>
      <c r="O327" s="95"/>
      <c r="P327" s="95"/>
      <c r="Q327" s="95"/>
      <c r="R327" s="95"/>
      <c r="S327" s="95"/>
      <c r="T327" s="96">
        <v>22651</v>
      </c>
      <c r="U327" s="95"/>
      <c r="V327" s="95" t="s">
        <v>89</v>
      </c>
      <c r="W327" s="154"/>
      <c r="X327" s="154"/>
      <c r="Y327" s="154"/>
      <c r="Z327" s="97"/>
      <c r="AA327" t="str">
        <f>IF(Tabla1[[#This Row],[Kerma en aire acumulada (Gy)]]&gt;1,SUMIF(G:G,Tabla1[[#This Row],[SIP]],I:I)-Tabla1[[#This Row],[Kerma en aire acumulada (Gy)]],"")</f>
        <v/>
      </c>
    </row>
    <row r="328" spans="3:27">
      <c r="C328" s="94" t="str">
        <f t="shared" si="34"/>
        <v>Adulto</v>
      </c>
      <c r="D328" s="95" t="s">
        <v>937</v>
      </c>
      <c r="E328" s="95" t="s">
        <v>938</v>
      </c>
      <c r="F328" s="95" t="s">
        <v>939</v>
      </c>
      <c r="G328" s="95">
        <v>1746391</v>
      </c>
      <c r="H328" s="96">
        <v>44363</v>
      </c>
      <c r="I328" s="95">
        <v>0.56999999999999995</v>
      </c>
      <c r="J328" s="95"/>
      <c r="K328" s="95"/>
      <c r="L328" s="95"/>
      <c r="M328" s="95"/>
      <c r="N328" s="95"/>
      <c r="O328" s="95"/>
      <c r="P328" s="95"/>
      <c r="Q328" s="95"/>
      <c r="R328" s="95"/>
      <c r="S328" s="95"/>
      <c r="T328" s="96">
        <v>21861</v>
      </c>
      <c r="U328" s="95"/>
      <c r="V328" s="95" t="s">
        <v>940</v>
      </c>
      <c r="W328" s="154"/>
      <c r="X328" s="154"/>
      <c r="Y328" s="154"/>
      <c r="Z328" s="97"/>
      <c r="AA328" t="str">
        <f>IF(Tabla1[[#This Row],[Kerma en aire acumulada (Gy)]]&gt;1,SUMIF(G:G,Tabla1[[#This Row],[SIP]],I:I)-Tabla1[[#This Row],[Kerma en aire acumulada (Gy)]],"")</f>
        <v/>
      </c>
    </row>
    <row r="329" spans="3:27">
      <c r="C329" s="89" t="str">
        <f t="shared" ref="C329:C392" si="38">IF(OR(H329="",T329=""),"",IF((H329-T329)/12/30&lt;18,"Pediátrico","Adulto"))</f>
        <v>Adulto</v>
      </c>
      <c r="D329" s="90" t="s">
        <v>22</v>
      </c>
      <c r="E329" s="90" t="s">
        <v>337</v>
      </c>
      <c r="F329" s="90" t="s">
        <v>831</v>
      </c>
      <c r="G329" s="90">
        <v>11132037</v>
      </c>
      <c r="H329" s="91">
        <v>44363</v>
      </c>
      <c r="I329" s="90">
        <v>6.7000000000000004E-2</v>
      </c>
      <c r="J329" s="90"/>
      <c r="K329" s="90"/>
      <c r="L329" s="90"/>
      <c r="M329" s="90"/>
      <c r="N329" s="90"/>
      <c r="O329" s="90"/>
      <c r="P329" s="90"/>
      <c r="Q329" s="90"/>
      <c r="R329" s="90"/>
      <c r="S329" s="90"/>
      <c r="T329" s="91">
        <v>23595</v>
      </c>
      <c r="U329" s="90"/>
      <c r="V329" s="90" t="s">
        <v>143</v>
      </c>
      <c r="W329" s="233" t="str">
        <f>CONCATENATE(D329,$A$591,E329,",",F329)</f>
        <v>Ruiz Garrido,Encarnación</v>
      </c>
      <c r="X329" s="202"/>
      <c r="Y329" s="202"/>
      <c r="Z329" s="93"/>
      <c r="AA329" t="str">
        <f>IF(Tabla1[[#This Row],[Kerma en aire acumulada (Gy)]]&gt;1,SUMIF(G:G,Tabla1[[#This Row],[SIP]],I:I)-Tabla1[[#This Row],[Kerma en aire acumulada (Gy)]],"")</f>
        <v/>
      </c>
    </row>
    <row r="330" spans="3:27">
      <c r="C330" s="94" t="str">
        <f t="shared" si="38"/>
        <v>Adulto</v>
      </c>
      <c r="D330" s="95" t="s">
        <v>104</v>
      </c>
      <c r="E330" s="95" t="s">
        <v>927</v>
      </c>
      <c r="F330" s="95" t="s">
        <v>928</v>
      </c>
      <c r="G330" s="95">
        <v>3363411</v>
      </c>
      <c r="H330" s="96">
        <v>44363</v>
      </c>
      <c r="I330" s="95">
        <v>0.123</v>
      </c>
      <c r="J330" s="95"/>
      <c r="K330" s="95"/>
      <c r="L330" s="95"/>
      <c r="M330" s="95"/>
      <c r="N330" s="95"/>
      <c r="O330" s="95"/>
      <c r="P330" s="95"/>
      <c r="Q330" s="95"/>
      <c r="R330" s="95"/>
      <c r="S330" s="95"/>
      <c r="T330" s="96">
        <v>17561</v>
      </c>
      <c r="U330" s="95"/>
      <c r="V330" s="95" t="s">
        <v>929</v>
      </c>
      <c r="W330" s="154"/>
      <c r="X330" s="154"/>
      <c r="Y330" s="154"/>
      <c r="Z330" s="97"/>
      <c r="AA330" t="str">
        <f>IF(Tabla1[[#This Row],[Kerma en aire acumulada (Gy)]]&gt;1,SUMIF(G:G,Tabla1[[#This Row],[SIP]],I:I)-Tabla1[[#This Row],[Kerma en aire acumulada (Gy)]],"")</f>
        <v/>
      </c>
    </row>
    <row r="331" spans="3:27">
      <c r="C331" s="89" t="str">
        <f t="shared" si="38"/>
        <v>Adulto</v>
      </c>
      <c r="D331" s="90" t="s">
        <v>787</v>
      </c>
      <c r="E331" s="90" t="s">
        <v>925</v>
      </c>
      <c r="F331" s="90" t="s">
        <v>926</v>
      </c>
      <c r="G331" s="90">
        <v>2531319</v>
      </c>
      <c r="H331" s="91">
        <v>44363</v>
      </c>
      <c r="I331" s="90">
        <v>0.36399999999999999</v>
      </c>
      <c r="J331" s="90"/>
      <c r="K331" s="90"/>
      <c r="L331" s="90"/>
      <c r="M331" s="90"/>
      <c r="N331" s="90"/>
      <c r="O331" s="90"/>
      <c r="P331" s="90"/>
      <c r="Q331" s="90"/>
      <c r="R331" s="90"/>
      <c r="S331" s="90"/>
      <c r="T331" s="91">
        <v>23057</v>
      </c>
      <c r="U331" s="90"/>
      <c r="V331" s="90" t="s">
        <v>586</v>
      </c>
      <c r="W331" s="202"/>
      <c r="X331" s="202"/>
      <c r="Y331" s="202"/>
      <c r="Z331" s="93"/>
      <c r="AA331" t="str">
        <f>IF(Tabla1[[#This Row],[Kerma en aire acumulada (Gy)]]&gt;1,SUMIF(G:G,Tabla1[[#This Row],[SIP]],I:I)-Tabla1[[#This Row],[Kerma en aire acumulada (Gy)]],"")</f>
        <v/>
      </c>
    </row>
    <row r="332" spans="3:27">
      <c r="C332" s="89" t="str">
        <f t="shared" si="38"/>
        <v>Adulto</v>
      </c>
      <c r="D332" s="90" t="s">
        <v>935</v>
      </c>
      <c r="E332" s="90" t="s">
        <v>368</v>
      </c>
      <c r="F332" s="90" t="s">
        <v>936</v>
      </c>
      <c r="G332" s="90">
        <v>2653819</v>
      </c>
      <c r="H332" s="91">
        <v>44364</v>
      </c>
      <c r="I332" s="90">
        <v>0.30499999999999999</v>
      </c>
      <c r="J332" s="90"/>
      <c r="K332" s="90"/>
      <c r="L332" s="90"/>
      <c r="M332" s="90"/>
      <c r="N332" s="90"/>
      <c r="O332" s="90"/>
      <c r="P332" s="90"/>
      <c r="Q332" s="90"/>
      <c r="R332" s="90"/>
      <c r="S332" s="90"/>
      <c r="T332" s="91">
        <v>30621</v>
      </c>
      <c r="U332" s="90"/>
      <c r="V332" s="90" t="s">
        <v>812</v>
      </c>
      <c r="W332" s="202"/>
      <c r="X332" s="202"/>
      <c r="Y332" s="202"/>
      <c r="Z332" s="93"/>
      <c r="AA332" t="str">
        <f>IF(Tabla1[[#This Row],[Kerma en aire acumulada (Gy)]]&gt;1,SUMIF(G:G,Tabla1[[#This Row],[SIP]],I:I)-Tabla1[[#This Row],[Kerma en aire acumulada (Gy)]],"")</f>
        <v/>
      </c>
    </row>
    <row r="333" spans="3:27">
      <c r="C333" s="89" t="str">
        <f t="shared" si="38"/>
        <v>Adulto</v>
      </c>
      <c r="D333" s="90" t="s">
        <v>665</v>
      </c>
      <c r="E333" s="90" t="s">
        <v>109</v>
      </c>
      <c r="F333" s="90" t="s">
        <v>83</v>
      </c>
      <c r="G333" s="90">
        <v>4334183</v>
      </c>
      <c r="H333" s="91">
        <v>44364</v>
      </c>
      <c r="I333" s="111">
        <v>2.99</v>
      </c>
      <c r="J333" s="90"/>
      <c r="K333" s="90"/>
      <c r="L333" s="90"/>
      <c r="M333" s="90"/>
      <c r="N333" s="90"/>
      <c r="O333" s="90"/>
      <c r="P333" s="90"/>
      <c r="Q333" s="90"/>
      <c r="R333" s="90"/>
      <c r="S333" s="90"/>
      <c r="T333" s="91">
        <v>18321</v>
      </c>
      <c r="U333" s="90"/>
      <c r="V333" s="90" t="s">
        <v>166</v>
      </c>
      <c r="W333" s="233" t="str">
        <f>CONCATENATE(D333,$A$591,E333,",",F333)</f>
        <v>Iranzo Ibáñez,Francisco</v>
      </c>
      <c r="X333" s="202"/>
      <c r="Y333" s="202"/>
      <c r="Z333" s="93"/>
      <c r="AA333">
        <f>IF(Tabla1[[#This Row],[Kerma en aire acumulada (Gy)]]&gt;1,SUMIF(G:G,Tabla1[[#This Row],[SIP]],I:I)-Tabla1[[#This Row],[Kerma en aire acumulada (Gy)]],"")</f>
        <v>0.34389000000000003</v>
      </c>
    </row>
    <row r="334" spans="3:27">
      <c r="C334" s="94" t="str">
        <f t="shared" si="38"/>
        <v>Adulto</v>
      </c>
      <c r="D334" s="95" t="s">
        <v>930</v>
      </c>
      <c r="E334" s="95" t="s">
        <v>648</v>
      </c>
      <c r="F334" s="95" t="s">
        <v>333</v>
      </c>
      <c r="G334" s="95">
        <v>2426762</v>
      </c>
      <c r="H334" s="96">
        <v>44364</v>
      </c>
      <c r="I334" s="95">
        <v>0.748</v>
      </c>
      <c r="J334" s="95"/>
      <c r="K334" s="95"/>
      <c r="L334" s="95"/>
      <c r="M334" s="95"/>
      <c r="N334" s="95"/>
      <c r="O334" s="95"/>
      <c r="P334" s="95"/>
      <c r="Q334" s="95"/>
      <c r="R334" s="95"/>
      <c r="S334" s="95"/>
      <c r="T334" s="96">
        <v>21646</v>
      </c>
      <c r="U334" s="95"/>
      <c r="V334" s="95" t="s">
        <v>505</v>
      </c>
      <c r="W334" s="154"/>
      <c r="X334" s="154"/>
      <c r="Y334" s="154"/>
      <c r="Z334" s="97"/>
      <c r="AA334" t="str">
        <f>IF(Tabla1[[#This Row],[Kerma en aire acumulada (Gy)]]&gt;1,SUMIF(G:G,Tabla1[[#This Row],[SIP]],I:I)-Tabla1[[#This Row],[Kerma en aire acumulada (Gy)]],"")</f>
        <v/>
      </c>
    </row>
    <row r="335" spans="3:27">
      <c r="C335" s="89" t="str">
        <f t="shared" si="38"/>
        <v>Adulto</v>
      </c>
      <c r="D335" s="90" t="s">
        <v>917</v>
      </c>
      <c r="E335" s="90" t="s">
        <v>368</v>
      </c>
      <c r="F335" s="90" t="s">
        <v>150</v>
      </c>
      <c r="G335" s="90">
        <v>13116229</v>
      </c>
      <c r="H335" s="91">
        <v>44364</v>
      </c>
      <c r="I335" s="90">
        <f>76.24/1000</f>
        <v>7.6239999999999988E-2</v>
      </c>
      <c r="J335" s="90"/>
      <c r="K335" s="90"/>
      <c r="L335" s="90"/>
      <c r="M335" s="90"/>
      <c r="N335" s="90"/>
      <c r="O335" s="90"/>
      <c r="P335" s="90"/>
      <c r="Q335" s="90"/>
      <c r="R335" s="90"/>
      <c r="S335" s="90"/>
      <c r="T335" s="91">
        <v>30903</v>
      </c>
      <c r="U335" s="90"/>
      <c r="V335" s="90" t="s">
        <v>107</v>
      </c>
      <c r="W335" s="233" t="str">
        <f>CONCATENATE(D335,$A$591,E335,",",F335)</f>
        <v>Carmona García,Paloma</v>
      </c>
      <c r="X335" s="202"/>
      <c r="Y335" s="202"/>
      <c r="Z335" s="93"/>
      <c r="AA335" t="str">
        <f>IF(Tabla1[[#This Row],[Kerma en aire acumulada (Gy)]]&gt;1,SUMIF(G:G,Tabla1[[#This Row],[SIP]],I:I)-Tabla1[[#This Row],[Kerma en aire acumulada (Gy)]],"")</f>
        <v/>
      </c>
    </row>
    <row r="336" spans="3:27">
      <c r="C336" s="94" t="str">
        <f t="shared" si="38"/>
        <v>Adulto</v>
      </c>
      <c r="D336" s="95" t="s">
        <v>761</v>
      </c>
      <c r="E336" s="95" t="s">
        <v>762</v>
      </c>
      <c r="F336" s="95" t="s">
        <v>763</v>
      </c>
      <c r="G336" s="95">
        <v>2309540</v>
      </c>
      <c r="H336" s="96">
        <v>44364</v>
      </c>
      <c r="I336" s="95">
        <v>0.182</v>
      </c>
      <c r="J336" s="95"/>
      <c r="K336" s="95"/>
      <c r="L336" s="95"/>
      <c r="M336" s="95"/>
      <c r="N336" s="95"/>
      <c r="O336" s="95"/>
      <c r="P336" s="95"/>
      <c r="Q336" s="95"/>
      <c r="R336" s="95"/>
      <c r="S336" s="95"/>
      <c r="T336" s="96">
        <v>21473</v>
      </c>
      <c r="U336" s="95"/>
      <c r="V336" s="95" t="s">
        <v>735</v>
      </c>
      <c r="W336" s="154"/>
      <c r="X336" s="154"/>
      <c r="Y336" s="154"/>
      <c r="Z336" s="97"/>
      <c r="AA336" t="str">
        <f>IF(Tabla1[[#This Row],[Kerma en aire acumulada (Gy)]]&gt;1,SUMIF(G:G,Tabla1[[#This Row],[SIP]],I:I)-Tabla1[[#This Row],[Kerma en aire acumulada (Gy)]],"")</f>
        <v/>
      </c>
    </row>
    <row r="337" spans="3:27">
      <c r="C337" s="94" t="str">
        <f t="shared" si="38"/>
        <v>Adulto</v>
      </c>
      <c r="D337" s="95" t="s">
        <v>800</v>
      </c>
      <c r="E337" s="95" t="s">
        <v>981</v>
      </c>
      <c r="F337" s="95" t="s">
        <v>963</v>
      </c>
      <c r="G337" s="95">
        <v>3266794</v>
      </c>
      <c r="H337" s="96">
        <v>44365</v>
      </c>
      <c r="I337" s="95">
        <v>0.84399999999999997</v>
      </c>
      <c r="J337" s="95"/>
      <c r="K337" s="95"/>
      <c r="L337" s="95"/>
      <c r="M337" s="95"/>
      <c r="N337" s="95"/>
      <c r="O337" s="95"/>
      <c r="P337" s="95"/>
      <c r="Q337" s="95"/>
      <c r="R337" s="95"/>
      <c r="S337" s="95"/>
      <c r="T337" s="96">
        <v>16861</v>
      </c>
      <c r="U337" s="95"/>
      <c r="V337" s="95" t="s">
        <v>550</v>
      </c>
      <c r="W337" s="232" t="str">
        <f>CONCATENATE(D337,$A$591,E337,",",F337)</f>
        <v>Zamora Herraiz,Primitivo</v>
      </c>
      <c r="X337" s="154">
        <f>MONTH(H337)</f>
        <v>6</v>
      </c>
      <c r="Y337" s="154">
        <f>YEAR(H337)</f>
        <v>2021</v>
      </c>
      <c r="Z337" s="97"/>
      <c r="AA337" t="str">
        <f>IF(Tabla1[[#This Row],[Kerma en aire acumulada (Gy)]]&gt;1,SUMIF(G:G,Tabla1[[#This Row],[SIP]],I:I)-Tabla1[[#This Row],[Kerma en aire acumulada (Gy)]],"")</f>
        <v/>
      </c>
    </row>
    <row r="338" spans="3:27">
      <c r="C338" s="94" t="str">
        <f t="shared" si="38"/>
        <v>Adulto</v>
      </c>
      <c r="D338" s="95" t="s">
        <v>968</v>
      </c>
      <c r="E338" s="95" t="s">
        <v>129</v>
      </c>
      <c r="F338" s="95" t="s">
        <v>662</v>
      </c>
      <c r="G338" s="95">
        <v>3778362</v>
      </c>
      <c r="H338" s="96">
        <v>44365</v>
      </c>
      <c r="I338" s="95">
        <v>0.127</v>
      </c>
      <c r="J338" s="95"/>
      <c r="K338" s="95"/>
      <c r="L338" s="95"/>
      <c r="M338" s="95"/>
      <c r="N338" s="95"/>
      <c r="O338" s="95"/>
      <c r="P338" s="95"/>
      <c r="Q338" s="95"/>
      <c r="R338" s="95"/>
      <c r="S338" s="95"/>
      <c r="T338" s="96">
        <v>25895</v>
      </c>
      <c r="U338" s="95"/>
      <c r="V338" s="95" t="s">
        <v>586</v>
      </c>
      <c r="W338" s="154"/>
      <c r="X338" s="154">
        <f>MONTH(H338)</f>
        <v>6</v>
      </c>
      <c r="Y338" s="154">
        <f>YEAR(H338)</f>
        <v>2021</v>
      </c>
      <c r="Z338" s="97"/>
      <c r="AA338" t="str">
        <f>IF(Tabla1[[#This Row],[Kerma en aire acumulada (Gy)]]&gt;1,SUMIF(G:G,Tabla1[[#This Row],[SIP]],I:I)-Tabla1[[#This Row],[Kerma en aire acumulada (Gy)]],"")</f>
        <v/>
      </c>
    </row>
    <row r="339" spans="3:27">
      <c r="C339" s="89" t="str">
        <f t="shared" si="38"/>
        <v>Adulto</v>
      </c>
      <c r="D339" s="90" t="s">
        <v>973</v>
      </c>
      <c r="E339" s="90" t="s">
        <v>974</v>
      </c>
      <c r="F339" s="90" t="s">
        <v>585</v>
      </c>
      <c r="G339" s="90">
        <v>1807351</v>
      </c>
      <c r="H339" s="91">
        <v>44365</v>
      </c>
      <c r="I339" s="90">
        <v>0.39600000000000002</v>
      </c>
      <c r="J339" s="90"/>
      <c r="K339" s="90"/>
      <c r="L339" s="90"/>
      <c r="M339" s="90"/>
      <c r="N339" s="90"/>
      <c r="O339" s="90"/>
      <c r="P339" s="90"/>
      <c r="Q339" s="90"/>
      <c r="R339" s="90"/>
      <c r="S339" s="90"/>
      <c r="T339" s="91">
        <v>16454</v>
      </c>
      <c r="U339" s="90"/>
      <c r="V339" s="90" t="s">
        <v>812</v>
      </c>
      <c r="W339" s="202"/>
      <c r="X339" s="202"/>
      <c r="Y339" s="202"/>
      <c r="Z339" s="93"/>
      <c r="AA339" t="str">
        <f>IF(Tabla1[[#This Row],[Kerma en aire acumulada (Gy)]]&gt;1,SUMIF(G:G,Tabla1[[#This Row],[SIP]],I:I)-Tabla1[[#This Row],[Kerma en aire acumulada (Gy)]],"")</f>
        <v/>
      </c>
    </row>
    <row r="340" spans="3:27" ht="15.75" thickBot="1">
      <c r="C340" s="193" t="str">
        <f t="shared" si="38"/>
        <v>Adulto</v>
      </c>
      <c r="D340" s="181" t="s">
        <v>969</v>
      </c>
      <c r="E340" s="181" t="s">
        <v>945</v>
      </c>
      <c r="F340" s="181" t="s">
        <v>970</v>
      </c>
      <c r="G340" s="181">
        <v>4287856</v>
      </c>
      <c r="H340" s="194">
        <v>44367</v>
      </c>
      <c r="I340" s="181">
        <v>3.2599999999999997E-2</v>
      </c>
      <c r="J340" s="181"/>
      <c r="K340" s="181"/>
      <c r="L340" s="181"/>
      <c r="M340" s="181"/>
      <c r="N340" s="181"/>
      <c r="O340" s="181"/>
      <c r="P340" s="181"/>
      <c r="Q340" s="181"/>
      <c r="R340" s="181"/>
      <c r="S340" s="181"/>
      <c r="T340" s="194">
        <v>31675</v>
      </c>
      <c r="U340" s="181"/>
      <c r="V340" s="181" t="s">
        <v>552</v>
      </c>
      <c r="W340" s="209"/>
      <c r="X340" s="209"/>
      <c r="Y340" s="209"/>
      <c r="Z340" s="164"/>
      <c r="AA340" t="str">
        <f>IF(Tabla1[[#This Row],[Kerma en aire acumulada (Gy)]]&gt;1,SUMIF(G:G,Tabla1[[#This Row],[SIP]],I:I)-Tabla1[[#This Row],[Kerma en aire acumulada (Gy)]],"")</f>
        <v/>
      </c>
    </row>
    <row r="341" spans="3:27">
      <c r="C341" s="155" t="str">
        <f t="shared" si="38"/>
        <v>Adulto</v>
      </c>
      <c r="D341" s="154" t="s">
        <v>978</v>
      </c>
      <c r="E341" s="154" t="s">
        <v>955</v>
      </c>
      <c r="F341" s="154" t="s">
        <v>693</v>
      </c>
      <c r="G341" s="154">
        <v>2629910</v>
      </c>
      <c r="H341" s="156">
        <v>44367</v>
      </c>
      <c r="I341" s="154">
        <v>0.46700000000000003</v>
      </c>
      <c r="J341" s="154"/>
      <c r="K341" s="154"/>
      <c r="L341" s="154"/>
      <c r="M341" s="154"/>
      <c r="N341" s="154"/>
      <c r="O341" s="154"/>
      <c r="P341" s="154"/>
      <c r="Q341" s="154"/>
      <c r="R341" s="154"/>
      <c r="S341" s="154"/>
      <c r="T341" s="156">
        <v>33422</v>
      </c>
      <c r="U341" s="154"/>
      <c r="V341" s="154" t="s">
        <v>151</v>
      </c>
      <c r="W341" s="154"/>
      <c r="X341" s="154"/>
      <c r="Y341" s="154"/>
      <c r="Z341" s="174"/>
      <c r="AA341" t="str">
        <f>IF(Tabla1[[#This Row],[Kerma en aire acumulada (Gy)]]&gt;1,SUMIF(G:G,Tabla1[[#This Row],[SIP]],I:I)-Tabla1[[#This Row],[Kerma en aire acumulada (Gy)]],"")</f>
        <v/>
      </c>
    </row>
    <row r="342" spans="3:27">
      <c r="C342" s="94" t="str">
        <f t="shared" si="38"/>
        <v>Adulto</v>
      </c>
      <c r="D342" s="95" t="s">
        <v>35</v>
      </c>
      <c r="E342" s="95" t="s">
        <v>36</v>
      </c>
      <c r="F342" s="95" t="s">
        <v>37</v>
      </c>
      <c r="G342" s="95">
        <v>3824620</v>
      </c>
      <c r="H342" s="96">
        <v>44368</v>
      </c>
      <c r="I342" s="105">
        <v>0.29499999999999998</v>
      </c>
      <c r="J342" s="95"/>
      <c r="K342" s="95"/>
      <c r="L342" s="95"/>
      <c r="M342" s="95"/>
      <c r="N342" s="95"/>
      <c r="O342" s="95"/>
      <c r="P342" s="95"/>
      <c r="Q342" s="95"/>
      <c r="R342" s="95"/>
      <c r="S342" s="95"/>
      <c r="T342" s="96">
        <v>25239</v>
      </c>
      <c r="U342" s="95"/>
      <c r="V342" s="95" t="s">
        <v>118</v>
      </c>
      <c r="W342" s="232"/>
      <c r="X342" s="154"/>
      <c r="Y342" s="154"/>
      <c r="Z342" s="97"/>
      <c r="AA342" t="str">
        <f>IF(Tabla1[[#This Row],[Kerma en aire acumulada (Gy)]]&gt;1,SUMIF(G:G,Tabla1[[#This Row],[SIP]],I:I)-Tabla1[[#This Row],[Kerma en aire acumulada (Gy)]],"")</f>
        <v/>
      </c>
    </row>
    <row r="343" spans="3:27">
      <c r="C343" s="94" t="str">
        <f t="shared" si="38"/>
        <v>Adulto</v>
      </c>
      <c r="D343" s="95" t="s">
        <v>74</v>
      </c>
      <c r="E343" s="95" t="s">
        <v>47</v>
      </c>
      <c r="F343" s="95" t="s">
        <v>75</v>
      </c>
      <c r="G343" s="95">
        <v>11132642</v>
      </c>
      <c r="H343" s="96">
        <v>44368</v>
      </c>
      <c r="I343" s="95">
        <v>0.53400000000000003</v>
      </c>
      <c r="J343" s="95"/>
      <c r="K343" s="95"/>
      <c r="L343" s="95"/>
      <c r="M343" s="95"/>
      <c r="N343" s="95"/>
      <c r="O343" s="95"/>
      <c r="P343" s="95"/>
      <c r="Q343" s="95"/>
      <c r="R343" s="95"/>
      <c r="S343" s="95"/>
      <c r="T343" s="96">
        <v>28240</v>
      </c>
      <c r="U343" s="95"/>
      <c r="V343" s="95" t="s">
        <v>89</v>
      </c>
      <c r="W343" s="232"/>
      <c r="X343" s="154"/>
      <c r="Y343" s="154"/>
      <c r="Z343" s="97"/>
      <c r="AA343" t="str">
        <f>IF(Tabla1[[#This Row],[Kerma en aire acumulada (Gy)]]&gt;1,SUMIF(G:G,Tabla1[[#This Row],[SIP]],I:I)-Tabla1[[#This Row],[Kerma en aire acumulada (Gy)]],"")</f>
        <v/>
      </c>
    </row>
    <row r="344" spans="3:27">
      <c r="C344" s="89" t="str">
        <f t="shared" si="38"/>
        <v>Adulto</v>
      </c>
      <c r="D344" s="90" t="s">
        <v>676</v>
      </c>
      <c r="E344" s="90" t="s">
        <v>94</v>
      </c>
      <c r="F344" s="90" t="s">
        <v>62</v>
      </c>
      <c r="G344" s="90">
        <v>2960626</v>
      </c>
      <c r="H344" s="91">
        <v>44368</v>
      </c>
      <c r="I344" s="90">
        <v>0.38</v>
      </c>
      <c r="J344" s="90"/>
      <c r="K344" s="90"/>
      <c r="L344" s="90"/>
      <c r="M344" s="90"/>
      <c r="N344" s="90"/>
      <c r="O344" s="90"/>
      <c r="P344" s="90"/>
      <c r="Q344" s="90"/>
      <c r="R344" s="90"/>
      <c r="S344" s="90"/>
      <c r="T344" s="91">
        <v>15905</v>
      </c>
      <c r="U344" s="90"/>
      <c r="V344" s="90" t="s">
        <v>180</v>
      </c>
      <c r="W344" s="233"/>
      <c r="X344" s="202"/>
      <c r="Y344" s="202"/>
      <c r="Z344" s="93"/>
      <c r="AA344" t="str">
        <f>IF(Tabla1[[#This Row],[Kerma en aire acumulada (Gy)]]&gt;1,SUMIF(G:G,Tabla1[[#This Row],[SIP]],I:I)-Tabla1[[#This Row],[Kerma en aire acumulada (Gy)]],"")</f>
        <v/>
      </c>
    </row>
    <row r="345" spans="3:27">
      <c r="C345" s="89" t="str">
        <f t="shared" si="38"/>
        <v>Adulto</v>
      </c>
      <c r="D345" s="90" t="s">
        <v>320</v>
      </c>
      <c r="E345" s="90" t="s">
        <v>29</v>
      </c>
      <c r="F345" s="90" t="s">
        <v>959</v>
      </c>
      <c r="G345" s="90">
        <v>2955837</v>
      </c>
      <c r="H345" s="91">
        <v>44368</v>
      </c>
      <c r="I345" s="90">
        <v>8.9999999999999993E-3</v>
      </c>
      <c r="J345" s="90"/>
      <c r="K345" s="90"/>
      <c r="L345" s="90"/>
      <c r="M345" s="90"/>
      <c r="N345" s="90"/>
      <c r="O345" s="90"/>
      <c r="P345" s="90"/>
      <c r="Q345" s="90"/>
      <c r="R345" s="90"/>
      <c r="S345" s="90"/>
      <c r="T345" s="91">
        <v>22651</v>
      </c>
      <c r="U345" s="90"/>
      <c r="V345" s="90" t="s">
        <v>819</v>
      </c>
      <c r="W345" s="202"/>
      <c r="X345" s="202"/>
      <c r="Y345" s="202"/>
      <c r="Z345" s="93"/>
      <c r="AA345" t="str">
        <f>IF(Tabla1[[#This Row],[Kerma en aire acumulada (Gy)]]&gt;1,SUMIF(G:G,Tabla1[[#This Row],[SIP]],I:I)-Tabla1[[#This Row],[Kerma en aire acumulada (Gy)]],"")</f>
        <v/>
      </c>
    </row>
    <row r="346" spans="3:27">
      <c r="C346" s="89" t="str">
        <f t="shared" si="38"/>
        <v>Adulto</v>
      </c>
      <c r="D346" s="90" t="s">
        <v>58</v>
      </c>
      <c r="E346" s="90" t="s">
        <v>59</v>
      </c>
      <c r="F346" s="90" t="s">
        <v>60</v>
      </c>
      <c r="G346" s="90">
        <v>4976109</v>
      </c>
      <c r="H346" s="91">
        <v>44369</v>
      </c>
      <c r="I346" s="90">
        <v>9.6000000000000002E-2</v>
      </c>
      <c r="J346" s="90"/>
      <c r="K346" s="90"/>
      <c r="L346" s="90"/>
      <c r="M346" s="90"/>
      <c r="N346" s="90"/>
      <c r="O346" s="90"/>
      <c r="P346" s="90"/>
      <c r="Q346" s="90"/>
      <c r="R346" s="90"/>
      <c r="S346" s="90"/>
      <c r="T346" s="91">
        <v>28635</v>
      </c>
      <c r="U346" s="90"/>
      <c r="V346" s="90" t="s">
        <v>650</v>
      </c>
      <c r="W346" s="233" t="str">
        <f>CONCATENATE(D346,$A$591,E346,",",F346)</f>
        <v>Veliz Cadena,Marlon Omar</v>
      </c>
      <c r="X346" s="202">
        <f>MONTH(H346)</f>
        <v>6</v>
      </c>
      <c r="Y346" s="202">
        <f>YEAR(H346)</f>
        <v>2021</v>
      </c>
      <c r="Z346" s="93"/>
      <c r="AA346" t="str">
        <f>IF(Tabla1[[#This Row],[Kerma en aire acumulada (Gy)]]&gt;1,SUMIF(G:G,Tabla1[[#This Row],[SIP]],I:I)-Tabla1[[#This Row],[Kerma en aire acumulada (Gy)]],"")</f>
        <v/>
      </c>
    </row>
    <row r="347" spans="3:27">
      <c r="C347" s="94" t="str">
        <f t="shared" si="38"/>
        <v>Adulto</v>
      </c>
      <c r="D347" s="95" t="s">
        <v>968</v>
      </c>
      <c r="E347" s="95" t="s">
        <v>129</v>
      </c>
      <c r="F347" s="95" t="s">
        <v>662</v>
      </c>
      <c r="G347" s="95">
        <v>3778362</v>
      </c>
      <c r="H347" s="96">
        <v>44369</v>
      </c>
      <c r="I347" s="95">
        <v>7.6999999999999999E-2</v>
      </c>
      <c r="J347" s="95"/>
      <c r="K347" s="95"/>
      <c r="L347" s="95"/>
      <c r="M347" s="95"/>
      <c r="N347" s="95"/>
      <c r="O347" s="95"/>
      <c r="P347" s="95"/>
      <c r="Q347" s="95"/>
      <c r="R347" s="95"/>
      <c r="S347" s="95"/>
      <c r="T347" s="96">
        <v>25895</v>
      </c>
      <c r="U347" s="95"/>
      <c r="V347" s="95" t="s">
        <v>325</v>
      </c>
      <c r="W347" s="154"/>
      <c r="X347" s="154">
        <f>MONTH(H347)</f>
        <v>6</v>
      </c>
      <c r="Y347" s="154">
        <f>YEAR(H347)</f>
        <v>2021</v>
      </c>
      <c r="Z347" s="97"/>
      <c r="AA347" t="str">
        <f>IF(Tabla1[[#This Row],[Kerma en aire acumulada (Gy)]]&gt;1,SUMIF(G:G,Tabla1[[#This Row],[SIP]],I:I)-Tabla1[[#This Row],[Kerma en aire acumulada (Gy)]],"")</f>
        <v/>
      </c>
    </row>
    <row r="348" spans="3:27">
      <c r="C348" s="89" t="str">
        <f t="shared" si="38"/>
        <v>Pediátrico</v>
      </c>
      <c r="D348" s="108" t="s">
        <v>982</v>
      </c>
      <c r="E348" s="108" t="s">
        <v>983</v>
      </c>
      <c r="F348" s="108" t="s">
        <v>984</v>
      </c>
      <c r="G348" s="108">
        <v>6705671</v>
      </c>
      <c r="H348" s="109">
        <v>44369</v>
      </c>
      <c r="I348" s="108">
        <v>5.0970000000000004</v>
      </c>
      <c r="J348" s="108"/>
      <c r="K348" s="108"/>
      <c r="L348" s="108"/>
      <c r="M348" s="108"/>
      <c r="N348" s="108"/>
      <c r="O348" s="108"/>
      <c r="P348" s="108"/>
      <c r="Q348" s="108"/>
      <c r="R348" s="108"/>
      <c r="S348" s="108"/>
      <c r="T348" s="109">
        <v>39129</v>
      </c>
      <c r="U348" s="108"/>
      <c r="V348" s="108" t="s">
        <v>583</v>
      </c>
      <c r="W348" s="238"/>
      <c r="X348" s="238"/>
      <c r="Y348" s="238"/>
      <c r="Z348" s="110"/>
      <c r="AA348">
        <f>IF(Tabla1[[#This Row],[Kerma en aire acumulada (Gy)]]&gt;1,SUMIF(G:G,Tabla1[[#This Row],[SIP]],I:I)-Tabla1[[#This Row],[Kerma en aire acumulada (Gy)]],"")</f>
        <v>0</v>
      </c>
    </row>
    <row r="349" spans="3:27">
      <c r="C349" s="94" t="str">
        <f t="shared" si="38"/>
        <v>Adulto</v>
      </c>
      <c r="D349" s="95" t="s">
        <v>979</v>
      </c>
      <c r="E349" s="95" t="s">
        <v>376</v>
      </c>
      <c r="F349" s="95" t="s">
        <v>980</v>
      </c>
      <c r="G349" s="95">
        <v>2383416</v>
      </c>
      <c r="H349" s="96">
        <v>44369</v>
      </c>
      <c r="I349" s="95">
        <v>0.40300000000000002</v>
      </c>
      <c r="J349" s="95"/>
      <c r="K349" s="95"/>
      <c r="L349" s="95"/>
      <c r="M349" s="95"/>
      <c r="N349" s="95"/>
      <c r="O349" s="95"/>
      <c r="P349" s="95"/>
      <c r="Q349" s="95"/>
      <c r="R349" s="95"/>
      <c r="S349" s="95"/>
      <c r="T349" s="96">
        <v>20004</v>
      </c>
      <c r="U349" s="95"/>
      <c r="V349" s="95" t="s">
        <v>118</v>
      </c>
      <c r="W349" s="154"/>
      <c r="X349" s="154"/>
      <c r="Y349" s="154"/>
      <c r="Z349" s="97"/>
      <c r="AA349" t="str">
        <f>IF(Tabla1[[#This Row],[Kerma en aire acumulada (Gy)]]&gt;1,SUMIF(G:G,Tabla1[[#This Row],[SIP]],I:I)-Tabla1[[#This Row],[Kerma en aire acumulada (Gy)]],"")</f>
        <v/>
      </c>
    </row>
    <row r="350" spans="3:27">
      <c r="C350" s="89" t="str">
        <f t="shared" si="38"/>
        <v>Adulto</v>
      </c>
      <c r="D350" s="90" t="s">
        <v>971</v>
      </c>
      <c r="E350" s="90" t="s">
        <v>948</v>
      </c>
      <c r="F350" s="90" t="s">
        <v>972</v>
      </c>
      <c r="G350" s="90">
        <v>1777454</v>
      </c>
      <c r="H350" s="91">
        <v>44369</v>
      </c>
      <c r="I350" s="90">
        <v>4.3999999999999997E-2</v>
      </c>
      <c r="J350" s="90"/>
      <c r="K350" s="90"/>
      <c r="L350" s="90"/>
      <c r="M350" s="90"/>
      <c r="N350" s="90"/>
      <c r="O350" s="90"/>
      <c r="P350" s="90"/>
      <c r="Q350" s="90"/>
      <c r="R350" s="90"/>
      <c r="S350" s="90"/>
      <c r="T350" s="91">
        <v>21339</v>
      </c>
      <c r="U350" s="90"/>
      <c r="V350" s="90" t="s">
        <v>541</v>
      </c>
      <c r="W350" s="202"/>
      <c r="X350" s="202"/>
      <c r="Y350" s="202"/>
      <c r="Z350" s="93"/>
      <c r="AA350" t="str">
        <f>IF(Tabla1[[#This Row],[Kerma en aire acumulada (Gy)]]&gt;1,SUMIF(G:G,Tabla1[[#This Row],[SIP]],I:I)-Tabla1[[#This Row],[Kerma en aire acumulada (Gy)]],"")</f>
        <v/>
      </c>
    </row>
    <row r="351" spans="3:27">
      <c r="C351" s="89" t="str">
        <f t="shared" si="38"/>
        <v>Adulto</v>
      </c>
      <c r="D351" s="90" t="s">
        <v>975</v>
      </c>
      <c r="E351" s="90" t="s">
        <v>976</v>
      </c>
      <c r="F351" s="90" t="s">
        <v>818</v>
      </c>
      <c r="G351" s="90">
        <v>2870387</v>
      </c>
      <c r="H351" s="91">
        <v>44370</v>
      </c>
      <c r="I351" s="90">
        <v>0.93200000000000005</v>
      </c>
      <c r="J351" s="90"/>
      <c r="K351" s="90"/>
      <c r="L351" s="90"/>
      <c r="M351" s="90"/>
      <c r="N351" s="90"/>
      <c r="O351" s="90"/>
      <c r="P351" s="90"/>
      <c r="Q351" s="90"/>
      <c r="R351" s="90"/>
      <c r="S351" s="90"/>
      <c r="T351" s="91">
        <v>13739</v>
      </c>
      <c r="U351" s="90"/>
      <c r="V351" s="90" t="s">
        <v>544</v>
      </c>
      <c r="W351" s="202"/>
      <c r="X351" s="202"/>
      <c r="Y351" s="202"/>
      <c r="Z351" s="93"/>
      <c r="AA351" t="str">
        <f>IF(Tabla1[[#This Row],[Kerma en aire acumulada (Gy)]]&gt;1,SUMIF(G:G,Tabla1[[#This Row],[SIP]],I:I)-Tabla1[[#This Row],[Kerma en aire acumulada (Gy)]],"")</f>
        <v/>
      </c>
    </row>
    <row r="352" spans="3:27">
      <c r="C352" s="94" t="str">
        <f t="shared" si="38"/>
        <v>Adulto</v>
      </c>
      <c r="D352" s="95" t="s">
        <v>966</v>
      </c>
      <c r="E352" s="95" t="s">
        <v>962</v>
      </c>
      <c r="F352" s="95" t="s">
        <v>967</v>
      </c>
      <c r="G352" s="95">
        <v>2932035</v>
      </c>
      <c r="H352" s="96">
        <v>44370</v>
      </c>
      <c r="I352" s="95">
        <v>2.0449999999999999E-2</v>
      </c>
      <c r="J352" s="95"/>
      <c r="K352" s="95"/>
      <c r="L352" s="95"/>
      <c r="M352" s="95"/>
      <c r="N352" s="95"/>
      <c r="O352" s="95"/>
      <c r="P352" s="95"/>
      <c r="Q352" s="95"/>
      <c r="R352" s="95"/>
      <c r="S352" s="95"/>
      <c r="T352" s="96">
        <v>20996</v>
      </c>
      <c r="U352" s="95"/>
      <c r="V352" s="95" t="s">
        <v>841</v>
      </c>
      <c r="W352" s="154"/>
      <c r="X352" s="154"/>
      <c r="Y352" s="154"/>
      <c r="Z352" s="97"/>
      <c r="AA352" t="str">
        <f>IF(Tabla1[[#This Row],[Kerma en aire acumulada (Gy)]]&gt;1,SUMIF(G:G,Tabla1[[#This Row],[SIP]],I:I)-Tabla1[[#This Row],[Kerma en aire acumulada (Gy)]],"")</f>
        <v/>
      </c>
    </row>
    <row r="353" spans="3:27">
      <c r="C353" s="94" t="str">
        <f t="shared" si="38"/>
        <v>Adulto</v>
      </c>
      <c r="D353" s="95" t="s">
        <v>109</v>
      </c>
      <c r="E353" s="95" t="s">
        <v>847</v>
      </c>
      <c r="F353" s="95" t="s">
        <v>977</v>
      </c>
      <c r="G353" s="95">
        <v>2363476</v>
      </c>
      <c r="H353" s="96">
        <v>44370</v>
      </c>
      <c r="I353" s="95">
        <v>0.22700000000000001</v>
      </c>
      <c r="J353" s="95"/>
      <c r="K353" s="95"/>
      <c r="L353" s="95"/>
      <c r="M353" s="95"/>
      <c r="N353" s="95"/>
      <c r="O353" s="95"/>
      <c r="P353" s="95"/>
      <c r="Q353" s="95"/>
      <c r="R353" s="95"/>
      <c r="S353" s="95"/>
      <c r="T353" s="96">
        <v>26546</v>
      </c>
      <c r="U353" s="95"/>
      <c r="V353" s="95" t="s">
        <v>175</v>
      </c>
      <c r="W353" s="154"/>
      <c r="X353" s="154"/>
      <c r="Y353" s="154"/>
      <c r="Z353" s="97"/>
      <c r="AA353" t="str">
        <f>IF(Tabla1[[#This Row],[Kerma en aire acumulada (Gy)]]&gt;1,SUMIF(G:G,Tabla1[[#This Row],[SIP]],I:I)-Tabla1[[#This Row],[Kerma en aire acumulada (Gy)]],"")</f>
        <v/>
      </c>
    </row>
    <row r="354" spans="3:27">
      <c r="C354" s="89" t="str">
        <f t="shared" si="38"/>
        <v>Adulto</v>
      </c>
      <c r="D354" s="90" t="s">
        <v>787</v>
      </c>
      <c r="E354" s="90" t="s">
        <v>925</v>
      </c>
      <c r="F354" s="90" t="s">
        <v>926</v>
      </c>
      <c r="G354" s="90">
        <v>2531319</v>
      </c>
      <c r="H354" s="91">
        <v>44370</v>
      </c>
      <c r="I354" s="90">
        <v>0.125</v>
      </c>
      <c r="J354" s="90"/>
      <c r="K354" s="90"/>
      <c r="L354" s="90"/>
      <c r="M354" s="90"/>
      <c r="N354" s="90"/>
      <c r="O354" s="90"/>
      <c r="P354" s="90"/>
      <c r="Q354" s="90"/>
      <c r="R354" s="90"/>
      <c r="S354" s="90"/>
      <c r="T354" s="91">
        <v>23057</v>
      </c>
      <c r="U354" s="90"/>
      <c r="V354" s="90" t="s">
        <v>325</v>
      </c>
      <c r="W354" s="202"/>
      <c r="X354" s="202"/>
      <c r="Y354" s="202"/>
      <c r="Z354" s="93"/>
      <c r="AA354" t="str">
        <f>IF(Tabla1[[#This Row],[Kerma en aire acumulada (Gy)]]&gt;1,SUMIF(G:G,Tabla1[[#This Row],[SIP]],I:I)-Tabla1[[#This Row],[Kerma en aire acumulada (Gy)]],"")</f>
        <v/>
      </c>
    </row>
    <row r="355" spans="3:27">
      <c r="C355" s="94" t="str">
        <f t="shared" si="38"/>
        <v>Adulto</v>
      </c>
      <c r="D355" s="95" t="s">
        <v>996</v>
      </c>
      <c r="E355" s="95" t="s">
        <v>997</v>
      </c>
      <c r="F355" s="95" t="s">
        <v>998</v>
      </c>
      <c r="G355" s="95">
        <v>3079957</v>
      </c>
      <c r="H355" s="96">
        <v>44375</v>
      </c>
      <c r="I355" s="95">
        <v>48.71</v>
      </c>
      <c r="J355" s="95"/>
      <c r="K355" s="95"/>
      <c r="L355" s="95"/>
      <c r="M355" s="95"/>
      <c r="N355" s="95"/>
      <c r="O355" s="95"/>
      <c r="P355" s="95"/>
      <c r="Q355" s="95"/>
      <c r="R355" s="95"/>
      <c r="S355" s="95"/>
      <c r="T355" s="96">
        <v>28048</v>
      </c>
      <c r="U355" s="95"/>
      <c r="V355" s="95" t="s">
        <v>999</v>
      </c>
      <c r="W355" s="232" t="str">
        <f>CONCATENATE(D355,$A$591,E355,",",F355)</f>
        <v>Zacares Real,Mª Amparo</v>
      </c>
      <c r="X355" s="154">
        <f>MONTH(H355)</f>
        <v>6</v>
      </c>
      <c r="Y355" s="154">
        <f>YEAR(H355)</f>
        <v>2021</v>
      </c>
      <c r="Z355" s="174"/>
      <c r="AA355">
        <f>IF(Tabla1[[#This Row],[Kerma en aire acumulada (Gy)]]&gt;1,SUMIF(G:G,Tabla1[[#This Row],[SIP]],I:I)-Tabla1[[#This Row],[Kerma en aire acumulada (Gy)]],"")</f>
        <v>23.499879999999997</v>
      </c>
    </row>
    <row r="356" spans="3:27">
      <c r="C356" s="89" t="str">
        <f t="shared" si="38"/>
        <v>Adulto</v>
      </c>
      <c r="D356" s="90" t="s">
        <v>22</v>
      </c>
      <c r="E356" s="90" t="s">
        <v>159</v>
      </c>
      <c r="F356" s="90" t="s">
        <v>20</v>
      </c>
      <c r="G356" s="90">
        <v>1747027</v>
      </c>
      <c r="H356" s="91">
        <v>44375</v>
      </c>
      <c r="I356" s="90">
        <v>0.66522999999999999</v>
      </c>
      <c r="J356" s="90"/>
      <c r="K356" s="90"/>
      <c r="L356" s="90"/>
      <c r="M356" s="90"/>
      <c r="N356" s="90"/>
      <c r="O356" s="90"/>
      <c r="P356" s="90"/>
      <c r="Q356" s="90"/>
      <c r="R356" s="90"/>
      <c r="S356" s="90"/>
      <c r="T356" s="91">
        <v>16463</v>
      </c>
      <c r="U356" s="90"/>
      <c r="V356" s="90" t="s">
        <v>95</v>
      </c>
      <c r="W356" s="233" t="str">
        <f>CONCATENATE(D356,$A$591,E356,",",F356)</f>
        <v>Ruiz Villar,Antonio</v>
      </c>
      <c r="X356" s="202">
        <f>MONTH(H356)</f>
        <v>6</v>
      </c>
      <c r="Y356" s="202">
        <f>YEAR(H356)</f>
        <v>2021</v>
      </c>
      <c r="Z356" s="203"/>
      <c r="AA356" t="str">
        <f>IF(Tabla1[[#This Row],[Kerma en aire acumulada (Gy)]]&gt;1,SUMIF(G:G,Tabla1[[#This Row],[SIP]],I:I)-Tabla1[[#This Row],[Kerma en aire acumulada (Gy)]],"")</f>
        <v/>
      </c>
    </row>
    <row r="357" spans="3:27" ht="15.75" thickBot="1">
      <c r="C357" s="199" t="str">
        <f t="shared" si="38"/>
        <v>Adulto</v>
      </c>
      <c r="D357" s="200" t="s">
        <v>70</v>
      </c>
      <c r="E357" s="200" t="s">
        <v>1012</v>
      </c>
      <c r="F357" s="200" t="s">
        <v>715</v>
      </c>
      <c r="G357" s="200">
        <v>4729042</v>
      </c>
      <c r="H357" s="201">
        <v>44375</v>
      </c>
      <c r="I357" s="200">
        <v>0.13600000000000001</v>
      </c>
      <c r="J357" s="200"/>
      <c r="K357" s="200"/>
      <c r="L357" s="200"/>
      <c r="M357" s="200"/>
      <c r="N357" s="200"/>
      <c r="O357" s="200"/>
      <c r="P357" s="200"/>
      <c r="Q357" s="200"/>
      <c r="R357" s="200"/>
      <c r="S357" s="200"/>
      <c r="T357" s="201">
        <v>16693</v>
      </c>
      <c r="U357" s="200"/>
      <c r="V357" s="200" t="s">
        <v>1015</v>
      </c>
      <c r="W357" s="239" t="str">
        <f>CONCATENATE(D357,$A$591,E357,",",F357)</f>
        <v>Martí Ros,Amparo</v>
      </c>
      <c r="X357" s="242">
        <f>MONTH(H357)</f>
        <v>6</v>
      </c>
      <c r="Y357" s="242">
        <f>YEAR(H357)</f>
        <v>2021</v>
      </c>
      <c r="Z357" s="243"/>
      <c r="AA357" t="str">
        <f>IF(Tabla1[[#This Row],[Kerma en aire acumulada (Gy)]]&gt;1,SUMIF(G:G,Tabla1[[#This Row],[SIP]],I:I)-Tabla1[[#This Row],[Kerma en aire acumulada (Gy)]],"")</f>
        <v/>
      </c>
    </row>
    <row r="358" spans="3:27" ht="15.75" thickTop="1">
      <c r="C358" s="155" t="str">
        <f t="shared" si="38"/>
        <v>Adulto</v>
      </c>
      <c r="D358" s="154" t="s">
        <v>319</v>
      </c>
      <c r="E358" s="154" t="s">
        <v>1003</v>
      </c>
      <c r="F358" s="154" t="s">
        <v>20</v>
      </c>
      <c r="G358" s="154">
        <v>2187892</v>
      </c>
      <c r="H358" s="156">
        <v>44375</v>
      </c>
      <c r="I358" s="154">
        <v>3.5000000000000003E-2</v>
      </c>
      <c r="J358" s="154"/>
      <c r="K358" s="154"/>
      <c r="L358" s="154"/>
      <c r="M358" s="154"/>
      <c r="N358" s="154"/>
      <c r="O358" s="154"/>
      <c r="P358" s="154"/>
      <c r="Q358" s="154"/>
      <c r="R358" s="154"/>
      <c r="S358" s="154"/>
      <c r="T358" s="156">
        <v>20941</v>
      </c>
      <c r="U358" s="154"/>
      <c r="V358" s="154" t="s">
        <v>729</v>
      </c>
      <c r="W358" s="232" t="str">
        <f>CONCATENATE(D358,$A$591,E358,",",F358)</f>
        <v>Gonzalez Romero,Antonio</v>
      </c>
      <c r="X358" s="154">
        <f>MONTH(H358)</f>
        <v>6</v>
      </c>
      <c r="Y358" s="154">
        <f>YEAR(H358)</f>
        <v>2021</v>
      </c>
      <c r="Z358" s="174"/>
      <c r="AA358" t="str">
        <f>IF(Tabla1[[#This Row],[Kerma en aire acumulada (Gy)]]&gt;1,SUMIF(G:G,Tabla1[[#This Row],[SIP]],I:I)-Tabla1[[#This Row],[Kerma en aire acumulada (Gy)]],"")</f>
        <v/>
      </c>
    </row>
    <row r="359" spans="3:27">
      <c r="C359" s="94" t="str">
        <f t="shared" si="38"/>
        <v>Adulto</v>
      </c>
      <c r="D359" s="95" t="s">
        <v>313</v>
      </c>
      <c r="E359" s="95" t="s">
        <v>730</v>
      </c>
      <c r="F359" s="95" t="s">
        <v>300</v>
      </c>
      <c r="G359" s="95">
        <v>321938</v>
      </c>
      <c r="H359" s="96">
        <v>44375</v>
      </c>
      <c r="I359" s="95">
        <f>0.163+0.1366</f>
        <v>0.29959999999999998</v>
      </c>
      <c r="J359" s="95"/>
      <c r="K359" s="95"/>
      <c r="L359" s="95"/>
      <c r="M359" s="95"/>
      <c r="N359" s="95"/>
      <c r="O359" s="95"/>
      <c r="P359" s="95"/>
      <c r="Q359" s="95"/>
      <c r="R359" s="95"/>
      <c r="S359" s="95"/>
      <c r="T359" s="96">
        <v>14155</v>
      </c>
      <c r="U359" s="95"/>
      <c r="V359" s="95" t="s">
        <v>550</v>
      </c>
      <c r="W359" s="232"/>
      <c r="X359" s="154"/>
      <c r="Y359" s="154"/>
      <c r="Z359" s="97"/>
      <c r="AA359" t="str">
        <f>IF(Tabla1[[#This Row],[Kerma en aire acumulada (Gy)]]&gt;1,SUMIF(G:G,Tabla1[[#This Row],[SIP]],I:I)-Tabla1[[#This Row],[Kerma en aire acumulada (Gy)]],"")</f>
        <v/>
      </c>
    </row>
    <row r="360" spans="3:27" ht="15.75" thickBot="1">
      <c r="C360" s="193" t="str">
        <f t="shared" si="38"/>
        <v>Adulto</v>
      </c>
      <c r="D360" s="181" t="s">
        <v>1004</v>
      </c>
      <c r="E360" s="181" t="s">
        <v>1005</v>
      </c>
      <c r="F360" s="181" t="s">
        <v>1006</v>
      </c>
      <c r="G360" s="181">
        <v>3099120</v>
      </c>
      <c r="H360" s="194">
        <v>44376</v>
      </c>
      <c r="I360" s="181">
        <v>8.6800000000000002E-3</v>
      </c>
      <c r="J360" s="181"/>
      <c r="K360" s="181"/>
      <c r="L360" s="181"/>
      <c r="M360" s="181"/>
      <c r="N360" s="181"/>
      <c r="O360" s="181"/>
      <c r="P360" s="181"/>
      <c r="Q360" s="181"/>
      <c r="R360" s="181"/>
      <c r="S360" s="181"/>
      <c r="T360" s="194">
        <v>24333</v>
      </c>
      <c r="U360" s="181"/>
      <c r="V360" s="181" t="s">
        <v>143</v>
      </c>
      <c r="W360" s="235" t="str">
        <f t="shared" ref="W360:W366" si="39">CONCATENATE(D360,$A$591,E360,",",F360)</f>
        <v>Pinter Pla,Victoria</v>
      </c>
      <c r="X360" s="209">
        <f t="shared" ref="X360:X366" si="40">MONTH(H360)</f>
        <v>6</v>
      </c>
      <c r="Y360" s="209">
        <f t="shared" ref="Y360:Y366" si="41">YEAR(H360)</f>
        <v>2021</v>
      </c>
      <c r="Z360" s="164"/>
      <c r="AA360" t="str">
        <f>IF(Tabla1[[#This Row],[Kerma en aire acumulada (Gy)]]&gt;1,SUMIF(G:G,Tabla1[[#This Row],[SIP]],I:I)-Tabla1[[#This Row],[Kerma en aire acumulada (Gy)]],"")</f>
        <v/>
      </c>
    </row>
    <row r="361" spans="3:27">
      <c r="C361" s="157" t="str">
        <f t="shared" si="38"/>
        <v>Adulto</v>
      </c>
      <c r="D361" s="202" t="s">
        <v>1016</v>
      </c>
      <c r="E361" s="202" t="s">
        <v>365</v>
      </c>
      <c r="F361" s="202" t="s">
        <v>121</v>
      </c>
      <c r="G361" s="202">
        <v>2941137</v>
      </c>
      <c r="H361" s="214">
        <v>44376</v>
      </c>
      <c r="I361" s="202">
        <v>0.4723</v>
      </c>
      <c r="J361" s="202"/>
      <c r="K361" s="202"/>
      <c r="L361" s="202"/>
      <c r="M361" s="202"/>
      <c r="N361" s="202"/>
      <c r="O361" s="202"/>
      <c r="P361" s="202"/>
      <c r="Q361" s="202"/>
      <c r="R361" s="202"/>
      <c r="S361" s="202"/>
      <c r="T361" s="214">
        <v>24231</v>
      </c>
      <c r="U361" s="202"/>
      <c r="V361" s="202" t="s">
        <v>541</v>
      </c>
      <c r="W361" s="233" t="str">
        <f t="shared" si="39"/>
        <v>Parrizas Collado,José Manuel</v>
      </c>
      <c r="X361" s="202">
        <f t="shared" si="40"/>
        <v>6</v>
      </c>
      <c r="Y361" s="202">
        <f t="shared" si="41"/>
        <v>2021</v>
      </c>
      <c r="Z361" s="203"/>
      <c r="AA361" t="str">
        <f>IF(Tabla1[[#This Row],[Kerma en aire acumulada (Gy)]]&gt;1,SUMIF(G:G,Tabla1[[#This Row],[SIP]],I:I)-Tabla1[[#This Row],[Kerma en aire acumulada (Gy)]],"")</f>
        <v/>
      </c>
    </row>
    <row r="362" spans="3:27" ht="15.75" thickBot="1">
      <c r="C362" s="166" t="str">
        <f t="shared" si="38"/>
        <v>Adulto</v>
      </c>
      <c r="D362" s="163" t="s">
        <v>1007</v>
      </c>
      <c r="E362" s="163" t="s">
        <v>29</v>
      </c>
      <c r="F362" s="163" t="s">
        <v>1008</v>
      </c>
      <c r="G362" s="163">
        <v>7098294</v>
      </c>
      <c r="H362" s="173">
        <v>44376</v>
      </c>
      <c r="I362" s="163">
        <v>6.3399999999999998E-2</v>
      </c>
      <c r="J362" s="163"/>
      <c r="K362" s="163"/>
      <c r="L362" s="163"/>
      <c r="M362" s="163"/>
      <c r="N362" s="163"/>
      <c r="O362" s="163"/>
      <c r="P362" s="163"/>
      <c r="Q362" s="163"/>
      <c r="R362" s="163"/>
      <c r="S362" s="163"/>
      <c r="T362" s="173">
        <v>30952</v>
      </c>
      <c r="U362" s="163"/>
      <c r="V362" s="163" t="s">
        <v>1014</v>
      </c>
      <c r="W362" s="231" t="str">
        <f t="shared" si="39"/>
        <v>Miranda Castro,Andres Mauricio</v>
      </c>
      <c r="X362" s="160">
        <f t="shared" si="40"/>
        <v>6</v>
      </c>
      <c r="Y362" s="160">
        <f t="shared" si="41"/>
        <v>2021</v>
      </c>
      <c r="Z362" s="172"/>
      <c r="AA362" t="str">
        <f>IF(Tabla1[[#This Row],[Kerma en aire acumulada (Gy)]]&gt;1,SUMIF(G:G,Tabla1[[#This Row],[SIP]],I:I)-Tabla1[[#This Row],[Kerma en aire acumulada (Gy)]],"")</f>
        <v/>
      </c>
    </row>
    <row r="363" spans="3:27">
      <c r="C363" s="155" t="str">
        <f t="shared" si="38"/>
        <v>Adulto</v>
      </c>
      <c r="D363" s="154" t="s">
        <v>996</v>
      </c>
      <c r="E363" s="154" t="s">
        <v>997</v>
      </c>
      <c r="F363" s="154" t="s">
        <v>998</v>
      </c>
      <c r="G363" s="154">
        <v>3079957</v>
      </c>
      <c r="H363" s="156">
        <v>44377</v>
      </c>
      <c r="I363" s="154">
        <v>23.46</v>
      </c>
      <c r="J363" s="154"/>
      <c r="K363" s="154"/>
      <c r="L363" s="154"/>
      <c r="M363" s="154"/>
      <c r="N363" s="154"/>
      <c r="O363" s="154"/>
      <c r="P363" s="154"/>
      <c r="Q363" s="154"/>
      <c r="R363" s="154"/>
      <c r="S363" s="154"/>
      <c r="T363" s="156">
        <v>28048</v>
      </c>
      <c r="U363" s="154"/>
      <c r="V363" s="154" t="s">
        <v>999</v>
      </c>
      <c r="W363" s="232" t="str">
        <f t="shared" si="39"/>
        <v>Zacares Real,Mª Amparo</v>
      </c>
      <c r="X363" s="154">
        <f t="shared" si="40"/>
        <v>6</v>
      </c>
      <c r="Y363" s="154">
        <f t="shared" si="41"/>
        <v>2021</v>
      </c>
      <c r="Z363" s="174"/>
      <c r="AA363">
        <f>IF(Tabla1[[#This Row],[Kerma en aire acumulada (Gy)]]&gt;1,SUMIF(G:G,Tabla1[[#This Row],[SIP]],I:I)-Tabla1[[#This Row],[Kerma en aire acumulada (Gy)]],"")</f>
        <v>48.749879999999997</v>
      </c>
    </row>
    <row r="364" spans="3:27">
      <c r="C364" s="94" t="str">
        <f t="shared" si="38"/>
        <v>Adulto</v>
      </c>
      <c r="D364" s="95" t="s">
        <v>1000</v>
      </c>
      <c r="E364" s="95" t="s">
        <v>1001</v>
      </c>
      <c r="F364" s="95" t="s">
        <v>519</v>
      </c>
      <c r="G364" s="95">
        <v>5087098</v>
      </c>
      <c r="H364" s="96">
        <v>44377</v>
      </c>
      <c r="I364" s="95">
        <v>9.2999999999999999E-2</v>
      </c>
      <c r="J364" s="95"/>
      <c r="K364" s="95"/>
      <c r="L364" s="95"/>
      <c r="M364" s="95"/>
      <c r="N364" s="95"/>
      <c r="O364" s="95"/>
      <c r="P364" s="95"/>
      <c r="Q364" s="95"/>
      <c r="R364" s="95"/>
      <c r="S364" s="95"/>
      <c r="T364" s="96">
        <v>24988</v>
      </c>
      <c r="U364" s="95"/>
      <c r="V364" s="95" t="s">
        <v>552</v>
      </c>
      <c r="W364" s="232" t="str">
        <f t="shared" si="39"/>
        <v>San Esteban Perez,Fernando</v>
      </c>
      <c r="X364" s="154">
        <f t="shared" si="40"/>
        <v>6</v>
      </c>
      <c r="Y364" s="154">
        <f t="shared" si="41"/>
        <v>2021</v>
      </c>
      <c r="Z364" s="97"/>
      <c r="AA364" t="str">
        <f>IF(Tabla1[[#This Row],[Kerma en aire acumulada (Gy)]]&gt;1,SUMIF(G:G,Tabla1[[#This Row],[SIP]],I:I)-Tabla1[[#This Row],[Kerma en aire acumulada (Gy)]],"")</f>
        <v/>
      </c>
    </row>
    <row r="365" spans="3:27">
      <c r="C365" s="89" t="str">
        <f t="shared" si="38"/>
        <v>Adulto</v>
      </c>
      <c r="D365" s="90" t="s">
        <v>35</v>
      </c>
      <c r="E365" s="90" t="s">
        <v>22</v>
      </c>
      <c r="F365" s="90" t="s">
        <v>37</v>
      </c>
      <c r="G365" s="90">
        <v>4719539</v>
      </c>
      <c r="H365" s="91">
        <v>44377</v>
      </c>
      <c r="I365" s="90">
        <v>0.35299999999999998</v>
      </c>
      <c r="J365" s="90"/>
      <c r="K365" s="90"/>
      <c r="L365" s="90"/>
      <c r="M365" s="90"/>
      <c r="N365" s="90"/>
      <c r="O365" s="90"/>
      <c r="P365" s="90"/>
      <c r="Q365" s="90"/>
      <c r="R365" s="90"/>
      <c r="S365" s="90"/>
      <c r="T365" s="91">
        <v>22512</v>
      </c>
      <c r="U365" s="90"/>
      <c r="V365" s="90" t="s">
        <v>1013</v>
      </c>
      <c r="W365" s="233" t="str">
        <f t="shared" si="39"/>
        <v>Lozano Ruiz,Miguel Ángel</v>
      </c>
      <c r="X365" s="202">
        <f t="shared" si="40"/>
        <v>6</v>
      </c>
      <c r="Y365" s="202">
        <f t="shared" si="41"/>
        <v>2021</v>
      </c>
      <c r="Z365" s="93"/>
      <c r="AA365" t="str">
        <f>IF(Tabla1[[#This Row],[Kerma en aire acumulada (Gy)]]&gt;1,SUMIF(G:G,Tabla1[[#This Row],[SIP]],I:I)-Tabla1[[#This Row],[Kerma en aire acumulada (Gy)]],"")</f>
        <v/>
      </c>
    </row>
    <row r="366" spans="3:27">
      <c r="C366" s="94" t="str">
        <f t="shared" si="38"/>
        <v>Adulto</v>
      </c>
      <c r="D366" s="95" t="s">
        <v>992</v>
      </c>
      <c r="E366" s="95" t="s">
        <v>993</v>
      </c>
      <c r="F366" s="95" t="s">
        <v>994</v>
      </c>
      <c r="G366" s="95">
        <v>1987904</v>
      </c>
      <c r="H366" s="96">
        <v>44377</v>
      </c>
      <c r="I366" s="95">
        <v>3.16E-3</v>
      </c>
      <c r="J366" s="95"/>
      <c r="K366" s="95"/>
      <c r="L366" s="95"/>
      <c r="M366" s="95"/>
      <c r="N366" s="95"/>
      <c r="O366" s="95"/>
      <c r="P366" s="95"/>
      <c r="Q366" s="95"/>
      <c r="R366" s="95"/>
      <c r="S366" s="95"/>
      <c r="T366" s="96">
        <v>19888</v>
      </c>
      <c r="U366" s="95"/>
      <c r="V366" s="95" t="s">
        <v>995</v>
      </c>
      <c r="W366" s="232" t="str">
        <f t="shared" si="39"/>
        <v>Costa Blanch,Francisco Antonio</v>
      </c>
      <c r="X366" s="154">
        <f t="shared" si="40"/>
        <v>6</v>
      </c>
      <c r="Y366" s="154">
        <f t="shared" si="41"/>
        <v>2021</v>
      </c>
      <c r="Z366" s="97"/>
      <c r="AA366" t="str">
        <f>IF(Tabla1[[#This Row],[Kerma en aire acumulada (Gy)]]&gt;1,SUMIF(G:G,Tabla1[[#This Row],[SIP]],I:I)-Tabla1[[#This Row],[Kerma en aire acumulada (Gy)]],"")</f>
        <v/>
      </c>
    </row>
    <row r="367" spans="3:27">
      <c r="C367" s="89" t="str">
        <f t="shared" si="38"/>
        <v>Adulto</v>
      </c>
      <c r="D367" s="90" t="s">
        <v>971</v>
      </c>
      <c r="E367" s="90" t="s">
        <v>948</v>
      </c>
      <c r="F367" s="90" t="s">
        <v>972</v>
      </c>
      <c r="G367" s="90">
        <v>1777454</v>
      </c>
      <c r="H367" s="91">
        <v>44377</v>
      </c>
      <c r="I367" s="90">
        <v>9.0399999999999994E-2</v>
      </c>
      <c r="J367" s="90"/>
      <c r="K367" s="90"/>
      <c r="L367" s="90"/>
      <c r="M367" s="90"/>
      <c r="N367" s="90"/>
      <c r="O367" s="90"/>
      <c r="P367" s="90"/>
      <c r="Q367" s="90"/>
      <c r="R367" s="90"/>
      <c r="S367" s="90"/>
      <c r="T367" s="91">
        <v>21339</v>
      </c>
      <c r="U367" s="90"/>
      <c r="V367" s="90" t="s">
        <v>143</v>
      </c>
      <c r="W367" s="202"/>
      <c r="X367" s="202"/>
      <c r="Y367" s="202"/>
      <c r="Z367" s="93"/>
      <c r="AA367" t="str">
        <f>IF(Tabla1[[#This Row],[Kerma en aire acumulada (Gy)]]&gt;1,SUMIF(G:G,Tabla1[[#This Row],[SIP]],I:I)-Tabla1[[#This Row],[Kerma en aire acumulada (Gy)]],"")</f>
        <v/>
      </c>
    </row>
    <row r="368" spans="3:27">
      <c r="C368" s="89" t="str">
        <f t="shared" si="38"/>
        <v>Adulto</v>
      </c>
      <c r="D368" s="90" t="s">
        <v>989</v>
      </c>
      <c r="E368" s="90" t="s">
        <v>990</v>
      </c>
      <c r="F368" s="90" t="s">
        <v>991</v>
      </c>
      <c r="G368" s="90">
        <v>3032297</v>
      </c>
      <c r="H368" s="91">
        <v>44378</v>
      </c>
      <c r="I368" s="90">
        <v>0.26100000000000001</v>
      </c>
      <c r="J368" s="90"/>
      <c r="K368" s="90"/>
      <c r="L368" s="90"/>
      <c r="M368" s="90"/>
      <c r="N368" s="90"/>
      <c r="O368" s="90"/>
      <c r="P368" s="90"/>
      <c r="Q368" s="90"/>
      <c r="R368" s="90"/>
      <c r="S368" s="90"/>
      <c r="T368" s="91">
        <v>13228</v>
      </c>
      <c r="U368" s="90"/>
      <c r="V368" s="90" t="s">
        <v>988</v>
      </c>
      <c r="W368" s="233" t="str">
        <f>CONCATENATE(D368,$A$591,E368,",",F368)</f>
        <v>Mateo Velazquez,Jose</v>
      </c>
      <c r="X368" s="202">
        <f>MONTH(H368)</f>
        <v>7</v>
      </c>
      <c r="Y368" s="202">
        <f>YEAR(H368)</f>
        <v>2021</v>
      </c>
      <c r="Z368" s="93"/>
      <c r="AA368" t="str">
        <f>IF(Tabla1[[#This Row],[Kerma en aire acumulada (Gy)]]&gt;1,SUMIF(G:G,Tabla1[[#This Row],[SIP]],I:I)-Tabla1[[#This Row],[Kerma en aire acumulada (Gy)]],"")</f>
        <v/>
      </c>
    </row>
    <row r="369" spans="3:27">
      <c r="C369" s="89" t="str">
        <f t="shared" si="38"/>
        <v>Adulto</v>
      </c>
      <c r="D369" s="90" t="s">
        <v>986</v>
      </c>
      <c r="E369" s="90" t="s">
        <v>962</v>
      </c>
      <c r="F369" s="90" t="s">
        <v>987</v>
      </c>
      <c r="G369" s="90">
        <v>2237430</v>
      </c>
      <c r="H369" s="91">
        <v>44378</v>
      </c>
      <c r="I369" s="90">
        <v>0.82099999999999995</v>
      </c>
      <c r="J369" s="90"/>
      <c r="K369" s="90"/>
      <c r="L369" s="90"/>
      <c r="M369" s="90"/>
      <c r="N369" s="90"/>
      <c r="O369" s="90"/>
      <c r="P369" s="90"/>
      <c r="Q369" s="90"/>
      <c r="R369" s="90"/>
      <c r="S369" s="90"/>
      <c r="T369" s="91">
        <v>15833</v>
      </c>
      <c r="U369" s="90"/>
      <c r="V369" s="90" t="s">
        <v>988</v>
      </c>
      <c r="W369" s="233" t="str">
        <f>CONCATENATE(D369,$A$591,E369,",",F369)</f>
        <v>Lluesma Garcia,Florencio</v>
      </c>
      <c r="X369" s="202">
        <f>MONTH(H369)</f>
        <v>7</v>
      </c>
      <c r="Y369" s="202">
        <f>YEAR(H369)</f>
        <v>2021</v>
      </c>
      <c r="Z369" s="93"/>
      <c r="AA369" t="str">
        <f>IF(Tabla1[[#This Row],[Kerma en aire acumulada (Gy)]]&gt;1,SUMIF(G:G,Tabla1[[#This Row],[SIP]],I:I)-Tabla1[[#This Row],[Kerma en aire acumulada (Gy)]],"")</f>
        <v/>
      </c>
    </row>
    <row r="370" spans="3:27">
      <c r="C370" s="94" t="str">
        <f t="shared" si="38"/>
        <v>Adulto</v>
      </c>
      <c r="D370" s="95" t="s">
        <v>1009</v>
      </c>
      <c r="E370" s="95" t="s">
        <v>1010</v>
      </c>
      <c r="F370" s="95" t="s">
        <v>1011</v>
      </c>
      <c r="G370" s="95">
        <v>1169290</v>
      </c>
      <c r="H370" s="96">
        <v>44378</v>
      </c>
      <c r="I370" s="95">
        <v>0.81899999999999995</v>
      </c>
      <c r="J370" s="95"/>
      <c r="K370" s="95"/>
      <c r="L370" s="95"/>
      <c r="M370" s="95"/>
      <c r="N370" s="95"/>
      <c r="O370" s="95"/>
      <c r="P370" s="95"/>
      <c r="Q370" s="95"/>
      <c r="R370" s="95"/>
      <c r="S370" s="95"/>
      <c r="T370" s="96">
        <v>22121</v>
      </c>
      <c r="U370" s="95"/>
      <c r="V370" s="95" t="s">
        <v>550</v>
      </c>
      <c r="W370" s="232" t="str">
        <f>CONCATENATE(D370,$A$591,E370,",",F370)</f>
        <v>Fernandez Bautista,Andres</v>
      </c>
      <c r="X370" s="154">
        <f>MONTH(H370)</f>
        <v>7</v>
      </c>
      <c r="Y370" s="154">
        <f>YEAR(H370)</f>
        <v>2021</v>
      </c>
      <c r="Z370" s="97"/>
      <c r="AA370" t="str">
        <f>IF(Tabla1[[#This Row],[Kerma en aire acumulada (Gy)]]&gt;1,SUMIF(G:G,Tabla1[[#This Row],[SIP]],I:I)-Tabla1[[#This Row],[Kerma en aire acumulada (Gy)]],"")</f>
        <v/>
      </c>
    </row>
    <row r="371" spans="3:27">
      <c r="C371" s="94" t="str">
        <f t="shared" si="38"/>
        <v>Adulto</v>
      </c>
      <c r="D371" s="95" t="s">
        <v>130</v>
      </c>
      <c r="E371" s="95" t="s">
        <v>524</v>
      </c>
      <c r="F371" s="95" t="s">
        <v>1002</v>
      </c>
      <c r="G371" s="95">
        <v>2298109</v>
      </c>
      <c r="H371" s="96">
        <v>44379</v>
      </c>
      <c r="I371" s="95">
        <v>3.4460000000000002</v>
      </c>
      <c r="J371" s="95"/>
      <c r="K371" s="95"/>
      <c r="L371" s="95"/>
      <c r="M371" s="95"/>
      <c r="N371" s="95"/>
      <c r="O371" s="95"/>
      <c r="P371" s="95"/>
      <c r="Q371" s="95"/>
      <c r="R371" s="95"/>
      <c r="S371" s="95"/>
      <c r="T371" s="96">
        <v>18379</v>
      </c>
      <c r="U371" s="95"/>
      <c r="V371" s="95" t="s">
        <v>563</v>
      </c>
      <c r="W371" s="232" t="str">
        <f>CONCATENATE(D371,$A$591,E371,",",F371)</f>
        <v>Hernández López,Vicente Rafael</v>
      </c>
      <c r="X371" s="154">
        <f>MONTH(H371)</f>
        <v>7</v>
      </c>
      <c r="Y371" s="154">
        <f>YEAR(H371)</f>
        <v>2021</v>
      </c>
      <c r="Z371" s="97"/>
      <c r="AA371">
        <f>IF(Tabla1[[#This Row],[Kerma en aire acumulada (Gy)]]&gt;1,SUMIF(G:G,Tabla1[[#This Row],[SIP]],I:I)-Tabla1[[#This Row],[Kerma en aire acumulada (Gy)]],"")</f>
        <v>0</v>
      </c>
    </row>
    <row r="372" spans="3:27">
      <c r="C372" s="89" t="str">
        <f t="shared" si="38"/>
        <v>Adulto</v>
      </c>
      <c r="D372" s="90" t="s">
        <v>22</v>
      </c>
      <c r="E372" s="90" t="s">
        <v>1028</v>
      </c>
      <c r="F372" s="90" t="s">
        <v>715</v>
      </c>
      <c r="G372" s="90">
        <v>4228641</v>
      </c>
      <c r="H372" s="91">
        <v>44381</v>
      </c>
      <c r="I372" s="90">
        <v>0.59650000000000003</v>
      </c>
      <c r="J372" s="90"/>
      <c r="K372" s="90"/>
      <c r="L372" s="90"/>
      <c r="M372" s="90"/>
      <c r="N372" s="90"/>
      <c r="O372" s="90"/>
      <c r="P372" s="90"/>
      <c r="Q372" s="90"/>
      <c r="R372" s="90"/>
      <c r="S372" s="90"/>
      <c r="T372" s="91">
        <v>15103</v>
      </c>
      <c r="U372" s="90"/>
      <c r="V372" s="202" t="s">
        <v>151</v>
      </c>
      <c r="W372" s="233"/>
      <c r="X372" s="202"/>
      <c r="Y372" s="202"/>
      <c r="Z372" s="93"/>
      <c r="AA372" t="str">
        <f>IF(Tabla1[[#This Row],[Kerma en aire acumulada (Gy)]]&gt;1,SUMIF(G:G,Tabla1[[#This Row],[SIP]],I:I)-Tabla1[[#This Row],[Kerma en aire acumulada (Gy)]],"")</f>
        <v/>
      </c>
    </row>
    <row r="373" spans="3:27" ht="15.75" thickBot="1">
      <c r="C373" s="166" t="str">
        <f t="shared" si="38"/>
        <v>Adulto</v>
      </c>
      <c r="D373" s="163" t="s">
        <v>354</v>
      </c>
      <c r="E373" s="163" t="s">
        <v>1019</v>
      </c>
      <c r="F373" s="163" t="s">
        <v>102</v>
      </c>
      <c r="G373" s="163">
        <v>3760816</v>
      </c>
      <c r="H373" s="173">
        <v>44382</v>
      </c>
      <c r="I373" s="163">
        <v>5.8840000000000003E-2</v>
      </c>
      <c r="J373" s="163"/>
      <c r="K373" s="163"/>
      <c r="L373" s="163"/>
      <c r="M373" s="163"/>
      <c r="N373" s="163"/>
      <c r="O373" s="163"/>
      <c r="P373" s="163"/>
      <c r="Q373" s="163"/>
      <c r="R373" s="163"/>
      <c r="S373" s="163"/>
      <c r="T373" s="173">
        <v>22926</v>
      </c>
      <c r="U373" s="163"/>
      <c r="V373" s="160" t="s">
        <v>735</v>
      </c>
      <c r="W373" s="231"/>
      <c r="X373" s="160"/>
      <c r="Y373" s="160"/>
      <c r="Z373" s="172"/>
      <c r="AA373" t="str">
        <f>IF(Tabla1[[#This Row],[Kerma en aire acumulada (Gy)]]&gt;1,SUMIF(G:G,Tabla1[[#This Row],[SIP]],I:I)-Tabla1[[#This Row],[Kerma en aire acumulada (Gy)]],"")</f>
        <v/>
      </c>
    </row>
    <row r="374" spans="3:27">
      <c r="C374" s="157" t="str">
        <f t="shared" si="38"/>
        <v>Adulto</v>
      </c>
      <c r="D374" s="202" t="s">
        <v>1029</v>
      </c>
      <c r="E374" s="202" t="s">
        <v>1030</v>
      </c>
      <c r="F374" s="202" t="s">
        <v>377</v>
      </c>
      <c r="G374" s="202">
        <v>3375940</v>
      </c>
      <c r="H374" s="91">
        <v>44382</v>
      </c>
      <c r="I374" s="202">
        <v>2.4299999999999999E-3</v>
      </c>
      <c r="J374" s="202"/>
      <c r="K374" s="202"/>
      <c r="L374" s="202"/>
      <c r="M374" s="202"/>
      <c r="N374" s="202"/>
      <c r="O374" s="202"/>
      <c r="P374" s="202"/>
      <c r="Q374" s="202"/>
      <c r="R374" s="202"/>
      <c r="S374" s="202"/>
      <c r="T374" s="214">
        <v>22984</v>
      </c>
      <c r="U374" s="202"/>
      <c r="V374" s="202" t="s">
        <v>1024</v>
      </c>
      <c r="W374" s="233"/>
      <c r="X374" s="202"/>
      <c r="Y374" s="202"/>
      <c r="Z374" s="203"/>
      <c r="AA374" t="str">
        <f>IF(Tabla1[[#This Row],[Kerma en aire acumulada (Gy)]]&gt;1,SUMIF(G:G,Tabla1[[#This Row],[SIP]],I:I)-Tabla1[[#This Row],[Kerma en aire acumulada (Gy)]],"")</f>
        <v/>
      </c>
    </row>
    <row r="375" spans="3:27">
      <c r="C375" s="94" t="str">
        <f t="shared" si="38"/>
        <v>Adulto</v>
      </c>
      <c r="D375" s="95" t="s">
        <v>1060</v>
      </c>
      <c r="E375" s="95" t="s">
        <v>784</v>
      </c>
      <c r="F375" s="95" t="s">
        <v>45</v>
      </c>
      <c r="G375" s="95">
        <v>3600230</v>
      </c>
      <c r="H375" s="96">
        <v>44382</v>
      </c>
      <c r="I375" s="95">
        <v>0.55230000000000001</v>
      </c>
      <c r="J375" s="95"/>
      <c r="K375" s="95"/>
      <c r="L375" s="95"/>
      <c r="M375" s="95"/>
      <c r="N375" s="95"/>
      <c r="O375" s="95"/>
      <c r="P375" s="95"/>
      <c r="Q375" s="95"/>
      <c r="R375" s="95"/>
      <c r="S375" s="95"/>
      <c r="T375" s="96">
        <v>18676</v>
      </c>
      <c r="U375" s="95"/>
      <c r="V375" s="95" t="s">
        <v>1061</v>
      </c>
      <c r="W375" s="232"/>
      <c r="X375" s="154"/>
      <c r="Y375" s="154"/>
      <c r="Z375" s="97"/>
      <c r="AA375" t="str">
        <f>IF(Tabla1[[#This Row],[Kerma en aire acumulada (Gy)]]&gt;1,SUMIF(G:G,Tabla1[[#This Row],[SIP]],I:I)-Tabla1[[#This Row],[Kerma en aire acumulada (Gy)]],"")</f>
        <v/>
      </c>
    </row>
    <row r="376" spans="3:27">
      <c r="C376" s="94" t="str">
        <f t="shared" si="38"/>
        <v>Adulto</v>
      </c>
      <c r="D376" s="95" t="s">
        <v>1027</v>
      </c>
      <c r="E376" s="95" t="s">
        <v>32</v>
      </c>
      <c r="F376" s="95" t="s">
        <v>83</v>
      </c>
      <c r="G376" s="95">
        <v>3790078</v>
      </c>
      <c r="H376" s="96">
        <v>44382</v>
      </c>
      <c r="I376" s="95">
        <v>4.0000000000000002E-4</v>
      </c>
      <c r="J376" s="95"/>
      <c r="K376" s="95"/>
      <c r="L376" s="95"/>
      <c r="M376" s="95"/>
      <c r="N376" s="95"/>
      <c r="O376" s="95"/>
      <c r="P376" s="95"/>
      <c r="Q376" s="95"/>
      <c r="R376" s="95"/>
      <c r="S376" s="95"/>
      <c r="T376" s="96">
        <v>28672</v>
      </c>
      <c r="U376" s="95"/>
      <c r="V376" s="95" t="s">
        <v>995</v>
      </c>
      <c r="W376" s="232"/>
      <c r="X376" s="154"/>
      <c r="Y376" s="154"/>
      <c r="Z376" s="97"/>
      <c r="AA376" t="str">
        <f>IF(Tabla1[[#This Row],[Kerma en aire acumulada (Gy)]]&gt;1,SUMIF(G:G,Tabla1[[#This Row],[SIP]],I:I)-Tabla1[[#This Row],[Kerma en aire acumulada (Gy)]],"")</f>
        <v/>
      </c>
    </row>
    <row r="377" spans="3:27">
      <c r="C377" s="89" t="str">
        <f t="shared" si="38"/>
        <v>Adulto</v>
      </c>
      <c r="D377" s="90" t="s">
        <v>634</v>
      </c>
      <c r="E377" s="90" t="s">
        <v>283</v>
      </c>
      <c r="F377" s="90" t="s">
        <v>1020</v>
      </c>
      <c r="G377" s="90">
        <v>3563590</v>
      </c>
      <c r="H377" s="91">
        <v>44382</v>
      </c>
      <c r="I377" s="90">
        <v>0.81399999999999995</v>
      </c>
      <c r="J377" s="90"/>
      <c r="K377" s="90"/>
      <c r="L377" s="90"/>
      <c r="M377" s="90"/>
      <c r="N377" s="90"/>
      <c r="O377" s="90"/>
      <c r="P377" s="90"/>
      <c r="Q377" s="90"/>
      <c r="R377" s="90"/>
      <c r="S377" s="90"/>
      <c r="T377" s="91">
        <v>23001</v>
      </c>
      <c r="U377" s="90"/>
      <c r="V377" s="90" t="s">
        <v>89</v>
      </c>
      <c r="W377" s="233"/>
      <c r="X377" s="202"/>
      <c r="Y377" s="202"/>
      <c r="Z377" s="93"/>
      <c r="AA377" t="str">
        <f>IF(Tabla1[[#This Row],[Kerma en aire acumulada (Gy)]]&gt;1,SUMIF(G:G,Tabla1[[#This Row],[SIP]],I:I)-Tabla1[[#This Row],[Kerma en aire acumulada (Gy)]],"")</f>
        <v/>
      </c>
    </row>
    <row r="378" spans="3:27">
      <c r="C378" s="89" t="str">
        <f t="shared" si="38"/>
        <v>Adulto</v>
      </c>
      <c r="D378" s="90" t="s">
        <v>660</v>
      </c>
      <c r="E378" s="90" t="s">
        <v>1027</v>
      </c>
      <c r="F378" s="90" t="s">
        <v>955</v>
      </c>
      <c r="G378" s="90">
        <v>4358774</v>
      </c>
      <c r="H378" s="91">
        <v>44382</v>
      </c>
      <c r="I378" s="90">
        <v>7.8E-2</v>
      </c>
      <c r="J378" s="90"/>
      <c r="K378" s="90"/>
      <c r="L378" s="90"/>
      <c r="M378" s="90"/>
      <c r="N378" s="90"/>
      <c r="O378" s="90"/>
      <c r="P378" s="90"/>
      <c r="Q378" s="90"/>
      <c r="R378" s="90"/>
      <c r="S378" s="90"/>
      <c r="T378" s="91">
        <v>15953</v>
      </c>
      <c r="U378" s="90"/>
      <c r="V378" s="90" t="s">
        <v>509</v>
      </c>
      <c r="W378" s="233"/>
      <c r="X378" s="202"/>
      <c r="Y378" s="202"/>
      <c r="Z378" s="93"/>
      <c r="AA378" t="str">
        <f>IF(Tabla1[[#This Row],[Kerma en aire acumulada (Gy)]]&gt;1,SUMIF(G:G,Tabla1[[#This Row],[SIP]],I:I)-Tabla1[[#This Row],[Kerma en aire acumulada (Gy)]],"")</f>
        <v/>
      </c>
    </row>
    <row r="379" spans="3:27">
      <c r="C379" s="89" t="str">
        <f t="shared" si="38"/>
        <v>Adulto</v>
      </c>
      <c r="D379" s="90" t="s">
        <v>1064</v>
      </c>
      <c r="E379" s="90" t="s">
        <v>22</v>
      </c>
      <c r="F379" s="90" t="s">
        <v>88</v>
      </c>
      <c r="G379" s="90">
        <v>3615004</v>
      </c>
      <c r="H379" s="91">
        <v>44383</v>
      </c>
      <c r="I379" s="90">
        <v>0.44900000000000001</v>
      </c>
      <c r="J379" s="90"/>
      <c r="K379" s="90"/>
      <c r="L379" s="90"/>
      <c r="M379" s="90"/>
      <c r="N379" s="90"/>
      <c r="O379" s="90"/>
      <c r="P379" s="90"/>
      <c r="Q379" s="90"/>
      <c r="R379" s="90"/>
      <c r="S379" s="90"/>
      <c r="T379" s="91">
        <v>21766</v>
      </c>
      <c r="U379" s="90"/>
      <c r="V379" s="90" t="s">
        <v>552</v>
      </c>
      <c r="W379" s="233"/>
      <c r="X379" s="202"/>
      <c r="Y379" s="202"/>
      <c r="Z379" s="93"/>
      <c r="AA379" t="str">
        <f>IF(Tabla1[[#This Row],[Kerma en aire acumulada (Gy)]]&gt;1,SUMIF(G:G,Tabla1[[#This Row],[SIP]],I:I)-Tabla1[[#This Row],[Kerma en aire acumulada (Gy)]],"")</f>
        <v/>
      </c>
    </row>
    <row r="380" spans="3:27">
      <c r="C380" s="89" t="str">
        <f t="shared" si="38"/>
        <v>Adulto</v>
      </c>
      <c r="D380" s="90" t="s">
        <v>1036</v>
      </c>
      <c r="E380" s="90" t="s">
        <v>1037</v>
      </c>
      <c r="F380" s="90" t="s">
        <v>1038</v>
      </c>
      <c r="G380" s="90">
        <v>1764197</v>
      </c>
      <c r="H380" s="91">
        <v>44383</v>
      </c>
      <c r="I380" s="90">
        <v>6.4099999999999999E-3</v>
      </c>
      <c r="J380" s="90"/>
      <c r="K380" s="90"/>
      <c r="L380" s="90"/>
      <c r="M380" s="90"/>
      <c r="N380" s="90"/>
      <c r="O380" s="90"/>
      <c r="P380" s="90"/>
      <c r="Q380" s="90"/>
      <c r="R380" s="90"/>
      <c r="S380" s="90"/>
      <c r="T380" s="91">
        <v>21829</v>
      </c>
      <c r="U380" s="90"/>
      <c r="V380" s="90" t="s">
        <v>995</v>
      </c>
      <c r="W380" s="233"/>
      <c r="X380" s="202"/>
      <c r="Y380" s="202"/>
      <c r="Z380" s="93"/>
      <c r="AA380" t="str">
        <f>IF(Tabla1[[#This Row],[Kerma en aire acumulada (Gy)]]&gt;1,SUMIF(G:G,Tabla1[[#This Row],[SIP]],I:I)-Tabla1[[#This Row],[Kerma en aire acumulada (Gy)]],"")</f>
        <v/>
      </c>
    </row>
    <row r="381" spans="3:27">
      <c r="C381" s="94" t="str">
        <f t="shared" si="38"/>
        <v>Adulto</v>
      </c>
      <c r="D381" s="95" t="s">
        <v>1033</v>
      </c>
      <c r="E381" s="95" t="s">
        <v>1034</v>
      </c>
      <c r="F381" s="95" t="s">
        <v>1035</v>
      </c>
      <c r="G381" s="95">
        <v>2873539</v>
      </c>
      <c r="H381" s="96">
        <v>44383</v>
      </c>
      <c r="I381" s="95">
        <v>2.5200000000000001E-3</v>
      </c>
      <c r="J381" s="95"/>
      <c r="K381" s="95"/>
      <c r="L381" s="95"/>
      <c r="M381" s="95"/>
      <c r="N381" s="95"/>
      <c r="O381" s="95"/>
      <c r="P381" s="95"/>
      <c r="Q381" s="95"/>
      <c r="R381" s="95"/>
      <c r="S381" s="95"/>
      <c r="T381" s="96">
        <v>20695</v>
      </c>
      <c r="U381" s="95"/>
      <c r="V381" s="95" t="s">
        <v>995</v>
      </c>
      <c r="W381" s="232"/>
      <c r="X381" s="154"/>
      <c r="Y381" s="154"/>
      <c r="Z381" s="97"/>
      <c r="AA381" t="str">
        <f>IF(Tabla1[[#This Row],[Kerma en aire acumulada (Gy)]]&gt;1,SUMIF(G:G,Tabla1[[#This Row],[SIP]],I:I)-Tabla1[[#This Row],[Kerma en aire acumulada (Gy)]],"")</f>
        <v/>
      </c>
    </row>
    <row r="382" spans="3:27">
      <c r="C382" s="94" t="str">
        <f t="shared" si="38"/>
        <v>Adulto</v>
      </c>
      <c r="D382" s="95" t="s">
        <v>1031</v>
      </c>
      <c r="E382" s="95" t="s">
        <v>146</v>
      </c>
      <c r="F382" s="95" t="s">
        <v>348</v>
      </c>
      <c r="G382" s="95">
        <v>2424312</v>
      </c>
      <c r="H382" s="96">
        <v>44383</v>
      </c>
      <c r="I382" s="95">
        <v>1.2840000000000001E-2</v>
      </c>
      <c r="J382" s="95"/>
      <c r="K382" s="95"/>
      <c r="L382" s="95"/>
      <c r="M382" s="95"/>
      <c r="N382" s="95"/>
      <c r="O382" s="95"/>
      <c r="P382" s="95"/>
      <c r="Q382" s="95"/>
      <c r="R382" s="95"/>
      <c r="S382" s="95"/>
      <c r="T382" s="96">
        <v>24788</v>
      </c>
      <c r="U382" s="95"/>
      <c r="V382" s="95" t="s">
        <v>1032</v>
      </c>
      <c r="W382" s="232"/>
      <c r="X382" s="154"/>
      <c r="Y382" s="154"/>
      <c r="Z382" s="97"/>
      <c r="AA382" t="str">
        <f>IF(Tabla1[[#This Row],[Kerma en aire acumulada (Gy)]]&gt;1,SUMIF(G:G,Tabla1[[#This Row],[SIP]],I:I)-Tabla1[[#This Row],[Kerma en aire acumulada (Gy)]],"")</f>
        <v/>
      </c>
    </row>
    <row r="383" spans="3:27">
      <c r="C383" s="94" t="str">
        <f t="shared" si="38"/>
        <v>Adulto</v>
      </c>
      <c r="D383" s="95" t="s">
        <v>1062</v>
      </c>
      <c r="E383" s="95" t="s">
        <v>1063</v>
      </c>
      <c r="F383" s="95" t="s">
        <v>142</v>
      </c>
      <c r="G383" s="95">
        <v>4474563</v>
      </c>
      <c r="H383" s="96">
        <v>44383</v>
      </c>
      <c r="I383" s="95">
        <v>0.36975000000000002</v>
      </c>
      <c r="J383" s="95"/>
      <c r="K383" s="95"/>
      <c r="L383" s="95"/>
      <c r="M383" s="95"/>
      <c r="N383" s="95"/>
      <c r="O383" s="95"/>
      <c r="P383" s="95"/>
      <c r="Q383" s="95"/>
      <c r="R383" s="95"/>
      <c r="S383" s="95"/>
      <c r="T383" s="96">
        <v>21887</v>
      </c>
      <c r="U383" s="95"/>
      <c r="V383" s="95" t="s">
        <v>95</v>
      </c>
      <c r="W383" s="232"/>
      <c r="X383" s="154"/>
      <c r="Y383" s="154"/>
      <c r="Z383" s="97"/>
      <c r="AA383" t="str">
        <f>IF(Tabla1[[#This Row],[Kerma en aire acumulada (Gy)]]&gt;1,SUMIF(G:G,Tabla1[[#This Row],[SIP]],I:I)-Tabla1[[#This Row],[Kerma en aire acumulada (Gy)]],"")</f>
        <v/>
      </c>
    </row>
    <row r="384" spans="3:27">
      <c r="C384" s="89" t="str">
        <f t="shared" si="38"/>
        <v>Adulto</v>
      </c>
      <c r="D384" s="90" t="s">
        <v>971</v>
      </c>
      <c r="E384" s="90" t="s">
        <v>948</v>
      </c>
      <c r="F384" s="90" t="s">
        <v>972</v>
      </c>
      <c r="G384" s="90">
        <v>1777454</v>
      </c>
      <c r="H384" s="91">
        <v>44383</v>
      </c>
      <c r="I384" s="90">
        <v>4.9000000000000002E-2</v>
      </c>
      <c r="J384" s="90"/>
      <c r="K384" s="90"/>
      <c r="L384" s="90"/>
      <c r="M384" s="90"/>
      <c r="N384" s="90"/>
      <c r="O384" s="90"/>
      <c r="P384" s="90"/>
      <c r="Q384" s="90"/>
      <c r="R384" s="90"/>
      <c r="S384" s="90"/>
      <c r="T384" s="91">
        <v>21339</v>
      </c>
      <c r="U384" s="90"/>
      <c r="V384" s="90" t="s">
        <v>1026</v>
      </c>
      <c r="W384" s="202"/>
      <c r="X384" s="202"/>
      <c r="Y384" s="202"/>
      <c r="Z384" s="93"/>
      <c r="AA384" t="str">
        <f>IF(Tabla1[[#This Row],[Kerma en aire acumulada (Gy)]]&gt;1,SUMIF(G:G,Tabla1[[#This Row],[SIP]],I:I)-Tabla1[[#This Row],[Kerma en aire acumulada (Gy)]],"")</f>
        <v/>
      </c>
    </row>
    <row r="385" spans="3:27">
      <c r="C385" s="89" t="str">
        <f t="shared" si="38"/>
        <v>Adulto</v>
      </c>
      <c r="D385" s="90" t="s">
        <v>77</v>
      </c>
      <c r="E385" s="90" t="s">
        <v>524</v>
      </c>
      <c r="F385" s="90" t="s">
        <v>1047</v>
      </c>
      <c r="G385" s="90">
        <v>2922695</v>
      </c>
      <c r="H385" s="91">
        <v>44384</v>
      </c>
      <c r="I385" s="90">
        <v>5.9199999999999999E-3</v>
      </c>
      <c r="J385" s="90"/>
      <c r="K385" s="90"/>
      <c r="L385" s="90"/>
      <c r="M385" s="90"/>
      <c r="N385" s="90"/>
      <c r="O385" s="90"/>
      <c r="P385" s="90"/>
      <c r="Q385" s="90"/>
      <c r="R385" s="90"/>
      <c r="S385" s="90"/>
      <c r="T385" s="91">
        <v>21521</v>
      </c>
      <c r="U385" s="90"/>
      <c r="V385" s="90" t="s">
        <v>143</v>
      </c>
      <c r="W385" s="233"/>
      <c r="X385" s="202"/>
      <c r="Y385" s="202"/>
      <c r="Z385" s="93"/>
      <c r="AA385" t="str">
        <f>IF(Tabla1[[#This Row],[Kerma en aire acumulada (Gy)]]&gt;1,SUMIF(G:G,Tabla1[[#This Row],[SIP]],I:I)-Tabla1[[#This Row],[Kerma en aire acumulada (Gy)]],"")</f>
        <v/>
      </c>
    </row>
    <row r="386" spans="3:27">
      <c r="C386" s="94" t="str">
        <f t="shared" si="38"/>
        <v>Adulto</v>
      </c>
      <c r="D386" s="95" t="s">
        <v>1065</v>
      </c>
      <c r="E386" s="95"/>
      <c r="F386" s="95" t="s">
        <v>1066</v>
      </c>
      <c r="G386" s="95">
        <v>7133238</v>
      </c>
      <c r="H386" s="96">
        <v>44384</v>
      </c>
      <c r="I386" s="95">
        <v>7.4999999999999997E-2</v>
      </c>
      <c r="J386" s="95"/>
      <c r="K386" s="95"/>
      <c r="L386" s="95"/>
      <c r="M386" s="95"/>
      <c r="N386" s="95"/>
      <c r="O386" s="95"/>
      <c r="P386" s="95"/>
      <c r="Q386" s="95"/>
      <c r="R386" s="95"/>
      <c r="S386" s="95"/>
      <c r="T386" s="96">
        <v>14657</v>
      </c>
      <c r="U386" s="95"/>
      <c r="V386" s="95" t="s">
        <v>1067</v>
      </c>
      <c r="W386" s="232"/>
      <c r="X386" s="154"/>
      <c r="Y386" s="154"/>
      <c r="Z386" s="97"/>
      <c r="AA386" t="str">
        <f>IF(Tabla1[[#This Row],[Kerma en aire acumulada (Gy)]]&gt;1,SUMIF(G:G,Tabla1[[#This Row],[SIP]],I:I)-Tabla1[[#This Row],[Kerma en aire acumulada (Gy)]],"")</f>
        <v/>
      </c>
    </row>
    <row r="387" spans="3:27">
      <c r="C387" s="89" t="str">
        <f t="shared" si="38"/>
        <v>Adulto</v>
      </c>
      <c r="D387" s="90" t="s">
        <v>104</v>
      </c>
      <c r="E387" s="90" t="s">
        <v>47</v>
      </c>
      <c r="F387" s="90" t="s">
        <v>321</v>
      </c>
      <c r="G387" s="90">
        <v>2335001</v>
      </c>
      <c r="H387" s="91">
        <v>44384</v>
      </c>
      <c r="I387" s="90">
        <v>9.1590000000000005E-2</v>
      </c>
      <c r="J387" s="90"/>
      <c r="K387" s="90"/>
      <c r="L387" s="90"/>
      <c r="M387" s="90"/>
      <c r="N387" s="90"/>
      <c r="O387" s="90"/>
      <c r="P387" s="90"/>
      <c r="Q387" s="90"/>
      <c r="R387" s="90"/>
      <c r="S387" s="90"/>
      <c r="T387" s="91">
        <v>23600</v>
      </c>
      <c r="U387" s="90"/>
      <c r="V387" s="90" t="s">
        <v>552</v>
      </c>
      <c r="W387" s="233"/>
      <c r="X387" s="202"/>
      <c r="Y387" s="202"/>
      <c r="Z387" s="93"/>
      <c r="AA387" t="str">
        <f>IF(Tabla1[[#This Row],[Kerma en aire acumulada (Gy)]]&gt;1,SUMIF(G:G,Tabla1[[#This Row],[SIP]],I:I)-Tabla1[[#This Row],[Kerma en aire acumulada (Gy)]],"")</f>
        <v/>
      </c>
    </row>
    <row r="388" spans="3:27" ht="15.75" thickBot="1">
      <c r="C388" s="166" t="str">
        <f t="shared" si="38"/>
        <v>Adulto</v>
      </c>
      <c r="D388" s="163" t="s">
        <v>1039</v>
      </c>
      <c r="E388" s="163" t="s">
        <v>1040</v>
      </c>
      <c r="F388" s="163" t="s">
        <v>356</v>
      </c>
      <c r="G388" s="163">
        <v>3385524</v>
      </c>
      <c r="H388" s="173">
        <v>44384</v>
      </c>
      <c r="I388" s="163">
        <v>5.2100000000000002E-3</v>
      </c>
      <c r="J388" s="163"/>
      <c r="K388" s="163"/>
      <c r="L388" s="163"/>
      <c r="M388" s="163"/>
      <c r="N388" s="163"/>
      <c r="O388" s="163"/>
      <c r="P388" s="163"/>
      <c r="Q388" s="163"/>
      <c r="R388" s="163"/>
      <c r="S388" s="163"/>
      <c r="T388" s="173">
        <v>21150</v>
      </c>
      <c r="U388" s="163"/>
      <c r="V388" s="163" t="s">
        <v>143</v>
      </c>
      <c r="W388" s="231"/>
      <c r="X388" s="160"/>
      <c r="Y388" s="160"/>
      <c r="Z388" s="172"/>
      <c r="AA388" t="str">
        <f>IF(Tabla1[[#This Row],[Kerma en aire acumulada (Gy)]]&gt;1,SUMIF(G:G,Tabla1[[#This Row],[SIP]],I:I)-Tabla1[[#This Row],[Kerma en aire acumulada (Gy)]],"")</f>
        <v/>
      </c>
    </row>
    <row r="389" spans="3:27">
      <c r="C389" s="155" t="str">
        <f t="shared" si="38"/>
        <v>Adulto</v>
      </c>
      <c r="D389" s="154" t="s">
        <v>968</v>
      </c>
      <c r="E389" s="154" t="s">
        <v>129</v>
      </c>
      <c r="F389" s="154" t="s">
        <v>662</v>
      </c>
      <c r="G389" s="154">
        <v>3778362</v>
      </c>
      <c r="H389" s="156">
        <v>44385</v>
      </c>
      <c r="I389" s="154">
        <v>4.5999999999999999E-2</v>
      </c>
      <c r="J389" s="154"/>
      <c r="K389" s="154"/>
      <c r="L389" s="154"/>
      <c r="M389" s="154"/>
      <c r="N389" s="154"/>
      <c r="O389" s="154"/>
      <c r="P389" s="154"/>
      <c r="Q389" s="154"/>
      <c r="R389" s="154"/>
      <c r="S389" s="154"/>
      <c r="T389" s="156">
        <v>25895</v>
      </c>
      <c r="U389" s="154"/>
      <c r="V389" s="154" t="s">
        <v>143</v>
      </c>
      <c r="W389" s="232"/>
      <c r="X389" s="154"/>
      <c r="Y389" s="154"/>
      <c r="Z389" s="174"/>
      <c r="AA389" t="str">
        <f>IF(Tabla1[[#This Row],[Kerma en aire acumulada (Gy)]]&gt;1,SUMIF(G:G,Tabla1[[#This Row],[SIP]],I:I)-Tabla1[[#This Row],[Kerma en aire acumulada (Gy)]],"")</f>
        <v/>
      </c>
    </row>
    <row r="390" spans="3:27">
      <c r="C390" s="94" t="str">
        <f t="shared" si="38"/>
        <v>Adulto</v>
      </c>
      <c r="D390" s="106" t="s">
        <v>1017</v>
      </c>
      <c r="E390" s="106" t="s">
        <v>829</v>
      </c>
      <c r="F390" s="95" t="s">
        <v>102</v>
      </c>
      <c r="G390" s="95">
        <v>3175410</v>
      </c>
      <c r="H390" s="96">
        <v>44385</v>
      </c>
      <c r="I390" s="95">
        <v>0.95399999999999996</v>
      </c>
      <c r="J390" s="95"/>
      <c r="K390" s="95"/>
      <c r="L390" s="95"/>
      <c r="M390" s="95"/>
      <c r="N390" s="95"/>
      <c r="O390" s="95"/>
      <c r="P390" s="95"/>
      <c r="Q390" s="95"/>
      <c r="R390" s="95"/>
      <c r="S390" s="95"/>
      <c r="T390" s="96">
        <v>14929</v>
      </c>
      <c r="U390" s="95"/>
      <c r="V390" s="95" t="s">
        <v>89</v>
      </c>
      <c r="W390" s="232"/>
      <c r="X390" s="154"/>
      <c r="Y390" s="154"/>
      <c r="Z390" s="97"/>
      <c r="AA390" t="str">
        <f>IF(Tabla1[[#This Row],[Kerma en aire acumulada (Gy)]]&gt;1,SUMIF(G:G,Tabla1[[#This Row],[SIP]],I:I)-Tabla1[[#This Row],[Kerma en aire acumulada (Gy)]],"")</f>
        <v/>
      </c>
    </row>
    <row r="391" spans="3:27">
      <c r="C391" s="157" t="str">
        <f t="shared" si="38"/>
        <v>Adulto</v>
      </c>
      <c r="D391" s="90" t="s">
        <v>660</v>
      </c>
      <c r="E391" s="90" t="s">
        <v>1027</v>
      </c>
      <c r="F391" s="90" t="s">
        <v>955</v>
      </c>
      <c r="G391" s="90">
        <v>4358774</v>
      </c>
      <c r="H391" s="91">
        <v>44385</v>
      </c>
      <c r="I391" s="90">
        <v>0.63500000000000001</v>
      </c>
      <c r="J391" s="90"/>
      <c r="K391" s="90"/>
      <c r="L391" s="90"/>
      <c r="M391" s="90"/>
      <c r="N391" s="90"/>
      <c r="O391" s="90"/>
      <c r="P391" s="90"/>
      <c r="Q391" s="90"/>
      <c r="R391" s="90"/>
      <c r="S391" s="90"/>
      <c r="T391" s="91">
        <v>15953</v>
      </c>
      <c r="U391" s="90"/>
      <c r="V391" s="90" t="s">
        <v>509</v>
      </c>
      <c r="W391" s="233"/>
      <c r="X391" s="202"/>
      <c r="Y391" s="202"/>
      <c r="Z391" s="93"/>
      <c r="AA391" t="str">
        <f>IF(Tabla1[[#This Row],[Kerma en aire acumulada (Gy)]]&gt;1,SUMIF(G:G,Tabla1[[#This Row],[SIP]],I:I)-Tabla1[[#This Row],[Kerma en aire acumulada (Gy)]],"")</f>
        <v/>
      </c>
    </row>
    <row r="392" spans="3:27">
      <c r="C392" s="157" t="str">
        <f t="shared" si="38"/>
        <v>Adulto</v>
      </c>
      <c r="D392" s="90" t="s">
        <v>1068</v>
      </c>
      <c r="E392" s="90" t="s">
        <v>319</v>
      </c>
      <c r="F392" s="90" t="s">
        <v>88</v>
      </c>
      <c r="G392" s="90">
        <v>2968897</v>
      </c>
      <c r="H392" s="91">
        <v>44386</v>
      </c>
      <c r="I392" s="90">
        <v>0.02</v>
      </c>
      <c r="J392" s="90"/>
      <c r="K392" s="90"/>
      <c r="L392" s="90"/>
      <c r="M392" s="90"/>
      <c r="N392" s="90"/>
      <c r="O392" s="90"/>
      <c r="P392" s="90"/>
      <c r="Q392" s="90"/>
      <c r="R392" s="90"/>
      <c r="S392" s="90"/>
      <c r="T392" s="91">
        <v>24000</v>
      </c>
      <c r="U392" s="90"/>
      <c r="V392" s="90" t="s">
        <v>995</v>
      </c>
      <c r="W392" s="233"/>
      <c r="X392" s="202"/>
      <c r="Y392" s="202"/>
      <c r="Z392" s="93"/>
      <c r="AA392" t="str">
        <f>IF(Tabla1[[#This Row],[Kerma en aire acumulada (Gy)]]&gt;1,SUMIF(G:G,Tabla1[[#This Row],[SIP]],I:I)-Tabla1[[#This Row],[Kerma en aire acumulada (Gy)]],"")</f>
        <v/>
      </c>
    </row>
    <row r="393" spans="3:27">
      <c r="C393" s="155" t="str">
        <f t="shared" ref="C393:C446" si="42">IF(OR(H393="",T393=""),"",IF((H393-T393)/12/30&lt;18,"Pediátrico","Adulto"))</f>
        <v>Adulto</v>
      </c>
      <c r="D393" s="95" t="s">
        <v>631</v>
      </c>
      <c r="E393" s="95" t="s">
        <v>634</v>
      </c>
      <c r="F393" s="95" t="s">
        <v>1050</v>
      </c>
      <c r="G393" s="95">
        <v>1979326</v>
      </c>
      <c r="H393" s="96">
        <v>44386</v>
      </c>
      <c r="I393" s="95">
        <v>5.2599999999999999E-3</v>
      </c>
      <c r="J393" s="95"/>
      <c r="K393" s="95"/>
      <c r="L393" s="95"/>
      <c r="M393" s="95"/>
      <c r="N393" s="95"/>
      <c r="O393" s="95"/>
      <c r="P393" s="95"/>
      <c r="Q393" s="95"/>
      <c r="R393" s="95"/>
      <c r="S393" s="95"/>
      <c r="T393" s="96">
        <v>24809</v>
      </c>
      <c r="U393" s="95"/>
      <c r="V393" s="95" t="s">
        <v>143</v>
      </c>
      <c r="W393" s="232"/>
      <c r="X393" s="154"/>
      <c r="Y393" s="154"/>
      <c r="Z393" s="97"/>
      <c r="AA393" t="str">
        <f>IF(Tabla1[[#This Row],[Kerma en aire acumulada (Gy)]]&gt;1,SUMIF(G:G,Tabla1[[#This Row],[SIP]],I:I)-Tabla1[[#This Row],[Kerma en aire acumulada (Gy)]],"")</f>
        <v/>
      </c>
    </row>
    <row r="394" spans="3:27">
      <c r="C394" s="155" t="str">
        <f t="shared" si="42"/>
        <v>Adulto</v>
      </c>
      <c r="D394" s="95" t="s">
        <v>1018</v>
      </c>
      <c r="E394" s="95" t="s">
        <v>104</v>
      </c>
      <c r="F394" s="95" t="s">
        <v>102</v>
      </c>
      <c r="G394" s="95">
        <v>3730388</v>
      </c>
      <c r="H394" s="96">
        <v>44386</v>
      </c>
      <c r="I394" s="95">
        <v>1.3109999999999999</v>
      </c>
      <c r="J394" s="95"/>
      <c r="K394" s="95"/>
      <c r="L394" s="95"/>
      <c r="M394" s="95"/>
      <c r="N394" s="95"/>
      <c r="O394" s="95"/>
      <c r="P394" s="95"/>
      <c r="Q394" s="95"/>
      <c r="R394" s="95"/>
      <c r="S394" s="95"/>
      <c r="T394" s="96">
        <v>19074</v>
      </c>
      <c r="U394" s="95"/>
      <c r="V394" s="95" t="s">
        <v>530</v>
      </c>
      <c r="W394" s="232"/>
      <c r="X394" s="154"/>
      <c r="Y394" s="154"/>
      <c r="Z394" s="97"/>
      <c r="AA394">
        <f>IF(Tabla1[[#This Row],[Kerma en aire acumulada (Gy)]]&gt;1,SUMIF(G:G,Tabla1[[#This Row],[SIP]],I:I)-Tabla1[[#This Row],[Kerma en aire acumulada (Gy)]],"")</f>
        <v>0</v>
      </c>
    </row>
    <row r="395" spans="3:27">
      <c r="C395" s="157" t="str">
        <f t="shared" si="42"/>
        <v>Adulto</v>
      </c>
      <c r="D395" s="101" t="s">
        <v>189</v>
      </c>
      <c r="E395" s="101" t="s">
        <v>6</v>
      </c>
      <c r="F395" s="101" t="s">
        <v>7</v>
      </c>
      <c r="G395" s="101">
        <v>2932156</v>
      </c>
      <c r="H395" s="102">
        <v>44386</v>
      </c>
      <c r="I395" s="101">
        <v>0.56499999999999995</v>
      </c>
      <c r="J395" s="101" t="s">
        <v>256</v>
      </c>
      <c r="K395" s="101"/>
      <c r="L395" s="101"/>
      <c r="M395" s="101"/>
      <c r="N395" s="101"/>
      <c r="O395" s="101"/>
      <c r="P395" s="101"/>
      <c r="Q395" s="101"/>
      <c r="R395" s="101"/>
      <c r="S395" s="101"/>
      <c r="T395" s="102">
        <v>21548</v>
      </c>
      <c r="U395" s="101" t="s">
        <v>512</v>
      </c>
      <c r="V395" s="101" t="s">
        <v>89</v>
      </c>
      <c r="W395" s="158" t="str">
        <f>CONCATENATE(D395,$A$591,E395,",",F395)</f>
        <v>Giner Ortega,Francisca</v>
      </c>
      <c r="X395" s="211"/>
      <c r="Y395" s="211"/>
      <c r="Z395" s="103" t="s">
        <v>265</v>
      </c>
      <c r="AA395" t="str">
        <f>IF(Tabla1[[#This Row],[Kerma en aire acumulada (Gy)]]&gt;1,SUMIF(G:G,Tabla1[[#This Row],[SIP]],I:I)-Tabla1[[#This Row],[Kerma en aire acumulada (Gy)]],"")</f>
        <v/>
      </c>
    </row>
    <row r="396" spans="3:27">
      <c r="C396" s="155" t="str">
        <f t="shared" si="42"/>
        <v>Adulto</v>
      </c>
      <c r="D396" s="95" t="s">
        <v>1051</v>
      </c>
      <c r="E396" s="95" t="s">
        <v>839</v>
      </c>
      <c r="F396" s="95" t="s">
        <v>823</v>
      </c>
      <c r="G396" s="95">
        <v>2413881</v>
      </c>
      <c r="H396" s="96">
        <v>44386</v>
      </c>
      <c r="I396" s="95">
        <v>0.1578</v>
      </c>
      <c r="J396" s="95"/>
      <c r="K396" s="95"/>
      <c r="L396" s="95"/>
      <c r="M396" s="95"/>
      <c r="N396" s="95"/>
      <c r="O396" s="95"/>
      <c r="P396" s="95"/>
      <c r="Q396" s="95"/>
      <c r="R396" s="95"/>
      <c r="S396" s="95"/>
      <c r="T396" s="96">
        <v>16507</v>
      </c>
      <c r="U396" s="95"/>
      <c r="V396" s="95" t="s">
        <v>812</v>
      </c>
      <c r="W396" s="232"/>
      <c r="X396" s="154"/>
      <c r="Y396" s="154"/>
      <c r="Z396" s="97"/>
      <c r="AA396" t="str">
        <f>IF(Tabla1[[#This Row],[Kerma en aire acumulada (Gy)]]&gt;1,SUMIF(G:G,Tabla1[[#This Row],[SIP]],I:I)-Tabla1[[#This Row],[Kerma en aire acumulada (Gy)]],"")</f>
        <v/>
      </c>
    </row>
    <row r="397" spans="3:27">
      <c r="C397" s="157" t="str">
        <f t="shared" si="42"/>
        <v>Adulto</v>
      </c>
      <c r="D397" s="90" t="s">
        <v>1048</v>
      </c>
      <c r="E397" s="90" t="s">
        <v>1049</v>
      </c>
      <c r="F397" s="90" t="s">
        <v>798</v>
      </c>
      <c r="G397" s="90">
        <v>4968541</v>
      </c>
      <c r="H397" s="91">
        <v>44386</v>
      </c>
      <c r="I397" s="90">
        <v>1.57E-3</v>
      </c>
      <c r="J397" s="90"/>
      <c r="K397" s="90"/>
      <c r="L397" s="90"/>
      <c r="M397" s="90"/>
      <c r="N397" s="90"/>
      <c r="O397" s="90"/>
      <c r="P397" s="90"/>
      <c r="Q397" s="90"/>
      <c r="R397" s="90"/>
      <c r="S397" s="90"/>
      <c r="T397" s="91">
        <v>17167</v>
      </c>
      <c r="U397" s="90"/>
      <c r="V397" s="90" t="s">
        <v>143</v>
      </c>
      <c r="W397" s="233"/>
      <c r="X397" s="202"/>
      <c r="Y397" s="202"/>
      <c r="Z397" s="93"/>
      <c r="AA397" t="str">
        <f>IF(Tabla1[[#This Row],[Kerma en aire acumulada (Gy)]]&gt;1,SUMIF(G:G,Tabla1[[#This Row],[SIP]],I:I)-Tabla1[[#This Row],[Kerma en aire acumulada (Gy)]],"")</f>
        <v/>
      </c>
    </row>
    <row r="398" spans="3:27" ht="15.75" thickBot="1">
      <c r="C398" s="206" t="str">
        <f t="shared" si="42"/>
        <v>Adulto</v>
      </c>
      <c r="D398" s="181" t="s">
        <v>524</v>
      </c>
      <c r="E398" s="181" t="s">
        <v>1070</v>
      </c>
      <c r="F398" s="181" t="s">
        <v>1071</v>
      </c>
      <c r="G398" s="181">
        <v>4255760</v>
      </c>
      <c r="H398" s="194">
        <v>44388</v>
      </c>
      <c r="I398" s="222">
        <v>0.82599999999999996</v>
      </c>
      <c r="J398" s="181"/>
      <c r="K398" s="181"/>
      <c r="L398" s="181"/>
      <c r="M398" s="181"/>
      <c r="N398" s="181"/>
      <c r="O398" s="181"/>
      <c r="P398" s="181"/>
      <c r="Q398" s="181"/>
      <c r="R398" s="181"/>
      <c r="S398" s="181"/>
      <c r="T398" s="194">
        <v>27345</v>
      </c>
      <c r="U398" s="181"/>
      <c r="V398" s="181" t="s">
        <v>863</v>
      </c>
      <c r="W398" s="235"/>
      <c r="X398" s="209"/>
      <c r="Y398" s="209"/>
      <c r="Z398" s="164"/>
      <c r="AA398" t="str">
        <f>IF(Tabla1[[#This Row],[Kerma en aire acumulada (Gy)]]&gt;1,SUMIF(G:G,Tabla1[[#This Row],[SIP]],I:I)-Tabla1[[#This Row],[Kerma en aire acumulada (Gy)]],"")</f>
        <v/>
      </c>
    </row>
    <row r="399" spans="3:27">
      <c r="C399" s="155" t="str">
        <f t="shared" si="42"/>
        <v>Adulto</v>
      </c>
      <c r="D399" s="154" t="s">
        <v>1072</v>
      </c>
      <c r="E399" s="154" t="s">
        <v>1073</v>
      </c>
      <c r="F399" s="154" t="s">
        <v>1074</v>
      </c>
      <c r="G399" s="154">
        <v>576611</v>
      </c>
      <c r="H399" s="156">
        <v>44389</v>
      </c>
      <c r="I399" s="220">
        <v>0.154</v>
      </c>
      <c r="J399" s="154"/>
      <c r="K399" s="154"/>
      <c r="L399" s="154"/>
      <c r="M399" s="154"/>
      <c r="N399" s="154"/>
      <c r="O399" s="154"/>
      <c r="P399" s="154"/>
      <c r="Q399" s="154"/>
      <c r="R399" s="154"/>
      <c r="S399" s="154"/>
      <c r="T399" s="156">
        <v>25978</v>
      </c>
      <c r="U399" s="154"/>
      <c r="V399" s="154" t="s">
        <v>1061</v>
      </c>
      <c r="W399" s="232"/>
      <c r="X399" s="154"/>
      <c r="Y399" s="154"/>
      <c r="Z399" s="174"/>
      <c r="AA399" t="str">
        <f>IF(Tabla1[[#This Row],[Kerma en aire acumulada (Gy)]]&gt;1,SUMIF(G:G,Tabla1[[#This Row],[SIP]],I:I)-Tabla1[[#This Row],[Kerma en aire acumulada (Gy)]],"")</f>
        <v/>
      </c>
    </row>
    <row r="400" spans="3:27">
      <c r="C400" s="157" t="str">
        <f t="shared" si="42"/>
        <v>Adulto</v>
      </c>
      <c r="D400" s="90" t="s">
        <v>105</v>
      </c>
      <c r="E400" s="90" t="s">
        <v>524</v>
      </c>
      <c r="F400" s="90" t="s">
        <v>1052</v>
      </c>
      <c r="G400" s="90">
        <v>2407392</v>
      </c>
      <c r="H400" s="91">
        <v>44389</v>
      </c>
      <c r="I400" s="90">
        <v>1.073E-2</v>
      </c>
      <c r="J400" s="90"/>
      <c r="K400" s="90"/>
      <c r="L400" s="90"/>
      <c r="M400" s="90"/>
      <c r="N400" s="90"/>
      <c r="O400" s="90"/>
      <c r="P400" s="90"/>
      <c r="Q400" s="90"/>
      <c r="R400" s="90"/>
      <c r="S400" s="90"/>
      <c r="T400" s="91">
        <v>21375</v>
      </c>
      <c r="U400" s="90"/>
      <c r="V400" s="90" t="s">
        <v>1053</v>
      </c>
      <c r="W400" s="233"/>
      <c r="X400" s="202"/>
      <c r="Y400" s="202"/>
      <c r="Z400" s="93"/>
      <c r="AA400" t="str">
        <f>IF(Tabla1[[#This Row],[Kerma en aire acumulada (Gy)]]&gt;1,SUMIF(G:G,Tabla1[[#This Row],[SIP]],I:I)-Tabla1[[#This Row],[Kerma en aire acumulada (Gy)]],"")</f>
        <v/>
      </c>
    </row>
    <row r="401" spans="3:27">
      <c r="C401" s="155" t="str">
        <f t="shared" si="42"/>
        <v>Adulto</v>
      </c>
      <c r="D401" s="95" t="s">
        <v>1054</v>
      </c>
      <c r="E401" s="95" t="s">
        <v>77</v>
      </c>
      <c r="F401" s="95" t="s">
        <v>1055</v>
      </c>
      <c r="G401" s="95">
        <v>2856992</v>
      </c>
      <c r="H401" s="96">
        <v>44389</v>
      </c>
      <c r="I401" s="95">
        <v>4.9500000000000004E-3</v>
      </c>
      <c r="J401" s="95"/>
      <c r="K401" s="95"/>
      <c r="L401" s="95"/>
      <c r="M401" s="95"/>
      <c r="N401" s="95"/>
      <c r="O401" s="95"/>
      <c r="P401" s="95"/>
      <c r="Q401" s="95"/>
      <c r="R401" s="95"/>
      <c r="S401" s="95"/>
      <c r="T401" s="96">
        <v>17046</v>
      </c>
      <c r="U401" s="95"/>
      <c r="V401" s="95" t="s">
        <v>1053</v>
      </c>
      <c r="W401" s="232"/>
      <c r="X401" s="154"/>
      <c r="Y401" s="154"/>
      <c r="Z401" s="97"/>
      <c r="AA401" t="str">
        <f>IF(Tabla1[[#This Row],[Kerma en aire acumulada (Gy)]]&gt;1,SUMIF(G:G,Tabla1[[#This Row],[SIP]],I:I)-Tabla1[[#This Row],[Kerma en aire acumulada (Gy)]],"")</f>
        <v/>
      </c>
    </row>
    <row r="402" spans="3:27">
      <c r="C402" s="157" t="str">
        <f t="shared" si="42"/>
        <v>Adulto</v>
      </c>
      <c r="D402" s="106" t="s">
        <v>1017</v>
      </c>
      <c r="E402" s="106" t="s">
        <v>829</v>
      </c>
      <c r="F402" s="90" t="s">
        <v>102</v>
      </c>
      <c r="G402" s="90">
        <v>3175410</v>
      </c>
      <c r="H402" s="91">
        <v>44389</v>
      </c>
      <c r="I402" s="90">
        <v>1.8580000000000001</v>
      </c>
      <c r="J402" s="90"/>
      <c r="K402" s="90"/>
      <c r="L402" s="90"/>
      <c r="M402" s="90"/>
      <c r="N402" s="90"/>
      <c r="O402" s="90"/>
      <c r="P402" s="90"/>
      <c r="Q402" s="90"/>
      <c r="R402" s="90"/>
      <c r="S402" s="90"/>
      <c r="T402" s="91">
        <v>14929</v>
      </c>
      <c r="U402" s="90"/>
      <c r="V402" s="90" t="s">
        <v>89</v>
      </c>
      <c r="W402" s="233"/>
      <c r="X402" s="202"/>
      <c r="Y402" s="202"/>
      <c r="Z402" s="93"/>
      <c r="AA402">
        <f>IF(Tabla1[[#This Row],[Kerma en aire acumulada (Gy)]]&gt;1,SUMIF(G:G,Tabla1[[#This Row],[SIP]],I:I)-Tabla1[[#This Row],[Kerma en aire acumulada (Gy)]],"")</f>
        <v>1.5791600000000003</v>
      </c>
    </row>
    <row r="403" spans="3:27">
      <c r="C403" s="155" t="str">
        <f t="shared" si="42"/>
        <v>Adulto</v>
      </c>
      <c r="D403" s="95" t="s">
        <v>1054</v>
      </c>
      <c r="E403" s="95" t="s">
        <v>77</v>
      </c>
      <c r="F403" s="95" t="s">
        <v>1055</v>
      </c>
      <c r="G403" s="95">
        <v>2856992</v>
      </c>
      <c r="H403" s="96">
        <v>44390</v>
      </c>
      <c r="I403" s="95">
        <v>3.0899999999999999E-3</v>
      </c>
      <c r="J403" s="95"/>
      <c r="K403" s="95"/>
      <c r="L403" s="95"/>
      <c r="M403" s="95"/>
      <c r="N403" s="95"/>
      <c r="O403" s="95"/>
      <c r="P403" s="95"/>
      <c r="Q403" s="95"/>
      <c r="R403" s="95"/>
      <c r="S403" s="95"/>
      <c r="T403" s="96">
        <v>17046</v>
      </c>
      <c r="U403" s="95"/>
      <c r="V403" s="95" t="s">
        <v>1053</v>
      </c>
      <c r="W403" s="232"/>
      <c r="X403" s="154"/>
      <c r="Y403" s="154"/>
      <c r="Z403" s="97"/>
      <c r="AA403" t="str">
        <f>IF(Tabla1[[#This Row],[Kerma en aire acumulada (Gy)]]&gt;1,SUMIF(G:G,Tabla1[[#This Row],[SIP]],I:I)-Tabla1[[#This Row],[Kerma en aire acumulada (Gy)]],"")</f>
        <v/>
      </c>
    </row>
    <row r="404" spans="3:27">
      <c r="C404" s="155" t="str">
        <f t="shared" si="42"/>
        <v>Adulto</v>
      </c>
      <c r="D404" s="95" t="s">
        <v>157</v>
      </c>
      <c r="E404" s="95" t="s">
        <v>82</v>
      </c>
      <c r="F404" s="95" t="s">
        <v>88</v>
      </c>
      <c r="G404" s="95">
        <v>3089388</v>
      </c>
      <c r="H404" s="96">
        <v>44390</v>
      </c>
      <c r="I404" s="105">
        <v>0.50900000000000001</v>
      </c>
      <c r="J404" s="95"/>
      <c r="K404" s="95"/>
      <c r="L404" s="95"/>
      <c r="M404" s="95"/>
      <c r="N404" s="95"/>
      <c r="O404" s="95"/>
      <c r="P404" s="95"/>
      <c r="Q404" s="95"/>
      <c r="R404" s="95"/>
      <c r="S404" s="95"/>
      <c r="T404" s="96">
        <v>17533</v>
      </c>
      <c r="U404" s="95"/>
      <c r="V404" s="95" t="s">
        <v>92</v>
      </c>
      <c r="W404" s="232"/>
      <c r="X404" s="154"/>
      <c r="Y404" s="154"/>
      <c r="Z404" s="97"/>
      <c r="AA404" t="str">
        <f>IF(Tabla1[[#This Row],[Kerma en aire acumulada (Gy)]]&gt;1,SUMIF(G:G,Tabla1[[#This Row],[SIP]],I:I)-Tabla1[[#This Row],[Kerma en aire acumulada (Gy)]],"")</f>
        <v/>
      </c>
    </row>
    <row r="405" spans="3:27">
      <c r="C405" s="157" t="str">
        <f t="shared" si="42"/>
        <v>Adulto</v>
      </c>
      <c r="D405" s="90" t="s">
        <v>1021</v>
      </c>
      <c r="E405" s="90" t="s">
        <v>365</v>
      </c>
      <c r="F405" s="90" t="s">
        <v>83</v>
      </c>
      <c r="G405" s="90">
        <v>2405995</v>
      </c>
      <c r="H405" s="91">
        <v>44390</v>
      </c>
      <c r="I405" s="90">
        <v>3.7999999999999999E-2</v>
      </c>
      <c r="J405" s="90"/>
      <c r="K405" s="90"/>
      <c r="L405" s="90"/>
      <c r="M405" s="90"/>
      <c r="N405" s="90"/>
      <c r="O405" s="90"/>
      <c r="P405" s="90"/>
      <c r="Q405" s="90"/>
      <c r="R405" s="90"/>
      <c r="S405" s="90"/>
      <c r="T405" s="91">
        <v>14719</v>
      </c>
      <c r="U405" s="90"/>
      <c r="V405" s="90" t="s">
        <v>999</v>
      </c>
      <c r="W405" s="233"/>
      <c r="X405" s="202"/>
      <c r="Y405" s="202"/>
      <c r="Z405" s="93"/>
      <c r="AA405" t="str">
        <f>IF(Tabla1[[#This Row],[Kerma en aire acumulada (Gy)]]&gt;1,SUMIF(G:G,Tabla1[[#This Row],[SIP]],I:I)-Tabla1[[#This Row],[Kerma en aire acumulada (Gy)]],"")</f>
        <v/>
      </c>
    </row>
    <row r="406" spans="3:27">
      <c r="C406" s="157" t="str">
        <f t="shared" si="42"/>
        <v>Adulto</v>
      </c>
      <c r="D406" s="90" t="s">
        <v>353</v>
      </c>
      <c r="E406" s="90" t="s">
        <v>1043</v>
      </c>
      <c r="F406" s="90" t="s">
        <v>356</v>
      </c>
      <c r="G406" s="90">
        <v>11176480</v>
      </c>
      <c r="H406" s="91">
        <v>44390</v>
      </c>
      <c r="I406" s="90">
        <v>0.187</v>
      </c>
      <c r="J406" s="90"/>
      <c r="K406" s="90"/>
      <c r="L406" s="90"/>
      <c r="M406" s="90"/>
      <c r="N406" s="90"/>
      <c r="O406" s="90"/>
      <c r="P406" s="90"/>
      <c r="Q406" s="90"/>
      <c r="R406" s="90"/>
      <c r="S406" s="90"/>
      <c r="T406" s="91">
        <v>21770</v>
      </c>
      <c r="U406" s="90"/>
      <c r="V406" s="90" t="s">
        <v>552</v>
      </c>
      <c r="W406" s="233"/>
      <c r="X406" s="202"/>
      <c r="Y406" s="202"/>
      <c r="Z406" s="93"/>
      <c r="AA406" t="str">
        <f>IF(Tabla1[[#This Row],[Kerma en aire acumulada (Gy)]]&gt;1,SUMIF(G:G,Tabla1[[#This Row],[SIP]],I:I)-Tabla1[[#This Row],[Kerma en aire acumulada (Gy)]],"")</f>
        <v/>
      </c>
    </row>
    <row r="407" spans="3:27">
      <c r="C407" s="155" t="str">
        <f t="shared" si="42"/>
        <v>Adulto</v>
      </c>
      <c r="D407" s="95" t="s">
        <v>1041</v>
      </c>
      <c r="E407" s="95" t="s">
        <v>1042</v>
      </c>
      <c r="F407" s="95" t="s">
        <v>117</v>
      </c>
      <c r="G407" s="95">
        <v>159095</v>
      </c>
      <c r="H407" s="96">
        <v>44390</v>
      </c>
      <c r="I407" s="95">
        <v>7.1999999999999995E-2</v>
      </c>
      <c r="J407" s="95"/>
      <c r="K407" s="95"/>
      <c r="L407" s="95"/>
      <c r="M407" s="95"/>
      <c r="N407" s="95"/>
      <c r="O407" s="95"/>
      <c r="P407" s="95"/>
      <c r="Q407" s="95"/>
      <c r="R407" s="95"/>
      <c r="S407" s="95"/>
      <c r="T407" s="96">
        <v>25438</v>
      </c>
      <c r="U407" s="95"/>
      <c r="V407" s="95" t="s">
        <v>841</v>
      </c>
      <c r="W407" s="232"/>
      <c r="X407" s="154"/>
      <c r="Y407" s="154"/>
      <c r="Z407" s="97"/>
      <c r="AA407" t="str">
        <f>IF(Tabla1[[#This Row],[Kerma en aire acumulada (Gy)]]&gt;1,SUMIF(G:G,Tabla1[[#This Row],[SIP]],I:I)-Tabla1[[#This Row],[Kerma en aire acumulada (Gy)]],"")</f>
        <v/>
      </c>
    </row>
    <row r="408" spans="3:27">
      <c r="C408" s="157" t="str">
        <f t="shared" si="42"/>
        <v>Adulto</v>
      </c>
      <c r="D408" s="90" t="s">
        <v>1044</v>
      </c>
      <c r="E408" s="90" t="s">
        <v>678</v>
      </c>
      <c r="F408" s="90" t="s">
        <v>37</v>
      </c>
      <c r="G408" s="90">
        <v>2352065</v>
      </c>
      <c r="H408" s="91">
        <v>44391</v>
      </c>
      <c r="I408" s="90">
        <v>1.163</v>
      </c>
      <c r="J408" s="90"/>
      <c r="K408" s="90"/>
      <c r="L408" s="90"/>
      <c r="M408" s="90"/>
      <c r="N408" s="90"/>
      <c r="O408" s="90"/>
      <c r="P408" s="90"/>
      <c r="Q408" s="90"/>
      <c r="R408" s="90"/>
      <c r="S408" s="90"/>
      <c r="T408" s="91">
        <v>24753</v>
      </c>
      <c r="U408" s="90"/>
      <c r="V408" s="90" t="s">
        <v>128</v>
      </c>
      <c r="W408" s="233"/>
      <c r="X408" s="202"/>
      <c r="Y408" s="202"/>
      <c r="Z408" s="93"/>
      <c r="AA408">
        <f>IF(Tabla1[[#This Row],[Kerma en aire acumulada (Gy)]]&gt;1,SUMIF(G:G,Tabla1[[#This Row],[SIP]],I:I)-Tabla1[[#This Row],[Kerma en aire acumulada (Gy)]],"")</f>
        <v>0</v>
      </c>
    </row>
    <row r="409" spans="3:27">
      <c r="C409" s="155" t="str">
        <f t="shared" si="42"/>
        <v>Adulto</v>
      </c>
      <c r="D409" s="95" t="s">
        <v>104</v>
      </c>
      <c r="E409" s="95" t="s">
        <v>1045</v>
      </c>
      <c r="F409" s="95" t="s">
        <v>1046</v>
      </c>
      <c r="G409" s="95">
        <v>3893551</v>
      </c>
      <c r="H409" s="96">
        <v>44391</v>
      </c>
      <c r="I409" s="95">
        <v>0.4345</v>
      </c>
      <c r="J409" s="95"/>
      <c r="K409" s="95"/>
      <c r="L409" s="95"/>
      <c r="M409" s="95"/>
      <c r="N409" s="95"/>
      <c r="O409" s="95"/>
      <c r="P409" s="95"/>
      <c r="Q409" s="95"/>
      <c r="R409" s="95"/>
      <c r="S409" s="95"/>
      <c r="T409" s="96">
        <v>16169</v>
      </c>
      <c r="U409" s="95"/>
      <c r="V409" s="95" t="s">
        <v>128</v>
      </c>
      <c r="W409" s="232"/>
      <c r="X409" s="154"/>
      <c r="Y409" s="154"/>
      <c r="Z409" s="97"/>
      <c r="AA409" t="str">
        <f>IF(Tabla1[[#This Row],[Kerma en aire acumulada (Gy)]]&gt;1,SUMIF(G:G,Tabla1[[#This Row],[SIP]],I:I)-Tabla1[[#This Row],[Kerma en aire acumulada (Gy)]],"")</f>
        <v/>
      </c>
    </row>
    <row r="410" spans="3:27">
      <c r="C410" s="157" t="str">
        <f t="shared" si="42"/>
        <v>Adulto</v>
      </c>
      <c r="D410" s="90" t="s">
        <v>368</v>
      </c>
      <c r="E410" s="90" t="s">
        <v>1056</v>
      </c>
      <c r="F410" s="90" t="s">
        <v>1057</v>
      </c>
      <c r="G410" s="90">
        <v>2862167</v>
      </c>
      <c r="H410" s="91">
        <v>44391</v>
      </c>
      <c r="I410" s="90">
        <v>1.9400000000000001E-3</v>
      </c>
      <c r="J410" s="90"/>
      <c r="K410" s="90"/>
      <c r="L410" s="90"/>
      <c r="M410" s="90"/>
      <c r="N410" s="90"/>
      <c r="O410" s="90"/>
      <c r="P410" s="90"/>
      <c r="Q410" s="90"/>
      <c r="R410" s="90"/>
      <c r="S410" s="90"/>
      <c r="T410" s="91">
        <v>17478</v>
      </c>
      <c r="U410" s="90"/>
      <c r="V410" s="90" t="s">
        <v>1058</v>
      </c>
      <c r="W410" s="233"/>
      <c r="X410" s="202"/>
      <c r="Y410" s="202"/>
      <c r="Z410" s="93"/>
      <c r="AA410" t="str">
        <f>IF(Tabla1[[#This Row],[Kerma en aire acumulada (Gy)]]&gt;1,SUMIF(G:G,Tabla1[[#This Row],[SIP]],I:I)-Tabla1[[#This Row],[Kerma en aire acumulada (Gy)]],"")</f>
        <v/>
      </c>
    </row>
    <row r="411" spans="3:27" ht="15.75" thickBot="1">
      <c r="C411" s="159" t="str">
        <f t="shared" si="42"/>
        <v>Adulto</v>
      </c>
      <c r="D411" s="163" t="s">
        <v>1022</v>
      </c>
      <c r="E411" s="163" t="s">
        <v>70</v>
      </c>
      <c r="F411" s="163" t="s">
        <v>1023</v>
      </c>
      <c r="G411" s="163">
        <v>3366557</v>
      </c>
      <c r="H411" s="173">
        <v>44392</v>
      </c>
      <c r="I411" s="163">
        <f>0.97/1000</f>
        <v>9.6999999999999994E-4</v>
      </c>
      <c r="J411" s="163"/>
      <c r="K411" s="163"/>
      <c r="L411" s="163"/>
      <c r="M411" s="163"/>
      <c r="N411" s="163"/>
      <c r="O411" s="163"/>
      <c r="P411" s="163"/>
      <c r="Q411" s="163"/>
      <c r="R411" s="163"/>
      <c r="S411" s="163"/>
      <c r="T411" s="173">
        <v>16091</v>
      </c>
      <c r="U411" s="163"/>
      <c r="V411" s="163" t="s">
        <v>1024</v>
      </c>
      <c r="W411" s="231"/>
      <c r="X411" s="160"/>
      <c r="Y411" s="160"/>
      <c r="Z411" s="172"/>
      <c r="AA411" t="str">
        <f>IF(Tabla1[[#This Row],[Kerma en aire acumulada (Gy)]]&gt;1,SUMIF(G:G,Tabla1[[#This Row],[SIP]],I:I)-Tabla1[[#This Row],[Kerma en aire acumulada (Gy)]],"")</f>
        <v/>
      </c>
    </row>
    <row r="412" spans="3:27">
      <c r="C412" s="157" t="str">
        <f t="shared" si="42"/>
        <v>Adulto</v>
      </c>
      <c r="D412" s="202" t="s">
        <v>968</v>
      </c>
      <c r="E412" s="202" t="s">
        <v>129</v>
      </c>
      <c r="F412" s="202" t="s">
        <v>662</v>
      </c>
      <c r="G412" s="202">
        <v>3778362</v>
      </c>
      <c r="H412" s="214">
        <v>44392</v>
      </c>
      <c r="I412" s="202">
        <v>6.8000000000000005E-2</v>
      </c>
      <c r="J412" s="202"/>
      <c r="K412" s="202"/>
      <c r="L412" s="202"/>
      <c r="M412" s="202"/>
      <c r="N412" s="202"/>
      <c r="O412" s="202"/>
      <c r="P412" s="202"/>
      <c r="Q412" s="202"/>
      <c r="R412" s="202"/>
      <c r="S412" s="202"/>
      <c r="T412" s="214">
        <v>25895</v>
      </c>
      <c r="U412" s="202"/>
      <c r="V412" s="202" t="s">
        <v>841</v>
      </c>
      <c r="W412" s="233"/>
      <c r="X412" s="202"/>
      <c r="Y412" s="202"/>
      <c r="Z412" s="203"/>
      <c r="AA412" t="str">
        <f>IF(Tabla1[[#This Row],[Kerma en aire acumulada (Gy)]]&gt;1,SUMIF(G:G,Tabla1[[#This Row],[SIP]],I:I)-Tabla1[[#This Row],[Kerma en aire acumulada (Gy)]],"")</f>
        <v/>
      </c>
    </row>
    <row r="413" spans="3:27">
      <c r="C413" s="157" t="str">
        <f t="shared" si="42"/>
        <v>Adulto</v>
      </c>
      <c r="D413" s="90" t="s">
        <v>663</v>
      </c>
      <c r="E413" s="90" t="s">
        <v>152</v>
      </c>
      <c r="F413" s="90" t="s">
        <v>710</v>
      </c>
      <c r="G413" s="90">
        <v>3170382</v>
      </c>
      <c r="H413" s="91">
        <v>44393</v>
      </c>
      <c r="I413" s="90">
        <v>2.121E-2</v>
      </c>
      <c r="J413" s="90"/>
      <c r="K413" s="90"/>
      <c r="L413" s="90"/>
      <c r="M413" s="90"/>
      <c r="N413" s="90"/>
      <c r="O413" s="90"/>
      <c r="P413" s="90"/>
      <c r="Q413" s="90"/>
      <c r="R413" s="90"/>
      <c r="S413" s="90"/>
      <c r="T413" s="91">
        <v>14266</v>
      </c>
      <c r="U413" s="90"/>
      <c r="V413" s="90" t="s">
        <v>143</v>
      </c>
      <c r="W413" s="233"/>
      <c r="X413" s="202"/>
      <c r="Y413" s="202"/>
      <c r="Z413" s="93"/>
      <c r="AA413" t="str">
        <f>IF(Tabla1[[#This Row],[Kerma en aire acumulada (Gy)]]&gt;1,SUMIF(G:G,Tabla1[[#This Row],[SIP]],I:I)-Tabla1[[#This Row],[Kerma en aire acumulada (Gy)]],"")</f>
        <v/>
      </c>
    </row>
    <row r="414" spans="3:27">
      <c r="C414" s="155" t="str">
        <f t="shared" si="42"/>
        <v>Adulto</v>
      </c>
      <c r="D414" s="95" t="s">
        <v>46</v>
      </c>
      <c r="E414" s="95" t="s">
        <v>78</v>
      </c>
      <c r="F414" s="95" t="s">
        <v>1059</v>
      </c>
      <c r="G414" s="95">
        <v>2824281</v>
      </c>
      <c r="H414" s="96">
        <v>44393</v>
      </c>
      <c r="I414" s="95">
        <v>5.0000000000000001E-4</v>
      </c>
      <c r="J414" s="95"/>
      <c r="K414" s="95"/>
      <c r="L414" s="95"/>
      <c r="M414" s="95"/>
      <c r="N414" s="95"/>
      <c r="O414" s="95"/>
      <c r="P414" s="95"/>
      <c r="Q414" s="95"/>
      <c r="R414" s="95"/>
      <c r="S414" s="95"/>
      <c r="T414" s="96">
        <v>15188</v>
      </c>
      <c r="U414" s="95"/>
      <c r="V414" s="95" t="s">
        <v>1053</v>
      </c>
      <c r="W414" s="232"/>
      <c r="X414" s="154"/>
      <c r="Y414" s="154"/>
      <c r="Z414" s="97"/>
      <c r="AA414" t="str">
        <f>IF(Tabla1[[#This Row],[Kerma en aire acumulada (Gy)]]&gt;1,SUMIF(G:G,Tabla1[[#This Row],[SIP]],I:I)-Tabla1[[#This Row],[Kerma en aire acumulada (Gy)]],"")</f>
        <v/>
      </c>
    </row>
    <row r="415" spans="3:27">
      <c r="C415" s="157" t="str">
        <f t="shared" si="42"/>
        <v>Adulto</v>
      </c>
      <c r="D415" s="90" t="s">
        <v>1075</v>
      </c>
      <c r="E415" s="90" t="s">
        <v>1076</v>
      </c>
      <c r="F415" s="90" t="s">
        <v>1077</v>
      </c>
      <c r="G415" s="90">
        <v>3734787</v>
      </c>
      <c r="H415" s="91">
        <v>44393</v>
      </c>
      <c r="I415" s="105">
        <v>3.5000000000000001E-3</v>
      </c>
      <c r="J415" s="90"/>
      <c r="K415" s="90"/>
      <c r="L415" s="90"/>
      <c r="M415" s="90"/>
      <c r="N415" s="90"/>
      <c r="O415" s="90"/>
      <c r="P415" s="90"/>
      <c r="Q415" s="90"/>
      <c r="R415" s="90"/>
      <c r="S415" s="90"/>
      <c r="T415" s="91">
        <v>18723</v>
      </c>
      <c r="U415" s="90"/>
      <c r="V415" s="90" t="s">
        <v>995</v>
      </c>
      <c r="W415" s="233"/>
      <c r="X415" s="202"/>
      <c r="Y415" s="202"/>
      <c r="Z415" s="203"/>
      <c r="AA415" t="str">
        <f>IF(Tabla1[[#This Row],[Kerma en aire acumulada (Gy)]]&gt;1,SUMIF(G:G,Tabla1[[#This Row],[SIP]],I:I)-Tabla1[[#This Row],[Kerma en aire acumulada (Gy)]],"")</f>
        <v/>
      </c>
    </row>
    <row r="416" spans="3:27">
      <c r="C416" s="155" t="str">
        <f t="shared" si="42"/>
        <v>Adulto</v>
      </c>
      <c r="D416" s="95" t="s">
        <v>1078</v>
      </c>
      <c r="E416" s="95" t="s">
        <v>46</v>
      </c>
      <c r="F416" s="95" t="s">
        <v>1079</v>
      </c>
      <c r="G416" s="95">
        <v>3249595</v>
      </c>
      <c r="H416" s="96">
        <v>44393</v>
      </c>
      <c r="I416" s="105">
        <v>1.7000000000000001E-2</v>
      </c>
      <c r="J416" s="95"/>
      <c r="K416" s="95"/>
      <c r="L416" s="95"/>
      <c r="M416" s="95"/>
      <c r="N416" s="95"/>
      <c r="O416" s="95"/>
      <c r="P416" s="95"/>
      <c r="Q416" s="95"/>
      <c r="R416" s="95"/>
      <c r="S416" s="95"/>
      <c r="T416" s="96">
        <v>15489</v>
      </c>
      <c r="U416" s="95"/>
      <c r="V416" s="95" t="s">
        <v>995</v>
      </c>
      <c r="W416" s="232"/>
      <c r="X416" s="154"/>
      <c r="Y416" s="154"/>
      <c r="Z416" s="97"/>
      <c r="AA416" t="str">
        <f>IF(Tabla1[[#This Row],[Kerma en aire acumulada (Gy)]]&gt;1,SUMIF(G:G,Tabla1[[#This Row],[SIP]],I:I)-Tabla1[[#This Row],[Kerma en aire acumulada (Gy)]],"")</f>
        <v/>
      </c>
    </row>
    <row r="417" spans="3:27">
      <c r="C417" s="155" t="str">
        <f t="shared" si="42"/>
        <v>Adulto</v>
      </c>
      <c r="D417" s="95" t="s">
        <v>1080</v>
      </c>
      <c r="E417" s="95" t="s">
        <v>736</v>
      </c>
      <c r="F417" s="95" t="s">
        <v>57</v>
      </c>
      <c r="G417" s="95">
        <v>2291005</v>
      </c>
      <c r="H417" s="96">
        <v>44393</v>
      </c>
      <c r="I417" s="105">
        <v>6.6699999999999995E-2</v>
      </c>
      <c r="J417" s="95"/>
      <c r="K417" s="95"/>
      <c r="L417" s="95"/>
      <c r="M417" s="95"/>
      <c r="N417" s="95"/>
      <c r="O417" s="95"/>
      <c r="P417" s="95"/>
      <c r="Q417" s="95"/>
      <c r="R417" s="95"/>
      <c r="S417" s="95"/>
      <c r="T417" s="96">
        <v>20831</v>
      </c>
      <c r="U417" s="95"/>
      <c r="V417" s="95" t="s">
        <v>1081</v>
      </c>
      <c r="W417" s="232"/>
      <c r="X417" s="154"/>
      <c r="Y417" s="154"/>
      <c r="Z417" s="97"/>
      <c r="AA417" t="str">
        <f>IF(Tabla1[[#This Row],[Kerma en aire acumulada (Gy)]]&gt;1,SUMIF(G:G,Tabla1[[#This Row],[SIP]],I:I)-Tabla1[[#This Row],[Kerma en aire acumulada (Gy)]],"")</f>
        <v/>
      </c>
    </row>
    <row r="418" spans="3:27">
      <c r="C418" s="157" t="str">
        <f t="shared" si="42"/>
        <v>Adulto</v>
      </c>
      <c r="D418" s="90" t="s">
        <v>68</v>
      </c>
      <c r="E418" s="90" t="s">
        <v>767</v>
      </c>
      <c r="F418" s="90" t="s">
        <v>106</v>
      </c>
      <c r="G418" s="90">
        <v>3148976</v>
      </c>
      <c r="H418" s="91">
        <v>44394</v>
      </c>
      <c r="I418" s="90">
        <v>0.03</v>
      </c>
      <c r="J418" s="90"/>
      <c r="K418" s="90"/>
      <c r="L418" s="90"/>
      <c r="M418" s="90"/>
      <c r="N418" s="90"/>
      <c r="O418" s="90"/>
      <c r="P418" s="90"/>
      <c r="Q418" s="90"/>
      <c r="R418" s="90"/>
      <c r="S418" s="90"/>
      <c r="T418" s="104">
        <v>12148</v>
      </c>
      <c r="U418" s="90"/>
      <c r="V418" s="90" t="s">
        <v>502</v>
      </c>
      <c r="W418" s="233"/>
      <c r="X418" s="202"/>
      <c r="Y418" s="202"/>
      <c r="Z418" s="203"/>
      <c r="AA418" t="str">
        <f>IF(Tabla1[[#This Row],[Kerma en aire acumulada (Gy)]]&gt;1,SUMIF(G:G,Tabla1[[#This Row],[SIP]],I:I)-Tabla1[[#This Row],[Kerma en aire acumulada (Gy)]],"")</f>
        <v/>
      </c>
    </row>
    <row r="419" spans="3:27">
      <c r="C419" s="155" t="str">
        <f t="shared" si="42"/>
        <v>Adulto</v>
      </c>
      <c r="D419" s="95" t="s">
        <v>77</v>
      </c>
      <c r="E419" s="95" t="s">
        <v>960</v>
      </c>
      <c r="F419" s="95" t="s">
        <v>1047</v>
      </c>
      <c r="G419" s="95">
        <v>2922695</v>
      </c>
      <c r="H419" s="96">
        <v>44396</v>
      </c>
      <c r="I419" s="95">
        <v>2.5700000000000001E-2</v>
      </c>
      <c r="J419" s="95"/>
      <c r="K419" s="95"/>
      <c r="L419" s="95"/>
      <c r="M419" s="95"/>
      <c r="N419" s="95"/>
      <c r="O419" s="95"/>
      <c r="P419" s="95"/>
      <c r="Q419" s="95"/>
      <c r="R419" s="95"/>
      <c r="S419" s="95"/>
      <c r="T419" s="96">
        <v>21521</v>
      </c>
      <c r="U419" s="95"/>
      <c r="V419" s="95" t="s">
        <v>1086</v>
      </c>
      <c r="W419" s="158" t="str">
        <f t="shared" ref="W419:W482" si="43">CONCATENATE(D419,$A$591,E419,",",F419)</f>
        <v>Torres Lopez,Magdalena</v>
      </c>
      <c r="X419" s="154">
        <f t="shared" ref="X419:X434" si="44">MONTH(H419)</f>
        <v>7</v>
      </c>
      <c r="Y419" s="154">
        <f t="shared" ref="Y419:Y444" si="45">YEAR(H419)</f>
        <v>2021</v>
      </c>
      <c r="Z419" s="97" t="s">
        <v>265</v>
      </c>
      <c r="AA419" t="str">
        <f>IF(Tabla1[[#This Row],[Kerma en aire acumulada (Gy)]]&gt;1,SUMIF(G:G,Tabla1[[#This Row],[SIP]],I:I)-Tabla1[[#This Row],[Kerma en aire acumulada (Gy)]],"")</f>
        <v/>
      </c>
    </row>
    <row r="420" spans="3:27">
      <c r="C420" s="157" t="str">
        <f t="shared" si="42"/>
        <v>Adulto</v>
      </c>
      <c r="D420" s="90" t="s">
        <v>30</v>
      </c>
      <c r="E420" s="90" t="s">
        <v>1082</v>
      </c>
      <c r="F420" s="90" t="s">
        <v>83</v>
      </c>
      <c r="G420" s="90">
        <v>2538641</v>
      </c>
      <c r="H420" s="91">
        <v>44396</v>
      </c>
      <c r="I420" s="90">
        <v>0.76800000000000002</v>
      </c>
      <c r="J420" s="90"/>
      <c r="K420" s="90"/>
      <c r="L420" s="90"/>
      <c r="M420" s="90"/>
      <c r="N420" s="90"/>
      <c r="O420" s="90"/>
      <c r="P420" s="90"/>
      <c r="Q420" s="90"/>
      <c r="R420" s="90"/>
      <c r="S420" s="90"/>
      <c r="T420" s="91">
        <v>18531</v>
      </c>
      <c r="U420" s="90"/>
      <c r="V420" s="90" t="s">
        <v>151</v>
      </c>
      <c r="W420" s="233" t="str">
        <f t="shared" si="43"/>
        <v>Soler Benitez,Francisco</v>
      </c>
      <c r="X420" s="202">
        <f t="shared" si="44"/>
        <v>7</v>
      </c>
      <c r="Y420" s="202">
        <f t="shared" si="45"/>
        <v>2021</v>
      </c>
      <c r="Z420" s="93" t="s">
        <v>265</v>
      </c>
      <c r="AA420" t="str">
        <f>IF(Tabla1[[#This Row],[Kerma en aire acumulada (Gy)]]&gt;1,SUMIF(G:G,Tabla1[[#This Row],[SIP]],I:I)-Tabla1[[#This Row],[Kerma en aire acumulada (Gy)]],"")</f>
        <v/>
      </c>
    </row>
    <row r="421" spans="3:27">
      <c r="C421" s="155" t="str">
        <f t="shared" si="42"/>
        <v>Adulto</v>
      </c>
      <c r="D421" s="95" t="s">
        <v>30</v>
      </c>
      <c r="E421" s="95" t="s">
        <v>1082</v>
      </c>
      <c r="F421" s="95" t="s">
        <v>83</v>
      </c>
      <c r="G421" s="95">
        <v>2538641</v>
      </c>
      <c r="H421" s="96">
        <v>44396</v>
      </c>
      <c r="I421" s="95">
        <v>0.76793</v>
      </c>
      <c r="J421" s="95"/>
      <c r="K421" s="95"/>
      <c r="L421" s="95"/>
      <c r="M421" s="95"/>
      <c r="N421" s="95"/>
      <c r="O421" s="95"/>
      <c r="P421" s="95"/>
      <c r="Q421" s="95"/>
      <c r="R421" s="95"/>
      <c r="S421" s="95"/>
      <c r="T421" s="96">
        <v>18521</v>
      </c>
      <c r="U421" s="95"/>
      <c r="V421" s="95" t="s">
        <v>1159</v>
      </c>
      <c r="W421" s="158" t="str">
        <f t="shared" si="43"/>
        <v>Soler Benitez,Francisco</v>
      </c>
      <c r="X421" s="154">
        <f t="shared" si="44"/>
        <v>7</v>
      </c>
      <c r="Y421" s="154">
        <f t="shared" si="45"/>
        <v>2021</v>
      </c>
      <c r="Z421" s="174" t="s">
        <v>265</v>
      </c>
      <c r="AA421" t="str">
        <f>IF(Tabla1[[#This Row],[Kerma en aire acumulada (Gy)]]&gt;1,SUMIF(G:G,Tabla1[[#This Row],[SIP]],I:I)-Tabla1[[#This Row],[Kerma en aire acumulada (Gy)]],"")</f>
        <v/>
      </c>
    </row>
    <row r="422" spans="3:27">
      <c r="C422" s="157" t="str">
        <f t="shared" si="42"/>
        <v>Adulto</v>
      </c>
      <c r="D422" s="90" t="s">
        <v>1153</v>
      </c>
      <c r="E422" s="90" t="s">
        <v>1154</v>
      </c>
      <c r="F422" s="90" t="s">
        <v>1155</v>
      </c>
      <c r="G422" s="90">
        <v>3169061</v>
      </c>
      <c r="H422" s="91">
        <v>44396</v>
      </c>
      <c r="I422" s="90">
        <v>1.9529999999999999E-2</v>
      </c>
      <c r="J422" s="90"/>
      <c r="K422" s="90"/>
      <c r="L422" s="90"/>
      <c r="M422" s="90"/>
      <c r="N422" s="90"/>
      <c r="O422" s="90"/>
      <c r="P422" s="90"/>
      <c r="Q422" s="90"/>
      <c r="R422" s="90"/>
      <c r="S422" s="90"/>
      <c r="T422" s="91">
        <v>13411</v>
      </c>
      <c r="U422" s="90"/>
      <c r="V422" s="90" t="s">
        <v>1129</v>
      </c>
      <c r="W422" s="158" t="str">
        <f t="shared" si="43"/>
        <v>Priego Panadero,Maria</v>
      </c>
      <c r="X422" s="202">
        <f t="shared" si="44"/>
        <v>7</v>
      </c>
      <c r="Y422" s="202">
        <f t="shared" si="45"/>
        <v>2021</v>
      </c>
      <c r="Z422" s="93" t="s">
        <v>265</v>
      </c>
      <c r="AA422" t="str">
        <f>IF(Tabla1[[#This Row],[Kerma en aire acumulada (Gy)]]&gt;1,SUMIF(G:G,Tabla1[[#This Row],[SIP]],I:I)-Tabla1[[#This Row],[Kerma en aire acumulada (Gy)]],"")</f>
        <v/>
      </c>
    </row>
    <row r="423" spans="3:27">
      <c r="C423" s="157" t="str">
        <f t="shared" si="42"/>
        <v>Adulto</v>
      </c>
      <c r="D423" s="90" t="s">
        <v>1127</v>
      </c>
      <c r="E423" s="90" t="s">
        <v>1128</v>
      </c>
      <c r="F423" s="90" t="s">
        <v>68</v>
      </c>
      <c r="G423" s="90">
        <v>3748869</v>
      </c>
      <c r="H423" s="91">
        <v>44396</v>
      </c>
      <c r="I423" s="90">
        <v>4.2900000000000004E-3</v>
      </c>
      <c r="J423" s="90"/>
      <c r="K423" s="90"/>
      <c r="L423" s="90"/>
      <c r="M423" s="90"/>
      <c r="N423" s="90"/>
      <c r="O423" s="90"/>
      <c r="P423" s="90"/>
      <c r="Q423" s="90"/>
      <c r="R423" s="90"/>
      <c r="S423" s="90"/>
      <c r="T423" s="91">
        <v>22384</v>
      </c>
      <c r="U423" s="90"/>
      <c r="V423" s="90" t="s">
        <v>1129</v>
      </c>
      <c r="W423" s="158" t="str">
        <f t="shared" si="43"/>
        <v>Guirao Roncero,Juan</v>
      </c>
      <c r="X423" s="202">
        <f t="shared" si="44"/>
        <v>7</v>
      </c>
      <c r="Y423" s="202">
        <f t="shared" si="45"/>
        <v>2021</v>
      </c>
      <c r="Z423" s="93" t="s">
        <v>265</v>
      </c>
      <c r="AA423" t="str">
        <f>IF(Tabla1[[#This Row],[Kerma en aire acumulada (Gy)]]&gt;1,SUMIF(G:G,Tabla1[[#This Row],[SIP]],I:I)-Tabla1[[#This Row],[Kerma en aire acumulada (Gy)]],"")</f>
        <v/>
      </c>
    </row>
    <row r="424" spans="3:27">
      <c r="C424" s="157" t="str">
        <f t="shared" si="42"/>
        <v>Adulto</v>
      </c>
      <c r="D424" s="90" t="s">
        <v>1118</v>
      </c>
      <c r="E424" s="90" t="s">
        <v>331</v>
      </c>
      <c r="F424" s="90" t="s">
        <v>1119</v>
      </c>
      <c r="G424" s="90">
        <v>3737822</v>
      </c>
      <c r="H424" s="91">
        <v>44396</v>
      </c>
      <c r="I424" s="90">
        <v>0.48443000000000003</v>
      </c>
      <c r="J424" s="90"/>
      <c r="K424" s="90"/>
      <c r="L424" s="90"/>
      <c r="M424" s="90"/>
      <c r="N424" s="90"/>
      <c r="O424" s="90"/>
      <c r="P424" s="90"/>
      <c r="Q424" s="90"/>
      <c r="R424" s="90"/>
      <c r="S424" s="90"/>
      <c r="T424" s="91">
        <v>18807</v>
      </c>
      <c r="U424" s="90"/>
      <c r="V424" s="90" t="s">
        <v>1120</v>
      </c>
      <c r="W424" s="158" t="str">
        <f t="shared" si="43"/>
        <v>Gozalvez Tormo,Iluminada</v>
      </c>
      <c r="X424" s="202">
        <f t="shared" si="44"/>
        <v>7</v>
      </c>
      <c r="Y424" s="202">
        <f t="shared" si="45"/>
        <v>2021</v>
      </c>
      <c r="Z424" s="93" t="s">
        <v>265</v>
      </c>
      <c r="AA424" t="str">
        <f>IF(Tabla1[[#This Row],[Kerma en aire acumulada (Gy)]]&gt;1,SUMIF(G:G,Tabla1[[#This Row],[SIP]],I:I)-Tabla1[[#This Row],[Kerma en aire acumulada (Gy)]],"")</f>
        <v/>
      </c>
    </row>
    <row r="425" spans="3:27">
      <c r="C425" s="155" t="str">
        <f t="shared" si="42"/>
        <v>Adulto</v>
      </c>
      <c r="D425" s="95" t="s">
        <v>962</v>
      </c>
      <c r="E425" s="95" t="s">
        <v>948</v>
      </c>
      <c r="F425" s="95" t="s">
        <v>1112</v>
      </c>
      <c r="G425" s="95">
        <v>3187398</v>
      </c>
      <c r="H425" s="96">
        <v>44396</v>
      </c>
      <c r="I425" s="95">
        <v>1.66E-3</v>
      </c>
      <c r="J425" s="95"/>
      <c r="K425" s="95"/>
      <c r="L425" s="95"/>
      <c r="M425" s="95"/>
      <c r="N425" s="95"/>
      <c r="O425" s="95"/>
      <c r="P425" s="95"/>
      <c r="Q425" s="95"/>
      <c r="R425" s="95"/>
      <c r="S425" s="95"/>
      <c r="T425" s="96">
        <v>14380</v>
      </c>
      <c r="U425" s="95"/>
      <c r="V425" s="95" t="s">
        <v>1113</v>
      </c>
      <c r="W425" s="158" t="str">
        <f t="shared" si="43"/>
        <v>Garcia Martinez,Ascension</v>
      </c>
      <c r="X425" s="154">
        <f t="shared" si="44"/>
        <v>7</v>
      </c>
      <c r="Y425" s="154">
        <f t="shared" si="45"/>
        <v>2021</v>
      </c>
      <c r="Z425" s="97" t="s">
        <v>265</v>
      </c>
      <c r="AA425" t="str">
        <f>IF(Tabla1[[#This Row],[Kerma en aire acumulada (Gy)]]&gt;1,SUMIF(G:G,Tabla1[[#This Row],[SIP]],I:I)-Tabla1[[#This Row],[Kerma en aire acumulada (Gy)]],"")</f>
        <v/>
      </c>
    </row>
    <row r="426" spans="3:27" ht="15.75" thickBot="1">
      <c r="C426" s="208" t="str">
        <f t="shared" si="42"/>
        <v>Adulto</v>
      </c>
      <c r="D426" s="195" t="s">
        <v>43</v>
      </c>
      <c r="E426" s="195" t="s">
        <v>1098</v>
      </c>
      <c r="F426" s="195" t="s">
        <v>1099</v>
      </c>
      <c r="G426" s="195">
        <v>2832055</v>
      </c>
      <c r="H426" s="196">
        <v>44396</v>
      </c>
      <c r="I426" s="195">
        <v>4.6699999999999997E-3</v>
      </c>
      <c r="J426" s="195"/>
      <c r="K426" s="195"/>
      <c r="L426" s="195"/>
      <c r="M426" s="195"/>
      <c r="N426" s="195"/>
      <c r="O426" s="195"/>
      <c r="P426" s="195"/>
      <c r="Q426" s="195"/>
      <c r="R426" s="195"/>
      <c r="S426" s="195"/>
      <c r="T426" s="196">
        <v>22486</v>
      </c>
      <c r="U426" s="195"/>
      <c r="V426" s="195" t="s">
        <v>1100</v>
      </c>
      <c r="W426" s="169" t="str">
        <f t="shared" si="43"/>
        <v>Cuenca Moya,Francisco Manuel</v>
      </c>
      <c r="X426" s="170">
        <f t="shared" si="44"/>
        <v>7</v>
      </c>
      <c r="Y426" s="170">
        <f t="shared" si="45"/>
        <v>2021</v>
      </c>
      <c r="Z426" s="197" t="s">
        <v>265</v>
      </c>
      <c r="AA426" t="str">
        <f>IF(Tabla1[[#This Row],[Kerma en aire acumulada (Gy)]]&gt;1,SUMIF(G:G,Tabla1[[#This Row],[SIP]],I:I)-Tabla1[[#This Row],[Kerma en aire acumulada (Gy)]],"")</f>
        <v/>
      </c>
    </row>
    <row r="427" spans="3:27" ht="15.75" thickTop="1">
      <c r="C427" s="157" t="str">
        <f t="shared" si="42"/>
        <v>Adulto</v>
      </c>
      <c r="D427" s="202" t="s">
        <v>22</v>
      </c>
      <c r="E427" s="202" t="s">
        <v>1028</v>
      </c>
      <c r="F427" s="202" t="s">
        <v>715</v>
      </c>
      <c r="G427" s="202">
        <v>4228641</v>
      </c>
      <c r="H427" s="214">
        <v>44397</v>
      </c>
      <c r="I427" s="202">
        <v>1.6207</v>
      </c>
      <c r="J427" s="202"/>
      <c r="K427" s="202"/>
      <c r="L427" s="202"/>
      <c r="M427" s="202"/>
      <c r="N427" s="202"/>
      <c r="O427" s="202"/>
      <c r="P427" s="202"/>
      <c r="Q427" s="202"/>
      <c r="R427" s="202"/>
      <c r="S427" s="202"/>
      <c r="T427" s="214">
        <v>15103</v>
      </c>
      <c r="U427" s="202"/>
      <c r="V427" s="202" t="s">
        <v>1126</v>
      </c>
      <c r="W427" s="158" t="str">
        <f t="shared" si="43"/>
        <v>Ruiz Barrachina,Amparo</v>
      </c>
      <c r="X427" s="202">
        <f t="shared" si="44"/>
        <v>7</v>
      </c>
      <c r="Y427" s="202">
        <f t="shared" si="45"/>
        <v>2021</v>
      </c>
      <c r="Z427" s="203" t="s">
        <v>265</v>
      </c>
      <c r="AA427">
        <f>IF(Tabla1[[#This Row],[Kerma en aire acumulada (Gy)]]&gt;1,SUMIF(G:G,Tabla1[[#This Row],[SIP]],I:I)-Tabla1[[#This Row],[Kerma en aire acumulada (Gy)]],"")</f>
        <v>0.59650000000000003</v>
      </c>
    </row>
    <row r="428" spans="3:27">
      <c r="C428" s="89" t="str">
        <f t="shared" si="42"/>
        <v>Adulto</v>
      </c>
      <c r="D428" s="90" t="s">
        <v>1016</v>
      </c>
      <c r="E428" s="90" t="s">
        <v>365</v>
      </c>
      <c r="F428" s="90" t="s">
        <v>967</v>
      </c>
      <c r="G428" s="90">
        <v>2941137</v>
      </c>
      <c r="H428" s="91">
        <v>44397</v>
      </c>
      <c r="I428" s="90">
        <v>3.31E-3</v>
      </c>
      <c r="J428" s="90"/>
      <c r="K428" s="90"/>
      <c r="L428" s="90"/>
      <c r="M428" s="90"/>
      <c r="N428" s="90"/>
      <c r="O428" s="90"/>
      <c r="P428" s="90"/>
      <c r="Q428" s="90"/>
      <c r="R428" s="90"/>
      <c r="S428" s="90"/>
      <c r="T428" s="91">
        <v>35189</v>
      </c>
      <c r="U428" s="90"/>
      <c r="V428" s="90" t="s">
        <v>1086</v>
      </c>
      <c r="W428" s="158" t="str">
        <f t="shared" si="43"/>
        <v>Parrizas Collado,Jose Manuel</v>
      </c>
      <c r="X428" s="202">
        <f t="shared" si="44"/>
        <v>7</v>
      </c>
      <c r="Y428" s="202">
        <f t="shared" si="45"/>
        <v>2021</v>
      </c>
      <c r="Z428" s="93" t="s">
        <v>265</v>
      </c>
      <c r="AA428" t="str">
        <f>IF(Tabla1[[#This Row],[Kerma en aire acumulada (Gy)]]&gt;1,SUMIF(G:G,Tabla1[[#This Row],[SIP]],I:I)-Tabla1[[#This Row],[Kerma en aire acumulada (Gy)]],"")</f>
        <v/>
      </c>
    </row>
    <row r="429" spans="3:27">
      <c r="C429" s="155" t="str">
        <f t="shared" si="42"/>
        <v>Adulto</v>
      </c>
      <c r="D429" s="95" t="s">
        <v>1016</v>
      </c>
      <c r="E429" s="95" t="s">
        <v>365</v>
      </c>
      <c r="F429" s="95" t="s">
        <v>967</v>
      </c>
      <c r="G429" s="95">
        <v>2941137</v>
      </c>
      <c r="H429" s="102">
        <v>44397</v>
      </c>
      <c r="I429" s="95">
        <v>2.31E-3</v>
      </c>
      <c r="J429" s="95"/>
      <c r="K429" s="95"/>
      <c r="L429" s="95"/>
      <c r="M429" s="95"/>
      <c r="N429" s="95"/>
      <c r="O429" s="95"/>
      <c r="P429" s="95"/>
      <c r="Q429" s="95"/>
      <c r="R429" s="95"/>
      <c r="S429" s="95"/>
      <c r="T429" s="96">
        <v>35189</v>
      </c>
      <c r="U429" s="95"/>
      <c r="V429" s="95" t="s">
        <v>1152</v>
      </c>
      <c r="W429" s="158" t="str">
        <f t="shared" si="43"/>
        <v>Parrizas Collado,Jose Manuel</v>
      </c>
      <c r="X429" s="154">
        <f t="shared" si="44"/>
        <v>7</v>
      </c>
      <c r="Y429" s="154">
        <f t="shared" si="45"/>
        <v>2021</v>
      </c>
      <c r="Z429" s="97" t="s">
        <v>265</v>
      </c>
      <c r="AA429" t="str">
        <f>IF(Tabla1[[#This Row],[Kerma en aire acumulada (Gy)]]&gt;1,SUMIF(G:G,Tabla1[[#This Row],[SIP]],I:I)-Tabla1[[#This Row],[Kerma en aire acumulada (Gy)]],"")</f>
        <v/>
      </c>
    </row>
    <row r="430" spans="3:27" ht="15.75" thickBot="1">
      <c r="C430" s="159" t="str">
        <f t="shared" si="42"/>
        <v/>
      </c>
      <c r="D430" s="163" t="s">
        <v>641</v>
      </c>
      <c r="E430" s="163" t="s">
        <v>1082</v>
      </c>
      <c r="F430" s="163" t="s">
        <v>1099</v>
      </c>
      <c r="G430" s="163">
        <v>10497045</v>
      </c>
      <c r="H430" s="173">
        <v>44397</v>
      </c>
      <c r="I430" s="221" t="s">
        <v>1151</v>
      </c>
      <c r="J430" s="163"/>
      <c r="K430" s="163"/>
      <c r="L430" s="163"/>
      <c r="M430" s="163"/>
      <c r="N430" s="163"/>
      <c r="O430" s="163"/>
      <c r="P430" s="163"/>
      <c r="Q430" s="163"/>
      <c r="R430" s="163"/>
      <c r="S430" s="163"/>
      <c r="T430" s="163"/>
      <c r="U430" s="163"/>
      <c r="V430" s="163"/>
      <c r="W430" s="167" t="str">
        <f t="shared" si="43"/>
        <v>Parra Benitez,Francisco Manuel</v>
      </c>
      <c r="X430" s="160">
        <f t="shared" si="44"/>
        <v>7</v>
      </c>
      <c r="Y430" s="160">
        <f t="shared" si="45"/>
        <v>2021</v>
      </c>
      <c r="Z430" s="172" t="s">
        <v>265</v>
      </c>
      <c r="AA430" t="e">
        <f>IF(Tabla1[[#This Row],[Kerma en aire acumulada (Gy)]]&gt;1,SUMIF(G:G,Tabla1[[#This Row],[SIP]],I:I)-Tabla1[[#This Row],[Kerma en aire acumulada (Gy)]],"")</f>
        <v>#VALUE!</v>
      </c>
    </row>
    <row r="431" spans="3:27">
      <c r="C431" s="155" t="str">
        <f t="shared" si="42"/>
        <v>Pediátrico</v>
      </c>
      <c r="D431" s="154" t="s">
        <v>962</v>
      </c>
      <c r="E431" s="154" t="s">
        <v>1106</v>
      </c>
      <c r="F431" s="154" t="s">
        <v>75</v>
      </c>
      <c r="G431" s="154">
        <v>5401487</v>
      </c>
      <c r="H431" s="156">
        <v>44397</v>
      </c>
      <c r="I431" s="154">
        <v>0.42227999999999999</v>
      </c>
      <c r="J431" s="154"/>
      <c r="K431" s="154"/>
      <c r="L431" s="154"/>
      <c r="M431" s="154"/>
      <c r="N431" s="154"/>
      <c r="O431" s="154"/>
      <c r="P431" s="154"/>
      <c r="Q431" s="154"/>
      <c r="R431" s="154"/>
      <c r="S431" s="154"/>
      <c r="T431" s="156">
        <v>37931</v>
      </c>
      <c r="U431" s="154"/>
      <c r="V431" s="154" t="s">
        <v>1107</v>
      </c>
      <c r="W431" s="158" t="str">
        <f t="shared" si="43"/>
        <v>Garcia Alemany,Javier</v>
      </c>
      <c r="X431" s="154">
        <f t="shared" si="44"/>
        <v>7</v>
      </c>
      <c r="Y431" s="154">
        <f t="shared" si="45"/>
        <v>2021</v>
      </c>
      <c r="Z431" s="174" t="s">
        <v>265</v>
      </c>
      <c r="AA431" t="str">
        <f>IF(Tabla1[[#This Row],[Kerma en aire acumulada (Gy)]]&gt;1,SUMIF(G:G,Tabla1[[#This Row],[SIP]],I:I)-Tabla1[[#This Row],[Kerma en aire acumulada (Gy)]],"")</f>
        <v/>
      </c>
    </row>
    <row r="432" spans="3:27" ht="15.75" thickBot="1">
      <c r="C432" s="193" t="str">
        <f t="shared" si="42"/>
        <v>Adulto</v>
      </c>
      <c r="D432" s="181" t="s">
        <v>1083</v>
      </c>
      <c r="E432" s="181" t="s">
        <v>1084</v>
      </c>
      <c r="F432" s="181" t="s">
        <v>68</v>
      </c>
      <c r="G432" s="181">
        <v>6445261</v>
      </c>
      <c r="H432" s="194">
        <v>44398</v>
      </c>
      <c r="I432" s="181">
        <v>4.17</v>
      </c>
      <c r="J432" s="181"/>
      <c r="K432" s="181"/>
      <c r="L432" s="181"/>
      <c r="M432" s="181"/>
      <c r="N432" s="181"/>
      <c r="O432" s="181"/>
      <c r="P432" s="181"/>
      <c r="Q432" s="181"/>
      <c r="R432" s="181"/>
      <c r="S432" s="181"/>
      <c r="T432" s="194">
        <v>18517</v>
      </c>
      <c r="U432" s="181"/>
      <c r="V432" s="181" t="s">
        <v>563</v>
      </c>
      <c r="W432" s="99" t="str">
        <f t="shared" si="43"/>
        <v>Rebolledo Tudela,Juan</v>
      </c>
      <c r="X432" s="181">
        <f t="shared" si="44"/>
        <v>7</v>
      </c>
      <c r="Y432" s="209">
        <f t="shared" si="45"/>
        <v>2021</v>
      </c>
      <c r="Z432" s="164"/>
      <c r="AA432">
        <f>IF(Tabla1[[#This Row],[Kerma en aire acumulada (Gy)]]&gt;1,SUMIF(G:G,Tabla1[[#This Row],[SIP]],I:I)-Tabla1[[#This Row],[Kerma en aire acumulada (Gy)]],"")</f>
        <v>0</v>
      </c>
    </row>
    <row r="433" spans="3:27">
      <c r="C433" s="157" t="str">
        <f t="shared" si="42"/>
        <v>Adulto</v>
      </c>
      <c r="D433" s="202" t="s">
        <v>921</v>
      </c>
      <c r="E433" s="202" t="s">
        <v>1133</v>
      </c>
      <c r="F433" s="202" t="s">
        <v>106</v>
      </c>
      <c r="G433" s="202">
        <v>2242455</v>
      </c>
      <c r="H433" s="214">
        <v>44398</v>
      </c>
      <c r="I433" s="202">
        <v>0.39269999999999999</v>
      </c>
      <c r="J433" s="202"/>
      <c r="K433" s="202"/>
      <c r="L433" s="202"/>
      <c r="M433" s="202"/>
      <c r="N433" s="202"/>
      <c r="O433" s="202"/>
      <c r="P433" s="202"/>
      <c r="Q433" s="202"/>
      <c r="R433" s="202"/>
      <c r="S433" s="202"/>
      <c r="T433" s="214">
        <v>18357</v>
      </c>
      <c r="U433" s="202"/>
      <c r="V433" s="202" t="s">
        <v>1134</v>
      </c>
      <c r="W433" s="92" t="str">
        <f t="shared" si="43"/>
        <v>Mateu Tarin,Carmen</v>
      </c>
      <c r="X433" s="202">
        <f t="shared" si="44"/>
        <v>7</v>
      </c>
      <c r="Y433" s="202">
        <f t="shared" si="45"/>
        <v>2021</v>
      </c>
      <c r="Z433" s="203" t="s">
        <v>265</v>
      </c>
      <c r="AA433" t="str">
        <f>IF(Tabla1[[#This Row],[Kerma en aire acumulada (Gy)]]&gt;1,SUMIF(G:G,Tabla1[[#This Row],[SIP]],I:I)-Tabla1[[#This Row],[Kerma en aire acumulada (Gy)]],"")</f>
        <v/>
      </c>
    </row>
    <row r="434" spans="3:27">
      <c r="C434" s="94" t="str">
        <f t="shared" si="42"/>
        <v>Adulto</v>
      </c>
      <c r="D434" s="95" t="s">
        <v>1093</v>
      </c>
      <c r="E434" s="95" t="s">
        <v>966</v>
      </c>
      <c r="F434" s="95" t="s">
        <v>71</v>
      </c>
      <c r="G434" s="95">
        <v>1867949</v>
      </c>
      <c r="H434" s="96">
        <v>44398</v>
      </c>
      <c r="I434" s="95">
        <v>0.61248000000000002</v>
      </c>
      <c r="J434" s="95"/>
      <c r="K434" s="95"/>
      <c r="L434" s="95"/>
      <c r="M434" s="95"/>
      <c r="N434" s="95"/>
      <c r="O434" s="95"/>
      <c r="P434" s="95"/>
      <c r="Q434" s="95"/>
      <c r="R434" s="95"/>
      <c r="S434" s="95"/>
      <c r="T434" s="96">
        <v>13929</v>
      </c>
      <c r="U434" s="95"/>
      <c r="V434" s="95" t="s">
        <v>502</v>
      </c>
      <c r="W434" s="98" t="str">
        <f t="shared" si="43"/>
        <v>Bañuls Marco,Rafael</v>
      </c>
      <c r="X434" s="95">
        <f t="shared" si="44"/>
        <v>7</v>
      </c>
      <c r="Y434" s="154">
        <f t="shared" si="45"/>
        <v>2021</v>
      </c>
      <c r="Z434" s="97" t="s">
        <v>265</v>
      </c>
      <c r="AA434" t="str">
        <f>IF(Tabla1[[#This Row],[Kerma en aire acumulada (Gy)]]&gt;1,SUMIF(G:G,Tabla1[[#This Row],[SIP]],I:I)-Tabla1[[#This Row],[Kerma en aire acumulada (Gy)]],"")</f>
        <v/>
      </c>
    </row>
    <row r="435" spans="3:27">
      <c r="C435" s="94" t="str">
        <f t="shared" si="42"/>
        <v>Adulto</v>
      </c>
      <c r="D435" s="95" t="s">
        <v>1121</v>
      </c>
      <c r="E435" s="95" t="s">
        <v>1122</v>
      </c>
      <c r="F435" s="95" t="s">
        <v>1125</v>
      </c>
      <c r="G435" s="95">
        <v>12237207</v>
      </c>
      <c r="H435" s="96">
        <v>44399</v>
      </c>
      <c r="I435" s="95">
        <v>0.26139000000000001</v>
      </c>
      <c r="J435" s="95"/>
      <c r="K435" s="95"/>
      <c r="L435" s="95"/>
      <c r="M435" s="95"/>
      <c r="N435" s="95"/>
      <c r="O435" s="95"/>
      <c r="P435" s="95"/>
      <c r="Q435" s="95"/>
      <c r="R435" s="95"/>
      <c r="S435" s="95"/>
      <c r="T435" s="96">
        <v>14392</v>
      </c>
      <c r="U435" s="95"/>
      <c r="V435" s="95" t="s">
        <v>1126</v>
      </c>
      <c r="W435" s="92" t="str">
        <f t="shared" si="43"/>
        <v>Graupner Cligny,Josiane Annick</v>
      </c>
      <c r="X435" s="95"/>
      <c r="Y435" s="154">
        <f t="shared" si="45"/>
        <v>2021</v>
      </c>
      <c r="Z435" s="97" t="s">
        <v>265</v>
      </c>
      <c r="AA435" t="str">
        <f>IF(Tabla1[[#This Row],[Kerma en aire acumulada (Gy)]]&gt;1,SUMIF(G:G,Tabla1[[#This Row],[SIP]],I:I)-Tabla1[[#This Row],[Kerma en aire acumulada (Gy)]],"")</f>
        <v/>
      </c>
    </row>
    <row r="436" spans="3:27">
      <c r="C436" s="89" t="str">
        <f t="shared" si="42"/>
        <v>Adulto</v>
      </c>
      <c r="D436" s="90" t="s">
        <v>1094</v>
      </c>
      <c r="E436" s="90" t="s">
        <v>1095</v>
      </c>
      <c r="F436" s="90" t="s">
        <v>1096</v>
      </c>
      <c r="G436" s="90">
        <v>107024</v>
      </c>
      <c r="H436" s="91">
        <v>44399</v>
      </c>
      <c r="I436" s="90">
        <v>0.45</v>
      </c>
      <c r="J436" s="90"/>
      <c r="K436" s="90"/>
      <c r="L436" s="90"/>
      <c r="M436" s="90"/>
      <c r="N436" s="90"/>
      <c r="O436" s="90"/>
      <c r="P436" s="90"/>
      <c r="Q436" s="90"/>
      <c r="R436" s="90"/>
      <c r="S436" s="90"/>
      <c r="T436" s="91">
        <v>34391</v>
      </c>
      <c r="U436" s="90"/>
      <c r="V436" s="90" t="s">
        <v>1097</v>
      </c>
      <c r="W436" s="92" t="str">
        <f t="shared" si="43"/>
        <v>Bosch  Gail,Ruben</v>
      </c>
      <c r="X436" s="90">
        <f>MONTH(H436)</f>
        <v>7</v>
      </c>
      <c r="Y436" s="202">
        <f t="shared" si="45"/>
        <v>2021</v>
      </c>
      <c r="Z436" s="93" t="s">
        <v>265</v>
      </c>
      <c r="AA436" t="str">
        <f>IF(Tabla1[[#This Row],[Kerma en aire acumulada (Gy)]]&gt;1,SUMIF(G:G,Tabla1[[#This Row],[SIP]],I:I)-Tabla1[[#This Row],[Kerma en aire acumulada (Gy)]],"")</f>
        <v/>
      </c>
    </row>
    <row r="437" spans="3:27">
      <c r="C437" s="89" t="str">
        <f t="shared" si="42"/>
        <v>Adulto</v>
      </c>
      <c r="D437" s="90" t="s">
        <v>1148</v>
      </c>
      <c r="E437" s="90" t="s">
        <v>1149</v>
      </c>
      <c r="F437" s="90" t="s">
        <v>75</v>
      </c>
      <c r="G437" s="90">
        <v>3310331</v>
      </c>
      <c r="H437" s="91">
        <v>44400</v>
      </c>
      <c r="I437" s="90">
        <v>4.1689999999999998E-2</v>
      </c>
      <c r="J437" s="90"/>
      <c r="K437" s="90"/>
      <c r="L437" s="90"/>
      <c r="M437" s="90"/>
      <c r="N437" s="90"/>
      <c r="O437" s="90"/>
      <c r="P437" s="90"/>
      <c r="Q437" s="90"/>
      <c r="R437" s="90"/>
      <c r="S437" s="90"/>
      <c r="T437" s="91">
        <v>23126</v>
      </c>
      <c r="U437" s="90"/>
      <c r="V437" s="90" t="s">
        <v>1150</v>
      </c>
      <c r="W437" s="92" t="str">
        <f t="shared" si="43"/>
        <v>Paixa Trulla,Javier</v>
      </c>
      <c r="X437" s="90">
        <f>MONTH(H437)</f>
        <v>7</v>
      </c>
      <c r="Y437" s="202">
        <f t="shared" si="45"/>
        <v>2021</v>
      </c>
      <c r="Z437" s="93" t="s">
        <v>265</v>
      </c>
      <c r="AA437" t="str">
        <f>IF(Tabla1[[#This Row],[Kerma en aire acumulada (Gy)]]&gt;1,SUMIF(G:G,Tabla1[[#This Row],[SIP]],I:I)-Tabla1[[#This Row],[Kerma en aire acumulada (Gy)]],"")</f>
        <v/>
      </c>
    </row>
    <row r="438" spans="3:27">
      <c r="C438" s="89" t="str">
        <f t="shared" si="42"/>
        <v>Adulto</v>
      </c>
      <c r="D438" s="90" t="s">
        <v>35</v>
      </c>
      <c r="E438" s="90" t="s">
        <v>948</v>
      </c>
      <c r="F438" s="90" t="s">
        <v>377</v>
      </c>
      <c r="G438" s="90">
        <v>1104155</v>
      </c>
      <c r="H438" s="91">
        <v>44400</v>
      </c>
      <c r="I438" s="90">
        <v>0.36323</v>
      </c>
      <c r="J438" s="90"/>
      <c r="K438" s="90"/>
      <c r="L438" s="90"/>
      <c r="M438" s="90"/>
      <c r="N438" s="90"/>
      <c r="O438" s="90"/>
      <c r="P438" s="90"/>
      <c r="Q438" s="90"/>
      <c r="R438" s="90"/>
      <c r="S438" s="90"/>
      <c r="T438" s="91">
        <v>25148</v>
      </c>
      <c r="U438" s="90"/>
      <c r="V438" s="90" t="s">
        <v>260</v>
      </c>
      <c r="W438" s="92" t="str">
        <f t="shared" si="43"/>
        <v>Lozano Martinez,Pilar</v>
      </c>
      <c r="X438" s="90">
        <f>MONTH(H438)</f>
        <v>7</v>
      </c>
      <c r="Y438" s="202">
        <f t="shared" si="45"/>
        <v>2021</v>
      </c>
      <c r="Z438" s="93" t="s">
        <v>265</v>
      </c>
      <c r="AA438" t="str">
        <f>IF(Tabla1[[#This Row],[Kerma en aire acumulada (Gy)]]&gt;1,SUMIF(G:G,Tabla1[[#This Row],[SIP]],I:I)-Tabla1[[#This Row],[Kerma en aire acumulada (Gy)]],"")</f>
        <v/>
      </c>
    </row>
    <row r="439" spans="3:27">
      <c r="C439" s="94" t="str">
        <f t="shared" si="42"/>
        <v>Adulto</v>
      </c>
      <c r="D439" s="95" t="s">
        <v>1130</v>
      </c>
      <c r="E439" s="95"/>
      <c r="F439" s="95" t="s">
        <v>1131</v>
      </c>
      <c r="G439" s="95">
        <v>11896938</v>
      </c>
      <c r="H439" s="96">
        <v>44400</v>
      </c>
      <c r="I439" s="95">
        <v>4.2759999999999999E-2</v>
      </c>
      <c r="J439" s="95"/>
      <c r="K439" s="95"/>
      <c r="L439" s="95"/>
      <c r="M439" s="95"/>
      <c r="N439" s="95"/>
      <c r="O439" s="95"/>
      <c r="P439" s="95"/>
      <c r="Q439" s="95"/>
      <c r="R439" s="95"/>
      <c r="S439" s="95"/>
      <c r="T439" s="96">
        <v>32406</v>
      </c>
      <c r="U439" s="95"/>
      <c r="V439" s="95" t="s">
        <v>1132</v>
      </c>
      <c r="W439" s="92" t="str">
        <f t="shared" si="43"/>
        <v>Kharla ,Dmytro</v>
      </c>
      <c r="X439" s="95">
        <f>MONTH(H439)</f>
        <v>7</v>
      </c>
      <c r="Y439" s="154">
        <f t="shared" si="45"/>
        <v>2021</v>
      </c>
      <c r="Z439" s="97" t="s">
        <v>265</v>
      </c>
      <c r="AA439" t="str">
        <f>IF(Tabla1[[#This Row],[Kerma en aire acumulada (Gy)]]&gt;1,SUMIF(G:G,Tabla1[[#This Row],[SIP]],I:I)-Tabla1[[#This Row],[Kerma en aire acumulada (Gy)]],"")</f>
        <v/>
      </c>
    </row>
    <row r="440" spans="3:27">
      <c r="C440" s="94" t="str">
        <f t="shared" si="42"/>
        <v>Adulto</v>
      </c>
      <c r="D440" s="95" t="s">
        <v>1121</v>
      </c>
      <c r="E440" s="95" t="s">
        <v>1122</v>
      </c>
      <c r="F440" s="95" t="s">
        <v>1123</v>
      </c>
      <c r="G440" s="95">
        <v>12237207</v>
      </c>
      <c r="H440" s="96">
        <v>44400</v>
      </c>
      <c r="I440" s="142" t="s">
        <v>1124</v>
      </c>
      <c r="J440" s="95"/>
      <c r="K440" s="95"/>
      <c r="L440" s="95"/>
      <c r="M440" s="95"/>
      <c r="N440" s="95"/>
      <c r="O440" s="95"/>
      <c r="P440" s="95"/>
      <c r="Q440" s="95"/>
      <c r="R440" s="95"/>
      <c r="S440" s="95"/>
      <c r="T440" s="96">
        <v>17314</v>
      </c>
      <c r="U440" s="95"/>
      <c r="V440" s="95" t="s">
        <v>502</v>
      </c>
      <c r="W440" s="92" t="str">
        <f t="shared" si="43"/>
        <v>Graupner Cligny,Josiane annick</v>
      </c>
      <c r="X440" s="95"/>
      <c r="Y440" s="154">
        <f t="shared" si="45"/>
        <v>2021</v>
      </c>
      <c r="Z440" s="97" t="s">
        <v>265</v>
      </c>
      <c r="AA440" t="e">
        <f>IF(Tabla1[[#This Row],[Kerma en aire acumulada (Gy)]]&gt;1,SUMIF(G:G,Tabla1[[#This Row],[SIP]],I:I)-Tabla1[[#This Row],[Kerma en aire acumulada (Gy)]],"")</f>
        <v>#VALUE!</v>
      </c>
    </row>
    <row r="441" spans="3:27">
      <c r="C441" s="94" t="str">
        <f t="shared" si="42"/>
        <v>Adulto</v>
      </c>
      <c r="D441" s="95" t="s">
        <v>962</v>
      </c>
      <c r="E441" s="95" t="s">
        <v>1109</v>
      </c>
      <c r="F441" s="95" t="s">
        <v>1110</v>
      </c>
      <c r="G441" s="95">
        <v>2669276</v>
      </c>
      <c r="H441" s="96">
        <v>44400</v>
      </c>
      <c r="I441" s="95">
        <v>1.8600000000000001E-3</v>
      </c>
      <c r="J441" s="95"/>
      <c r="K441" s="95"/>
      <c r="L441" s="95"/>
      <c r="M441" s="95"/>
      <c r="N441" s="95"/>
      <c r="O441" s="95"/>
      <c r="P441" s="95"/>
      <c r="Q441" s="95"/>
      <c r="R441" s="95"/>
      <c r="S441" s="95"/>
      <c r="T441" s="96">
        <v>31087</v>
      </c>
      <c r="U441" s="95"/>
      <c r="V441" s="95" t="s">
        <v>1111</v>
      </c>
      <c r="W441" s="92" t="str">
        <f t="shared" si="43"/>
        <v>Garcia Gonzales,Oscar</v>
      </c>
      <c r="X441" s="95">
        <f>MONTH(H441)</f>
        <v>7</v>
      </c>
      <c r="Y441" s="154">
        <f t="shared" si="45"/>
        <v>2021</v>
      </c>
      <c r="Z441" s="97" t="s">
        <v>265</v>
      </c>
      <c r="AA441" t="str">
        <f>IF(Tabla1[[#This Row],[Kerma en aire acumulada (Gy)]]&gt;1,SUMIF(G:G,Tabla1[[#This Row],[SIP]],I:I)-Tabla1[[#This Row],[Kerma en aire acumulada (Gy)]],"")</f>
        <v/>
      </c>
    </row>
    <row r="442" spans="3:27" ht="15.75" thickBot="1">
      <c r="C442" s="193" t="str">
        <f t="shared" si="42"/>
        <v>Adulto</v>
      </c>
      <c r="D442" s="181" t="s">
        <v>1144</v>
      </c>
      <c r="E442" s="181" t="s">
        <v>1145</v>
      </c>
      <c r="F442" s="181" t="s">
        <v>1146</v>
      </c>
      <c r="G442" s="181">
        <v>2652081</v>
      </c>
      <c r="H442" s="194">
        <v>44401</v>
      </c>
      <c r="I442" s="181">
        <v>0.51763000000000003</v>
      </c>
      <c r="J442" s="181"/>
      <c r="K442" s="181"/>
      <c r="L442" s="181"/>
      <c r="M442" s="181"/>
      <c r="N442" s="181"/>
      <c r="O442" s="181"/>
      <c r="P442" s="181"/>
      <c r="Q442" s="181"/>
      <c r="R442" s="181"/>
      <c r="S442" s="181"/>
      <c r="T442" s="194">
        <v>30061</v>
      </c>
      <c r="U442" s="181"/>
      <c r="V442" s="181" t="s">
        <v>1147</v>
      </c>
      <c r="W442" s="162" t="str">
        <f t="shared" si="43"/>
        <v>Ormad Pina,Patricia</v>
      </c>
      <c r="X442" s="181">
        <f>MONTH(H442)</f>
        <v>7</v>
      </c>
      <c r="Y442" s="209">
        <f t="shared" si="45"/>
        <v>2021</v>
      </c>
      <c r="Z442" s="164" t="s">
        <v>265</v>
      </c>
      <c r="AA442" t="str">
        <f>IF(Tabla1[[#This Row],[Kerma en aire acumulada (Gy)]]&gt;1,SUMIF(G:G,Tabla1[[#This Row],[SIP]],I:I)-Tabla1[[#This Row],[Kerma en aire acumulada (Gy)]],"")</f>
        <v/>
      </c>
    </row>
    <row r="443" spans="3:27">
      <c r="C443" s="155" t="str">
        <f t="shared" si="42"/>
        <v>Adulto</v>
      </c>
      <c r="D443" s="154" t="s">
        <v>1160</v>
      </c>
      <c r="E443" s="154" t="s">
        <v>1161</v>
      </c>
      <c r="F443" s="154" t="s">
        <v>377</v>
      </c>
      <c r="G443" s="154">
        <v>4325434</v>
      </c>
      <c r="H443" s="156">
        <v>44403</v>
      </c>
      <c r="I443" s="154">
        <v>2.1270000000000001E-2</v>
      </c>
      <c r="J443" s="154"/>
      <c r="K443" s="154"/>
      <c r="L443" s="154"/>
      <c r="M443" s="154"/>
      <c r="N443" s="154"/>
      <c r="O443" s="154"/>
      <c r="P443" s="154"/>
      <c r="Q443" s="154"/>
      <c r="R443" s="154"/>
      <c r="S443" s="154"/>
      <c r="T443" s="156">
        <v>20189</v>
      </c>
      <c r="U443" s="154"/>
      <c r="V443" s="154" t="s">
        <v>1087</v>
      </c>
      <c r="W443" s="158" t="str">
        <f t="shared" si="43"/>
        <v>Suñer Hostalot,Pilar</v>
      </c>
      <c r="X443" s="154">
        <f>MONTH(H443)</f>
        <v>7</v>
      </c>
      <c r="Y443" s="154">
        <f t="shared" si="45"/>
        <v>2021</v>
      </c>
      <c r="Z443" s="174" t="s">
        <v>265</v>
      </c>
      <c r="AA443" t="str">
        <f>IF(Tabla1[[#This Row],[Kerma en aire acumulada (Gy)]]&gt;1,SUMIF(G:G,Tabla1[[#This Row],[SIP]],I:I)-Tabla1[[#This Row],[Kerma en aire acumulada (Gy)]],"")</f>
        <v/>
      </c>
    </row>
    <row r="444" spans="3:27">
      <c r="C444" s="94" t="str">
        <f t="shared" si="42"/>
        <v>Adulto</v>
      </c>
      <c r="D444" s="95" t="s">
        <v>1135</v>
      </c>
      <c r="E444" s="95" t="s">
        <v>1136</v>
      </c>
      <c r="F444" s="95" t="s">
        <v>1137</v>
      </c>
      <c r="G444" s="95">
        <v>5153607</v>
      </c>
      <c r="H444" s="96">
        <v>44403</v>
      </c>
      <c r="I444" s="95">
        <v>8.0999999999999996E-4</v>
      </c>
      <c r="J444" s="95"/>
      <c r="K444" s="95"/>
      <c r="L444" s="95"/>
      <c r="M444" s="95"/>
      <c r="N444" s="95"/>
      <c r="O444" s="95"/>
      <c r="P444" s="95"/>
      <c r="Q444" s="95"/>
      <c r="R444" s="95"/>
      <c r="S444" s="95"/>
      <c r="T444" s="96">
        <v>37620</v>
      </c>
      <c r="U444" s="95"/>
      <c r="V444" s="95" t="s">
        <v>1113</v>
      </c>
      <c r="W444" s="92" t="str">
        <f t="shared" si="43"/>
        <v>Moyano Palenzuela,Lucia</v>
      </c>
      <c r="X444" s="95">
        <f>MONTH(H444)</f>
        <v>7</v>
      </c>
      <c r="Y444" s="154">
        <f t="shared" si="45"/>
        <v>2021</v>
      </c>
      <c r="Z444" s="97" t="s">
        <v>265</v>
      </c>
      <c r="AA444" t="str">
        <f>IF(Tabla1[[#This Row],[Kerma en aire acumulada (Gy)]]&gt;1,SUMIF(G:G,Tabla1[[#This Row],[SIP]],I:I)-Tabla1[[#This Row],[Kerma en aire acumulada (Gy)]],"")</f>
        <v/>
      </c>
    </row>
    <row r="445" spans="3:27">
      <c r="C445" s="100" t="str">
        <f t="shared" si="42"/>
        <v>Adulto</v>
      </c>
      <c r="D445" s="101" t="s">
        <v>189</v>
      </c>
      <c r="E445" s="101" t="s">
        <v>6</v>
      </c>
      <c r="F445" s="101" t="s">
        <v>7</v>
      </c>
      <c r="G445" s="101">
        <v>2932156</v>
      </c>
      <c r="H445" s="102">
        <v>44403</v>
      </c>
      <c r="I445" s="101">
        <v>0.20699999999999999</v>
      </c>
      <c r="J445" s="101"/>
      <c r="K445" s="101"/>
      <c r="L445" s="101"/>
      <c r="M445" s="101"/>
      <c r="N445" s="101"/>
      <c r="O445" s="101"/>
      <c r="P445" s="101"/>
      <c r="Q445" s="101"/>
      <c r="R445" s="101"/>
      <c r="S445" s="101"/>
      <c r="T445" s="102">
        <v>21548</v>
      </c>
      <c r="U445" s="101"/>
      <c r="V445" s="101" t="s">
        <v>89</v>
      </c>
      <c r="W445" s="92" t="str">
        <f t="shared" si="43"/>
        <v>Giner Ortega,Francisca</v>
      </c>
      <c r="X445" s="101"/>
      <c r="Y445" s="211"/>
      <c r="Z445" s="103" t="s">
        <v>265</v>
      </c>
      <c r="AA445" t="str">
        <f>IF(Tabla1[[#This Row],[Kerma en aire acumulada (Gy)]]&gt;1,SUMIF(G:G,Tabla1[[#This Row],[SIP]],I:I)-Tabla1[[#This Row],[Kerma en aire acumulada (Gy)]],"")</f>
        <v/>
      </c>
    </row>
    <row r="446" spans="3:27">
      <c r="C446" s="89" t="str">
        <f t="shared" si="42"/>
        <v>Adulto</v>
      </c>
      <c r="D446" s="90" t="s">
        <v>1114</v>
      </c>
      <c r="E446" s="90" t="s">
        <v>948</v>
      </c>
      <c r="F446" s="90" t="s">
        <v>1115</v>
      </c>
      <c r="G446" s="90">
        <v>5147897</v>
      </c>
      <c r="H446" s="91">
        <v>44403</v>
      </c>
      <c r="I446" s="90">
        <v>2.96E-3</v>
      </c>
      <c r="J446" s="90"/>
      <c r="K446" s="90"/>
      <c r="L446" s="90"/>
      <c r="M446" s="90"/>
      <c r="N446" s="90"/>
      <c r="O446" s="90"/>
      <c r="P446" s="90"/>
      <c r="Q446" s="90"/>
      <c r="R446" s="90"/>
      <c r="S446" s="90"/>
      <c r="T446" s="91">
        <v>12517</v>
      </c>
      <c r="U446" s="90"/>
      <c r="V446" s="90" t="s">
        <v>1086</v>
      </c>
      <c r="W446" s="92" t="str">
        <f t="shared" si="43"/>
        <v>Garcia  Martinez,Aurelio</v>
      </c>
      <c r="X446" s="90">
        <f t="shared" ref="X446:X477" si="46">MONTH(H446)</f>
        <v>7</v>
      </c>
      <c r="Y446" s="202">
        <f t="shared" ref="Y446:Y477" si="47">YEAR(H446)</f>
        <v>2021</v>
      </c>
      <c r="Z446" s="93" t="s">
        <v>265</v>
      </c>
      <c r="AA446" t="str">
        <f>IF(Tabla1[[#This Row],[Kerma en aire acumulada (Gy)]]&gt;1,SUMIF(G:G,Tabla1[[#This Row],[SIP]],I:I)-Tabla1[[#This Row],[Kerma en aire acumulada (Gy)]],"")</f>
        <v/>
      </c>
    </row>
    <row r="447" spans="3:27">
      <c r="C447" s="94" t="s">
        <v>1088</v>
      </c>
      <c r="D447" s="95" t="s">
        <v>1141</v>
      </c>
      <c r="E447" s="95" t="s">
        <v>976</v>
      </c>
      <c r="F447" s="95" t="s">
        <v>1139</v>
      </c>
      <c r="G447" s="95">
        <v>3018034</v>
      </c>
      <c r="H447" s="96">
        <v>44404</v>
      </c>
      <c r="I447" s="95">
        <v>9.3659999999999993E-2</v>
      </c>
      <c r="J447" s="95"/>
      <c r="K447" s="95"/>
      <c r="L447" s="95"/>
      <c r="M447" s="95"/>
      <c r="N447" s="95"/>
      <c r="O447" s="95"/>
      <c r="P447" s="95"/>
      <c r="Q447" s="95"/>
      <c r="R447" s="95"/>
      <c r="S447" s="95"/>
      <c r="T447" s="96">
        <v>21588</v>
      </c>
      <c r="U447" s="95"/>
      <c r="V447" s="95" t="s">
        <v>1142</v>
      </c>
      <c r="W447" s="92" t="str">
        <f t="shared" si="43"/>
        <v>Nebot  Blanco,Jose Vicente</v>
      </c>
      <c r="X447" s="95">
        <f t="shared" si="46"/>
        <v>7</v>
      </c>
      <c r="Y447" s="154">
        <f t="shared" si="47"/>
        <v>2021</v>
      </c>
      <c r="Z447" s="97" t="s">
        <v>265</v>
      </c>
      <c r="AA447" t="str">
        <f>IF(Tabla1[[#This Row],[Kerma en aire acumulada (Gy)]]&gt;1,SUMIF(G:G,Tabla1[[#This Row],[SIP]],I:I)-Tabla1[[#This Row],[Kerma en aire acumulada (Gy)]],"")</f>
        <v/>
      </c>
    </row>
    <row r="448" spans="3:27">
      <c r="C448" s="89" t="s">
        <v>1088</v>
      </c>
      <c r="D448" s="90" t="s">
        <v>1089</v>
      </c>
      <c r="E448" s="90" t="s">
        <v>1090</v>
      </c>
      <c r="F448" s="90" t="s">
        <v>1091</v>
      </c>
      <c r="G448" s="90">
        <v>4541070</v>
      </c>
      <c r="H448" s="91">
        <v>44404</v>
      </c>
      <c r="I448" s="90">
        <v>5.4190000000000002E-2</v>
      </c>
      <c r="J448" s="90"/>
      <c r="K448" s="90"/>
      <c r="L448" s="90"/>
      <c r="M448" s="90"/>
      <c r="N448" s="90"/>
      <c r="O448" s="90"/>
      <c r="P448" s="90"/>
      <c r="Q448" s="90"/>
      <c r="R448" s="90"/>
      <c r="S448" s="90"/>
      <c r="T448" s="91">
        <v>17437</v>
      </c>
      <c r="U448" s="90"/>
      <c r="V448" s="90" t="s">
        <v>1092</v>
      </c>
      <c r="W448" s="99" t="str">
        <f t="shared" si="43"/>
        <v>Barbera  Ibañez,Valeriano</v>
      </c>
      <c r="X448" s="90">
        <f t="shared" si="46"/>
        <v>7</v>
      </c>
      <c r="Y448" s="202">
        <f t="shared" si="47"/>
        <v>2021</v>
      </c>
      <c r="Z448" s="93" t="s">
        <v>265</v>
      </c>
      <c r="AA448" t="str">
        <f>IF(Tabla1[[#This Row],[Kerma en aire acumulada (Gy)]]&gt;1,SUMIF(G:G,Tabla1[[#This Row],[SIP]],I:I)-Tabla1[[#This Row],[Kerma en aire acumulada (Gy)]],"")</f>
        <v/>
      </c>
    </row>
    <row r="449" spans="3:27">
      <c r="C449" s="94" t="s">
        <v>1088</v>
      </c>
      <c r="D449" s="95" t="s">
        <v>1085</v>
      </c>
      <c r="E449" s="95" t="s">
        <v>104</v>
      </c>
      <c r="F449" s="95" t="s">
        <v>972</v>
      </c>
      <c r="G449" s="95">
        <v>1777454</v>
      </c>
      <c r="H449" s="96">
        <v>44404</v>
      </c>
      <c r="I449" s="95">
        <v>1.421E-2</v>
      </c>
      <c r="J449" s="95"/>
      <c r="K449" s="95"/>
      <c r="L449" s="95"/>
      <c r="M449" s="95"/>
      <c r="N449" s="95"/>
      <c r="O449" s="95"/>
      <c r="P449" s="95"/>
      <c r="Q449" s="95"/>
      <c r="R449" s="95"/>
      <c r="S449" s="95"/>
      <c r="T449" s="96">
        <v>21339</v>
      </c>
      <c r="U449" s="95"/>
      <c r="V449" s="95" t="s">
        <v>1087</v>
      </c>
      <c r="W449" s="98" t="str">
        <f t="shared" si="43"/>
        <v>Amber  Martínez,Josefina</v>
      </c>
      <c r="X449" s="95">
        <f t="shared" si="46"/>
        <v>7</v>
      </c>
      <c r="Y449" s="154">
        <f t="shared" si="47"/>
        <v>2021</v>
      </c>
      <c r="Z449" s="97" t="s">
        <v>265</v>
      </c>
      <c r="AA449" t="str">
        <f>IF(Tabla1[[#This Row],[Kerma en aire acumulada (Gy)]]&gt;1,SUMIF(G:G,Tabla1[[#This Row],[SIP]],I:I)-Tabla1[[#This Row],[Kerma en aire acumulada (Gy)]],"")</f>
        <v/>
      </c>
    </row>
    <row r="450" spans="3:27">
      <c r="C450" s="89" t="s">
        <v>1088</v>
      </c>
      <c r="D450" s="90" t="s">
        <v>1162</v>
      </c>
      <c r="E450" s="90" t="s">
        <v>856</v>
      </c>
      <c r="F450" s="90" t="s">
        <v>1163</v>
      </c>
      <c r="G450" s="90">
        <v>2918980</v>
      </c>
      <c r="H450" s="91">
        <v>44405</v>
      </c>
      <c r="I450" s="90">
        <v>0.28088000000000002</v>
      </c>
      <c r="J450" s="90"/>
      <c r="K450" s="90"/>
      <c r="L450" s="90"/>
      <c r="M450" s="90"/>
      <c r="N450" s="90"/>
      <c r="O450" s="90"/>
      <c r="P450" s="90"/>
      <c r="Q450" s="90"/>
      <c r="R450" s="90"/>
      <c r="S450" s="90"/>
      <c r="T450" s="91">
        <v>21753</v>
      </c>
      <c r="U450" s="90"/>
      <c r="V450" s="90" t="s">
        <v>89</v>
      </c>
      <c r="W450" s="92" t="str">
        <f t="shared" si="43"/>
        <v>Yeste Gomez,M Blanca</v>
      </c>
      <c r="X450" s="90">
        <f t="shared" si="46"/>
        <v>7</v>
      </c>
      <c r="Y450" s="202">
        <f t="shared" si="47"/>
        <v>2021</v>
      </c>
      <c r="Z450" s="93" t="s">
        <v>265</v>
      </c>
      <c r="AA450" t="str">
        <f>IF(Tabla1[[#This Row],[Kerma en aire acumulada (Gy)]]&gt;1,SUMIF(G:G,Tabla1[[#This Row],[SIP]],I:I)-Tabla1[[#This Row],[Kerma en aire acumulada (Gy)]],"")</f>
        <v/>
      </c>
    </row>
    <row r="451" spans="3:27">
      <c r="C451" s="89" t="s">
        <v>1088</v>
      </c>
      <c r="D451" s="90" t="s">
        <v>1156</v>
      </c>
      <c r="E451" s="90" t="s">
        <v>1157</v>
      </c>
      <c r="F451" s="90" t="s">
        <v>1158</v>
      </c>
      <c r="G451" s="90">
        <v>3370639</v>
      </c>
      <c r="H451" s="91">
        <v>44405</v>
      </c>
      <c r="I451" s="90">
        <v>1.7260000000000001E-2</v>
      </c>
      <c r="J451" s="90"/>
      <c r="K451" s="90"/>
      <c r="L451" s="90"/>
      <c r="M451" s="90"/>
      <c r="N451" s="90"/>
      <c r="O451" s="90"/>
      <c r="P451" s="90"/>
      <c r="Q451" s="90"/>
      <c r="R451" s="90"/>
      <c r="S451" s="90"/>
      <c r="T451" s="91">
        <v>15928</v>
      </c>
      <c r="U451" s="90"/>
      <c r="V451" s="90" t="s">
        <v>1113</v>
      </c>
      <c r="W451" s="92" t="str">
        <f t="shared" si="43"/>
        <v>Santafe Galindo,Ramiro</v>
      </c>
      <c r="X451" s="90">
        <f t="shared" si="46"/>
        <v>7</v>
      </c>
      <c r="Y451" s="202">
        <f t="shared" si="47"/>
        <v>2021</v>
      </c>
      <c r="Z451" s="93" t="s">
        <v>265</v>
      </c>
      <c r="AA451" t="str">
        <f>IF(Tabla1[[#This Row],[Kerma en aire acumulada (Gy)]]&gt;1,SUMIF(G:G,Tabla1[[#This Row],[SIP]],I:I)-Tabla1[[#This Row],[Kerma en aire acumulada (Gy)]],"")</f>
        <v/>
      </c>
    </row>
    <row r="452" spans="3:27">
      <c r="C452" s="94" t="s">
        <v>1088</v>
      </c>
      <c r="D452" s="95" t="s">
        <v>1009</v>
      </c>
      <c r="E452" s="95" t="s">
        <v>1101</v>
      </c>
      <c r="F452" s="95" t="s">
        <v>1038</v>
      </c>
      <c r="G452" s="95">
        <v>3187920</v>
      </c>
      <c r="H452" s="96">
        <v>44405</v>
      </c>
      <c r="I452" s="95">
        <v>4.854E-2</v>
      </c>
      <c r="J452" s="95"/>
      <c r="K452" s="95"/>
      <c r="L452" s="95"/>
      <c r="M452" s="95"/>
      <c r="N452" s="95"/>
      <c r="O452" s="95"/>
      <c r="P452" s="95"/>
      <c r="Q452" s="95"/>
      <c r="R452" s="95"/>
      <c r="S452" s="95"/>
      <c r="T452" s="96">
        <v>16525</v>
      </c>
      <c r="U452" s="95"/>
      <c r="V452" s="95" t="s">
        <v>1102</v>
      </c>
      <c r="W452" s="92" t="str">
        <f t="shared" si="43"/>
        <v>Fernandez Sarralde,Juan Antonio</v>
      </c>
      <c r="X452" s="95">
        <f t="shared" si="46"/>
        <v>7</v>
      </c>
      <c r="Y452" s="154">
        <f t="shared" si="47"/>
        <v>2021</v>
      </c>
      <c r="Z452" s="97" t="s">
        <v>265</v>
      </c>
      <c r="AA452" t="str">
        <f>IF(Tabla1[[#This Row],[Kerma en aire acumulada (Gy)]]&gt;1,SUMIF(G:G,Tabla1[[#This Row],[SIP]],I:I)-Tabla1[[#This Row],[Kerma en aire acumulada (Gy)]],"")</f>
        <v/>
      </c>
    </row>
    <row r="453" spans="3:27">
      <c r="C453" s="89" t="s">
        <v>1088</v>
      </c>
      <c r="D453" s="90" t="s">
        <v>1138</v>
      </c>
      <c r="E453" s="90" t="s">
        <v>681</v>
      </c>
      <c r="F453" s="90" t="s">
        <v>1139</v>
      </c>
      <c r="G453" s="90">
        <v>3018034</v>
      </c>
      <c r="H453" s="91">
        <v>44406</v>
      </c>
      <c r="I453" s="90">
        <v>0.16941000000000001</v>
      </c>
      <c r="J453" s="90"/>
      <c r="K453" s="90"/>
      <c r="L453" s="90"/>
      <c r="M453" s="90"/>
      <c r="N453" s="90"/>
      <c r="O453" s="90"/>
      <c r="P453" s="90"/>
      <c r="Q453" s="90"/>
      <c r="R453" s="90"/>
      <c r="S453" s="90"/>
      <c r="T453" s="91">
        <v>21588</v>
      </c>
      <c r="U453" s="90"/>
      <c r="V453" s="90" t="s">
        <v>1140</v>
      </c>
      <c r="W453" s="92" t="str">
        <f t="shared" si="43"/>
        <v>Nebot Blasco,Jose Vicente</v>
      </c>
      <c r="X453" s="90">
        <f t="shared" si="46"/>
        <v>7</v>
      </c>
      <c r="Y453" s="202">
        <f t="shared" si="47"/>
        <v>2021</v>
      </c>
      <c r="Z453" s="93" t="s">
        <v>265</v>
      </c>
      <c r="AA453" t="str">
        <f>IF(Tabla1[[#This Row],[Kerma en aire acumulada (Gy)]]&gt;1,SUMIF(G:G,Tabla1[[#This Row],[SIP]],I:I)-Tabla1[[#This Row],[Kerma en aire acumulada (Gy)]],"")</f>
        <v/>
      </c>
    </row>
    <row r="454" spans="3:27">
      <c r="C454" s="89" t="s">
        <v>1088</v>
      </c>
      <c r="D454" s="90" t="s">
        <v>962</v>
      </c>
      <c r="E454" s="90" t="s">
        <v>737</v>
      </c>
      <c r="F454" s="90" t="s">
        <v>1117</v>
      </c>
      <c r="G454" s="90">
        <v>3274770</v>
      </c>
      <c r="H454" s="91">
        <v>44406</v>
      </c>
      <c r="I454" s="90">
        <v>6.3549999999999995E-2</v>
      </c>
      <c r="J454" s="90"/>
      <c r="K454" s="90"/>
      <c r="L454" s="90"/>
      <c r="M454" s="90"/>
      <c r="N454" s="90"/>
      <c r="O454" s="90"/>
      <c r="P454" s="90"/>
      <c r="Q454" s="90"/>
      <c r="R454" s="90"/>
      <c r="S454" s="90"/>
      <c r="T454" s="91">
        <v>16668</v>
      </c>
      <c r="U454" s="90"/>
      <c r="V454" s="90" t="s">
        <v>1116</v>
      </c>
      <c r="W454" s="92" t="str">
        <f t="shared" si="43"/>
        <v xml:space="preserve">Garcia Mora,Eduardo </v>
      </c>
      <c r="X454" s="90">
        <f t="shared" si="46"/>
        <v>7</v>
      </c>
      <c r="Y454" s="202">
        <f t="shared" si="47"/>
        <v>2021</v>
      </c>
      <c r="Z454" s="93" t="s">
        <v>265</v>
      </c>
      <c r="AA454" t="str">
        <f>IF(Tabla1[[#This Row],[Kerma en aire acumulada (Gy)]]&gt;1,SUMIF(G:G,Tabla1[[#This Row],[SIP]],I:I)-Tabla1[[#This Row],[Kerma en aire acumulada (Gy)]],"")</f>
        <v/>
      </c>
    </row>
    <row r="455" spans="3:27">
      <c r="C455" s="94" t="s">
        <v>1088</v>
      </c>
      <c r="D455" s="95" t="s">
        <v>1103</v>
      </c>
      <c r="E455" s="95" t="s">
        <v>948</v>
      </c>
      <c r="F455" s="95" t="s">
        <v>1104</v>
      </c>
      <c r="G455" s="95">
        <v>2985376</v>
      </c>
      <c r="H455" s="96">
        <v>44406</v>
      </c>
      <c r="I455" s="95">
        <v>0.15226999999999999</v>
      </c>
      <c r="J455" s="95"/>
      <c r="K455" s="95"/>
      <c r="L455" s="95"/>
      <c r="M455" s="95"/>
      <c r="N455" s="95"/>
      <c r="O455" s="95"/>
      <c r="P455" s="95"/>
      <c r="Q455" s="95"/>
      <c r="R455" s="95"/>
      <c r="S455" s="95"/>
      <c r="T455" s="96">
        <v>16578</v>
      </c>
      <c r="U455" s="95"/>
      <c r="V455" s="95" t="s">
        <v>1105</v>
      </c>
      <c r="W455" s="92" t="str">
        <f t="shared" si="43"/>
        <v>Flores Martinez,Jose Luis</v>
      </c>
      <c r="X455" s="95">
        <f t="shared" si="46"/>
        <v>7</v>
      </c>
      <c r="Y455" s="154">
        <f t="shared" si="47"/>
        <v>2021</v>
      </c>
      <c r="Z455" s="97" t="s">
        <v>265</v>
      </c>
      <c r="AA455" t="str">
        <f>IF(Tabla1[[#This Row],[Kerma en aire acumulada (Gy)]]&gt;1,SUMIF(G:G,Tabla1[[#This Row],[SIP]],I:I)-Tabla1[[#This Row],[Kerma en aire acumulada (Gy)]],"")</f>
        <v/>
      </c>
    </row>
    <row r="456" spans="3:27">
      <c r="C456" s="94" t="s">
        <v>1088</v>
      </c>
      <c r="D456" s="95" t="s">
        <v>1085</v>
      </c>
      <c r="E456" s="95" t="s">
        <v>104</v>
      </c>
      <c r="F456" s="95" t="s">
        <v>972</v>
      </c>
      <c r="G456" s="95">
        <v>1777454</v>
      </c>
      <c r="H456" s="96">
        <v>44406</v>
      </c>
      <c r="I456" s="95">
        <v>1.0319999999999999E-2</v>
      </c>
      <c r="J456" s="95"/>
      <c r="K456" s="95"/>
      <c r="L456" s="95"/>
      <c r="M456" s="95"/>
      <c r="N456" s="95"/>
      <c r="O456" s="95"/>
      <c r="P456" s="95"/>
      <c r="Q456" s="95"/>
      <c r="R456" s="95"/>
      <c r="S456" s="95"/>
      <c r="T456" s="96">
        <v>44350</v>
      </c>
      <c r="U456" s="95"/>
      <c r="V456" s="95" t="s">
        <v>1086</v>
      </c>
      <c r="W456" s="98" t="str">
        <f t="shared" si="43"/>
        <v>Amber  Martínez,Josefina</v>
      </c>
      <c r="X456" s="95">
        <f t="shared" si="46"/>
        <v>7</v>
      </c>
      <c r="Y456" s="154">
        <f t="shared" si="47"/>
        <v>2021</v>
      </c>
      <c r="Z456" s="97" t="s">
        <v>265</v>
      </c>
      <c r="AA456" t="str">
        <f>IF(Tabla1[[#This Row],[Kerma en aire acumulada (Gy)]]&gt;1,SUMIF(G:G,Tabla1[[#This Row],[SIP]],I:I)-Tabla1[[#This Row],[Kerma en aire acumulada (Gy)]],"")</f>
        <v/>
      </c>
    </row>
    <row r="457" spans="3:27">
      <c r="C457" s="94" t="s">
        <v>1088</v>
      </c>
      <c r="D457" s="95" t="s">
        <v>1041</v>
      </c>
      <c r="E457" s="95" t="s">
        <v>1042</v>
      </c>
      <c r="F457" s="95" t="s">
        <v>117</v>
      </c>
      <c r="G457" s="95">
        <v>159095</v>
      </c>
      <c r="H457" s="96">
        <v>44407</v>
      </c>
      <c r="I457" s="95">
        <v>5.3940000000000002E-2</v>
      </c>
      <c r="J457" s="95"/>
      <c r="K457" s="95"/>
      <c r="L457" s="95"/>
      <c r="M457" s="95"/>
      <c r="N457" s="95"/>
      <c r="O457" s="95"/>
      <c r="P457" s="95"/>
      <c r="Q457" s="95"/>
      <c r="R457" s="95"/>
      <c r="S457" s="95"/>
      <c r="T457" s="96">
        <v>25438</v>
      </c>
      <c r="U457" s="95"/>
      <c r="V457" s="95" t="s">
        <v>1087</v>
      </c>
      <c r="W457" s="92" t="str">
        <f t="shared" si="43"/>
        <v>Iznardo Olivert,M Carmen</v>
      </c>
      <c r="X457" s="95">
        <f t="shared" si="46"/>
        <v>7</v>
      </c>
      <c r="Y457" s="154">
        <f t="shared" si="47"/>
        <v>2021</v>
      </c>
      <c r="Z457" s="97" t="s">
        <v>265</v>
      </c>
      <c r="AA457" t="str">
        <f>IF(Tabla1[[#This Row],[Kerma en aire acumulada (Gy)]]&gt;1,SUMIF(G:G,Tabla1[[#This Row],[SIP]],I:I)-Tabla1[[#This Row],[Kerma en aire acumulada (Gy)]],"")</f>
        <v/>
      </c>
    </row>
    <row r="458" spans="3:27">
      <c r="C458" s="89" t="s">
        <v>1088</v>
      </c>
      <c r="D458" s="90" t="s">
        <v>1182</v>
      </c>
      <c r="E458" s="90" t="s">
        <v>1183</v>
      </c>
      <c r="F458" s="90" t="s">
        <v>1184</v>
      </c>
      <c r="G458" s="90">
        <v>2915230</v>
      </c>
      <c r="H458" s="91">
        <v>44407</v>
      </c>
      <c r="I458" s="90">
        <v>0.76710999999999996</v>
      </c>
      <c r="J458" s="90"/>
      <c r="K458" s="90"/>
      <c r="L458" s="90"/>
      <c r="M458" s="90"/>
      <c r="N458" s="90"/>
      <c r="O458" s="90"/>
      <c r="P458" s="90"/>
      <c r="Q458" s="90"/>
      <c r="R458" s="90"/>
      <c r="S458" s="90"/>
      <c r="T458" s="91">
        <v>19635</v>
      </c>
      <c r="U458" s="90"/>
      <c r="V458" s="90" t="s">
        <v>1185</v>
      </c>
      <c r="W458" s="92" t="str">
        <f t="shared" si="43"/>
        <v>Arilla Agorriz,Elias</v>
      </c>
      <c r="X458" s="90">
        <f t="shared" si="46"/>
        <v>7</v>
      </c>
      <c r="Y458" s="202">
        <f t="shared" si="47"/>
        <v>2021</v>
      </c>
      <c r="Z458" s="93" t="s">
        <v>265</v>
      </c>
      <c r="AA458" t="str">
        <f>IF(Tabla1[[#This Row],[Kerma en aire acumulada (Gy)]]&gt;1,SUMIF(G:G,Tabla1[[#This Row],[SIP]],I:I)-Tabla1[[#This Row],[Kerma en aire acumulada (Gy)]],"")</f>
        <v/>
      </c>
    </row>
    <row r="459" spans="3:27" ht="15.75" thickBot="1">
      <c r="C459" s="166" t="s">
        <v>1088</v>
      </c>
      <c r="D459" s="163" t="s">
        <v>1171</v>
      </c>
      <c r="E459" s="163" t="s">
        <v>1172</v>
      </c>
      <c r="F459" s="163" t="s">
        <v>106</v>
      </c>
      <c r="G459" s="163">
        <v>1202114</v>
      </c>
      <c r="H459" s="173">
        <v>44410</v>
      </c>
      <c r="I459" s="163">
        <v>0.30624000000000001</v>
      </c>
      <c r="J459" s="163"/>
      <c r="K459" s="163"/>
      <c r="L459" s="163"/>
      <c r="M459" s="163"/>
      <c r="N459" s="163"/>
      <c r="O459" s="163"/>
      <c r="P459" s="163"/>
      <c r="Q459" s="163"/>
      <c r="R459" s="163"/>
      <c r="S459" s="163"/>
      <c r="T459" s="173">
        <v>44398</v>
      </c>
      <c r="U459" s="163"/>
      <c r="V459" s="163" t="s">
        <v>1126</v>
      </c>
      <c r="W459" s="162" t="str">
        <f t="shared" si="43"/>
        <v>Torrijo Melendez,Carmen</v>
      </c>
      <c r="X459" s="163">
        <f t="shared" si="46"/>
        <v>8</v>
      </c>
      <c r="Y459" s="160">
        <f t="shared" si="47"/>
        <v>2021</v>
      </c>
      <c r="Z459" s="172" t="s">
        <v>265</v>
      </c>
      <c r="AA459" t="str">
        <f>IF(Tabla1[[#This Row],[Kerma en aire acumulada (Gy)]]&gt;1,SUMIF(G:G,Tabla1[[#This Row],[SIP]],I:I)-Tabla1[[#This Row],[Kerma en aire acumulada (Gy)]],"")</f>
        <v/>
      </c>
    </row>
    <row r="460" spans="3:27">
      <c r="C460" s="157" t="s">
        <v>1088</v>
      </c>
      <c r="D460" s="202" t="s">
        <v>634</v>
      </c>
      <c r="E460" s="202" t="s">
        <v>1011</v>
      </c>
      <c r="F460" s="202" t="s">
        <v>1020</v>
      </c>
      <c r="G460" s="202">
        <v>3563590</v>
      </c>
      <c r="H460" s="214">
        <v>44410</v>
      </c>
      <c r="I460" s="202">
        <v>3.1844100000000002</v>
      </c>
      <c r="J460" s="202"/>
      <c r="K460" s="202"/>
      <c r="L460" s="202"/>
      <c r="M460" s="202"/>
      <c r="N460" s="202"/>
      <c r="O460" s="202"/>
      <c r="P460" s="202"/>
      <c r="Q460" s="202"/>
      <c r="R460" s="202"/>
      <c r="S460" s="202"/>
      <c r="T460" s="214">
        <v>23001</v>
      </c>
      <c r="U460" s="202"/>
      <c r="V460" s="202" t="s">
        <v>107</v>
      </c>
      <c r="W460" s="158" t="str">
        <f t="shared" si="43"/>
        <v>Gil Andres,Rafael Antonio</v>
      </c>
      <c r="X460" s="202">
        <f t="shared" si="46"/>
        <v>8</v>
      </c>
      <c r="Y460" s="202">
        <f t="shared" si="47"/>
        <v>2021</v>
      </c>
      <c r="Z460" s="203" t="s">
        <v>265</v>
      </c>
      <c r="AA460">
        <f>IF(Tabla1[[#This Row],[Kerma en aire acumulada (Gy)]]&gt;1,SUMIF(G:G,Tabla1[[#This Row],[SIP]],I:I)-Tabla1[[#This Row],[Kerma en aire acumulada (Gy)]],"")</f>
        <v>1.5052400000000001</v>
      </c>
    </row>
    <row r="461" spans="3:27">
      <c r="C461" s="89" t="s">
        <v>1088</v>
      </c>
      <c r="D461" s="90" t="s">
        <v>1169</v>
      </c>
      <c r="E461" s="90" t="s">
        <v>148</v>
      </c>
      <c r="F461" s="90" t="s">
        <v>1170</v>
      </c>
      <c r="G461" s="90">
        <v>5104679</v>
      </c>
      <c r="H461" s="91">
        <v>44411</v>
      </c>
      <c r="I461" s="90">
        <v>1.108E-2</v>
      </c>
      <c r="J461" s="90"/>
      <c r="K461" s="90"/>
      <c r="L461" s="90"/>
      <c r="M461" s="90"/>
      <c r="N461" s="90"/>
      <c r="O461" s="90"/>
      <c r="P461" s="90"/>
      <c r="Q461" s="90"/>
      <c r="R461" s="90"/>
      <c r="S461" s="90"/>
      <c r="T461" s="91">
        <v>44447</v>
      </c>
      <c r="U461" s="90"/>
      <c r="V461" s="90" t="s">
        <v>1168</v>
      </c>
      <c r="W461" s="92" t="str">
        <f t="shared" si="43"/>
        <v>Planells Andreu,Evaristo</v>
      </c>
      <c r="X461" s="90">
        <f t="shared" si="46"/>
        <v>8</v>
      </c>
      <c r="Y461" s="202">
        <f t="shared" si="47"/>
        <v>2021</v>
      </c>
      <c r="Z461" s="93" t="s">
        <v>265</v>
      </c>
      <c r="AA461" t="str">
        <f>IF(Tabla1[[#This Row],[Kerma en aire acumulada (Gy)]]&gt;1,SUMIF(G:G,Tabla1[[#This Row],[SIP]],I:I)-Tabla1[[#This Row],[Kerma en aire acumulada (Gy)]],"")</f>
        <v/>
      </c>
    </row>
    <row r="462" spans="3:27">
      <c r="C462" s="94" t="s">
        <v>1088</v>
      </c>
      <c r="D462" s="95" t="s">
        <v>948</v>
      </c>
      <c r="E462" s="95" t="s">
        <v>1003</v>
      </c>
      <c r="F462" s="95" t="s">
        <v>13</v>
      </c>
      <c r="G462" s="95">
        <v>4850717</v>
      </c>
      <c r="H462" s="96">
        <v>44411</v>
      </c>
      <c r="I462" s="95">
        <v>0.19328999999999999</v>
      </c>
      <c r="J462" s="95"/>
      <c r="K462" s="95"/>
      <c r="L462" s="95"/>
      <c r="M462" s="95"/>
      <c r="N462" s="95"/>
      <c r="O462" s="95"/>
      <c r="P462" s="95"/>
      <c r="Q462" s="95"/>
      <c r="R462" s="95"/>
      <c r="S462" s="95"/>
      <c r="T462" s="96">
        <v>20098</v>
      </c>
      <c r="U462" s="95"/>
      <c r="V462" s="95" t="s">
        <v>325</v>
      </c>
      <c r="W462" s="92" t="str">
        <f t="shared" si="43"/>
        <v>Martinez Romero,Manuela</v>
      </c>
      <c r="X462" s="95">
        <f t="shared" si="46"/>
        <v>8</v>
      </c>
      <c r="Y462" s="154">
        <f t="shared" si="47"/>
        <v>2021</v>
      </c>
      <c r="Z462" s="97" t="s">
        <v>265</v>
      </c>
      <c r="AA462" t="str">
        <f>IF(Tabla1[[#This Row],[Kerma en aire acumulada (Gy)]]&gt;1,SUMIF(G:G,Tabla1[[#This Row],[SIP]],I:I)-Tabla1[[#This Row],[Kerma en aire acumulada (Gy)]],"")</f>
        <v/>
      </c>
    </row>
    <row r="463" spans="3:27">
      <c r="C463" s="94" t="s">
        <v>1088</v>
      </c>
      <c r="D463" s="95" t="s">
        <v>1167</v>
      </c>
      <c r="E463" s="95" t="s">
        <v>772</v>
      </c>
      <c r="F463" s="95" t="s">
        <v>54</v>
      </c>
      <c r="G463" s="95">
        <v>3737671</v>
      </c>
      <c r="H463" s="96">
        <v>44411</v>
      </c>
      <c r="I463" s="95">
        <v>6.0999999999999997E-4</v>
      </c>
      <c r="J463" s="95"/>
      <c r="K463" s="95"/>
      <c r="L463" s="95"/>
      <c r="M463" s="95"/>
      <c r="N463" s="95"/>
      <c r="O463" s="95"/>
      <c r="P463" s="95"/>
      <c r="Q463" s="95"/>
      <c r="R463" s="95"/>
      <c r="S463" s="95"/>
      <c r="T463" s="96">
        <v>20505</v>
      </c>
      <c r="U463" s="95"/>
      <c r="V463" s="95" t="s">
        <v>1168</v>
      </c>
      <c r="W463" s="92" t="str">
        <f t="shared" si="43"/>
        <v>Bernat Sanchez,Isabel</v>
      </c>
      <c r="X463" s="95">
        <f t="shared" si="46"/>
        <v>8</v>
      </c>
      <c r="Y463" s="95">
        <f t="shared" si="47"/>
        <v>2021</v>
      </c>
      <c r="Z463" s="97" t="s">
        <v>265</v>
      </c>
      <c r="AA463" t="str">
        <f>IF(Tabla1[[#This Row],[Kerma en aire acumulada (Gy)]]&gt;1,SUMIF(G:G,Tabla1[[#This Row],[SIP]],I:I)-Tabla1[[#This Row],[Kerma en aire acumulada (Gy)]],"")</f>
        <v/>
      </c>
    </row>
    <row r="464" spans="3:27">
      <c r="C464" s="89" t="s">
        <v>1088</v>
      </c>
      <c r="D464" s="90" t="s">
        <v>1001</v>
      </c>
      <c r="E464" s="90" t="s">
        <v>1180</v>
      </c>
      <c r="F464" s="90" t="s">
        <v>1181</v>
      </c>
      <c r="G464" s="90">
        <v>3208928</v>
      </c>
      <c r="H464" s="91">
        <v>44412</v>
      </c>
      <c r="I464" s="90">
        <v>0.71126</v>
      </c>
      <c r="J464" s="90"/>
      <c r="K464" s="90"/>
      <c r="L464" s="90"/>
      <c r="M464" s="90"/>
      <c r="N464" s="90"/>
      <c r="O464" s="90"/>
      <c r="P464" s="90"/>
      <c r="Q464" s="90"/>
      <c r="R464" s="90"/>
      <c r="S464" s="90"/>
      <c r="T464" s="91">
        <v>16737</v>
      </c>
      <c r="U464" s="90"/>
      <c r="V464" s="90" t="s">
        <v>89</v>
      </c>
      <c r="W464" s="92" t="str">
        <f t="shared" si="43"/>
        <v>Perez Casado,Ricard Vicent</v>
      </c>
      <c r="X464" s="90">
        <f t="shared" si="46"/>
        <v>8</v>
      </c>
      <c r="Y464" s="202">
        <f t="shared" si="47"/>
        <v>2021</v>
      </c>
      <c r="Z464" s="93" t="s">
        <v>265</v>
      </c>
      <c r="AA464" t="str">
        <f>IF(Tabla1[[#This Row],[Kerma en aire acumulada (Gy)]]&gt;1,SUMIF(G:G,Tabla1[[#This Row],[SIP]],I:I)-Tabla1[[#This Row],[Kerma en aire acumulada (Gy)]],"")</f>
        <v/>
      </c>
    </row>
    <row r="465" spans="3:27">
      <c r="C465" s="89" t="s">
        <v>1088</v>
      </c>
      <c r="D465" s="90" t="s">
        <v>1164</v>
      </c>
      <c r="E465" s="90" t="s">
        <v>1165</v>
      </c>
      <c r="F465" s="90" t="s">
        <v>1166</v>
      </c>
      <c r="G465" s="90">
        <v>1862886</v>
      </c>
      <c r="H465" s="91">
        <v>44412</v>
      </c>
      <c r="I465" s="90">
        <v>1.9300000000000001E-3</v>
      </c>
      <c r="J465" s="90"/>
      <c r="K465" s="90"/>
      <c r="L465" s="90"/>
      <c r="M465" s="90"/>
      <c r="N465" s="90"/>
      <c r="O465" s="90"/>
      <c r="P465" s="90"/>
      <c r="Q465" s="90"/>
      <c r="R465" s="90"/>
      <c r="S465" s="90"/>
      <c r="T465" s="91">
        <v>16345</v>
      </c>
      <c r="U465" s="90"/>
      <c r="V465" s="90" t="s">
        <v>929</v>
      </c>
      <c r="W465" s="92" t="str">
        <f t="shared" si="43"/>
        <v>Olmos Cabanes,Rafael Miguel</v>
      </c>
      <c r="X465" s="90">
        <f t="shared" si="46"/>
        <v>8</v>
      </c>
      <c r="Y465" s="90">
        <f t="shared" si="47"/>
        <v>2021</v>
      </c>
      <c r="Z465" s="93" t="s">
        <v>265</v>
      </c>
      <c r="AA465" t="str">
        <f>IF(Tabla1[[#This Row],[Kerma en aire acumulada (Gy)]]&gt;1,SUMIF(G:G,Tabla1[[#This Row],[SIP]],I:I)-Tabla1[[#This Row],[Kerma en aire acumulada (Gy)]],"")</f>
        <v/>
      </c>
    </row>
    <row r="466" spans="3:27">
      <c r="C466" s="94" t="s">
        <v>1088</v>
      </c>
      <c r="D466" s="95" t="s">
        <v>1178</v>
      </c>
      <c r="E466" s="95" t="s">
        <v>948</v>
      </c>
      <c r="F466" s="95" t="s">
        <v>1179</v>
      </c>
      <c r="G466" s="95">
        <v>2182963</v>
      </c>
      <c r="H466" s="96">
        <v>44412</v>
      </c>
      <c r="I466" s="95">
        <v>1.72E-2</v>
      </c>
      <c r="J466" s="95"/>
      <c r="K466" s="95"/>
      <c r="L466" s="95"/>
      <c r="M466" s="95"/>
      <c r="N466" s="95"/>
      <c r="O466" s="95"/>
      <c r="P466" s="95"/>
      <c r="Q466" s="95"/>
      <c r="R466" s="95"/>
      <c r="S466" s="95"/>
      <c r="T466" s="96">
        <v>15881</v>
      </c>
      <c r="U466" s="95"/>
      <c r="V466" s="95" t="s">
        <v>503</v>
      </c>
      <c r="W466" s="92" t="str">
        <f t="shared" si="43"/>
        <v>Montes Martinez,Eloina</v>
      </c>
      <c r="X466" s="95">
        <f t="shared" si="46"/>
        <v>8</v>
      </c>
      <c r="Y466" s="95">
        <f t="shared" si="47"/>
        <v>2021</v>
      </c>
      <c r="Z466" s="97" t="s">
        <v>265</v>
      </c>
      <c r="AA466" t="str">
        <f>IF(Tabla1[[#This Row],[Kerma en aire acumulada (Gy)]]&gt;1,SUMIF(G:G,Tabla1[[#This Row],[SIP]],I:I)-Tabla1[[#This Row],[Kerma en aire acumulada (Gy)]],"")</f>
        <v/>
      </c>
    </row>
    <row r="467" spans="3:27">
      <c r="C467" s="89" t="s">
        <v>1088</v>
      </c>
      <c r="D467" s="90" t="s">
        <v>964</v>
      </c>
      <c r="E467" s="90" t="s">
        <v>954</v>
      </c>
      <c r="F467" s="90" t="s">
        <v>1173</v>
      </c>
      <c r="G467" s="90">
        <v>2091946</v>
      </c>
      <c r="H467" s="91">
        <v>44413</v>
      </c>
      <c r="I467" s="90">
        <v>4.0120000000000003E-2</v>
      </c>
      <c r="J467" s="90"/>
      <c r="K467" s="90"/>
      <c r="L467" s="90"/>
      <c r="M467" s="90"/>
      <c r="N467" s="90"/>
      <c r="O467" s="90"/>
      <c r="P467" s="90"/>
      <c r="Q467" s="90"/>
      <c r="R467" s="90"/>
      <c r="S467" s="90"/>
      <c r="T467" s="91">
        <v>21301</v>
      </c>
      <c r="U467" s="90"/>
      <c r="V467" s="90" t="s">
        <v>1174</v>
      </c>
      <c r="W467" s="158" t="str">
        <f t="shared" si="43"/>
        <v>San Bautista Carbonell,Maria Jose</v>
      </c>
      <c r="X467" s="202">
        <f t="shared" si="46"/>
        <v>8</v>
      </c>
      <c r="Y467" s="202">
        <f t="shared" si="47"/>
        <v>2021</v>
      </c>
      <c r="Z467" s="93" t="s">
        <v>265</v>
      </c>
      <c r="AA467" t="str">
        <f>IF(Tabla1[[#This Row],[Kerma en aire acumulada (Gy)]]&gt;1,SUMIF(G:G,Tabla1[[#This Row],[SIP]],I:I)-Tabla1[[#This Row],[Kerma en aire acumulada (Gy)]],"")</f>
        <v/>
      </c>
    </row>
    <row r="468" spans="3:27">
      <c r="C468" s="94" t="s">
        <v>1088</v>
      </c>
      <c r="D468" s="95" t="s">
        <v>1041</v>
      </c>
      <c r="E468" s="95" t="s">
        <v>1042</v>
      </c>
      <c r="F468" s="95" t="s">
        <v>117</v>
      </c>
      <c r="G468" s="95">
        <v>159095</v>
      </c>
      <c r="H468" s="96">
        <v>44413</v>
      </c>
      <c r="I468" s="95">
        <v>4.1880000000000001E-2</v>
      </c>
      <c r="J468" s="95"/>
      <c r="K468" s="95"/>
      <c r="L468" s="95"/>
      <c r="M468" s="95"/>
      <c r="N468" s="95"/>
      <c r="O468" s="95"/>
      <c r="P468" s="95"/>
      <c r="Q468" s="95"/>
      <c r="R468" s="95"/>
      <c r="S468" s="95"/>
      <c r="T468" s="96">
        <v>25438</v>
      </c>
      <c r="U468" s="95"/>
      <c r="V468" s="95" t="s">
        <v>143</v>
      </c>
      <c r="W468" s="92" t="str">
        <f t="shared" si="43"/>
        <v>Iznardo Olivert,M Carmen</v>
      </c>
      <c r="X468" s="95">
        <f t="shared" si="46"/>
        <v>8</v>
      </c>
      <c r="Y468" s="95">
        <f t="shared" si="47"/>
        <v>2021</v>
      </c>
      <c r="Z468" s="97" t="s">
        <v>265</v>
      </c>
      <c r="AA468" t="str">
        <f>IF(Tabla1[[#This Row],[Kerma en aire acumulada (Gy)]]&gt;1,SUMIF(G:G,Tabla1[[#This Row],[SIP]],I:I)-Tabla1[[#This Row],[Kerma en aire acumulada (Gy)]],"")</f>
        <v/>
      </c>
    </row>
    <row r="469" spans="3:27">
      <c r="C469" s="94" t="s">
        <v>1088</v>
      </c>
      <c r="D469" s="95" t="s">
        <v>1175</v>
      </c>
      <c r="E469" s="95" t="s">
        <v>1176</v>
      </c>
      <c r="F469" s="95" t="s">
        <v>774</v>
      </c>
      <c r="G469" s="95">
        <v>3382854</v>
      </c>
      <c r="H469" s="96">
        <v>44413</v>
      </c>
      <c r="I469" s="95">
        <v>2.656E-2</v>
      </c>
      <c r="J469" s="95"/>
      <c r="K469" s="95"/>
      <c r="L469" s="95"/>
      <c r="M469" s="95"/>
      <c r="N469" s="95"/>
      <c r="O469" s="95"/>
      <c r="P469" s="95"/>
      <c r="Q469" s="95"/>
      <c r="R469" s="95"/>
      <c r="S469" s="95"/>
      <c r="T469" s="96">
        <v>19006</v>
      </c>
      <c r="U469" s="95"/>
      <c r="V469" s="95" t="s">
        <v>1177</v>
      </c>
      <c r="W469" s="92" t="str">
        <f t="shared" si="43"/>
        <v>Adria Peiro,Antonia</v>
      </c>
      <c r="X469" s="95">
        <f t="shared" si="46"/>
        <v>8</v>
      </c>
      <c r="Y469" s="95">
        <f t="shared" si="47"/>
        <v>2021</v>
      </c>
      <c r="Z469" s="97" t="s">
        <v>265</v>
      </c>
      <c r="AA469" t="str">
        <f>IF(Tabla1[[#This Row],[Kerma en aire acumulada (Gy)]]&gt;1,SUMIF(G:G,Tabla1[[#This Row],[SIP]],I:I)-Tabla1[[#This Row],[Kerma en aire acumulada (Gy)]],"")</f>
        <v/>
      </c>
    </row>
    <row r="470" spans="3:27">
      <c r="C470" s="89" t="s">
        <v>1088</v>
      </c>
      <c r="D470" s="90" t="s">
        <v>1207</v>
      </c>
      <c r="E470" s="90" t="s">
        <v>1205</v>
      </c>
      <c r="F470" s="90" t="s">
        <v>1206</v>
      </c>
      <c r="G470" s="90">
        <v>4491529</v>
      </c>
      <c r="H470" s="91">
        <v>44414</v>
      </c>
      <c r="I470" s="90">
        <v>0.22191</v>
      </c>
      <c r="J470" s="90"/>
      <c r="K470" s="90"/>
      <c r="L470" s="90"/>
      <c r="M470" s="90"/>
      <c r="N470" s="90"/>
      <c r="O470" s="90"/>
      <c r="P470" s="90"/>
      <c r="Q470" s="90"/>
      <c r="R470" s="90"/>
      <c r="S470" s="90"/>
      <c r="T470" s="91">
        <v>25036</v>
      </c>
      <c r="U470" s="90"/>
      <c r="V470" s="90" t="s">
        <v>509</v>
      </c>
      <c r="W470" s="158" t="str">
        <f t="shared" si="43"/>
        <v>Safont Escriche,Rosalia</v>
      </c>
      <c r="X470" s="202">
        <f t="shared" si="46"/>
        <v>8</v>
      </c>
      <c r="Y470" s="202">
        <f t="shared" si="47"/>
        <v>2021</v>
      </c>
      <c r="Z470" s="93" t="s">
        <v>265</v>
      </c>
      <c r="AA470" t="str">
        <f>IF(Tabla1[[#This Row],[Kerma en aire acumulada (Gy)]]&gt;1,SUMIF(G:G,Tabla1[[#This Row],[SIP]],I:I)-Tabla1[[#This Row],[Kerma en aire acumulada (Gy)]],"")</f>
        <v/>
      </c>
    </row>
    <row r="471" spans="3:27">
      <c r="C471" s="94" t="s">
        <v>1088</v>
      </c>
      <c r="D471" s="95" t="s">
        <v>1141</v>
      </c>
      <c r="E471" s="95" t="s">
        <v>189</v>
      </c>
      <c r="F471" s="95" t="s">
        <v>1238</v>
      </c>
      <c r="G471" s="95">
        <v>4454331</v>
      </c>
      <c r="H471" s="96">
        <v>44414</v>
      </c>
      <c r="I471" s="95">
        <v>7.22E-2</v>
      </c>
      <c r="J471" s="95"/>
      <c r="K471" s="95"/>
      <c r="L471" s="95"/>
      <c r="M471" s="95"/>
      <c r="N471" s="95"/>
      <c r="O471" s="95"/>
      <c r="P471" s="95"/>
      <c r="Q471" s="95"/>
      <c r="R471" s="95"/>
      <c r="S471" s="95"/>
      <c r="T471" s="96">
        <v>16915</v>
      </c>
      <c r="U471" s="95"/>
      <c r="V471" s="95" t="s">
        <v>1239</v>
      </c>
      <c r="W471" s="92" t="str">
        <f t="shared" si="43"/>
        <v>Nebot  Giner,Angel</v>
      </c>
      <c r="X471" s="95">
        <f t="shared" si="46"/>
        <v>8</v>
      </c>
      <c r="Y471" s="95">
        <f t="shared" si="47"/>
        <v>2021</v>
      </c>
      <c r="Z471" s="97" t="s">
        <v>265</v>
      </c>
      <c r="AA471" t="str">
        <f>IF(Tabla1[[#This Row],[Kerma en aire acumulada (Gy)]]&gt;1,SUMIF(G:G,Tabla1[[#This Row],[SIP]],I:I)-Tabla1[[#This Row],[Kerma en aire acumulada (Gy)]],"")</f>
        <v/>
      </c>
    </row>
    <row r="472" spans="3:27">
      <c r="C472" s="89" t="s">
        <v>1088</v>
      </c>
      <c r="D472" s="90" t="s">
        <v>1208</v>
      </c>
      <c r="E472" s="90" t="s">
        <v>1209</v>
      </c>
      <c r="F472" s="90" t="s">
        <v>1210</v>
      </c>
      <c r="G472" s="90">
        <v>3531880</v>
      </c>
      <c r="H472" s="91">
        <v>44414</v>
      </c>
      <c r="I472" s="90">
        <v>6.43E-3</v>
      </c>
      <c r="J472" s="90"/>
      <c r="K472" s="90"/>
      <c r="L472" s="90"/>
      <c r="M472" s="90"/>
      <c r="N472" s="90"/>
      <c r="O472" s="90"/>
      <c r="P472" s="90"/>
      <c r="Q472" s="90"/>
      <c r="R472" s="90"/>
      <c r="S472" s="90"/>
      <c r="T472" s="91">
        <v>24048</v>
      </c>
      <c r="U472" s="90"/>
      <c r="V472" s="90" t="s">
        <v>1204</v>
      </c>
      <c r="W472" s="158" t="str">
        <f t="shared" si="43"/>
        <v xml:space="preserve">Guadas Sanz,Pedro </v>
      </c>
      <c r="X472" s="202">
        <f t="shared" si="46"/>
        <v>8</v>
      </c>
      <c r="Y472" s="202">
        <f t="shared" si="47"/>
        <v>2021</v>
      </c>
      <c r="Z472" s="93" t="s">
        <v>265</v>
      </c>
      <c r="AA472" t="str">
        <f>IF(Tabla1[[#This Row],[Kerma en aire acumulada (Gy)]]&gt;1,SUMIF(G:G,Tabla1[[#This Row],[SIP]],I:I)-Tabla1[[#This Row],[Kerma en aire acumulada (Gy)]],"")</f>
        <v/>
      </c>
    </row>
    <row r="473" spans="3:27">
      <c r="C473" s="94" t="s">
        <v>1088</v>
      </c>
      <c r="D473" s="95" t="s">
        <v>1240</v>
      </c>
      <c r="E473" s="95" t="s">
        <v>1241</v>
      </c>
      <c r="F473" s="95" t="s">
        <v>1242</v>
      </c>
      <c r="G473" s="95">
        <v>3548944</v>
      </c>
      <c r="H473" s="96">
        <v>44414</v>
      </c>
      <c r="I473" s="95">
        <v>0.68527000000000005</v>
      </c>
      <c r="J473" s="95"/>
      <c r="K473" s="95"/>
      <c r="L473" s="95"/>
      <c r="M473" s="95"/>
      <c r="N473" s="95"/>
      <c r="O473" s="95"/>
      <c r="P473" s="95"/>
      <c r="Q473" s="95"/>
      <c r="R473" s="95"/>
      <c r="S473" s="95"/>
      <c r="T473" s="96">
        <v>20982</v>
      </c>
      <c r="U473" s="95"/>
      <c r="V473" s="95" t="s">
        <v>550</v>
      </c>
      <c r="W473" s="158" t="str">
        <f t="shared" si="43"/>
        <v>Aracil Viana,Jose Francisco</v>
      </c>
      <c r="X473" s="154">
        <f t="shared" si="46"/>
        <v>8</v>
      </c>
      <c r="Y473" s="154">
        <f t="shared" si="47"/>
        <v>2021</v>
      </c>
      <c r="Z473" s="97" t="s">
        <v>265</v>
      </c>
      <c r="AA473" t="str">
        <f>IF(Tabla1[[#This Row],[Kerma en aire acumulada (Gy)]]&gt;1,SUMIF(G:G,Tabla1[[#This Row],[SIP]],I:I)-Tabla1[[#This Row],[Kerma en aire acumulada (Gy)]],"")</f>
        <v/>
      </c>
    </row>
    <row r="474" spans="3:27">
      <c r="C474" s="89" t="s">
        <v>1088</v>
      </c>
      <c r="D474" s="90" t="s">
        <v>1200</v>
      </c>
      <c r="E474" s="90" t="s">
        <v>1201</v>
      </c>
      <c r="F474" s="90" t="s">
        <v>1202</v>
      </c>
      <c r="G474" s="90">
        <v>4701606</v>
      </c>
      <c r="H474" s="91">
        <v>44417</v>
      </c>
      <c r="I474" s="90">
        <v>2.4499999999999999E-3</v>
      </c>
      <c r="J474" s="90"/>
      <c r="K474" s="90"/>
      <c r="L474" s="90"/>
      <c r="M474" s="90"/>
      <c r="N474" s="90"/>
      <c r="O474" s="90"/>
      <c r="P474" s="90"/>
      <c r="Q474" s="90"/>
      <c r="R474" s="90"/>
      <c r="S474" s="90"/>
      <c r="T474" s="91">
        <v>20757</v>
      </c>
      <c r="U474" s="90"/>
      <c r="V474" s="90" t="s">
        <v>1203</v>
      </c>
      <c r="W474" s="92" t="str">
        <f t="shared" si="43"/>
        <v>Sena Penella,Maria Vicenta</v>
      </c>
      <c r="X474" s="90">
        <f t="shared" si="46"/>
        <v>8</v>
      </c>
      <c r="Y474" s="90">
        <f t="shared" si="47"/>
        <v>2021</v>
      </c>
      <c r="Z474" s="93" t="s">
        <v>265</v>
      </c>
      <c r="AA474" t="str">
        <f>IF(Tabla1[[#This Row],[Kerma en aire acumulada (Gy)]]&gt;1,SUMIF(G:G,Tabla1[[#This Row],[SIP]],I:I)-Tabla1[[#This Row],[Kerma en aire acumulada (Gy)]],"")</f>
        <v/>
      </c>
    </row>
    <row r="475" spans="3:27">
      <c r="C475" s="94" t="s">
        <v>1088</v>
      </c>
      <c r="D475" s="95" t="s">
        <v>1195</v>
      </c>
      <c r="E475" s="95" t="s">
        <v>321</v>
      </c>
      <c r="F475" s="95" t="s">
        <v>1196</v>
      </c>
      <c r="G475" s="95">
        <v>3367738</v>
      </c>
      <c r="H475" s="96">
        <v>44417</v>
      </c>
      <c r="I475" s="95">
        <v>5.1999999999999998E-3</v>
      </c>
      <c r="J475" s="95"/>
      <c r="K475" s="95"/>
      <c r="L475" s="95"/>
      <c r="M475" s="95"/>
      <c r="N475" s="95"/>
      <c r="O475" s="95"/>
      <c r="P475" s="95"/>
      <c r="Q475" s="95"/>
      <c r="R475" s="95"/>
      <c r="S475" s="95"/>
      <c r="T475" s="96">
        <v>21144</v>
      </c>
      <c r="U475" s="95"/>
      <c r="V475" s="95" t="s">
        <v>1197</v>
      </c>
      <c r="W475" s="158" t="str">
        <f t="shared" si="43"/>
        <v>Romeo Esteban,Emilia</v>
      </c>
      <c r="X475" s="154">
        <f t="shared" si="46"/>
        <v>8</v>
      </c>
      <c r="Y475" s="154">
        <f t="shared" si="47"/>
        <v>2021</v>
      </c>
      <c r="Z475" s="97" t="s">
        <v>265</v>
      </c>
      <c r="AA475" t="str">
        <f>IF(Tabla1[[#This Row],[Kerma en aire acumulada (Gy)]]&gt;1,SUMIF(G:G,Tabla1[[#This Row],[SIP]],I:I)-Tabla1[[#This Row],[Kerma en aire acumulada (Gy)]],"")</f>
        <v/>
      </c>
    </row>
    <row r="476" spans="3:27" ht="15.75" thickBot="1">
      <c r="C476" s="193" t="s">
        <v>1088</v>
      </c>
      <c r="D476" s="181" t="s">
        <v>962</v>
      </c>
      <c r="E476" s="181" t="s">
        <v>915</v>
      </c>
      <c r="F476" s="181" t="s">
        <v>1237</v>
      </c>
      <c r="G476" s="181">
        <v>3024535</v>
      </c>
      <c r="H476" s="194">
        <v>44417</v>
      </c>
      <c r="I476" s="181">
        <v>0.22303999999999999</v>
      </c>
      <c r="J476" s="181"/>
      <c r="K476" s="181"/>
      <c r="L476" s="181"/>
      <c r="M476" s="181"/>
      <c r="N476" s="181"/>
      <c r="O476" s="181"/>
      <c r="P476" s="181"/>
      <c r="Q476" s="181"/>
      <c r="R476" s="181"/>
      <c r="S476" s="181"/>
      <c r="T476" s="194">
        <v>14052</v>
      </c>
      <c r="U476" s="181"/>
      <c r="V476" s="181" t="s">
        <v>89</v>
      </c>
      <c r="W476" s="162" t="str">
        <f t="shared" si="43"/>
        <v>Garcia Gimenez,Paz Luisa</v>
      </c>
      <c r="X476" s="181">
        <f t="shared" si="46"/>
        <v>8</v>
      </c>
      <c r="Y476" s="181">
        <f t="shared" si="47"/>
        <v>2021</v>
      </c>
      <c r="Z476" s="164" t="s">
        <v>265</v>
      </c>
      <c r="AA476" t="str">
        <f>IF(Tabla1[[#This Row],[Kerma en aire acumulada (Gy)]]&gt;1,SUMIF(G:G,Tabla1[[#This Row],[SIP]],I:I)-Tabla1[[#This Row],[Kerma en aire acumulada (Gy)]],"")</f>
        <v/>
      </c>
    </row>
    <row r="477" spans="3:27">
      <c r="C477" s="155" t="s">
        <v>1088</v>
      </c>
      <c r="D477" s="154" t="s">
        <v>1234</v>
      </c>
      <c r="E477" s="154" t="s">
        <v>1235</v>
      </c>
      <c r="F477" s="154" t="s">
        <v>1236</v>
      </c>
      <c r="G477" s="154">
        <v>2028244</v>
      </c>
      <c r="H477" s="156">
        <v>44417</v>
      </c>
      <c r="I477" s="154">
        <v>0.70599999999999996</v>
      </c>
      <c r="J477" s="154"/>
      <c r="K477" s="154"/>
      <c r="L477" s="154"/>
      <c r="M477" s="154"/>
      <c r="N477" s="154"/>
      <c r="O477" s="154"/>
      <c r="P477" s="154"/>
      <c r="Q477" s="154"/>
      <c r="R477" s="154"/>
      <c r="S477" s="154"/>
      <c r="T477" s="156">
        <v>19275</v>
      </c>
      <c r="U477" s="154"/>
      <c r="V477" s="154" t="s">
        <v>89</v>
      </c>
      <c r="W477" s="158" t="str">
        <f t="shared" si="43"/>
        <v>Chirivella Asins,Salvadora</v>
      </c>
      <c r="X477" s="154">
        <f t="shared" si="46"/>
        <v>8</v>
      </c>
      <c r="Y477" s="154">
        <f t="shared" si="47"/>
        <v>2021</v>
      </c>
      <c r="Z477" s="174" t="s">
        <v>265</v>
      </c>
      <c r="AA477" t="str">
        <f>IF(Tabla1[[#This Row],[Kerma en aire acumulada (Gy)]]&gt;1,SUMIF(G:G,Tabla1[[#This Row],[SIP]],I:I)-Tabla1[[#This Row],[Kerma en aire acumulada (Gy)]],"")</f>
        <v/>
      </c>
    </row>
    <row r="478" spans="3:27">
      <c r="C478" s="94" t="s">
        <v>1088</v>
      </c>
      <c r="D478" s="95" t="s">
        <v>1198</v>
      </c>
      <c r="E478" s="95" t="s">
        <v>1199</v>
      </c>
      <c r="F478" s="95" t="s">
        <v>83</v>
      </c>
      <c r="G478" s="95">
        <v>2880427</v>
      </c>
      <c r="H478" s="96">
        <v>44417</v>
      </c>
      <c r="I478" s="95">
        <v>4.8000000000000001E-4</v>
      </c>
      <c r="J478" s="95"/>
      <c r="K478" s="95"/>
      <c r="L478" s="95"/>
      <c r="M478" s="95"/>
      <c r="N478" s="95"/>
      <c r="O478" s="95"/>
      <c r="P478" s="95"/>
      <c r="Q478" s="95"/>
      <c r="R478" s="95"/>
      <c r="S478" s="95"/>
      <c r="T478" s="96">
        <v>22720</v>
      </c>
      <c r="U478" s="95"/>
      <c r="V478" s="95" t="s">
        <v>1168</v>
      </c>
      <c r="W478" s="92" t="str">
        <f t="shared" si="43"/>
        <v>Arnal Fentanes,Francisco</v>
      </c>
      <c r="X478" s="95">
        <f t="shared" ref="X478:X509" si="48">MONTH(H478)</f>
        <v>8</v>
      </c>
      <c r="Y478" s="95">
        <f t="shared" ref="Y478:Y509" si="49">YEAR(H478)</f>
        <v>2021</v>
      </c>
      <c r="Z478" s="97" t="s">
        <v>265</v>
      </c>
      <c r="AA478" t="str">
        <f>IF(Tabla1[[#This Row],[Kerma en aire acumulada (Gy)]]&gt;1,SUMIF(G:G,Tabla1[[#This Row],[SIP]],I:I)-Tabla1[[#This Row],[Kerma en aire acumulada (Gy)]],"")</f>
        <v/>
      </c>
    </row>
    <row r="479" spans="3:27">
      <c r="C479" s="89" t="s">
        <v>1088</v>
      </c>
      <c r="D479" s="90" t="s">
        <v>776</v>
      </c>
      <c r="E479" s="90" t="s">
        <v>43</v>
      </c>
      <c r="F479" s="90" t="s">
        <v>715</v>
      </c>
      <c r="G479" s="90">
        <v>2194961</v>
      </c>
      <c r="H479" s="91">
        <v>44417</v>
      </c>
      <c r="I479" s="90">
        <v>6.9999999999999994E-5</v>
      </c>
      <c r="J479" s="90"/>
      <c r="K479" s="90"/>
      <c r="L479" s="90"/>
      <c r="M479" s="90"/>
      <c r="N479" s="90"/>
      <c r="O479" s="90"/>
      <c r="P479" s="90"/>
      <c r="Q479" s="90"/>
      <c r="R479" s="90"/>
      <c r="S479" s="90"/>
      <c r="T479" s="91">
        <v>11793</v>
      </c>
      <c r="U479" s="90"/>
      <c r="V479" s="90" t="s">
        <v>1204</v>
      </c>
      <c r="W479" s="92" t="str">
        <f t="shared" si="43"/>
        <v>Alfonso Cuenca,Amparo</v>
      </c>
      <c r="X479" s="90">
        <f t="shared" si="48"/>
        <v>8</v>
      </c>
      <c r="Y479" s="90">
        <f t="shared" si="49"/>
        <v>2021</v>
      </c>
      <c r="Z479" s="93" t="s">
        <v>265</v>
      </c>
      <c r="AA479" t="str">
        <f>IF(Tabla1[[#This Row],[Kerma en aire acumulada (Gy)]]&gt;1,SUMIF(G:G,Tabla1[[#This Row],[SIP]],I:I)-Tabla1[[#This Row],[Kerma en aire acumulada (Gy)]],"")</f>
        <v/>
      </c>
    </row>
    <row r="480" spans="3:27">
      <c r="C480" s="94" t="s">
        <v>1088</v>
      </c>
      <c r="D480" s="95" t="s">
        <v>542</v>
      </c>
      <c r="E480" s="95" t="s">
        <v>948</v>
      </c>
      <c r="F480" s="95" t="s">
        <v>1194</v>
      </c>
      <c r="G480" s="95">
        <v>2094221</v>
      </c>
      <c r="H480" s="96">
        <v>44418</v>
      </c>
      <c r="I480" s="95">
        <v>1.4409999999999999E-2</v>
      </c>
      <c r="J480" s="95"/>
      <c r="K480" s="95"/>
      <c r="L480" s="95"/>
      <c r="M480" s="95"/>
      <c r="N480" s="95"/>
      <c r="O480" s="95"/>
      <c r="P480" s="95"/>
      <c r="Q480" s="95"/>
      <c r="R480" s="95"/>
      <c r="S480" s="95"/>
      <c r="T480" s="96">
        <v>33928</v>
      </c>
      <c r="U480" s="95"/>
      <c r="V480" s="95" t="s">
        <v>1168</v>
      </c>
      <c r="W480" s="92" t="str">
        <f t="shared" si="43"/>
        <v>Vera Martinez,Iris</v>
      </c>
      <c r="X480" s="95">
        <f t="shared" si="48"/>
        <v>8</v>
      </c>
      <c r="Y480" s="95">
        <f t="shared" si="49"/>
        <v>2021</v>
      </c>
      <c r="Z480" s="97" t="s">
        <v>265</v>
      </c>
      <c r="AA480" t="str">
        <f>IF(Tabla1[[#This Row],[Kerma en aire acumulada (Gy)]]&gt;1,SUMIF(G:G,Tabla1[[#This Row],[SIP]],I:I)-Tabla1[[#This Row],[Kerma en aire acumulada (Gy)]],"")</f>
        <v/>
      </c>
    </row>
    <row r="481" spans="3:27">
      <c r="C481" s="94" t="s">
        <v>1088</v>
      </c>
      <c r="D481" s="95" t="s">
        <v>105</v>
      </c>
      <c r="E481" s="95" t="s">
        <v>124</v>
      </c>
      <c r="F481" s="95" t="s">
        <v>83</v>
      </c>
      <c r="G481" s="95">
        <v>3010031</v>
      </c>
      <c r="H481" s="96">
        <v>44418</v>
      </c>
      <c r="I481" s="95">
        <v>0.28836000000000001</v>
      </c>
      <c r="J481" s="95"/>
      <c r="K481" s="95"/>
      <c r="L481" s="95"/>
      <c r="M481" s="95"/>
      <c r="N481" s="95"/>
      <c r="O481" s="95"/>
      <c r="P481" s="95"/>
      <c r="Q481" s="95"/>
      <c r="R481" s="95"/>
      <c r="S481" s="95"/>
      <c r="T481" s="96">
        <v>21878</v>
      </c>
      <c r="U481" s="95"/>
      <c r="V481" s="95" t="s">
        <v>1226</v>
      </c>
      <c r="W481" s="92" t="str">
        <f t="shared" si="43"/>
        <v>Soriano Calero,Francisco</v>
      </c>
      <c r="X481" s="95">
        <f t="shared" si="48"/>
        <v>8</v>
      </c>
      <c r="Y481" s="95">
        <f t="shared" si="49"/>
        <v>2021</v>
      </c>
      <c r="Z481" s="97" t="s">
        <v>265</v>
      </c>
      <c r="AA481" t="str">
        <f>IF(Tabla1[[#This Row],[Kerma en aire acumulada (Gy)]]&gt;1,SUMIF(G:G,Tabla1[[#This Row],[SIP]],I:I)-Tabla1[[#This Row],[Kerma en aire acumulada (Gy)]],"")</f>
        <v/>
      </c>
    </row>
    <row r="482" spans="3:27">
      <c r="C482" s="89" t="s">
        <v>1088</v>
      </c>
      <c r="D482" s="90" t="s">
        <v>1232</v>
      </c>
      <c r="E482" s="90" t="s">
        <v>1230</v>
      </c>
      <c r="F482" s="90" t="s">
        <v>1231</v>
      </c>
      <c r="G482" s="90">
        <v>1730275</v>
      </c>
      <c r="H482" s="91">
        <v>44418</v>
      </c>
      <c r="I482" s="90">
        <v>1.1974</v>
      </c>
      <c r="J482" s="90"/>
      <c r="K482" s="90"/>
      <c r="L482" s="90"/>
      <c r="M482" s="90"/>
      <c r="N482" s="90"/>
      <c r="O482" s="90"/>
      <c r="P482" s="90"/>
      <c r="Q482" s="90"/>
      <c r="R482" s="90"/>
      <c r="S482" s="90"/>
      <c r="T482" s="91">
        <v>19659</v>
      </c>
      <c r="U482" s="90"/>
      <c r="V482" s="90" t="s">
        <v>1214</v>
      </c>
      <c r="W482" s="92" t="str">
        <f t="shared" si="43"/>
        <v>Montoliu Brisach,Joaquin VTE</v>
      </c>
      <c r="X482" s="90">
        <f t="shared" si="48"/>
        <v>8</v>
      </c>
      <c r="Y482" s="90">
        <f t="shared" si="49"/>
        <v>2021</v>
      </c>
      <c r="Z482" s="93" t="s">
        <v>265</v>
      </c>
      <c r="AA482">
        <f>IF(Tabla1[[#This Row],[Kerma en aire acumulada (Gy)]]&gt;1,SUMIF(G:G,Tabla1[[#This Row],[SIP]],I:I)-Tabla1[[#This Row],[Kerma en aire acumulada (Gy)]],"")</f>
        <v>0.46850999999999998</v>
      </c>
    </row>
    <row r="483" spans="3:27">
      <c r="C483" s="89" t="s">
        <v>1088</v>
      </c>
      <c r="D483" s="90" t="s">
        <v>1041</v>
      </c>
      <c r="E483" s="90" t="s">
        <v>1042</v>
      </c>
      <c r="F483" s="90" t="s">
        <v>117</v>
      </c>
      <c r="G483" s="90">
        <v>159095</v>
      </c>
      <c r="H483" s="91">
        <v>44418</v>
      </c>
      <c r="I483" s="90">
        <v>5.5399999999999998E-3</v>
      </c>
      <c r="J483" s="90"/>
      <c r="K483" s="90"/>
      <c r="L483" s="90"/>
      <c r="M483" s="90"/>
      <c r="N483" s="90"/>
      <c r="O483" s="90"/>
      <c r="P483" s="90"/>
      <c r="Q483" s="90"/>
      <c r="R483" s="90"/>
      <c r="S483" s="90"/>
      <c r="T483" s="91">
        <v>25438</v>
      </c>
      <c r="U483" s="90"/>
      <c r="V483" s="90" t="s">
        <v>1233</v>
      </c>
      <c r="W483" s="92" t="str">
        <f t="shared" ref="W483:W546" si="50">CONCATENATE(D483,$A$591,E483,",",F483)</f>
        <v>Iznardo Olivert,M Carmen</v>
      </c>
      <c r="X483" s="90">
        <f t="shared" si="48"/>
        <v>8</v>
      </c>
      <c r="Y483" s="90">
        <f t="shared" si="49"/>
        <v>2021</v>
      </c>
      <c r="Z483" s="93" t="s">
        <v>265</v>
      </c>
      <c r="AA483" t="str">
        <f>IF(Tabla1[[#This Row],[Kerma en aire acumulada (Gy)]]&gt;1,SUMIF(G:G,Tabla1[[#This Row],[SIP]],I:I)-Tabla1[[#This Row],[Kerma en aire acumulada (Gy)]],"")</f>
        <v/>
      </c>
    </row>
    <row r="484" spans="3:27">
      <c r="C484" s="89" t="s">
        <v>1088</v>
      </c>
      <c r="D484" s="90" t="s">
        <v>1227</v>
      </c>
      <c r="E484" s="90" t="s">
        <v>1228</v>
      </c>
      <c r="F484" s="90" t="s">
        <v>1229</v>
      </c>
      <c r="G484" s="90">
        <v>2811489</v>
      </c>
      <c r="H484" s="91">
        <v>44418</v>
      </c>
      <c r="I484" s="90">
        <v>8.7290000000000006E-2</v>
      </c>
      <c r="J484" s="90"/>
      <c r="K484" s="90"/>
      <c r="L484" s="90"/>
      <c r="M484" s="90"/>
      <c r="N484" s="90"/>
      <c r="O484" s="90"/>
      <c r="P484" s="90"/>
      <c r="Q484" s="90"/>
      <c r="R484" s="90"/>
      <c r="S484" s="90"/>
      <c r="T484" s="91">
        <v>18103</v>
      </c>
      <c r="U484" s="90"/>
      <c r="V484" s="90" t="s">
        <v>1226</v>
      </c>
      <c r="W484" s="92" t="str">
        <f t="shared" si="50"/>
        <v>Galvez Guillen,Augustin</v>
      </c>
      <c r="X484" s="90">
        <f t="shared" si="48"/>
        <v>8</v>
      </c>
      <c r="Y484" s="90">
        <f t="shared" si="49"/>
        <v>2021</v>
      </c>
      <c r="Z484" s="93" t="s">
        <v>265</v>
      </c>
      <c r="AA484" t="str">
        <f>IF(Tabla1[[#This Row],[Kerma en aire acumulada (Gy)]]&gt;1,SUMIF(G:G,Tabla1[[#This Row],[SIP]],I:I)-Tabla1[[#This Row],[Kerma en aire acumulada (Gy)]],"")</f>
        <v/>
      </c>
    </row>
    <row r="485" spans="3:27">
      <c r="C485" s="94" t="s">
        <v>1088</v>
      </c>
      <c r="D485" s="95" t="s">
        <v>1224</v>
      </c>
      <c r="E485" s="95" t="s">
        <v>1040</v>
      </c>
      <c r="F485" s="95" t="s">
        <v>7</v>
      </c>
      <c r="G485" s="95">
        <v>3192620</v>
      </c>
      <c r="H485" s="96">
        <v>44419</v>
      </c>
      <c r="I485" s="95">
        <v>0.34741</v>
      </c>
      <c r="J485" s="95"/>
      <c r="K485" s="95"/>
      <c r="L485" s="95"/>
      <c r="M485" s="95"/>
      <c r="N485" s="95"/>
      <c r="O485" s="95"/>
      <c r="P485" s="95"/>
      <c r="Q485" s="95"/>
      <c r="R485" s="95"/>
      <c r="S485" s="95"/>
      <c r="T485" s="96">
        <v>17579</v>
      </c>
      <c r="U485" s="95"/>
      <c r="V485" s="95" t="s">
        <v>1225</v>
      </c>
      <c r="W485" s="92" t="str">
        <f t="shared" si="50"/>
        <v>Zazo Cuevas,Francisca</v>
      </c>
      <c r="X485" s="95">
        <f t="shared" si="48"/>
        <v>8</v>
      </c>
      <c r="Y485" s="95">
        <f t="shared" si="49"/>
        <v>2021</v>
      </c>
      <c r="Z485" s="97" t="s">
        <v>265</v>
      </c>
      <c r="AA485" t="str">
        <f>IF(Tabla1[[#This Row],[Kerma en aire acumulada (Gy)]]&gt;1,SUMIF(G:G,Tabla1[[#This Row],[SIP]],I:I)-Tabla1[[#This Row],[Kerma en aire acumulada (Gy)]],"")</f>
        <v/>
      </c>
    </row>
    <row r="486" spans="3:27">
      <c r="C486" s="89" t="s">
        <v>1088</v>
      </c>
      <c r="D486" s="90" t="s">
        <v>66</v>
      </c>
      <c r="E486" s="90" t="s">
        <v>1009</v>
      </c>
      <c r="F486" s="90" t="s">
        <v>150</v>
      </c>
      <c r="G486" s="90">
        <v>4791096</v>
      </c>
      <c r="H486" s="91">
        <v>44419</v>
      </c>
      <c r="I486" s="141" t="s">
        <v>1188</v>
      </c>
      <c r="J486" s="90"/>
      <c r="K486" s="90"/>
      <c r="L486" s="90"/>
      <c r="M486" s="90"/>
      <c r="N486" s="90"/>
      <c r="O486" s="90"/>
      <c r="P486" s="90"/>
      <c r="Q486" s="90"/>
      <c r="R486" s="90"/>
      <c r="S486" s="90"/>
      <c r="T486" s="91">
        <v>21494</v>
      </c>
      <c r="U486" s="90"/>
      <c r="V486" s="90" t="s">
        <v>175</v>
      </c>
      <c r="W486" s="92" t="str">
        <f t="shared" si="50"/>
        <v>Navarro Fernandez,Paloma</v>
      </c>
      <c r="X486" s="90">
        <f t="shared" si="48"/>
        <v>8</v>
      </c>
      <c r="Y486" s="90">
        <f t="shared" si="49"/>
        <v>2021</v>
      </c>
      <c r="Z486" s="93" t="s">
        <v>265</v>
      </c>
      <c r="AA486" t="e">
        <f>IF(Tabla1[[#This Row],[Kerma en aire acumulada (Gy)]]&gt;1,SUMIF(G:G,Tabla1[[#This Row],[SIP]],I:I)-Tabla1[[#This Row],[Kerma en aire acumulada (Gy)]],"")</f>
        <v>#VALUE!</v>
      </c>
    </row>
    <row r="487" spans="3:27">
      <c r="C487" s="89" t="s">
        <v>1088</v>
      </c>
      <c r="D487" s="90" t="s">
        <v>948</v>
      </c>
      <c r="E487" s="90" t="s">
        <v>101</v>
      </c>
      <c r="F487" s="90" t="s">
        <v>834</v>
      </c>
      <c r="G487" s="90">
        <v>1187767</v>
      </c>
      <c r="H487" s="91">
        <v>44419</v>
      </c>
      <c r="I487" s="90">
        <v>3.3999999999999998E-3</v>
      </c>
      <c r="J487" s="90"/>
      <c r="K487" s="90"/>
      <c r="L487" s="90"/>
      <c r="M487" s="90"/>
      <c r="N487" s="90"/>
      <c r="O487" s="90"/>
      <c r="P487" s="90"/>
      <c r="Q487" s="90"/>
      <c r="R487" s="90"/>
      <c r="S487" s="90"/>
      <c r="T487" s="91">
        <v>19635</v>
      </c>
      <c r="U487" s="90"/>
      <c r="V487" s="90" t="s">
        <v>1168</v>
      </c>
      <c r="W487" s="92" t="str">
        <f t="shared" si="50"/>
        <v>Martinez Calvo,Pedro</v>
      </c>
      <c r="X487" s="90">
        <f t="shared" si="48"/>
        <v>8</v>
      </c>
      <c r="Y487" s="90">
        <f t="shared" si="49"/>
        <v>2021</v>
      </c>
      <c r="Z487" s="93" t="s">
        <v>265</v>
      </c>
      <c r="AA487" t="str">
        <f>IF(Tabla1[[#This Row],[Kerma en aire acumulada (Gy)]]&gt;1,SUMIF(G:G,Tabla1[[#This Row],[SIP]],I:I)-Tabla1[[#This Row],[Kerma en aire acumulada (Gy)]],"")</f>
        <v/>
      </c>
    </row>
    <row r="488" spans="3:27">
      <c r="C488" s="94" t="s">
        <v>1088</v>
      </c>
      <c r="D488" s="95" t="s">
        <v>1191</v>
      </c>
      <c r="E488" s="95" t="s">
        <v>762</v>
      </c>
      <c r="F488" s="95" t="s">
        <v>1192</v>
      </c>
      <c r="G488" s="95">
        <v>2309540</v>
      </c>
      <c r="H488" s="96">
        <v>44419</v>
      </c>
      <c r="I488" s="95">
        <v>5.5000000000000003E-4</v>
      </c>
      <c r="J488" s="95"/>
      <c r="K488" s="95"/>
      <c r="L488" s="95"/>
      <c r="M488" s="95"/>
      <c r="N488" s="95"/>
      <c r="O488" s="95"/>
      <c r="P488" s="95"/>
      <c r="Q488" s="95"/>
      <c r="R488" s="95"/>
      <c r="S488" s="95"/>
      <c r="T488" s="96">
        <v>21473</v>
      </c>
      <c r="U488" s="95"/>
      <c r="V488" s="95" t="s">
        <v>1193</v>
      </c>
      <c r="W488" s="92" t="str">
        <f t="shared" si="50"/>
        <v>Beltran Arribas,M Teresa</v>
      </c>
      <c r="X488" s="95">
        <f t="shared" si="48"/>
        <v>8</v>
      </c>
      <c r="Y488" s="95">
        <f t="shared" si="49"/>
        <v>2021</v>
      </c>
      <c r="Z488" s="97" t="s">
        <v>265</v>
      </c>
      <c r="AA488" t="str">
        <f>IF(Tabla1[[#This Row],[Kerma en aire acumulada (Gy)]]&gt;1,SUMIF(G:G,Tabla1[[#This Row],[SIP]],I:I)-Tabla1[[#This Row],[Kerma en aire acumulada (Gy)]],"")</f>
        <v/>
      </c>
    </row>
    <row r="489" spans="3:27">
      <c r="C489" s="89" t="s">
        <v>1088</v>
      </c>
      <c r="D489" s="90" t="s">
        <v>1186</v>
      </c>
      <c r="E489" s="90" t="s">
        <v>1187</v>
      </c>
      <c r="F489" s="90" t="s">
        <v>117</v>
      </c>
      <c r="G489" s="90">
        <v>3343147</v>
      </c>
      <c r="H489" s="91">
        <v>44420</v>
      </c>
      <c r="I489" s="141" t="s">
        <v>1188</v>
      </c>
      <c r="J489" s="90"/>
      <c r="K489" s="90"/>
      <c r="L489" s="90"/>
      <c r="M489" s="90"/>
      <c r="N489" s="90"/>
      <c r="O489" s="90"/>
      <c r="P489" s="90"/>
      <c r="Q489" s="90"/>
      <c r="R489" s="90"/>
      <c r="S489" s="90"/>
      <c r="T489" s="91">
        <v>16189</v>
      </c>
      <c r="U489" s="90"/>
      <c r="V489" s="90" t="s">
        <v>1111</v>
      </c>
      <c r="W489" s="92" t="str">
        <f t="shared" si="50"/>
        <v>Montero Villanueva,M Carmen</v>
      </c>
      <c r="X489" s="90">
        <f t="shared" si="48"/>
        <v>8</v>
      </c>
      <c r="Y489" s="90">
        <f t="shared" si="49"/>
        <v>2021</v>
      </c>
      <c r="Z489" s="93" t="s">
        <v>265</v>
      </c>
      <c r="AA489" t="e">
        <f>IF(Tabla1[[#This Row],[Kerma en aire acumulada (Gy)]]&gt;1,SUMIF(G:G,Tabla1[[#This Row],[SIP]],I:I)-Tabla1[[#This Row],[Kerma en aire acumulada (Gy)]],"")</f>
        <v>#VALUE!</v>
      </c>
    </row>
    <row r="490" spans="3:27">
      <c r="C490" s="89" t="s">
        <v>1088</v>
      </c>
      <c r="D490" s="90" t="s">
        <v>1220</v>
      </c>
      <c r="E490" s="90" t="s">
        <v>962</v>
      </c>
      <c r="F490" s="90" t="s">
        <v>1221</v>
      </c>
      <c r="G490" s="90">
        <v>2259742</v>
      </c>
      <c r="H490" s="91">
        <v>44420</v>
      </c>
      <c r="I490" s="90">
        <v>1.132E-2</v>
      </c>
      <c r="J490" s="90"/>
      <c r="K490" s="90"/>
      <c r="L490" s="90"/>
      <c r="M490" s="90"/>
      <c r="N490" s="90"/>
      <c r="O490" s="90"/>
      <c r="P490" s="90"/>
      <c r="Q490" s="90"/>
      <c r="R490" s="90"/>
      <c r="S490" s="90"/>
      <c r="T490" s="91">
        <v>18740</v>
      </c>
      <c r="U490" s="90"/>
      <c r="V490" s="90" t="s">
        <v>503</v>
      </c>
      <c r="W490" s="92" t="str">
        <f t="shared" si="50"/>
        <v>Iglesias Garcia,Jose M</v>
      </c>
      <c r="X490" s="90">
        <f t="shared" si="48"/>
        <v>8</v>
      </c>
      <c r="Y490" s="90">
        <f t="shared" si="49"/>
        <v>2021</v>
      </c>
      <c r="Z490" s="93" t="s">
        <v>265</v>
      </c>
      <c r="AA490" t="str">
        <f>IF(Tabla1[[#This Row],[Kerma en aire acumulada (Gy)]]&gt;1,SUMIF(G:G,Tabla1[[#This Row],[SIP]],I:I)-Tabla1[[#This Row],[Kerma en aire acumulada (Gy)]],"")</f>
        <v/>
      </c>
    </row>
    <row r="491" spans="3:27">
      <c r="C491" s="94" t="s">
        <v>1088</v>
      </c>
      <c r="D491" s="95" t="s">
        <v>962</v>
      </c>
      <c r="E491" s="95" t="s">
        <v>1222</v>
      </c>
      <c r="F491" s="95" t="s">
        <v>1223</v>
      </c>
      <c r="G491" s="95">
        <v>3338047</v>
      </c>
      <c r="H491" s="96">
        <v>44420</v>
      </c>
      <c r="I491" s="95">
        <v>2.1299999999999999E-3</v>
      </c>
      <c r="J491" s="95"/>
      <c r="K491" s="95"/>
      <c r="L491" s="95"/>
      <c r="M491" s="95"/>
      <c r="N491" s="95"/>
      <c r="O491" s="95"/>
      <c r="P491" s="95"/>
      <c r="Q491" s="95"/>
      <c r="R491" s="95"/>
      <c r="S491" s="95"/>
      <c r="T491" s="96">
        <v>29443</v>
      </c>
      <c r="U491" s="95"/>
      <c r="V491" s="95" t="s">
        <v>1203</v>
      </c>
      <c r="W491" s="92" t="str">
        <f t="shared" si="50"/>
        <v>Garcia Lanzas,Alfonso Javier</v>
      </c>
      <c r="X491" s="95">
        <f t="shared" si="48"/>
        <v>8</v>
      </c>
      <c r="Y491" s="95">
        <f t="shared" si="49"/>
        <v>2021</v>
      </c>
      <c r="Z491" s="97" t="s">
        <v>265</v>
      </c>
      <c r="AA491" t="str">
        <f>IF(Tabla1[[#This Row],[Kerma en aire acumulada (Gy)]]&gt;1,SUMIF(G:G,Tabla1[[#This Row],[SIP]],I:I)-Tabla1[[#This Row],[Kerma en aire acumulada (Gy)]],"")</f>
        <v/>
      </c>
    </row>
    <row r="492" spans="3:27" ht="15.75" thickBot="1">
      <c r="C492" s="166" t="s">
        <v>1088</v>
      </c>
      <c r="D492" s="163" t="s">
        <v>1040</v>
      </c>
      <c r="E492" s="163" t="s">
        <v>1189</v>
      </c>
      <c r="F492" s="163" t="s">
        <v>7</v>
      </c>
      <c r="G492" s="163">
        <v>2033811</v>
      </c>
      <c r="H492" s="173">
        <v>44420</v>
      </c>
      <c r="I492" s="221" t="s">
        <v>1188</v>
      </c>
      <c r="J492" s="163"/>
      <c r="K492" s="163"/>
      <c r="L492" s="163"/>
      <c r="M492" s="163"/>
      <c r="N492" s="163"/>
      <c r="O492" s="163"/>
      <c r="P492" s="163"/>
      <c r="Q492" s="163"/>
      <c r="R492" s="163"/>
      <c r="S492" s="163"/>
      <c r="T492" s="173">
        <v>18837</v>
      </c>
      <c r="U492" s="163"/>
      <c r="V492" s="163" t="s">
        <v>1190</v>
      </c>
      <c r="W492" s="162" t="str">
        <f t="shared" si="50"/>
        <v>Cuevas Ojeda,Francisca</v>
      </c>
      <c r="X492" s="163">
        <f t="shared" si="48"/>
        <v>8</v>
      </c>
      <c r="Y492" s="163">
        <f t="shared" si="49"/>
        <v>2021</v>
      </c>
      <c r="Z492" s="172" t="s">
        <v>265</v>
      </c>
      <c r="AA492" t="e">
        <f>IF(Tabla1[[#This Row],[Kerma en aire acumulada (Gy)]]&gt;1,SUMIF(G:G,Tabla1[[#This Row],[SIP]],I:I)-Tabla1[[#This Row],[Kerma en aire acumulada (Gy)]],"")</f>
        <v>#VALUE!</v>
      </c>
    </row>
    <row r="493" spans="3:27">
      <c r="C493" s="157" t="s">
        <v>1088</v>
      </c>
      <c r="D493" s="202" t="s">
        <v>1041</v>
      </c>
      <c r="E493" s="202" t="s">
        <v>1042</v>
      </c>
      <c r="F493" s="202" t="s">
        <v>117</v>
      </c>
      <c r="G493" s="202">
        <v>159095</v>
      </c>
      <c r="H493" s="214">
        <v>44421</v>
      </c>
      <c r="I493" s="202">
        <v>2.2100000000000002E-2</v>
      </c>
      <c r="J493" s="202"/>
      <c r="K493" s="202"/>
      <c r="L493" s="202"/>
      <c r="M493" s="202"/>
      <c r="N493" s="202"/>
      <c r="O493" s="202"/>
      <c r="P493" s="202"/>
      <c r="Q493" s="202"/>
      <c r="R493" s="202"/>
      <c r="S493" s="202"/>
      <c r="T493" s="214">
        <v>25438</v>
      </c>
      <c r="U493" s="202"/>
      <c r="V493" s="202" t="s">
        <v>1214</v>
      </c>
      <c r="W493" s="158" t="str">
        <f t="shared" si="50"/>
        <v>Iznardo Olivert,M Carmen</v>
      </c>
      <c r="X493" s="202">
        <f t="shared" si="48"/>
        <v>8</v>
      </c>
      <c r="Y493" s="202">
        <f t="shared" si="49"/>
        <v>2021</v>
      </c>
      <c r="Z493" s="203" t="s">
        <v>265</v>
      </c>
      <c r="AA493" t="str">
        <f>IF(Tabla1[[#This Row],[Kerma en aire acumulada (Gy)]]&gt;1,SUMIF(G:G,Tabla1[[#This Row],[SIP]],I:I)-Tabla1[[#This Row],[Kerma en aire acumulada (Gy)]],"")</f>
        <v/>
      </c>
    </row>
    <row r="494" spans="3:27">
      <c r="C494" s="94" t="s">
        <v>1088</v>
      </c>
      <c r="D494" s="95" t="s">
        <v>321</v>
      </c>
      <c r="E494" s="95" t="s">
        <v>915</v>
      </c>
      <c r="F494" s="95" t="s">
        <v>1050</v>
      </c>
      <c r="G494" s="95">
        <v>2808675</v>
      </c>
      <c r="H494" s="96">
        <v>44421</v>
      </c>
      <c r="I494" s="95">
        <v>4.5710000000000001E-2</v>
      </c>
      <c r="J494" s="95"/>
      <c r="K494" s="95"/>
      <c r="L494" s="95"/>
      <c r="M494" s="95"/>
      <c r="N494" s="95"/>
      <c r="O494" s="95"/>
      <c r="P494" s="95"/>
      <c r="Q494" s="95"/>
      <c r="R494" s="95"/>
      <c r="S494" s="95"/>
      <c r="T494" s="96">
        <v>16524</v>
      </c>
      <c r="U494" s="95"/>
      <c r="V494" s="95" t="s">
        <v>1219</v>
      </c>
      <c r="W494" s="92" t="str">
        <f t="shared" si="50"/>
        <v>Esteban Gimenez,Francisco Javier</v>
      </c>
      <c r="X494" s="95">
        <f t="shared" si="48"/>
        <v>8</v>
      </c>
      <c r="Y494" s="95">
        <f t="shared" si="49"/>
        <v>2021</v>
      </c>
      <c r="Z494" s="97" t="s">
        <v>265</v>
      </c>
      <c r="AA494" t="str">
        <f>IF(Tabla1[[#This Row],[Kerma en aire acumulada (Gy)]]&gt;1,SUMIF(G:G,Tabla1[[#This Row],[SIP]],I:I)-Tabla1[[#This Row],[Kerma en aire acumulada (Gy)]],"")</f>
        <v/>
      </c>
    </row>
    <row r="495" spans="3:27">
      <c r="C495" s="94" t="s">
        <v>1088</v>
      </c>
      <c r="D495" s="95" t="s">
        <v>1215</v>
      </c>
      <c r="E495" s="95" t="s">
        <v>1216</v>
      </c>
      <c r="F495" s="95" t="s">
        <v>1217</v>
      </c>
      <c r="G495" s="95">
        <v>3162681</v>
      </c>
      <c r="H495" s="96">
        <v>44421</v>
      </c>
      <c r="I495" s="95">
        <v>7.6999999999999996E-4</v>
      </c>
      <c r="J495" s="95"/>
      <c r="K495" s="95"/>
      <c r="L495" s="95"/>
      <c r="M495" s="95"/>
      <c r="N495" s="95"/>
      <c r="O495" s="95"/>
      <c r="P495" s="95"/>
      <c r="Q495" s="95"/>
      <c r="R495" s="95"/>
      <c r="S495" s="95"/>
      <c r="T495" s="96">
        <v>11818</v>
      </c>
      <c r="U495" s="95"/>
      <c r="V495" s="95" t="s">
        <v>1218</v>
      </c>
      <c r="W495" s="92" t="str">
        <f t="shared" si="50"/>
        <v>Acedo Guerra,Mercedes</v>
      </c>
      <c r="X495" s="95">
        <f t="shared" si="48"/>
        <v>8</v>
      </c>
      <c r="Y495" s="95">
        <f t="shared" si="49"/>
        <v>2021</v>
      </c>
      <c r="Z495" s="97" t="s">
        <v>265</v>
      </c>
      <c r="AA495" t="str">
        <f>IF(Tabla1[[#This Row],[Kerma en aire acumulada (Gy)]]&gt;1,SUMIF(G:G,Tabla1[[#This Row],[SIP]],I:I)-Tabla1[[#This Row],[Kerma en aire acumulada (Gy)]],"")</f>
        <v/>
      </c>
    </row>
    <row r="496" spans="3:27">
      <c r="C496" s="89" t="s">
        <v>1088</v>
      </c>
      <c r="D496" s="90" t="s">
        <v>1211</v>
      </c>
      <c r="E496" s="90" t="s">
        <v>1212</v>
      </c>
      <c r="F496" s="90" t="s">
        <v>1213</v>
      </c>
      <c r="G496" s="90">
        <v>2417856</v>
      </c>
      <c r="H496" s="91">
        <v>44422</v>
      </c>
      <c r="I496" s="90">
        <v>0.27767999999999998</v>
      </c>
      <c r="J496" s="90"/>
      <c r="K496" s="90"/>
      <c r="L496" s="90"/>
      <c r="M496" s="90"/>
      <c r="N496" s="90"/>
      <c r="O496" s="90"/>
      <c r="P496" s="90"/>
      <c r="Q496" s="90"/>
      <c r="R496" s="90"/>
      <c r="S496" s="90"/>
      <c r="T496" s="91">
        <v>20662</v>
      </c>
      <c r="U496" s="90"/>
      <c r="V496" s="90" t="s">
        <v>1116</v>
      </c>
      <c r="W496" s="92" t="str">
        <f t="shared" si="50"/>
        <v>Montoro Latorre,Maria Isabel</v>
      </c>
      <c r="X496" s="90">
        <f t="shared" si="48"/>
        <v>8</v>
      </c>
      <c r="Y496" s="90">
        <f t="shared" si="49"/>
        <v>2021</v>
      </c>
      <c r="Z496" s="93" t="s">
        <v>265</v>
      </c>
      <c r="AA496" t="str">
        <f>IF(Tabla1[[#This Row],[Kerma en aire acumulada (Gy)]]&gt;1,SUMIF(G:G,Tabla1[[#This Row],[SIP]],I:I)-Tabla1[[#This Row],[Kerma en aire acumulada (Gy)]],"")</f>
        <v/>
      </c>
    </row>
    <row r="497" spans="3:27">
      <c r="C497" s="94" t="s">
        <v>1088</v>
      </c>
      <c r="D497" s="95" t="s">
        <v>1211</v>
      </c>
      <c r="E497" s="95" t="s">
        <v>1212</v>
      </c>
      <c r="F497" s="95" t="s">
        <v>1213</v>
      </c>
      <c r="G497" s="95">
        <v>2417856</v>
      </c>
      <c r="H497" s="96">
        <v>44423</v>
      </c>
      <c r="I497" s="95">
        <v>0.36073</v>
      </c>
      <c r="J497" s="95"/>
      <c r="K497" s="95"/>
      <c r="L497" s="95"/>
      <c r="M497" s="95"/>
      <c r="N497" s="95"/>
      <c r="O497" s="95"/>
      <c r="P497" s="95"/>
      <c r="Q497" s="95"/>
      <c r="R497" s="95"/>
      <c r="S497" s="95"/>
      <c r="T497" s="96">
        <v>20662</v>
      </c>
      <c r="U497" s="95"/>
      <c r="V497" s="95" t="s">
        <v>1116</v>
      </c>
      <c r="W497" s="92" t="str">
        <f t="shared" si="50"/>
        <v>Montoro Latorre,Maria Isabel</v>
      </c>
      <c r="X497" s="95">
        <f t="shared" si="48"/>
        <v>8</v>
      </c>
      <c r="Y497" s="95">
        <f t="shared" si="49"/>
        <v>2021</v>
      </c>
      <c r="Z497" s="97" t="s">
        <v>265</v>
      </c>
      <c r="AA497" t="str">
        <f>IF(Tabla1[[#This Row],[Kerma en aire acumulada (Gy)]]&gt;1,SUMIF(G:G,Tabla1[[#This Row],[SIP]],I:I)-Tabla1[[#This Row],[Kerma en aire acumulada (Gy)]],"")</f>
        <v/>
      </c>
    </row>
    <row r="498" spans="3:27">
      <c r="C498" s="94" t="s">
        <v>1088</v>
      </c>
      <c r="D498" s="95" t="s">
        <v>1027</v>
      </c>
      <c r="E498" s="95" t="s">
        <v>856</v>
      </c>
      <c r="F498" s="95" t="s">
        <v>83</v>
      </c>
      <c r="G498" s="95">
        <v>3790078</v>
      </c>
      <c r="H498" s="96">
        <v>44424</v>
      </c>
      <c r="I498" s="95">
        <v>0.41289999999999999</v>
      </c>
      <c r="J498" s="95"/>
      <c r="K498" s="95"/>
      <c r="L498" s="95"/>
      <c r="M498" s="95"/>
      <c r="N498" s="95"/>
      <c r="O498" s="95"/>
      <c r="P498" s="95"/>
      <c r="Q498" s="95"/>
      <c r="R498" s="95"/>
      <c r="S498" s="95"/>
      <c r="T498" s="96">
        <v>28672</v>
      </c>
      <c r="U498" s="95"/>
      <c r="V498" s="95" t="s">
        <v>650</v>
      </c>
      <c r="W498" s="92" t="str">
        <f t="shared" si="50"/>
        <v>Mateos Gomez,Francisco</v>
      </c>
      <c r="X498" s="95">
        <f t="shared" si="48"/>
        <v>8</v>
      </c>
      <c r="Y498" s="95">
        <f t="shared" si="49"/>
        <v>2021</v>
      </c>
      <c r="Z498" s="97" t="s">
        <v>265</v>
      </c>
      <c r="AA498" t="str">
        <f>IF(Tabla1[[#This Row],[Kerma en aire acumulada (Gy)]]&gt;1,SUMIF(G:G,Tabla1[[#This Row],[SIP]],I:I)-Tabla1[[#This Row],[Kerma en aire acumulada (Gy)]],"")</f>
        <v/>
      </c>
    </row>
    <row r="499" spans="3:27">
      <c r="C499" s="89" t="s">
        <v>1088</v>
      </c>
      <c r="D499" s="90" t="s">
        <v>337</v>
      </c>
      <c r="E499" s="90" t="s">
        <v>104</v>
      </c>
      <c r="F499" s="90" t="s">
        <v>1297</v>
      </c>
      <c r="G499" s="90">
        <v>2925662</v>
      </c>
      <c r="H499" s="91">
        <v>44424</v>
      </c>
      <c r="I499" s="90">
        <v>4.7400000000000003E-3</v>
      </c>
      <c r="J499" s="90"/>
      <c r="K499" s="90"/>
      <c r="L499" s="90"/>
      <c r="M499" s="90"/>
      <c r="N499" s="90"/>
      <c r="O499" s="90"/>
      <c r="P499" s="90"/>
      <c r="Q499" s="90"/>
      <c r="R499" s="90"/>
      <c r="S499" s="90"/>
      <c r="T499" s="91">
        <v>23409</v>
      </c>
      <c r="U499" s="90"/>
      <c r="V499" s="90" t="s">
        <v>143</v>
      </c>
      <c r="W499" s="92" t="str">
        <f t="shared" si="50"/>
        <v>Garrido Martínez,Juan Vicente</v>
      </c>
      <c r="X499" s="90">
        <f t="shared" si="48"/>
        <v>8</v>
      </c>
      <c r="Y499" s="90">
        <f t="shared" si="49"/>
        <v>2021</v>
      </c>
      <c r="Z499" s="93" t="s">
        <v>265</v>
      </c>
      <c r="AA499" t="str">
        <f>IF(Tabla1[[#This Row],[Kerma en aire acumulada (Gy)]]&gt;1,SUMIF(G:G,Tabla1[[#This Row],[SIP]],I:I)-Tabla1[[#This Row],[Kerma en aire acumulada (Gy)]],"")</f>
        <v/>
      </c>
    </row>
    <row r="500" spans="3:27">
      <c r="C500" s="94" t="s">
        <v>1088</v>
      </c>
      <c r="D500" s="95" t="s">
        <v>968</v>
      </c>
      <c r="E500" s="95" t="s">
        <v>129</v>
      </c>
      <c r="F500" s="95" t="s">
        <v>662</v>
      </c>
      <c r="G500" s="95">
        <v>3778362</v>
      </c>
      <c r="H500" s="96">
        <v>44425</v>
      </c>
      <c r="I500" s="95">
        <v>6.7100000000000007E-2</v>
      </c>
      <c r="J500" s="95"/>
      <c r="K500" s="95"/>
      <c r="L500" s="95"/>
      <c r="M500" s="95"/>
      <c r="N500" s="95"/>
      <c r="O500" s="95"/>
      <c r="P500" s="95"/>
      <c r="Q500" s="95"/>
      <c r="R500" s="95"/>
      <c r="S500" s="95"/>
      <c r="T500" s="96">
        <v>44523</v>
      </c>
      <c r="U500" s="95"/>
      <c r="V500" s="95" t="s">
        <v>1293</v>
      </c>
      <c r="W500" s="92" t="str">
        <f t="shared" si="50"/>
        <v>Soria Gallego,Azucena</v>
      </c>
      <c r="X500" s="95">
        <f t="shared" si="48"/>
        <v>8</v>
      </c>
      <c r="Y500" s="95">
        <f t="shared" si="49"/>
        <v>2021</v>
      </c>
      <c r="Z500" s="97" t="s">
        <v>265</v>
      </c>
      <c r="AA500" t="str">
        <f>IF(Tabla1[[#This Row],[Kerma en aire acumulada (Gy)]]&gt;1,SUMIF(G:G,Tabla1[[#This Row],[SIP]],I:I)-Tabla1[[#This Row],[Kerma en aire acumulada (Gy)]],"")</f>
        <v/>
      </c>
    </row>
    <row r="501" spans="3:27">
      <c r="C501" s="89" t="s">
        <v>1088</v>
      </c>
      <c r="D501" s="90" t="s">
        <v>1271</v>
      </c>
      <c r="E501" s="90" t="s">
        <v>1272</v>
      </c>
      <c r="F501" s="90" t="s">
        <v>28</v>
      </c>
      <c r="G501" s="90">
        <v>2302261</v>
      </c>
      <c r="H501" s="91">
        <v>44425</v>
      </c>
      <c r="I501" s="90">
        <v>5.7499999999999999E-3</v>
      </c>
      <c r="J501" s="90"/>
      <c r="K501" s="90"/>
      <c r="L501" s="90"/>
      <c r="M501" s="90"/>
      <c r="N501" s="90"/>
      <c r="O501" s="90"/>
      <c r="P501" s="90"/>
      <c r="Q501" s="90"/>
      <c r="R501" s="90"/>
      <c r="S501" s="90"/>
      <c r="T501" s="91">
        <v>21613</v>
      </c>
      <c r="U501" s="90"/>
      <c r="V501" s="90" t="s">
        <v>1214</v>
      </c>
      <c r="W501" s="92" t="str">
        <f t="shared" si="50"/>
        <v>Sierra Benavent,Josefa</v>
      </c>
      <c r="X501" s="90">
        <f t="shared" si="48"/>
        <v>8</v>
      </c>
      <c r="Y501" s="90">
        <f t="shared" si="49"/>
        <v>2021</v>
      </c>
      <c r="Z501" s="93" t="s">
        <v>265</v>
      </c>
      <c r="AA501" t="str">
        <f>IF(Tabla1[[#This Row],[Kerma en aire acumulada (Gy)]]&gt;1,SUMIF(G:G,Tabla1[[#This Row],[SIP]],I:I)-Tabla1[[#This Row],[Kerma en aire acumulada (Gy)]],"")</f>
        <v/>
      </c>
    </row>
    <row r="502" spans="3:27">
      <c r="C502" s="89" t="s">
        <v>1088</v>
      </c>
      <c r="D502" s="90" t="s">
        <v>1012</v>
      </c>
      <c r="E502" s="90" t="s">
        <v>368</v>
      </c>
      <c r="F502" s="90" t="s">
        <v>1296</v>
      </c>
      <c r="G502" s="90">
        <v>2874306</v>
      </c>
      <c r="H502" s="91">
        <v>44425</v>
      </c>
      <c r="I502" s="90">
        <v>0.11219</v>
      </c>
      <c r="J502" s="90"/>
      <c r="K502" s="90"/>
      <c r="L502" s="90"/>
      <c r="M502" s="90"/>
      <c r="N502" s="90"/>
      <c r="O502" s="90"/>
      <c r="P502" s="90"/>
      <c r="Q502" s="90"/>
      <c r="R502" s="90"/>
      <c r="S502" s="90"/>
      <c r="T502" s="91">
        <v>20995</v>
      </c>
      <c r="U502" s="90"/>
      <c r="V502" s="90" t="s">
        <v>1174</v>
      </c>
      <c r="W502" s="92" t="str">
        <f t="shared" si="50"/>
        <v>Ros García,Francisco Juan</v>
      </c>
      <c r="X502" s="90">
        <f t="shared" si="48"/>
        <v>8</v>
      </c>
      <c r="Y502" s="90">
        <f t="shared" si="49"/>
        <v>2021</v>
      </c>
      <c r="Z502" s="93" t="s">
        <v>265</v>
      </c>
      <c r="AA502" t="str">
        <f>IF(Tabla1[[#This Row],[Kerma en aire acumulada (Gy)]]&gt;1,SUMIF(G:G,Tabla1[[#This Row],[SIP]],I:I)-Tabla1[[#This Row],[Kerma en aire acumulada (Gy)]],"")</f>
        <v/>
      </c>
    </row>
    <row r="503" spans="3:27">
      <c r="C503" s="94" t="s">
        <v>1088</v>
      </c>
      <c r="D503" s="95" t="s">
        <v>1294</v>
      </c>
      <c r="E503" s="95" t="s">
        <v>1295</v>
      </c>
      <c r="F503" s="95" t="s">
        <v>142</v>
      </c>
      <c r="G503" s="95">
        <v>1798521</v>
      </c>
      <c r="H503" s="96">
        <v>44425</v>
      </c>
      <c r="I503" s="95">
        <v>0.54935</v>
      </c>
      <c r="J503" s="95"/>
      <c r="K503" s="95"/>
      <c r="L503" s="95"/>
      <c r="M503" s="95"/>
      <c r="N503" s="95"/>
      <c r="O503" s="95"/>
      <c r="P503" s="95"/>
      <c r="Q503" s="95"/>
      <c r="R503" s="95"/>
      <c r="S503" s="95"/>
      <c r="T503" s="96">
        <v>27137</v>
      </c>
      <c r="U503" s="95"/>
      <c r="V503" s="95" t="s">
        <v>541</v>
      </c>
      <c r="W503" s="92" t="str">
        <f t="shared" si="50"/>
        <v>Roca Julve,David</v>
      </c>
      <c r="X503" s="95">
        <f t="shared" si="48"/>
        <v>8</v>
      </c>
      <c r="Y503" s="95">
        <f t="shared" si="49"/>
        <v>2021</v>
      </c>
      <c r="Z503" s="97" t="s">
        <v>265</v>
      </c>
      <c r="AA503" t="str">
        <f>IF(Tabla1[[#This Row],[Kerma en aire acumulada (Gy)]]&gt;1,SUMIF(G:G,Tabla1[[#This Row],[SIP]],I:I)-Tabla1[[#This Row],[Kerma en aire acumulada (Gy)]],"")</f>
        <v/>
      </c>
    </row>
    <row r="504" spans="3:27">
      <c r="C504" s="157" t="s">
        <v>1088</v>
      </c>
      <c r="D504" s="90" t="s">
        <v>1273</v>
      </c>
      <c r="E504" s="90" t="s">
        <v>126</v>
      </c>
      <c r="F504" s="90" t="s">
        <v>786</v>
      </c>
      <c r="G504" s="90">
        <v>2413346</v>
      </c>
      <c r="H504" s="91">
        <v>44425</v>
      </c>
      <c r="I504" s="90">
        <v>1E-3</v>
      </c>
      <c r="J504" s="90"/>
      <c r="K504" s="90"/>
      <c r="L504" s="90"/>
      <c r="M504" s="90"/>
      <c r="N504" s="90"/>
      <c r="O504" s="90"/>
      <c r="P504" s="90"/>
      <c r="Q504" s="90"/>
      <c r="R504" s="90"/>
      <c r="S504" s="90"/>
      <c r="T504" s="91">
        <v>17380</v>
      </c>
      <c r="U504" s="202"/>
      <c r="V504" s="202" t="s">
        <v>1274</v>
      </c>
      <c r="W504" s="92" t="str">
        <f t="shared" si="50"/>
        <v>Piñero  Domingo,Maria Carmen</v>
      </c>
      <c r="X504" s="90">
        <f t="shared" si="48"/>
        <v>8</v>
      </c>
      <c r="Y504" s="90">
        <f t="shared" si="49"/>
        <v>2021</v>
      </c>
      <c r="Z504" s="93" t="s">
        <v>265</v>
      </c>
      <c r="AA504" t="str">
        <f>IF(Tabla1[[#This Row],[Kerma en aire acumulada (Gy)]]&gt;1,SUMIF(G:G,Tabla1[[#This Row],[SIP]],I:I)-Tabla1[[#This Row],[Kerma en aire acumulada (Gy)]],"")</f>
        <v/>
      </c>
    </row>
    <row r="505" spans="3:27">
      <c r="C505" s="155" t="s">
        <v>1088</v>
      </c>
      <c r="D505" s="95" t="s">
        <v>1269</v>
      </c>
      <c r="E505" s="95"/>
      <c r="F505" s="95" t="s">
        <v>1270</v>
      </c>
      <c r="G505" s="95">
        <v>3114171</v>
      </c>
      <c r="H505" s="96">
        <v>44425</v>
      </c>
      <c r="I505" s="95">
        <v>1.65E-3</v>
      </c>
      <c r="J505" s="95"/>
      <c r="K505" s="95"/>
      <c r="L505" s="95"/>
      <c r="M505" s="95"/>
      <c r="N505" s="95"/>
      <c r="O505" s="95"/>
      <c r="P505" s="95"/>
      <c r="Q505" s="95"/>
      <c r="R505" s="95"/>
      <c r="S505" s="95"/>
      <c r="T505" s="96">
        <v>18687</v>
      </c>
      <c r="U505" s="154"/>
      <c r="V505" s="154" t="s">
        <v>1204</v>
      </c>
      <c r="W505" s="92" t="str">
        <f t="shared" si="50"/>
        <v>Koppers ,Cornelis Simon Mari</v>
      </c>
      <c r="X505" s="95">
        <f t="shared" si="48"/>
        <v>8</v>
      </c>
      <c r="Y505" s="95">
        <f t="shared" si="49"/>
        <v>2021</v>
      </c>
      <c r="Z505" s="97" t="s">
        <v>265</v>
      </c>
      <c r="AA505" t="str">
        <f>IF(Tabla1[[#This Row],[Kerma en aire acumulada (Gy)]]&gt;1,SUMIF(G:G,Tabla1[[#This Row],[SIP]],I:I)-Tabla1[[#This Row],[Kerma en aire acumulada (Gy)]],"")</f>
        <v/>
      </c>
    </row>
    <row r="506" spans="3:27">
      <c r="C506" s="89" t="s">
        <v>1088</v>
      </c>
      <c r="D506" s="90" t="s">
        <v>1257</v>
      </c>
      <c r="E506" s="90" t="s">
        <v>797</v>
      </c>
      <c r="F506" s="90" t="s">
        <v>165</v>
      </c>
      <c r="G506" s="90">
        <v>2451058</v>
      </c>
      <c r="H506" s="91">
        <v>44426</v>
      </c>
      <c r="I506" s="90">
        <v>6.4799999999999996E-2</v>
      </c>
      <c r="J506" s="90"/>
      <c r="K506" s="90"/>
      <c r="L506" s="90"/>
      <c r="M506" s="90"/>
      <c r="N506" s="90"/>
      <c r="O506" s="90"/>
      <c r="P506" s="90"/>
      <c r="Q506" s="90"/>
      <c r="R506" s="90"/>
      <c r="S506" s="90"/>
      <c r="T506" s="91">
        <v>23740</v>
      </c>
      <c r="U506" s="90"/>
      <c r="V506" s="90" t="s">
        <v>1252</v>
      </c>
      <c r="W506" s="92" t="str">
        <f t="shared" si="50"/>
        <v>Moron Ruano,Joaquín</v>
      </c>
      <c r="X506" s="90">
        <f t="shared" si="48"/>
        <v>8</v>
      </c>
      <c r="Y506" s="90">
        <f t="shared" si="49"/>
        <v>2021</v>
      </c>
      <c r="Z506" s="93" t="s">
        <v>265</v>
      </c>
      <c r="AA506" t="str">
        <f>IF(Tabla1[[#This Row],[Kerma en aire acumulada (Gy)]]&gt;1,SUMIF(G:G,Tabla1[[#This Row],[SIP]],I:I)-Tabla1[[#This Row],[Kerma en aire acumulada (Gy)]],"")</f>
        <v/>
      </c>
    </row>
    <row r="507" spans="3:27" ht="15.75" thickBot="1">
      <c r="C507" s="159" t="s">
        <v>1088</v>
      </c>
      <c r="D507" s="163" t="s">
        <v>66</v>
      </c>
      <c r="E507" s="163" t="s">
        <v>1253</v>
      </c>
      <c r="F507" s="163" t="s">
        <v>1254</v>
      </c>
      <c r="G507" s="163">
        <v>2990767</v>
      </c>
      <c r="H507" s="173">
        <v>44427</v>
      </c>
      <c r="I507" s="163">
        <v>1.0300000000000001E-3</v>
      </c>
      <c r="J507" s="163"/>
      <c r="K507" s="163"/>
      <c r="L507" s="163"/>
      <c r="M507" s="163"/>
      <c r="N507" s="163"/>
      <c r="O507" s="163"/>
      <c r="P507" s="163"/>
      <c r="Q507" s="163"/>
      <c r="R507" s="163"/>
      <c r="S507" s="163"/>
      <c r="T507" s="173">
        <v>25012</v>
      </c>
      <c r="U507" s="160"/>
      <c r="V507" s="160" t="s">
        <v>1252</v>
      </c>
      <c r="W507" s="162" t="str">
        <f t="shared" si="50"/>
        <v>Navarro Anton,Elena</v>
      </c>
      <c r="X507" s="163">
        <f t="shared" si="48"/>
        <v>8</v>
      </c>
      <c r="Y507" s="163">
        <f t="shared" si="49"/>
        <v>2021</v>
      </c>
      <c r="Z507" s="172" t="s">
        <v>265</v>
      </c>
      <c r="AA507" t="str">
        <f>IF(Tabla1[[#This Row],[Kerma en aire acumulada (Gy)]]&gt;1,SUMIF(G:G,Tabla1[[#This Row],[SIP]],I:I)-Tabla1[[#This Row],[Kerma en aire acumulada (Gy)]],"")</f>
        <v/>
      </c>
    </row>
    <row r="508" spans="3:27">
      <c r="C508" s="157" t="s">
        <v>1088</v>
      </c>
      <c r="D508" s="202" t="s">
        <v>1290</v>
      </c>
      <c r="E508" s="202" t="s">
        <v>1291</v>
      </c>
      <c r="F508" s="202" t="s">
        <v>1202</v>
      </c>
      <c r="G508" s="202">
        <v>2035478</v>
      </c>
      <c r="H508" s="214">
        <v>44427</v>
      </c>
      <c r="I508" s="202">
        <v>6.2100000000000002E-2</v>
      </c>
      <c r="J508" s="202"/>
      <c r="K508" s="202"/>
      <c r="L508" s="202"/>
      <c r="M508" s="202"/>
      <c r="N508" s="202"/>
      <c r="O508" s="202"/>
      <c r="P508" s="202"/>
      <c r="Q508" s="202"/>
      <c r="R508" s="202"/>
      <c r="S508" s="202"/>
      <c r="T508" s="214">
        <v>19543</v>
      </c>
      <c r="U508" s="202"/>
      <c r="V508" s="202" t="s">
        <v>1292</v>
      </c>
      <c r="W508" s="158" t="str">
        <f t="shared" si="50"/>
        <v>Mico Benaches,Maria Vicenta</v>
      </c>
      <c r="X508" s="202">
        <f t="shared" si="48"/>
        <v>8</v>
      </c>
      <c r="Y508" s="202">
        <f t="shared" si="49"/>
        <v>2021</v>
      </c>
      <c r="Z508" s="203" t="s">
        <v>265</v>
      </c>
      <c r="AA508" t="str">
        <f>IF(Tabla1[[#This Row],[Kerma en aire acumulada (Gy)]]&gt;1,SUMIF(G:G,Tabla1[[#This Row],[SIP]],I:I)-Tabla1[[#This Row],[Kerma en aire acumulada (Gy)]],"")</f>
        <v/>
      </c>
    </row>
    <row r="509" spans="3:27" ht="15.75" thickBot="1">
      <c r="C509" s="159" t="s">
        <v>1088</v>
      </c>
      <c r="D509" s="163" t="s">
        <v>1041</v>
      </c>
      <c r="E509" s="163" t="s">
        <v>1042</v>
      </c>
      <c r="F509" s="163" t="s">
        <v>117</v>
      </c>
      <c r="G509" s="163">
        <v>159095</v>
      </c>
      <c r="H509" s="173">
        <v>44427</v>
      </c>
      <c r="I509" s="163">
        <v>8.9200000000000008E-3</v>
      </c>
      <c r="J509" s="163"/>
      <c r="K509" s="163"/>
      <c r="L509" s="163"/>
      <c r="M509" s="163"/>
      <c r="N509" s="163"/>
      <c r="O509" s="163"/>
      <c r="P509" s="163"/>
      <c r="Q509" s="163"/>
      <c r="R509" s="163"/>
      <c r="S509" s="163"/>
      <c r="T509" s="173">
        <v>25438</v>
      </c>
      <c r="U509" s="160"/>
      <c r="V509" s="160" t="s">
        <v>1233</v>
      </c>
      <c r="W509" s="167" t="str">
        <f t="shared" si="50"/>
        <v>Iznardo Olivert,M Carmen</v>
      </c>
      <c r="X509" s="160">
        <f t="shared" si="48"/>
        <v>8</v>
      </c>
      <c r="Y509" s="160">
        <f t="shared" si="49"/>
        <v>2021</v>
      </c>
      <c r="Z509" s="172" t="s">
        <v>265</v>
      </c>
      <c r="AA509" t="str">
        <f>IF(Tabla1[[#This Row],[Kerma en aire acumulada (Gy)]]&gt;1,SUMIF(G:G,Tabla1[[#This Row],[SIP]],I:I)-Tabla1[[#This Row],[Kerma en aire acumulada (Gy)]],"")</f>
        <v/>
      </c>
    </row>
    <row r="510" spans="3:27">
      <c r="C510" s="155" t="s">
        <v>1088</v>
      </c>
      <c r="D510" s="154" t="s">
        <v>1287</v>
      </c>
      <c r="E510" s="154" t="s">
        <v>1288</v>
      </c>
      <c r="F510" s="154" t="s">
        <v>82</v>
      </c>
      <c r="G510" s="154">
        <v>2849235</v>
      </c>
      <c r="H510" s="156">
        <v>44427</v>
      </c>
      <c r="I510" s="154">
        <v>8.1610000000000002E-2</v>
      </c>
      <c r="J510" s="154"/>
      <c r="K510" s="154"/>
      <c r="L510" s="154"/>
      <c r="M510" s="154"/>
      <c r="N510" s="154"/>
      <c r="O510" s="154"/>
      <c r="P510" s="154"/>
      <c r="Q510" s="154"/>
      <c r="R510" s="154"/>
      <c r="S510" s="154"/>
      <c r="T510" s="156">
        <v>19135</v>
      </c>
      <c r="U510" s="154"/>
      <c r="V510" s="154" t="s">
        <v>1289</v>
      </c>
      <c r="W510" s="158" t="str">
        <f t="shared" si="50"/>
        <v>Huesca Castello,Pascual</v>
      </c>
      <c r="X510" s="154">
        <f t="shared" ref="X510:X531" si="51">MONTH(H510)</f>
        <v>8</v>
      </c>
      <c r="Y510" s="154">
        <f t="shared" ref="Y510:Y531" si="52">YEAR(H510)</f>
        <v>2021</v>
      </c>
      <c r="Z510" s="174" t="s">
        <v>265</v>
      </c>
      <c r="AA510" t="str">
        <f>IF(Tabla1[[#This Row],[Kerma en aire acumulada (Gy)]]&gt;1,SUMIF(G:G,Tabla1[[#This Row],[SIP]],I:I)-Tabla1[[#This Row],[Kerma en aire acumulada (Gy)]],"")</f>
        <v/>
      </c>
    </row>
    <row r="511" spans="3:27" ht="15.75" thickBot="1">
      <c r="C511" s="206" t="s">
        <v>1088</v>
      </c>
      <c r="D511" s="181" t="s">
        <v>1255</v>
      </c>
      <c r="E511" s="181" t="s">
        <v>290</v>
      </c>
      <c r="F511" s="181" t="s">
        <v>1256</v>
      </c>
      <c r="G511" s="181">
        <v>338341</v>
      </c>
      <c r="H511" s="194">
        <v>44427</v>
      </c>
      <c r="I511" s="181">
        <v>1.56E-3</v>
      </c>
      <c r="J511" s="181"/>
      <c r="K511" s="181"/>
      <c r="L511" s="181"/>
      <c r="M511" s="181"/>
      <c r="N511" s="181"/>
      <c r="O511" s="181"/>
      <c r="P511" s="181"/>
      <c r="Q511" s="181"/>
      <c r="R511" s="181"/>
      <c r="S511" s="181"/>
      <c r="T511" s="194">
        <v>25137</v>
      </c>
      <c r="U511" s="209"/>
      <c r="V511" s="209" t="s">
        <v>143</v>
      </c>
      <c r="W511" s="162" t="str">
        <f t="shared" si="50"/>
        <v>Alcalde Argente,M Cristina</v>
      </c>
      <c r="X511" s="181">
        <f t="shared" si="51"/>
        <v>8</v>
      </c>
      <c r="Y511" s="181">
        <f t="shared" si="52"/>
        <v>2021</v>
      </c>
      <c r="Z511" s="164" t="s">
        <v>265</v>
      </c>
      <c r="AA511" t="str">
        <f>IF(Tabla1[[#This Row],[Kerma en aire acumulada (Gy)]]&gt;1,SUMIF(G:G,Tabla1[[#This Row],[SIP]],I:I)-Tabla1[[#This Row],[Kerma en aire acumulada (Gy)]],"")</f>
        <v/>
      </c>
    </row>
    <row r="512" spans="3:27">
      <c r="C512" s="154" t="s">
        <v>1088</v>
      </c>
      <c r="D512" s="154" t="s">
        <v>1285</v>
      </c>
      <c r="E512" s="154"/>
      <c r="F512" s="154" t="s">
        <v>68</v>
      </c>
      <c r="G512" s="154">
        <v>2573683</v>
      </c>
      <c r="H512" s="156">
        <v>44428</v>
      </c>
      <c r="I512" s="154">
        <v>0.26515</v>
      </c>
      <c r="J512" s="154"/>
      <c r="K512" s="154"/>
      <c r="L512" s="154"/>
      <c r="M512" s="154"/>
      <c r="N512" s="154"/>
      <c r="O512" s="154"/>
      <c r="P512" s="154"/>
      <c r="Q512" s="154"/>
      <c r="R512" s="154"/>
      <c r="S512" s="154"/>
      <c r="T512" s="156">
        <v>27296</v>
      </c>
      <c r="U512" s="154"/>
      <c r="V512" s="154" t="s">
        <v>1286</v>
      </c>
      <c r="W512" s="158" t="str">
        <f t="shared" si="50"/>
        <v>Pozo del Jerico ,Juan</v>
      </c>
      <c r="X512" s="154">
        <f t="shared" si="51"/>
        <v>8</v>
      </c>
      <c r="Y512" s="154">
        <f t="shared" si="52"/>
        <v>2021</v>
      </c>
      <c r="Z512" s="174" t="s">
        <v>265</v>
      </c>
      <c r="AA512" t="str">
        <f>IF(Tabla1[[#This Row],[Kerma en aire acumulada (Gy)]]&gt;1,SUMIF(G:G,Tabla1[[#This Row],[SIP]],I:I)-Tabla1[[#This Row],[Kerma en aire acumulada (Gy)]],"")</f>
        <v/>
      </c>
    </row>
    <row r="513" spans="3:27">
      <c r="C513" s="154" t="s">
        <v>1088</v>
      </c>
      <c r="D513" s="95" t="s">
        <v>1248</v>
      </c>
      <c r="E513" s="95" t="s">
        <v>1098</v>
      </c>
      <c r="F513" s="95" t="s">
        <v>1010</v>
      </c>
      <c r="G513" s="95">
        <v>1857814</v>
      </c>
      <c r="H513" s="96">
        <v>44428</v>
      </c>
      <c r="I513" s="95">
        <v>1.073E-2</v>
      </c>
      <c r="J513" s="95"/>
      <c r="K513" s="95"/>
      <c r="L513" s="95"/>
      <c r="M513" s="95"/>
      <c r="N513" s="95"/>
      <c r="O513" s="95"/>
      <c r="P513" s="95"/>
      <c r="Q513" s="95"/>
      <c r="R513" s="95"/>
      <c r="S513" s="95"/>
      <c r="T513" s="96">
        <v>16837</v>
      </c>
      <c r="U513" s="95"/>
      <c r="V513" s="95" t="s">
        <v>143</v>
      </c>
      <c r="W513" s="92" t="str">
        <f t="shared" si="50"/>
        <v>Marti Moya,Bautista</v>
      </c>
      <c r="X513" s="95">
        <f t="shared" si="51"/>
        <v>8</v>
      </c>
      <c r="Y513" s="95">
        <f t="shared" si="52"/>
        <v>2021</v>
      </c>
      <c r="Z513" s="97" t="s">
        <v>265</v>
      </c>
      <c r="AA513" t="str">
        <f>IF(Tabla1[[#This Row],[Kerma en aire acumulada (Gy)]]&gt;1,SUMIF(G:G,Tabla1[[#This Row],[SIP]],I:I)-Tabla1[[#This Row],[Kerma en aire acumulada (Gy)]],"")</f>
        <v/>
      </c>
    </row>
    <row r="514" spans="3:27">
      <c r="C514" s="202" t="s">
        <v>1088</v>
      </c>
      <c r="D514" s="90" t="s">
        <v>321</v>
      </c>
      <c r="E514" s="90" t="s">
        <v>915</v>
      </c>
      <c r="F514" s="90" t="s">
        <v>1050</v>
      </c>
      <c r="G514" s="90">
        <v>2808675</v>
      </c>
      <c r="H514" s="91">
        <v>44428</v>
      </c>
      <c r="I514" s="90">
        <v>2.5420000000000002E-2</v>
      </c>
      <c r="J514" s="90"/>
      <c r="K514" s="90"/>
      <c r="L514" s="90"/>
      <c r="M514" s="90"/>
      <c r="N514" s="90"/>
      <c r="O514" s="90"/>
      <c r="P514" s="90"/>
      <c r="Q514" s="90"/>
      <c r="R514" s="90"/>
      <c r="S514" s="90"/>
      <c r="T514" s="91">
        <v>16524</v>
      </c>
      <c r="U514" s="202"/>
      <c r="V514" s="90" t="s">
        <v>1284</v>
      </c>
      <c r="W514" s="92" t="str">
        <f t="shared" si="50"/>
        <v>Esteban Gimenez,Francisco Javier</v>
      </c>
      <c r="X514" s="90">
        <f t="shared" si="51"/>
        <v>8</v>
      </c>
      <c r="Y514" s="90">
        <f t="shared" si="52"/>
        <v>2021</v>
      </c>
      <c r="Z514" s="93" t="s">
        <v>265</v>
      </c>
      <c r="AA514" t="str">
        <f>IF(Tabla1[[#This Row],[Kerma en aire acumulada (Gy)]]&gt;1,SUMIF(G:G,Tabla1[[#This Row],[SIP]],I:I)-Tabla1[[#This Row],[Kerma en aire acumulada (Gy)]],"")</f>
        <v/>
      </c>
    </row>
    <row r="515" spans="3:27">
      <c r="C515" s="202" t="s">
        <v>1088</v>
      </c>
      <c r="D515" s="90" t="s">
        <v>1249</v>
      </c>
      <c r="E515" s="90" t="s">
        <v>1250</v>
      </c>
      <c r="F515" s="90" t="s">
        <v>1251</v>
      </c>
      <c r="G515" s="90">
        <v>2309933</v>
      </c>
      <c r="H515" s="91">
        <v>44428</v>
      </c>
      <c r="I515" s="90">
        <v>3.29E-3</v>
      </c>
      <c r="J515" s="90"/>
      <c r="K515" s="90"/>
      <c r="L515" s="90"/>
      <c r="M515" s="90"/>
      <c r="N515" s="90"/>
      <c r="O515" s="90"/>
      <c r="P515" s="90"/>
      <c r="Q515" s="90"/>
      <c r="R515" s="90"/>
      <c r="S515" s="90"/>
      <c r="T515" s="91">
        <v>20696</v>
      </c>
      <c r="U515" s="202"/>
      <c r="V515" s="90" t="s">
        <v>1252</v>
      </c>
      <c r="W515" s="92" t="str">
        <f t="shared" si="50"/>
        <v>Cortes Marques,Jorge</v>
      </c>
      <c r="X515" s="90">
        <f t="shared" si="51"/>
        <v>8</v>
      </c>
      <c r="Y515" s="90">
        <f t="shared" si="52"/>
        <v>2021</v>
      </c>
      <c r="Z515" s="93" t="s">
        <v>265</v>
      </c>
      <c r="AA515" t="str">
        <f>IF(Tabla1[[#This Row],[Kerma en aire acumulada (Gy)]]&gt;1,SUMIF(G:G,Tabla1[[#This Row],[SIP]],I:I)-Tabla1[[#This Row],[Kerma en aire acumulada (Gy)]],"")</f>
        <v/>
      </c>
    </row>
    <row r="516" spans="3:27">
      <c r="C516" s="202" t="s">
        <v>1088</v>
      </c>
      <c r="D516" s="90" t="s">
        <v>135</v>
      </c>
      <c r="E516" s="90" t="s">
        <v>319</v>
      </c>
      <c r="F516" s="90" t="s">
        <v>356</v>
      </c>
      <c r="G516" s="90">
        <v>1188313</v>
      </c>
      <c r="H516" s="91">
        <v>44428</v>
      </c>
      <c r="I516" s="90">
        <v>0.42329</v>
      </c>
      <c r="J516" s="90"/>
      <c r="K516" s="90"/>
      <c r="L516" s="90"/>
      <c r="M516" s="90"/>
      <c r="N516" s="90"/>
      <c r="O516" s="90"/>
      <c r="P516" s="90"/>
      <c r="Q516" s="90"/>
      <c r="R516" s="90"/>
      <c r="S516" s="90"/>
      <c r="T516" s="91">
        <v>22054</v>
      </c>
      <c r="U516" s="202"/>
      <c r="V516" s="90" t="s">
        <v>89</v>
      </c>
      <c r="W516" s="92" t="str">
        <f t="shared" si="50"/>
        <v>Arroyo Gonzalez,Manuel</v>
      </c>
      <c r="X516" s="90">
        <f t="shared" si="51"/>
        <v>8</v>
      </c>
      <c r="Y516" s="90">
        <f t="shared" si="52"/>
        <v>2021</v>
      </c>
      <c r="Z516" s="93" t="s">
        <v>265</v>
      </c>
      <c r="AA516" t="str">
        <f>IF(Tabla1[[#This Row],[Kerma en aire acumulada (Gy)]]&gt;1,SUMIF(G:G,Tabla1[[#This Row],[SIP]],I:I)-Tabla1[[#This Row],[Kerma en aire acumulada (Gy)]],"")</f>
        <v/>
      </c>
    </row>
    <row r="517" spans="3:27">
      <c r="C517" s="154" t="s">
        <v>1088</v>
      </c>
      <c r="D517" s="95" t="s">
        <v>968</v>
      </c>
      <c r="E517" s="95" t="s">
        <v>145</v>
      </c>
      <c r="F517" s="95" t="s">
        <v>1245</v>
      </c>
      <c r="G517" s="95">
        <v>4038122</v>
      </c>
      <c r="H517" s="96">
        <v>44431</v>
      </c>
      <c r="I517" s="95">
        <v>1.0435399999999999</v>
      </c>
      <c r="J517" s="95"/>
      <c r="K517" s="95"/>
      <c r="L517" s="95"/>
      <c r="M517" s="95"/>
      <c r="N517" s="95"/>
      <c r="O517" s="95"/>
      <c r="P517" s="95"/>
      <c r="Q517" s="95"/>
      <c r="R517" s="95"/>
      <c r="S517" s="95"/>
      <c r="T517" s="96">
        <v>22952</v>
      </c>
      <c r="U517" s="154"/>
      <c r="V517" s="95" t="s">
        <v>1246</v>
      </c>
      <c r="W517" s="92" t="str">
        <f t="shared" si="50"/>
        <v>Soria Crespo,Manuel Damian</v>
      </c>
      <c r="X517" s="95">
        <f t="shared" si="51"/>
        <v>8</v>
      </c>
      <c r="Y517" s="95">
        <f t="shared" si="52"/>
        <v>2021</v>
      </c>
      <c r="Z517" s="97" t="s">
        <v>265</v>
      </c>
      <c r="AA517">
        <f>IF(Tabla1[[#This Row],[Kerma en aire acumulada (Gy)]]&gt;1,SUMIF(G:G,Tabla1[[#This Row],[SIP]],I:I)-Tabla1[[#This Row],[Kerma en aire acumulada (Gy)]],"")</f>
        <v>0</v>
      </c>
    </row>
    <row r="518" spans="3:27">
      <c r="C518" s="202" t="s">
        <v>1088</v>
      </c>
      <c r="D518" s="90" t="s">
        <v>1232</v>
      </c>
      <c r="E518" s="90" t="s">
        <v>1230</v>
      </c>
      <c r="F518" s="90" t="s">
        <v>1243</v>
      </c>
      <c r="G518" s="90">
        <v>1730275</v>
      </c>
      <c r="H518" s="91">
        <v>44431</v>
      </c>
      <c r="I518" s="90">
        <v>0.46850999999999998</v>
      </c>
      <c r="J518" s="90"/>
      <c r="K518" s="90"/>
      <c r="L518" s="90"/>
      <c r="M518" s="90"/>
      <c r="N518" s="90"/>
      <c r="O518" s="90"/>
      <c r="P518" s="90"/>
      <c r="Q518" s="90"/>
      <c r="R518" s="90"/>
      <c r="S518" s="90"/>
      <c r="T518" s="91">
        <v>19659</v>
      </c>
      <c r="U518" s="90"/>
      <c r="V518" s="90" t="s">
        <v>1244</v>
      </c>
      <c r="W518" s="92" t="str">
        <f t="shared" si="50"/>
        <v>Montoliu Brisach,Joaquin Vte</v>
      </c>
      <c r="X518" s="90">
        <f t="shared" si="51"/>
        <v>8</v>
      </c>
      <c r="Y518" s="90">
        <f t="shared" si="52"/>
        <v>2021</v>
      </c>
      <c r="Z518" s="93" t="s">
        <v>265</v>
      </c>
      <c r="AA518" t="str">
        <f>IF(Tabla1[[#This Row],[Kerma en aire acumulada (Gy)]]&gt;1,SUMIF(G:G,Tabla1[[#This Row],[SIP]],I:I)-Tabla1[[#This Row],[Kerma en aire acumulada (Gy)]],"")</f>
        <v/>
      </c>
    </row>
    <row r="519" spans="3:27">
      <c r="C519" s="154" t="s">
        <v>1088</v>
      </c>
      <c r="D519" s="95" t="s">
        <v>1247</v>
      </c>
      <c r="E519" s="95"/>
      <c r="F519" s="95" t="s">
        <v>1155</v>
      </c>
      <c r="G519" s="95">
        <v>11788738</v>
      </c>
      <c r="H519" s="96">
        <v>44431</v>
      </c>
      <c r="I519" s="95">
        <v>0.23141</v>
      </c>
      <c r="J519" s="95"/>
      <c r="K519" s="95"/>
      <c r="L519" s="95"/>
      <c r="M519" s="95"/>
      <c r="N519" s="95"/>
      <c r="O519" s="95"/>
      <c r="P519" s="95"/>
      <c r="Q519" s="95"/>
      <c r="R519" s="95"/>
      <c r="S519" s="95"/>
      <c r="T519" s="96">
        <v>22359</v>
      </c>
      <c r="U519" s="154"/>
      <c r="V519" s="95" t="s">
        <v>89</v>
      </c>
      <c r="W519" s="92" t="str">
        <f t="shared" si="50"/>
        <v>Lucan ,Maria</v>
      </c>
      <c r="X519" s="95">
        <f t="shared" si="51"/>
        <v>8</v>
      </c>
      <c r="Y519" s="95">
        <f t="shared" si="52"/>
        <v>2021</v>
      </c>
      <c r="Z519" s="97" t="s">
        <v>265</v>
      </c>
      <c r="AA519" t="str">
        <f>IF(Tabla1[[#This Row],[Kerma en aire acumulada (Gy)]]&gt;1,SUMIF(G:G,Tabla1[[#This Row],[SIP]],I:I)-Tabla1[[#This Row],[Kerma en aire acumulada (Gy)]],"")</f>
        <v/>
      </c>
    </row>
    <row r="520" spans="3:27">
      <c r="C520" s="202" t="s">
        <v>1108</v>
      </c>
      <c r="D520" s="90" t="s">
        <v>1266</v>
      </c>
      <c r="E520" s="90" t="s">
        <v>1267</v>
      </c>
      <c r="F520" s="90" t="s">
        <v>142</v>
      </c>
      <c r="G520" s="90">
        <v>6003621</v>
      </c>
      <c r="H520" s="91">
        <v>44432</v>
      </c>
      <c r="I520" s="90">
        <v>0.19888</v>
      </c>
      <c r="J520" s="90"/>
      <c r="K520" s="90"/>
      <c r="L520" s="90"/>
      <c r="M520" s="90"/>
      <c r="N520" s="90"/>
      <c r="O520" s="90"/>
      <c r="P520" s="90"/>
      <c r="Q520" s="90"/>
      <c r="R520" s="90"/>
      <c r="S520" s="90"/>
      <c r="T520" s="91">
        <v>38559</v>
      </c>
      <c r="U520" s="202"/>
      <c r="V520" s="90" t="s">
        <v>1268</v>
      </c>
      <c r="W520" s="92" t="str">
        <f t="shared" si="50"/>
        <v>Sarmiento Valenzuela,David</v>
      </c>
      <c r="X520" s="90">
        <f t="shared" si="51"/>
        <v>8</v>
      </c>
      <c r="Y520" s="90">
        <f t="shared" si="52"/>
        <v>2021</v>
      </c>
      <c r="Z520" s="93" t="s">
        <v>265</v>
      </c>
      <c r="AA520" t="str">
        <f>IF(Tabla1[[#This Row],[Kerma en aire acumulada (Gy)]]&gt;1,SUMIF(G:G,Tabla1[[#This Row],[SIP]],I:I)-Tabla1[[#This Row],[Kerma en aire acumulada (Gy)]],"")</f>
        <v/>
      </c>
    </row>
    <row r="521" spans="3:27">
      <c r="C521" s="154" t="s">
        <v>1088</v>
      </c>
      <c r="D521" s="95" t="s">
        <v>836</v>
      </c>
      <c r="E521" s="95" t="s">
        <v>837</v>
      </c>
      <c r="F521" s="95" t="s">
        <v>88</v>
      </c>
      <c r="G521" s="95">
        <v>164032</v>
      </c>
      <c r="H521" s="96">
        <v>44433</v>
      </c>
      <c r="I521" s="95">
        <v>6.1809999999999997E-2</v>
      </c>
      <c r="J521" s="95"/>
      <c r="K521" s="95"/>
      <c r="L521" s="95"/>
      <c r="M521" s="95"/>
      <c r="N521" s="95"/>
      <c r="O521" s="95"/>
      <c r="P521" s="95"/>
      <c r="Q521" s="95"/>
      <c r="R521" s="95"/>
      <c r="S521" s="95"/>
      <c r="T521" s="96">
        <v>21937</v>
      </c>
      <c r="U521" s="154"/>
      <c r="V521" s="154" t="s">
        <v>1219</v>
      </c>
      <c r="W521" s="92" t="str">
        <f t="shared" si="50"/>
        <v>Sapiña Fuertes,Vicente</v>
      </c>
      <c r="X521" s="95">
        <f t="shared" si="51"/>
        <v>8</v>
      </c>
      <c r="Y521" s="95">
        <f t="shared" si="52"/>
        <v>2021</v>
      </c>
      <c r="Z521" s="97" t="s">
        <v>265</v>
      </c>
      <c r="AA521" t="str">
        <f>IF(Tabla1[[#This Row],[Kerma en aire acumulada (Gy)]]&gt;1,SUMIF(G:G,Tabla1[[#This Row],[SIP]],I:I)-Tabla1[[#This Row],[Kerma en aire acumulada (Gy)]],"")</f>
        <v/>
      </c>
    </row>
    <row r="522" spans="3:27">
      <c r="C522" s="202" t="s">
        <v>1088</v>
      </c>
      <c r="D522" s="90" t="s">
        <v>1265</v>
      </c>
      <c r="E522" s="90" t="s">
        <v>915</v>
      </c>
      <c r="F522" s="90" t="s">
        <v>1050</v>
      </c>
      <c r="G522" s="90">
        <v>2808675</v>
      </c>
      <c r="H522" s="91">
        <v>44433</v>
      </c>
      <c r="I522" s="90">
        <v>0.33156999999999998</v>
      </c>
      <c r="J522" s="90"/>
      <c r="K522" s="90"/>
      <c r="L522" s="90"/>
      <c r="M522" s="90"/>
      <c r="N522" s="90"/>
      <c r="O522" s="90"/>
      <c r="P522" s="90"/>
      <c r="Q522" s="90"/>
      <c r="R522" s="90"/>
      <c r="S522" s="90"/>
      <c r="T522" s="91">
        <v>16524</v>
      </c>
      <c r="U522" s="202"/>
      <c r="V522" s="202" t="s">
        <v>1204</v>
      </c>
      <c r="W522" s="92" t="str">
        <f t="shared" si="50"/>
        <v>Esteban  Gimenez,Francisco Javier</v>
      </c>
      <c r="X522" s="90">
        <f t="shared" si="51"/>
        <v>8</v>
      </c>
      <c r="Y522" s="90">
        <f t="shared" si="52"/>
        <v>2021</v>
      </c>
      <c r="Z522" s="93" t="s">
        <v>265</v>
      </c>
      <c r="AA522" t="str">
        <f>IF(Tabla1[[#This Row],[Kerma en aire acumulada (Gy)]]&gt;1,SUMIF(G:G,Tabla1[[#This Row],[SIP]],I:I)-Tabla1[[#This Row],[Kerma en aire acumulada (Gy)]],"")</f>
        <v/>
      </c>
    </row>
    <row r="523" spans="3:27" ht="15.75" thickBot="1">
      <c r="C523" s="160" t="s">
        <v>1088</v>
      </c>
      <c r="D523" s="163" t="s">
        <v>1261</v>
      </c>
      <c r="E523" s="163" t="s">
        <v>1262</v>
      </c>
      <c r="F523" s="163" t="s">
        <v>1263</v>
      </c>
      <c r="G523" s="163">
        <v>2570635</v>
      </c>
      <c r="H523" s="173">
        <v>44434</v>
      </c>
      <c r="I523" s="163">
        <v>3.9390000000000001E-2</v>
      </c>
      <c r="J523" s="163"/>
      <c r="K523" s="163"/>
      <c r="L523" s="163"/>
      <c r="M523" s="163"/>
      <c r="N523" s="163"/>
      <c r="O523" s="163"/>
      <c r="P523" s="163"/>
      <c r="Q523" s="163"/>
      <c r="R523" s="163"/>
      <c r="S523" s="163"/>
      <c r="T523" s="173">
        <v>32518</v>
      </c>
      <c r="U523" s="160"/>
      <c r="V523" s="160" t="s">
        <v>1264</v>
      </c>
      <c r="W523" s="162" t="str">
        <f t="shared" si="50"/>
        <v>Hernandez Diaz,Beatriz</v>
      </c>
      <c r="X523" s="163">
        <f t="shared" si="51"/>
        <v>8</v>
      </c>
      <c r="Y523" s="163">
        <f t="shared" si="52"/>
        <v>2021</v>
      </c>
      <c r="Z523" s="172" t="s">
        <v>265</v>
      </c>
      <c r="AA523" t="str">
        <f>IF(Tabla1[[#This Row],[Kerma en aire acumulada (Gy)]]&gt;1,SUMIF(G:G,Tabla1[[#This Row],[SIP]],I:I)-Tabla1[[#This Row],[Kerma en aire acumulada (Gy)]],"")</f>
        <v/>
      </c>
    </row>
    <row r="524" spans="3:27">
      <c r="C524" s="154" t="s">
        <v>1088</v>
      </c>
      <c r="D524" s="154" t="s">
        <v>1258</v>
      </c>
      <c r="E524" s="154" t="s">
        <v>1259</v>
      </c>
      <c r="F524" s="154" t="s">
        <v>1260</v>
      </c>
      <c r="G524" s="154">
        <v>2192918</v>
      </c>
      <c r="H524" s="156">
        <v>44434</v>
      </c>
      <c r="I524" s="154">
        <v>0.10213</v>
      </c>
      <c r="J524" s="154"/>
      <c r="K524" s="154"/>
      <c r="L524" s="154"/>
      <c r="M524" s="154"/>
      <c r="N524" s="154"/>
      <c r="O524" s="154"/>
      <c r="P524" s="154"/>
      <c r="Q524" s="154"/>
      <c r="R524" s="154"/>
      <c r="S524" s="154"/>
      <c r="T524" s="156">
        <v>17399</v>
      </c>
      <c r="U524" s="154"/>
      <c r="V524" s="154" t="s">
        <v>502</v>
      </c>
      <c r="W524" s="158" t="str">
        <f t="shared" si="50"/>
        <v>Benedicto  Tena,Cristobal</v>
      </c>
      <c r="X524" s="154">
        <f t="shared" si="51"/>
        <v>8</v>
      </c>
      <c r="Y524" s="154">
        <f t="shared" si="52"/>
        <v>2021</v>
      </c>
      <c r="Z524" s="174" t="s">
        <v>265</v>
      </c>
      <c r="AA524" t="str">
        <f>IF(Tabla1[[#This Row],[Kerma en aire acumulada (Gy)]]&gt;1,SUMIF(G:G,Tabla1[[#This Row],[SIP]],I:I)-Tabla1[[#This Row],[Kerma en aire acumulada (Gy)]],"")</f>
        <v/>
      </c>
    </row>
    <row r="525" spans="3:27">
      <c r="C525" s="202" t="s">
        <v>1088</v>
      </c>
      <c r="D525" s="90" t="s">
        <v>1276</v>
      </c>
      <c r="E525" s="90" t="s">
        <v>1277</v>
      </c>
      <c r="F525" s="90" t="s">
        <v>131</v>
      </c>
      <c r="G525" s="90">
        <v>4245750</v>
      </c>
      <c r="H525" s="91">
        <v>44434</v>
      </c>
      <c r="I525" s="90">
        <v>4.9399999999999999E-2</v>
      </c>
      <c r="J525" s="90"/>
      <c r="K525" s="90"/>
      <c r="L525" s="90"/>
      <c r="M525" s="90"/>
      <c r="N525" s="90"/>
      <c r="O525" s="90"/>
      <c r="P525" s="90"/>
      <c r="Q525" s="90"/>
      <c r="R525" s="90"/>
      <c r="S525" s="90"/>
      <c r="T525" s="91">
        <v>23243</v>
      </c>
      <c r="U525" s="90"/>
      <c r="V525" s="90" t="s">
        <v>819</v>
      </c>
      <c r="W525" s="92" t="str">
        <f t="shared" si="50"/>
        <v>Alvarez Murgui,Salvador</v>
      </c>
      <c r="X525" s="90">
        <f t="shared" si="51"/>
        <v>8</v>
      </c>
      <c r="Y525" s="90">
        <f t="shared" si="52"/>
        <v>2021</v>
      </c>
      <c r="Z525" s="93" t="s">
        <v>265</v>
      </c>
      <c r="AA525" t="str">
        <f>IF(Tabla1[[#This Row],[Kerma en aire acumulada (Gy)]]&gt;1,SUMIF(G:G,Tabla1[[#This Row],[SIP]],I:I)-Tabla1[[#This Row],[Kerma en aire acumulada (Gy)]],"")</f>
        <v/>
      </c>
    </row>
    <row r="526" spans="3:27">
      <c r="C526" s="154" t="s">
        <v>1088</v>
      </c>
      <c r="D526" s="95" t="s">
        <v>1280</v>
      </c>
      <c r="E526" s="95" t="s">
        <v>1281</v>
      </c>
      <c r="F526" s="95" t="s">
        <v>991</v>
      </c>
      <c r="G526" s="95">
        <v>1697319</v>
      </c>
      <c r="H526" s="156">
        <v>44435</v>
      </c>
      <c r="I526" s="95">
        <v>0.20630000000000001</v>
      </c>
      <c r="J526" s="95"/>
      <c r="K526" s="95"/>
      <c r="L526" s="95"/>
      <c r="M526" s="95"/>
      <c r="N526" s="95"/>
      <c r="O526" s="95"/>
      <c r="P526" s="95"/>
      <c r="Q526" s="95"/>
      <c r="R526" s="95"/>
      <c r="S526" s="95"/>
      <c r="T526" s="96">
        <v>16506</v>
      </c>
      <c r="U526" s="154"/>
      <c r="V526" s="154" t="s">
        <v>95</v>
      </c>
      <c r="W526" s="92" t="str">
        <f t="shared" si="50"/>
        <v>Muria Biosca,Jose</v>
      </c>
      <c r="X526" s="95">
        <f t="shared" si="51"/>
        <v>8</v>
      </c>
      <c r="Y526" s="95">
        <f t="shared" si="52"/>
        <v>2021</v>
      </c>
      <c r="Z526" s="97" t="s">
        <v>265</v>
      </c>
      <c r="AA526" t="str">
        <f>IF(Tabla1[[#This Row],[Kerma en aire acumulada (Gy)]]&gt;1,SUMIF(G:G,Tabla1[[#This Row],[SIP]],I:I)-Tabla1[[#This Row],[Kerma en aire acumulada (Gy)]],"")</f>
        <v/>
      </c>
    </row>
    <row r="527" spans="3:27">
      <c r="C527" s="202" t="s">
        <v>1088</v>
      </c>
      <c r="D527" s="90" t="s">
        <v>1282</v>
      </c>
      <c r="E527" s="90"/>
      <c r="F527" s="90" t="s">
        <v>1283</v>
      </c>
      <c r="G527" s="90">
        <v>954164</v>
      </c>
      <c r="H527" s="214">
        <v>44435</v>
      </c>
      <c r="I527" s="90">
        <v>0.42324000000000001</v>
      </c>
      <c r="J527" s="90"/>
      <c r="K527" s="90"/>
      <c r="L527" s="90"/>
      <c r="M527" s="90"/>
      <c r="N527" s="90"/>
      <c r="O527" s="90"/>
      <c r="P527" s="90"/>
      <c r="Q527" s="90"/>
      <c r="R527" s="90"/>
      <c r="S527" s="90"/>
      <c r="T527" s="91">
        <v>21162</v>
      </c>
      <c r="U527" s="202"/>
      <c r="V527" s="90" t="s">
        <v>1246</v>
      </c>
      <c r="W527" s="92" t="str">
        <f t="shared" si="50"/>
        <v>Dybizbanski ,Gabriele</v>
      </c>
      <c r="X527" s="90">
        <f t="shared" si="51"/>
        <v>8</v>
      </c>
      <c r="Y527" s="90">
        <f t="shared" si="52"/>
        <v>2021</v>
      </c>
      <c r="Z527" s="93" t="s">
        <v>265</v>
      </c>
      <c r="AA527" t="str">
        <f>IF(Tabla1[[#This Row],[Kerma en aire acumulada (Gy)]]&gt;1,SUMIF(G:G,Tabla1[[#This Row],[SIP]],I:I)-Tabla1[[#This Row],[Kerma en aire acumulada (Gy)]],"")</f>
        <v/>
      </c>
    </row>
    <row r="528" spans="3:27">
      <c r="C528" s="202" t="s">
        <v>1088</v>
      </c>
      <c r="D528" s="90" t="s">
        <v>29</v>
      </c>
      <c r="E528" s="90" t="s">
        <v>1278</v>
      </c>
      <c r="F528" s="90" t="s">
        <v>1279</v>
      </c>
      <c r="G528" s="90">
        <v>3103811</v>
      </c>
      <c r="H528" s="214">
        <v>44435</v>
      </c>
      <c r="I528" s="90">
        <v>2.0400000000000001E-2</v>
      </c>
      <c r="J528" s="90"/>
      <c r="K528" s="90"/>
      <c r="L528" s="90"/>
      <c r="M528" s="90"/>
      <c r="N528" s="90"/>
      <c r="O528" s="90"/>
      <c r="P528" s="90"/>
      <c r="Q528" s="90"/>
      <c r="R528" s="90"/>
      <c r="S528" s="90"/>
      <c r="T528" s="91">
        <v>19445</v>
      </c>
      <c r="U528" s="202"/>
      <c r="V528" s="90" t="s">
        <v>503</v>
      </c>
      <c r="W528" s="92" t="str">
        <f t="shared" si="50"/>
        <v>Castro Contreras,Maria Elena</v>
      </c>
      <c r="X528" s="90">
        <f t="shared" si="51"/>
        <v>8</v>
      </c>
      <c r="Y528" s="90">
        <f t="shared" si="52"/>
        <v>2021</v>
      </c>
      <c r="Z528" s="93" t="s">
        <v>265</v>
      </c>
      <c r="AA528" t="str">
        <f>IF(Tabla1[[#This Row],[Kerma en aire acumulada (Gy)]]&gt;1,SUMIF(G:G,Tabla1[[#This Row],[SIP]],I:I)-Tabla1[[#This Row],[Kerma en aire acumulada (Gy)]],"")</f>
        <v/>
      </c>
    </row>
    <row r="529" spans="3:27">
      <c r="C529" s="154" t="s">
        <v>1088</v>
      </c>
      <c r="D529" s="95" t="s">
        <v>1276</v>
      </c>
      <c r="E529" s="95" t="s">
        <v>1277</v>
      </c>
      <c r="F529" s="95" t="s">
        <v>131</v>
      </c>
      <c r="G529" s="95">
        <v>4245850</v>
      </c>
      <c r="H529" s="156">
        <v>44436</v>
      </c>
      <c r="I529" s="95">
        <v>2.1499999999999998E-2</v>
      </c>
      <c r="J529" s="95"/>
      <c r="K529" s="95"/>
      <c r="L529" s="95"/>
      <c r="M529" s="95"/>
      <c r="N529" s="95"/>
      <c r="O529" s="95"/>
      <c r="P529" s="95"/>
      <c r="Q529" s="95"/>
      <c r="R529" s="95"/>
      <c r="S529" s="95"/>
      <c r="T529" s="96">
        <v>23243</v>
      </c>
      <c r="U529" s="154"/>
      <c r="V529" s="95" t="s">
        <v>819</v>
      </c>
      <c r="W529" s="92" t="str">
        <f t="shared" si="50"/>
        <v>Alvarez Murgui,Salvador</v>
      </c>
      <c r="X529" s="95">
        <f t="shared" si="51"/>
        <v>8</v>
      </c>
      <c r="Y529" s="95">
        <f t="shared" si="52"/>
        <v>2021</v>
      </c>
      <c r="Z529" s="97" t="s">
        <v>265</v>
      </c>
      <c r="AA529" t="str">
        <f>IF(Tabla1[[#This Row],[Kerma en aire acumulada (Gy)]]&gt;1,SUMIF(G:G,Tabla1[[#This Row],[SIP]],I:I)-Tabla1[[#This Row],[Kerma en aire acumulada (Gy)]],"")</f>
        <v/>
      </c>
    </row>
    <row r="530" spans="3:27">
      <c r="C530" s="202" t="s">
        <v>1088</v>
      </c>
      <c r="D530" s="90" t="s">
        <v>772</v>
      </c>
      <c r="E530" s="90" t="s">
        <v>1275</v>
      </c>
      <c r="F530" s="90" t="s">
        <v>1104</v>
      </c>
      <c r="G530" s="90">
        <v>3006816</v>
      </c>
      <c r="H530" s="214">
        <v>44437</v>
      </c>
      <c r="I530" s="90">
        <v>0.65146999999999999</v>
      </c>
      <c r="J530" s="90"/>
      <c r="K530" s="90"/>
      <c r="L530" s="90"/>
      <c r="M530" s="90"/>
      <c r="N530" s="90"/>
      <c r="O530" s="90"/>
      <c r="P530" s="90"/>
      <c r="Q530" s="90"/>
      <c r="R530" s="90"/>
      <c r="S530" s="90"/>
      <c r="T530" s="91">
        <v>18890</v>
      </c>
      <c r="U530" s="90"/>
      <c r="V530" s="90" t="s">
        <v>1126</v>
      </c>
      <c r="W530" s="92" t="str">
        <f t="shared" si="50"/>
        <v>Sanchez Ramirez,Jose Luis</v>
      </c>
      <c r="X530" s="90">
        <f t="shared" si="51"/>
        <v>8</v>
      </c>
      <c r="Y530" s="90">
        <f t="shared" si="52"/>
        <v>2021</v>
      </c>
      <c r="Z530" s="93" t="s">
        <v>265</v>
      </c>
      <c r="AA530" t="str">
        <f>IF(Tabla1[[#This Row],[Kerma en aire acumulada (Gy)]]&gt;1,SUMIF(G:G,Tabla1[[#This Row],[SIP]],I:I)-Tabla1[[#This Row],[Kerma en aire acumulada (Gy)]],"")</f>
        <v/>
      </c>
    </row>
    <row r="531" spans="3:27">
      <c r="C531" s="202" t="s">
        <v>1088</v>
      </c>
      <c r="D531" s="90" t="s">
        <v>1322</v>
      </c>
      <c r="E531" s="90" t="s">
        <v>1323</v>
      </c>
      <c r="F531" s="90" t="s">
        <v>664</v>
      </c>
      <c r="G531" s="90">
        <v>1515117</v>
      </c>
      <c r="H531" s="214">
        <v>44438</v>
      </c>
      <c r="I531" s="90">
        <v>0.62890999999999997</v>
      </c>
      <c r="J531" s="90"/>
      <c r="K531" s="90"/>
      <c r="L531" s="90"/>
      <c r="M531" s="90"/>
      <c r="N531" s="90"/>
      <c r="O531" s="90"/>
      <c r="P531" s="90"/>
      <c r="Q531" s="90"/>
      <c r="R531" s="90"/>
      <c r="S531" s="90"/>
      <c r="T531" s="91">
        <v>22346</v>
      </c>
      <c r="U531" s="202"/>
      <c r="V531" s="90" t="s">
        <v>1324</v>
      </c>
      <c r="W531" s="92" t="str">
        <f t="shared" si="50"/>
        <v>Selva Agullo,Jaime</v>
      </c>
      <c r="X531" s="90">
        <f t="shared" si="51"/>
        <v>8</v>
      </c>
      <c r="Y531" s="90">
        <f t="shared" si="52"/>
        <v>2021</v>
      </c>
      <c r="Z531" s="93" t="s">
        <v>265</v>
      </c>
      <c r="AA531" t="str">
        <f>IF(Tabla1[[#This Row],[Kerma en aire acumulada (Gy)]]&gt;1,SUMIF(G:G,Tabla1[[#This Row],[SIP]],I:I)-Tabla1[[#This Row],[Kerma en aire acumulada (Gy)]],"")</f>
        <v/>
      </c>
    </row>
    <row r="532" spans="3:27">
      <c r="C532" s="154" t="s">
        <v>1088</v>
      </c>
      <c r="D532" s="95" t="s">
        <v>1001</v>
      </c>
      <c r="E532" s="95" t="s">
        <v>1180</v>
      </c>
      <c r="F532" s="95" t="s">
        <v>1181</v>
      </c>
      <c r="G532" s="95">
        <v>3208928</v>
      </c>
      <c r="H532" s="156">
        <v>44438</v>
      </c>
      <c r="I532" s="95">
        <v>0.62312000000000001</v>
      </c>
      <c r="J532" s="95"/>
      <c r="K532" s="95"/>
      <c r="L532" s="95"/>
      <c r="M532" s="95"/>
      <c r="N532" s="95"/>
      <c r="O532" s="95"/>
      <c r="P532" s="95"/>
      <c r="Q532" s="95"/>
      <c r="R532" s="95"/>
      <c r="S532" s="95"/>
      <c r="T532" s="96">
        <v>16737</v>
      </c>
      <c r="U532" s="154"/>
      <c r="V532" s="95" t="s">
        <v>550</v>
      </c>
      <c r="W532" s="92" t="str">
        <f t="shared" si="50"/>
        <v>Perez Casado,Ricard Vicent</v>
      </c>
      <c r="X532" s="95"/>
      <c r="Y532" s="95"/>
      <c r="Z532" s="97" t="s">
        <v>265</v>
      </c>
      <c r="AA532" t="str">
        <f>IF(Tabla1[[#This Row],[Kerma en aire acumulada (Gy)]]&gt;1,SUMIF(G:G,Tabla1[[#This Row],[SIP]],I:I)-Tabla1[[#This Row],[Kerma en aire acumulada (Gy)]],"")</f>
        <v/>
      </c>
    </row>
    <row r="533" spans="3:27">
      <c r="C533" s="154" t="s">
        <v>1088</v>
      </c>
      <c r="D533" s="95" t="s">
        <v>337</v>
      </c>
      <c r="E533" s="95" t="s">
        <v>948</v>
      </c>
      <c r="F533" s="95" t="s">
        <v>1297</v>
      </c>
      <c r="G533" s="95">
        <v>2925662</v>
      </c>
      <c r="H533" s="156">
        <v>44438</v>
      </c>
      <c r="I533" s="95">
        <v>8.9999999999999998E-4</v>
      </c>
      <c r="J533" s="95"/>
      <c r="K533" s="95"/>
      <c r="L533" s="95"/>
      <c r="M533" s="95"/>
      <c r="N533" s="95"/>
      <c r="O533" s="95"/>
      <c r="P533" s="95"/>
      <c r="Q533" s="95"/>
      <c r="R533" s="95"/>
      <c r="S533" s="95"/>
      <c r="T533" s="96">
        <v>23409</v>
      </c>
      <c r="U533" s="154"/>
      <c r="V533" s="95" t="s">
        <v>1312</v>
      </c>
      <c r="W533" s="92" t="str">
        <f t="shared" si="50"/>
        <v>Garrido Martinez,Juan Vicente</v>
      </c>
      <c r="X533" s="95">
        <f t="shared" ref="X533:X596" si="53">MONTH(H533)</f>
        <v>8</v>
      </c>
      <c r="Y533" s="95">
        <f t="shared" ref="Y533:Y596" si="54">YEAR(H533)</f>
        <v>2021</v>
      </c>
      <c r="Z533" s="97" t="s">
        <v>265</v>
      </c>
      <c r="AA533" t="str">
        <f>IF(Tabla1[[#This Row],[Kerma en aire acumulada (Gy)]]&gt;1,SUMIF(G:G,Tabla1[[#This Row],[SIP]],I:I)-Tabla1[[#This Row],[Kerma en aire acumulada (Gy)]],"")</f>
        <v/>
      </c>
    </row>
    <row r="534" spans="3:27">
      <c r="C534" s="202" t="s">
        <v>1088</v>
      </c>
      <c r="D534" s="90" t="s">
        <v>1313</v>
      </c>
      <c r="E534" s="90" t="s">
        <v>152</v>
      </c>
      <c r="F534" s="90" t="s">
        <v>1314</v>
      </c>
      <c r="G534" s="90">
        <v>2908549</v>
      </c>
      <c r="H534" s="214">
        <v>44438</v>
      </c>
      <c r="I534" s="90">
        <v>9.4699999999999993E-3</v>
      </c>
      <c r="J534" s="90"/>
      <c r="K534" s="90"/>
      <c r="L534" s="90"/>
      <c r="M534" s="90"/>
      <c r="N534" s="90"/>
      <c r="O534" s="90"/>
      <c r="P534" s="90"/>
      <c r="Q534" s="90"/>
      <c r="R534" s="90"/>
      <c r="S534" s="90"/>
      <c r="T534" s="91">
        <v>20847</v>
      </c>
      <c r="U534" s="202"/>
      <c r="V534" s="90" t="s">
        <v>1315</v>
      </c>
      <c r="W534" s="92" t="str">
        <f t="shared" si="50"/>
        <v>Belda Vidal,Jose Enrique</v>
      </c>
      <c r="X534" s="90">
        <f t="shared" si="53"/>
        <v>8</v>
      </c>
      <c r="Y534" s="90">
        <f t="shared" si="54"/>
        <v>2021</v>
      </c>
      <c r="Z534" s="93" t="s">
        <v>265</v>
      </c>
      <c r="AA534" t="str">
        <f>IF(Tabla1[[#This Row],[Kerma en aire acumulada (Gy)]]&gt;1,SUMIF(G:G,Tabla1[[#This Row],[SIP]],I:I)-Tabla1[[#This Row],[Kerma en aire acumulada (Gy)]],"")</f>
        <v/>
      </c>
    </row>
    <row r="535" spans="3:27">
      <c r="C535" s="202" t="s">
        <v>1088</v>
      </c>
      <c r="D535" s="90" t="s">
        <v>1294</v>
      </c>
      <c r="E535" s="90" t="s">
        <v>1295</v>
      </c>
      <c r="F535" s="90" t="s">
        <v>142</v>
      </c>
      <c r="G535" s="90">
        <v>1798521</v>
      </c>
      <c r="H535" s="214">
        <v>44439</v>
      </c>
      <c r="I535" s="90">
        <v>0.99819999999999998</v>
      </c>
      <c r="J535" s="90"/>
      <c r="K535" s="90"/>
      <c r="L535" s="90"/>
      <c r="M535" s="90"/>
      <c r="N535" s="90"/>
      <c r="O535" s="90"/>
      <c r="P535" s="90"/>
      <c r="Q535" s="90"/>
      <c r="R535" s="90"/>
      <c r="S535" s="90"/>
      <c r="T535" s="91">
        <v>27137</v>
      </c>
      <c r="U535" s="202"/>
      <c r="V535" s="90" t="s">
        <v>541</v>
      </c>
      <c r="W535" s="92" t="str">
        <f t="shared" si="50"/>
        <v>Roca Julve,David</v>
      </c>
      <c r="X535" s="90">
        <f t="shared" si="53"/>
        <v>8</v>
      </c>
      <c r="Y535" s="90">
        <f t="shared" si="54"/>
        <v>2021</v>
      </c>
      <c r="Z535" s="93" t="s">
        <v>265</v>
      </c>
      <c r="AA535" t="str">
        <f>IF(Tabla1[[#This Row],[Kerma en aire acumulada (Gy)]]&gt;1,SUMIF(G:G,Tabla1[[#This Row],[SIP]],I:I)-Tabla1[[#This Row],[Kerma en aire acumulada (Gy)]],"")</f>
        <v/>
      </c>
    </row>
    <row r="536" spans="3:27">
      <c r="C536" s="154" t="s">
        <v>1088</v>
      </c>
      <c r="D536" s="95" t="s">
        <v>1307</v>
      </c>
      <c r="E536" s="95" t="s">
        <v>1308</v>
      </c>
      <c r="F536" s="95" t="s">
        <v>83</v>
      </c>
      <c r="G536" s="95">
        <v>3616768</v>
      </c>
      <c r="H536" s="156">
        <v>44439</v>
      </c>
      <c r="I536" s="95">
        <v>0.27812999999999999</v>
      </c>
      <c r="J536" s="95"/>
      <c r="K536" s="95"/>
      <c r="L536" s="95"/>
      <c r="M536" s="95"/>
      <c r="N536" s="95"/>
      <c r="O536" s="95"/>
      <c r="P536" s="95"/>
      <c r="Q536" s="95"/>
      <c r="R536" s="95"/>
      <c r="S536" s="95"/>
      <c r="T536" s="96">
        <v>22283</v>
      </c>
      <c r="U536" s="95"/>
      <c r="V536" s="95" t="s">
        <v>151</v>
      </c>
      <c r="W536" s="92" t="str">
        <f t="shared" si="50"/>
        <v>Robla Segovia,Francisco</v>
      </c>
      <c r="X536" s="95">
        <f t="shared" si="53"/>
        <v>8</v>
      </c>
      <c r="Y536" s="95">
        <f t="shared" si="54"/>
        <v>2021</v>
      </c>
      <c r="Z536" s="97" t="s">
        <v>265</v>
      </c>
      <c r="AA536" t="str">
        <f>IF(Tabla1[[#This Row],[Kerma en aire acumulada (Gy)]]&gt;1,SUMIF(G:G,Tabla1[[#This Row],[SIP]],I:I)-Tabla1[[#This Row],[Kerma en aire acumulada (Gy)]],"")</f>
        <v/>
      </c>
    </row>
    <row r="537" spans="3:27">
      <c r="C537" s="154" t="s">
        <v>1310</v>
      </c>
      <c r="D537" s="95" t="s">
        <v>960</v>
      </c>
      <c r="E537" s="95" t="s">
        <v>15</v>
      </c>
      <c r="F537" s="95" t="s">
        <v>57</v>
      </c>
      <c r="G537" s="95">
        <v>3331838</v>
      </c>
      <c r="H537" s="156">
        <v>44439</v>
      </c>
      <c r="I537" s="95">
        <v>1.2E-4</v>
      </c>
      <c r="J537" s="95"/>
      <c r="K537" s="95"/>
      <c r="L537" s="95"/>
      <c r="M537" s="95"/>
      <c r="N537" s="95"/>
      <c r="O537" s="95"/>
      <c r="P537" s="95"/>
      <c r="Q537" s="95"/>
      <c r="R537" s="95"/>
      <c r="S537" s="95"/>
      <c r="T537" s="96">
        <v>19171</v>
      </c>
      <c r="U537" s="154"/>
      <c r="V537" s="154" t="s">
        <v>1311</v>
      </c>
      <c r="W537" s="158" t="str">
        <f t="shared" si="50"/>
        <v>Lopez Moreno,Miguel</v>
      </c>
      <c r="X537" s="95">
        <f t="shared" si="53"/>
        <v>8</v>
      </c>
      <c r="Y537" s="95">
        <f t="shared" si="54"/>
        <v>2021</v>
      </c>
      <c r="Z537" s="154" t="s">
        <v>265</v>
      </c>
      <c r="AA537" t="str">
        <f>IF(Tabla1[[#This Row],[Kerma en aire acumulada (Gy)]]&gt;1,SUMIF(G:G,Tabla1[[#This Row],[SIP]],I:I)-Tabla1[[#This Row],[Kerma en aire acumulada (Gy)]],"")</f>
        <v/>
      </c>
    </row>
    <row r="538" spans="3:27">
      <c r="C538" s="202" t="s">
        <v>1088</v>
      </c>
      <c r="D538" s="90" t="s">
        <v>1309</v>
      </c>
      <c r="E538" s="90" t="s">
        <v>22</v>
      </c>
      <c r="F538" s="90" t="s">
        <v>1229</v>
      </c>
      <c r="G538" s="90">
        <v>2904538</v>
      </c>
      <c r="H538" s="214">
        <v>44439</v>
      </c>
      <c r="I538" s="90">
        <v>1.0670000000000001E-2</v>
      </c>
      <c r="J538" s="90"/>
      <c r="K538" s="90"/>
      <c r="L538" s="90"/>
      <c r="M538" s="90"/>
      <c r="N538" s="90"/>
      <c r="O538" s="90"/>
      <c r="P538" s="90"/>
      <c r="Q538" s="90"/>
      <c r="R538" s="90"/>
      <c r="S538" s="90"/>
      <c r="T538" s="91">
        <v>19085</v>
      </c>
      <c r="U538" s="202"/>
      <c r="V538" s="202" t="s">
        <v>950</v>
      </c>
      <c r="W538" s="92" t="str">
        <f t="shared" si="50"/>
        <v>Gallardo Ruiz,Augustin</v>
      </c>
      <c r="X538" s="90">
        <f t="shared" si="53"/>
        <v>8</v>
      </c>
      <c r="Y538" s="90">
        <f t="shared" si="54"/>
        <v>2021</v>
      </c>
      <c r="Z538" s="202" t="s">
        <v>265</v>
      </c>
      <c r="AA538" t="str">
        <f>IF(Tabla1[[#This Row],[Kerma en aire acumulada (Gy)]]&gt;1,SUMIF(G:G,Tabla1[[#This Row],[SIP]],I:I)-Tabla1[[#This Row],[Kerma en aire acumulada (Gy)]],"")</f>
        <v/>
      </c>
    </row>
    <row r="539" spans="3:27">
      <c r="C539" s="154" t="s">
        <v>1088</v>
      </c>
      <c r="D539" s="95" t="s">
        <v>856</v>
      </c>
      <c r="E539" s="95" t="s">
        <v>340</v>
      </c>
      <c r="F539" s="95" t="s">
        <v>1298</v>
      </c>
      <c r="G539" s="95">
        <v>6055489</v>
      </c>
      <c r="H539" s="156">
        <v>44440</v>
      </c>
      <c r="I539" s="95" t="s">
        <v>1318</v>
      </c>
      <c r="J539" s="95"/>
      <c r="K539" s="95"/>
      <c r="L539" s="95"/>
      <c r="M539" s="95"/>
      <c r="N539" s="95"/>
      <c r="O539" s="95"/>
      <c r="P539" s="95"/>
      <c r="Q539" s="95"/>
      <c r="R539" s="95"/>
      <c r="S539" s="95"/>
      <c r="T539" s="96">
        <v>35235</v>
      </c>
      <c r="U539" s="154"/>
      <c r="V539" s="154" t="s">
        <v>173</v>
      </c>
      <c r="W539" s="158" t="str">
        <f t="shared" si="50"/>
        <v>Gomez Piqueras,Maria Maximina</v>
      </c>
      <c r="X539" s="95">
        <f t="shared" si="53"/>
        <v>9</v>
      </c>
      <c r="Y539" s="95">
        <f t="shared" si="54"/>
        <v>2021</v>
      </c>
      <c r="Z539" s="154" t="s">
        <v>265</v>
      </c>
      <c r="AA539" t="e">
        <f>IF(Tabla1[[#This Row],[Kerma en aire acumulada (Gy)]]&gt;1,SUMIF(G:G,Tabla1[[#This Row],[SIP]],I:I)-Tabla1[[#This Row],[Kerma en aire acumulada (Gy)]],"")</f>
        <v>#VALUE!</v>
      </c>
    </row>
    <row r="540" spans="3:27">
      <c r="C540" s="154" t="s">
        <v>1088</v>
      </c>
      <c r="D540" s="95" t="s">
        <v>1305</v>
      </c>
      <c r="E540" s="95"/>
      <c r="F540" s="95" t="s">
        <v>1306</v>
      </c>
      <c r="G540" s="95">
        <v>5692931</v>
      </c>
      <c r="H540" s="156">
        <v>44440</v>
      </c>
      <c r="I540" s="95">
        <v>1.009E-2</v>
      </c>
      <c r="J540" s="95"/>
      <c r="K540" s="95"/>
      <c r="L540" s="95"/>
      <c r="M540" s="95"/>
      <c r="N540" s="95"/>
      <c r="O540" s="95"/>
      <c r="P540" s="95"/>
      <c r="Q540" s="95"/>
      <c r="R540" s="95"/>
      <c r="S540" s="95"/>
      <c r="T540" s="96">
        <v>29994</v>
      </c>
      <c r="U540" s="95"/>
      <c r="V540" s="95" t="s">
        <v>1300</v>
      </c>
      <c r="W540" s="92" t="str">
        <f t="shared" si="50"/>
        <v>Chobanyan ,Hranush</v>
      </c>
      <c r="X540" s="95">
        <f t="shared" si="53"/>
        <v>9</v>
      </c>
      <c r="Y540" s="95">
        <f t="shared" si="54"/>
        <v>2021</v>
      </c>
      <c r="Z540" s="154" t="s">
        <v>265</v>
      </c>
      <c r="AA540" t="str">
        <f>IF(Tabla1[[#This Row],[Kerma en aire acumulada (Gy)]]&gt;1,SUMIF(G:G,Tabla1[[#This Row],[SIP]],I:I)-Tabla1[[#This Row],[Kerma en aire acumulada (Gy)]],"")</f>
        <v/>
      </c>
    </row>
    <row r="541" spans="3:27">
      <c r="C541" s="202" t="s">
        <v>1088</v>
      </c>
      <c r="D541" s="90" t="s">
        <v>1319</v>
      </c>
      <c r="E541" s="90" t="s">
        <v>1320</v>
      </c>
      <c r="F541" s="90" t="s">
        <v>1321</v>
      </c>
      <c r="G541" s="90">
        <v>2187826</v>
      </c>
      <c r="H541" s="214">
        <v>44440</v>
      </c>
      <c r="I541" s="90">
        <v>1.1596299999999999</v>
      </c>
      <c r="J541" s="90"/>
      <c r="K541" s="90"/>
      <c r="L541" s="90"/>
      <c r="M541" s="90"/>
      <c r="N541" s="90"/>
      <c r="O541" s="90"/>
      <c r="P541" s="90"/>
      <c r="Q541" s="90"/>
      <c r="R541" s="90"/>
      <c r="S541" s="90"/>
      <c r="T541" s="91">
        <v>18898</v>
      </c>
      <c r="U541" s="202"/>
      <c r="V541" s="202" t="s">
        <v>550</v>
      </c>
      <c r="W541" s="158" t="str">
        <f t="shared" si="50"/>
        <v>Chaparro Calleja,Antonio Luis</v>
      </c>
      <c r="X541" s="90">
        <f t="shared" si="53"/>
        <v>9</v>
      </c>
      <c r="Y541" s="90">
        <f t="shared" si="54"/>
        <v>2021</v>
      </c>
      <c r="Z541" s="202" t="s">
        <v>265</v>
      </c>
      <c r="AA541">
        <f>IF(Tabla1[[#This Row],[Kerma en aire acumulada (Gy)]]&gt;1,SUMIF(G:G,Tabla1[[#This Row],[SIP]],I:I)-Tabla1[[#This Row],[Kerma en aire acumulada (Gy)]],"")</f>
        <v>0.51472000000000007</v>
      </c>
    </row>
    <row r="542" spans="3:27">
      <c r="C542" s="154" t="s">
        <v>1088</v>
      </c>
      <c r="D542" s="95" t="s">
        <v>1191</v>
      </c>
      <c r="E542" s="95" t="s">
        <v>762</v>
      </c>
      <c r="F542" s="95" t="s">
        <v>1192</v>
      </c>
      <c r="G542" s="95">
        <v>2309540</v>
      </c>
      <c r="H542" s="156">
        <v>44440</v>
      </c>
      <c r="I542" s="95">
        <v>0.59674000000000005</v>
      </c>
      <c r="J542" s="95"/>
      <c r="K542" s="95"/>
      <c r="L542" s="95"/>
      <c r="M542" s="95"/>
      <c r="N542" s="95"/>
      <c r="O542" s="95"/>
      <c r="P542" s="95"/>
      <c r="Q542" s="95"/>
      <c r="R542" s="95"/>
      <c r="S542" s="95"/>
      <c r="T542" s="96">
        <v>25126</v>
      </c>
      <c r="U542" s="154"/>
      <c r="V542" s="154" t="s">
        <v>650</v>
      </c>
      <c r="W542" s="92" t="str">
        <f t="shared" si="50"/>
        <v>Beltran Arribas,M Teresa</v>
      </c>
      <c r="X542" s="95">
        <f t="shared" si="53"/>
        <v>9</v>
      </c>
      <c r="Y542" s="95">
        <f t="shared" si="54"/>
        <v>2021</v>
      </c>
      <c r="Z542" s="154" t="s">
        <v>265</v>
      </c>
      <c r="AA542" t="str">
        <f>IF(Tabla1[[#This Row],[Kerma en aire acumulada (Gy)]]&gt;1,SUMIF(G:G,Tabla1[[#This Row],[SIP]],I:I)-Tabla1[[#This Row],[Kerma en aire acumulada (Gy)]],"")</f>
        <v/>
      </c>
    </row>
    <row r="543" spans="3:27">
      <c r="C543" s="202" t="s">
        <v>1088</v>
      </c>
      <c r="D543" s="90" t="s">
        <v>1255</v>
      </c>
      <c r="E543" s="90" t="s">
        <v>290</v>
      </c>
      <c r="F543" s="90" t="s">
        <v>1303</v>
      </c>
      <c r="G543" s="90">
        <v>338341</v>
      </c>
      <c r="H543" s="214">
        <v>44440</v>
      </c>
      <c r="I543" s="90">
        <v>0.29970000000000002</v>
      </c>
      <c r="J543" s="90"/>
      <c r="K543" s="90"/>
      <c r="L543" s="90"/>
      <c r="M543" s="90"/>
      <c r="N543" s="90"/>
      <c r="O543" s="90"/>
      <c r="P543" s="90"/>
      <c r="Q543" s="90"/>
      <c r="R543" s="90"/>
      <c r="S543" s="90"/>
      <c r="T543" s="91">
        <v>25137</v>
      </c>
      <c r="U543" s="202"/>
      <c r="V543" s="202" t="s">
        <v>1304</v>
      </c>
      <c r="W543" s="158" t="str">
        <f t="shared" si="50"/>
        <v>Alcalde Argente,Maria Cristina</v>
      </c>
      <c r="X543" s="90">
        <f t="shared" si="53"/>
        <v>9</v>
      </c>
      <c r="Y543" s="90">
        <f t="shared" si="54"/>
        <v>2021</v>
      </c>
      <c r="Z543" s="202" t="s">
        <v>265</v>
      </c>
      <c r="AA543" t="str">
        <f>IF(Tabla1[[#This Row],[Kerma en aire acumulada (Gy)]]&gt;1,SUMIF(G:G,Tabla1[[#This Row],[SIP]],I:I)-Tabla1[[#This Row],[Kerma en aire acumulada (Gy)]],"")</f>
        <v/>
      </c>
    </row>
    <row r="544" spans="3:27" ht="15.75" thickBot="1">
      <c r="C544" s="209" t="s">
        <v>1088</v>
      </c>
      <c r="D544" s="181" t="s">
        <v>1299</v>
      </c>
      <c r="E544" s="181" t="s">
        <v>848</v>
      </c>
      <c r="F544" s="181" t="s">
        <v>1050</v>
      </c>
      <c r="G544" s="181">
        <v>3420953</v>
      </c>
      <c r="H544" s="216">
        <v>44441</v>
      </c>
      <c r="I544" s="181">
        <v>6.7000000000000002E-4</v>
      </c>
      <c r="J544" s="181"/>
      <c r="K544" s="181"/>
      <c r="L544" s="181"/>
      <c r="M544" s="181"/>
      <c r="N544" s="181"/>
      <c r="O544" s="181"/>
      <c r="P544" s="181"/>
      <c r="Q544" s="181"/>
      <c r="R544" s="181"/>
      <c r="S544" s="181"/>
      <c r="T544" s="194">
        <v>34699</v>
      </c>
      <c r="U544" s="209"/>
      <c r="V544" s="209" t="s">
        <v>1300</v>
      </c>
      <c r="W544" s="167" t="str">
        <f t="shared" si="50"/>
        <v>Zabaleta Vilar,Francisco Javier</v>
      </c>
      <c r="X544" s="181">
        <f t="shared" si="53"/>
        <v>9</v>
      </c>
      <c r="Y544" s="181">
        <f t="shared" si="54"/>
        <v>2021</v>
      </c>
      <c r="Z544" s="202" t="s">
        <v>265</v>
      </c>
      <c r="AA544" t="str">
        <f>IF(Tabla1[[#This Row],[Kerma en aire acumulada (Gy)]]&gt;1,SUMIF(G:G,Tabla1[[#This Row],[SIP]],I:I)-Tabla1[[#This Row],[Kerma en aire acumulada (Gy)]],"")</f>
        <v/>
      </c>
    </row>
    <row r="545" spans="3:27">
      <c r="C545" s="154" t="s">
        <v>1088</v>
      </c>
      <c r="D545" s="154" t="s">
        <v>797</v>
      </c>
      <c r="E545" s="154" t="s">
        <v>1316</v>
      </c>
      <c r="F545" s="154" t="s">
        <v>1317</v>
      </c>
      <c r="G545" s="154">
        <v>2210770</v>
      </c>
      <c r="H545" s="156">
        <v>44441</v>
      </c>
      <c r="I545" s="154">
        <v>9.9349999999999994E-2</v>
      </c>
      <c r="J545" s="154"/>
      <c r="K545" s="154"/>
      <c r="L545" s="154"/>
      <c r="M545" s="154"/>
      <c r="N545" s="154"/>
      <c r="O545" s="154"/>
      <c r="P545" s="154"/>
      <c r="Q545" s="154"/>
      <c r="R545" s="154"/>
      <c r="S545" s="154"/>
      <c r="T545" s="156">
        <v>30042</v>
      </c>
      <c r="U545" s="154"/>
      <c r="V545" s="154" t="s">
        <v>1286</v>
      </c>
      <c r="W545" s="158" t="str">
        <f t="shared" si="50"/>
        <v>Ruano Monterde,Maria del Mar</v>
      </c>
      <c r="X545" s="154">
        <f t="shared" si="53"/>
        <v>9</v>
      </c>
      <c r="Y545" s="154">
        <f t="shared" si="54"/>
        <v>2021</v>
      </c>
      <c r="Z545" s="174" t="s">
        <v>265</v>
      </c>
      <c r="AA545" t="str">
        <f>IF(Tabla1[[#This Row],[Kerma en aire acumulada (Gy)]]&gt;1,SUMIF(G:G,Tabla1[[#This Row],[SIP]],I:I)-Tabla1[[#This Row],[Kerma en aire acumulada (Gy)]],"")</f>
        <v/>
      </c>
    </row>
    <row r="546" spans="3:27">
      <c r="C546" s="202" t="s">
        <v>1088</v>
      </c>
      <c r="D546" s="90" t="s">
        <v>1301</v>
      </c>
      <c r="E546" s="90"/>
      <c r="F546" s="90" t="s">
        <v>1302</v>
      </c>
      <c r="G546" s="90">
        <v>950614</v>
      </c>
      <c r="H546" s="214">
        <v>44441</v>
      </c>
      <c r="I546" s="90">
        <v>0.20930000000000001</v>
      </c>
      <c r="J546" s="90"/>
      <c r="K546" s="90"/>
      <c r="L546" s="90"/>
      <c r="M546" s="90"/>
      <c r="N546" s="90"/>
      <c r="O546" s="90"/>
      <c r="P546" s="90"/>
      <c r="Q546" s="90"/>
      <c r="R546" s="90"/>
      <c r="S546" s="90"/>
      <c r="T546" s="91">
        <v>12680</v>
      </c>
      <c r="U546" s="202"/>
      <c r="V546" s="202" t="s">
        <v>550</v>
      </c>
      <c r="W546" s="158" t="str">
        <f t="shared" si="50"/>
        <v>Rogers ,Robert Janes</v>
      </c>
      <c r="X546" s="90">
        <f t="shared" si="53"/>
        <v>9</v>
      </c>
      <c r="Y546" s="90">
        <f t="shared" si="54"/>
        <v>2021</v>
      </c>
      <c r="Z546" s="93" t="s">
        <v>265</v>
      </c>
      <c r="AA546" t="str">
        <f>IF(Tabla1[[#This Row],[Kerma en aire acumulada (Gy)]]&gt;1,SUMIF(G:G,Tabla1[[#This Row],[SIP]],I:I)-Tabla1[[#This Row],[Kerma en aire acumulada (Gy)]],"")</f>
        <v/>
      </c>
    </row>
    <row r="547" spans="3:27">
      <c r="C547" s="154" t="s">
        <v>1088</v>
      </c>
      <c r="D547" s="95" t="s">
        <v>856</v>
      </c>
      <c r="E547" s="95" t="s">
        <v>340</v>
      </c>
      <c r="F547" s="95" t="s">
        <v>1298</v>
      </c>
      <c r="G547" s="95">
        <v>6055489</v>
      </c>
      <c r="H547" s="156">
        <v>44441</v>
      </c>
      <c r="I547" s="95">
        <v>0.32629999999999998</v>
      </c>
      <c r="J547" s="95"/>
      <c r="K547" s="95"/>
      <c r="L547" s="95"/>
      <c r="M547" s="95"/>
      <c r="N547" s="95"/>
      <c r="O547" s="95"/>
      <c r="P547" s="95"/>
      <c r="Q547" s="95"/>
      <c r="R547" s="95"/>
      <c r="S547" s="95"/>
      <c r="T547" s="96">
        <v>24277</v>
      </c>
      <c r="U547" s="95"/>
      <c r="V547" s="154" t="s">
        <v>151</v>
      </c>
      <c r="W547" s="158" t="str">
        <f t="shared" ref="W547:W610" si="55">CONCATENATE(D547,$A$591,E547,",",F547)</f>
        <v>Gomez Piqueras,Maria Maximina</v>
      </c>
      <c r="X547" s="95">
        <f t="shared" si="53"/>
        <v>9</v>
      </c>
      <c r="Y547" s="95">
        <f t="shared" si="54"/>
        <v>2021</v>
      </c>
      <c r="Z547" s="97" t="s">
        <v>265</v>
      </c>
      <c r="AA547" t="str">
        <f>IF(Tabla1[[#This Row],[Kerma en aire acumulada (Gy)]]&gt;1,SUMIF(G:G,Tabla1[[#This Row],[SIP]],I:I)-Tabla1[[#This Row],[Kerma en aire acumulada (Gy)]],"")</f>
        <v/>
      </c>
    </row>
    <row r="548" spans="3:27">
      <c r="C548" s="202" t="s">
        <v>1088</v>
      </c>
      <c r="D548" s="90" t="s">
        <v>101</v>
      </c>
      <c r="E548" s="90" t="s">
        <v>856</v>
      </c>
      <c r="F548" s="90" t="s">
        <v>991</v>
      </c>
      <c r="G548" s="90">
        <v>2398262</v>
      </c>
      <c r="H548" s="214">
        <v>44441</v>
      </c>
      <c r="I548" s="90">
        <v>1.4036299999999999</v>
      </c>
      <c r="J548" s="90"/>
      <c r="K548" s="90"/>
      <c r="L548" s="90"/>
      <c r="M548" s="90"/>
      <c r="N548" s="90"/>
      <c r="O548" s="90"/>
      <c r="P548" s="90"/>
      <c r="Q548" s="90"/>
      <c r="R548" s="90"/>
      <c r="S548" s="90"/>
      <c r="T548" s="91">
        <v>16009</v>
      </c>
      <c r="U548" s="202"/>
      <c r="V548" s="202" t="s">
        <v>89</v>
      </c>
      <c r="W548" s="92" t="str">
        <f t="shared" si="55"/>
        <v>Calvo Gomez,Jose</v>
      </c>
      <c r="X548" s="90">
        <f t="shared" si="53"/>
        <v>9</v>
      </c>
      <c r="Y548" s="90">
        <f t="shared" si="54"/>
        <v>2021</v>
      </c>
      <c r="Z548" s="93" t="s">
        <v>265</v>
      </c>
      <c r="AA548">
        <f>IF(Tabla1[[#This Row],[Kerma en aire acumulada (Gy)]]&gt;1,SUMIF(G:G,Tabla1[[#This Row],[SIP]],I:I)-Tabla1[[#This Row],[Kerma en aire acumulada (Gy)]],"")</f>
        <v>2.9850000000000003</v>
      </c>
    </row>
    <row r="549" spans="3:27">
      <c r="C549" s="94" t="s">
        <v>1088</v>
      </c>
      <c r="D549" s="95" t="s">
        <v>1610</v>
      </c>
      <c r="E549" s="95" t="s">
        <v>319</v>
      </c>
      <c r="F549" s="95" t="s">
        <v>1611</v>
      </c>
      <c r="G549" s="95">
        <v>1904836</v>
      </c>
      <c r="H549" s="156">
        <v>44442</v>
      </c>
      <c r="I549" s="95">
        <v>5.2400000000000002E-2</v>
      </c>
      <c r="J549" s="95"/>
      <c r="K549" s="95"/>
      <c r="L549" s="95"/>
      <c r="M549" s="95"/>
      <c r="N549" s="95"/>
      <c r="O549" s="95"/>
      <c r="P549" s="95"/>
      <c r="Q549" s="95"/>
      <c r="R549" s="95"/>
      <c r="S549" s="95"/>
      <c r="T549" s="96">
        <v>16322</v>
      </c>
      <c r="U549" s="154"/>
      <c r="V549" s="154" t="s">
        <v>1293</v>
      </c>
      <c r="W549" s="158" t="str">
        <f t="shared" si="55"/>
        <v>Vaño  Gonzalez,Concepción</v>
      </c>
      <c r="X549" s="95">
        <f t="shared" si="53"/>
        <v>9</v>
      </c>
      <c r="Y549" s="95">
        <f t="shared" si="54"/>
        <v>2021</v>
      </c>
      <c r="Z549" s="103" t="s">
        <v>265</v>
      </c>
      <c r="AA549" t="str">
        <f>IF(Tabla1[[#This Row],[Kerma en aire acumulada (Gy)]]&gt;1,SUMIF(G:G,Tabla1[[#This Row],[SIP]],I:I)-Tabla1[[#This Row],[Kerma en aire acumulada (Gy)]],"")</f>
        <v/>
      </c>
    </row>
    <row r="550" spans="3:27">
      <c r="C550" s="154" t="s">
        <v>1088</v>
      </c>
      <c r="D550" s="90" t="s">
        <v>797</v>
      </c>
      <c r="E550" s="90" t="s">
        <v>1316</v>
      </c>
      <c r="F550" s="90" t="s">
        <v>1317</v>
      </c>
      <c r="G550" s="90">
        <v>2210770</v>
      </c>
      <c r="H550" s="214">
        <v>44442</v>
      </c>
      <c r="I550" s="90">
        <v>9.7800000000000005E-3</v>
      </c>
      <c r="J550" s="90"/>
      <c r="K550" s="90"/>
      <c r="L550" s="90"/>
      <c r="M550" s="90"/>
      <c r="N550" s="90"/>
      <c r="O550" s="90"/>
      <c r="P550" s="90"/>
      <c r="Q550" s="90"/>
      <c r="R550" s="90"/>
      <c r="S550" s="90"/>
      <c r="T550" s="91">
        <v>30042</v>
      </c>
      <c r="U550" s="202"/>
      <c r="V550" s="202" t="s">
        <v>1116</v>
      </c>
      <c r="W550" s="158" t="str">
        <f t="shared" si="55"/>
        <v>Ruano Monterde,Maria del Mar</v>
      </c>
      <c r="X550" s="95">
        <f t="shared" si="53"/>
        <v>9</v>
      </c>
      <c r="Y550" s="95">
        <f t="shared" si="54"/>
        <v>2021</v>
      </c>
      <c r="Z550" s="93" t="s">
        <v>265</v>
      </c>
      <c r="AA550" t="str">
        <f>IF(Tabla1[[#This Row],[Kerma en aire acumulada (Gy)]]&gt;1,SUMIF(G:G,Tabla1[[#This Row],[SIP]],I:I)-Tabla1[[#This Row],[Kerma en aire acumulada (Gy)]],"")</f>
        <v/>
      </c>
    </row>
    <row r="551" spans="3:27">
      <c r="C551" s="94" t="s">
        <v>1088</v>
      </c>
      <c r="D551" s="95" t="s">
        <v>1004</v>
      </c>
      <c r="E551" s="95" t="s">
        <v>1005</v>
      </c>
      <c r="F551" s="95" t="s">
        <v>1006</v>
      </c>
      <c r="G551" s="95">
        <v>3099120</v>
      </c>
      <c r="H551" s="156">
        <v>44442</v>
      </c>
      <c r="I551" s="95">
        <v>4.8399999999999997E-3</v>
      </c>
      <c r="J551" s="95"/>
      <c r="K551" s="95"/>
      <c r="L551" s="95"/>
      <c r="M551" s="95"/>
      <c r="N551" s="95"/>
      <c r="O551" s="95"/>
      <c r="P551" s="95"/>
      <c r="Q551" s="95"/>
      <c r="R551" s="95"/>
      <c r="S551" s="95"/>
      <c r="T551" s="96">
        <v>24333</v>
      </c>
      <c r="U551" s="95"/>
      <c r="V551" s="154" t="s">
        <v>1594</v>
      </c>
      <c r="W551" s="92" t="str">
        <f t="shared" si="55"/>
        <v>Pinter Pla,Victoria</v>
      </c>
      <c r="X551" s="95">
        <f t="shared" si="53"/>
        <v>9</v>
      </c>
      <c r="Y551" s="95">
        <f t="shared" si="54"/>
        <v>2021</v>
      </c>
      <c r="Z551" s="97" t="s">
        <v>265</v>
      </c>
      <c r="AA551" t="str">
        <f>IF(Tabla1[[#This Row],[Kerma en aire acumulada (Gy)]]&gt;1,SUMIF(G:G,Tabla1[[#This Row],[SIP]],I:I)-Tabla1[[#This Row],[Kerma en aire acumulada (Gy)]],"")</f>
        <v/>
      </c>
    </row>
    <row r="552" spans="3:27">
      <c r="C552" s="154" t="s">
        <v>1088</v>
      </c>
      <c r="D552" s="202" t="s">
        <v>1178</v>
      </c>
      <c r="E552" s="202" t="s">
        <v>948</v>
      </c>
      <c r="F552" s="202" t="s">
        <v>1179</v>
      </c>
      <c r="G552" s="202">
        <v>2182963</v>
      </c>
      <c r="H552" s="214">
        <v>44442</v>
      </c>
      <c r="I552" s="202">
        <v>3.2299999999999999E-4</v>
      </c>
      <c r="J552" s="202"/>
      <c r="K552" s="202"/>
      <c r="L552" s="202"/>
      <c r="M552" s="202"/>
      <c r="N552" s="202"/>
      <c r="O552" s="202"/>
      <c r="P552" s="202"/>
      <c r="Q552" s="202"/>
      <c r="R552" s="202"/>
      <c r="S552" s="202"/>
      <c r="T552" s="214">
        <v>15881</v>
      </c>
      <c r="U552" s="202"/>
      <c r="V552" s="202" t="s">
        <v>1274</v>
      </c>
      <c r="W552" s="158" t="str">
        <f t="shared" si="55"/>
        <v>Montes Martinez,Eloina</v>
      </c>
      <c r="X552" s="95">
        <f t="shared" si="53"/>
        <v>9</v>
      </c>
      <c r="Y552" s="95">
        <f t="shared" si="54"/>
        <v>2021</v>
      </c>
      <c r="Z552" s="93" t="s">
        <v>265</v>
      </c>
      <c r="AA552" t="str">
        <f>IF(Tabla1[[#This Row],[Kerma en aire acumulada (Gy)]]&gt;1,SUMIF(G:G,Tabla1[[#This Row],[SIP]],I:I)-Tabla1[[#This Row],[Kerma en aire acumulada (Gy)]],"")</f>
        <v/>
      </c>
    </row>
    <row r="553" spans="3:27">
      <c r="C553" s="154" t="s">
        <v>1088</v>
      </c>
      <c r="D553" s="202" t="s">
        <v>726</v>
      </c>
      <c r="E553" s="202" t="s">
        <v>1609</v>
      </c>
      <c r="F553" s="202" t="s">
        <v>88</v>
      </c>
      <c r="G553" s="202">
        <v>2905267</v>
      </c>
      <c r="H553" s="214">
        <v>44442</v>
      </c>
      <c r="I553" s="202">
        <v>0.158</v>
      </c>
      <c r="J553" s="202"/>
      <c r="K553" s="202"/>
      <c r="L553" s="202"/>
      <c r="M553" s="202"/>
      <c r="N553" s="202"/>
      <c r="O553" s="202"/>
      <c r="P553" s="202"/>
      <c r="Q553" s="202"/>
      <c r="R553" s="202"/>
      <c r="S553" s="202"/>
      <c r="T553" s="214">
        <v>18780</v>
      </c>
      <c r="U553" s="202"/>
      <c r="V553" s="202" t="s">
        <v>1152</v>
      </c>
      <c r="W553" s="158" t="str">
        <f t="shared" si="55"/>
        <v>Ballesteros Briz,Vicente</v>
      </c>
      <c r="X553" s="95">
        <f t="shared" si="53"/>
        <v>9</v>
      </c>
      <c r="Y553" s="95">
        <f t="shared" si="54"/>
        <v>2021</v>
      </c>
      <c r="Z553" s="103" t="s">
        <v>265</v>
      </c>
      <c r="AA553" t="str">
        <f>IF(Tabla1[[#This Row],[Kerma en aire acumulada (Gy)]]&gt;1,SUMIF(G:G,Tabla1[[#This Row],[SIP]],I:I)-Tabla1[[#This Row],[Kerma en aire acumulada (Gy)]],"")</f>
        <v/>
      </c>
    </row>
    <row r="554" spans="3:27">
      <c r="C554" s="155" t="s">
        <v>1088</v>
      </c>
      <c r="D554" s="154" t="s">
        <v>1607</v>
      </c>
      <c r="E554" s="154" t="s">
        <v>1608</v>
      </c>
      <c r="F554" s="154" t="s">
        <v>88</v>
      </c>
      <c r="G554" s="154">
        <v>2905419</v>
      </c>
      <c r="H554" s="156">
        <v>44443</v>
      </c>
      <c r="I554" s="154">
        <v>0.77449999999999997</v>
      </c>
      <c r="J554" s="154"/>
      <c r="K554" s="154"/>
      <c r="L554" s="154"/>
      <c r="M554" s="154"/>
      <c r="N554" s="154"/>
      <c r="O554" s="154"/>
      <c r="P554" s="154"/>
      <c r="Q554" s="154"/>
      <c r="R554" s="154"/>
      <c r="S554" s="154"/>
      <c r="T554" s="156">
        <v>19105</v>
      </c>
      <c r="U554" s="154"/>
      <c r="V554" s="154" t="s">
        <v>1324</v>
      </c>
      <c r="W554" s="158" t="str">
        <f t="shared" si="55"/>
        <v>Reyes Tuleda,Vicente</v>
      </c>
      <c r="X554" s="95">
        <f t="shared" si="53"/>
        <v>9</v>
      </c>
      <c r="Y554" s="95">
        <f t="shared" si="54"/>
        <v>2021</v>
      </c>
      <c r="Z554" s="211" t="s">
        <v>265</v>
      </c>
      <c r="AA554" t="str">
        <f>IF(Tabla1[[#This Row],[Kerma en aire acumulada (Gy)]]&gt;1,SUMIF(G:G,Tabla1[[#This Row],[SIP]],I:I)-Tabla1[[#This Row],[Kerma en aire acumulada (Gy)]],"")</f>
        <v/>
      </c>
    </row>
    <row r="555" spans="3:27">
      <c r="C555" s="94" t="s">
        <v>1088</v>
      </c>
      <c r="D555" s="95" t="s">
        <v>772</v>
      </c>
      <c r="E555" s="95" t="s">
        <v>22</v>
      </c>
      <c r="F555" s="95" t="s">
        <v>20</v>
      </c>
      <c r="G555" s="95">
        <v>1208801</v>
      </c>
      <c r="H555" s="156">
        <v>44445</v>
      </c>
      <c r="I555" s="95">
        <v>3.252E-2</v>
      </c>
      <c r="J555" s="95"/>
      <c r="K555" s="95"/>
      <c r="L555" s="95"/>
      <c r="M555" s="95"/>
      <c r="N555" s="95"/>
      <c r="O555" s="95"/>
      <c r="P555" s="95"/>
      <c r="Q555" s="95"/>
      <c r="R555" s="95"/>
      <c r="S555" s="95"/>
      <c r="T555" s="96">
        <v>21369</v>
      </c>
      <c r="U555" s="95"/>
      <c r="V555" s="154" t="s">
        <v>552</v>
      </c>
      <c r="W555" s="92" t="str">
        <f t="shared" si="55"/>
        <v>Sanchez Ruiz,Antonio</v>
      </c>
      <c r="X555" s="95">
        <f t="shared" si="53"/>
        <v>9</v>
      </c>
      <c r="Y555" s="95">
        <f t="shared" si="54"/>
        <v>2021</v>
      </c>
      <c r="Z555" s="211" t="s">
        <v>265</v>
      </c>
      <c r="AA555" t="str">
        <f>IF(Tabla1[[#This Row],[Kerma en aire acumulada (Gy)]]&gt;1,SUMIF(G:G,Tabla1[[#This Row],[SIP]],I:I)-Tabla1[[#This Row],[Kerma en aire acumulada (Gy)]],"")</f>
        <v/>
      </c>
    </row>
    <row r="556" spans="3:27">
      <c r="C556" s="94" t="s">
        <v>1088</v>
      </c>
      <c r="D556" s="90" t="s">
        <v>948</v>
      </c>
      <c r="E556" s="90" t="s">
        <v>1612</v>
      </c>
      <c r="F556" s="90" t="s">
        <v>88</v>
      </c>
      <c r="G556" s="90">
        <v>3960626</v>
      </c>
      <c r="H556" s="214">
        <v>44445</v>
      </c>
      <c r="I556" s="90">
        <v>0.21648999999999999</v>
      </c>
      <c r="J556" s="90"/>
      <c r="K556" s="90"/>
      <c r="L556" s="90"/>
      <c r="M556" s="90"/>
      <c r="N556" s="90"/>
      <c r="O556" s="90"/>
      <c r="P556" s="90"/>
      <c r="Q556" s="90"/>
      <c r="R556" s="90"/>
      <c r="S556" s="90"/>
      <c r="T556" s="91">
        <v>20915</v>
      </c>
      <c r="U556" s="90"/>
      <c r="V556" s="202" t="s">
        <v>1613</v>
      </c>
      <c r="W556" s="92" t="str">
        <f t="shared" si="55"/>
        <v>Martinez Alfaro,Vicente</v>
      </c>
      <c r="X556" s="95">
        <f t="shared" si="53"/>
        <v>9</v>
      </c>
      <c r="Y556" s="95">
        <f t="shared" si="54"/>
        <v>2021</v>
      </c>
      <c r="Z556" s="211" t="s">
        <v>265</v>
      </c>
      <c r="AA556" t="str">
        <f>IF(Tabla1[[#This Row],[Kerma en aire acumulada (Gy)]]&gt;1,SUMIF(G:G,Tabla1[[#This Row],[SIP]],I:I)-Tabla1[[#This Row],[Kerma en aire acumulada (Gy)]],"")</f>
        <v/>
      </c>
    </row>
    <row r="557" spans="3:27" ht="15.75" thickBot="1">
      <c r="C557" s="166" t="s">
        <v>1088</v>
      </c>
      <c r="D557" s="181" t="s">
        <v>1604</v>
      </c>
      <c r="E557" s="181" t="s">
        <v>1605</v>
      </c>
      <c r="F557" s="181" t="s">
        <v>1606</v>
      </c>
      <c r="G557" s="181">
        <v>7086612</v>
      </c>
      <c r="H557" s="218">
        <v>44445</v>
      </c>
      <c r="I557" s="181">
        <v>5.6699999999999997E-3</v>
      </c>
      <c r="J557" s="181"/>
      <c r="K557" s="181"/>
      <c r="L557" s="181"/>
      <c r="M557" s="181"/>
      <c r="N557" s="181"/>
      <c r="O557" s="181"/>
      <c r="P557" s="181"/>
      <c r="Q557" s="181"/>
      <c r="R557" s="181"/>
      <c r="S557" s="181"/>
      <c r="T557" s="194">
        <v>35633</v>
      </c>
      <c r="U557" s="181"/>
      <c r="V557" s="209" t="s">
        <v>1300</v>
      </c>
      <c r="W557" s="162" t="str">
        <f t="shared" si="55"/>
        <v>De Oliveira Gajda,Thalia</v>
      </c>
      <c r="X557" s="163">
        <f t="shared" si="53"/>
        <v>9</v>
      </c>
      <c r="Y557" s="163">
        <f t="shared" si="54"/>
        <v>2021</v>
      </c>
      <c r="Z557" s="244" t="s">
        <v>265</v>
      </c>
      <c r="AA557" t="str">
        <f>IF(Tabla1[[#This Row],[Kerma en aire acumulada (Gy)]]&gt;1,SUMIF(G:G,Tabla1[[#This Row],[SIP]],I:I)-Tabla1[[#This Row],[Kerma en aire acumulada (Gy)]],"")</f>
        <v/>
      </c>
    </row>
    <row r="558" spans="3:27">
      <c r="C558" s="155" t="s">
        <v>1088</v>
      </c>
      <c r="D558" s="202" t="s">
        <v>1004</v>
      </c>
      <c r="E558" s="202" t="s">
        <v>1005</v>
      </c>
      <c r="F558" s="202" t="s">
        <v>1006</v>
      </c>
      <c r="G558" s="202">
        <v>3099120</v>
      </c>
      <c r="H558" s="214">
        <v>44446</v>
      </c>
      <c r="I558" s="202">
        <v>2.9199999999999999E-3</v>
      </c>
      <c r="J558" s="202"/>
      <c r="K558" s="202"/>
      <c r="L558" s="202"/>
      <c r="M558" s="202"/>
      <c r="N558" s="202"/>
      <c r="O558" s="202"/>
      <c r="P558" s="202"/>
      <c r="Q558" s="202"/>
      <c r="R558" s="202"/>
      <c r="S558" s="202"/>
      <c r="T558" s="214">
        <v>24333</v>
      </c>
      <c r="U558" s="202"/>
      <c r="V558" s="202" t="s">
        <v>1193</v>
      </c>
      <c r="W558" s="158" t="str">
        <f t="shared" si="55"/>
        <v>Pinter Pla,Victoria</v>
      </c>
      <c r="X558" s="154">
        <f t="shared" si="53"/>
        <v>9</v>
      </c>
      <c r="Y558" s="154">
        <f t="shared" si="54"/>
        <v>2021</v>
      </c>
      <c r="Z558" s="203" t="s">
        <v>265</v>
      </c>
      <c r="AA558" t="str">
        <f>IF(Tabla1[[#This Row],[Kerma en aire acumulada (Gy)]]&gt;1,SUMIF(G:G,Tabla1[[#This Row],[SIP]],I:I)-Tabla1[[#This Row],[Kerma en aire acumulada (Gy)]],"")</f>
        <v/>
      </c>
    </row>
    <row r="559" spans="3:27">
      <c r="C559" s="94" t="s">
        <v>1088</v>
      </c>
      <c r="D559" s="95" t="s">
        <v>79</v>
      </c>
      <c r="E559" s="95" t="s">
        <v>1187</v>
      </c>
      <c r="F559" s="95" t="s">
        <v>828</v>
      </c>
      <c r="G559" s="95">
        <v>3198332</v>
      </c>
      <c r="H559" s="156">
        <v>44446</v>
      </c>
      <c r="I559" s="95">
        <v>0.99777000000000005</v>
      </c>
      <c r="J559" s="95"/>
      <c r="K559" s="95"/>
      <c r="L559" s="95"/>
      <c r="M559" s="95"/>
      <c r="N559" s="95"/>
      <c r="O559" s="95"/>
      <c r="P559" s="95"/>
      <c r="Q559" s="95"/>
      <c r="R559" s="95"/>
      <c r="S559" s="95"/>
      <c r="T559" s="96">
        <v>20180</v>
      </c>
      <c r="U559" s="95"/>
      <c r="V559" s="154" t="s">
        <v>89</v>
      </c>
      <c r="W559" s="92" t="str">
        <f t="shared" si="55"/>
        <v>Noguera Villanueva,Josep</v>
      </c>
      <c r="X559" s="95">
        <f t="shared" si="53"/>
        <v>9</v>
      </c>
      <c r="Y559" s="95">
        <f t="shared" si="54"/>
        <v>2021</v>
      </c>
      <c r="Z559" s="103" t="s">
        <v>265</v>
      </c>
      <c r="AA559" t="str">
        <f>IF(Tabla1[[#This Row],[Kerma en aire acumulada (Gy)]]&gt;1,SUMIF(G:G,Tabla1[[#This Row],[SIP]],I:I)-Tabla1[[#This Row],[Kerma en aire acumulada (Gy)]],"")</f>
        <v/>
      </c>
    </row>
    <row r="560" spans="3:27">
      <c r="C560" s="94" t="s">
        <v>1088</v>
      </c>
      <c r="D560" s="95" t="s">
        <v>1603</v>
      </c>
      <c r="E560" s="95" t="s">
        <v>1045</v>
      </c>
      <c r="F560" s="95" t="s">
        <v>1260</v>
      </c>
      <c r="G560" s="95">
        <v>3893551</v>
      </c>
      <c r="H560" s="156">
        <v>44446</v>
      </c>
      <c r="I560" s="95">
        <v>0.11185</v>
      </c>
      <c r="J560" s="95"/>
      <c r="K560" s="95"/>
      <c r="L560" s="95"/>
      <c r="M560" s="95"/>
      <c r="N560" s="95"/>
      <c r="O560" s="95"/>
      <c r="P560" s="95"/>
      <c r="Q560" s="95"/>
      <c r="R560" s="95"/>
      <c r="S560" s="95"/>
      <c r="T560" s="96">
        <v>16169</v>
      </c>
      <c r="U560" s="95"/>
      <c r="V560" s="154" t="s">
        <v>1589</v>
      </c>
      <c r="W560" s="92" t="str">
        <f t="shared" si="55"/>
        <v>Martinez  Albero,Cristobal</v>
      </c>
      <c r="X560" s="95">
        <f t="shared" si="53"/>
        <v>9</v>
      </c>
      <c r="Y560" s="95">
        <f t="shared" si="54"/>
        <v>2021</v>
      </c>
      <c r="Z560" s="103" t="s">
        <v>265</v>
      </c>
      <c r="AA560" t="str">
        <f>IF(Tabla1[[#This Row],[Kerma en aire acumulada (Gy)]]&gt;1,SUMIF(G:G,Tabla1[[#This Row],[SIP]],I:I)-Tabla1[[#This Row],[Kerma en aire acumulada (Gy)]],"")</f>
        <v/>
      </c>
    </row>
    <row r="561" spans="3:27">
      <c r="C561" s="94" t="s">
        <v>1088</v>
      </c>
      <c r="D561" s="90" t="s">
        <v>1599</v>
      </c>
      <c r="E561" s="90"/>
      <c r="F561" s="90" t="s">
        <v>1600</v>
      </c>
      <c r="G561" s="90">
        <v>5866274</v>
      </c>
      <c r="H561" s="214">
        <v>44446</v>
      </c>
      <c r="I561" s="90">
        <v>7.7499999999999999E-2</v>
      </c>
      <c r="J561" s="90"/>
      <c r="K561" s="90"/>
      <c r="L561" s="90"/>
      <c r="M561" s="90"/>
      <c r="N561" s="90"/>
      <c r="O561" s="90"/>
      <c r="P561" s="90"/>
      <c r="Q561" s="90"/>
      <c r="R561" s="90"/>
      <c r="S561" s="90"/>
      <c r="T561" s="91">
        <v>24337</v>
      </c>
      <c r="U561" s="90"/>
      <c r="V561" s="202" t="s">
        <v>1602</v>
      </c>
      <c r="W561" s="92" t="str">
        <f t="shared" si="55"/>
        <v>Lup ,Margareta</v>
      </c>
      <c r="X561" s="95">
        <f t="shared" si="53"/>
        <v>9</v>
      </c>
      <c r="Y561" s="95">
        <f t="shared" si="54"/>
        <v>2021</v>
      </c>
      <c r="Z561" s="103" t="s">
        <v>265</v>
      </c>
      <c r="AA561" t="str">
        <f>IF(Tabla1[[#This Row],[Kerma en aire acumulada (Gy)]]&gt;1,SUMIF(G:G,Tabla1[[#This Row],[SIP]],I:I)-Tabla1[[#This Row],[Kerma en aire acumulada (Gy)]],"")</f>
        <v/>
      </c>
    </row>
    <row r="562" spans="3:27">
      <c r="C562" s="94" t="s">
        <v>1088</v>
      </c>
      <c r="D562" s="90" t="s">
        <v>1287</v>
      </c>
      <c r="E562" s="90" t="s">
        <v>1288</v>
      </c>
      <c r="F562" s="90" t="s">
        <v>82</v>
      </c>
      <c r="G562" s="90">
        <v>2849235</v>
      </c>
      <c r="H562" s="214">
        <v>44446</v>
      </c>
      <c r="I562" s="90">
        <v>5.2220000000000003E-2</v>
      </c>
      <c r="J562" s="90"/>
      <c r="K562" s="90"/>
      <c r="L562" s="90"/>
      <c r="M562" s="90"/>
      <c r="N562" s="90"/>
      <c r="O562" s="90"/>
      <c r="P562" s="90"/>
      <c r="Q562" s="90"/>
      <c r="R562" s="90"/>
      <c r="S562" s="90"/>
      <c r="T562" s="91">
        <v>19135</v>
      </c>
      <c r="U562" s="90"/>
      <c r="V562" s="202" t="s">
        <v>541</v>
      </c>
      <c r="W562" s="92" t="str">
        <f t="shared" si="55"/>
        <v>Huesca Castello,Pascual</v>
      </c>
      <c r="X562" s="95">
        <f t="shared" si="53"/>
        <v>9</v>
      </c>
      <c r="Y562" s="95">
        <f t="shared" si="54"/>
        <v>2021</v>
      </c>
      <c r="Z562" s="103" t="s">
        <v>265</v>
      </c>
      <c r="AA562" t="str">
        <f>IF(Tabla1[[#This Row],[Kerma en aire acumulada (Gy)]]&gt;1,SUMIF(G:G,Tabla1[[#This Row],[SIP]],I:I)-Tabla1[[#This Row],[Kerma en aire acumulada (Gy)]],"")</f>
        <v/>
      </c>
    </row>
    <row r="563" spans="3:27">
      <c r="C563" s="94" t="s">
        <v>1088</v>
      </c>
      <c r="D563" s="95" t="s">
        <v>1592</v>
      </c>
      <c r="E563" s="95" t="s">
        <v>319</v>
      </c>
      <c r="F563" s="95" t="s">
        <v>1593</v>
      </c>
      <c r="G563" s="95">
        <v>7704146</v>
      </c>
      <c r="H563" s="156">
        <v>44446</v>
      </c>
      <c r="I563" s="95">
        <v>2.1000000000000001E-4</v>
      </c>
      <c r="J563" s="95"/>
      <c r="K563" s="95"/>
      <c r="L563" s="95"/>
      <c r="M563" s="95"/>
      <c r="N563" s="95"/>
      <c r="O563" s="95"/>
      <c r="P563" s="95"/>
      <c r="Q563" s="95"/>
      <c r="R563" s="95"/>
      <c r="S563" s="95"/>
      <c r="T563" s="96">
        <v>17045</v>
      </c>
      <c r="U563" s="95"/>
      <c r="V563" s="154" t="s">
        <v>1300</v>
      </c>
      <c r="W563" s="92" t="str">
        <f t="shared" si="55"/>
        <v>Amaro Gonzalez,Ramona</v>
      </c>
      <c r="X563" s="95">
        <f t="shared" si="53"/>
        <v>9</v>
      </c>
      <c r="Y563" s="95">
        <f t="shared" si="54"/>
        <v>2021</v>
      </c>
      <c r="Z563" s="97" t="s">
        <v>265</v>
      </c>
      <c r="AA563" t="str">
        <f>IF(Tabla1[[#This Row],[Kerma en aire acumulada (Gy)]]&gt;1,SUMIF(G:G,Tabla1[[#This Row],[SIP]],I:I)-Tabla1[[#This Row],[Kerma en aire acumulada (Gy)]],"")</f>
        <v/>
      </c>
    </row>
    <row r="564" spans="3:27">
      <c r="C564" s="94" t="s">
        <v>1088</v>
      </c>
      <c r="D564" s="90" t="s">
        <v>1595</v>
      </c>
      <c r="E564" s="90" t="s">
        <v>22</v>
      </c>
      <c r="F564" s="90" t="s">
        <v>1596</v>
      </c>
      <c r="G564" s="90">
        <v>2366010</v>
      </c>
      <c r="H564" s="214">
        <v>44447</v>
      </c>
      <c r="I564" s="90">
        <v>0.54415999999999998</v>
      </c>
      <c r="J564" s="90"/>
      <c r="K564" s="90"/>
      <c r="L564" s="90"/>
      <c r="M564" s="90"/>
      <c r="N564" s="90"/>
      <c r="O564" s="90"/>
      <c r="P564" s="90"/>
      <c r="Q564" s="90"/>
      <c r="R564" s="90"/>
      <c r="S564" s="90"/>
      <c r="T564" s="91">
        <v>44245</v>
      </c>
      <c r="U564" s="90"/>
      <c r="V564" s="202" t="s">
        <v>1174</v>
      </c>
      <c r="W564" s="92" t="str">
        <f t="shared" si="55"/>
        <v>March Ruiz,Eduardo</v>
      </c>
      <c r="X564" s="95">
        <f t="shared" si="53"/>
        <v>9</v>
      </c>
      <c r="Y564" s="95">
        <f t="shared" si="54"/>
        <v>2021</v>
      </c>
      <c r="Z564" s="103" t="s">
        <v>265</v>
      </c>
      <c r="AA564" t="str">
        <f>IF(Tabla1[[#This Row],[Kerma en aire acumulada (Gy)]]&gt;1,SUMIF(G:G,Tabla1[[#This Row],[SIP]],I:I)-Tabla1[[#This Row],[Kerma en aire acumulada (Gy)]],"")</f>
        <v/>
      </c>
    </row>
    <row r="565" spans="3:27">
      <c r="C565" s="94" t="s">
        <v>1088</v>
      </c>
      <c r="D565" s="95" t="s">
        <v>1599</v>
      </c>
      <c r="E565" s="95"/>
      <c r="F565" s="95" t="s">
        <v>1600</v>
      </c>
      <c r="G565" s="95">
        <v>5866274</v>
      </c>
      <c r="H565" s="156">
        <v>44447</v>
      </c>
      <c r="I565" s="95">
        <v>1.6250000000000001E-2</v>
      </c>
      <c r="J565" s="95"/>
      <c r="K565" s="95"/>
      <c r="L565" s="95"/>
      <c r="M565" s="95"/>
      <c r="N565" s="95"/>
      <c r="O565" s="95"/>
      <c r="P565" s="95"/>
      <c r="Q565" s="95"/>
      <c r="R565" s="95"/>
      <c r="S565" s="95"/>
      <c r="T565" s="96">
        <v>24337</v>
      </c>
      <c r="U565" s="95"/>
      <c r="V565" s="154" t="s">
        <v>1286</v>
      </c>
      <c r="W565" s="92" t="str">
        <f t="shared" si="55"/>
        <v>Lup ,Margareta</v>
      </c>
      <c r="X565" s="95">
        <f t="shared" si="53"/>
        <v>9</v>
      </c>
      <c r="Y565" s="95">
        <f t="shared" si="54"/>
        <v>2021</v>
      </c>
      <c r="Z565" s="103" t="s">
        <v>265</v>
      </c>
      <c r="AA565" t="str">
        <f>IF(Tabla1[[#This Row],[Kerma en aire acumulada (Gy)]]&gt;1,SUMIF(G:G,Tabla1[[#This Row],[SIP]],I:I)-Tabla1[[#This Row],[Kerma en aire acumulada (Gy)]],"")</f>
        <v/>
      </c>
    </row>
    <row r="566" spans="3:27">
      <c r="C566" s="89" t="s">
        <v>1088</v>
      </c>
      <c r="D566" s="90" t="s">
        <v>960</v>
      </c>
      <c r="E566" s="90" t="s">
        <v>15</v>
      </c>
      <c r="F566" s="90" t="s">
        <v>57</v>
      </c>
      <c r="G566" s="90">
        <v>3331838</v>
      </c>
      <c r="H566" s="214">
        <v>44447</v>
      </c>
      <c r="I566" s="90">
        <v>2.0699999999999998E-3</v>
      </c>
      <c r="J566" s="90"/>
      <c r="K566" s="90"/>
      <c r="L566" s="90"/>
      <c r="M566" s="90"/>
      <c r="N566" s="90"/>
      <c r="O566" s="90"/>
      <c r="P566" s="90"/>
      <c r="Q566" s="90"/>
      <c r="R566" s="90"/>
      <c r="S566" s="90"/>
      <c r="T566" s="91">
        <v>19171</v>
      </c>
      <c r="U566" s="90"/>
      <c r="V566" s="202" t="s">
        <v>1300</v>
      </c>
      <c r="W566" s="92" t="str">
        <f t="shared" si="55"/>
        <v>Lopez Moreno,Miguel</v>
      </c>
      <c r="X566" s="95">
        <f t="shared" si="53"/>
        <v>9</v>
      </c>
      <c r="Y566" s="95">
        <f t="shared" si="54"/>
        <v>2021</v>
      </c>
      <c r="Z566" s="93" t="s">
        <v>265</v>
      </c>
      <c r="AA566" t="str">
        <f>IF(Tabla1[[#This Row],[Kerma en aire acumulada (Gy)]]&gt;1,SUMIF(G:G,Tabla1[[#This Row],[SIP]],I:I)-Tabla1[[#This Row],[Kerma en aire acumulada (Gy)]],"")</f>
        <v/>
      </c>
    </row>
    <row r="567" spans="3:27">
      <c r="C567" s="94" t="s">
        <v>1088</v>
      </c>
      <c r="D567" s="95" t="s">
        <v>1601</v>
      </c>
      <c r="E567" s="95" t="s">
        <v>1261</v>
      </c>
      <c r="F567" s="95" t="s">
        <v>991</v>
      </c>
      <c r="G567" s="95">
        <v>4686746</v>
      </c>
      <c r="H567" s="156">
        <v>44447</v>
      </c>
      <c r="I567" s="95">
        <v>4.3920000000000001E-2</v>
      </c>
      <c r="J567" s="95"/>
      <c r="K567" s="95"/>
      <c r="L567" s="95"/>
      <c r="M567" s="95"/>
      <c r="N567" s="95"/>
      <c r="O567" s="95"/>
      <c r="P567" s="95"/>
      <c r="Q567" s="95"/>
      <c r="R567" s="95"/>
      <c r="S567" s="95"/>
      <c r="T567" s="96">
        <v>14130</v>
      </c>
      <c r="U567" s="95"/>
      <c r="V567" s="154" t="s">
        <v>503</v>
      </c>
      <c r="W567" s="92" t="str">
        <f t="shared" si="55"/>
        <v>Fort Hernandez,Jose</v>
      </c>
      <c r="X567" s="95">
        <f t="shared" si="53"/>
        <v>9</v>
      </c>
      <c r="Y567" s="95">
        <f t="shared" si="54"/>
        <v>2021</v>
      </c>
      <c r="Z567" s="103" t="s">
        <v>265</v>
      </c>
      <c r="AA567" t="str">
        <f>IF(Tabla1[[#This Row],[Kerma en aire acumulada (Gy)]]&gt;1,SUMIF(G:G,Tabla1[[#This Row],[SIP]],I:I)-Tabla1[[#This Row],[Kerma en aire acumulada (Gy)]],"")</f>
        <v/>
      </c>
    </row>
    <row r="568" spans="3:27">
      <c r="C568" s="155" t="s">
        <v>1088</v>
      </c>
      <c r="D568" s="154" t="s">
        <v>1591</v>
      </c>
      <c r="E568" s="154" t="s">
        <v>1590</v>
      </c>
      <c r="F568" s="154" t="s">
        <v>1303</v>
      </c>
      <c r="G568" s="154">
        <v>1962388</v>
      </c>
      <c r="H568" s="215">
        <v>44447</v>
      </c>
      <c r="I568" s="154">
        <v>4.9899999999999996E-3</v>
      </c>
      <c r="J568" s="154"/>
      <c r="K568" s="154"/>
      <c r="L568" s="154"/>
      <c r="M568" s="154"/>
      <c r="N568" s="154"/>
      <c r="O568" s="154"/>
      <c r="P568" s="154"/>
      <c r="Q568" s="154"/>
      <c r="R568" s="154"/>
      <c r="S568" s="154"/>
      <c r="T568" s="156">
        <v>44402</v>
      </c>
      <c r="U568" s="154"/>
      <c r="V568" s="154" t="s">
        <v>1300</v>
      </c>
      <c r="W568" s="92" t="str">
        <f t="shared" si="55"/>
        <v>Cortelles Raga,Maria Cristina</v>
      </c>
      <c r="X568" s="95">
        <f t="shared" si="53"/>
        <v>9</v>
      </c>
      <c r="Y568" s="95">
        <f t="shared" si="54"/>
        <v>2021</v>
      </c>
      <c r="Z568" s="97" t="s">
        <v>265</v>
      </c>
      <c r="AA568" t="str">
        <f>IF(Tabla1[[#This Row],[Kerma en aire acumulada (Gy)]]&gt;1,SUMIF(G:G,Tabla1[[#This Row],[SIP]],I:I)-Tabla1[[#This Row],[Kerma en aire acumulada (Gy)]],"")</f>
        <v/>
      </c>
    </row>
    <row r="569" spans="3:27" ht="15.75" thickBot="1">
      <c r="C569" s="159" t="s">
        <v>1088</v>
      </c>
      <c r="D569" s="160" t="s">
        <v>1586</v>
      </c>
      <c r="E569" s="160" t="s">
        <v>1587</v>
      </c>
      <c r="F569" s="160" t="s">
        <v>1588</v>
      </c>
      <c r="G569" s="160">
        <v>3273877</v>
      </c>
      <c r="H569" s="161">
        <v>44448</v>
      </c>
      <c r="I569" s="160">
        <v>1.34E-3</v>
      </c>
      <c r="J569" s="160"/>
      <c r="K569" s="160"/>
      <c r="L569" s="160"/>
      <c r="M569" s="160"/>
      <c r="N569" s="160"/>
      <c r="O569" s="160"/>
      <c r="P569" s="160"/>
      <c r="Q569" s="160"/>
      <c r="R569" s="160"/>
      <c r="S569" s="160"/>
      <c r="T569" s="161">
        <v>21340</v>
      </c>
      <c r="U569" s="160"/>
      <c r="V569" s="160" t="s">
        <v>1589</v>
      </c>
      <c r="W569" s="162" t="str">
        <f t="shared" si="55"/>
        <v>Nieto  Jimenez,Juani</v>
      </c>
      <c r="X569" s="163">
        <f t="shared" si="53"/>
        <v>9</v>
      </c>
      <c r="Y569" s="163">
        <f t="shared" si="54"/>
        <v>2021</v>
      </c>
      <c r="Z569" s="172" t="s">
        <v>265</v>
      </c>
      <c r="AA569" t="str">
        <f>IF(Tabla1[[#This Row],[Kerma en aire acumulada (Gy)]]&gt;1,SUMIF(G:G,Tabla1[[#This Row],[SIP]],I:I)-Tabla1[[#This Row],[Kerma en aire acumulada (Gy)]],"")</f>
        <v/>
      </c>
    </row>
    <row r="570" spans="3:27">
      <c r="C570" s="155" t="s">
        <v>1088</v>
      </c>
      <c r="D570" s="154" t="s">
        <v>1595</v>
      </c>
      <c r="E570" s="154" t="s">
        <v>22</v>
      </c>
      <c r="F570" s="154" t="s">
        <v>1596</v>
      </c>
      <c r="G570" s="154">
        <v>2366010</v>
      </c>
      <c r="H570" s="156">
        <v>44448</v>
      </c>
      <c r="I570" s="154">
        <v>6.8659999999999999E-2</v>
      </c>
      <c r="J570" s="154"/>
      <c r="K570" s="154"/>
      <c r="L570" s="154"/>
      <c r="M570" s="154"/>
      <c r="N570" s="154"/>
      <c r="O570" s="154"/>
      <c r="P570" s="154"/>
      <c r="Q570" s="154"/>
      <c r="R570" s="154"/>
      <c r="S570" s="154"/>
      <c r="T570" s="156">
        <v>22695</v>
      </c>
      <c r="U570" s="154"/>
      <c r="V570" s="154" t="s">
        <v>1218</v>
      </c>
      <c r="W570" s="158" t="str">
        <f t="shared" si="55"/>
        <v>March Ruiz,Eduardo</v>
      </c>
      <c r="X570" s="154">
        <f t="shared" si="53"/>
        <v>9</v>
      </c>
      <c r="Y570" s="154">
        <f t="shared" si="54"/>
        <v>2021</v>
      </c>
      <c r="Z570" s="174" t="s">
        <v>265</v>
      </c>
      <c r="AA570" t="str">
        <f>IF(Tabla1[[#This Row],[Kerma en aire acumulada (Gy)]]&gt;1,SUMIF(G:G,Tabla1[[#This Row],[SIP]],I:I)-Tabla1[[#This Row],[Kerma en aire acumulada (Gy)]],"")</f>
        <v/>
      </c>
    </row>
    <row r="571" spans="3:27">
      <c r="C571" s="155" t="s">
        <v>1088</v>
      </c>
      <c r="D571" s="202" t="s">
        <v>1597</v>
      </c>
      <c r="E571" s="202" t="s">
        <v>50</v>
      </c>
      <c r="F571" s="202" t="s">
        <v>1598</v>
      </c>
      <c r="G571" s="202">
        <v>12494909</v>
      </c>
      <c r="H571" s="214">
        <v>44448</v>
      </c>
      <c r="I571" s="202">
        <v>1.9349999999999999E-2</v>
      </c>
      <c r="J571" s="202"/>
      <c r="K571" s="202"/>
      <c r="L571" s="202"/>
      <c r="M571" s="202"/>
      <c r="N571" s="202"/>
      <c r="O571" s="202"/>
      <c r="P571" s="202"/>
      <c r="Q571" s="202"/>
      <c r="R571" s="202"/>
      <c r="S571" s="202"/>
      <c r="T571" s="214">
        <v>44427</v>
      </c>
      <c r="U571" s="202"/>
      <c r="V571" s="202" t="s">
        <v>1233</v>
      </c>
      <c r="W571" s="92" t="str">
        <f t="shared" si="55"/>
        <v>Losada Quintero,Gonzalo Tadeo</v>
      </c>
      <c r="X571" s="95">
        <f t="shared" si="53"/>
        <v>9</v>
      </c>
      <c r="Y571" s="95">
        <f t="shared" si="54"/>
        <v>2021</v>
      </c>
      <c r="Z571" s="103" t="s">
        <v>265</v>
      </c>
      <c r="AA571" t="str">
        <f>IF(Tabla1[[#This Row],[Kerma en aire acumulada (Gy)]]&gt;1,SUMIF(G:G,Tabla1[[#This Row],[SIP]],I:I)-Tabla1[[#This Row],[Kerma en aire acumulada (Gy)]],"")</f>
        <v/>
      </c>
    </row>
    <row r="572" spans="3:27">
      <c r="C572" s="157" t="s">
        <v>1088</v>
      </c>
      <c r="D572" s="202" t="s">
        <v>337</v>
      </c>
      <c r="E572" s="202" t="s">
        <v>948</v>
      </c>
      <c r="F572" s="202" t="s">
        <v>1297</v>
      </c>
      <c r="G572" s="202">
        <v>2925662</v>
      </c>
      <c r="H572" s="214">
        <v>44448</v>
      </c>
      <c r="I572" s="202">
        <v>8.0000000000000004E-4</v>
      </c>
      <c r="J572" s="202"/>
      <c r="K572" s="202"/>
      <c r="L572" s="202"/>
      <c r="M572" s="202"/>
      <c r="N572" s="202"/>
      <c r="O572" s="202"/>
      <c r="P572" s="202"/>
      <c r="Q572" s="202"/>
      <c r="R572" s="202"/>
      <c r="S572" s="202"/>
      <c r="T572" s="214">
        <v>23409</v>
      </c>
      <c r="U572" s="202"/>
      <c r="V572" s="202" t="s">
        <v>1214</v>
      </c>
      <c r="W572" s="92" t="str">
        <f t="shared" si="55"/>
        <v>Garrido Martinez,Juan Vicente</v>
      </c>
      <c r="X572" s="95">
        <f t="shared" si="53"/>
        <v>9</v>
      </c>
      <c r="Y572" s="95">
        <f t="shared" si="54"/>
        <v>2021</v>
      </c>
      <c r="Z572" s="93" t="s">
        <v>265</v>
      </c>
      <c r="AA572" t="str">
        <f>IF(Tabla1[[#This Row],[Kerma en aire acumulada (Gy)]]&gt;1,SUMIF(G:G,Tabla1[[#This Row],[SIP]],I:I)-Tabla1[[#This Row],[Kerma en aire acumulada (Gy)]],"")</f>
        <v/>
      </c>
    </row>
    <row r="573" spans="3:27">
      <c r="C573" s="155" t="s">
        <v>1088</v>
      </c>
      <c r="D573" s="202" t="s">
        <v>1248</v>
      </c>
      <c r="E573" s="202" t="s">
        <v>1098</v>
      </c>
      <c r="F573" s="202" t="s">
        <v>1010</v>
      </c>
      <c r="G573" s="202">
        <v>1857814</v>
      </c>
      <c r="H573" s="214">
        <v>44449</v>
      </c>
      <c r="I573" s="202">
        <v>3.3800000000000002E-3</v>
      </c>
      <c r="J573" s="202"/>
      <c r="K573" s="202"/>
      <c r="L573" s="202"/>
      <c r="M573" s="202"/>
      <c r="N573" s="202"/>
      <c r="O573" s="202"/>
      <c r="P573" s="202"/>
      <c r="Q573" s="202"/>
      <c r="R573" s="202"/>
      <c r="S573" s="202"/>
      <c r="T573" s="214">
        <v>24872</v>
      </c>
      <c r="U573" s="202"/>
      <c r="V573" s="202" t="s">
        <v>1312</v>
      </c>
      <c r="W573" s="92" t="str">
        <f t="shared" si="55"/>
        <v>Marti Moya,Bautista</v>
      </c>
      <c r="X573" s="95">
        <f t="shared" si="53"/>
        <v>9</v>
      </c>
      <c r="Y573" s="95">
        <f t="shared" si="54"/>
        <v>2021</v>
      </c>
      <c r="Z573" s="103" t="s">
        <v>265</v>
      </c>
      <c r="AA573" t="str">
        <f>IF(Tabla1[[#This Row],[Kerma en aire acumulada (Gy)]]&gt;1,SUMIF(G:G,Tabla1[[#This Row],[SIP]],I:I)-Tabla1[[#This Row],[Kerma en aire acumulada (Gy)]],"")</f>
        <v/>
      </c>
    </row>
    <row r="574" spans="3:27">
      <c r="C574" s="155" t="s">
        <v>1088</v>
      </c>
      <c r="D574" s="202" t="s">
        <v>1255</v>
      </c>
      <c r="E574" s="202" t="s">
        <v>290</v>
      </c>
      <c r="F574" s="202" t="s">
        <v>1303</v>
      </c>
      <c r="G574" s="202">
        <v>338341</v>
      </c>
      <c r="H574" s="214">
        <v>44449</v>
      </c>
      <c r="I574" s="202">
        <v>1.99E-3</v>
      </c>
      <c r="J574" s="202"/>
      <c r="K574" s="202"/>
      <c r="L574" s="202"/>
      <c r="M574" s="202"/>
      <c r="N574" s="202"/>
      <c r="O574" s="202"/>
      <c r="P574" s="202"/>
      <c r="Q574" s="202"/>
      <c r="R574" s="202"/>
      <c r="S574" s="202"/>
      <c r="T574" s="214">
        <v>25137</v>
      </c>
      <c r="U574" s="202"/>
      <c r="V574" s="202" t="s">
        <v>1312</v>
      </c>
      <c r="W574" s="92" t="str">
        <f t="shared" si="55"/>
        <v>Alcalde Argente,Maria Cristina</v>
      </c>
      <c r="X574" s="95">
        <f t="shared" si="53"/>
        <v>9</v>
      </c>
      <c r="Y574" s="95">
        <f t="shared" si="54"/>
        <v>2021</v>
      </c>
      <c r="Z574" s="103" t="s">
        <v>265</v>
      </c>
      <c r="AA574" t="str">
        <f>IF(Tabla1[[#This Row],[Kerma en aire acumulada (Gy)]]&gt;1,SUMIF(G:G,Tabla1[[#This Row],[SIP]],I:I)-Tabla1[[#This Row],[Kerma en aire acumulada (Gy)]],"")</f>
        <v/>
      </c>
    </row>
    <row r="575" spans="3:27">
      <c r="C575" s="155" t="s">
        <v>1088</v>
      </c>
      <c r="D575" s="212" t="s">
        <v>79</v>
      </c>
      <c r="E575" s="212" t="s">
        <v>960</v>
      </c>
      <c r="F575" s="212" t="s">
        <v>7</v>
      </c>
      <c r="G575" s="212">
        <v>3277645</v>
      </c>
      <c r="H575" s="217">
        <v>44449</v>
      </c>
      <c r="I575" s="212">
        <v>4.0500000000000001E-2</v>
      </c>
      <c r="J575" s="212"/>
      <c r="K575" s="212"/>
      <c r="L575" s="212"/>
      <c r="M575" s="212"/>
      <c r="N575" s="212"/>
      <c r="O575" s="212"/>
      <c r="P575" s="212"/>
      <c r="Q575" s="212"/>
      <c r="R575" s="212"/>
      <c r="S575" s="212"/>
      <c r="T575" s="217">
        <v>20300</v>
      </c>
      <c r="U575" s="212"/>
      <c r="V575" s="212" t="s">
        <v>1631</v>
      </c>
      <c r="W575" s="92" t="str">
        <f t="shared" si="55"/>
        <v>Noguera Lopez,Francisca</v>
      </c>
      <c r="X575" s="95">
        <f t="shared" si="53"/>
        <v>9</v>
      </c>
      <c r="Y575" s="95">
        <f t="shared" si="54"/>
        <v>2021</v>
      </c>
      <c r="Z575" s="103" t="s">
        <v>265</v>
      </c>
      <c r="AA575" t="str">
        <f>IF(Tabla1[[#This Row],[Kerma en aire acumulada (Gy)]]&gt;1,SUMIF(G:G,Tabla1[[#This Row],[SIP]],I:I)-Tabla1[[#This Row],[Kerma en aire acumulada (Gy)]],"")</f>
        <v/>
      </c>
    </row>
    <row r="576" spans="3:27">
      <c r="C576" s="155" t="s">
        <v>1088</v>
      </c>
      <c r="D576" s="212" t="s">
        <v>1644</v>
      </c>
      <c r="E576" s="212" t="s">
        <v>21</v>
      </c>
      <c r="F576" s="212" t="s">
        <v>83</v>
      </c>
      <c r="G576" s="212">
        <v>6236338</v>
      </c>
      <c r="H576" s="217">
        <v>44449</v>
      </c>
      <c r="I576" s="212">
        <v>1.353E-2</v>
      </c>
      <c r="J576" s="212"/>
      <c r="K576" s="212"/>
      <c r="L576" s="212"/>
      <c r="M576" s="212"/>
      <c r="N576" s="212"/>
      <c r="O576" s="212"/>
      <c r="P576" s="212"/>
      <c r="Q576" s="212"/>
      <c r="R576" s="212"/>
      <c r="S576" s="212"/>
      <c r="T576" s="217">
        <v>27802</v>
      </c>
      <c r="U576" s="212"/>
      <c r="V576" s="212" t="s">
        <v>1312</v>
      </c>
      <c r="W576" s="92" t="str">
        <f t="shared" si="55"/>
        <v>Barberan  Cervera,Francisco</v>
      </c>
      <c r="X576" s="95">
        <f t="shared" si="53"/>
        <v>9</v>
      </c>
      <c r="Y576" s="95">
        <f t="shared" si="54"/>
        <v>2021</v>
      </c>
      <c r="Z576" s="103" t="s">
        <v>265</v>
      </c>
      <c r="AA576" t="str">
        <f>IF(Tabla1[[#This Row],[Kerma en aire acumulada (Gy)]]&gt;1,SUMIF(G:G,Tabla1[[#This Row],[SIP]],I:I)-Tabla1[[#This Row],[Kerma en aire acumulada (Gy)]],"")</f>
        <v/>
      </c>
    </row>
    <row r="577" spans="1:28">
      <c r="C577" s="155" t="s">
        <v>1088</v>
      </c>
      <c r="D577" s="212" t="s">
        <v>1645</v>
      </c>
      <c r="E577" s="212" t="s">
        <v>1646</v>
      </c>
      <c r="F577" s="212" t="s">
        <v>1139</v>
      </c>
      <c r="G577" s="212">
        <v>1959160</v>
      </c>
      <c r="H577" s="217">
        <v>44449</v>
      </c>
      <c r="I577" s="212">
        <v>2.6700000000000001E-3</v>
      </c>
      <c r="J577" s="212"/>
      <c r="K577" s="212"/>
      <c r="L577" s="212"/>
      <c r="M577" s="212"/>
      <c r="N577" s="212"/>
      <c r="O577" s="212"/>
      <c r="P577" s="212"/>
      <c r="Q577" s="212"/>
      <c r="R577" s="212"/>
      <c r="S577" s="212"/>
      <c r="T577" s="217">
        <v>26451</v>
      </c>
      <c r="U577" s="212"/>
      <c r="V577" s="212" t="s">
        <v>516</v>
      </c>
      <c r="W577" s="92" t="str">
        <f t="shared" si="55"/>
        <v>Rubert Vendrell,Jose Vicente</v>
      </c>
      <c r="X577" s="95">
        <f t="shared" si="53"/>
        <v>9</v>
      </c>
      <c r="Y577" s="95">
        <f t="shared" si="54"/>
        <v>2021</v>
      </c>
      <c r="Z577" s="103" t="s">
        <v>265</v>
      </c>
      <c r="AA577" t="str">
        <f>IF(Tabla1[[#This Row],[Kerma en aire acumulada (Gy)]]&gt;1,SUMIF(G:G,Tabla1[[#This Row],[SIP]],I:I)-Tabla1[[#This Row],[Kerma en aire acumulada (Gy)]],"")</f>
        <v/>
      </c>
    </row>
    <row r="578" spans="1:28">
      <c r="C578" s="155" t="s">
        <v>1088</v>
      </c>
      <c r="D578" s="212" t="s">
        <v>1595</v>
      </c>
      <c r="E578" s="212" t="s">
        <v>22</v>
      </c>
      <c r="F578" s="212" t="s">
        <v>1596</v>
      </c>
      <c r="G578" s="212">
        <v>2366010</v>
      </c>
      <c r="H578" s="217">
        <v>44449</v>
      </c>
      <c r="I578" s="212">
        <v>6.3909999999999995E-2</v>
      </c>
      <c r="J578" s="212"/>
      <c r="K578" s="212"/>
      <c r="L578" s="212"/>
      <c r="M578" s="212"/>
      <c r="N578" s="212"/>
      <c r="O578" s="212"/>
      <c r="P578" s="212"/>
      <c r="Q578" s="212"/>
      <c r="R578" s="212"/>
      <c r="S578" s="212"/>
      <c r="T578" s="217">
        <v>22695</v>
      </c>
      <c r="U578" s="212"/>
      <c r="V578" s="212" t="s">
        <v>1631</v>
      </c>
      <c r="W578" s="92" t="str">
        <f t="shared" si="55"/>
        <v>March Ruiz,Eduardo</v>
      </c>
      <c r="X578" s="95">
        <f t="shared" si="53"/>
        <v>9</v>
      </c>
      <c r="Y578" s="95">
        <f t="shared" si="54"/>
        <v>2021</v>
      </c>
      <c r="Z578" s="103" t="s">
        <v>265</v>
      </c>
      <c r="AA578" t="str">
        <f>IF(Tabla1[[#This Row],[Kerma en aire acumulada (Gy)]]&gt;1,SUMIF(G:G,Tabla1[[#This Row],[SIP]],I:I)-Tabla1[[#This Row],[Kerma en aire acumulada (Gy)]],"")</f>
        <v/>
      </c>
    </row>
    <row r="579" spans="1:28">
      <c r="C579" s="94" t="s">
        <v>1088</v>
      </c>
      <c r="D579" s="131" t="s">
        <v>1647</v>
      </c>
      <c r="E579" s="131" t="s">
        <v>1647</v>
      </c>
      <c r="F579" s="131" t="s">
        <v>71</v>
      </c>
      <c r="G579" s="131">
        <v>1825041</v>
      </c>
      <c r="H579" s="217">
        <v>44449</v>
      </c>
      <c r="I579" s="131">
        <v>1E-4</v>
      </c>
      <c r="J579" s="131"/>
      <c r="K579" s="131"/>
      <c r="L579" s="131"/>
      <c r="M579" s="131"/>
      <c r="N579" s="131"/>
      <c r="O579" s="131"/>
      <c r="P579" s="131"/>
      <c r="Q579" s="131"/>
      <c r="R579" s="131"/>
      <c r="S579" s="131"/>
      <c r="T579" s="132">
        <v>19799</v>
      </c>
      <c r="U579" s="131"/>
      <c r="V579" s="212" t="s">
        <v>1193</v>
      </c>
      <c r="W579" s="92" t="str">
        <f t="shared" si="55"/>
        <v>Benedicto Benedicto,Rafael</v>
      </c>
      <c r="X579" s="95">
        <f t="shared" si="53"/>
        <v>9</v>
      </c>
      <c r="Y579" s="95">
        <f t="shared" si="54"/>
        <v>2021</v>
      </c>
      <c r="Z579" s="103" t="s">
        <v>265</v>
      </c>
      <c r="AA579" t="str">
        <f>IF(Tabla1[[#This Row],[Kerma en aire acumulada (Gy)]]&gt;1,SUMIF(G:G,Tabla1[[#This Row],[SIP]],I:I)-Tabla1[[#This Row],[Kerma en aire acumulada (Gy)]],"")</f>
        <v/>
      </c>
    </row>
    <row r="580" spans="1:28">
      <c r="C580" s="155" t="s">
        <v>1088</v>
      </c>
      <c r="D580" s="212" t="s">
        <v>1641</v>
      </c>
      <c r="E580" s="212"/>
      <c r="F580" s="212" t="s">
        <v>1642</v>
      </c>
      <c r="G580" s="212">
        <v>13272657</v>
      </c>
      <c r="H580" s="217">
        <v>44450</v>
      </c>
      <c r="I580" s="212">
        <v>2.9080000000000002E-2</v>
      </c>
      <c r="J580" s="212"/>
      <c r="K580" s="212"/>
      <c r="L580" s="212"/>
      <c r="M580" s="212"/>
      <c r="N580" s="212"/>
      <c r="O580" s="212"/>
      <c r="P580" s="212"/>
      <c r="Q580" s="212"/>
      <c r="R580" s="212"/>
      <c r="S580" s="212"/>
      <c r="T580" s="217">
        <v>28329</v>
      </c>
      <c r="U580" s="212"/>
      <c r="V580" s="212" t="s">
        <v>1193</v>
      </c>
      <c r="W580" s="92" t="str">
        <f t="shared" si="55"/>
        <v>Boore ,Nicholas</v>
      </c>
      <c r="X580" s="95">
        <f t="shared" si="53"/>
        <v>9</v>
      </c>
      <c r="Y580" s="95">
        <f t="shared" si="54"/>
        <v>2021</v>
      </c>
      <c r="Z580" s="103" t="s">
        <v>265</v>
      </c>
      <c r="AA580" t="str">
        <f>IF(Tabla1[[#This Row],[Kerma en aire acumulada (Gy)]]&gt;1,SUMIF(G:G,Tabla1[[#This Row],[SIP]],I:I)-Tabla1[[#This Row],[Kerma en aire acumulada (Gy)]],"")</f>
        <v/>
      </c>
    </row>
    <row r="581" spans="1:28">
      <c r="C581" s="155" t="s">
        <v>1088</v>
      </c>
      <c r="D581" s="212" t="s">
        <v>79</v>
      </c>
      <c r="E581" s="212" t="s">
        <v>960</v>
      </c>
      <c r="F581" s="212" t="s">
        <v>7</v>
      </c>
      <c r="G581" s="212">
        <v>3277645</v>
      </c>
      <c r="H581" s="217">
        <v>44450</v>
      </c>
      <c r="I581" s="212">
        <v>1.3350000000000001E-2</v>
      </c>
      <c r="J581" s="212"/>
      <c r="K581" s="212"/>
      <c r="L581" s="212"/>
      <c r="M581" s="212"/>
      <c r="N581" s="212"/>
      <c r="O581" s="212"/>
      <c r="P581" s="212"/>
      <c r="Q581" s="212"/>
      <c r="R581" s="212"/>
      <c r="S581" s="212"/>
      <c r="T581" s="217">
        <v>20300</v>
      </c>
      <c r="U581" s="212"/>
      <c r="V581" s="212" t="s">
        <v>1643</v>
      </c>
      <c r="W581" s="92" t="str">
        <f t="shared" si="55"/>
        <v>Noguera Lopez,Francisca</v>
      </c>
      <c r="X581" s="95">
        <f t="shared" si="53"/>
        <v>9</v>
      </c>
      <c r="Y581" s="95">
        <f t="shared" si="54"/>
        <v>2021</v>
      </c>
      <c r="Z581" s="103" t="s">
        <v>265</v>
      </c>
      <c r="AA581" t="str">
        <f>IF(Tabla1[[#This Row],[Kerma en aire acumulada (Gy)]]&gt;1,SUMIF(G:G,Tabla1[[#This Row],[SIP]],I:I)-Tabla1[[#This Row],[Kerma en aire acumulada (Gy)]],"")</f>
        <v/>
      </c>
    </row>
    <row r="582" spans="1:28">
      <c r="C582" s="155" t="s">
        <v>1638</v>
      </c>
      <c r="D582" s="212" t="s">
        <v>1639</v>
      </c>
      <c r="E582" s="212" t="s">
        <v>1640</v>
      </c>
      <c r="F582" s="212" t="s">
        <v>88</v>
      </c>
      <c r="G582" s="212">
        <v>2428077</v>
      </c>
      <c r="H582" s="217">
        <v>44451</v>
      </c>
      <c r="I582" s="212">
        <v>0.27945999999999999</v>
      </c>
      <c r="J582" s="212"/>
      <c r="K582" s="212"/>
      <c r="L582" s="212"/>
      <c r="M582" s="212"/>
      <c r="N582" s="212"/>
      <c r="O582" s="212"/>
      <c r="P582" s="212"/>
      <c r="Q582" s="212"/>
      <c r="R582" s="212"/>
      <c r="S582" s="212"/>
      <c r="T582" s="217">
        <v>14006</v>
      </c>
      <c r="U582" s="212"/>
      <c r="V582" s="212" t="s">
        <v>151</v>
      </c>
      <c r="W582" s="92" t="str">
        <f t="shared" si="55"/>
        <v>Zarzo Pitarch,Vicente</v>
      </c>
      <c r="X582" s="95">
        <f t="shared" si="53"/>
        <v>9</v>
      </c>
      <c r="Y582" s="95">
        <f t="shared" si="54"/>
        <v>2021</v>
      </c>
      <c r="Z582" s="103" t="s">
        <v>265</v>
      </c>
      <c r="AA582" t="str">
        <f>IF(Tabla1[[#This Row],[Kerma en aire acumulada (Gy)]]&gt;1,SUMIF(G:G,Tabla1[[#This Row],[SIP]],I:I)-Tabla1[[#This Row],[Kerma en aire acumulada (Gy)]],"")</f>
        <v/>
      </c>
    </row>
    <row r="583" spans="1:28">
      <c r="C583" s="155" t="s">
        <v>1088</v>
      </c>
      <c r="D583" s="202" t="s">
        <v>960</v>
      </c>
      <c r="E583" s="202" t="s">
        <v>15</v>
      </c>
      <c r="F583" s="202" t="s">
        <v>57</v>
      </c>
      <c r="G583" s="202">
        <v>3331838</v>
      </c>
      <c r="H583" s="214">
        <v>44452</v>
      </c>
      <c r="I583" s="202">
        <v>2.2300000000000002E-3</v>
      </c>
      <c r="J583" s="202"/>
      <c r="K583" s="202"/>
      <c r="L583" s="202"/>
      <c r="M583" s="202"/>
      <c r="N583" s="202"/>
      <c r="O583" s="202"/>
      <c r="P583" s="202"/>
      <c r="Q583" s="202"/>
      <c r="R583" s="202"/>
      <c r="S583" s="202"/>
      <c r="T583" s="214">
        <v>19171</v>
      </c>
      <c r="U583" s="202"/>
      <c r="V583" s="202" t="s">
        <v>1300</v>
      </c>
      <c r="W583" s="92" t="str">
        <f t="shared" si="55"/>
        <v>Lopez Moreno,Miguel</v>
      </c>
      <c r="X583" s="95">
        <f t="shared" si="53"/>
        <v>9</v>
      </c>
      <c r="Y583" s="95">
        <f t="shared" si="54"/>
        <v>2021</v>
      </c>
      <c r="Z583" s="103" t="s">
        <v>265</v>
      </c>
      <c r="AA583" t="str">
        <f>IF(Tabla1[[#This Row],[Kerma en aire acumulada (Gy)]]&gt;1,SUMIF(G:G,Tabla1[[#This Row],[SIP]],I:I)-Tabla1[[#This Row],[Kerma en aire acumulada (Gy)]],"")</f>
        <v/>
      </c>
    </row>
    <row r="584" spans="1:28">
      <c r="C584" s="155" t="s">
        <v>1088</v>
      </c>
      <c r="D584" s="202" t="s">
        <v>1628</v>
      </c>
      <c r="E584" s="202"/>
      <c r="F584" s="202" t="s">
        <v>1629</v>
      </c>
      <c r="G584" s="202">
        <v>13280212</v>
      </c>
      <c r="H584" s="214">
        <v>44452</v>
      </c>
      <c r="I584" s="202">
        <v>0.36048000000000002</v>
      </c>
      <c r="J584" s="202"/>
      <c r="K584" s="202"/>
      <c r="L584" s="202"/>
      <c r="M584" s="202"/>
      <c r="N584" s="202"/>
      <c r="O584" s="202"/>
      <c r="P584" s="202"/>
      <c r="Q584" s="202"/>
      <c r="R584" s="202"/>
      <c r="S584" s="202"/>
      <c r="T584" s="214">
        <v>28834</v>
      </c>
      <c r="U584" s="202"/>
      <c r="V584" s="202" t="s">
        <v>1630</v>
      </c>
      <c r="W584" s="92" t="str">
        <f t="shared" si="55"/>
        <v>Kojelyte ,Loreta</v>
      </c>
      <c r="X584" s="95">
        <f t="shared" si="53"/>
        <v>9</v>
      </c>
      <c r="Y584" s="95">
        <f t="shared" si="54"/>
        <v>2021</v>
      </c>
      <c r="Z584" s="103" t="s">
        <v>265</v>
      </c>
      <c r="AA584" t="str">
        <f>IF(Tabla1[[#This Row],[Kerma en aire acumulada (Gy)]]&gt;1,SUMIF(G:G,Tabla1[[#This Row],[SIP]],I:I)-Tabla1[[#This Row],[Kerma en aire acumulada (Gy)]],"")</f>
        <v/>
      </c>
    </row>
    <row r="585" spans="1:28">
      <c r="C585" s="155" t="s">
        <v>1088</v>
      </c>
      <c r="D585" s="212" t="s">
        <v>1632</v>
      </c>
      <c r="E585" s="212" t="s">
        <v>15</v>
      </c>
      <c r="F585" s="212" t="s">
        <v>68</v>
      </c>
      <c r="G585" s="212">
        <v>3265320</v>
      </c>
      <c r="H585" s="217">
        <v>44452</v>
      </c>
      <c r="I585" s="212">
        <v>0.89612999999999998</v>
      </c>
      <c r="J585" s="212"/>
      <c r="K585" s="212"/>
      <c r="L585" s="212"/>
      <c r="M585" s="212"/>
      <c r="N585" s="212"/>
      <c r="O585" s="212"/>
      <c r="P585" s="212"/>
      <c r="Q585" s="212"/>
      <c r="R585" s="212"/>
      <c r="S585" s="212"/>
      <c r="T585" s="217">
        <v>16090</v>
      </c>
      <c r="U585" s="212"/>
      <c r="V585" s="212" t="s">
        <v>1631</v>
      </c>
      <c r="W585" s="92" t="str">
        <f t="shared" si="55"/>
        <v>Cerezo Moreno,Juan</v>
      </c>
      <c r="X585" s="95">
        <f t="shared" si="53"/>
        <v>9</v>
      </c>
      <c r="Y585" s="95">
        <f t="shared" si="54"/>
        <v>2021</v>
      </c>
      <c r="Z585" s="103" t="s">
        <v>265</v>
      </c>
      <c r="AA585" t="str">
        <f>IF(Tabla1[[#This Row],[Kerma en aire acumulada (Gy)]]&gt;1,SUMIF(G:G,Tabla1[[#This Row],[SIP]],I:I)-Tabla1[[#This Row],[Kerma en aire acumulada (Gy)]],"")</f>
        <v/>
      </c>
    </row>
    <row r="586" spans="1:28">
      <c r="C586" s="155" t="s">
        <v>1088</v>
      </c>
      <c r="D586" s="212" t="s">
        <v>1636</v>
      </c>
      <c r="E586" s="212" t="s">
        <v>1637</v>
      </c>
      <c r="F586" s="212" t="s">
        <v>786</v>
      </c>
      <c r="G586" s="212">
        <v>1816644</v>
      </c>
      <c r="H586" s="217">
        <v>44452</v>
      </c>
      <c r="I586" s="212">
        <v>6.5509999999999999E-2</v>
      </c>
      <c r="J586" s="212"/>
      <c r="K586" s="212"/>
      <c r="L586" s="212"/>
      <c r="M586" s="212"/>
      <c r="N586" s="212"/>
      <c r="O586" s="212"/>
      <c r="P586" s="212"/>
      <c r="Q586" s="212"/>
      <c r="R586" s="212"/>
      <c r="S586" s="212"/>
      <c r="T586" s="217">
        <v>19201</v>
      </c>
      <c r="U586" s="212"/>
      <c r="V586" s="212" t="s">
        <v>1589</v>
      </c>
      <c r="W586" s="92" t="str">
        <f t="shared" si="55"/>
        <v>Menero Cerisuelo,Maria Carmen</v>
      </c>
      <c r="X586" s="95">
        <f t="shared" si="53"/>
        <v>9</v>
      </c>
      <c r="Y586" s="95">
        <f t="shared" si="54"/>
        <v>2021</v>
      </c>
      <c r="Z586" s="103" t="s">
        <v>265</v>
      </c>
      <c r="AA586" t="str">
        <f>IF(Tabla1[[#This Row],[Kerma en aire acumulada (Gy)]]&gt;1,SUMIF(G:G,Tabla1[[#This Row],[SIP]],I:I)-Tabla1[[#This Row],[Kerma en aire acumulada (Gy)]],"")</f>
        <v/>
      </c>
    </row>
    <row r="587" spans="1:28">
      <c r="C587" s="155" t="s">
        <v>1088</v>
      </c>
      <c r="D587" s="202" t="s">
        <v>17</v>
      </c>
      <c r="E587" s="202" t="s">
        <v>890</v>
      </c>
      <c r="F587" s="202" t="s">
        <v>798</v>
      </c>
      <c r="G587" s="202">
        <v>3083847</v>
      </c>
      <c r="H587" s="214">
        <v>44453</v>
      </c>
      <c r="I587" s="202">
        <v>1.3129999999999999E-2</v>
      </c>
      <c r="J587" s="202"/>
      <c r="K587" s="202"/>
      <c r="L587" s="202"/>
      <c r="M587" s="202"/>
      <c r="N587" s="202"/>
      <c r="O587" s="202"/>
      <c r="P587" s="202"/>
      <c r="Q587" s="202"/>
      <c r="R587" s="202"/>
      <c r="S587" s="202"/>
      <c r="T587" s="214">
        <v>28705</v>
      </c>
      <c r="U587" s="202"/>
      <c r="V587" s="202" t="s">
        <v>1624</v>
      </c>
      <c r="W587" s="92" t="str">
        <f t="shared" si="55"/>
        <v>Vicent Belenguer,Ana</v>
      </c>
      <c r="X587" s="95">
        <f t="shared" si="53"/>
        <v>9</v>
      </c>
      <c r="Y587" s="95">
        <f t="shared" si="54"/>
        <v>2021</v>
      </c>
      <c r="Z587" s="103" t="s">
        <v>265</v>
      </c>
      <c r="AA587" t="str">
        <f>IF(Tabla1[[#This Row],[Kerma en aire acumulada (Gy)]]&gt;1,SUMIF(G:G,Tabla1[[#This Row],[SIP]],I:I)-Tabla1[[#This Row],[Kerma en aire acumulada (Gy)]],"")</f>
        <v/>
      </c>
    </row>
    <row r="588" spans="1:28">
      <c r="C588" s="155" t="s">
        <v>1088</v>
      </c>
      <c r="D588" s="202" t="s">
        <v>1004</v>
      </c>
      <c r="E588" s="202" t="s">
        <v>1005</v>
      </c>
      <c r="F588" s="202" t="s">
        <v>1006</v>
      </c>
      <c r="G588" s="202">
        <v>3099120</v>
      </c>
      <c r="H588" s="214">
        <v>44453</v>
      </c>
      <c r="I588" s="202">
        <v>2.3720000000000001E-2</v>
      </c>
      <c r="J588" s="202"/>
      <c r="K588" s="202"/>
      <c r="L588" s="202"/>
      <c r="M588" s="202"/>
      <c r="N588" s="202"/>
      <c r="O588" s="202"/>
      <c r="P588" s="202"/>
      <c r="Q588" s="202"/>
      <c r="R588" s="202"/>
      <c r="S588" s="202"/>
      <c r="T588" s="214">
        <v>24333</v>
      </c>
      <c r="U588" s="202"/>
      <c r="V588" s="202" t="s">
        <v>1589</v>
      </c>
      <c r="W588" s="92" t="str">
        <f t="shared" si="55"/>
        <v>Pinter Pla,Victoria</v>
      </c>
      <c r="X588" s="95">
        <f t="shared" si="53"/>
        <v>9</v>
      </c>
      <c r="Y588" s="95">
        <f t="shared" si="54"/>
        <v>2021</v>
      </c>
      <c r="Z588" s="103" t="s">
        <v>265</v>
      </c>
      <c r="AA588" t="str">
        <f>IF(Tabla1[[#This Row],[Kerma en aire acumulada (Gy)]]&gt;1,SUMIF(G:G,Tabla1[[#This Row],[SIP]],I:I)-Tabla1[[#This Row],[Kerma en aire acumulada (Gy)]],"")</f>
        <v/>
      </c>
    </row>
    <row r="589" spans="1:28">
      <c r="C589" s="155" t="s">
        <v>1088</v>
      </c>
      <c r="D589" s="202" t="s">
        <v>1625</v>
      </c>
      <c r="E589" s="202" t="s">
        <v>1626</v>
      </c>
      <c r="F589" s="202" t="s">
        <v>1627</v>
      </c>
      <c r="G589" s="202">
        <v>2852078</v>
      </c>
      <c r="H589" s="214">
        <v>44453</v>
      </c>
      <c r="I589" s="202">
        <v>3.46E-3</v>
      </c>
      <c r="J589" s="202"/>
      <c r="K589" s="202"/>
      <c r="L589" s="202"/>
      <c r="M589" s="202"/>
      <c r="N589" s="202"/>
      <c r="O589" s="202"/>
      <c r="P589" s="202"/>
      <c r="Q589" s="202"/>
      <c r="R589" s="202"/>
      <c r="S589" s="202"/>
      <c r="T589" s="214">
        <v>14320</v>
      </c>
      <c r="U589" s="202"/>
      <c r="V589" s="202" t="s">
        <v>1274</v>
      </c>
      <c r="W589" s="92" t="str">
        <f t="shared" si="55"/>
        <v>Banacloche Sancho,Leonardo</v>
      </c>
      <c r="X589" s="95">
        <f t="shared" si="53"/>
        <v>9</v>
      </c>
      <c r="Y589" s="95">
        <f t="shared" si="54"/>
        <v>2021</v>
      </c>
      <c r="Z589" s="103" t="s">
        <v>265</v>
      </c>
      <c r="AA589" t="str">
        <f>IF(Tabla1[[#This Row],[Kerma en aire acumulada (Gy)]]&gt;1,SUMIF(G:G,Tabla1[[#This Row],[SIP]],I:I)-Tabla1[[#This Row],[Kerma en aire acumulada (Gy)]],"")</f>
        <v/>
      </c>
    </row>
    <row r="590" spans="1:28" ht="15.75" thickBot="1">
      <c r="C590" s="166" t="s">
        <v>1088</v>
      </c>
      <c r="D590" s="209" t="s">
        <v>1068</v>
      </c>
      <c r="E590" s="209" t="s">
        <v>319</v>
      </c>
      <c r="F590" s="209" t="s">
        <v>88</v>
      </c>
      <c r="G590" s="209">
        <v>2968897</v>
      </c>
      <c r="H590" s="216">
        <v>44453</v>
      </c>
      <c r="I590" s="209">
        <v>0.13753000000000001</v>
      </c>
      <c r="J590" s="209"/>
      <c r="K590" s="209"/>
      <c r="L590" s="209"/>
      <c r="M590" s="209"/>
      <c r="N590" s="209"/>
      <c r="O590" s="209"/>
      <c r="P590" s="209"/>
      <c r="Q590" s="209"/>
      <c r="R590" s="209"/>
      <c r="S590" s="209"/>
      <c r="T590" s="216">
        <v>24000</v>
      </c>
      <c r="U590" s="181"/>
      <c r="V590" s="181" t="s">
        <v>128</v>
      </c>
      <c r="W590" s="162" t="str">
        <f t="shared" si="55"/>
        <v>Riera Gonzalez,Vicente</v>
      </c>
      <c r="X590" s="163">
        <f t="shared" si="53"/>
        <v>9</v>
      </c>
      <c r="Y590" s="163">
        <f t="shared" si="54"/>
        <v>2021</v>
      </c>
      <c r="Z590" s="186" t="s">
        <v>265</v>
      </c>
      <c r="AA590" t="str">
        <f>IF(Tabla1[[#This Row],[Kerma en aire acumulada (Gy)]]&gt;1,SUMIF(G:G,Tabla1[[#This Row],[SIP]],I:I)-Tabla1[[#This Row],[Kerma en aire acumulada (Gy)]],"")</f>
        <v/>
      </c>
      <c r="AB590" s="8" t="str">
        <f>CONCATENATE(F594,$A$591,D594,$A$591,E594)</f>
        <v>Jose Luis Coll Moscardo</v>
      </c>
    </row>
    <row r="591" spans="1:28">
      <c r="A591" t="s">
        <v>190</v>
      </c>
      <c r="C591" s="155" t="s">
        <v>1088</v>
      </c>
      <c r="D591" s="202" t="s">
        <v>169</v>
      </c>
      <c r="E591" s="202" t="s">
        <v>1623</v>
      </c>
      <c r="F591" s="202" t="s">
        <v>83</v>
      </c>
      <c r="G591" s="202">
        <v>2356730</v>
      </c>
      <c r="H591" s="214">
        <v>44454</v>
      </c>
      <c r="I591" s="202">
        <v>5.1000000000000004E-4</v>
      </c>
      <c r="J591" s="202"/>
      <c r="K591" s="202"/>
      <c r="L591" s="202"/>
      <c r="M591" s="202"/>
      <c r="N591" s="202"/>
      <c r="O591" s="202"/>
      <c r="P591" s="202"/>
      <c r="Q591" s="202"/>
      <c r="R591" s="202"/>
      <c r="S591" s="202"/>
      <c r="T591" s="214">
        <v>24660</v>
      </c>
      <c r="U591" s="202"/>
      <c r="V591" s="202" t="s">
        <v>1300</v>
      </c>
      <c r="W591" s="158" t="str">
        <f t="shared" si="55"/>
        <v>Valero Aguado,Francisco</v>
      </c>
      <c r="X591" s="154">
        <f t="shared" si="53"/>
        <v>9</v>
      </c>
      <c r="Y591" s="154">
        <f t="shared" si="54"/>
        <v>2021</v>
      </c>
      <c r="Z591" s="204" t="s">
        <v>265</v>
      </c>
      <c r="AA591" t="str">
        <f>IF(Tabla1[[#This Row],[Kerma en aire acumulada (Gy)]]&gt;1,SUMIF(G:G,Tabla1[[#This Row],[SIP]],I:I)-Tabla1[[#This Row],[Kerma en aire acumulada (Gy)]],"")</f>
        <v/>
      </c>
      <c r="AB591" s="8" t="str">
        <f>CONCATENATE(F595,$A$591,D595,$A$591,E595)</f>
        <v>Luisa Emilia Rojas De Torres</v>
      </c>
    </row>
    <row r="592" spans="1:28">
      <c r="C592" s="94" t="s">
        <v>1088</v>
      </c>
      <c r="D592" s="90" t="s">
        <v>1634</v>
      </c>
      <c r="E592" s="90" t="s">
        <v>964</v>
      </c>
      <c r="F592" s="90" t="s">
        <v>965</v>
      </c>
      <c r="G592" s="90">
        <v>1857041</v>
      </c>
      <c r="H592" s="91">
        <v>44454</v>
      </c>
      <c r="I592" s="90">
        <v>0.20297000000000001</v>
      </c>
      <c r="J592" s="90"/>
      <c r="K592" s="90"/>
      <c r="L592" s="90"/>
      <c r="M592" s="90"/>
      <c r="N592" s="90"/>
      <c r="O592" s="90"/>
      <c r="P592" s="90"/>
      <c r="Q592" s="90"/>
      <c r="R592" s="90"/>
      <c r="S592" s="90"/>
      <c r="T592" s="91">
        <v>15370</v>
      </c>
      <c r="U592" s="90"/>
      <c r="V592" s="90" t="s">
        <v>1635</v>
      </c>
      <c r="W592" s="92" t="str">
        <f t="shared" si="55"/>
        <v>Navarro  San Bautista,Juan Bautista</v>
      </c>
      <c r="X592" s="95">
        <f t="shared" si="53"/>
        <v>9</v>
      </c>
      <c r="Y592" s="95">
        <f t="shared" si="54"/>
        <v>2021</v>
      </c>
      <c r="Z592" s="103" t="s">
        <v>265</v>
      </c>
      <c r="AA592" t="str">
        <f>IF(Tabla1[[#This Row],[Kerma en aire acumulada (Gy)]]&gt;1,SUMIF(G:G,Tabla1[[#This Row],[SIP]],I:I)-Tabla1[[#This Row],[Kerma en aire acumulada (Gy)]],"")</f>
        <v/>
      </c>
      <c r="AB592" s="8" t="str">
        <f>CONCATENATE(F596,$A$591,D596,$A$591,E596)</f>
        <v>Francisco Tortajada Salazar</v>
      </c>
    </row>
    <row r="593" spans="3:28">
      <c r="C593" s="94" t="s">
        <v>1088</v>
      </c>
      <c r="D593" s="90" t="s">
        <v>1620</v>
      </c>
      <c r="E593" s="90" t="s">
        <v>1616</v>
      </c>
      <c r="F593" s="90" t="s">
        <v>1621</v>
      </c>
      <c r="G593" s="90">
        <v>2249869</v>
      </c>
      <c r="H593" s="91">
        <v>44454</v>
      </c>
      <c r="I593" s="90">
        <v>1.9959999999999999E-2</v>
      </c>
      <c r="J593" s="90"/>
      <c r="K593" s="90"/>
      <c r="L593" s="90"/>
      <c r="M593" s="90"/>
      <c r="N593" s="90"/>
      <c r="O593" s="90"/>
      <c r="P593" s="90"/>
      <c r="Q593" s="90"/>
      <c r="R593" s="90"/>
      <c r="S593" s="90"/>
      <c r="T593" s="91">
        <v>17818</v>
      </c>
      <c r="U593" s="90"/>
      <c r="V593" s="90" t="s">
        <v>1622</v>
      </c>
      <c r="W593" s="92" t="str">
        <f t="shared" si="55"/>
        <v>Jarque Tortajada,Ramon</v>
      </c>
      <c r="X593" s="95">
        <f t="shared" si="53"/>
        <v>9</v>
      </c>
      <c r="Y593" s="95">
        <f t="shared" si="54"/>
        <v>2021</v>
      </c>
      <c r="Z593" s="103" t="s">
        <v>265</v>
      </c>
      <c r="AA593" t="str">
        <f>IF(Tabla1[[#This Row],[Kerma en aire acumulada (Gy)]]&gt;1,SUMIF(G:G,Tabla1[[#This Row],[SIP]],I:I)-Tabla1[[#This Row],[Kerma en aire acumulada (Gy)]],"")</f>
        <v/>
      </c>
      <c r="AB593" s="8"/>
    </row>
    <row r="594" spans="3:28">
      <c r="C594" s="94" t="s">
        <v>1088</v>
      </c>
      <c r="D594" s="90" t="s">
        <v>784</v>
      </c>
      <c r="E594" s="90" t="s">
        <v>723</v>
      </c>
      <c r="F594" s="90" t="s">
        <v>1104</v>
      </c>
      <c r="G594" s="90">
        <v>2268610</v>
      </c>
      <c r="H594" s="91">
        <v>44454</v>
      </c>
      <c r="I594" s="90">
        <v>7.17E-2</v>
      </c>
      <c r="J594" s="90"/>
      <c r="K594" s="90"/>
      <c r="L594" s="90"/>
      <c r="M594" s="90"/>
      <c r="N594" s="90"/>
      <c r="O594" s="90"/>
      <c r="P594" s="90"/>
      <c r="Q594" s="90"/>
      <c r="R594" s="90"/>
      <c r="S594" s="90"/>
      <c r="T594" s="91">
        <v>19246</v>
      </c>
      <c r="U594" s="90"/>
      <c r="V594" s="90" t="s">
        <v>503</v>
      </c>
      <c r="W594" s="92" t="str">
        <f t="shared" si="55"/>
        <v>Coll Moscardo,Jose Luis</v>
      </c>
      <c r="X594" s="95">
        <f t="shared" si="53"/>
        <v>9</v>
      </c>
      <c r="Y594" s="95">
        <f t="shared" si="54"/>
        <v>2021</v>
      </c>
      <c r="Z594" s="103" t="s">
        <v>265</v>
      </c>
      <c r="AA594" t="str">
        <f>IF(Tabla1[[#This Row],[Kerma en aire acumulada (Gy)]]&gt;1,SUMIF(G:G,Tabla1[[#This Row],[SIP]],I:I)-Tabla1[[#This Row],[Kerma en aire acumulada (Gy)]],"")</f>
        <v/>
      </c>
      <c r="AB594" s="8"/>
    </row>
    <row r="595" spans="3:28">
      <c r="C595" s="94" t="s">
        <v>1088</v>
      </c>
      <c r="D595" s="131" t="s">
        <v>1648</v>
      </c>
      <c r="E595" s="131" t="s">
        <v>1649</v>
      </c>
      <c r="F595" s="131" t="s">
        <v>1650</v>
      </c>
      <c r="G595" s="131">
        <v>12860498</v>
      </c>
      <c r="H595" s="132">
        <v>44454</v>
      </c>
      <c r="I595" s="131">
        <v>2.4802399999999998</v>
      </c>
      <c r="J595" s="131"/>
      <c r="K595" s="131"/>
      <c r="L595" s="131"/>
      <c r="M595" s="131"/>
      <c r="N595" s="131"/>
      <c r="O595" s="131"/>
      <c r="P595" s="131"/>
      <c r="Q595" s="131"/>
      <c r="R595" s="131"/>
      <c r="S595" s="131"/>
      <c r="T595" s="132">
        <v>21293</v>
      </c>
      <c r="U595" s="131"/>
      <c r="V595" s="131" t="s">
        <v>1651</v>
      </c>
      <c r="W595" s="92" t="str">
        <f t="shared" si="55"/>
        <v>Rojas De Torres,Luisa Emilia</v>
      </c>
      <c r="X595" s="95">
        <f t="shared" si="53"/>
        <v>9</v>
      </c>
      <c r="Y595" s="95">
        <f t="shared" si="54"/>
        <v>2021</v>
      </c>
      <c r="Z595" s="133"/>
      <c r="AA595">
        <f>IF(Tabla1[[#This Row],[Kerma en aire acumulada (Gy)]]&gt;1,SUMIF(G:G,Tabla1[[#This Row],[SIP]],I:I)-Tabla1[[#This Row],[Kerma en aire acumulada (Gy)]],"")</f>
        <v>0</v>
      </c>
      <c r="AB595" s="8"/>
    </row>
    <row r="596" spans="3:28">
      <c r="C596" s="94" t="s">
        <v>1088</v>
      </c>
      <c r="D596" s="90" t="s">
        <v>1616</v>
      </c>
      <c r="E596" s="90" t="s">
        <v>916</v>
      </c>
      <c r="F596" s="90" t="s">
        <v>83</v>
      </c>
      <c r="G596" s="90">
        <v>2287162</v>
      </c>
      <c r="H596" s="91">
        <v>44455</v>
      </c>
      <c r="I596" s="90">
        <v>4.8579999999999998E-2</v>
      </c>
      <c r="J596" s="90"/>
      <c r="K596" s="90"/>
      <c r="L596" s="90"/>
      <c r="M596" s="90"/>
      <c r="N596" s="90"/>
      <c r="O596" s="90"/>
      <c r="P596" s="90"/>
      <c r="Q596" s="90"/>
      <c r="R596" s="90"/>
      <c r="S596" s="90"/>
      <c r="T596" s="91">
        <v>28776</v>
      </c>
      <c r="U596" s="90"/>
      <c r="V596" s="90" t="s">
        <v>502</v>
      </c>
      <c r="W596" s="92" t="str">
        <f t="shared" si="55"/>
        <v>Tortajada Salazar,Francisco</v>
      </c>
      <c r="X596" s="95">
        <f t="shared" si="53"/>
        <v>9</v>
      </c>
      <c r="Y596" s="95">
        <f t="shared" si="54"/>
        <v>2021</v>
      </c>
      <c r="Z596" s="103" t="s">
        <v>265</v>
      </c>
      <c r="AA596" t="str">
        <f>IF(Tabla1[[#This Row],[Kerma en aire acumulada (Gy)]]&gt;1,SUMIF(G:G,Tabla1[[#This Row],[SIP]],I:I)-Tabla1[[#This Row],[Kerma en aire acumulada (Gy)]],"")</f>
        <v/>
      </c>
      <c r="AB596" s="8"/>
    </row>
    <row r="597" spans="3:28">
      <c r="C597" s="94" t="s">
        <v>1088</v>
      </c>
      <c r="D597" s="90" t="s">
        <v>1618</v>
      </c>
      <c r="E597" s="90" t="s">
        <v>1619</v>
      </c>
      <c r="F597" s="90" t="s">
        <v>1155</v>
      </c>
      <c r="G597" s="90">
        <v>3402878</v>
      </c>
      <c r="H597" s="91">
        <v>44455</v>
      </c>
      <c r="I597" s="90">
        <v>1.6999999999999999E-3</v>
      </c>
      <c r="J597" s="90"/>
      <c r="K597" s="90"/>
      <c r="L597" s="90"/>
      <c r="M597" s="90"/>
      <c r="N597" s="90"/>
      <c r="O597" s="90"/>
      <c r="P597" s="90"/>
      <c r="Q597" s="90"/>
      <c r="R597" s="90"/>
      <c r="S597" s="90"/>
      <c r="T597" s="91">
        <v>29706</v>
      </c>
      <c r="U597" s="90"/>
      <c r="V597" s="90" t="s">
        <v>1300</v>
      </c>
      <c r="W597" s="92" t="str">
        <f t="shared" si="55"/>
        <v>Ruiz  Arana,Maria</v>
      </c>
      <c r="X597" s="95">
        <f t="shared" ref="X597:X660" si="56">MONTH(H597)</f>
        <v>9</v>
      </c>
      <c r="Y597" s="95">
        <f t="shared" ref="Y597:Y660" si="57">YEAR(H597)</f>
        <v>2021</v>
      </c>
      <c r="Z597" s="103" t="s">
        <v>265</v>
      </c>
      <c r="AA597" t="str">
        <f>IF(Tabla1[[#This Row],[Kerma en aire acumulada (Gy)]]&gt;1,SUMIF(G:G,Tabla1[[#This Row],[SIP]],I:I)-Tabla1[[#This Row],[Kerma en aire acumulada (Gy)]],"")</f>
        <v/>
      </c>
      <c r="AB597" s="8"/>
    </row>
    <row r="598" spans="3:28">
      <c r="C598" s="94" t="s">
        <v>1088</v>
      </c>
      <c r="D598" s="90" t="s">
        <v>1632</v>
      </c>
      <c r="E598" s="90" t="s">
        <v>15</v>
      </c>
      <c r="F598" s="90" t="s">
        <v>68</v>
      </c>
      <c r="G598" s="90">
        <v>3265320</v>
      </c>
      <c r="H598" s="91">
        <v>44455</v>
      </c>
      <c r="I598" s="90">
        <v>2.42733</v>
      </c>
      <c r="J598" s="90"/>
      <c r="K598" s="90"/>
      <c r="L598" s="90"/>
      <c r="M598" s="90"/>
      <c r="N598" s="90"/>
      <c r="O598" s="90"/>
      <c r="P598" s="90"/>
      <c r="Q598" s="90"/>
      <c r="R598" s="90"/>
      <c r="S598" s="90"/>
      <c r="T598" s="91">
        <v>16090</v>
      </c>
      <c r="U598" s="90"/>
      <c r="V598" s="90" t="s">
        <v>1633</v>
      </c>
      <c r="W598" s="92" t="str">
        <f t="shared" si="55"/>
        <v>Cerezo Moreno,Juan</v>
      </c>
      <c r="X598" s="95">
        <f t="shared" si="56"/>
        <v>9</v>
      </c>
      <c r="Y598" s="95">
        <f t="shared" si="57"/>
        <v>2021</v>
      </c>
      <c r="Z598" s="103" t="s">
        <v>265</v>
      </c>
      <c r="AA598">
        <f>IF(Tabla1[[#This Row],[Kerma en aire acumulada (Gy)]]&gt;1,SUMIF(G:G,Tabla1[[#This Row],[SIP]],I:I)-Tabla1[[#This Row],[Kerma en aire acumulada (Gy)]],"")</f>
        <v>0.89612999999999987</v>
      </c>
      <c r="AB598" s="8"/>
    </row>
    <row r="599" spans="3:28">
      <c r="C599" s="94" t="s">
        <v>1088</v>
      </c>
      <c r="D599" s="90" t="s">
        <v>1617</v>
      </c>
      <c r="E599" s="90" t="s">
        <v>663</v>
      </c>
      <c r="F599" s="90" t="s">
        <v>991</v>
      </c>
      <c r="G599" s="90">
        <v>2399517</v>
      </c>
      <c r="H599" s="91">
        <v>44455</v>
      </c>
      <c r="I599" s="90">
        <v>0.13919000000000001</v>
      </c>
      <c r="J599" s="90"/>
      <c r="K599" s="90"/>
      <c r="L599" s="90"/>
      <c r="M599" s="90"/>
      <c r="N599" s="90"/>
      <c r="O599" s="90"/>
      <c r="P599" s="90"/>
      <c r="Q599" s="90"/>
      <c r="R599" s="90"/>
      <c r="S599" s="90"/>
      <c r="T599" s="91">
        <v>19132</v>
      </c>
      <c r="U599" s="90"/>
      <c r="V599" s="90" t="s">
        <v>1274</v>
      </c>
      <c r="W599" s="92" t="str">
        <f t="shared" si="55"/>
        <v>Adrian Sanchis,Jose</v>
      </c>
      <c r="X599" s="95">
        <f t="shared" si="56"/>
        <v>9</v>
      </c>
      <c r="Y599" s="95">
        <f t="shared" si="57"/>
        <v>2021</v>
      </c>
      <c r="Z599" s="103" t="s">
        <v>265</v>
      </c>
      <c r="AA599" t="str">
        <f>IF(Tabla1[[#This Row],[Kerma en aire acumulada (Gy)]]&gt;1,SUMIF(G:G,Tabla1[[#This Row],[SIP]],I:I)-Tabla1[[#This Row],[Kerma en aire acumulada (Gy)]],"")</f>
        <v/>
      </c>
      <c r="AB599" s="8"/>
    </row>
    <row r="600" spans="3:28">
      <c r="C600" s="94" t="s">
        <v>1088</v>
      </c>
      <c r="D600" s="90" t="s">
        <v>737</v>
      </c>
      <c r="E600" s="90" t="s">
        <v>960</v>
      </c>
      <c r="F600" s="90" t="s">
        <v>861</v>
      </c>
      <c r="G600" s="90">
        <v>12902693</v>
      </c>
      <c r="H600" s="91">
        <v>44456</v>
      </c>
      <c r="I600" s="90">
        <v>2.862E-2</v>
      </c>
      <c r="J600" s="90"/>
      <c r="K600" s="90"/>
      <c r="L600" s="90"/>
      <c r="M600" s="90"/>
      <c r="N600" s="90"/>
      <c r="O600" s="90"/>
      <c r="P600" s="90"/>
      <c r="Q600" s="90"/>
      <c r="R600" s="90"/>
      <c r="S600" s="90"/>
      <c r="T600" s="91">
        <v>24789</v>
      </c>
      <c r="U600" s="90"/>
      <c r="V600" s="90" t="s">
        <v>1631</v>
      </c>
      <c r="W600" s="92" t="str">
        <f t="shared" si="55"/>
        <v>Mora Lopez,Juan Carlos</v>
      </c>
      <c r="X600" s="95">
        <f t="shared" si="56"/>
        <v>9</v>
      </c>
      <c r="Y600" s="95">
        <f t="shared" si="57"/>
        <v>2021</v>
      </c>
      <c r="Z600" s="103" t="s">
        <v>265</v>
      </c>
      <c r="AA600" t="str">
        <f>IF(Tabla1[[#This Row],[Kerma en aire acumulada (Gy)]]&gt;1,SUMIF(G:G,Tabla1[[#This Row],[SIP]],I:I)-Tabla1[[#This Row],[Kerma en aire acumulada (Gy)]],"")</f>
        <v/>
      </c>
      <c r="AB600" s="8"/>
    </row>
    <row r="601" spans="3:28">
      <c r="C601" s="94" t="s">
        <v>1088</v>
      </c>
      <c r="D601" s="131" t="s">
        <v>1614</v>
      </c>
      <c r="E601" s="131" t="s">
        <v>319</v>
      </c>
      <c r="F601" s="131" t="s">
        <v>1615</v>
      </c>
      <c r="G601" s="131">
        <v>11834456</v>
      </c>
      <c r="H601" s="132">
        <v>44456</v>
      </c>
      <c r="I601" s="131">
        <v>1.15E-3</v>
      </c>
      <c r="J601" s="131"/>
      <c r="K601" s="131"/>
      <c r="L601" s="131"/>
      <c r="M601" s="131"/>
      <c r="N601" s="131"/>
      <c r="O601" s="131"/>
      <c r="P601" s="131"/>
      <c r="Q601" s="131"/>
      <c r="R601" s="131"/>
      <c r="S601" s="131"/>
      <c r="T601" s="132">
        <v>30069</v>
      </c>
      <c r="U601" s="131"/>
      <c r="V601" s="131" t="s">
        <v>1274</v>
      </c>
      <c r="W601" s="92" t="str">
        <f t="shared" si="55"/>
        <v>Higueras Gonzalez,Julio Antonio</v>
      </c>
      <c r="X601" s="95">
        <f t="shared" si="56"/>
        <v>9</v>
      </c>
      <c r="Y601" s="95">
        <f t="shared" si="57"/>
        <v>2021</v>
      </c>
      <c r="Z601" s="103" t="s">
        <v>265</v>
      </c>
      <c r="AA601" t="str">
        <f>IF(Tabla1[[#This Row],[Kerma en aire acumulada (Gy)]]&gt;1,SUMIF(G:G,Tabla1[[#This Row],[SIP]],I:I)-Tabla1[[#This Row],[Kerma en aire acumulada (Gy)]],"")</f>
        <v/>
      </c>
      <c r="AB601" s="8"/>
    </row>
    <row r="602" spans="3:28">
      <c r="C602" s="94" t="s">
        <v>1088</v>
      </c>
      <c r="D602" s="134" t="s">
        <v>921</v>
      </c>
      <c r="E602" s="134" t="s">
        <v>948</v>
      </c>
      <c r="F602" s="134" t="s">
        <v>356</v>
      </c>
      <c r="G602" s="134">
        <v>1870825</v>
      </c>
      <c r="H602" s="135">
        <v>44459</v>
      </c>
      <c r="I602" s="134">
        <v>1.1E-4</v>
      </c>
      <c r="J602" s="134"/>
      <c r="K602" s="134"/>
      <c r="L602" s="134"/>
      <c r="M602" s="134"/>
      <c r="N602" s="134"/>
      <c r="O602" s="134"/>
      <c r="P602" s="134"/>
      <c r="Q602" s="134"/>
      <c r="R602" s="134"/>
      <c r="S602" s="134"/>
      <c r="T602" s="135">
        <v>24095</v>
      </c>
      <c r="U602" s="134"/>
      <c r="V602" s="134" t="s">
        <v>1300</v>
      </c>
      <c r="W602" s="92" t="str">
        <f t="shared" si="55"/>
        <v>Mateu Martinez,Manuel</v>
      </c>
      <c r="X602" s="95">
        <f t="shared" si="56"/>
        <v>9</v>
      </c>
      <c r="Y602" s="95">
        <f t="shared" si="57"/>
        <v>2021</v>
      </c>
      <c r="Z602" s="103" t="s">
        <v>265</v>
      </c>
      <c r="AA602" t="str">
        <f>IF(Tabla1[[#This Row],[Kerma en aire acumulada (Gy)]]&gt;1,SUMIF(G:G,Tabla1[[#This Row],[SIP]],I:I)-Tabla1[[#This Row],[Kerma en aire acumulada (Gy)]],"")</f>
        <v/>
      </c>
      <c r="AB602" s="8"/>
    </row>
    <row r="603" spans="3:28">
      <c r="C603" s="94" t="s">
        <v>1088</v>
      </c>
      <c r="D603" s="134" t="s">
        <v>1672</v>
      </c>
      <c r="E603" s="134" t="s">
        <v>156</v>
      </c>
      <c r="F603" s="134" t="s">
        <v>1673</v>
      </c>
      <c r="G603" s="134">
        <v>3124549</v>
      </c>
      <c r="H603" s="135">
        <v>44459</v>
      </c>
      <c r="I603" s="134">
        <v>0.94977</v>
      </c>
      <c r="J603" s="134"/>
      <c r="K603" s="134"/>
      <c r="L603" s="134"/>
      <c r="M603" s="134"/>
      <c r="N603" s="134"/>
      <c r="O603" s="134"/>
      <c r="P603" s="134"/>
      <c r="Q603" s="134"/>
      <c r="R603" s="134"/>
      <c r="S603" s="134"/>
      <c r="T603" s="135">
        <v>13685</v>
      </c>
      <c r="U603" s="134"/>
      <c r="V603" s="134" t="s">
        <v>118</v>
      </c>
      <c r="W603" s="92" t="str">
        <f t="shared" si="55"/>
        <v>Lazaro Pastor,Aurora</v>
      </c>
      <c r="X603" s="95">
        <f t="shared" si="56"/>
        <v>9</v>
      </c>
      <c r="Y603" s="95">
        <f t="shared" si="57"/>
        <v>2021</v>
      </c>
      <c r="Z603" s="103" t="s">
        <v>265</v>
      </c>
      <c r="AA603" t="str">
        <f>IF(Tabla1[[#This Row],[Kerma en aire acumulada (Gy)]]&gt;1,SUMIF(G:G,Tabla1[[#This Row],[SIP]],I:I)-Tabla1[[#This Row],[Kerma en aire acumulada (Gy)]],"")</f>
        <v/>
      </c>
      <c r="AB603" s="8"/>
    </row>
    <row r="604" spans="3:28">
      <c r="C604" s="94" t="s">
        <v>1088</v>
      </c>
      <c r="D604" s="134" t="s">
        <v>726</v>
      </c>
      <c r="E604" s="134" t="s">
        <v>1609</v>
      </c>
      <c r="F604" s="134" t="s">
        <v>88</v>
      </c>
      <c r="G604" s="134">
        <v>2905267</v>
      </c>
      <c r="H604" s="135">
        <v>44459</v>
      </c>
      <c r="I604" s="134">
        <v>0.57469000000000003</v>
      </c>
      <c r="J604" s="134"/>
      <c r="K604" s="134"/>
      <c r="L604" s="134"/>
      <c r="M604" s="134"/>
      <c r="N604" s="134"/>
      <c r="O604" s="134"/>
      <c r="P604" s="134"/>
      <c r="Q604" s="134"/>
      <c r="R604" s="134"/>
      <c r="S604" s="134"/>
      <c r="T604" s="135">
        <v>20972</v>
      </c>
      <c r="U604" s="134"/>
      <c r="V604" s="134" t="s">
        <v>1674</v>
      </c>
      <c r="W604" s="92" t="str">
        <f t="shared" si="55"/>
        <v>Ballesteros Briz,Vicente</v>
      </c>
      <c r="X604" s="95">
        <f t="shared" si="56"/>
        <v>9</v>
      </c>
      <c r="Y604" s="95">
        <f t="shared" si="57"/>
        <v>2021</v>
      </c>
      <c r="Z604" s="103" t="s">
        <v>265</v>
      </c>
      <c r="AA604" t="str">
        <f>IF(Tabla1[[#This Row],[Kerma en aire acumulada (Gy)]]&gt;1,SUMIF(G:G,Tabla1[[#This Row],[SIP]],I:I)-Tabla1[[#This Row],[Kerma en aire acumulada (Gy)]],"")</f>
        <v/>
      </c>
      <c r="AB604" s="8"/>
    </row>
    <row r="605" spans="3:28">
      <c r="C605" s="94" t="s">
        <v>1088</v>
      </c>
      <c r="D605" s="134" t="s">
        <v>962</v>
      </c>
      <c r="E605" s="134" t="s">
        <v>1169</v>
      </c>
      <c r="F605" s="134" t="s">
        <v>1675</v>
      </c>
      <c r="G605" s="134">
        <v>3729226</v>
      </c>
      <c r="H605" s="135">
        <v>44459</v>
      </c>
      <c r="I605" s="134">
        <v>4.3800000000000002E-3</v>
      </c>
      <c r="J605" s="134"/>
      <c r="K605" s="134"/>
      <c r="L605" s="134"/>
      <c r="M605" s="134"/>
      <c r="N605" s="134"/>
      <c r="O605" s="134"/>
      <c r="P605" s="134"/>
      <c r="Q605" s="134"/>
      <c r="R605" s="134"/>
      <c r="S605" s="134"/>
      <c r="T605" s="135">
        <v>19049</v>
      </c>
      <c r="U605" s="134"/>
      <c r="V605" s="134" t="s">
        <v>1300</v>
      </c>
      <c r="W605" s="92" t="str">
        <f t="shared" si="55"/>
        <v>Garcia Planells,Africa</v>
      </c>
      <c r="X605" s="95">
        <f t="shared" si="56"/>
        <v>9</v>
      </c>
      <c r="Y605" s="95">
        <f t="shared" si="57"/>
        <v>2021</v>
      </c>
      <c r="Z605" s="103" t="s">
        <v>265</v>
      </c>
      <c r="AA605" t="str">
        <f>IF(Tabla1[[#This Row],[Kerma en aire acumulada (Gy)]]&gt;1,SUMIF(G:G,Tabla1[[#This Row],[SIP]],I:I)-Tabla1[[#This Row],[Kerma en aire acumulada (Gy)]],"")</f>
        <v/>
      </c>
      <c r="AB605" s="8"/>
    </row>
    <row r="606" spans="3:28">
      <c r="C606" s="94" t="s">
        <v>1088</v>
      </c>
      <c r="D606" s="134" t="s">
        <v>1060</v>
      </c>
      <c r="E606" s="134" t="s">
        <v>1676</v>
      </c>
      <c r="F606" s="134" t="s">
        <v>1099</v>
      </c>
      <c r="G606" s="134">
        <v>4121070</v>
      </c>
      <c r="H606" s="135">
        <v>44459</v>
      </c>
      <c r="I606" s="134">
        <v>0.50243000000000004</v>
      </c>
      <c r="J606" s="134"/>
      <c r="K606" s="134"/>
      <c r="L606" s="134"/>
      <c r="M606" s="134"/>
      <c r="N606" s="134"/>
      <c r="O606" s="134"/>
      <c r="P606" s="134"/>
      <c r="Q606" s="134"/>
      <c r="R606" s="134"/>
      <c r="S606" s="134"/>
      <c r="T606" s="135">
        <v>24841</v>
      </c>
      <c r="U606" s="134"/>
      <c r="V606" s="134" t="s">
        <v>128</v>
      </c>
      <c r="W606" s="92" t="str">
        <f t="shared" si="55"/>
        <v>Rubio Bordonado,Francisco Manuel</v>
      </c>
      <c r="X606" s="95">
        <f t="shared" si="56"/>
        <v>9</v>
      </c>
      <c r="Y606" s="95">
        <f t="shared" si="57"/>
        <v>2021</v>
      </c>
      <c r="Z606" s="103" t="s">
        <v>265</v>
      </c>
      <c r="AA606" t="str">
        <f>IF(Tabla1[[#This Row],[Kerma en aire acumulada (Gy)]]&gt;1,SUMIF(G:G,Tabla1[[#This Row],[SIP]],I:I)-Tabla1[[#This Row],[Kerma en aire acumulada (Gy)]],"")</f>
        <v/>
      </c>
      <c r="AB606" s="8"/>
    </row>
    <row r="607" spans="3:28">
      <c r="C607" s="94" t="s">
        <v>1088</v>
      </c>
      <c r="D607" s="134" t="s">
        <v>1661</v>
      </c>
      <c r="E607" s="134" t="s">
        <v>1011</v>
      </c>
      <c r="F607" s="134" t="s">
        <v>1020</v>
      </c>
      <c r="G607" s="134">
        <v>3653590</v>
      </c>
      <c r="H607" s="135">
        <v>44460</v>
      </c>
      <c r="I607" s="134">
        <v>0.55373000000000006</v>
      </c>
      <c r="J607" s="134"/>
      <c r="K607" s="134"/>
      <c r="L607" s="134"/>
      <c r="M607" s="134"/>
      <c r="N607" s="134"/>
      <c r="O607" s="134"/>
      <c r="P607" s="134"/>
      <c r="Q607" s="134"/>
      <c r="R607" s="134"/>
      <c r="S607" s="134"/>
      <c r="T607" s="135">
        <v>23001</v>
      </c>
      <c r="U607" s="134"/>
      <c r="V607" s="134" t="s">
        <v>180</v>
      </c>
      <c r="W607" s="92" t="str">
        <f t="shared" si="55"/>
        <v>Gil  Andres,Rafael Antonio</v>
      </c>
      <c r="X607" s="95">
        <f t="shared" si="56"/>
        <v>9</v>
      </c>
      <c r="Y607" s="95">
        <f t="shared" si="57"/>
        <v>2021</v>
      </c>
      <c r="Z607" s="103" t="s">
        <v>265</v>
      </c>
      <c r="AA607" t="str">
        <f>IF(Tabla1[[#This Row],[Kerma en aire acumulada (Gy)]]&gt;1,SUMIF(G:G,Tabla1[[#This Row],[SIP]],I:I)-Tabla1[[#This Row],[Kerma en aire acumulada (Gy)]],"")</f>
        <v/>
      </c>
      <c r="AB607" s="8"/>
    </row>
    <row r="608" spans="3:28">
      <c r="C608" s="94" t="s">
        <v>1088</v>
      </c>
      <c r="D608" s="134" t="s">
        <v>320</v>
      </c>
      <c r="E608" s="134" t="s">
        <v>497</v>
      </c>
      <c r="F608" s="134" t="s">
        <v>1104</v>
      </c>
      <c r="G608" s="134">
        <v>3363634</v>
      </c>
      <c r="H608" s="135">
        <v>44460</v>
      </c>
      <c r="I608" s="134">
        <v>7.6999999999999996E-4</v>
      </c>
      <c r="J608" s="134"/>
      <c r="K608" s="134"/>
      <c r="L608" s="134"/>
      <c r="M608" s="134"/>
      <c r="N608" s="134"/>
      <c r="O608" s="134"/>
      <c r="P608" s="134"/>
      <c r="Q608" s="134"/>
      <c r="R608" s="134"/>
      <c r="S608" s="134"/>
      <c r="T608" s="135">
        <v>17261</v>
      </c>
      <c r="U608" s="134"/>
      <c r="V608" s="134" t="s">
        <v>1274</v>
      </c>
      <c r="W608" s="92" t="str">
        <f t="shared" si="55"/>
        <v>Cano Patiño,Jose Luis</v>
      </c>
      <c r="X608" s="95">
        <f t="shared" si="56"/>
        <v>9</v>
      </c>
      <c r="Y608" s="95">
        <f t="shared" si="57"/>
        <v>2021</v>
      </c>
      <c r="Z608" s="103" t="s">
        <v>265</v>
      </c>
      <c r="AA608" t="str">
        <f>IF(Tabla1[[#This Row],[Kerma en aire acumulada (Gy)]]&gt;1,SUMIF(G:G,Tabla1[[#This Row],[SIP]],I:I)-Tabla1[[#This Row],[Kerma en aire acumulada (Gy)]],"")</f>
        <v/>
      </c>
      <c r="AB608" s="8"/>
    </row>
    <row r="609" spans="3:28">
      <c r="C609" s="94" t="s">
        <v>1088</v>
      </c>
      <c r="D609" s="90" t="s">
        <v>1620</v>
      </c>
      <c r="E609" s="90" t="s">
        <v>1616</v>
      </c>
      <c r="F609" s="90" t="s">
        <v>1621</v>
      </c>
      <c r="G609" s="131">
        <v>2249869</v>
      </c>
      <c r="H609" s="132">
        <v>44461</v>
      </c>
      <c r="I609" s="131">
        <v>4.6100000000000004E-3</v>
      </c>
      <c r="J609" s="131"/>
      <c r="K609" s="131"/>
      <c r="L609" s="131"/>
      <c r="M609" s="131"/>
      <c r="N609" s="131"/>
      <c r="O609" s="131"/>
      <c r="P609" s="131"/>
      <c r="Q609" s="131"/>
      <c r="R609" s="131"/>
      <c r="S609" s="131"/>
      <c r="T609" s="132">
        <v>17818</v>
      </c>
      <c r="U609" s="131"/>
      <c r="V609" s="90" t="s">
        <v>1653</v>
      </c>
      <c r="W609" s="92" t="str">
        <f t="shared" si="55"/>
        <v>Jarque Tortajada,Ramon</v>
      </c>
      <c r="X609" s="95">
        <f t="shared" si="56"/>
        <v>9</v>
      </c>
      <c r="Y609" s="95">
        <f t="shared" si="57"/>
        <v>2021</v>
      </c>
      <c r="Z609" s="103" t="s">
        <v>265</v>
      </c>
      <c r="AA609" t="str">
        <f>IF(Tabla1[[#This Row],[Kerma en aire acumulada (Gy)]]&gt;1,SUMIF(G:G,Tabla1[[#This Row],[SIP]],I:I)-Tabla1[[#This Row],[Kerma en aire acumulada (Gy)]],"")</f>
        <v/>
      </c>
      <c r="AB609" s="8"/>
    </row>
    <row r="610" spans="3:28">
      <c r="C610" s="94" t="s">
        <v>1088</v>
      </c>
      <c r="D610" s="134" t="s">
        <v>1669</v>
      </c>
      <c r="E610" s="134" t="s">
        <v>1001</v>
      </c>
      <c r="F610" s="134" t="s">
        <v>57</v>
      </c>
      <c r="G610" s="134">
        <v>2814312</v>
      </c>
      <c r="H610" s="135">
        <v>44461</v>
      </c>
      <c r="I610" s="134">
        <v>0.10339</v>
      </c>
      <c r="J610" s="134"/>
      <c r="K610" s="134"/>
      <c r="L610" s="134"/>
      <c r="M610" s="134"/>
      <c r="N610" s="134"/>
      <c r="O610" s="134"/>
      <c r="P610" s="134"/>
      <c r="Q610" s="134"/>
      <c r="R610" s="134"/>
      <c r="S610" s="134"/>
      <c r="T610" s="135">
        <v>44461</v>
      </c>
      <c r="U610" s="134"/>
      <c r="V610" s="134" t="s">
        <v>1670</v>
      </c>
      <c r="W610" s="92" t="str">
        <f t="shared" si="55"/>
        <v>Belmonte  Perez,Miguel</v>
      </c>
      <c r="X610" s="95">
        <f t="shared" si="56"/>
        <v>9</v>
      </c>
      <c r="Y610" s="95">
        <f t="shared" si="57"/>
        <v>2021</v>
      </c>
      <c r="Z610" s="103" t="s">
        <v>265</v>
      </c>
      <c r="AA610" t="str">
        <f>IF(Tabla1[[#This Row],[Kerma en aire acumulada (Gy)]]&gt;1,SUMIF(G:G,Tabla1[[#This Row],[SIP]],I:I)-Tabla1[[#This Row],[Kerma en aire acumulada (Gy)]],"")</f>
        <v/>
      </c>
      <c r="AB610" s="8"/>
    </row>
    <row r="611" spans="3:28">
      <c r="C611" s="94" t="s">
        <v>1088</v>
      </c>
      <c r="D611" s="134" t="s">
        <v>57</v>
      </c>
      <c r="E611" s="134" t="s">
        <v>856</v>
      </c>
      <c r="F611" s="134" t="s">
        <v>834</v>
      </c>
      <c r="G611" s="134">
        <v>2191422</v>
      </c>
      <c r="H611" s="135">
        <v>44461</v>
      </c>
      <c r="I611" s="134">
        <v>0.19083</v>
      </c>
      <c r="J611" s="134"/>
      <c r="K611" s="134"/>
      <c r="L611" s="134"/>
      <c r="M611" s="134"/>
      <c r="N611" s="134"/>
      <c r="O611" s="134"/>
      <c r="P611" s="134"/>
      <c r="Q611" s="134"/>
      <c r="R611" s="134"/>
      <c r="S611" s="134"/>
      <c r="T611" s="135">
        <v>16794</v>
      </c>
      <c r="U611" s="134"/>
      <c r="V611" s="134" t="s">
        <v>509</v>
      </c>
      <c r="W611" s="92" t="str">
        <f t="shared" ref="W611:W674" si="58">CONCATENATE(D611,$A$591,E611,",",F611)</f>
        <v>Miguel Gomez,Pedro</v>
      </c>
      <c r="X611" s="95">
        <f t="shared" si="56"/>
        <v>9</v>
      </c>
      <c r="Y611" s="95">
        <f t="shared" si="57"/>
        <v>2021</v>
      </c>
      <c r="Z611" s="103" t="s">
        <v>265</v>
      </c>
      <c r="AA611" t="str">
        <f>IF(Tabla1[[#This Row],[Kerma en aire acumulada (Gy)]]&gt;1,SUMIF(G:G,Tabla1[[#This Row],[SIP]],I:I)-Tabla1[[#This Row],[Kerma en aire acumulada (Gy)]],"")</f>
        <v/>
      </c>
      <c r="AB611" s="8"/>
    </row>
    <row r="612" spans="3:28">
      <c r="C612" s="94" t="s">
        <v>1088</v>
      </c>
      <c r="D612" s="134" t="s">
        <v>891</v>
      </c>
      <c r="E612" s="134" t="s">
        <v>1671</v>
      </c>
      <c r="F612" s="134" t="s">
        <v>71</v>
      </c>
      <c r="G612" s="134">
        <v>3095020</v>
      </c>
      <c r="H612" s="135">
        <v>44461</v>
      </c>
      <c r="I612" s="134">
        <v>0.40106999999999998</v>
      </c>
      <c r="J612" s="134"/>
      <c r="K612" s="134"/>
      <c r="L612" s="134"/>
      <c r="M612" s="134"/>
      <c r="N612" s="134"/>
      <c r="O612" s="134"/>
      <c r="P612" s="134"/>
      <c r="Q612" s="134"/>
      <c r="R612" s="134"/>
      <c r="S612" s="134"/>
      <c r="T612" s="135">
        <v>24210</v>
      </c>
      <c r="U612" s="134"/>
      <c r="V612" s="134" t="s">
        <v>128</v>
      </c>
      <c r="W612" s="92" t="str">
        <f t="shared" si="58"/>
        <v>Morales Gisbert,Rafael</v>
      </c>
      <c r="X612" s="95">
        <f t="shared" si="56"/>
        <v>9</v>
      </c>
      <c r="Y612" s="95">
        <f t="shared" si="57"/>
        <v>2021</v>
      </c>
      <c r="Z612" s="103" t="s">
        <v>265</v>
      </c>
      <c r="AA612" t="str">
        <f>IF(Tabla1[[#This Row],[Kerma en aire acumulada (Gy)]]&gt;1,SUMIF(G:G,Tabla1[[#This Row],[SIP]],I:I)-Tabla1[[#This Row],[Kerma en aire acumulada (Gy)]],"")</f>
        <v/>
      </c>
      <c r="AB612" s="8"/>
    </row>
    <row r="613" spans="3:28">
      <c r="C613" s="94" t="s">
        <v>1088</v>
      </c>
      <c r="D613" s="90" t="s">
        <v>726</v>
      </c>
      <c r="E613" s="90" t="s">
        <v>1609</v>
      </c>
      <c r="F613" s="90" t="s">
        <v>88</v>
      </c>
      <c r="G613" s="131">
        <v>2905267</v>
      </c>
      <c r="H613" s="132">
        <v>44462</v>
      </c>
      <c r="I613" s="131">
        <v>0.54773000000000005</v>
      </c>
      <c r="J613" s="131"/>
      <c r="K613" s="131"/>
      <c r="L613" s="131"/>
      <c r="M613" s="131"/>
      <c r="N613" s="131"/>
      <c r="O613" s="131"/>
      <c r="P613" s="131"/>
      <c r="Q613" s="131"/>
      <c r="R613" s="131"/>
      <c r="S613" s="131"/>
      <c r="T613" s="132">
        <v>18780</v>
      </c>
      <c r="U613" s="131"/>
      <c r="V613" s="90" t="s">
        <v>1214</v>
      </c>
      <c r="W613" s="92" t="str">
        <f t="shared" si="58"/>
        <v>Ballesteros Briz,Vicente</v>
      </c>
      <c r="X613" s="95">
        <f t="shared" si="56"/>
        <v>9</v>
      </c>
      <c r="Y613" s="95">
        <f t="shared" si="57"/>
        <v>2021</v>
      </c>
      <c r="Z613" s="103" t="s">
        <v>265</v>
      </c>
      <c r="AA613" t="str">
        <f>IF(Tabla1[[#This Row],[Kerma en aire acumulada (Gy)]]&gt;1,SUMIF(G:G,Tabla1[[#This Row],[SIP]],I:I)-Tabla1[[#This Row],[Kerma en aire acumulada (Gy)]],"")</f>
        <v/>
      </c>
      <c r="AB613" s="8"/>
    </row>
    <row r="614" spans="3:28">
      <c r="C614" s="94" t="s">
        <v>1088</v>
      </c>
      <c r="D614" s="90" t="s">
        <v>1657</v>
      </c>
      <c r="E614" s="90" t="s">
        <v>962</v>
      </c>
      <c r="F614" s="90" t="s">
        <v>1658</v>
      </c>
      <c r="G614" s="131">
        <v>1027473</v>
      </c>
      <c r="H614" s="132">
        <v>44462</v>
      </c>
      <c r="I614" s="131">
        <v>1.857E-2</v>
      </c>
      <c r="J614" s="131"/>
      <c r="K614" s="131"/>
      <c r="L614" s="131"/>
      <c r="M614" s="131"/>
      <c r="N614" s="131"/>
      <c r="O614" s="131"/>
      <c r="P614" s="131"/>
      <c r="Q614" s="131"/>
      <c r="R614" s="131"/>
      <c r="S614" s="131"/>
      <c r="T614" s="132">
        <v>17685</v>
      </c>
      <c r="U614" s="131"/>
      <c r="V614" s="90" t="s">
        <v>1214</v>
      </c>
      <c r="W614" s="92" t="str">
        <f t="shared" si="58"/>
        <v>Pareja Garcia,Alfredo</v>
      </c>
      <c r="X614" s="95">
        <f t="shared" si="56"/>
        <v>9</v>
      </c>
      <c r="Y614" s="95">
        <f t="shared" si="57"/>
        <v>2021</v>
      </c>
      <c r="Z614" s="103" t="s">
        <v>265</v>
      </c>
      <c r="AA614" t="str">
        <f>IF(Tabla1[[#This Row],[Kerma en aire acumulada (Gy)]]&gt;1,SUMIF(G:G,Tabla1[[#This Row],[SIP]],I:I)-Tabla1[[#This Row],[Kerma en aire acumulada (Gy)]],"")</f>
        <v/>
      </c>
      <c r="AB614" s="8"/>
    </row>
    <row r="615" spans="3:28">
      <c r="C615" s="94" t="s">
        <v>1088</v>
      </c>
      <c r="D615" s="90" t="s">
        <v>1659</v>
      </c>
      <c r="E615" s="131"/>
      <c r="F615" s="90" t="s">
        <v>1660</v>
      </c>
      <c r="G615" s="131">
        <v>5645516</v>
      </c>
      <c r="H615" s="132">
        <v>44462</v>
      </c>
      <c r="I615" s="131">
        <v>8.2100000000000003E-3</v>
      </c>
      <c r="J615" s="131"/>
      <c r="K615" s="131"/>
      <c r="L615" s="131"/>
      <c r="M615" s="131"/>
      <c r="N615" s="131"/>
      <c r="O615" s="131"/>
      <c r="P615" s="131"/>
      <c r="Q615" s="131"/>
      <c r="R615" s="131"/>
      <c r="S615" s="131"/>
      <c r="T615" s="132">
        <v>26806</v>
      </c>
      <c r="U615" s="131"/>
      <c r="V615" s="90" t="s">
        <v>1214</v>
      </c>
      <c r="W615" s="92" t="str">
        <f t="shared" si="58"/>
        <v>Guluta ,Ion</v>
      </c>
      <c r="X615" s="95">
        <f t="shared" si="56"/>
        <v>9</v>
      </c>
      <c r="Y615" s="95">
        <f t="shared" si="57"/>
        <v>2021</v>
      </c>
      <c r="Z615" s="103" t="s">
        <v>265</v>
      </c>
      <c r="AA615" t="str">
        <f>IF(Tabla1[[#This Row],[Kerma en aire acumulada (Gy)]]&gt;1,SUMIF(G:G,Tabla1[[#This Row],[SIP]],I:I)-Tabla1[[#This Row],[Kerma en aire acumulada (Gy)]],"")</f>
        <v/>
      </c>
      <c r="AB615" s="8"/>
    </row>
    <row r="616" spans="3:28">
      <c r="C616" s="94" t="s">
        <v>1088</v>
      </c>
      <c r="D616" s="134" t="s">
        <v>1287</v>
      </c>
      <c r="E616" s="134" t="s">
        <v>1288</v>
      </c>
      <c r="F616" s="134" t="s">
        <v>82</v>
      </c>
      <c r="G616" s="134">
        <v>2849235</v>
      </c>
      <c r="H616" s="135">
        <v>44462</v>
      </c>
      <c r="I616" s="134">
        <v>1.289E-2</v>
      </c>
      <c r="J616" s="134"/>
      <c r="K616" s="134"/>
      <c r="L616" s="134"/>
      <c r="M616" s="134"/>
      <c r="N616" s="134"/>
      <c r="O616" s="134"/>
      <c r="P616" s="134"/>
      <c r="Q616" s="134"/>
      <c r="R616" s="134"/>
      <c r="S616" s="134"/>
      <c r="T616" s="135">
        <v>19500</v>
      </c>
      <c r="U616" s="134"/>
      <c r="V616" s="134" t="s">
        <v>1668</v>
      </c>
      <c r="W616" s="92" t="str">
        <f t="shared" si="58"/>
        <v>Huesca Castello,Pascual</v>
      </c>
      <c r="X616" s="95">
        <f t="shared" si="56"/>
        <v>9</v>
      </c>
      <c r="Y616" s="95">
        <f t="shared" si="57"/>
        <v>2021</v>
      </c>
      <c r="Z616" s="103" t="s">
        <v>265</v>
      </c>
      <c r="AA616" t="str">
        <f>IF(Tabla1[[#This Row],[Kerma en aire acumulada (Gy)]]&gt;1,SUMIF(G:G,Tabla1[[#This Row],[SIP]],I:I)-Tabla1[[#This Row],[Kerma en aire acumulada (Gy)]],"")</f>
        <v/>
      </c>
      <c r="AB616" s="8"/>
    </row>
    <row r="617" spans="3:28">
      <c r="C617" s="94" t="s">
        <v>1088</v>
      </c>
      <c r="D617" s="90" t="s">
        <v>1652</v>
      </c>
      <c r="E617" s="90" t="s">
        <v>960</v>
      </c>
      <c r="F617" s="90" t="s">
        <v>1104</v>
      </c>
      <c r="G617" s="131">
        <v>2838098</v>
      </c>
      <c r="H617" s="132">
        <v>44463</v>
      </c>
      <c r="I617" s="131">
        <v>2.9190000000000001E-2</v>
      </c>
      <c r="J617" s="131"/>
      <c r="K617" s="131"/>
      <c r="L617" s="131"/>
      <c r="M617" s="131"/>
      <c r="N617" s="131"/>
      <c r="O617" s="131"/>
      <c r="P617" s="131"/>
      <c r="Q617" s="131"/>
      <c r="R617" s="131"/>
      <c r="S617" s="131"/>
      <c r="T617" s="132">
        <v>19126</v>
      </c>
      <c r="U617" s="131"/>
      <c r="V617" s="90" t="s">
        <v>1653</v>
      </c>
      <c r="W617" s="92" t="str">
        <f t="shared" si="58"/>
        <v>Ferrando Lopez,Jose Luis</v>
      </c>
      <c r="X617" s="95">
        <f t="shared" si="56"/>
        <v>9</v>
      </c>
      <c r="Y617" s="95">
        <f t="shared" si="57"/>
        <v>2021</v>
      </c>
      <c r="Z617" s="103" t="s">
        <v>265</v>
      </c>
      <c r="AA617" t="str">
        <f>IF(Tabla1[[#This Row],[Kerma en aire acumulada (Gy)]]&gt;1,SUMIF(G:G,Tabla1[[#This Row],[SIP]],I:I)-Tabla1[[#This Row],[Kerma en aire acumulada (Gy)]],"")</f>
        <v/>
      </c>
      <c r="AB617" s="8"/>
    </row>
    <row r="618" spans="3:28">
      <c r="C618" s="94" t="s">
        <v>1088</v>
      </c>
      <c r="D618" s="90" t="s">
        <v>1654</v>
      </c>
      <c r="E618" s="90" t="s">
        <v>1655</v>
      </c>
      <c r="F618" s="90" t="s">
        <v>1656</v>
      </c>
      <c r="G618" s="131">
        <v>3299024</v>
      </c>
      <c r="H618" s="132">
        <v>44463</v>
      </c>
      <c r="I618" s="131">
        <v>2.49E-3</v>
      </c>
      <c r="J618" s="131"/>
      <c r="K618" s="131"/>
      <c r="L618" s="131"/>
      <c r="M618" s="131"/>
      <c r="N618" s="131"/>
      <c r="O618" s="131"/>
      <c r="P618" s="131"/>
      <c r="Q618" s="131"/>
      <c r="R618" s="131"/>
      <c r="S618" s="131"/>
      <c r="T618" s="91">
        <v>27387</v>
      </c>
      <c r="U618" s="131"/>
      <c r="V618" s="90" t="s">
        <v>1274</v>
      </c>
      <c r="W618" s="92" t="str">
        <f t="shared" si="58"/>
        <v>Oreja Dosil,Saray</v>
      </c>
      <c r="X618" s="95">
        <f t="shared" si="56"/>
        <v>9</v>
      </c>
      <c r="Y618" s="95">
        <f t="shared" si="57"/>
        <v>2021</v>
      </c>
      <c r="Z618" s="103" t="s">
        <v>265</v>
      </c>
      <c r="AA618" t="str">
        <f>IF(Tabla1[[#This Row],[Kerma en aire acumulada (Gy)]]&gt;1,SUMIF(G:G,Tabla1[[#This Row],[SIP]],I:I)-Tabla1[[#This Row],[Kerma en aire acumulada (Gy)]],"")</f>
        <v/>
      </c>
      <c r="AB618" s="8"/>
    </row>
    <row r="619" spans="3:28">
      <c r="C619" s="94" t="s">
        <v>1088</v>
      </c>
      <c r="D619" s="134" t="s">
        <v>1666</v>
      </c>
      <c r="E619" s="134" t="s">
        <v>1666</v>
      </c>
      <c r="F619" s="134" t="s">
        <v>1667</v>
      </c>
      <c r="G619" s="134">
        <v>3728661</v>
      </c>
      <c r="H619" s="135">
        <v>44463</v>
      </c>
      <c r="I619" s="134">
        <v>5.5500000000000002E-3</v>
      </c>
      <c r="J619" s="134"/>
      <c r="K619" s="134"/>
      <c r="L619" s="134"/>
      <c r="M619" s="134"/>
      <c r="N619" s="134"/>
      <c r="O619" s="134"/>
      <c r="P619" s="134"/>
      <c r="Q619" s="134"/>
      <c r="R619" s="134"/>
      <c r="S619" s="134"/>
      <c r="T619" s="135">
        <v>20611</v>
      </c>
      <c r="U619" s="134"/>
      <c r="V619" s="134" t="s">
        <v>1203</v>
      </c>
      <c r="W619" s="92" t="str">
        <f t="shared" si="58"/>
        <v>Morillo Morillo,Amalia</v>
      </c>
      <c r="X619" s="95">
        <f t="shared" si="56"/>
        <v>9</v>
      </c>
      <c r="Y619" s="95">
        <f t="shared" si="57"/>
        <v>2021</v>
      </c>
      <c r="Z619" s="103" t="s">
        <v>265</v>
      </c>
      <c r="AA619" t="str">
        <f>IF(Tabla1[[#This Row],[Kerma en aire acumulada (Gy)]]&gt;1,SUMIF(G:G,Tabla1[[#This Row],[SIP]],I:I)-Tabla1[[#This Row],[Kerma en aire acumulada (Gy)]],"")</f>
        <v/>
      </c>
      <c r="AB619" s="8"/>
    </row>
    <row r="620" spans="3:28">
      <c r="C620" s="94" t="s">
        <v>1088</v>
      </c>
      <c r="D620" s="134" t="s">
        <v>1662</v>
      </c>
      <c r="E620" s="134" t="s">
        <v>1663</v>
      </c>
      <c r="F620" s="134" t="s">
        <v>1664</v>
      </c>
      <c r="G620" s="134">
        <v>3577809</v>
      </c>
      <c r="H620" s="135">
        <v>44465</v>
      </c>
      <c r="I620" s="134">
        <v>1.1175900000000001</v>
      </c>
      <c r="J620" s="134"/>
      <c r="K620" s="134"/>
      <c r="L620" s="134"/>
      <c r="M620" s="134"/>
      <c r="N620" s="134"/>
      <c r="O620" s="134"/>
      <c r="P620" s="134"/>
      <c r="Q620" s="134"/>
      <c r="R620" s="134"/>
      <c r="S620" s="134"/>
      <c r="T620" s="135">
        <v>19827</v>
      </c>
      <c r="U620" s="134"/>
      <c r="V620" s="134" t="s">
        <v>1665</v>
      </c>
      <c r="W620" s="92" t="str">
        <f t="shared" si="58"/>
        <v>Vazquez Granado,Dolores</v>
      </c>
      <c r="X620" s="95">
        <f t="shared" si="56"/>
        <v>9</v>
      </c>
      <c r="Y620" s="95">
        <f t="shared" si="57"/>
        <v>2021</v>
      </c>
      <c r="Z620" s="103" t="s">
        <v>265</v>
      </c>
      <c r="AA620">
        <f>IF(Tabla1[[#This Row],[Kerma en aire acumulada (Gy)]]&gt;1,SUMIF(G:G,Tabla1[[#This Row],[SIP]],I:I)-Tabla1[[#This Row],[Kerma en aire acumulada (Gy)]],"")</f>
        <v>0</v>
      </c>
      <c r="AB620" s="8"/>
    </row>
    <row r="621" spans="3:28">
      <c r="C621" s="94" t="s">
        <v>1108</v>
      </c>
      <c r="D621" s="134" t="s">
        <v>726</v>
      </c>
      <c r="E621" s="134" t="s">
        <v>962</v>
      </c>
      <c r="F621" s="134" t="s">
        <v>525</v>
      </c>
      <c r="G621" s="134">
        <v>6583706</v>
      </c>
      <c r="H621" s="135">
        <v>44466</v>
      </c>
      <c r="I621" s="134">
        <v>1.9000000000000001E-4</v>
      </c>
      <c r="J621" s="134"/>
      <c r="K621" s="134"/>
      <c r="L621" s="134"/>
      <c r="M621" s="134"/>
      <c r="N621" s="134"/>
      <c r="O621" s="134"/>
      <c r="P621" s="134"/>
      <c r="Q621" s="134"/>
      <c r="R621" s="134"/>
      <c r="S621" s="134"/>
      <c r="T621" s="135">
        <v>38952</v>
      </c>
      <c r="U621" s="134"/>
      <c r="V621" s="134" t="s">
        <v>1300</v>
      </c>
      <c r="W621" s="92" t="str">
        <f t="shared" si="58"/>
        <v>Ballesteros Garcia,Lidia</v>
      </c>
      <c r="X621" s="95">
        <f t="shared" si="56"/>
        <v>9</v>
      </c>
      <c r="Y621" s="95">
        <f t="shared" si="57"/>
        <v>2021</v>
      </c>
      <c r="Z621" s="103" t="s">
        <v>265</v>
      </c>
      <c r="AA621" t="str">
        <f>IF(Tabla1[[#This Row],[Kerma en aire acumulada (Gy)]]&gt;1,SUMIF(G:G,Tabla1[[#This Row],[SIP]],I:I)-Tabla1[[#This Row],[Kerma en aire acumulada (Gy)]],"")</f>
        <v/>
      </c>
      <c r="AB621" s="8"/>
    </row>
    <row r="622" spans="3:28">
      <c r="C622" s="94" t="s">
        <v>1088</v>
      </c>
      <c r="D622" s="134" t="s">
        <v>968</v>
      </c>
      <c r="E622" s="134" t="s">
        <v>129</v>
      </c>
      <c r="F622" s="134" t="s">
        <v>662</v>
      </c>
      <c r="G622" s="134">
        <v>3778362</v>
      </c>
      <c r="H622" s="135">
        <v>44466</v>
      </c>
      <c r="I622" s="134">
        <v>1.1E-4</v>
      </c>
      <c r="J622" s="134"/>
      <c r="K622" s="134"/>
      <c r="L622" s="134"/>
      <c r="M622" s="134"/>
      <c r="N622" s="134"/>
      <c r="O622" s="134"/>
      <c r="P622" s="134"/>
      <c r="Q622" s="134"/>
      <c r="R622" s="134"/>
      <c r="S622" s="134"/>
      <c r="T622" s="135">
        <v>25895</v>
      </c>
      <c r="U622" s="134"/>
      <c r="V622" s="134" t="s">
        <v>1300</v>
      </c>
      <c r="W622" s="92" t="str">
        <f t="shared" si="58"/>
        <v>Soria Gallego,Azucena</v>
      </c>
      <c r="X622" s="95">
        <f t="shared" si="56"/>
        <v>9</v>
      </c>
      <c r="Y622" s="95">
        <f t="shared" si="57"/>
        <v>2021</v>
      </c>
      <c r="Z622" s="103" t="s">
        <v>265</v>
      </c>
      <c r="AA622" t="str">
        <f>IF(Tabla1[[#This Row],[Kerma en aire acumulada (Gy)]]&gt;1,SUMIF(G:G,Tabla1[[#This Row],[SIP]],I:I)-Tabla1[[#This Row],[Kerma en aire acumulada (Gy)]],"")</f>
        <v/>
      </c>
      <c r="AB622" s="8"/>
    </row>
    <row r="623" spans="3:28">
      <c r="C623" s="94" t="s">
        <v>1088</v>
      </c>
      <c r="D623" s="134" t="s">
        <v>329</v>
      </c>
      <c r="E623" s="134" t="s">
        <v>1728</v>
      </c>
      <c r="F623" s="134" t="s">
        <v>1729</v>
      </c>
      <c r="G623" s="134">
        <v>3009428</v>
      </c>
      <c r="H623" s="135">
        <v>44466</v>
      </c>
      <c r="I623" s="134">
        <v>2.3000000000000001E-4</v>
      </c>
      <c r="J623" s="134"/>
      <c r="K623" s="134"/>
      <c r="L623" s="134"/>
      <c r="M623" s="134"/>
      <c r="N623" s="134"/>
      <c r="O623" s="134"/>
      <c r="P623" s="134"/>
      <c r="Q623" s="134"/>
      <c r="R623" s="134"/>
      <c r="S623" s="134"/>
      <c r="T623" s="135">
        <v>21670</v>
      </c>
      <c r="U623" s="134"/>
      <c r="V623" s="134" t="s">
        <v>1274</v>
      </c>
      <c r="W623" s="92" t="str">
        <f t="shared" si="58"/>
        <v>Bonora Casares,alfredo</v>
      </c>
      <c r="X623" s="95">
        <f t="shared" si="56"/>
        <v>9</v>
      </c>
      <c r="Y623" s="95">
        <f t="shared" si="57"/>
        <v>2021</v>
      </c>
      <c r="Z623" s="103" t="s">
        <v>265</v>
      </c>
      <c r="AA623" t="str">
        <f>IF(Tabla1[[#This Row],[Kerma en aire acumulada (Gy)]]&gt;1,SUMIF(G:G,Tabla1[[#This Row],[SIP]],I:I)-Tabla1[[#This Row],[Kerma en aire acumulada (Gy)]],"")</f>
        <v/>
      </c>
      <c r="AB623" s="8"/>
    </row>
    <row r="624" spans="3:28">
      <c r="C624" s="94" t="s">
        <v>1088</v>
      </c>
      <c r="D624" s="134" t="s">
        <v>962</v>
      </c>
      <c r="E624" s="134" t="s">
        <v>1768</v>
      </c>
      <c r="F624" s="134" t="s">
        <v>356</v>
      </c>
      <c r="G624" s="134">
        <v>3779414</v>
      </c>
      <c r="H624" s="135">
        <v>44466</v>
      </c>
      <c r="I624" s="134">
        <v>1.933E-2</v>
      </c>
      <c r="J624" s="134"/>
      <c r="K624" s="134"/>
      <c r="L624" s="134"/>
      <c r="M624" s="134"/>
      <c r="N624" s="134"/>
      <c r="O624" s="134"/>
      <c r="P624" s="134"/>
      <c r="Q624" s="134"/>
      <c r="R624" s="134"/>
      <c r="S624" s="134"/>
      <c r="T624" s="135">
        <v>26025</v>
      </c>
      <c r="U624" s="134"/>
      <c r="V624" s="134" t="s">
        <v>503</v>
      </c>
      <c r="W624" s="92" t="str">
        <f t="shared" si="58"/>
        <v>Garcia Campillos,Manuel</v>
      </c>
      <c r="X624" s="95">
        <f t="shared" si="56"/>
        <v>9</v>
      </c>
      <c r="Y624" s="95">
        <f t="shared" si="57"/>
        <v>2021</v>
      </c>
      <c r="Z624" s="103" t="s">
        <v>265</v>
      </c>
      <c r="AA624" t="str">
        <f>IF(Tabla1[[#This Row],[Kerma en aire acumulada (Gy)]]&gt;1,SUMIF(G:G,Tabla1[[#This Row],[SIP]],I:I)-Tabla1[[#This Row],[Kerma en aire acumulada (Gy)]],"")</f>
        <v/>
      </c>
      <c r="AB624" s="8"/>
    </row>
    <row r="625" spans="3:28">
      <c r="C625" s="94" t="s">
        <v>1088</v>
      </c>
      <c r="D625" s="134" t="s">
        <v>152</v>
      </c>
      <c r="E625" s="134" t="s">
        <v>1769</v>
      </c>
      <c r="F625" s="134" t="s">
        <v>1770</v>
      </c>
      <c r="G625" s="134">
        <v>4338951</v>
      </c>
      <c r="H625" s="135">
        <v>44466</v>
      </c>
      <c r="I625" s="134">
        <v>0.17576</v>
      </c>
      <c r="J625" s="134"/>
      <c r="K625" s="134"/>
      <c r="L625" s="134"/>
      <c r="M625" s="134"/>
      <c r="N625" s="134"/>
      <c r="O625" s="134"/>
      <c r="P625" s="134"/>
      <c r="Q625" s="134"/>
      <c r="R625" s="134"/>
      <c r="S625" s="134"/>
      <c r="T625" s="135">
        <v>23794</v>
      </c>
      <c r="U625" s="134"/>
      <c r="V625" s="134" t="s">
        <v>128</v>
      </c>
      <c r="W625" s="92" t="str">
        <f t="shared" si="58"/>
        <v>Vidal Huerta,Rosa M</v>
      </c>
      <c r="X625" s="95">
        <f t="shared" si="56"/>
        <v>9</v>
      </c>
      <c r="Y625" s="95">
        <f t="shared" si="57"/>
        <v>2021</v>
      </c>
      <c r="Z625" s="103" t="s">
        <v>265</v>
      </c>
      <c r="AA625" t="str">
        <f>IF(Tabla1[[#This Row],[Kerma en aire acumulada (Gy)]]&gt;1,SUMIF(G:G,Tabla1[[#This Row],[SIP]],I:I)-Tabla1[[#This Row],[Kerma en aire acumulada (Gy)]],"")</f>
        <v/>
      </c>
      <c r="AB625" s="8"/>
    </row>
    <row r="626" spans="3:28">
      <c r="C626" s="94" t="s">
        <v>1088</v>
      </c>
      <c r="D626" s="134" t="s">
        <v>1319</v>
      </c>
      <c r="E626" s="134" t="s">
        <v>1320</v>
      </c>
      <c r="F626" s="134" t="s">
        <v>1321</v>
      </c>
      <c r="G626" s="134">
        <v>2187826</v>
      </c>
      <c r="H626" s="135">
        <v>44466</v>
      </c>
      <c r="I626" s="134">
        <v>0.51471999999999996</v>
      </c>
      <c r="J626" s="134"/>
      <c r="K626" s="134"/>
      <c r="L626" s="134"/>
      <c r="M626" s="134"/>
      <c r="N626" s="134"/>
      <c r="O626" s="134"/>
      <c r="P626" s="134"/>
      <c r="Q626" s="134"/>
      <c r="R626" s="134"/>
      <c r="S626" s="134"/>
      <c r="T626" s="135">
        <v>18898</v>
      </c>
      <c r="U626" s="134"/>
      <c r="V626" s="134" t="s">
        <v>180</v>
      </c>
      <c r="W626" s="92" t="str">
        <f t="shared" si="58"/>
        <v>Chaparro Calleja,Antonio Luis</v>
      </c>
      <c r="X626" s="95">
        <f t="shared" si="56"/>
        <v>9</v>
      </c>
      <c r="Y626" s="95">
        <f t="shared" si="57"/>
        <v>2021</v>
      </c>
      <c r="Z626" s="103" t="s">
        <v>265</v>
      </c>
      <c r="AA626" t="str">
        <f>IF(Tabla1[[#This Row],[Kerma en aire acumulada (Gy)]]&gt;1,SUMIF(G:G,Tabla1[[#This Row],[SIP]],I:I)-Tabla1[[#This Row],[Kerma en aire acumulada (Gy)]],"")</f>
        <v/>
      </c>
      <c r="AB626" s="8"/>
    </row>
    <row r="627" spans="3:28">
      <c r="C627" s="94" t="s">
        <v>1088</v>
      </c>
      <c r="D627" s="134" t="s">
        <v>1597</v>
      </c>
      <c r="E627" s="134" t="s">
        <v>50</v>
      </c>
      <c r="F627" s="134" t="s">
        <v>1598</v>
      </c>
      <c r="G627" s="134">
        <v>12494909</v>
      </c>
      <c r="H627" s="135">
        <v>44467</v>
      </c>
      <c r="I627" s="134">
        <v>2.8199999999999999E-2</v>
      </c>
      <c r="J627" s="134"/>
      <c r="K627" s="134"/>
      <c r="L627" s="134"/>
      <c r="M627" s="134"/>
      <c r="N627" s="134"/>
      <c r="O627" s="134"/>
      <c r="P627" s="134"/>
      <c r="Q627" s="134"/>
      <c r="R627" s="134"/>
      <c r="S627" s="134"/>
      <c r="T627" s="135">
        <v>37122</v>
      </c>
      <c r="U627" s="134"/>
      <c r="V627" s="134" t="s">
        <v>143</v>
      </c>
      <c r="W627" s="92" t="str">
        <f t="shared" si="58"/>
        <v>Losada Quintero,Gonzalo Tadeo</v>
      </c>
      <c r="X627" s="95">
        <f t="shared" si="56"/>
        <v>9</v>
      </c>
      <c r="Y627" s="95">
        <f t="shared" si="57"/>
        <v>2021</v>
      </c>
      <c r="Z627" s="103" t="s">
        <v>265</v>
      </c>
      <c r="AA627" t="str">
        <f>IF(Tabla1[[#This Row],[Kerma en aire acumulada (Gy)]]&gt;1,SUMIF(G:G,Tabla1[[#This Row],[SIP]],I:I)-Tabla1[[#This Row],[Kerma en aire acumulada (Gy)]],"")</f>
        <v/>
      </c>
      <c r="AB627" s="8"/>
    </row>
    <row r="628" spans="3:28">
      <c r="C628" s="94" t="s">
        <v>1088</v>
      </c>
      <c r="D628" s="134" t="s">
        <v>1723</v>
      </c>
      <c r="E628" s="134" t="s">
        <v>1724</v>
      </c>
      <c r="F628" s="134" t="s">
        <v>1725</v>
      </c>
      <c r="G628" s="134">
        <v>2984402</v>
      </c>
      <c r="H628" s="135">
        <v>44467</v>
      </c>
      <c r="I628" s="134">
        <v>0.11722</v>
      </c>
      <c r="J628" s="134"/>
      <c r="K628" s="134"/>
      <c r="L628" s="134"/>
      <c r="M628" s="134"/>
      <c r="N628" s="134"/>
      <c r="O628" s="134"/>
      <c r="P628" s="134"/>
      <c r="Q628" s="134"/>
      <c r="R628" s="134"/>
      <c r="S628" s="134"/>
      <c r="T628" s="135">
        <v>14039</v>
      </c>
      <c r="U628" s="134"/>
      <c r="V628" s="134" t="s">
        <v>1203</v>
      </c>
      <c r="W628" s="92" t="str">
        <f t="shared" si="58"/>
        <v>Guasp Vizcaino,Ana Maria</v>
      </c>
      <c r="X628" s="95">
        <f t="shared" si="56"/>
        <v>9</v>
      </c>
      <c r="Y628" s="95">
        <f t="shared" si="57"/>
        <v>2021</v>
      </c>
      <c r="Z628" s="103" t="s">
        <v>265</v>
      </c>
      <c r="AA628" t="str">
        <f>IF(Tabla1[[#This Row],[Kerma en aire acumulada (Gy)]]&gt;1,SUMIF(G:G,Tabla1[[#This Row],[SIP]],I:I)-Tabla1[[#This Row],[Kerma en aire acumulada (Gy)]],"")</f>
        <v/>
      </c>
      <c r="AB628" s="8"/>
    </row>
    <row r="629" spans="3:28">
      <c r="C629" s="94" t="s">
        <v>1088</v>
      </c>
      <c r="D629" s="134" t="s">
        <v>1726</v>
      </c>
      <c r="E629" s="134" t="s">
        <v>1727</v>
      </c>
      <c r="F629" s="134" t="s">
        <v>20</v>
      </c>
      <c r="G629" s="134">
        <v>2849264</v>
      </c>
      <c r="H629" s="135">
        <v>44467</v>
      </c>
      <c r="I629" s="134">
        <v>6.2619999999999995E-2</v>
      </c>
      <c r="J629" s="134"/>
      <c r="K629" s="134"/>
      <c r="L629" s="134"/>
      <c r="M629" s="134"/>
      <c r="N629" s="134"/>
      <c r="O629" s="134"/>
      <c r="P629" s="134"/>
      <c r="Q629" s="134"/>
      <c r="R629" s="134"/>
      <c r="S629" s="134"/>
      <c r="T629" s="135">
        <v>18587</v>
      </c>
      <c r="U629" s="134"/>
      <c r="V629" s="134" t="s">
        <v>1203</v>
      </c>
      <c r="W629" s="92" t="str">
        <f t="shared" si="58"/>
        <v>Rus Mompo,Antonio</v>
      </c>
      <c r="X629" s="95">
        <f t="shared" si="56"/>
        <v>9</v>
      </c>
      <c r="Y629" s="95">
        <f t="shared" si="57"/>
        <v>2021</v>
      </c>
      <c r="Z629" s="103" t="s">
        <v>265</v>
      </c>
      <c r="AA629" t="str">
        <f>IF(Tabla1[[#This Row],[Kerma en aire acumulada (Gy)]]&gt;1,SUMIF(G:G,Tabla1[[#This Row],[SIP]],I:I)-Tabla1[[#This Row],[Kerma en aire acumulada (Gy)]],"")</f>
        <v/>
      </c>
      <c r="AB629" s="8"/>
    </row>
    <row r="630" spans="3:28">
      <c r="C630" s="94" t="s">
        <v>1088</v>
      </c>
      <c r="D630" s="134" t="s">
        <v>1294</v>
      </c>
      <c r="E630" s="134" t="s">
        <v>1295</v>
      </c>
      <c r="F630" s="134" t="s">
        <v>142</v>
      </c>
      <c r="G630" s="134">
        <v>1798521</v>
      </c>
      <c r="H630" s="135">
        <v>44467</v>
      </c>
      <c r="I630" s="134">
        <v>0.54207000000000005</v>
      </c>
      <c r="J630" s="134"/>
      <c r="K630" s="134"/>
      <c r="L630" s="134"/>
      <c r="M630" s="134"/>
      <c r="N630" s="134"/>
      <c r="O630" s="134"/>
      <c r="P630" s="134"/>
      <c r="Q630" s="134"/>
      <c r="R630" s="134"/>
      <c r="S630" s="134"/>
      <c r="T630" s="135">
        <v>27137</v>
      </c>
      <c r="U630" s="134"/>
      <c r="V630" s="134" t="s">
        <v>541</v>
      </c>
      <c r="W630" s="92" t="str">
        <f t="shared" si="58"/>
        <v>Roca Julve,David</v>
      </c>
      <c r="X630" s="95">
        <f t="shared" si="56"/>
        <v>9</v>
      </c>
      <c r="Y630" s="95">
        <f t="shared" si="57"/>
        <v>2021</v>
      </c>
      <c r="Z630" s="103" t="s">
        <v>265</v>
      </c>
      <c r="AA630" t="str">
        <f>IF(Tabla1[[#This Row],[Kerma en aire acumulada (Gy)]]&gt;1,SUMIF(G:G,Tabla1[[#This Row],[SIP]],I:I)-Tabla1[[#This Row],[Kerma en aire acumulada (Gy)]],"")</f>
        <v/>
      </c>
      <c r="AB630" s="8" t="str">
        <f>CONCATENATE(F634,$A$591,D634,$A$591,E634)</f>
        <v>Ascension Requena Centellas</v>
      </c>
    </row>
    <row r="631" spans="3:28">
      <c r="C631" s="94" t="s">
        <v>1088</v>
      </c>
      <c r="D631" s="134" t="s">
        <v>948</v>
      </c>
      <c r="E631" s="134" t="s">
        <v>825</v>
      </c>
      <c r="F631" s="134" t="s">
        <v>88</v>
      </c>
      <c r="G631" s="134">
        <v>3285365</v>
      </c>
      <c r="H631" s="135">
        <v>44467</v>
      </c>
      <c r="I631" s="134">
        <v>2.453E-2</v>
      </c>
      <c r="J631" s="134"/>
      <c r="K631" s="134"/>
      <c r="L631" s="134"/>
      <c r="M631" s="134"/>
      <c r="N631" s="134"/>
      <c r="O631" s="134"/>
      <c r="P631" s="134"/>
      <c r="Q631" s="134"/>
      <c r="R631" s="134"/>
      <c r="S631" s="134"/>
      <c r="T631" s="135">
        <v>19650</v>
      </c>
      <c r="U631" s="134"/>
      <c r="V631" s="134" t="s">
        <v>1767</v>
      </c>
      <c r="W631" s="92" t="str">
        <f t="shared" si="58"/>
        <v>Martinez Jodar,Vicente</v>
      </c>
      <c r="X631" s="95">
        <f t="shared" si="56"/>
        <v>9</v>
      </c>
      <c r="Y631" s="95">
        <f t="shared" si="57"/>
        <v>2021</v>
      </c>
      <c r="Z631" s="103" t="s">
        <v>265</v>
      </c>
      <c r="AA631" t="str">
        <f>IF(Tabla1[[#This Row],[Kerma en aire acumulada (Gy)]]&gt;1,SUMIF(G:G,Tabla1[[#This Row],[SIP]],I:I)-Tabla1[[#This Row],[Kerma en aire acumulada (Gy)]],"")</f>
        <v/>
      </c>
      <c r="AB631" s="8" t="str">
        <f>CONCATENATE(F635,$A$591,D635,$A$591,E635)</f>
        <v>Jose Adrian Sanchis</v>
      </c>
    </row>
    <row r="632" spans="3:28">
      <c r="C632" s="94" t="s">
        <v>1088</v>
      </c>
      <c r="D632" s="134" t="s">
        <v>1719</v>
      </c>
      <c r="E632" s="134" t="s">
        <v>1271</v>
      </c>
      <c r="F632" s="134" t="s">
        <v>20</v>
      </c>
      <c r="G632" s="134">
        <v>3122264</v>
      </c>
      <c r="H632" s="135">
        <v>44468</v>
      </c>
      <c r="I632" s="134">
        <v>4.8999999999999998E-4</v>
      </c>
      <c r="J632" s="134"/>
      <c r="K632" s="134"/>
      <c r="L632" s="134"/>
      <c r="M632" s="134"/>
      <c r="N632" s="134"/>
      <c r="O632" s="134"/>
      <c r="P632" s="134"/>
      <c r="Q632" s="134"/>
      <c r="R632" s="134"/>
      <c r="S632" s="134"/>
      <c r="T632" s="135">
        <v>13645</v>
      </c>
      <c r="U632" s="134"/>
      <c r="V632" s="134" t="s">
        <v>1274</v>
      </c>
      <c r="W632" s="92" t="str">
        <f t="shared" si="58"/>
        <v>Sevilla Sierra,Antonio</v>
      </c>
      <c r="X632" s="95">
        <f t="shared" si="56"/>
        <v>9</v>
      </c>
      <c r="Y632" s="95">
        <f t="shared" si="57"/>
        <v>2021</v>
      </c>
      <c r="Z632" s="103" t="s">
        <v>265</v>
      </c>
      <c r="AA632" t="str">
        <f>IF(Tabla1[[#This Row],[Kerma en aire acumulada (Gy)]]&gt;1,SUMIF(G:G,Tabla1[[#This Row],[SIP]],I:I)-Tabla1[[#This Row],[Kerma en aire acumulada (Gy)]],"")</f>
        <v/>
      </c>
      <c r="AB632" s="8"/>
    </row>
    <row r="633" spans="3:28">
      <c r="C633" s="94" t="s">
        <v>1088</v>
      </c>
      <c r="D633" s="134" t="s">
        <v>181</v>
      </c>
      <c r="E633" s="134" t="s">
        <v>1720</v>
      </c>
      <c r="F633" s="134" t="s">
        <v>834</v>
      </c>
      <c r="G633" s="134">
        <v>2862501</v>
      </c>
      <c r="H633" s="135">
        <v>44468</v>
      </c>
      <c r="I633" s="134">
        <v>4.8939999999999997E-2</v>
      </c>
      <c r="J633" s="134"/>
      <c r="K633" s="134"/>
      <c r="L633" s="134"/>
      <c r="M633" s="134"/>
      <c r="N633" s="134"/>
      <c r="O633" s="134"/>
      <c r="P633" s="134"/>
      <c r="Q633" s="134"/>
      <c r="R633" s="134"/>
      <c r="S633" s="134"/>
      <c r="T633" s="135">
        <v>17736</v>
      </c>
      <c r="U633" s="134"/>
      <c r="V633" s="134" t="s">
        <v>1274</v>
      </c>
      <c r="W633" s="92" t="str">
        <f t="shared" si="58"/>
        <v>Castillo Coronado,Pedro</v>
      </c>
      <c r="X633" s="95">
        <f t="shared" si="56"/>
        <v>9</v>
      </c>
      <c r="Y633" s="95">
        <f t="shared" si="57"/>
        <v>2021</v>
      </c>
      <c r="Z633" s="103" t="s">
        <v>265</v>
      </c>
      <c r="AA633" t="str">
        <f>IF(Tabla1[[#This Row],[Kerma en aire acumulada (Gy)]]&gt;1,SUMIF(G:G,Tabla1[[#This Row],[SIP]],I:I)-Tabla1[[#This Row],[Kerma en aire acumulada (Gy)]],"")</f>
        <v/>
      </c>
      <c r="AB633" s="8"/>
    </row>
    <row r="634" spans="3:28">
      <c r="C634" s="94" t="s">
        <v>1088</v>
      </c>
      <c r="D634" s="134" t="s">
        <v>1721</v>
      </c>
      <c r="E634" s="134" t="s">
        <v>1722</v>
      </c>
      <c r="F634" s="134" t="s">
        <v>1112</v>
      </c>
      <c r="G634" s="134">
        <v>2247191</v>
      </c>
      <c r="H634" s="135">
        <v>44468</v>
      </c>
      <c r="I634" s="134">
        <v>3.0400000000000002E-3</v>
      </c>
      <c r="J634" s="134"/>
      <c r="K634" s="134"/>
      <c r="L634" s="134"/>
      <c r="M634" s="134"/>
      <c r="N634" s="134"/>
      <c r="O634" s="134"/>
      <c r="P634" s="134"/>
      <c r="Q634" s="134"/>
      <c r="R634" s="134"/>
      <c r="S634" s="134"/>
      <c r="T634" s="135">
        <v>20605</v>
      </c>
      <c r="U634" s="134"/>
      <c r="V634" s="134" t="s">
        <v>1274</v>
      </c>
      <c r="W634" s="92" t="str">
        <f t="shared" si="58"/>
        <v>Requena Centellas,Ascension</v>
      </c>
      <c r="X634" s="95">
        <f t="shared" si="56"/>
        <v>9</v>
      </c>
      <c r="Y634" s="95">
        <f t="shared" si="57"/>
        <v>2021</v>
      </c>
      <c r="Z634" s="103" t="s">
        <v>265</v>
      </c>
      <c r="AA634" t="str">
        <f>IF(Tabla1[[#This Row],[Kerma en aire acumulada (Gy)]]&gt;1,SUMIF(G:G,Tabla1[[#This Row],[SIP]],I:I)-Tabla1[[#This Row],[Kerma en aire acumulada (Gy)]],"")</f>
        <v/>
      </c>
      <c r="AB634" s="8" t="str">
        <f>CONCATENATE(F638,$A$591,D638,$A$591,E638)</f>
        <v>Gabriel Mena Marco</v>
      </c>
    </row>
    <row r="635" spans="3:28">
      <c r="C635" s="94" t="s">
        <v>1088</v>
      </c>
      <c r="D635" s="134" t="s">
        <v>1617</v>
      </c>
      <c r="E635" s="134" t="s">
        <v>663</v>
      </c>
      <c r="F635" s="134" t="s">
        <v>991</v>
      </c>
      <c r="G635" s="134">
        <v>2399517</v>
      </c>
      <c r="H635" s="135">
        <v>44468</v>
      </c>
      <c r="I635" s="134">
        <v>5.0800000000000003E-3</v>
      </c>
      <c r="J635" s="134"/>
      <c r="K635" s="134"/>
      <c r="L635" s="134"/>
      <c r="M635" s="134"/>
      <c r="N635" s="134"/>
      <c r="O635" s="134"/>
      <c r="P635" s="134"/>
      <c r="Q635" s="134"/>
      <c r="R635" s="134"/>
      <c r="S635" s="134"/>
      <c r="T635" s="135">
        <v>19132</v>
      </c>
      <c r="U635" s="134"/>
      <c r="V635" s="134" t="s">
        <v>1274</v>
      </c>
      <c r="W635" s="92" t="str">
        <f t="shared" si="58"/>
        <v>Adrian Sanchis,Jose</v>
      </c>
      <c r="X635" s="95">
        <f t="shared" si="56"/>
        <v>9</v>
      </c>
      <c r="Y635" s="95">
        <f t="shared" si="57"/>
        <v>2021</v>
      </c>
      <c r="Z635" s="103" t="s">
        <v>265</v>
      </c>
      <c r="AA635" t="str">
        <f>IF(Tabla1[[#This Row],[Kerma en aire acumulada (Gy)]]&gt;1,SUMIF(G:G,Tabla1[[#This Row],[SIP]],I:I)-Tabla1[[#This Row],[Kerma en aire acumulada (Gy)]],"")</f>
        <v/>
      </c>
      <c r="AB635" s="8"/>
    </row>
    <row r="636" spans="3:28">
      <c r="C636" s="94" t="s">
        <v>1088</v>
      </c>
      <c r="D636" s="134" t="s">
        <v>1764</v>
      </c>
      <c r="E636" s="134" t="s">
        <v>319</v>
      </c>
      <c r="F636" s="134" t="s">
        <v>1694</v>
      </c>
      <c r="G636" s="134">
        <v>1904836</v>
      </c>
      <c r="H636" s="135">
        <v>44468</v>
      </c>
      <c r="I636" s="134">
        <v>0.11534999999999999</v>
      </c>
      <c r="J636" s="134"/>
      <c r="K636" s="134"/>
      <c r="L636" s="134"/>
      <c r="M636" s="134"/>
      <c r="N636" s="134"/>
      <c r="O636" s="134"/>
      <c r="P636" s="134"/>
      <c r="Q636" s="134"/>
      <c r="R636" s="134"/>
      <c r="S636" s="134"/>
      <c r="T636" s="135">
        <v>16322</v>
      </c>
      <c r="U636" s="134"/>
      <c r="V636" s="134" t="s">
        <v>143</v>
      </c>
      <c r="W636" s="92" t="str">
        <f t="shared" si="58"/>
        <v>Vaño Gonzalez,Concepcion</v>
      </c>
      <c r="X636" s="95">
        <f t="shared" si="56"/>
        <v>9</v>
      </c>
      <c r="Y636" s="95">
        <f t="shared" si="57"/>
        <v>2021</v>
      </c>
      <c r="Z636" s="103" t="s">
        <v>265</v>
      </c>
      <c r="AA636" t="str">
        <f>IF(Tabla1[[#This Row],[Kerma en aire acumulada (Gy)]]&gt;1,SUMIF(G:G,Tabla1[[#This Row],[SIP]],I:I)-Tabla1[[#This Row],[Kerma en aire acumulada (Gy)]],"")</f>
        <v/>
      </c>
      <c r="AB636" s="8"/>
    </row>
    <row r="637" spans="3:28">
      <c r="C637" s="94" t="s">
        <v>1088</v>
      </c>
      <c r="D637" s="134" t="s">
        <v>962</v>
      </c>
      <c r="E637" s="134" t="s">
        <v>641</v>
      </c>
      <c r="F637" s="134" t="s">
        <v>375</v>
      </c>
      <c r="G637" s="134">
        <v>2150851</v>
      </c>
      <c r="H637" s="135">
        <v>44468</v>
      </c>
      <c r="I637" s="134">
        <v>0.32218999999999998</v>
      </c>
      <c r="J637" s="134"/>
      <c r="K637" s="134"/>
      <c r="L637" s="134"/>
      <c r="M637" s="134"/>
      <c r="N637" s="134"/>
      <c r="O637" s="134"/>
      <c r="P637" s="134"/>
      <c r="Q637" s="134"/>
      <c r="R637" s="134"/>
      <c r="S637" s="134"/>
      <c r="T637" s="135">
        <v>28079</v>
      </c>
      <c r="U637" s="134"/>
      <c r="V637" s="134" t="s">
        <v>1226</v>
      </c>
      <c r="W637" s="92" t="str">
        <f t="shared" si="58"/>
        <v>Garcia Parra,Alberto</v>
      </c>
      <c r="X637" s="95">
        <f t="shared" si="56"/>
        <v>9</v>
      </c>
      <c r="Y637" s="95">
        <f t="shared" si="57"/>
        <v>2021</v>
      </c>
      <c r="Z637" s="103" t="s">
        <v>265</v>
      </c>
      <c r="AA637" t="str">
        <f>IF(Tabla1[[#This Row],[Kerma en aire acumulada (Gy)]]&gt;1,SUMIF(G:G,Tabla1[[#This Row],[SIP]],I:I)-Tabla1[[#This Row],[Kerma en aire acumulada (Gy)]],"")</f>
        <v/>
      </c>
      <c r="AB637" s="8" t="str">
        <f>CONCATENATE(F641,$A$591,D641,$A$591,E641)</f>
        <v>Juan Vicente Garrido Martinez</v>
      </c>
    </row>
    <row r="638" spans="3:28">
      <c r="C638" s="94" t="s">
        <v>1088</v>
      </c>
      <c r="D638" s="134" t="s">
        <v>1765</v>
      </c>
      <c r="E638" s="134" t="s">
        <v>966</v>
      </c>
      <c r="F638" s="134" t="s">
        <v>1766</v>
      </c>
      <c r="G638" s="134">
        <v>3275740</v>
      </c>
      <c r="H638" s="135">
        <v>44468</v>
      </c>
      <c r="I638" s="134">
        <v>0.19678999999999999</v>
      </c>
      <c r="J638" s="134"/>
      <c r="K638" s="134"/>
      <c r="L638" s="134"/>
      <c r="M638" s="134"/>
      <c r="N638" s="134"/>
      <c r="O638" s="134"/>
      <c r="P638" s="134"/>
      <c r="Q638" s="134"/>
      <c r="R638" s="134"/>
      <c r="S638" s="134"/>
      <c r="T638" s="135">
        <v>32979</v>
      </c>
      <c r="U638" s="134"/>
      <c r="V638" s="134" t="s">
        <v>819</v>
      </c>
      <c r="W638" s="92" t="str">
        <f t="shared" si="58"/>
        <v>Mena Marco,Gabriel</v>
      </c>
      <c r="X638" s="95">
        <f t="shared" si="56"/>
        <v>9</v>
      </c>
      <c r="Y638" s="95">
        <f t="shared" si="57"/>
        <v>2021</v>
      </c>
      <c r="Z638" s="103" t="s">
        <v>265</v>
      </c>
      <c r="AA638" t="str">
        <f>IF(Tabla1[[#This Row],[Kerma en aire acumulada (Gy)]]&gt;1,SUMIF(G:G,Tabla1[[#This Row],[SIP]],I:I)-Tabla1[[#This Row],[Kerma en aire acumulada (Gy)]],"")</f>
        <v/>
      </c>
      <c r="AB638" s="8" t="str">
        <f>CONCATENATE(F642,$A$591,D642,$A$591,E642)</f>
        <v>M Angeles Juli Aguado Mañez</v>
      </c>
    </row>
    <row r="639" spans="3:28">
      <c r="C639" s="94" t="s">
        <v>1088</v>
      </c>
      <c r="D639" s="134" t="s">
        <v>964</v>
      </c>
      <c r="E639" s="134" t="s">
        <v>954</v>
      </c>
      <c r="F639" s="134" t="s">
        <v>1173</v>
      </c>
      <c r="G639" s="134">
        <v>2091946</v>
      </c>
      <c r="H639" s="135">
        <v>44468</v>
      </c>
      <c r="I639" s="134">
        <v>0.12267</v>
      </c>
      <c r="J639" s="134"/>
      <c r="K639" s="134"/>
      <c r="L639" s="134"/>
      <c r="M639" s="134"/>
      <c r="N639" s="134"/>
      <c r="O639" s="134"/>
      <c r="P639" s="134"/>
      <c r="Q639" s="134"/>
      <c r="R639" s="134"/>
      <c r="S639" s="134"/>
      <c r="T639" s="135">
        <v>21291</v>
      </c>
      <c r="U639" s="134"/>
      <c r="V639" s="134" t="s">
        <v>1140</v>
      </c>
      <c r="W639" s="92" t="str">
        <f t="shared" si="58"/>
        <v>San Bautista Carbonell,Maria Jose</v>
      </c>
      <c r="X639" s="95">
        <f t="shared" si="56"/>
        <v>9</v>
      </c>
      <c r="Y639" s="95">
        <f t="shared" si="57"/>
        <v>2021</v>
      </c>
      <c r="Z639" s="103" t="s">
        <v>265</v>
      </c>
      <c r="AA639" t="str">
        <f>IF(Tabla1[[#This Row],[Kerma en aire acumulada (Gy)]]&gt;1,SUMIF(G:G,Tabla1[[#This Row],[SIP]],I:I)-Tabla1[[#This Row],[Kerma en aire acumulada (Gy)]],"")</f>
        <v/>
      </c>
      <c r="AB639" s="8" t="str">
        <f>CONCATENATE(F643,$A$591,D643,$A$591,E643)</f>
        <v>Juan Sebastian Pacheco Ruiz</v>
      </c>
    </row>
    <row r="640" spans="3:28">
      <c r="C640" s="94" t="s">
        <v>1088</v>
      </c>
      <c r="D640" s="134" t="s">
        <v>1714</v>
      </c>
      <c r="E640" s="134" t="s">
        <v>1715</v>
      </c>
      <c r="F640" s="134" t="s">
        <v>28</v>
      </c>
      <c r="G640" s="134">
        <v>2987256</v>
      </c>
      <c r="H640" s="135">
        <v>44469</v>
      </c>
      <c r="I640" s="134">
        <v>0.15221000000000001</v>
      </c>
      <c r="J640" s="134"/>
      <c r="K640" s="134"/>
      <c r="L640" s="134"/>
      <c r="M640" s="134"/>
      <c r="N640" s="134"/>
      <c r="O640" s="134"/>
      <c r="P640" s="134"/>
      <c r="Q640" s="134"/>
      <c r="R640" s="134"/>
      <c r="S640" s="134"/>
      <c r="T640" s="135">
        <v>23721</v>
      </c>
      <c r="U640" s="134"/>
      <c r="V640" s="134" t="s">
        <v>1594</v>
      </c>
      <c r="W640" s="92" t="str">
        <f t="shared" si="58"/>
        <v>Baño Caba,Josefa</v>
      </c>
      <c r="X640" s="95">
        <f t="shared" si="56"/>
        <v>9</v>
      </c>
      <c r="Y640" s="95">
        <f t="shared" si="57"/>
        <v>2021</v>
      </c>
      <c r="Z640" s="103" t="s">
        <v>265</v>
      </c>
      <c r="AA640" t="str">
        <f>IF(Tabla1[[#This Row],[Kerma en aire acumulada (Gy)]]&gt;1,SUMIF(G:G,Tabla1[[#This Row],[SIP]],I:I)-Tabla1[[#This Row],[Kerma en aire acumulada (Gy)]],"")</f>
        <v/>
      </c>
      <c r="AB640" s="8" t="str">
        <f>CONCATENATE(F644,$A$591,D644,$A$591,E644)</f>
        <v>Francisco Andres Pla</v>
      </c>
    </row>
    <row r="641" spans="3:28">
      <c r="C641" s="94" t="s">
        <v>1088</v>
      </c>
      <c r="D641" s="134" t="s">
        <v>337</v>
      </c>
      <c r="E641" s="134" t="s">
        <v>948</v>
      </c>
      <c r="F641" s="134" t="s">
        <v>1297</v>
      </c>
      <c r="G641" s="134">
        <v>2925662</v>
      </c>
      <c r="H641" s="135">
        <v>44469</v>
      </c>
      <c r="I641" s="134">
        <v>1.9E-2</v>
      </c>
      <c r="J641" s="134"/>
      <c r="K641" s="134"/>
      <c r="L641" s="134"/>
      <c r="M641" s="134"/>
      <c r="N641" s="134"/>
      <c r="O641" s="134"/>
      <c r="P641" s="134"/>
      <c r="Q641" s="134"/>
      <c r="R641" s="134"/>
      <c r="S641" s="134"/>
      <c r="T641" s="135">
        <v>23409</v>
      </c>
      <c r="U641" s="134"/>
      <c r="V641" s="134" t="s">
        <v>143</v>
      </c>
      <c r="W641" s="92" t="str">
        <f t="shared" si="58"/>
        <v>Garrido Martinez,Juan Vicente</v>
      </c>
      <c r="X641" s="95">
        <f t="shared" si="56"/>
        <v>9</v>
      </c>
      <c r="Y641" s="95">
        <f t="shared" si="57"/>
        <v>2021</v>
      </c>
      <c r="Z641" s="103" t="s">
        <v>265</v>
      </c>
      <c r="AA641" t="str">
        <f>IF(Tabla1[[#This Row],[Kerma en aire acumulada (Gy)]]&gt;1,SUMIF(G:G,Tabla1[[#This Row],[SIP]],I:I)-Tabla1[[#This Row],[Kerma en aire acumulada (Gy)]],"")</f>
        <v/>
      </c>
      <c r="AB641" s="8" t="str">
        <f>CONCATENATE(F645,$A$591,D645,$A$591,E645)</f>
        <v>Isidoro Delgado Santos</v>
      </c>
    </row>
    <row r="642" spans="3:28">
      <c r="C642" s="94" t="s">
        <v>1088</v>
      </c>
      <c r="D642" s="134" t="s">
        <v>1623</v>
      </c>
      <c r="E642" s="134" t="s">
        <v>1716</v>
      </c>
      <c r="F642" s="134" t="s">
        <v>1717</v>
      </c>
      <c r="G642" s="134">
        <v>2945935</v>
      </c>
      <c r="H642" s="135">
        <v>44469</v>
      </c>
      <c r="I642" s="134">
        <v>1.57E-3</v>
      </c>
      <c r="J642" s="134"/>
      <c r="K642" s="134"/>
      <c r="L642" s="134"/>
      <c r="M642" s="134"/>
      <c r="N642" s="134"/>
      <c r="O642" s="134"/>
      <c r="P642" s="134"/>
      <c r="Q642" s="134"/>
      <c r="R642" s="134"/>
      <c r="S642" s="134"/>
      <c r="T642" s="135">
        <v>25618</v>
      </c>
      <c r="U642" s="134"/>
      <c r="V642" s="134" t="s">
        <v>1300</v>
      </c>
      <c r="W642" s="92" t="str">
        <f t="shared" si="58"/>
        <v>Aguado Mañez,M Angeles Juli</v>
      </c>
      <c r="X642" s="95">
        <f t="shared" si="56"/>
        <v>9</v>
      </c>
      <c r="Y642" s="95">
        <f t="shared" si="57"/>
        <v>2021</v>
      </c>
      <c r="Z642" s="103" t="s">
        <v>265</v>
      </c>
      <c r="AA642" t="str">
        <f>IF(Tabla1[[#This Row],[Kerma en aire acumulada (Gy)]]&gt;1,SUMIF(G:G,Tabla1[[#This Row],[SIP]],I:I)-Tabla1[[#This Row],[Kerma en aire acumulada (Gy)]],"")</f>
        <v/>
      </c>
      <c r="AB642" s="8"/>
    </row>
    <row r="643" spans="3:28">
      <c r="C643" s="94" t="s">
        <v>1088</v>
      </c>
      <c r="D643" s="134" t="s">
        <v>846</v>
      </c>
      <c r="E643" s="134" t="s">
        <v>22</v>
      </c>
      <c r="F643" s="134" t="s">
        <v>1718</v>
      </c>
      <c r="G643" s="134">
        <v>893549</v>
      </c>
      <c r="H643" s="135">
        <v>44469</v>
      </c>
      <c r="I643" s="134">
        <v>2.4199999999999998E-3</v>
      </c>
      <c r="J643" s="134"/>
      <c r="K643" s="134"/>
      <c r="L643" s="134"/>
      <c r="M643" s="134"/>
      <c r="N643" s="134"/>
      <c r="O643" s="134"/>
      <c r="P643" s="134"/>
      <c r="Q643" s="134"/>
      <c r="R643" s="134"/>
      <c r="S643" s="134"/>
      <c r="T643" s="135">
        <v>27049</v>
      </c>
      <c r="U643" s="134"/>
      <c r="V643" s="134" t="s">
        <v>1300</v>
      </c>
      <c r="W643" s="92" t="str">
        <f t="shared" si="58"/>
        <v>Pacheco Ruiz,Juan Sebastian</v>
      </c>
      <c r="X643" s="95">
        <f t="shared" si="56"/>
        <v>9</v>
      </c>
      <c r="Y643" s="95">
        <f t="shared" si="57"/>
        <v>2021</v>
      </c>
      <c r="Z643" s="103" t="s">
        <v>265</v>
      </c>
      <c r="AA643" t="str">
        <f>IF(Tabla1[[#This Row],[Kerma en aire acumulada (Gy)]]&gt;1,SUMIF(G:G,Tabla1[[#This Row],[SIP]],I:I)-Tabla1[[#This Row],[Kerma en aire acumulada (Gy)]],"")</f>
        <v/>
      </c>
      <c r="AB643" s="8"/>
    </row>
    <row r="644" spans="3:28">
      <c r="C644" s="94" t="s">
        <v>1088</v>
      </c>
      <c r="D644" s="134" t="s">
        <v>1011</v>
      </c>
      <c r="E644" s="134" t="s">
        <v>1005</v>
      </c>
      <c r="F644" s="134" t="s">
        <v>83</v>
      </c>
      <c r="G644" s="134">
        <v>2254554</v>
      </c>
      <c r="H644" s="135">
        <v>44470</v>
      </c>
      <c r="I644" s="134">
        <v>4.5109999999999997E-2</v>
      </c>
      <c r="J644" s="134"/>
      <c r="K644" s="134"/>
      <c r="L644" s="134"/>
      <c r="M644" s="134"/>
      <c r="N644" s="134"/>
      <c r="O644" s="134"/>
      <c r="P644" s="134"/>
      <c r="Q644" s="134"/>
      <c r="R644" s="134"/>
      <c r="S644" s="134"/>
      <c r="T644" s="135">
        <v>18331</v>
      </c>
      <c r="U644" s="134"/>
      <c r="V644" s="134" t="s">
        <v>1116</v>
      </c>
      <c r="W644" s="92" t="str">
        <f t="shared" si="58"/>
        <v>Andres Pla,Francisco</v>
      </c>
      <c r="X644" s="95">
        <f t="shared" si="56"/>
        <v>10</v>
      </c>
      <c r="Y644" s="95">
        <f t="shared" si="57"/>
        <v>2021</v>
      </c>
      <c r="Z644" s="103" t="s">
        <v>265</v>
      </c>
      <c r="AA644" t="str">
        <f>IF(Tabla1[[#This Row],[Kerma en aire acumulada (Gy)]]&gt;1,SUMIF(G:G,Tabla1[[#This Row],[SIP]],I:I)-Tabla1[[#This Row],[Kerma en aire acumulada (Gy)]],"")</f>
        <v/>
      </c>
      <c r="AB644" s="8"/>
    </row>
    <row r="645" spans="3:28">
      <c r="C645" s="94" t="s">
        <v>1088</v>
      </c>
      <c r="D645" s="134" t="s">
        <v>74</v>
      </c>
      <c r="E645" s="134" t="s">
        <v>1762</v>
      </c>
      <c r="F645" s="134" t="s">
        <v>1763</v>
      </c>
      <c r="G645" s="134">
        <v>3277891</v>
      </c>
      <c r="H645" s="135">
        <v>44470</v>
      </c>
      <c r="I645" s="134">
        <v>0.31444</v>
      </c>
      <c r="J645" s="134"/>
      <c r="K645" s="134"/>
      <c r="L645" s="134"/>
      <c r="M645" s="134"/>
      <c r="N645" s="134"/>
      <c r="O645" s="134"/>
      <c r="P645" s="134"/>
      <c r="Q645" s="134"/>
      <c r="R645" s="134"/>
      <c r="S645" s="134"/>
      <c r="T645" s="135">
        <v>20948</v>
      </c>
      <c r="U645" s="134"/>
      <c r="V645" s="134" t="s">
        <v>1631</v>
      </c>
      <c r="W645" s="92" t="str">
        <f t="shared" si="58"/>
        <v>Delgado Santos,Isidoro</v>
      </c>
      <c r="X645" s="95">
        <f t="shared" si="56"/>
        <v>10</v>
      </c>
      <c r="Y645" s="95">
        <f t="shared" si="57"/>
        <v>2021</v>
      </c>
      <c r="Z645" s="103" t="s">
        <v>265</v>
      </c>
      <c r="AA645" t="str">
        <f>IF(Tabla1[[#This Row],[Kerma en aire acumulada (Gy)]]&gt;1,SUMIF(G:G,Tabla1[[#This Row],[SIP]],I:I)-Tabla1[[#This Row],[Kerma en aire acumulada (Gy)]],"")</f>
        <v/>
      </c>
      <c r="AB645" s="8"/>
    </row>
    <row r="646" spans="3:28">
      <c r="C646" s="94" t="s">
        <v>1088</v>
      </c>
      <c r="D646" s="134" t="s">
        <v>74</v>
      </c>
      <c r="E646" s="134" t="s">
        <v>1762</v>
      </c>
      <c r="F646" s="134" t="s">
        <v>1763</v>
      </c>
      <c r="G646" s="134">
        <v>3277891</v>
      </c>
      <c r="H646" s="135">
        <v>44471</v>
      </c>
      <c r="I646" s="134">
        <v>0.16342000000000001</v>
      </c>
      <c r="J646" s="134"/>
      <c r="K646" s="134"/>
      <c r="L646" s="134"/>
      <c r="M646" s="134"/>
      <c r="N646" s="134"/>
      <c r="O646" s="134"/>
      <c r="P646" s="134"/>
      <c r="Q646" s="134"/>
      <c r="R646" s="134"/>
      <c r="S646" s="134"/>
      <c r="T646" s="135">
        <v>20948</v>
      </c>
      <c r="U646" s="134"/>
      <c r="V646" s="134" t="s">
        <v>1631</v>
      </c>
      <c r="W646" s="92" t="str">
        <f t="shared" si="58"/>
        <v>Delgado Santos,Isidoro</v>
      </c>
      <c r="X646" s="95">
        <f t="shared" si="56"/>
        <v>10</v>
      </c>
      <c r="Y646" s="95">
        <f t="shared" si="57"/>
        <v>2021</v>
      </c>
      <c r="Z646" s="103" t="s">
        <v>265</v>
      </c>
      <c r="AA646" t="str">
        <f>IF(Tabla1[[#This Row],[Kerma en aire acumulada (Gy)]]&gt;1,SUMIF(G:G,Tabla1[[#This Row],[SIP]],I:I)-Tabla1[[#This Row],[Kerma en aire acumulada (Gy)]],"")</f>
        <v/>
      </c>
      <c r="AB646" s="8"/>
    </row>
    <row r="647" spans="3:28">
      <c r="C647" s="94" t="s">
        <v>1088</v>
      </c>
      <c r="D647" s="134" t="s">
        <v>74</v>
      </c>
      <c r="E647" s="134" t="s">
        <v>1762</v>
      </c>
      <c r="F647" s="134" t="s">
        <v>1763</v>
      </c>
      <c r="G647" s="134">
        <v>3277891</v>
      </c>
      <c r="H647" s="135">
        <v>44472</v>
      </c>
      <c r="I647" s="134">
        <v>2.785E-2</v>
      </c>
      <c r="J647" s="134"/>
      <c r="K647" s="134"/>
      <c r="L647" s="134"/>
      <c r="M647" s="134"/>
      <c r="N647" s="134"/>
      <c r="O647" s="134"/>
      <c r="P647" s="134"/>
      <c r="Q647" s="134"/>
      <c r="R647" s="134"/>
      <c r="S647" s="134"/>
      <c r="T647" s="135">
        <v>20948</v>
      </c>
      <c r="U647" s="134"/>
      <c r="V647" s="134" t="s">
        <v>1631</v>
      </c>
      <c r="W647" s="92" t="str">
        <f t="shared" si="58"/>
        <v>Delgado Santos,Isidoro</v>
      </c>
      <c r="X647" s="95">
        <f t="shared" si="56"/>
        <v>10</v>
      </c>
      <c r="Y647" s="95">
        <f t="shared" si="57"/>
        <v>2021</v>
      </c>
      <c r="Z647" s="103" t="s">
        <v>265</v>
      </c>
      <c r="AA647" t="str">
        <f>IF(Tabla1[[#This Row],[Kerma en aire acumulada (Gy)]]&gt;1,SUMIF(G:G,Tabla1[[#This Row],[SIP]],I:I)-Tabla1[[#This Row],[Kerma en aire acumulada (Gy)]],"")</f>
        <v/>
      </c>
      <c r="AB647" s="8" t="str">
        <f>CONCATENATE(F651,$A$591,D651,$A$591,E651)</f>
        <v>Vicente Gil Guillem</v>
      </c>
    </row>
    <row r="648" spans="3:28">
      <c r="C648" s="94" t="s">
        <v>1088</v>
      </c>
      <c r="D648" s="134" t="s">
        <v>337</v>
      </c>
      <c r="E648" s="134" t="s">
        <v>1760</v>
      </c>
      <c r="F648" s="134" t="s">
        <v>300</v>
      </c>
      <c r="G648" s="134">
        <v>2671673</v>
      </c>
      <c r="H648" s="135">
        <v>44473</v>
      </c>
      <c r="I648" s="134">
        <v>0.57764000000000004</v>
      </c>
      <c r="J648" s="134"/>
      <c r="K648" s="134"/>
      <c r="L648" s="134"/>
      <c r="M648" s="134"/>
      <c r="N648" s="134"/>
      <c r="O648" s="134"/>
      <c r="P648" s="134"/>
      <c r="Q648" s="134"/>
      <c r="R648" s="134"/>
      <c r="S648" s="134"/>
      <c r="T648" s="135">
        <v>28888</v>
      </c>
      <c r="U648" s="134"/>
      <c r="V648" s="134" t="s">
        <v>1761</v>
      </c>
      <c r="W648" s="92" t="str">
        <f t="shared" si="58"/>
        <v>Garrido Exposito,Carlos</v>
      </c>
      <c r="X648" s="95">
        <f t="shared" si="56"/>
        <v>10</v>
      </c>
      <c r="Y648" s="95">
        <f t="shared" si="57"/>
        <v>2021</v>
      </c>
      <c r="Z648" s="103" t="s">
        <v>265</v>
      </c>
      <c r="AA648" t="str">
        <f>IF(Tabla1[[#This Row],[Kerma en aire acumulada (Gy)]]&gt;1,SUMIF(G:G,Tabla1[[#This Row],[SIP]],I:I)-Tabla1[[#This Row],[Kerma en aire acumulada (Gy)]],"")</f>
        <v/>
      </c>
      <c r="AB648" s="8"/>
    </row>
    <row r="649" spans="3:28">
      <c r="C649" s="94" t="s">
        <v>1088</v>
      </c>
      <c r="D649" s="134" t="s">
        <v>1009</v>
      </c>
      <c r="E649" s="134" t="s">
        <v>1101</v>
      </c>
      <c r="F649" s="134" t="s">
        <v>1038</v>
      </c>
      <c r="G649" s="134">
        <v>3187920</v>
      </c>
      <c r="H649" s="135">
        <v>44474</v>
      </c>
      <c r="I649" s="134">
        <v>0.12392</v>
      </c>
      <c r="J649" s="134"/>
      <c r="K649" s="134"/>
      <c r="L649" s="134"/>
      <c r="M649" s="134"/>
      <c r="N649" s="134"/>
      <c r="O649" s="134"/>
      <c r="P649" s="134"/>
      <c r="Q649" s="134"/>
      <c r="R649" s="134"/>
      <c r="S649" s="134"/>
      <c r="T649" s="135">
        <v>20177</v>
      </c>
      <c r="U649" s="134"/>
      <c r="V649" s="134" t="s">
        <v>1284</v>
      </c>
      <c r="W649" s="92" t="str">
        <f t="shared" si="58"/>
        <v>Fernandez Sarralde,Juan Antonio</v>
      </c>
      <c r="X649" s="95">
        <f t="shared" si="56"/>
        <v>10</v>
      </c>
      <c r="Y649" s="95">
        <f t="shared" si="57"/>
        <v>2021</v>
      </c>
      <c r="Z649" s="103" t="s">
        <v>265</v>
      </c>
      <c r="AA649" t="str">
        <f>IF(Tabla1[[#This Row],[Kerma en aire acumulada (Gy)]]&gt;1,SUMIF(G:G,Tabla1[[#This Row],[SIP]],I:I)-Tabla1[[#This Row],[Kerma en aire acumulada (Gy)]],"")</f>
        <v/>
      </c>
      <c r="AB649" s="8" t="str">
        <f>CONCATENATE(F653,$A$591,D653,$A$591,E653)</f>
        <v>Antonia Mares Gros</v>
      </c>
    </row>
    <row r="650" spans="3:28">
      <c r="C650" s="94" t="s">
        <v>1088</v>
      </c>
      <c r="D650" s="134" t="s">
        <v>1759</v>
      </c>
      <c r="E650" s="134" t="s">
        <v>1621</v>
      </c>
      <c r="F650" s="134" t="s">
        <v>1139</v>
      </c>
      <c r="G650" s="134">
        <v>102773</v>
      </c>
      <c r="H650" s="135">
        <v>44474</v>
      </c>
      <c r="I650" s="134">
        <v>3.3649999999999999E-2</v>
      </c>
      <c r="J650" s="134"/>
      <c r="K650" s="134"/>
      <c r="L650" s="134"/>
      <c r="M650" s="134"/>
      <c r="N650" s="134"/>
      <c r="O650" s="134"/>
      <c r="P650" s="134"/>
      <c r="Q650" s="134"/>
      <c r="R650" s="134"/>
      <c r="S650" s="134"/>
      <c r="T650" s="135">
        <v>22503</v>
      </c>
      <c r="U650" s="134"/>
      <c r="V650" s="134" t="s">
        <v>1293</v>
      </c>
      <c r="W650" s="92" t="str">
        <f t="shared" si="58"/>
        <v>Martin Ramon,Jose Vicente</v>
      </c>
      <c r="X650" s="95">
        <f t="shared" si="56"/>
        <v>10</v>
      </c>
      <c r="Y650" s="95">
        <f t="shared" si="57"/>
        <v>2021</v>
      </c>
      <c r="Z650" s="103" t="s">
        <v>265</v>
      </c>
      <c r="AA650" t="str">
        <f>IF(Tabla1[[#This Row],[Kerma en aire acumulada (Gy)]]&gt;1,SUMIF(G:G,Tabla1[[#This Row],[SIP]],I:I)-Tabla1[[#This Row],[Kerma en aire acumulada (Gy)]],"")</f>
        <v/>
      </c>
      <c r="AB650" s="8"/>
    </row>
    <row r="651" spans="3:28">
      <c r="C651" s="94" t="s">
        <v>1088</v>
      </c>
      <c r="D651" s="134" t="s">
        <v>634</v>
      </c>
      <c r="E651" s="134" t="s">
        <v>1749</v>
      </c>
      <c r="F651" s="134" t="s">
        <v>88</v>
      </c>
      <c r="G651" s="134">
        <v>2222684</v>
      </c>
      <c r="H651" s="135">
        <v>44474</v>
      </c>
      <c r="I651" s="134">
        <v>0.95455000000000001</v>
      </c>
      <c r="J651" s="134"/>
      <c r="K651" s="134"/>
      <c r="L651" s="134"/>
      <c r="M651" s="134"/>
      <c r="N651" s="134"/>
      <c r="O651" s="134"/>
      <c r="P651" s="134"/>
      <c r="Q651" s="134"/>
      <c r="R651" s="134"/>
      <c r="S651" s="134"/>
      <c r="T651" s="135">
        <v>15027</v>
      </c>
      <c r="U651" s="134"/>
      <c r="V651" s="134" t="s">
        <v>550</v>
      </c>
      <c r="W651" s="92" t="str">
        <f t="shared" si="58"/>
        <v>Gil Guillem,Vicente</v>
      </c>
      <c r="X651" s="95">
        <f t="shared" si="56"/>
        <v>10</v>
      </c>
      <c r="Y651" s="95">
        <f t="shared" si="57"/>
        <v>2021</v>
      </c>
      <c r="Z651" s="103" t="s">
        <v>265</v>
      </c>
      <c r="AA651" t="str">
        <f>IF(Tabla1[[#This Row],[Kerma en aire acumulada (Gy)]]&gt;1,SUMIF(G:G,Tabla1[[#This Row],[SIP]],I:I)-Tabla1[[#This Row],[Kerma en aire acumulada (Gy)]],"")</f>
        <v/>
      </c>
      <c r="AB651" s="8"/>
    </row>
    <row r="652" spans="3:28">
      <c r="C652" s="94" t="s">
        <v>1088</v>
      </c>
      <c r="D652" s="134" t="s">
        <v>971</v>
      </c>
      <c r="E652" s="134" t="s">
        <v>948</v>
      </c>
      <c r="F652" s="134" t="s">
        <v>972</v>
      </c>
      <c r="G652" s="134">
        <v>1777454</v>
      </c>
      <c r="H652" s="135">
        <v>44474</v>
      </c>
      <c r="I652" s="134">
        <v>2.3619999999999999E-2</v>
      </c>
      <c r="J652" s="134"/>
      <c r="K652" s="134"/>
      <c r="L652" s="134"/>
      <c r="M652" s="134"/>
      <c r="N652" s="134"/>
      <c r="O652" s="134"/>
      <c r="P652" s="134"/>
      <c r="Q652" s="134"/>
      <c r="R652" s="134"/>
      <c r="S652" s="134"/>
      <c r="T652" s="135">
        <v>21339</v>
      </c>
      <c r="U652" s="134"/>
      <c r="V652" s="134" t="s">
        <v>1293</v>
      </c>
      <c r="W652" s="92" t="str">
        <f t="shared" si="58"/>
        <v>Amber Martinez,Josefina</v>
      </c>
      <c r="X652" s="95">
        <f t="shared" si="56"/>
        <v>10</v>
      </c>
      <c r="Y652" s="95">
        <f t="shared" si="57"/>
        <v>2021</v>
      </c>
      <c r="Z652" s="103" t="s">
        <v>265</v>
      </c>
      <c r="AA652" t="str">
        <f>IF(Tabla1[[#This Row],[Kerma en aire acumulada (Gy)]]&gt;1,SUMIF(G:G,Tabla1[[#This Row],[SIP]],I:I)-Tabla1[[#This Row],[Kerma en aire acumulada (Gy)]],"")</f>
        <v/>
      </c>
      <c r="AB652" s="8" t="str">
        <f t="shared" ref="AB652:AB661" si="59">CONCATENATE(F656,$A$591,D656,$A$591,E656)</f>
        <v>Pascual Huesca Castello</v>
      </c>
    </row>
    <row r="653" spans="3:28">
      <c r="C653" s="94" t="s">
        <v>1088</v>
      </c>
      <c r="D653" s="134" t="s">
        <v>1709</v>
      </c>
      <c r="E653" s="134" t="s">
        <v>1710</v>
      </c>
      <c r="F653" s="134" t="s">
        <v>774</v>
      </c>
      <c r="G653" s="134">
        <v>10826765</v>
      </c>
      <c r="H653" s="135">
        <v>44475</v>
      </c>
      <c r="I653" s="134">
        <v>0.39411000000000002</v>
      </c>
      <c r="J653" s="134"/>
      <c r="K653" s="134"/>
      <c r="L653" s="134"/>
      <c r="M653" s="134"/>
      <c r="N653" s="134"/>
      <c r="O653" s="134"/>
      <c r="P653" s="134"/>
      <c r="Q653" s="134"/>
      <c r="R653" s="134"/>
      <c r="S653" s="134"/>
      <c r="T653" s="135">
        <v>18110</v>
      </c>
      <c r="U653" s="134"/>
      <c r="V653" s="134" t="s">
        <v>1711</v>
      </c>
      <c r="W653" s="92" t="str">
        <f t="shared" si="58"/>
        <v>Mares Gros,Antonia</v>
      </c>
      <c r="X653" s="95">
        <f t="shared" si="56"/>
        <v>10</v>
      </c>
      <c r="Y653" s="95">
        <f t="shared" si="57"/>
        <v>2021</v>
      </c>
      <c r="Z653" s="103" t="s">
        <v>265</v>
      </c>
      <c r="AA653" t="str">
        <f>IF(Tabla1[[#This Row],[Kerma en aire acumulada (Gy)]]&gt;1,SUMIF(G:G,Tabla1[[#This Row],[SIP]],I:I)-Tabla1[[#This Row],[Kerma en aire acumulada (Gy)]],"")</f>
        <v/>
      </c>
      <c r="AB653" s="8" t="str">
        <f t="shared" si="59"/>
        <v>M Francisca Cañas Aguilar</v>
      </c>
    </row>
    <row r="654" spans="3:28">
      <c r="C654" s="94" t="s">
        <v>1088</v>
      </c>
      <c r="D654" s="134" t="s">
        <v>1712</v>
      </c>
      <c r="E654" s="134"/>
      <c r="F654" s="134" t="s">
        <v>1713</v>
      </c>
      <c r="G654" s="134">
        <v>5001909</v>
      </c>
      <c r="H654" s="135">
        <v>44475</v>
      </c>
      <c r="I654" s="134">
        <v>0.16678999999999999</v>
      </c>
      <c r="J654" s="134"/>
      <c r="K654" s="134"/>
      <c r="L654" s="134"/>
      <c r="M654" s="134"/>
      <c r="N654" s="134"/>
      <c r="O654" s="134"/>
      <c r="P654" s="134"/>
      <c r="Q654" s="134"/>
      <c r="R654" s="134"/>
      <c r="S654" s="134"/>
      <c r="T654" s="135">
        <v>20446</v>
      </c>
      <c r="U654" s="134"/>
      <c r="V654" s="134" t="s">
        <v>139</v>
      </c>
      <c r="W654" s="92" t="str">
        <f t="shared" si="58"/>
        <v>Magnanelli ,Fernando Domingo</v>
      </c>
      <c r="X654" s="95">
        <f t="shared" si="56"/>
        <v>10</v>
      </c>
      <c r="Y654" s="95">
        <f t="shared" si="57"/>
        <v>2021</v>
      </c>
      <c r="Z654" s="103" t="s">
        <v>265</v>
      </c>
      <c r="AA654" t="str">
        <f>IF(Tabla1[[#This Row],[Kerma en aire acumulada (Gy)]]&gt;1,SUMIF(G:G,Tabla1[[#This Row],[SIP]],I:I)-Tabla1[[#This Row],[Kerma en aire acumulada (Gy)]],"")</f>
        <v/>
      </c>
      <c r="AB654" s="8" t="str">
        <f t="shared" si="59"/>
        <v>Tomas Agullo Díaz</v>
      </c>
    </row>
    <row r="655" spans="3:28">
      <c r="C655" s="94" t="s">
        <v>1088</v>
      </c>
      <c r="D655" s="134" t="s">
        <v>1752</v>
      </c>
      <c r="E655" s="134" t="s">
        <v>1753</v>
      </c>
      <c r="F655" s="134" t="s">
        <v>1754</v>
      </c>
      <c r="G655" s="134">
        <v>13299385</v>
      </c>
      <c r="H655" s="135">
        <v>44475</v>
      </c>
      <c r="I655" s="134">
        <v>0.11255</v>
      </c>
      <c r="J655" s="134"/>
      <c r="K655" s="134"/>
      <c r="L655" s="134"/>
      <c r="M655" s="134"/>
      <c r="N655" s="134"/>
      <c r="O655" s="134"/>
      <c r="P655" s="134"/>
      <c r="Q655" s="134"/>
      <c r="R655" s="134"/>
      <c r="S655" s="134"/>
      <c r="T655" s="135">
        <v>31165</v>
      </c>
      <c r="U655" s="134"/>
      <c r="V655" s="134" t="s">
        <v>1116</v>
      </c>
      <c r="W655" s="92" t="str">
        <f t="shared" si="58"/>
        <v>Molla Rudy,Yan</v>
      </c>
      <c r="X655" s="95">
        <f t="shared" si="56"/>
        <v>10</v>
      </c>
      <c r="Y655" s="95">
        <f t="shared" si="57"/>
        <v>2021</v>
      </c>
      <c r="Z655" s="103" t="s">
        <v>265</v>
      </c>
      <c r="AA655" t="str">
        <f>IF(Tabla1[[#This Row],[Kerma en aire acumulada (Gy)]]&gt;1,SUMIF(G:G,Tabla1[[#This Row],[SIP]],I:I)-Tabla1[[#This Row],[Kerma en aire acumulada (Gy)]],"")</f>
        <v/>
      </c>
      <c r="AB655" s="8" t="str">
        <f t="shared" si="59"/>
        <v>Eduardo Ramos Villodre</v>
      </c>
    </row>
    <row r="656" spans="3:28">
      <c r="C656" s="94" t="s">
        <v>1088</v>
      </c>
      <c r="D656" s="134" t="s">
        <v>1287</v>
      </c>
      <c r="E656" s="134" t="s">
        <v>1288</v>
      </c>
      <c r="F656" s="134" t="s">
        <v>82</v>
      </c>
      <c r="G656" s="134">
        <v>2849235</v>
      </c>
      <c r="H656" s="135">
        <v>44475</v>
      </c>
      <c r="I656" s="134">
        <v>2.3400000000000001E-2</v>
      </c>
      <c r="J656" s="134"/>
      <c r="K656" s="134"/>
      <c r="L656" s="134"/>
      <c r="M656" s="134"/>
      <c r="N656" s="134"/>
      <c r="O656" s="134"/>
      <c r="P656" s="134"/>
      <c r="Q656" s="134"/>
      <c r="R656" s="134"/>
      <c r="S656" s="134"/>
      <c r="T656" s="135">
        <v>19135</v>
      </c>
      <c r="U656" s="134"/>
      <c r="V656" s="134" t="s">
        <v>143</v>
      </c>
      <c r="W656" s="92" t="str">
        <f t="shared" si="58"/>
        <v>Huesca Castello,Pascual</v>
      </c>
      <c r="X656" s="95">
        <f t="shared" si="56"/>
        <v>10</v>
      </c>
      <c r="Y656" s="95">
        <f t="shared" si="57"/>
        <v>2021</v>
      </c>
      <c r="Z656" s="103" t="s">
        <v>265</v>
      </c>
      <c r="AA656" t="str">
        <f>IF(Tabla1[[#This Row],[Kerma en aire acumulada (Gy)]]&gt;1,SUMIF(G:G,Tabla1[[#This Row],[SIP]],I:I)-Tabla1[[#This Row],[Kerma en aire acumulada (Gy)]],"")</f>
        <v/>
      </c>
      <c r="AB656" s="8" t="str">
        <f t="shared" si="59"/>
        <v>Maria Dolores Tendero Barcelo</v>
      </c>
    </row>
    <row r="657" spans="3:28">
      <c r="C657" s="94" t="s">
        <v>1088</v>
      </c>
      <c r="D657" s="134" t="s">
        <v>1755</v>
      </c>
      <c r="E657" s="134" t="s">
        <v>1756</v>
      </c>
      <c r="F657" s="134" t="s">
        <v>1757</v>
      </c>
      <c r="G657" s="134">
        <v>2813374</v>
      </c>
      <c r="H657" s="135">
        <v>44475</v>
      </c>
      <c r="I657" s="134">
        <v>0.10861999999999999</v>
      </c>
      <c r="J657" s="134"/>
      <c r="K657" s="134"/>
      <c r="L657" s="134"/>
      <c r="M657" s="134"/>
      <c r="N657" s="134"/>
      <c r="O657" s="134"/>
      <c r="P657" s="134"/>
      <c r="Q657" s="134"/>
      <c r="R657" s="134"/>
      <c r="S657" s="134"/>
      <c r="T657" s="135">
        <v>18627</v>
      </c>
      <c r="U657" s="134"/>
      <c r="V657" s="134" t="s">
        <v>1758</v>
      </c>
      <c r="W657" s="92" t="str">
        <f t="shared" si="58"/>
        <v>Cañas Aguilar,M Francisca</v>
      </c>
      <c r="X657" s="95">
        <f t="shared" si="56"/>
        <v>10</v>
      </c>
      <c r="Y657" s="95">
        <f t="shared" si="57"/>
        <v>2021</v>
      </c>
      <c r="Z657" s="103" t="s">
        <v>265</v>
      </c>
      <c r="AA657" t="str">
        <f>IF(Tabla1[[#This Row],[Kerma en aire acumulada (Gy)]]&gt;1,SUMIF(G:G,Tabla1[[#This Row],[SIP]],I:I)-Tabla1[[#This Row],[Kerma en aire acumulada (Gy)]],"")</f>
        <v/>
      </c>
      <c r="AB657" s="8" t="str">
        <f t="shared" si="59"/>
        <v>M Carmen Castaño Encina</v>
      </c>
    </row>
    <row r="658" spans="3:28">
      <c r="C658" s="94" t="s">
        <v>1088</v>
      </c>
      <c r="D658" s="134" t="s">
        <v>1323</v>
      </c>
      <c r="E658" s="134" t="s">
        <v>829</v>
      </c>
      <c r="F658" s="134" t="s">
        <v>1771</v>
      </c>
      <c r="G658" s="137">
        <v>1254187</v>
      </c>
      <c r="H658" s="135">
        <v>44475</v>
      </c>
      <c r="I658" s="137">
        <v>3.10968</v>
      </c>
      <c r="J658" s="134"/>
      <c r="K658" s="134"/>
      <c r="L658" s="134"/>
      <c r="M658" s="134"/>
      <c r="N658" s="134"/>
      <c r="O658" s="134"/>
      <c r="P658" s="134"/>
      <c r="Q658" s="134"/>
      <c r="R658" s="134"/>
      <c r="S658" s="134"/>
      <c r="T658" s="135">
        <v>14715</v>
      </c>
      <c r="U658" s="134"/>
      <c r="V658" s="90" t="s">
        <v>563</v>
      </c>
      <c r="W658" s="92" t="str">
        <f t="shared" si="58"/>
        <v>Agullo Díaz,Tomas</v>
      </c>
      <c r="X658" s="95">
        <f t="shared" si="56"/>
        <v>10</v>
      </c>
      <c r="Y658" s="95">
        <f t="shared" si="57"/>
        <v>2021</v>
      </c>
      <c r="Z658" s="93" t="s">
        <v>266</v>
      </c>
      <c r="AA658">
        <f>IF(Tabla1[[#This Row],[Kerma en aire acumulada (Gy)]]&gt;1,SUMIF(G:G,Tabla1[[#This Row],[SIP]],I:I)-Tabla1[[#This Row],[Kerma en aire acumulada (Gy)]],"")</f>
        <v>0</v>
      </c>
      <c r="AB658" s="8" t="str">
        <f t="shared" si="59"/>
        <v>M Antonia Garcia Furio</v>
      </c>
    </row>
    <row r="659" spans="3:28">
      <c r="C659" s="94" t="s">
        <v>1689</v>
      </c>
      <c r="D659" s="134" t="s">
        <v>36</v>
      </c>
      <c r="E659" s="134" t="s">
        <v>1701</v>
      </c>
      <c r="F659" s="134" t="s">
        <v>1596</v>
      </c>
      <c r="G659" s="134">
        <v>3176259</v>
      </c>
      <c r="H659" s="135">
        <v>44476</v>
      </c>
      <c r="I659" s="139" t="s">
        <v>1188</v>
      </c>
      <c r="J659" s="134"/>
      <c r="K659" s="134"/>
      <c r="L659" s="134"/>
      <c r="M659" s="134"/>
      <c r="N659" s="134"/>
      <c r="O659" s="134"/>
      <c r="P659" s="134"/>
      <c r="Q659" s="134"/>
      <c r="R659" s="134"/>
      <c r="S659" s="134"/>
      <c r="T659" s="135">
        <v>14718</v>
      </c>
      <c r="U659" s="134"/>
      <c r="V659" s="134" t="s">
        <v>139</v>
      </c>
      <c r="W659" s="92" t="str">
        <f t="shared" si="58"/>
        <v>Ramos Villodre,Eduardo</v>
      </c>
      <c r="X659" s="95">
        <f t="shared" si="56"/>
        <v>10</v>
      </c>
      <c r="Y659" s="95">
        <f t="shared" si="57"/>
        <v>2021</v>
      </c>
      <c r="Z659" s="103" t="s">
        <v>265</v>
      </c>
      <c r="AA659" t="e">
        <f>IF(Tabla1[[#This Row],[Kerma en aire acumulada (Gy)]]&gt;1,SUMIF(G:G,Tabla1[[#This Row],[SIP]],I:I)-Tabla1[[#This Row],[Kerma en aire acumulada (Gy)]],"")</f>
        <v>#VALUE!</v>
      </c>
      <c r="AB659" s="8" t="str">
        <f t="shared" si="59"/>
        <v>Vicente Gil Guillem</v>
      </c>
    </row>
    <row r="660" spans="3:28">
      <c r="C660" s="94" t="s">
        <v>1088</v>
      </c>
      <c r="D660" s="134" t="s">
        <v>1702</v>
      </c>
      <c r="E660" s="134" t="s">
        <v>1703</v>
      </c>
      <c r="F660" s="134" t="s">
        <v>1704</v>
      </c>
      <c r="G660" s="134">
        <v>13283510</v>
      </c>
      <c r="H660" s="135">
        <v>44476</v>
      </c>
      <c r="I660" s="134">
        <v>0.12623000000000001</v>
      </c>
      <c r="J660" s="134"/>
      <c r="K660" s="134"/>
      <c r="L660" s="134"/>
      <c r="M660" s="134"/>
      <c r="N660" s="134"/>
      <c r="O660" s="134"/>
      <c r="P660" s="134"/>
      <c r="Q660" s="134"/>
      <c r="R660" s="134"/>
      <c r="S660" s="134"/>
      <c r="T660" s="135">
        <v>22360</v>
      </c>
      <c r="U660" s="134"/>
      <c r="V660" s="134" t="s">
        <v>139</v>
      </c>
      <c r="W660" s="92" t="str">
        <f t="shared" si="58"/>
        <v>Tendero Barcelo,Maria Dolores</v>
      </c>
      <c r="X660" s="95">
        <f t="shared" si="56"/>
        <v>10</v>
      </c>
      <c r="Y660" s="95">
        <f t="shared" si="57"/>
        <v>2021</v>
      </c>
      <c r="Z660" s="103" t="s">
        <v>265</v>
      </c>
      <c r="AA660" t="str">
        <f>IF(Tabla1[[#This Row],[Kerma en aire acumulada (Gy)]]&gt;1,SUMIF(G:G,Tabla1[[#This Row],[SIP]],I:I)-Tabla1[[#This Row],[Kerma en aire acumulada (Gy)]],"")</f>
        <v/>
      </c>
      <c r="AB660" s="8" t="str">
        <f t="shared" si="59"/>
        <v>Dolores Guinot Alvaro</v>
      </c>
    </row>
    <row r="661" spans="3:28">
      <c r="C661" s="94" t="s">
        <v>1088</v>
      </c>
      <c r="D661" s="134" t="s">
        <v>1705</v>
      </c>
      <c r="E661" s="134" t="s">
        <v>1706</v>
      </c>
      <c r="F661" s="134" t="s">
        <v>117</v>
      </c>
      <c r="G661" s="134">
        <v>3004993</v>
      </c>
      <c r="H661" s="135">
        <v>44476</v>
      </c>
      <c r="I661" s="134">
        <v>2.759E-2</v>
      </c>
      <c r="J661" s="134"/>
      <c r="K661" s="134"/>
      <c r="L661" s="134"/>
      <c r="M661" s="134"/>
      <c r="N661" s="134"/>
      <c r="O661" s="134"/>
      <c r="P661" s="134"/>
      <c r="Q661" s="134"/>
      <c r="R661" s="134"/>
      <c r="S661" s="134"/>
      <c r="T661" s="135">
        <v>18595</v>
      </c>
      <c r="U661" s="134"/>
      <c r="V661" s="134" t="s">
        <v>139</v>
      </c>
      <c r="W661" s="92" t="str">
        <f t="shared" si="58"/>
        <v>Castaño Encina,M Carmen</v>
      </c>
      <c r="X661" s="95">
        <f t="shared" ref="X661:X724" si="60">MONTH(H661)</f>
        <v>10</v>
      </c>
      <c r="Y661" s="95">
        <f t="shared" ref="Y661:Y724" si="61">YEAR(H661)</f>
        <v>2021</v>
      </c>
      <c r="Z661" s="103" t="s">
        <v>265</v>
      </c>
      <c r="AA661" t="str">
        <f>IF(Tabla1[[#This Row],[Kerma en aire acumulada (Gy)]]&gt;1,SUMIF(G:G,Tabla1[[#This Row],[SIP]],I:I)-Tabla1[[#This Row],[Kerma en aire acumulada (Gy)]],"")</f>
        <v/>
      </c>
      <c r="AB661" s="8" t="str">
        <f t="shared" si="59"/>
        <v>Jose Arturo Ruiz Alamo</v>
      </c>
    </row>
    <row r="662" spans="3:28">
      <c r="C662" s="94" t="s">
        <v>1088</v>
      </c>
      <c r="D662" s="134" t="s">
        <v>962</v>
      </c>
      <c r="E662" s="134" t="s">
        <v>1707</v>
      </c>
      <c r="F662" s="134" t="s">
        <v>1708</v>
      </c>
      <c r="G662" s="134">
        <v>2826286</v>
      </c>
      <c r="H662" s="135">
        <v>44476</v>
      </c>
      <c r="I662" s="139" t="s">
        <v>1188</v>
      </c>
      <c r="J662" s="134"/>
      <c r="K662" s="134"/>
      <c r="L662" s="134"/>
      <c r="M662" s="134"/>
      <c r="N662" s="134"/>
      <c r="O662" s="134"/>
      <c r="P662" s="134"/>
      <c r="Q662" s="134"/>
      <c r="R662" s="134"/>
      <c r="S662" s="134"/>
      <c r="T662" s="135">
        <v>17821</v>
      </c>
      <c r="U662" s="134"/>
      <c r="V662" s="134" t="s">
        <v>139</v>
      </c>
      <c r="W662" s="92" t="str">
        <f t="shared" si="58"/>
        <v>Garcia Furio,M Antonia</v>
      </c>
      <c r="X662" s="95">
        <f t="shared" si="60"/>
        <v>10</v>
      </c>
      <c r="Y662" s="95">
        <f t="shared" si="61"/>
        <v>2021</v>
      </c>
      <c r="Z662" s="103" t="s">
        <v>265</v>
      </c>
      <c r="AA662" t="e">
        <f>IF(Tabla1[[#This Row],[Kerma en aire acumulada (Gy)]]&gt;1,SUMIF(G:G,Tabla1[[#This Row],[SIP]],I:I)-Tabla1[[#This Row],[Kerma en aire acumulada (Gy)]],"")</f>
        <v>#VALUE!</v>
      </c>
      <c r="AB662" s="8"/>
    </row>
    <row r="663" spans="3:28">
      <c r="C663" s="94" t="s">
        <v>1088</v>
      </c>
      <c r="D663" s="134" t="s">
        <v>634</v>
      </c>
      <c r="E663" s="134" t="s">
        <v>1749</v>
      </c>
      <c r="F663" s="134" t="s">
        <v>88</v>
      </c>
      <c r="G663" s="134">
        <v>2222684</v>
      </c>
      <c r="H663" s="135">
        <v>44476</v>
      </c>
      <c r="I663" s="139">
        <v>3.0120000000000001E-2</v>
      </c>
      <c r="J663" s="134"/>
      <c r="K663" s="134"/>
      <c r="L663" s="134"/>
      <c r="M663" s="134"/>
      <c r="N663" s="134"/>
      <c r="O663" s="134"/>
      <c r="P663" s="134"/>
      <c r="Q663" s="134"/>
      <c r="R663" s="134"/>
      <c r="S663" s="134"/>
      <c r="T663" s="135">
        <v>15027</v>
      </c>
      <c r="U663" s="134"/>
      <c r="V663" s="134" t="s">
        <v>143</v>
      </c>
      <c r="W663" s="92" t="str">
        <f t="shared" si="58"/>
        <v>Gil Guillem,Vicente</v>
      </c>
      <c r="X663" s="95">
        <f t="shared" si="60"/>
        <v>10</v>
      </c>
      <c r="Y663" s="95">
        <f t="shared" si="61"/>
        <v>2021</v>
      </c>
      <c r="Z663" s="103" t="s">
        <v>265</v>
      </c>
      <c r="AA663" t="str">
        <f>IF(Tabla1[[#This Row],[Kerma en aire acumulada (Gy)]]&gt;1,SUMIF(G:G,Tabla1[[#This Row],[SIP]],I:I)-Tabla1[[#This Row],[Kerma en aire acumulada (Gy)]],"")</f>
        <v/>
      </c>
      <c r="AB663" s="8" t="str">
        <f>CONCATENATE(F667,$A$591,D667,$A$591,E667)</f>
        <v>Maria Soraya Adan Berradre</v>
      </c>
    </row>
    <row r="664" spans="3:28">
      <c r="C664" s="94" t="s">
        <v>1088</v>
      </c>
      <c r="D664" s="134" t="s">
        <v>1746</v>
      </c>
      <c r="E664" s="134" t="s">
        <v>1747</v>
      </c>
      <c r="F664" s="134" t="s">
        <v>1664</v>
      </c>
      <c r="G664" s="134">
        <v>3138695</v>
      </c>
      <c r="H664" s="135">
        <v>44476</v>
      </c>
      <c r="I664" s="134">
        <v>7.6259999999999994E-2</v>
      </c>
      <c r="J664" s="134"/>
      <c r="K664" s="134"/>
      <c r="L664" s="134"/>
      <c r="M664" s="134"/>
      <c r="N664" s="134"/>
      <c r="O664" s="134"/>
      <c r="P664" s="134"/>
      <c r="Q664" s="134"/>
      <c r="R664" s="134"/>
      <c r="S664" s="134"/>
      <c r="T664" s="135">
        <v>13002</v>
      </c>
      <c r="U664" s="134"/>
      <c r="V664" s="134" t="s">
        <v>1631</v>
      </c>
      <c r="W664" s="92" t="str">
        <f t="shared" si="58"/>
        <v>Guinot Alvaro,Dolores</v>
      </c>
      <c r="X664" s="95">
        <f t="shared" si="60"/>
        <v>10</v>
      </c>
      <c r="Y664" s="95">
        <f t="shared" si="61"/>
        <v>2021</v>
      </c>
      <c r="Z664" s="103" t="s">
        <v>265</v>
      </c>
      <c r="AA664" t="str">
        <f>IF(Tabla1[[#This Row],[Kerma en aire acumulada (Gy)]]&gt;1,SUMIF(G:G,Tabla1[[#This Row],[SIP]],I:I)-Tabla1[[#This Row],[Kerma en aire acumulada (Gy)]],"")</f>
        <v/>
      </c>
      <c r="AB664" s="8"/>
    </row>
    <row r="665" spans="3:28">
      <c r="C665" s="94" t="s">
        <v>1088</v>
      </c>
      <c r="D665" s="134" t="s">
        <v>22</v>
      </c>
      <c r="E665" s="134" t="s">
        <v>1750</v>
      </c>
      <c r="F665" s="134" t="s">
        <v>1751</v>
      </c>
      <c r="G665" s="134">
        <v>5046858</v>
      </c>
      <c r="H665" s="135">
        <v>44476</v>
      </c>
      <c r="I665" s="134">
        <v>0.17508000000000001</v>
      </c>
      <c r="J665" s="134"/>
      <c r="K665" s="134"/>
      <c r="L665" s="134"/>
      <c r="M665" s="134"/>
      <c r="N665" s="134"/>
      <c r="O665" s="134"/>
      <c r="P665" s="134"/>
      <c r="Q665" s="134"/>
      <c r="R665" s="134"/>
      <c r="S665" s="134"/>
      <c r="T665" s="135">
        <v>18921</v>
      </c>
      <c r="U665" s="134"/>
      <c r="V665" s="134" t="s">
        <v>509</v>
      </c>
      <c r="W665" s="92" t="str">
        <f t="shared" si="58"/>
        <v>Ruiz Alamo,Jose Arturo</v>
      </c>
      <c r="X665" s="95">
        <f t="shared" si="60"/>
        <v>10</v>
      </c>
      <c r="Y665" s="95">
        <f t="shared" si="61"/>
        <v>2021</v>
      </c>
      <c r="Z665" s="103" t="s">
        <v>265</v>
      </c>
      <c r="AA665" t="str">
        <f>IF(Tabla1[[#This Row],[Kerma en aire acumulada (Gy)]]&gt;1,SUMIF(G:G,Tabla1[[#This Row],[SIP]],I:I)-Tabla1[[#This Row],[Kerma en aire acumulada (Gy)]],"")</f>
        <v/>
      </c>
      <c r="AB665" s="8" t="str">
        <f>CONCATENATE(F669,$A$591,D669,$A$591,E669)</f>
        <v>Vicente Ballesteros Briz</v>
      </c>
    </row>
    <row r="666" spans="3:28">
      <c r="C666" s="94" t="s">
        <v>1088</v>
      </c>
      <c r="D666" s="134" t="s">
        <v>1695</v>
      </c>
      <c r="E666" s="134" t="s">
        <v>1696</v>
      </c>
      <c r="F666" s="134" t="s">
        <v>1697</v>
      </c>
      <c r="G666" s="134">
        <v>1808031</v>
      </c>
      <c r="H666" s="135">
        <v>44477</v>
      </c>
      <c r="I666" s="134">
        <v>9.2429999999999998E-2</v>
      </c>
      <c r="J666" s="134"/>
      <c r="K666" s="134"/>
      <c r="L666" s="134"/>
      <c r="M666" s="134"/>
      <c r="N666" s="134"/>
      <c r="O666" s="134"/>
      <c r="P666" s="134"/>
      <c r="Q666" s="134"/>
      <c r="R666" s="134"/>
      <c r="S666" s="134"/>
      <c r="T666" s="135">
        <v>23698</v>
      </c>
      <c r="U666" s="134"/>
      <c r="V666" s="134" t="s">
        <v>139</v>
      </c>
      <c r="W666" s="92" t="str">
        <f t="shared" si="58"/>
        <v>Portales Baldo,Emilio</v>
      </c>
      <c r="X666" s="95">
        <f t="shared" si="60"/>
        <v>10</v>
      </c>
      <c r="Y666" s="95">
        <f t="shared" si="61"/>
        <v>2021</v>
      </c>
      <c r="Z666" s="103" t="s">
        <v>265</v>
      </c>
      <c r="AA666" t="str">
        <f>IF(Tabla1[[#This Row],[Kerma en aire acumulada (Gy)]]&gt;1,SUMIF(G:G,Tabla1[[#This Row],[SIP]],I:I)-Tabla1[[#This Row],[Kerma en aire acumulada (Gy)]],"")</f>
        <v/>
      </c>
      <c r="AB666" s="8"/>
    </row>
    <row r="667" spans="3:28">
      <c r="C667" s="94" t="s">
        <v>1088</v>
      </c>
      <c r="D667" s="134" t="s">
        <v>1698</v>
      </c>
      <c r="E667" s="134" t="s">
        <v>1699</v>
      </c>
      <c r="F667" s="134" t="s">
        <v>1700</v>
      </c>
      <c r="G667" s="134">
        <v>13275874</v>
      </c>
      <c r="H667" s="135">
        <v>44477</v>
      </c>
      <c r="I667" s="134">
        <v>0.25568000000000002</v>
      </c>
      <c r="J667" s="134"/>
      <c r="K667" s="134"/>
      <c r="L667" s="134"/>
      <c r="M667" s="134"/>
      <c r="N667" s="134"/>
      <c r="O667" s="134"/>
      <c r="P667" s="134"/>
      <c r="Q667" s="134"/>
      <c r="R667" s="134"/>
      <c r="S667" s="134"/>
      <c r="T667" s="135">
        <v>30755</v>
      </c>
      <c r="U667" s="134"/>
      <c r="V667" s="134" t="s">
        <v>139</v>
      </c>
      <c r="W667" s="92" t="str">
        <f t="shared" si="58"/>
        <v>Adan Berradre,Maria Soraya</v>
      </c>
      <c r="X667" s="95">
        <f t="shared" si="60"/>
        <v>10</v>
      </c>
      <c r="Y667" s="95">
        <f t="shared" si="61"/>
        <v>2021</v>
      </c>
      <c r="Z667" s="103" t="s">
        <v>265</v>
      </c>
      <c r="AA667" t="str">
        <f>IF(Tabla1[[#This Row],[Kerma en aire acumulada (Gy)]]&gt;1,SUMIF(G:G,Tabla1[[#This Row],[SIP]],I:I)-Tabla1[[#This Row],[Kerma en aire acumulada (Gy)]],"")</f>
        <v/>
      </c>
      <c r="AB667" s="8" t="str">
        <f>CONCATENATE(F671,$A$591,D671,$A$591,E671)</f>
        <v>Concepcion Raga Almudever</v>
      </c>
    </row>
    <row r="668" spans="3:28">
      <c r="C668" s="94" t="s">
        <v>1088</v>
      </c>
      <c r="D668" s="134" t="s">
        <v>1746</v>
      </c>
      <c r="E668" s="134" t="s">
        <v>1747</v>
      </c>
      <c r="F668" s="134" t="s">
        <v>1664</v>
      </c>
      <c r="G668" s="134">
        <v>3138695</v>
      </c>
      <c r="H668" s="135">
        <v>44477</v>
      </c>
      <c r="I668" s="134">
        <v>1.255E-2</v>
      </c>
      <c r="J668" s="134"/>
      <c r="K668" s="134"/>
      <c r="L668" s="134"/>
      <c r="M668" s="134"/>
      <c r="N668" s="134"/>
      <c r="O668" s="134"/>
      <c r="P668" s="134"/>
      <c r="Q668" s="134"/>
      <c r="R668" s="134"/>
      <c r="S668" s="134"/>
      <c r="T668" s="135">
        <v>13002</v>
      </c>
      <c r="U668" s="134"/>
      <c r="V668" s="134" t="s">
        <v>1748</v>
      </c>
      <c r="W668" s="92" t="str">
        <f t="shared" si="58"/>
        <v>Guinot Alvaro,Dolores</v>
      </c>
      <c r="X668" s="95">
        <f t="shared" si="60"/>
        <v>10</v>
      </c>
      <c r="Y668" s="95">
        <f t="shared" si="61"/>
        <v>2021</v>
      </c>
      <c r="Z668" s="103" t="s">
        <v>265</v>
      </c>
      <c r="AA668" t="str">
        <f>IF(Tabla1[[#This Row],[Kerma en aire acumulada (Gy)]]&gt;1,SUMIF(G:G,Tabla1[[#This Row],[SIP]],I:I)-Tabla1[[#This Row],[Kerma en aire acumulada (Gy)]],"")</f>
        <v/>
      </c>
      <c r="AB668" s="8" t="str">
        <f>CONCATENATE(F672,$A$591,D672,$A$591,E672)</f>
        <v>Carmen Fernandez Gimenez</v>
      </c>
    </row>
    <row r="669" spans="3:28">
      <c r="C669" s="94" t="s">
        <v>1088</v>
      </c>
      <c r="D669" s="134" t="s">
        <v>726</v>
      </c>
      <c r="E669" s="134" t="s">
        <v>1609</v>
      </c>
      <c r="F669" s="134" t="s">
        <v>88</v>
      </c>
      <c r="G669" s="134">
        <v>2905267</v>
      </c>
      <c r="H669" s="135">
        <v>44477</v>
      </c>
      <c r="I669" s="134">
        <v>0.11452</v>
      </c>
      <c r="J669" s="134"/>
      <c r="K669" s="134"/>
      <c r="L669" s="134"/>
      <c r="M669" s="134"/>
      <c r="N669" s="134"/>
      <c r="O669" s="134"/>
      <c r="P669" s="134"/>
      <c r="Q669" s="134"/>
      <c r="R669" s="134"/>
      <c r="S669" s="134"/>
      <c r="T669" s="135">
        <v>18780</v>
      </c>
      <c r="U669" s="134"/>
      <c r="V669" s="134" t="s">
        <v>1293</v>
      </c>
      <c r="W669" s="92" t="str">
        <f t="shared" si="58"/>
        <v>Ballesteros Briz,Vicente</v>
      </c>
      <c r="X669" s="95">
        <f t="shared" si="60"/>
        <v>10</v>
      </c>
      <c r="Y669" s="95">
        <f t="shared" si="61"/>
        <v>2021</v>
      </c>
      <c r="Z669" s="103" t="s">
        <v>265</v>
      </c>
      <c r="AA669" t="str">
        <f>IF(Tabla1[[#This Row],[Kerma en aire acumulada (Gy)]]&gt;1,SUMIF(G:G,Tabla1[[#This Row],[SIP]],I:I)-Tabla1[[#This Row],[Kerma en aire acumulada (Gy)]],"")</f>
        <v/>
      </c>
      <c r="AB669" s="8" t="str">
        <f>CONCATENATE(F673,$A$591,D673,$A$591,E673)</f>
        <v>Antonio Rojas Fontalba</v>
      </c>
    </row>
    <row r="670" spans="3:28">
      <c r="C670" s="94" t="s">
        <v>1689</v>
      </c>
      <c r="D670" s="134" t="s">
        <v>1690</v>
      </c>
      <c r="E670" s="134" t="s">
        <v>1691</v>
      </c>
      <c r="F670" s="134" t="s">
        <v>1692</v>
      </c>
      <c r="G670" s="134">
        <v>11805844</v>
      </c>
      <c r="H670" s="135">
        <v>44480</v>
      </c>
      <c r="I670" s="134">
        <v>0.12146999999999999</v>
      </c>
      <c r="J670" s="134"/>
      <c r="K670" s="134"/>
      <c r="L670" s="134"/>
      <c r="M670" s="134"/>
      <c r="N670" s="134"/>
      <c r="O670" s="134"/>
      <c r="P670" s="134"/>
      <c r="Q670" s="134"/>
      <c r="R670" s="134"/>
      <c r="S670" s="134"/>
      <c r="T670" s="135">
        <v>26631</v>
      </c>
      <c r="U670" s="134"/>
      <c r="V670" s="134" t="s">
        <v>139</v>
      </c>
      <c r="W670" s="92" t="str">
        <f t="shared" si="58"/>
        <v>Mushimi Kanyengwe,Yvette</v>
      </c>
      <c r="X670" s="95">
        <f t="shared" si="60"/>
        <v>10</v>
      </c>
      <c r="Y670" s="95">
        <f t="shared" si="61"/>
        <v>2021</v>
      </c>
      <c r="Z670" s="103" t="s">
        <v>265</v>
      </c>
      <c r="AA670" t="str">
        <f>IF(Tabla1[[#This Row],[Kerma en aire acumulada (Gy)]]&gt;1,SUMIF(G:G,Tabla1[[#This Row],[SIP]],I:I)-Tabla1[[#This Row],[Kerma en aire acumulada (Gy)]],"")</f>
        <v/>
      </c>
      <c r="AB670" s="8" t="str">
        <f>CONCATENATE(F674,$A$591,D674,$A$591,E674)</f>
        <v>Jose Beneyto Molina</v>
      </c>
    </row>
    <row r="671" spans="3:28">
      <c r="C671" s="94" t="s">
        <v>1088</v>
      </c>
      <c r="D671" s="134" t="s">
        <v>1590</v>
      </c>
      <c r="E671" s="134" t="s">
        <v>1693</v>
      </c>
      <c r="F671" s="134" t="s">
        <v>1694</v>
      </c>
      <c r="G671" s="134">
        <v>1867919</v>
      </c>
      <c r="H671" s="135">
        <v>44480</v>
      </c>
      <c r="I671" s="134">
        <v>0.18865000000000001</v>
      </c>
      <c r="J671" s="134"/>
      <c r="K671" s="134"/>
      <c r="L671" s="134"/>
      <c r="M671" s="134"/>
      <c r="N671" s="134"/>
      <c r="O671" s="134"/>
      <c r="P671" s="134"/>
      <c r="Q671" s="134"/>
      <c r="R671" s="134"/>
      <c r="S671" s="134"/>
      <c r="T671" s="135">
        <v>16107</v>
      </c>
      <c r="U671" s="134"/>
      <c r="V671" s="134" t="s">
        <v>139</v>
      </c>
      <c r="W671" s="92" t="str">
        <f t="shared" si="58"/>
        <v>Raga Almudever,Concepcion</v>
      </c>
      <c r="X671" s="95">
        <f t="shared" si="60"/>
        <v>10</v>
      </c>
      <c r="Y671" s="95">
        <f t="shared" si="61"/>
        <v>2021</v>
      </c>
      <c r="Z671" s="103" t="s">
        <v>265</v>
      </c>
      <c r="AA671" t="str">
        <f>IF(Tabla1[[#This Row],[Kerma en aire acumulada (Gy)]]&gt;1,SUMIF(G:G,Tabla1[[#This Row],[SIP]],I:I)-Tabla1[[#This Row],[Kerma en aire acumulada (Gy)]],"")</f>
        <v/>
      </c>
      <c r="AB671" s="8"/>
    </row>
    <row r="672" spans="3:28">
      <c r="C672" s="94" t="s">
        <v>1088</v>
      </c>
      <c r="D672" s="134" t="s">
        <v>1009</v>
      </c>
      <c r="E672" s="134" t="s">
        <v>915</v>
      </c>
      <c r="F672" s="134" t="s">
        <v>106</v>
      </c>
      <c r="G672" s="134">
        <v>2658174</v>
      </c>
      <c r="H672" s="135">
        <v>44480</v>
      </c>
      <c r="I672" s="134">
        <v>0.16464000000000001</v>
      </c>
      <c r="J672" s="134"/>
      <c r="K672" s="134"/>
      <c r="L672" s="134"/>
      <c r="M672" s="134"/>
      <c r="N672" s="134"/>
      <c r="O672" s="134"/>
      <c r="P672" s="134"/>
      <c r="Q672" s="134"/>
      <c r="R672" s="134"/>
      <c r="S672" s="134"/>
      <c r="T672" s="135">
        <v>33746</v>
      </c>
      <c r="U672" s="134"/>
      <c r="V672" s="134" t="s">
        <v>1225</v>
      </c>
      <c r="W672" s="92" t="str">
        <f t="shared" si="58"/>
        <v>Fernandez Gimenez,Carmen</v>
      </c>
      <c r="X672" s="95">
        <f t="shared" si="60"/>
        <v>10</v>
      </c>
      <c r="Y672" s="95">
        <f t="shared" si="61"/>
        <v>2021</v>
      </c>
      <c r="Z672" s="103" t="s">
        <v>265</v>
      </c>
      <c r="AA672" t="str">
        <f>IF(Tabla1[[#This Row],[Kerma en aire acumulada (Gy)]]&gt;1,SUMIF(G:G,Tabla1[[#This Row],[SIP]],I:I)-Tabla1[[#This Row],[Kerma en aire acumulada (Gy)]],"")</f>
        <v/>
      </c>
      <c r="AB672" s="8" t="str">
        <f>CONCATENATE(F676,$A$591,D676,$A$591,E676)</f>
        <v>Margarita Cherino Talens</v>
      </c>
    </row>
    <row r="673" spans="3:28">
      <c r="C673" s="94" t="s">
        <v>1088</v>
      </c>
      <c r="D673" s="134" t="s">
        <v>1648</v>
      </c>
      <c r="E673" s="134" t="s">
        <v>1744</v>
      </c>
      <c r="F673" s="134" t="s">
        <v>20</v>
      </c>
      <c r="G673" s="134">
        <v>2926702</v>
      </c>
      <c r="H673" s="135">
        <v>44480</v>
      </c>
      <c r="I673" s="134">
        <v>6.4280000000000004E-2</v>
      </c>
      <c r="J673" s="134"/>
      <c r="K673" s="134"/>
      <c r="L673" s="134"/>
      <c r="M673" s="134"/>
      <c r="N673" s="134"/>
      <c r="O673" s="134"/>
      <c r="P673" s="134"/>
      <c r="Q673" s="134"/>
      <c r="R673" s="134"/>
      <c r="S673" s="134"/>
      <c r="T673" s="135">
        <v>23023</v>
      </c>
      <c r="U673" s="134"/>
      <c r="V673" s="134" t="s">
        <v>552</v>
      </c>
      <c r="W673" s="92" t="str">
        <f t="shared" si="58"/>
        <v>Rojas Fontalba,Antonio</v>
      </c>
      <c r="X673" s="95">
        <f t="shared" si="60"/>
        <v>10</v>
      </c>
      <c r="Y673" s="95">
        <f t="shared" si="61"/>
        <v>2021</v>
      </c>
      <c r="Z673" s="103" t="s">
        <v>265</v>
      </c>
      <c r="AA673" t="str">
        <f>IF(Tabla1[[#This Row],[Kerma en aire acumulada (Gy)]]&gt;1,SUMIF(G:G,Tabla1[[#This Row],[SIP]],I:I)-Tabla1[[#This Row],[Kerma en aire acumulada (Gy)]],"")</f>
        <v/>
      </c>
      <c r="AB673" s="8"/>
    </row>
    <row r="674" spans="3:28" ht="14.25" customHeight="1">
      <c r="C674" s="94" t="s">
        <v>1088</v>
      </c>
      <c r="D674" s="134" t="s">
        <v>1745</v>
      </c>
      <c r="E674" s="134" t="s">
        <v>631</v>
      </c>
      <c r="F674" s="134" t="s">
        <v>991</v>
      </c>
      <c r="G674" s="134">
        <v>324526</v>
      </c>
      <c r="H674" s="135">
        <v>44480</v>
      </c>
      <c r="I674" s="134">
        <v>1.3139400000000001</v>
      </c>
      <c r="J674" s="134"/>
      <c r="K674" s="134"/>
      <c r="L674" s="134"/>
      <c r="M674" s="134"/>
      <c r="N674" s="134"/>
      <c r="O674" s="134"/>
      <c r="P674" s="134"/>
      <c r="Q674" s="134"/>
      <c r="R674" s="134"/>
      <c r="S674" s="134"/>
      <c r="T674" s="135">
        <v>19285</v>
      </c>
      <c r="U674" s="134"/>
      <c r="V674" s="134" t="s">
        <v>1324</v>
      </c>
      <c r="W674" s="92" t="str">
        <f t="shared" si="58"/>
        <v>Beneyto Molina,Jose</v>
      </c>
      <c r="X674" s="95">
        <f t="shared" si="60"/>
        <v>10</v>
      </c>
      <c r="Y674" s="95">
        <f t="shared" si="61"/>
        <v>2021</v>
      </c>
      <c r="Z674" s="103" t="s">
        <v>265</v>
      </c>
      <c r="AA674">
        <f>IF(Tabla1[[#This Row],[Kerma en aire acumulada (Gy)]]&gt;1,SUMIF(G:G,Tabla1[[#This Row],[SIP]],I:I)-Tabla1[[#This Row],[Kerma en aire acumulada (Gy)]],"")</f>
        <v>0</v>
      </c>
      <c r="AB674" s="8" t="str">
        <f t="shared" ref="AB674:AB702" si="62">CONCATENATE(F678,$A$591,D678,$A$591,E678)</f>
        <v>Julio Antonio Garcia Soldevilla</v>
      </c>
    </row>
    <row r="675" spans="3:28">
      <c r="C675" s="94" t="s">
        <v>1088</v>
      </c>
      <c r="D675" s="134" t="s">
        <v>1009</v>
      </c>
      <c r="E675" s="134" t="s">
        <v>915</v>
      </c>
      <c r="F675" s="134" t="s">
        <v>106</v>
      </c>
      <c r="G675" s="101">
        <v>2658174</v>
      </c>
      <c r="H675" s="135">
        <v>44480</v>
      </c>
      <c r="I675" s="134">
        <v>0.16464000000000001</v>
      </c>
      <c r="J675" s="134"/>
      <c r="K675" s="134"/>
      <c r="L675" s="134"/>
      <c r="M675" s="134"/>
      <c r="N675" s="134"/>
      <c r="O675" s="134"/>
      <c r="P675" s="134"/>
      <c r="Q675" s="134"/>
      <c r="R675" s="134"/>
      <c r="S675" s="134"/>
      <c r="T675" s="135">
        <v>33746</v>
      </c>
      <c r="U675" s="134"/>
      <c r="V675" s="134" t="s">
        <v>1107</v>
      </c>
      <c r="W675" s="92" t="str">
        <f t="shared" ref="W675:W738" si="63">CONCATENATE(D675,$A$591,E675,",",F675)</f>
        <v>Fernandez Gimenez,Carmen</v>
      </c>
      <c r="X675" s="95">
        <f t="shared" si="60"/>
        <v>10</v>
      </c>
      <c r="Y675" s="95">
        <f t="shared" si="61"/>
        <v>2021</v>
      </c>
      <c r="Z675" s="103" t="s">
        <v>265</v>
      </c>
      <c r="AA675" t="str">
        <f>IF(Tabla1[[#This Row],[Kerma en aire acumulada (Gy)]]&gt;1,SUMIF(G:G,Tabla1[[#This Row],[SIP]],I:I)-Tabla1[[#This Row],[Kerma en aire acumulada (Gy)]],"")</f>
        <v/>
      </c>
      <c r="AB675" s="8" t="str">
        <f t="shared" si="62"/>
        <v>Jesus Vitores Perez Navamuel</v>
      </c>
    </row>
    <row r="676" spans="3:28">
      <c r="C676" s="94" t="s">
        <v>1088</v>
      </c>
      <c r="D676" s="134" t="s">
        <v>1684</v>
      </c>
      <c r="E676" s="134" t="s">
        <v>1685</v>
      </c>
      <c r="F676" s="134" t="s">
        <v>1686</v>
      </c>
      <c r="G676" s="134">
        <v>18078</v>
      </c>
      <c r="H676" s="135">
        <v>44482</v>
      </c>
      <c r="I676" s="134">
        <v>5.62E-3</v>
      </c>
      <c r="J676" s="134"/>
      <c r="K676" s="134"/>
      <c r="L676" s="134"/>
      <c r="M676" s="134"/>
      <c r="N676" s="134"/>
      <c r="O676" s="134"/>
      <c r="P676" s="134"/>
      <c r="Q676" s="134"/>
      <c r="R676" s="134"/>
      <c r="S676" s="134"/>
      <c r="T676" s="135">
        <v>27555</v>
      </c>
      <c r="U676" s="134"/>
      <c r="V676" s="134" t="s">
        <v>1312</v>
      </c>
      <c r="W676" s="92" t="str">
        <f t="shared" si="63"/>
        <v>Cherino Talens,Margarita</v>
      </c>
      <c r="X676" s="95">
        <f t="shared" si="60"/>
        <v>10</v>
      </c>
      <c r="Y676" s="95">
        <f t="shared" si="61"/>
        <v>2021</v>
      </c>
      <c r="Z676" s="103" t="s">
        <v>265</v>
      </c>
      <c r="AA676" t="str">
        <f>IF(Tabla1[[#This Row],[Kerma en aire acumulada (Gy)]]&gt;1,SUMIF(G:G,Tabla1[[#This Row],[SIP]],I:I)-Tabla1[[#This Row],[Kerma en aire acumulada (Gy)]],"")</f>
        <v/>
      </c>
      <c r="AB676" s="8" t="str">
        <f t="shared" si="62"/>
        <v>Josefa Lacueva Perez</v>
      </c>
    </row>
    <row r="677" spans="3:28">
      <c r="C677" s="94" t="s">
        <v>1310</v>
      </c>
      <c r="D677" s="134" t="s">
        <v>948</v>
      </c>
      <c r="E677" s="134" t="s">
        <v>319</v>
      </c>
      <c r="F677" s="134" t="s">
        <v>1687</v>
      </c>
      <c r="G677" s="134">
        <v>2464824</v>
      </c>
      <c r="H677" s="135">
        <v>44482</v>
      </c>
      <c r="I677" s="134">
        <v>1.6310000000000002E-2</v>
      </c>
      <c r="J677" s="134"/>
      <c r="K677" s="134"/>
      <c r="L677" s="134"/>
      <c r="M677" s="134"/>
      <c r="N677" s="134"/>
      <c r="O677" s="134"/>
      <c r="P677" s="134"/>
      <c r="Q677" s="134"/>
      <c r="R677" s="134"/>
      <c r="S677" s="134"/>
      <c r="T677" s="135">
        <v>20453</v>
      </c>
      <c r="U677" s="134"/>
      <c r="V677" s="134" t="s">
        <v>143</v>
      </c>
      <c r="W677" s="92" t="str">
        <f t="shared" si="63"/>
        <v>Martinez Gonzalez,Jose Ignacio</v>
      </c>
      <c r="X677" s="95">
        <f t="shared" si="60"/>
        <v>10</v>
      </c>
      <c r="Y677" s="95">
        <f t="shared" si="61"/>
        <v>2021</v>
      </c>
      <c r="Z677" s="103" t="s">
        <v>265</v>
      </c>
      <c r="AA677" t="str">
        <f>IF(Tabla1[[#This Row],[Kerma en aire acumulada (Gy)]]&gt;1,SUMIF(G:G,Tabla1[[#This Row],[SIP]],I:I)-Tabla1[[#This Row],[Kerma en aire acumulada (Gy)]],"")</f>
        <v/>
      </c>
      <c r="AB677" s="8" t="str">
        <f t="shared" si="62"/>
        <v>Maria Esther Frigols Vila</v>
      </c>
    </row>
    <row r="678" spans="3:28">
      <c r="C678" s="94" t="s">
        <v>1088</v>
      </c>
      <c r="D678" s="134" t="s">
        <v>962</v>
      </c>
      <c r="E678" s="134" t="s">
        <v>1688</v>
      </c>
      <c r="F678" s="134" t="s">
        <v>1615</v>
      </c>
      <c r="G678" s="134">
        <v>1240294</v>
      </c>
      <c r="H678" s="135">
        <v>44482</v>
      </c>
      <c r="I678" s="134">
        <v>1.7010000000000001E-2</v>
      </c>
      <c r="J678" s="134"/>
      <c r="K678" s="134"/>
      <c r="L678" s="134"/>
      <c r="M678" s="134"/>
      <c r="N678" s="134"/>
      <c r="O678" s="134"/>
      <c r="P678" s="134"/>
      <c r="Q678" s="134"/>
      <c r="R678" s="134"/>
      <c r="S678" s="134"/>
      <c r="T678" s="135">
        <v>24224</v>
      </c>
      <c r="U678" s="134"/>
      <c r="V678" s="134" t="s">
        <v>1274</v>
      </c>
      <c r="W678" s="92" t="str">
        <f t="shared" si="63"/>
        <v>Garcia Soldevilla,Julio Antonio</v>
      </c>
      <c r="X678" s="95">
        <f t="shared" si="60"/>
        <v>10</v>
      </c>
      <c r="Y678" s="95">
        <f t="shared" si="61"/>
        <v>2021</v>
      </c>
      <c r="Z678" s="103" t="s">
        <v>265</v>
      </c>
      <c r="AA678" t="str">
        <f>IF(Tabla1[[#This Row],[Kerma en aire acumulada (Gy)]]&gt;1,SUMIF(G:G,Tabla1[[#This Row],[SIP]],I:I)-Tabla1[[#This Row],[Kerma en aire acumulada (Gy)]],"")</f>
        <v/>
      </c>
      <c r="AB678" s="8" t="str">
        <f t="shared" si="62"/>
        <v>Antonio Jimenez Rivas</v>
      </c>
    </row>
    <row r="679" spans="3:28">
      <c r="C679" s="94" t="s">
        <v>1088</v>
      </c>
      <c r="D679" s="134" t="s">
        <v>1001</v>
      </c>
      <c r="E679" s="134" t="s">
        <v>1736</v>
      </c>
      <c r="F679" s="134" t="s">
        <v>1737</v>
      </c>
      <c r="G679" s="134">
        <v>3114910</v>
      </c>
      <c r="H679" s="135">
        <v>44482</v>
      </c>
      <c r="I679" s="134">
        <v>4.1153199999999996</v>
      </c>
      <c r="J679" s="134"/>
      <c r="K679" s="134"/>
      <c r="L679" s="134"/>
      <c r="M679" s="134"/>
      <c r="N679" s="134"/>
      <c r="O679" s="134"/>
      <c r="P679" s="134"/>
      <c r="Q679" s="134"/>
      <c r="R679" s="134"/>
      <c r="S679" s="134"/>
      <c r="T679" s="135">
        <v>17447</v>
      </c>
      <c r="U679" s="134"/>
      <c r="V679" s="134" t="s">
        <v>107</v>
      </c>
      <c r="W679" s="92" t="str">
        <f t="shared" si="63"/>
        <v>Perez Navamuel,Jesus Vitores</v>
      </c>
      <c r="X679" s="95">
        <f t="shared" si="60"/>
        <v>10</v>
      </c>
      <c r="Y679" s="95">
        <f t="shared" si="61"/>
        <v>2021</v>
      </c>
      <c r="Z679" s="103" t="s">
        <v>265</v>
      </c>
      <c r="AA679">
        <f>IF(Tabla1[[#This Row],[Kerma en aire acumulada (Gy)]]&gt;1,SUMIF(G:G,Tabla1[[#This Row],[SIP]],I:I)-Tabla1[[#This Row],[Kerma en aire acumulada (Gy)]],"")</f>
        <v>0</v>
      </c>
      <c r="AB679" s="8" t="str">
        <f t="shared" si="62"/>
        <v>Josefina Amber Martinez</v>
      </c>
    </row>
    <row r="680" spans="3:28">
      <c r="C680" s="94" t="s">
        <v>1088</v>
      </c>
      <c r="D680" s="134" t="s">
        <v>1738</v>
      </c>
      <c r="E680" s="134" t="s">
        <v>1001</v>
      </c>
      <c r="F680" s="134" t="s">
        <v>28</v>
      </c>
      <c r="G680" s="134">
        <v>3124286</v>
      </c>
      <c r="H680" s="135">
        <v>44482</v>
      </c>
      <c r="I680" s="134">
        <v>0.42487999999999998</v>
      </c>
      <c r="J680" s="134"/>
      <c r="K680" s="134"/>
      <c r="L680" s="134"/>
      <c r="M680" s="134"/>
      <c r="N680" s="134"/>
      <c r="O680" s="134"/>
      <c r="P680" s="134"/>
      <c r="Q680" s="134"/>
      <c r="R680" s="134"/>
      <c r="S680" s="134"/>
      <c r="T680" s="135">
        <v>16800</v>
      </c>
      <c r="U680" s="134"/>
      <c r="V680" s="134" t="s">
        <v>139</v>
      </c>
      <c r="W680" s="92" t="str">
        <f t="shared" si="63"/>
        <v>Lacueva Perez,Josefa</v>
      </c>
      <c r="X680" s="95">
        <f t="shared" si="60"/>
        <v>10</v>
      </c>
      <c r="Y680" s="95">
        <f t="shared" si="61"/>
        <v>2021</v>
      </c>
      <c r="Z680" s="103" t="s">
        <v>265</v>
      </c>
      <c r="AA680" t="str">
        <f>IF(Tabla1[[#This Row],[Kerma en aire acumulada (Gy)]]&gt;1,SUMIF(G:G,Tabla1[[#This Row],[SIP]],I:I)-Tabla1[[#This Row],[Kerma en aire acumulada (Gy)]],"")</f>
        <v/>
      </c>
      <c r="AB680" s="8" t="str">
        <f t="shared" si="62"/>
        <v>Margarita Nieto Bueno</v>
      </c>
    </row>
    <row r="681" spans="3:28">
      <c r="C681" s="94" t="s">
        <v>1088</v>
      </c>
      <c r="D681" s="134" t="s">
        <v>1739</v>
      </c>
      <c r="E681" s="134" t="s">
        <v>1740</v>
      </c>
      <c r="F681" s="134" t="s">
        <v>1741</v>
      </c>
      <c r="G681" s="134">
        <v>6180891</v>
      </c>
      <c r="H681" s="135">
        <v>44482</v>
      </c>
      <c r="I681" s="134">
        <v>5.2399999999999999E-3</v>
      </c>
      <c r="J681" s="134"/>
      <c r="K681" s="134"/>
      <c r="L681" s="134"/>
      <c r="M681" s="134"/>
      <c r="N681" s="134"/>
      <c r="O681" s="134"/>
      <c r="P681" s="134"/>
      <c r="Q681" s="134"/>
      <c r="R681" s="134"/>
      <c r="S681" s="134"/>
      <c r="T681" s="135">
        <v>27263</v>
      </c>
      <c r="U681" s="134"/>
      <c r="V681" s="134" t="s">
        <v>1742</v>
      </c>
      <c r="W681" s="92" t="str">
        <f t="shared" si="63"/>
        <v>Frigols Vila,Maria Esther</v>
      </c>
      <c r="X681" s="95">
        <f t="shared" si="60"/>
        <v>10</v>
      </c>
      <c r="Y681" s="95">
        <f t="shared" si="61"/>
        <v>2021</v>
      </c>
      <c r="Z681" s="103" t="s">
        <v>265</v>
      </c>
      <c r="AA681" t="str">
        <f>IF(Tabla1[[#This Row],[Kerma en aire acumulada (Gy)]]&gt;1,SUMIF(G:G,Tabla1[[#This Row],[SIP]],I:I)-Tabla1[[#This Row],[Kerma en aire acumulada (Gy)]],"")</f>
        <v/>
      </c>
      <c r="AB681" s="8" t="str">
        <f t="shared" si="62"/>
        <v>Josefina Morant Muñoz</v>
      </c>
    </row>
    <row r="682" spans="3:28">
      <c r="C682" s="94" t="s">
        <v>1088</v>
      </c>
      <c r="D682" s="134" t="s">
        <v>1587</v>
      </c>
      <c r="E682" s="134" t="s">
        <v>1743</v>
      </c>
      <c r="F682" s="134" t="s">
        <v>20</v>
      </c>
      <c r="G682" s="134">
        <v>1177602</v>
      </c>
      <c r="H682" s="135">
        <v>44482</v>
      </c>
      <c r="I682" s="134">
        <v>2.3E-3</v>
      </c>
      <c r="J682" s="134"/>
      <c r="K682" s="134"/>
      <c r="L682" s="134"/>
      <c r="M682" s="134"/>
      <c r="N682" s="134"/>
      <c r="O682" s="134"/>
      <c r="P682" s="134"/>
      <c r="Q682" s="134"/>
      <c r="R682" s="134"/>
      <c r="S682" s="134"/>
      <c r="T682" s="135">
        <v>24822</v>
      </c>
      <c r="U682" s="134"/>
      <c r="V682" s="134" t="s">
        <v>1300</v>
      </c>
      <c r="W682" s="92" t="str">
        <f t="shared" si="63"/>
        <v>Jimenez Rivas,Antonio</v>
      </c>
      <c r="X682" s="95">
        <f t="shared" si="60"/>
        <v>10</v>
      </c>
      <c r="Y682" s="95">
        <f t="shared" si="61"/>
        <v>2021</v>
      </c>
      <c r="Z682" s="103" t="s">
        <v>265</v>
      </c>
      <c r="AA682" t="str">
        <f>IF(Tabla1[[#This Row],[Kerma en aire acumulada (Gy)]]&gt;1,SUMIF(G:G,Tabla1[[#This Row],[SIP]],I:I)-Tabla1[[#This Row],[Kerma en aire acumulada (Gy)]],"")</f>
        <v/>
      </c>
      <c r="AB682" s="8" t="str">
        <f t="shared" si="62"/>
        <v>Lidia Rosa Insaurralde Garcia</v>
      </c>
    </row>
    <row r="683" spans="3:28">
      <c r="C683" s="94" t="s">
        <v>1088</v>
      </c>
      <c r="D683" s="134" t="s">
        <v>971</v>
      </c>
      <c r="E683" s="134" t="s">
        <v>948</v>
      </c>
      <c r="F683" s="134" t="s">
        <v>972</v>
      </c>
      <c r="G683" s="134">
        <v>1777454</v>
      </c>
      <c r="H683" s="135">
        <v>44482</v>
      </c>
      <c r="I683" s="134">
        <v>1.601E-2</v>
      </c>
      <c r="J683" s="134"/>
      <c r="K683" s="134"/>
      <c r="L683" s="134"/>
      <c r="M683" s="134"/>
      <c r="N683" s="134"/>
      <c r="O683" s="134"/>
      <c r="P683" s="134"/>
      <c r="Q683" s="134"/>
      <c r="R683" s="134"/>
      <c r="S683" s="134"/>
      <c r="T683" s="135">
        <v>21339</v>
      </c>
      <c r="U683" s="134"/>
      <c r="V683" s="134" t="s">
        <v>143</v>
      </c>
      <c r="W683" s="92" t="str">
        <f t="shared" si="63"/>
        <v>Amber Martinez,Josefina</v>
      </c>
      <c r="X683" s="95">
        <f t="shared" si="60"/>
        <v>10</v>
      </c>
      <c r="Y683" s="95">
        <f t="shared" si="61"/>
        <v>2021</v>
      </c>
      <c r="Z683" s="103" t="s">
        <v>265</v>
      </c>
      <c r="AA683" t="str">
        <f>IF(Tabla1[[#This Row],[Kerma en aire acumulada (Gy)]]&gt;1,SUMIF(G:G,Tabla1[[#This Row],[SIP]],I:I)-Tabla1[[#This Row],[Kerma en aire acumulada (Gy)]],"")</f>
        <v/>
      </c>
      <c r="AB683" s="8" t="str">
        <f t="shared" si="62"/>
        <v>Jose Francisco Aracil Viana</v>
      </c>
    </row>
    <row r="684" spans="3:28">
      <c r="C684" s="94" t="s">
        <v>1088</v>
      </c>
      <c r="D684" s="90" t="s">
        <v>90</v>
      </c>
      <c r="E684" s="90" t="s">
        <v>788</v>
      </c>
      <c r="F684" s="90" t="s">
        <v>1686</v>
      </c>
      <c r="G684" s="134">
        <v>2862515</v>
      </c>
      <c r="H684" s="135">
        <v>44482</v>
      </c>
      <c r="I684" s="134">
        <v>3.4346000000000001</v>
      </c>
      <c r="J684" s="134"/>
      <c r="K684" s="134"/>
      <c r="L684" s="134"/>
      <c r="M684" s="134"/>
      <c r="N684" s="134"/>
      <c r="O684" s="134"/>
      <c r="P684" s="134"/>
      <c r="Q684" s="134"/>
      <c r="R684" s="134"/>
      <c r="S684" s="134"/>
      <c r="T684" s="135">
        <v>17484</v>
      </c>
      <c r="U684" s="134"/>
      <c r="V684" s="90" t="s">
        <v>1772</v>
      </c>
      <c r="W684" s="92" t="str">
        <f t="shared" si="63"/>
        <v>Nieto Bueno,Margarita</v>
      </c>
      <c r="X684" s="95">
        <f t="shared" si="60"/>
        <v>10</v>
      </c>
      <c r="Y684" s="95">
        <f t="shared" si="61"/>
        <v>2021</v>
      </c>
      <c r="Z684" s="103"/>
      <c r="AA684">
        <f>IF(Tabla1[[#This Row],[Kerma en aire acumulada (Gy)]]&gt;1,SUMIF(G:G,Tabla1[[#This Row],[SIP]],I:I)-Tabla1[[#This Row],[Kerma en aire acumulada (Gy)]],"")</f>
        <v>0</v>
      </c>
      <c r="AB684" s="8" t="str">
        <f t="shared" si="62"/>
        <v>Carmen Olmo Rubio</v>
      </c>
    </row>
    <row r="685" spans="3:28">
      <c r="C685" s="94" t="s">
        <v>1088</v>
      </c>
      <c r="D685" s="134" t="s">
        <v>153</v>
      </c>
      <c r="E685" s="134" t="s">
        <v>353</v>
      </c>
      <c r="F685" s="134" t="s">
        <v>972</v>
      </c>
      <c r="G685" s="134">
        <v>3172284</v>
      </c>
      <c r="H685" s="135">
        <v>44483</v>
      </c>
      <c r="I685" s="134">
        <v>8.5400000000000007E-3</v>
      </c>
      <c r="J685" s="134"/>
      <c r="K685" s="134"/>
      <c r="L685" s="134"/>
      <c r="M685" s="134"/>
      <c r="N685" s="134"/>
      <c r="O685" s="134"/>
      <c r="P685" s="134"/>
      <c r="Q685" s="134"/>
      <c r="R685" s="134"/>
      <c r="S685" s="134"/>
      <c r="T685" s="135">
        <v>14064</v>
      </c>
      <c r="U685" s="134"/>
      <c r="V685" s="134" t="s">
        <v>143</v>
      </c>
      <c r="W685" s="92" t="str">
        <f t="shared" si="63"/>
        <v>Morant Muñoz,Josefina</v>
      </c>
      <c r="X685" s="95">
        <f t="shared" si="60"/>
        <v>10</v>
      </c>
      <c r="Y685" s="95">
        <f t="shared" si="61"/>
        <v>2021</v>
      </c>
      <c r="Z685" s="103" t="s">
        <v>265</v>
      </c>
      <c r="AA685" t="str">
        <f>IF(Tabla1[[#This Row],[Kerma en aire acumulada (Gy)]]&gt;1,SUMIF(G:G,Tabla1[[#This Row],[SIP]],I:I)-Tabla1[[#This Row],[Kerma en aire acumulada (Gy)]],"")</f>
        <v/>
      </c>
      <c r="AB685" s="8" t="str">
        <f t="shared" si="62"/>
        <v>Esther Ferris Villalba</v>
      </c>
    </row>
    <row r="686" spans="3:28">
      <c r="C686" s="94" t="s">
        <v>1088</v>
      </c>
      <c r="D686" s="134" t="s">
        <v>1680</v>
      </c>
      <c r="E686" s="134" t="s">
        <v>962</v>
      </c>
      <c r="F686" s="134" t="s">
        <v>1681</v>
      </c>
      <c r="G686" s="134">
        <v>9336965</v>
      </c>
      <c r="H686" s="135">
        <v>44483</v>
      </c>
      <c r="I686" s="134">
        <v>4.5100000000000001E-3</v>
      </c>
      <c r="J686" s="134"/>
      <c r="K686" s="134"/>
      <c r="L686" s="134"/>
      <c r="M686" s="134"/>
      <c r="N686" s="134"/>
      <c r="O686" s="134"/>
      <c r="P686" s="134"/>
      <c r="Q686" s="134"/>
      <c r="R686" s="134"/>
      <c r="S686" s="134"/>
      <c r="T686" s="135">
        <v>31084</v>
      </c>
      <c r="U686" s="134"/>
      <c r="V686" s="134" t="s">
        <v>506</v>
      </c>
      <c r="W686" s="92" t="str">
        <f t="shared" si="63"/>
        <v>Insaurralde Garcia,Lidia Rosa</v>
      </c>
      <c r="X686" s="95">
        <f t="shared" si="60"/>
        <v>10</v>
      </c>
      <c r="Y686" s="95">
        <f t="shared" si="61"/>
        <v>2021</v>
      </c>
      <c r="Z686" s="103" t="s">
        <v>265</v>
      </c>
      <c r="AA686" t="str">
        <f>IF(Tabla1[[#This Row],[Kerma en aire acumulada (Gy)]]&gt;1,SUMIF(G:G,Tabla1[[#This Row],[SIP]],I:I)-Tabla1[[#This Row],[Kerma en aire acumulada (Gy)]],"")</f>
        <v/>
      </c>
      <c r="AB686" s="8" t="str">
        <f t="shared" si="62"/>
        <v>Francisca Fernandez Guasch</v>
      </c>
    </row>
    <row r="687" spans="3:28">
      <c r="C687" s="94" t="s">
        <v>1088</v>
      </c>
      <c r="D687" s="134" t="s">
        <v>1240</v>
      </c>
      <c r="E687" s="134" t="s">
        <v>1241</v>
      </c>
      <c r="F687" s="134" t="s">
        <v>1242</v>
      </c>
      <c r="G687" s="134">
        <v>3548944</v>
      </c>
      <c r="H687" s="135">
        <v>44483</v>
      </c>
      <c r="I687" s="134">
        <v>0.55408000000000002</v>
      </c>
      <c r="J687" s="134"/>
      <c r="K687" s="134"/>
      <c r="L687" s="134"/>
      <c r="M687" s="134"/>
      <c r="N687" s="134"/>
      <c r="O687" s="134"/>
      <c r="P687" s="134"/>
      <c r="Q687" s="134"/>
      <c r="R687" s="134"/>
      <c r="S687" s="134"/>
      <c r="T687" s="135">
        <v>17329</v>
      </c>
      <c r="U687" s="134"/>
      <c r="V687" s="134" t="s">
        <v>550</v>
      </c>
      <c r="W687" s="92" t="str">
        <f t="shared" si="63"/>
        <v>Aracil Viana,Jose Francisco</v>
      </c>
      <c r="X687" s="95">
        <f t="shared" si="60"/>
        <v>10</v>
      </c>
      <c r="Y687" s="95">
        <f t="shared" si="61"/>
        <v>2021</v>
      </c>
      <c r="Z687" s="103" t="s">
        <v>265</v>
      </c>
      <c r="AA687" t="str">
        <f>IF(Tabla1[[#This Row],[Kerma en aire acumulada (Gy)]]&gt;1,SUMIF(G:G,Tabla1[[#This Row],[SIP]],I:I)-Tabla1[[#This Row],[Kerma en aire acumulada (Gy)]],"")</f>
        <v/>
      </c>
      <c r="AB687" s="8" t="str">
        <f t="shared" si="62"/>
        <v xml:space="preserve">Veronica Mariana Fluture </v>
      </c>
    </row>
    <row r="688" spans="3:28">
      <c r="C688" s="94" t="s">
        <v>1088</v>
      </c>
      <c r="D688" s="134" t="s">
        <v>1682</v>
      </c>
      <c r="E688" s="134" t="s">
        <v>1060</v>
      </c>
      <c r="F688" s="134" t="s">
        <v>106</v>
      </c>
      <c r="G688" s="134">
        <v>1859733</v>
      </c>
      <c r="H688" s="135">
        <v>44483</v>
      </c>
      <c r="I688" s="134">
        <v>0.86882999999999999</v>
      </c>
      <c r="J688" s="134"/>
      <c r="K688" s="134"/>
      <c r="L688" s="134"/>
      <c r="M688" s="134"/>
      <c r="N688" s="134"/>
      <c r="O688" s="134"/>
      <c r="P688" s="134"/>
      <c r="Q688" s="134"/>
      <c r="R688" s="134"/>
      <c r="S688" s="134"/>
      <c r="T688" s="135">
        <v>27256</v>
      </c>
      <c r="U688" s="134"/>
      <c r="V688" s="134" t="s">
        <v>1683</v>
      </c>
      <c r="W688" s="92" t="str">
        <f t="shared" si="63"/>
        <v>Olmo Rubio,Carmen</v>
      </c>
      <c r="X688" s="95">
        <f t="shared" si="60"/>
        <v>10</v>
      </c>
      <c r="Y688" s="95">
        <f t="shared" si="61"/>
        <v>2021</v>
      </c>
      <c r="Z688" s="103" t="s">
        <v>265</v>
      </c>
      <c r="AA688" t="str">
        <f>IF(Tabla1[[#This Row],[Kerma en aire acumulada (Gy)]]&gt;1,SUMIF(G:G,Tabla1[[#This Row],[SIP]],I:I)-Tabla1[[#This Row],[Kerma en aire acumulada (Gy)]],"")</f>
        <v/>
      </c>
      <c r="AB688" s="8" t="str">
        <f t="shared" si="62"/>
        <v>Benito Picaso Ruiz</v>
      </c>
    </row>
    <row r="689" spans="3:28">
      <c r="C689" s="94" t="s">
        <v>1088</v>
      </c>
      <c r="D689" s="134" t="s">
        <v>1731</v>
      </c>
      <c r="E689" s="134" t="s">
        <v>1732</v>
      </c>
      <c r="F689" s="134" t="s">
        <v>1733</v>
      </c>
      <c r="G689" s="134">
        <v>2659406</v>
      </c>
      <c r="H689" s="135">
        <v>44483</v>
      </c>
      <c r="I689" s="134">
        <v>3.2599999999999999E-3</v>
      </c>
      <c r="J689" s="134"/>
      <c r="K689" s="134"/>
      <c r="L689" s="134"/>
      <c r="M689" s="134"/>
      <c r="N689" s="134"/>
      <c r="O689" s="134"/>
      <c r="P689" s="134"/>
      <c r="Q689" s="134"/>
      <c r="R689" s="134"/>
      <c r="S689" s="134"/>
      <c r="T689" s="135">
        <v>32597</v>
      </c>
      <c r="U689" s="134"/>
      <c r="V689" s="134" t="s">
        <v>1734</v>
      </c>
      <c r="W689" s="92" t="str">
        <f t="shared" si="63"/>
        <v>Ferris Villalba,Esther</v>
      </c>
      <c r="X689" s="95">
        <f t="shared" si="60"/>
        <v>10</v>
      </c>
      <c r="Y689" s="95">
        <f t="shared" si="61"/>
        <v>2021</v>
      </c>
      <c r="Z689" s="103" t="s">
        <v>265</v>
      </c>
      <c r="AA689" t="str">
        <f>IF(Tabla1[[#This Row],[Kerma en aire acumulada (Gy)]]&gt;1,SUMIF(G:G,Tabla1[[#This Row],[SIP]],I:I)-Tabla1[[#This Row],[Kerma en aire acumulada (Gy)]],"")</f>
        <v/>
      </c>
      <c r="AB689" s="8" t="str">
        <f t="shared" si="62"/>
        <v>Laura Alvarez Tur</v>
      </c>
    </row>
    <row r="690" spans="3:28">
      <c r="C690" s="94" t="s">
        <v>1088</v>
      </c>
      <c r="D690" s="134" t="s">
        <v>1009</v>
      </c>
      <c r="E690" s="134" t="s">
        <v>1735</v>
      </c>
      <c r="F690" s="134" t="s">
        <v>7</v>
      </c>
      <c r="G690" s="134">
        <v>917674</v>
      </c>
      <c r="H690" s="135">
        <v>44483</v>
      </c>
      <c r="I690" s="134">
        <v>8.9300000000000004E-3</v>
      </c>
      <c r="J690" s="134"/>
      <c r="K690" s="134"/>
      <c r="L690" s="134"/>
      <c r="M690" s="134"/>
      <c r="N690" s="134"/>
      <c r="O690" s="134"/>
      <c r="P690" s="134"/>
      <c r="Q690" s="134"/>
      <c r="R690" s="134"/>
      <c r="S690" s="134"/>
      <c r="T690" s="135">
        <v>30176</v>
      </c>
      <c r="U690" s="134"/>
      <c r="V690" s="134" t="s">
        <v>1734</v>
      </c>
      <c r="W690" s="92" t="str">
        <f t="shared" si="63"/>
        <v>Fernandez Guasch,Francisca</v>
      </c>
      <c r="X690" s="95">
        <f t="shared" si="60"/>
        <v>10</v>
      </c>
      <c r="Y690" s="95">
        <f t="shared" si="61"/>
        <v>2021</v>
      </c>
      <c r="Z690" s="103" t="s">
        <v>265</v>
      </c>
      <c r="AA690" t="str">
        <f>IF(Tabla1[[#This Row],[Kerma en aire acumulada (Gy)]]&gt;1,SUMIF(G:G,Tabla1[[#This Row],[SIP]],I:I)-Tabla1[[#This Row],[Kerma en aire acumulada (Gy)]],"")</f>
        <v/>
      </c>
      <c r="AB690" s="8" t="str">
        <f t="shared" si="62"/>
        <v xml:space="preserve">Elvira Ismagilova </v>
      </c>
    </row>
    <row r="691" spans="3:28">
      <c r="C691" s="94" t="s">
        <v>1088</v>
      </c>
      <c r="D691" s="134" t="s">
        <v>1677</v>
      </c>
      <c r="E691" s="134"/>
      <c r="F691" s="134" t="s">
        <v>1678</v>
      </c>
      <c r="G691" s="134">
        <v>8398977</v>
      </c>
      <c r="H691" s="135">
        <v>44484</v>
      </c>
      <c r="I691" s="134">
        <v>4.13E-3</v>
      </c>
      <c r="J691" s="134"/>
      <c r="K691" s="134"/>
      <c r="L691" s="134"/>
      <c r="M691" s="134"/>
      <c r="N691" s="134"/>
      <c r="O691" s="134"/>
      <c r="P691" s="134"/>
      <c r="Q691" s="134"/>
      <c r="R691" s="134"/>
      <c r="S691" s="134"/>
      <c r="T691" s="135">
        <v>33734</v>
      </c>
      <c r="U691" s="134"/>
      <c r="V691" s="134" t="s">
        <v>1679</v>
      </c>
      <c r="W691" s="92" t="str">
        <f t="shared" si="63"/>
        <v>Fluture ,Veronica Mariana</v>
      </c>
      <c r="X691" s="95">
        <f t="shared" si="60"/>
        <v>10</v>
      </c>
      <c r="Y691" s="95">
        <f t="shared" si="61"/>
        <v>2021</v>
      </c>
      <c r="Z691" s="136" t="s">
        <v>265</v>
      </c>
      <c r="AA691" t="str">
        <f>IF(Tabla1[[#This Row],[Kerma en aire acumulada (Gy)]]&gt;1,SUMIF(G:G,Tabla1[[#This Row],[SIP]],I:I)-Tabla1[[#This Row],[Kerma en aire acumulada (Gy)]],"")</f>
        <v/>
      </c>
      <c r="AB691" s="8" t="str">
        <f t="shared" si="62"/>
        <v>M Carmen Iznardo Olivert</v>
      </c>
    </row>
    <row r="692" spans="3:28">
      <c r="C692" s="94" t="s">
        <v>1088</v>
      </c>
      <c r="D692" s="134" t="s">
        <v>1730</v>
      </c>
      <c r="E692" s="134" t="s">
        <v>22</v>
      </c>
      <c r="F692" s="134" t="s">
        <v>548</v>
      </c>
      <c r="G692" s="134">
        <v>2146154</v>
      </c>
      <c r="H692" s="135">
        <v>44484</v>
      </c>
      <c r="I692" s="134">
        <v>0.83816999999999997</v>
      </c>
      <c r="J692" s="134"/>
      <c r="K692" s="134"/>
      <c r="L692" s="134"/>
      <c r="M692" s="134"/>
      <c r="N692" s="134"/>
      <c r="O692" s="134"/>
      <c r="P692" s="134"/>
      <c r="Q692" s="134"/>
      <c r="R692" s="134"/>
      <c r="S692" s="134"/>
      <c r="T692" s="135">
        <v>16993</v>
      </c>
      <c r="U692" s="134"/>
      <c r="V692" s="134" t="s">
        <v>1324</v>
      </c>
      <c r="W692" s="92" t="str">
        <f t="shared" si="63"/>
        <v>Picaso Ruiz,Benito</v>
      </c>
      <c r="X692" s="95">
        <f t="shared" si="60"/>
        <v>10</v>
      </c>
      <c r="Y692" s="95">
        <f t="shared" si="61"/>
        <v>2021</v>
      </c>
      <c r="Z692" s="103" t="s">
        <v>265</v>
      </c>
      <c r="AA692" t="str">
        <f>IF(Tabla1[[#This Row],[Kerma en aire acumulada (Gy)]]&gt;1,SUMIF(G:G,Tabla1[[#This Row],[SIP]],I:I)-Tabla1[[#This Row],[Kerma en aire acumulada (Gy)]],"")</f>
        <v/>
      </c>
      <c r="AB692" s="8" t="str">
        <f t="shared" si="62"/>
        <v xml:space="preserve">Liviu Carbunaru </v>
      </c>
    </row>
    <row r="693" spans="3:28">
      <c r="C693" s="94" t="s">
        <v>1088</v>
      </c>
      <c r="D693" s="134" t="s">
        <v>1276</v>
      </c>
      <c r="E693" s="134" t="s">
        <v>1786</v>
      </c>
      <c r="F693" s="134" t="s">
        <v>1787</v>
      </c>
      <c r="G693" s="134">
        <v>898955</v>
      </c>
      <c r="H693" s="135">
        <v>44487</v>
      </c>
      <c r="I693" s="134">
        <v>7.6539999999999997E-2</v>
      </c>
      <c r="J693" s="134"/>
      <c r="K693" s="134"/>
      <c r="L693" s="134"/>
      <c r="M693" s="134"/>
      <c r="N693" s="134"/>
      <c r="O693" s="134"/>
      <c r="P693" s="134"/>
      <c r="Q693" s="134"/>
      <c r="R693" s="134"/>
      <c r="S693" s="134"/>
      <c r="T693" s="135">
        <v>20089</v>
      </c>
      <c r="U693" s="134"/>
      <c r="V693" s="134" t="s">
        <v>552</v>
      </c>
      <c r="W693" s="92" t="str">
        <f t="shared" si="63"/>
        <v>Alvarez Tur,Laura</v>
      </c>
      <c r="X693" s="95">
        <f t="shared" si="60"/>
        <v>10</v>
      </c>
      <c r="Y693" s="95">
        <f t="shared" si="61"/>
        <v>2021</v>
      </c>
      <c r="Z693" s="103" t="s">
        <v>265</v>
      </c>
      <c r="AA693" t="str">
        <f>IF(Tabla1[[#This Row],[Kerma en aire acumulada (Gy)]]&gt;1,SUMIF(G:G,Tabla1[[#This Row],[SIP]],I:I)-Tabla1[[#This Row],[Kerma en aire acumulada (Gy)]],"")</f>
        <v/>
      </c>
      <c r="AB693" s="8" t="str">
        <f t="shared" si="62"/>
        <v>Vicente Gil Guillem</v>
      </c>
    </row>
    <row r="694" spans="3:28">
      <c r="C694" s="94" t="s">
        <v>1088</v>
      </c>
      <c r="D694" s="134" t="s">
        <v>1801</v>
      </c>
      <c r="E694" s="134"/>
      <c r="F694" s="134" t="s">
        <v>19</v>
      </c>
      <c r="G694" s="134">
        <v>6042884</v>
      </c>
      <c r="H694" s="135">
        <v>44487</v>
      </c>
      <c r="I694" s="134">
        <v>0.26922000000000001</v>
      </c>
      <c r="J694" s="134"/>
      <c r="K694" s="134"/>
      <c r="L694" s="134"/>
      <c r="M694" s="134"/>
      <c r="N694" s="134"/>
      <c r="O694" s="134"/>
      <c r="P694" s="134"/>
      <c r="Q694" s="134"/>
      <c r="R694" s="134"/>
      <c r="S694" s="134"/>
      <c r="T694" s="135">
        <v>29063</v>
      </c>
      <c r="U694" s="134"/>
      <c r="V694" s="134" t="s">
        <v>173</v>
      </c>
      <c r="W694" s="92" t="str">
        <f t="shared" si="63"/>
        <v>Ismagilova ,Elvira</v>
      </c>
      <c r="X694" s="95">
        <f t="shared" si="60"/>
        <v>10</v>
      </c>
      <c r="Y694" s="95">
        <f t="shared" si="61"/>
        <v>2021</v>
      </c>
      <c r="Z694" s="103" t="s">
        <v>265</v>
      </c>
      <c r="AA694" t="str">
        <f>IF(Tabla1[[#This Row],[Kerma en aire acumulada (Gy)]]&gt;1,SUMIF(G:G,Tabla1[[#This Row],[SIP]],I:I)-Tabla1[[#This Row],[Kerma en aire acumulada (Gy)]],"")</f>
        <v/>
      </c>
      <c r="AB694" s="8" t="str">
        <f t="shared" si="62"/>
        <v>Salvador Orti Muedra</v>
      </c>
    </row>
    <row r="695" spans="3:28">
      <c r="C695" s="94" t="s">
        <v>1088</v>
      </c>
      <c r="D695" s="134" t="s">
        <v>1041</v>
      </c>
      <c r="E695" s="134" t="s">
        <v>1042</v>
      </c>
      <c r="F695" s="134" t="s">
        <v>117</v>
      </c>
      <c r="G695" s="134">
        <v>159095</v>
      </c>
      <c r="H695" s="135">
        <v>44488</v>
      </c>
      <c r="I695" s="134">
        <v>4.5799999999999999E-3</v>
      </c>
      <c r="J695" s="134"/>
      <c r="K695" s="134"/>
      <c r="L695" s="134"/>
      <c r="M695" s="134"/>
      <c r="N695" s="134"/>
      <c r="O695" s="134"/>
      <c r="P695" s="134"/>
      <c r="Q695" s="134"/>
      <c r="R695" s="134"/>
      <c r="S695" s="134"/>
      <c r="T695" s="135">
        <v>25438</v>
      </c>
      <c r="U695" s="134"/>
      <c r="V695" s="134" t="s">
        <v>1300</v>
      </c>
      <c r="W695" s="92" t="str">
        <f t="shared" si="63"/>
        <v>Iznardo Olivert,M Carmen</v>
      </c>
      <c r="X695" s="95">
        <f t="shared" si="60"/>
        <v>10</v>
      </c>
      <c r="Y695" s="95">
        <f t="shared" si="61"/>
        <v>2021</v>
      </c>
      <c r="Z695" s="103" t="s">
        <v>265</v>
      </c>
      <c r="AA695" t="str">
        <f>IF(Tabla1[[#This Row],[Kerma en aire acumulada (Gy)]]&gt;1,SUMIF(G:G,Tabla1[[#This Row],[SIP]],I:I)-Tabla1[[#This Row],[Kerma en aire acumulada (Gy)]],"")</f>
        <v/>
      </c>
      <c r="AB695" s="8" t="str">
        <f t="shared" si="62"/>
        <v xml:space="preserve">Constantin Gheorghe </v>
      </c>
    </row>
    <row r="696" spans="3:28">
      <c r="C696" s="94" t="s">
        <v>1088</v>
      </c>
      <c r="D696" s="134" t="s">
        <v>1784</v>
      </c>
      <c r="E696" s="134"/>
      <c r="F696" s="134" t="s">
        <v>1785</v>
      </c>
      <c r="G696" s="134">
        <v>5797765</v>
      </c>
      <c r="H696" s="135">
        <v>44488</v>
      </c>
      <c r="I696" s="134">
        <v>3.0589999999999999E-2</v>
      </c>
      <c r="J696" s="134"/>
      <c r="K696" s="134"/>
      <c r="L696" s="134"/>
      <c r="M696" s="134"/>
      <c r="N696" s="134"/>
      <c r="O696" s="134"/>
      <c r="P696" s="134"/>
      <c r="Q696" s="134"/>
      <c r="R696" s="134"/>
      <c r="S696" s="134"/>
      <c r="T696" s="135">
        <v>27547</v>
      </c>
      <c r="U696" s="134"/>
      <c r="V696" s="134" t="s">
        <v>1643</v>
      </c>
      <c r="W696" s="92" t="str">
        <f t="shared" si="63"/>
        <v>Carbunaru ,Liviu</v>
      </c>
      <c r="X696" s="95">
        <f t="shared" si="60"/>
        <v>10</v>
      </c>
      <c r="Y696" s="95">
        <f t="shared" si="61"/>
        <v>2021</v>
      </c>
      <c r="Z696" s="103" t="s">
        <v>265</v>
      </c>
      <c r="AA696" t="str">
        <f>IF(Tabla1[[#This Row],[Kerma en aire acumulada (Gy)]]&gt;1,SUMIF(G:G,Tabla1[[#This Row],[SIP]],I:I)-Tabla1[[#This Row],[Kerma en aire acumulada (Gy)]],"")</f>
        <v/>
      </c>
      <c r="AB696" s="8" t="str">
        <f t="shared" si="62"/>
        <v>Pedro Torrijos Valencia</v>
      </c>
    </row>
    <row r="697" spans="3:28">
      <c r="C697" s="94" t="s">
        <v>1088</v>
      </c>
      <c r="D697" s="134" t="s">
        <v>634</v>
      </c>
      <c r="E697" s="134" t="s">
        <v>1749</v>
      </c>
      <c r="F697" s="134" t="s">
        <v>88</v>
      </c>
      <c r="G697" s="134">
        <v>2222684</v>
      </c>
      <c r="H697" s="135">
        <v>44488</v>
      </c>
      <c r="I697" s="134">
        <v>0.14423</v>
      </c>
      <c r="J697" s="134"/>
      <c r="K697" s="134"/>
      <c r="L697" s="134"/>
      <c r="M697" s="134"/>
      <c r="N697" s="134"/>
      <c r="O697" s="134"/>
      <c r="P697" s="134"/>
      <c r="Q697" s="134"/>
      <c r="R697" s="134"/>
      <c r="S697" s="134"/>
      <c r="T697" s="135">
        <v>15027</v>
      </c>
      <c r="U697" s="134"/>
      <c r="V697" s="134" t="s">
        <v>1233</v>
      </c>
      <c r="W697" s="92" t="str">
        <f t="shared" si="63"/>
        <v>Gil Guillem,Vicente</v>
      </c>
      <c r="X697" s="95">
        <f t="shared" si="60"/>
        <v>10</v>
      </c>
      <c r="Y697" s="95">
        <f t="shared" si="61"/>
        <v>2021</v>
      </c>
      <c r="Z697" s="103" t="s">
        <v>265</v>
      </c>
      <c r="AA697" t="str">
        <f>IF(Tabla1[[#This Row],[Kerma en aire acumulada (Gy)]]&gt;1,SUMIF(G:G,Tabla1[[#This Row],[SIP]],I:I)-Tabla1[[#This Row],[Kerma en aire acumulada (Gy)]],"")</f>
        <v/>
      </c>
      <c r="AB697" s="8" t="str">
        <f t="shared" si="62"/>
        <v>Jose Miguel Cedeño Marcano</v>
      </c>
    </row>
    <row r="698" spans="3:28">
      <c r="C698" s="94" t="s">
        <v>1088</v>
      </c>
      <c r="D698" s="134" t="s">
        <v>1800</v>
      </c>
      <c r="E698" s="134" t="s">
        <v>1789</v>
      </c>
      <c r="F698" s="134" t="s">
        <v>131</v>
      </c>
      <c r="G698" s="134">
        <v>4342509</v>
      </c>
      <c r="H698" s="135">
        <v>44488</v>
      </c>
      <c r="I698" s="134">
        <v>1.46</v>
      </c>
      <c r="J698" s="134"/>
      <c r="K698" s="134"/>
      <c r="L698" s="134"/>
      <c r="M698" s="134"/>
      <c r="N698" s="134"/>
      <c r="O698" s="134"/>
      <c r="P698" s="134"/>
      <c r="Q698" s="134"/>
      <c r="R698" s="134"/>
      <c r="S698" s="134"/>
      <c r="T698" s="135">
        <v>15070</v>
      </c>
      <c r="U698" s="134"/>
      <c r="V698" s="134" t="s">
        <v>1790</v>
      </c>
      <c r="W698" s="92" t="str">
        <f t="shared" si="63"/>
        <v>Orti Muedra,Salvador</v>
      </c>
      <c r="X698" s="95">
        <f t="shared" si="60"/>
        <v>10</v>
      </c>
      <c r="Y698" s="95">
        <f t="shared" si="61"/>
        <v>2021</v>
      </c>
      <c r="Z698" s="103" t="s">
        <v>265</v>
      </c>
      <c r="AA698">
        <f>IF(Tabla1[[#This Row],[Kerma en aire acumulada (Gy)]]&gt;1,SUMIF(G:G,Tabla1[[#This Row],[SIP]],I:I)-Tabla1[[#This Row],[Kerma en aire acumulada (Gy)]],"")</f>
        <v>0.27879999999999994</v>
      </c>
      <c r="AB698" s="8" t="str">
        <f t="shared" si="62"/>
        <v>Maria Romero Leon</v>
      </c>
    </row>
    <row r="699" spans="3:28">
      <c r="C699" s="94" t="s">
        <v>1088</v>
      </c>
      <c r="D699" s="134" t="s">
        <v>1782</v>
      </c>
      <c r="E699" s="134"/>
      <c r="F699" s="134" t="s">
        <v>1783</v>
      </c>
      <c r="G699" s="134">
        <v>7511547</v>
      </c>
      <c r="H699" s="135">
        <v>44489</v>
      </c>
      <c r="I699" s="134">
        <v>0.14812</v>
      </c>
      <c r="J699" s="134"/>
      <c r="K699" s="134"/>
      <c r="L699" s="134"/>
      <c r="M699" s="134"/>
      <c r="N699" s="134"/>
      <c r="O699" s="134"/>
      <c r="P699" s="134"/>
      <c r="Q699" s="134"/>
      <c r="R699" s="134"/>
      <c r="S699" s="134"/>
      <c r="T699" s="135">
        <v>19724</v>
      </c>
      <c r="U699" s="134"/>
      <c r="V699" s="134" t="s">
        <v>516</v>
      </c>
      <c r="W699" s="92" t="str">
        <f t="shared" si="63"/>
        <v>Gheorghe ,Constantin</v>
      </c>
      <c r="X699" s="95">
        <f t="shared" si="60"/>
        <v>10</v>
      </c>
      <c r="Y699" s="95">
        <f t="shared" si="61"/>
        <v>2021</v>
      </c>
      <c r="Z699" s="103" t="s">
        <v>265</v>
      </c>
      <c r="AA699" t="str">
        <f>IF(Tabla1[[#This Row],[Kerma en aire acumulada (Gy)]]&gt;1,SUMIF(G:G,Tabla1[[#This Row],[SIP]],I:I)-Tabla1[[#This Row],[Kerma en aire acumulada (Gy)]],"")</f>
        <v/>
      </c>
      <c r="AB699" s="8" t="str">
        <f t="shared" si="62"/>
        <v>Pilar Peiro Giner</v>
      </c>
    </row>
    <row r="700" spans="3:28">
      <c r="C700" s="94" t="s">
        <v>1088</v>
      </c>
      <c r="D700" s="134" t="s">
        <v>1798</v>
      </c>
      <c r="E700" s="134" t="s">
        <v>1799</v>
      </c>
      <c r="F700" s="134" t="s">
        <v>834</v>
      </c>
      <c r="G700" s="134">
        <v>1867269</v>
      </c>
      <c r="H700" s="135">
        <v>44489</v>
      </c>
      <c r="I700" s="134">
        <v>2.32918</v>
      </c>
      <c r="J700" s="134"/>
      <c r="K700" s="134"/>
      <c r="L700" s="134"/>
      <c r="M700" s="134"/>
      <c r="N700" s="134"/>
      <c r="O700" s="134"/>
      <c r="P700" s="134"/>
      <c r="Q700" s="134"/>
      <c r="R700" s="134"/>
      <c r="S700" s="134"/>
      <c r="T700" s="135">
        <v>16779</v>
      </c>
      <c r="U700" s="134"/>
      <c r="V700" s="134" t="s">
        <v>1635</v>
      </c>
      <c r="W700" s="92" t="str">
        <f t="shared" si="63"/>
        <v>Torrijos Valencia,Pedro</v>
      </c>
      <c r="X700" s="95">
        <f t="shared" si="60"/>
        <v>10</v>
      </c>
      <c r="Y700" s="95">
        <f t="shared" si="61"/>
        <v>2021</v>
      </c>
      <c r="Z700" s="103" t="s">
        <v>265</v>
      </c>
      <c r="AA700">
        <f>IF(Tabla1[[#This Row],[Kerma en aire acumulada (Gy)]]&gt;1,SUMIF(G:G,Tabla1[[#This Row],[SIP]],I:I)-Tabla1[[#This Row],[Kerma en aire acumulada (Gy)]],"")</f>
        <v>0</v>
      </c>
      <c r="AB700" s="8" t="str">
        <f t="shared" si="62"/>
        <v>Rafael Cruz Diana</v>
      </c>
    </row>
    <row r="701" spans="3:28">
      <c r="C701" s="94" t="s">
        <v>1088</v>
      </c>
      <c r="D701" s="134" t="s">
        <v>1802</v>
      </c>
      <c r="E701" s="134" t="s">
        <v>1803</v>
      </c>
      <c r="F701" s="134" t="s">
        <v>1804</v>
      </c>
      <c r="G701" s="101">
        <v>6105841</v>
      </c>
      <c r="H701" s="135">
        <v>44489</v>
      </c>
      <c r="I701" s="134">
        <v>2.6</v>
      </c>
      <c r="J701" s="134"/>
      <c r="K701" s="134"/>
      <c r="L701" s="134"/>
      <c r="M701" s="134"/>
      <c r="N701" s="134"/>
      <c r="O701" s="134"/>
      <c r="P701" s="134"/>
      <c r="Q701" s="134"/>
      <c r="R701" s="134"/>
      <c r="S701" s="134"/>
      <c r="T701" s="135">
        <v>25646</v>
      </c>
      <c r="U701" s="134"/>
      <c r="V701" s="134" t="s">
        <v>1651</v>
      </c>
      <c r="W701" s="92" t="str">
        <f t="shared" si="63"/>
        <v>Cedeño Marcano,Jose Miguel</v>
      </c>
      <c r="X701" s="95">
        <f t="shared" si="60"/>
        <v>10</v>
      </c>
      <c r="Y701" s="95">
        <f t="shared" si="61"/>
        <v>2021</v>
      </c>
      <c r="Z701" s="103" t="s">
        <v>1805</v>
      </c>
      <c r="AA701">
        <f>IF(Tabla1[[#This Row],[Kerma en aire acumulada (Gy)]]&gt;1,SUMIF(G:G,Tabla1[[#This Row],[SIP]],I:I)-Tabla1[[#This Row],[Kerma en aire acumulada (Gy)]],"")</f>
        <v>0</v>
      </c>
      <c r="AB701" s="8" t="str">
        <f t="shared" si="62"/>
        <v>Pascual Huesca Castello</v>
      </c>
    </row>
    <row r="702" spans="3:28">
      <c r="C702" s="94" t="s">
        <v>1088</v>
      </c>
      <c r="D702" s="134" t="s">
        <v>1003</v>
      </c>
      <c r="E702" s="134" t="s">
        <v>1781</v>
      </c>
      <c r="F702" s="134" t="s">
        <v>1155</v>
      </c>
      <c r="G702" s="134">
        <v>13311103</v>
      </c>
      <c r="H702" s="135">
        <v>44490</v>
      </c>
      <c r="I702" s="134">
        <v>0.26273000000000002</v>
      </c>
      <c r="J702" s="134"/>
      <c r="K702" s="134"/>
      <c r="L702" s="134"/>
      <c r="M702" s="134"/>
      <c r="N702" s="134"/>
      <c r="O702" s="134"/>
      <c r="P702" s="134"/>
      <c r="Q702" s="134"/>
      <c r="R702" s="134"/>
      <c r="S702" s="134"/>
      <c r="T702" s="135">
        <v>15652</v>
      </c>
      <c r="U702" s="134"/>
      <c r="V702" s="134" t="s">
        <v>139</v>
      </c>
      <c r="W702" s="92" t="str">
        <f t="shared" si="63"/>
        <v>Romero Leon,Maria</v>
      </c>
      <c r="X702" s="95">
        <f t="shared" si="60"/>
        <v>10</v>
      </c>
      <c r="Y702" s="95">
        <f t="shared" si="61"/>
        <v>2021</v>
      </c>
      <c r="Z702" s="103" t="s">
        <v>265</v>
      </c>
      <c r="AA702" t="str">
        <f>IF(Tabla1[[#This Row],[Kerma en aire acumulada (Gy)]]&gt;1,SUMIF(G:G,Tabla1[[#This Row],[SIP]],I:I)-Tabla1[[#This Row],[Kerma en aire acumulada (Gy)]],"")</f>
        <v/>
      </c>
      <c r="AB702" s="8" t="str">
        <f t="shared" si="62"/>
        <v>Enrique La Roda Escribano</v>
      </c>
    </row>
    <row r="703" spans="3:28">
      <c r="C703" s="94" t="s">
        <v>1088</v>
      </c>
      <c r="D703" s="134" t="s">
        <v>1176</v>
      </c>
      <c r="E703" s="134" t="s">
        <v>189</v>
      </c>
      <c r="F703" s="134" t="s">
        <v>377</v>
      </c>
      <c r="G703" s="134">
        <v>4698933</v>
      </c>
      <c r="H703" s="135">
        <v>44490</v>
      </c>
      <c r="I703" s="134">
        <v>0.97111499999999995</v>
      </c>
      <c r="J703" s="134"/>
      <c r="K703" s="134"/>
      <c r="L703" s="134"/>
      <c r="M703" s="134"/>
      <c r="N703" s="134"/>
      <c r="O703" s="134"/>
      <c r="P703" s="134"/>
      <c r="Q703" s="134"/>
      <c r="R703" s="134"/>
      <c r="S703" s="134"/>
      <c r="T703" s="135">
        <v>18913</v>
      </c>
      <c r="U703" s="134"/>
      <c r="V703" s="134" t="s">
        <v>139</v>
      </c>
      <c r="W703" s="92" t="str">
        <f t="shared" si="63"/>
        <v>Peiro Giner,Pilar</v>
      </c>
      <c r="X703" s="95">
        <f t="shared" si="60"/>
        <v>10</v>
      </c>
      <c r="Y703" s="95">
        <f t="shared" si="61"/>
        <v>2021</v>
      </c>
      <c r="Z703" s="103" t="s">
        <v>265</v>
      </c>
      <c r="AA703" t="str">
        <f>IF(Tabla1[[#This Row],[Kerma en aire acumulada (Gy)]]&gt;1,SUMIF(G:G,Tabla1[[#This Row],[SIP]],I:I)-Tabla1[[#This Row],[Kerma en aire acumulada (Gy)]],"")</f>
        <v/>
      </c>
      <c r="AB703" s="8"/>
    </row>
    <row r="704" spans="3:28" ht="16.5" customHeight="1">
      <c r="C704" s="94" t="s">
        <v>1088</v>
      </c>
      <c r="D704" s="134" t="s">
        <v>620</v>
      </c>
      <c r="E704" s="134" t="s">
        <v>1797</v>
      </c>
      <c r="F704" s="134" t="s">
        <v>71</v>
      </c>
      <c r="G704" s="134">
        <v>7118892</v>
      </c>
      <c r="H704" s="135">
        <v>44490</v>
      </c>
      <c r="I704" s="134">
        <v>3.644E-2</v>
      </c>
      <c r="J704" s="134"/>
      <c r="K704" s="134"/>
      <c r="L704" s="134"/>
      <c r="M704" s="134"/>
      <c r="N704" s="134"/>
      <c r="O704" s="134"/>
      <c r="P704" s="134"/>
      <c r="Q704" s="134"/>
      <c r="R704" s="134"/>
      <c r="S704" s="134"/>
      <c r="T704" s="135">
        <v>23301</v>
      </c>
      <c r="U704" s="134"/>
      <c r="V704" s="134" t="s">
        <v>151</v>
      </c>
      <c r="W704" s="92" t="str">
        <f t="shared" si="63"/>
        <v>Cruz Diana,Rafael</v>
      </c>
      <c r="X704" s="95">
        <f t="shared" si="60"/>
        <v>10</v>
      </c>
      <c r="Y704" s="95">
        <f t="shared" si="61"/>
        <v>2021</v>
      </c>
      <c r="Z704" s="103" t="s">
        <v>265</v>
      </c>
      <c r="AA704" t="str">
        <f>IF(Tabla1[[#This Row],[Kerma en aire acumulada (Gy)]]&gt;1,SUMIF(G:G,Tabla1[[#This Row],[SIP]],I:I)-Tabla1[[#This Row],[Kerma en aire acumulada (Gy)]],"")</f>
        <v/>
      </c>
      <c r="AB704" s="8" t="str">
        <f t="shared" ref="AB704:AB711" si="64">CONCATENATE(F708,$A$591,D708,$A$591,E708)</f>
        <v>Trinidad Lopez Gomez</v>
      </c>
    </row>
    <row r="705" spans="2:28">
      <c r="C705" s="94" t="s">
        <v>1088</v>
      </c>
      <c r="D705" s="134" t="s">
        <v>1287</v>
      </c>
      <c r="E705" s="134" t="s">
        <v>1288</v>
      </c>
      <c r="F705" s="134" t="s">
        <v>82</v>
      </c>
      <c r="G705" s="134">
        <v>2849235</v>
      </c>
      <c r="H705" s="135">
        <v>44490</v>
      </c>
      <c r="I705" s="134">
        <v>7.145E-2</v>
      </c>
      <c r="J705" s="134"/>
      <c r="K705" s="134"/>
      <c r="L705" s="134"/>
      <c r="M705" s="134"/>
      <c r="N705" s="134"/>
      <c r="O705" s="134"/>
      <c r="P705" s="134"/>
      <c r="Q705" s="134"/>
      <c r="R705" s="134"/>
      <c r="S705" s="134"/>
      <c r="T705" s="135">
        <v>19135</v>
      </c>
      <c r="U705" s="134"/>
      <c r="V705" s="134" t="s">
        <v>541</v>
      </c>
      <c r="W705" s="92" t="str">
        <f t="shared" si="63"/>
        <v>Huesca Castello,Pascual</v>
      </c>
      <c r="X705" s="95">
        <f t="shared" si="60"/>
        <v>10</v>
      </c>
      <c r="Y705" s="95">
        <f t="shared" si="61"/>
        <v>2021</v>
      </c>
      <c r="Z705" s="103" t="s">
        <v>265</v>
      </c>
      <c r="AA705" t="str">
        <f>IF(Tabla1[[#This Row],[Kerma en aire acumulada (Gy)]]&gt;1,SUMIF(G:G,Tabla1[[#This Row],[SIP]],I:I)-Tabla1[[#This Row],[Kerma en aire acumulada (Gy)]],"")</f>
        <v/>
      </c>
      <c r="AB705" s="8" t="str">
        <f t="shared" si="64"/>
        <v xml:space="preserve">Li Xuezhen </v>
      </c>
    </row>
    <row r="706" spans="2:28">
      <c r="C706" s="94" t="s">
        <v>1088</v>
      </c>
      <c r="D706" s="134" t="s">
        <v>1775</v>
      </c>
      <c r="E706" s="134" t="s">
        <v>1776</v>
      </c>
      <c r="F706" s="134" t="s">
        <v>635</v>
      </c>
      <c r="G706" s="134">
        <v>2832343</v>
      </c>
      <c r="H706" s="135">
        <v>44491</v>
      </c>
      <c r="I706" s="134">
        <v>4.7509999999999997E-2</v>
      </c>
      <c r="J706" s="134"/>
      <c r="K706" s="134"/>
      <c r="L706" s="134"/>
      <c r="M706" s="134"/>
      <c r="N706" s="134"/>
      <c r="O706" s="134"/>
      <c r="P706" s="134"/>
      <c r="Q706" s="134"/>
      <c r="R706" s="134"/>
      <c r="S706" s="134"/>
      <c r="T706" s="135">
        <v>21956</v>
      </c>
      <c r="U706" s="134"/>
      <c r="V706" s="134" t="s">
        <v>502</v>
      </c>
      <c r="W706" s="92" t="str">
        <f t="shared" si="63"/>
        <v>La Roda Escribano,Enrique</v>
      </c>
      <c r="X706" s="95">
        <f t="shared" si="60"/>
        <v>10</v>
      </c>
      <c r="Y706" s="95">
        <f t="shared" si="61"/>
        <v>2021</v>
      </c>
      <c r="Z706" s="103" t="s">
        <v>265</v>
      </c>
      <c r="AA706" t="str">
        <f>IF(Tabla1[[#This Row],[Kerma en aire acumulada (Gy)]]&gt;1,SUMIF(G:G,Tabla1[[#This Row],[SIP]],I:I)-Tabla1[[#This Row],[Kerma en aire acumulada (Gy)]],"")</f>
        <v/>
      </c>
      <c r="AB706" s="8" t="str">
        <f t="shared" si="64"/>
        <v>Laura Alvarez Tur</v>
      </c>
    </row>
    <row r="707" spans="2:28">
      <c r="C707" s="94" t="s">
        <v>1088</v>
      </c>
      <c r="D707" s="134" t="s">
        <v>22</v>
      </c>
      <c r="E707" s="134" t="s">
        <v>1777</v>
      </c>
      <c r="F707" s="134" t="s">
        <v>1778</v>
      </c>
      <c r="G707" s="134">
        <v>343915</v>
      </c>
      <c r="H707" s="135">
        <v>44491</v>
      </c>
      <c r="I707" s="134">
        <v>0.45500000000000002</v>
      </c>
      <c r="J707" s="134"/>
      <c r="K707" s="134"/>
      <c r="L707" s="134"/>
      <c r="M707" s="134"/>
      <c r="N707" s="134"/>
      <c r="O707" s="134"/>
      <c r="P707" s="134"/>
      <c r="Q707" s="134"/>
      <c r="R707" s="134"/>
      <c r="S707" s="134"/>
      <c r="T707" s="135">
        <v>23042</v>
      </c>
      <c r="U707" s="134"/>
      <c r="V707" s="134" t="s">
        <v>1742</v>
      </c>
      <c r="W707" s="92" t="str">
        <f t="shared" si="63"/>
        <v>Ruiz Luja,Daniela</v>
      </c>
      <c r="X707" s="95">
        <f t="shared" si="60"/>
        <v>10</v>
      </c>
      <c r="Y707" s="95">
        <f t="shared" si="61"/>
        <v>2021</v>
      </c>
      <c r="Z707" s="103" t="s">
        <v>265</v>
      </c>
      <c r="AA707" t="str">
        <f>IF(Tabla1[[#This Row],[Kerma en aire acumulada (Gy)]]&gt;1,SUMIF(G:G,Tabla1[[#This Row],[SIP]],I:I)-Tabla1[[#This Row],[Kerma en aire acumulada (Gy)]],"")</f>
        <v/>
      </c>
      <c r="AB707" s="8" t="str">
        <f t="shared" si="64"/>
        <v>Vicente Navarro Pelecha</v>
      </c>
    </row>
    <row r="708" spans="2:28">
      <c r="C708" s="94" t="s">
        <v>1088</v>
      </c>
      <c r="D708" s="134" t="s">
        <v>960</v>
      </c>
      <c r="E708" s="134" t="s">
        <v>856</v>
      </c>
      <c r="F708" s="134" t="s">
        <v>1779</v>
      </c>
      <c r="G708" s="134">
        <v>2010166</v>
      </c>
      <c r="H708" s="135">
        <v>44491</v>
      </c>
      <c r="I708" s="134">
        <v>3.4299999999999999E-3</v>
      </c>
      <c r="J708" s="134"/>
      <c r="K708" s="134"/>
      <c r="L708" s="134"/>
      <c r="M708" s="134"/>
      <c r="N708" s="134"/>
      <c r="O708" s="134"/>
      <c r="P708" s="134"/>
      <c r="Q708" s="134"/>
      <c r="R708" s="134"/>
      <c r="S708" s="134"/>
      <c r="T708" s="135">
        <v>16955</v>
      </c>
      <c r="U708" s="134"/>
      <c r="V708" s="134" t="s">
        <v>1780</v>
      </c>
      <c r="W708" s="92" t="str">
        <f t="shared" si="63"/>
        <v>Lopez Gomez,Trinidad</v>
      </c>
      <c r="X708" s="95">
        <f t="shared" si="60"/>
        <v>10</v>
      </c>
      <c r="Y708" s="95">
        <f t="shared" si="61"/>
        <v>2021</v>
      </c>
      <c r="Z708" s="103" t="s">
        <v>265</v>
      </c>
      <c r="AA708" t="str">
        <f>IF(Tabla1[[#This Row],[Kerma en aire acumulada (Gy)]]&gt;1,SUMIF(G:G,Tabla1[[#This Row],[SIP]],I:I)-Tabla1[[#This Row],[Kerma en aire acumulada (Gy)]],"")</f>
        <v/>
      </c>
      <c r="AB708" s="8" t="str">
        <f t="shared" si="64"/>
        <v>Juan Carlos Hurtado Marques</v>
      </c>
    </row>
    <row r="709" spans="2:28">
      <c r="C709" s="94" t="s">
        <v>1088</v>
      </c>
      <c r="D709" s="134" t="s">
        <v>1793</v>
      </c>
      <c r="E709" s="134"/>
      <c r="F709" s="134" t="s">
        <v>1794</v>
      </c>
      <c r="G709" s="134">
        <v>4369772</v>
      </c>
      <c r="H709" s="135">
        <v>44491</v>
      </c>
      <c r="I709" s="134">
        <v>0.29894999999999999</v>
      </c>
      <c r="J709" s="134"/>
      <c r="K709" s="134"/>
      <c r="L709" s="134"/>
      <c r="M709" s="134"/>
      <c r="N709" s="134"/>
      <c r="O709" s="134"/>
      <c r="P709" s="134"/>
      <c r="Q709" s="134"/>
      <c r="R709" s="134"/>
      <c r="S709" s="134"/>
      <c r="T709" s="135">
        <v>25693</v>
      </c>
      <c r="U709" s="134"/>
      <c r="V709" s="134" t="s">
        <v>1795</v>
      </c>
      <c r="W709" s="92" t="str">
        <f t="shared" si="63"/>
        <v>Xuezhen ,Li</v>
      </c>
      <c r="X709" s="95">
        <f t="shared" si="60"/>
        <v>10</v>
      </c>
      <c r="Y709" s="95">
        <f t="shared" si="61"/>
        <v>2021</v>
      </c>
      <c r="Z709" s="103" t="s">
        <v>265</v>
      </c>
      <c r="AA709" t="str">
        <f>IF(Tabla1[[#This Row],[Kerma en aire acumulada (Gy)]]&gt;1,SUMIF(G:G,Tabla1[[#This Row],[SIP]],I:I)-Tabla1[[#This Row],[Kerma en aire acumulada (Gy)]],"")</f>
        <v/>
      </c>
      <c r="AB709" s="8" t="str">
        <f t="shared" si="64"/>
        <v>Antonia Borrego Ledesma</v>
      </c>
    </row>
    <row r="710" spans="2:28">
      <c r="B710" s="43" t="s">
        <v>711</v>
      </c>
      <c r="C710" s="94" t="s">
        <v>1088</v>
      </c>
      <c r="D710" s="134" t="s">
        <v>1276</v>
      </c>
      <c r="E710" s="134" t="s">
        <v>1786</v>
      </c>
      <c r="F710" s="134" t="s">
        <v>1787</v>
      </c>
      <c r="G710" s="134">
        <v>898955</v>
      </c>
      <c r="H710" s="135">
        <v>44491</v>
      </c>
      <c r="I710" s="134">
        <v>2.1099999999999999E-3</v>
      </c>
      <c r="J710" s="134"/>
      <c r="K710" s="134"/>
      <c r="L710" s="134"/>
      <c r="M710" s="134"/>
      <c r="N710" s="134"/>
      <c r="O710" s="134"/>
      <c r="P710" s="134"/>
      <c r="Q710" s="134"/>
      <c r="R710" s="134"/>
      <c r="S710" s="134"/>
      <c r="T710" s="135">
        <v>31047</v>
      </c>
      <c r="U710" s="134"/>
      <c r="V710" s="134" t="s">
        <v>1300</v>
      </c>
      <c r="W710" s="92" t="str">
        <f t="shared" si="63"/>
        <v>Alvarez Tur,Laura</v>
      </c>
      <c r="X710" s="95">
        <f t="shared" si="60"/>
        <v>10</v>
      </c>
      <c r="Y710" s="95">
        <f t="shared" si="61"/>
        <v>2021</v>
      </c>
      <c r="Z710" s="103" t="s">
        <v>265</v>
      </c>
      <c r="AA710" t="str">
        <f>IF(Tabla1[[#This Row],[Kerma en aire acumulada (Gy)]]&gt;1,SUMIF(G:G,Tabla1[[#This Row],[SIP]],I:I)-Tabla1[[#This Row],[Kerma en aire acumulada (Gy)]],"")</f>
        <v/>
      </c>
      <c r="AB710" s="8" t="str">
        <f t="shared" si="64"/>
        <v>Josep Medina i Rodrigo</v>
      </c>
    </row>
    <row r="711" spans="2:28">
      <c r="C711" s="94" t="s">
        <v>1088</v>
      </c>
      <c r="D711" s="134" t="s">
        <v>66</v>
      </c>
      <c r="E711" s="134" t="s">
        <v>1796</v>
      </c>
      <c r="F711" s="134" t="s">
        <v>88</v>
      </c>
      <c r="G711" s="134">
        <v>3528035</v>
      </c>
      <c r="H711" s="135">
        <v>44491</v>
      </c>
      <c r="I711" s="134">
        <v>0.64298</v>
      </c>
      <c r="J711" s="134"/>
      <c r="K711" s="134"/>
      <c r="L711" s="134"/>
      <c r="M711" s="134"/>
      <c r="N711" s="134"/>
      <c r="O711" s="134"/>
      <c r="P711" s="134"/>
      <c r="Q711" s="134"/>
      <c r="R711" s="134"/>
      <c r="S711" s="134"/>
      <c r="T711" s="135">
        <v>18604</v>
      </c>
      <c r="U711" s="134"/>
      <c r="V711" s="134" t="s">
        <v>128</v>
      </c>
      <c r="W711" s="92" t="str">
        <f t="shared" si="63"/>
        <v>Navarro Pelecha,Vicente</v>
      </c>
      <c r="X711" s="95">
        <f t="shared" si="60"/>
        <v>10</v>
      </c>
      <c r="Y711" s="95">
        <f t="shared" si="61"/>
        <v>2021</v>
      </c>
      <c r="Z711" s="103" t="s">
        <v>265</v>
      </c>
      <c r="AA711" t="str">
        <f>IF(Tabla1[[#This Row],[Kerma en aire acumulada (Gy)]]&gt;1,SUMIF(G:G,Tabla1[[#This Row],[SIP]],I:I)-Tabla1[[#This Row],[Kerma en aire acumulada (Gy)]],"")</f>
        <v/>
      </c>
      <c r="AB711" s="8" t="str">
        <f t="shared" si="64"/>
        <v>M Carmen Iznardo Oliver</v>
      </c>
    </row>
    <row r="712" spans="2:28">
      <c r="C712" s="94" t="s">
        <v>1088</v>
      </c>
      <c r="D712" s="134" t="s">
        <v>534</v>
      </c>
      <c r="E712" s="134" t="s">
        <v>1250</v>
      </c>
      <c r="F712" s="134" t="s">
        <v>861</v>
      </c>
      <c r="G712" s="134">
        <v>2324782</v>
      </c>
      <c r="H712" s="135">
        <v>44493</v>
      </c>
      <c r="I712" s="134">
        <v>4.6699999999999997E-3</v>
      </c>
      <c r="J712" s="134"/>
      <c r="K712" s="134"/>
      <c r="L712" s="134"/>
      <c r="M712" s="134"/>
      <c r="N712" s="134"/>
      <c r="O712" s="134"/>
      <c r="P712" s="134"/>
      <c r="Q712" s="134"/>
      <c r="R712" s="134"/>
      <c r="S712" s="134"/>
      <c r="T712" s="135">
        <v>22774</v>
      </c>
      <c r="U712" s="134"/>
      <c r="V712" s="134" t="s">
        <v>516</v>
      </c>
      <c r="W712" s="92" t="str">
        <f t="shared" si="63"/>
        <v>Hurtado Marques,Juan Carlos</v>
      </c>
      <c r="X712" s="95">
        <f t="shared" si="60"/>
        <v>10</v>
      </c>
      <c r="Y712" s="95">
        <f t="shared" si="61"/>
        <v>2021</v>
      </c>
      <c r="Z712" s="103" t="s">
        <v>265</v>
      </c>
      <c r="AA712" t="str">
        <f>IF(Tabla1[[#This Row],[Kerma en aire acumulada (Gy)]]&gt;1,SUMIF(G:G,Tabla1[[#This Row],[SIP]],I:I)-Tabla1[[#This Row],[Kerma en aire acumulada (Gy)]],"")</f>
        <v/>
      </c>
      <c r="AB712" s="8"/>
    </row>
    <row r="713" spans="2:28">
      <c r="C713" s="94" t="s">
        <v>1088</v>
      </c>
      <c r="D713" s="134" t="s">
        <v>12</v>
      </c>
      <c r="E713" s="134" t="s">
        <v>1773</v>
      </c>
      <c r="F713" s="134" t="s">
        <v>774</v>
      </c>
      <c r="G713" s="134">
        <v>2407343</v>
      </c>
      <c r="H713" s="135">
        <v>44494</v>
      </c>
      <c r="I713" s="134">
        <v>1.8950000000000002E-2</v>
      </c>
      <c r="J713" s="134"/>
      <c r="K713" s="134"/>
      <c r="L713" s="134"/>
      <c r="M713" s="134"/>
      <c r="N713" s="134"/>
      <c r="O713" s="134"/>
      <c r="P713" s="134"/>
      <c r="Q713" s="134"/>
      <c r="R713" s="134"/>
      <c r="S713" s="134"/>
      <c r="T713" s="135">
        <v>20414</v>
      </c>
      <c r="U713" s="134"/>
      <c r="V713" s="134" t="s">
        <v>1774</v>
      </c>
      <c r="W713" s="92" t="str">
        <f t="shared" si="63"/>
        <v>Borrego Ledesma,Antonia</v>
      </c>
      <c r="X713" s="95">
        <f t="shared" si="60"/>
        <v>10</v>
      </c>
      <c r="Y713" s="95">
        <f t="shared" si="61"/>
        <v>2021</v>
      </c>
      <c r="Z713" s="103" t="s">
        <v>265</v>
      </c>
      <c r="AA713" t="str">
        <f>IF(Tabla1[[#This Row],[Kerma en aire acumulada (Gy)]]&gt;1,SUMIF(G:G,Tabla1[[#This Row],[SIP]],I:I)-Tabla1[[#This Row],[Kerma en aire acumulada (Gy)]],"")</f>
        <v/>
      </c>
      <c r="AB713" s="8" t="str">
        <f t="shared" ref="AB713:AB724" si="65">CONCATENATE(F717,$A$591,D717,$A$591,E717)</f>
        <v>Salvador Orti  Muedra</v>
      </c>
    </row>
    <row r="714" spans="2:28">
      <c r="C714" s="94" t="s">
        <v>1088</v>
      </c>
      <c r="D714" s="134" t="s">
        <v>1791</v>
      </c>
      <c r="E714" s="134" t="s">
        <v>1792</v>
      </c>
      <c r="F714" s="134" t="s">
        <v>828</v>
      </c>
      <c r="G714" s="134">
        <v>3202171</v>
      </c>
      <c r="H714" s="135">
        <v>44494</v>
      </c>
      <c r="I714" s="134">
        <v>1.3172900000000001</v>
      </c>
      <c r="J714" s="134"/>
      <c r="K714" s="134"/>
      <c r="L714" s="134"/>
      <c r="M714" s="134"/>
      <c r="N714" s="134"/>
      <c r="O714" s="134"/>
      <c r="P714" s="134"/>
      <c r="Q714" s="134"/>
      <c r="R714" s="134"/>
      <c r="S714" s="134"/>
      <c r="T714" s="135">
        <v>44493</v>
      </c>
      <c r="U714" s="134"/>
      <c r="V714" s="134" t="s">
        <v>586</v>
      </c>
      <c r="W714" s="92" t="str">
        <f t="shared" si="63"/>
        <v>Medina i Rodrigo,Josep</v>
      </c>
      <c r="X714" s="95">
        <f t="shared" si="60"/>
        <v>10</v>
      </c>
      <c r="Y714" s="95">
        <f t="shared" si="61"/>
        <v>2021</v>
      </c>
      <c r="Z714" s="103" t="s">
        <v>265</v>
      </c>
      <c r="AA714">
        <f>IF(Tabla1[[#This Row],[Kerma en aire acumulada (Gy)]]&gt;1,SUMIF(G:G,Tabla1[[#This Row],[SIP]],I:I)-Tabla1[[#This Row],[Kerma en aire acumulada (Gy)]],"")</f>
        <v>1.9304500000000002</v>
      </c>
      <c r="AB714" s="8" t="str">
        <f t="shared" si="65"/>
        <v>Laura Sanz Rincon</v>
      </c>
    </row>
    <row r="715" spans="2:28">
      <c r="C715" s="94" t="s">
        <v>1088</v>
      </c>
      <c r="D715" s="134" t="s">
        <v>1041</v>
      </c>
      <c r="E715" s="134" t="s">
        <v>174</v>
      </c>
      <c r="F715" s="134" t="s">
        <v>117</v>
      </c>
      <c r="G715" s="134">
        <v>159095</v>
      </c>
      <c r="H715" s="135">
        <v>44494</v>
      </c>
      <c r="I715" s="134">
        <v>0.29304000000000002</v>
      </c>
      <c r="J715" s="134"/>
      <c r="K715" s="134"/>
      <c r="L715" s="134"/>
      <c r="M715" s="134"/>
      <c r="N715" s="134"/>
      <c r="O715" s="134"/>
      <c r="P715" s="134"/>
      <c r="Q715" s="134"/>
      <c r="R715" s="134"/>
      <c r="S715" s="134"/>
      <c r="T715" s="135">
        <v>25438</v>
      </c>
      <c r="U715" s="134"/>
      <c r="V715" s="134" t="s">
        <v>1293</v>
      </c>
      <c r="W715" s="92" t="str">
        <f t="shared" si="63"/>
        <v>Iznardo Oliver,M Carmen</v>
      </c>
      <c r="X715" s="95">
        <f t="shared" si="60"/>
        <v>10</v>
      </c>
      <c r="Y715" s="95">
        <f t="shared" si="61"/>
        <v>2021</v>
      </c>
      <c r="Z715" s="103" t="s">
        <v>265</v>
      </c>
      <c r="AA715" t="str">
        <f>IF(Tabla1[[#This Row],[Kerma en aire acumulada (Gy)]]&gt;1,SUMIF(G:G,Tabla1[[#This Row],[SIP]],I:I)-Tabla1[[#This Row],[Kerma en aire acumulada (Gy)]],"")</f>
        <v/>
      </c>
      <c r="AB715" s="8" t="str">
        <f t="shared" si="65"/>
        <v>Virginia Ela Rodriguez Martinez</v>
      </c>
    </row>
    <row r="716" spans="2:28">
      <c r="C716" s="94" t="s">
        <v>1088</v>
      </c>
      <c r="D716" s="134" t="s">
        <v>1176</v>
      </c>
      <c r="E716" s="134" t="s">
        <v>856</v>
      </c>
      <c r="F716" s="134" t="s">
        <v>131</v>
      </c>
      <c r="G716" s="134">
        <v>2838001</v>
      </c>
      <c r="H716" s="135">
        <v>44495</v>
      </c>
      <c r="I716" s="134">
        <v>7.5590000000000004E-2</v>
      </c>
      <c r="J716" s="134"/>
      <c r="K716" s="134"/>
      <c r="L716" s="134"/>
      <c r="M716" s="134"/>
      <c r="N716" s="134"/>
      <c r="O716" s="134"/>
      <c r="P716" s="134"/>
      <c r="Q716" s="134"/>
      <c r="R716" s="134"/>
      <c r="S716" s="134"/>
      <c r="T716" s="135">
        <v>18962</v>
      </c>
      <c r="U716" s="134"/>
      <c r="V716" s="134" t="s">
        <v>1293</v>
      </c>
      <c r="W716" s="92" t="str">
        <f t="shared" si="63"/>
        <v>Peiro Gomez,Salvador</v>
      </c>
      <c r="X716" s="95">
        <f t="shared" si="60"/>
        <v>10</v>
      </c>
      <c r="Y716" s="95">
        <f t="shared" si="61"/>
        <v>2021</v>
      </c>
      <c r="Z716" s="103" t="s">
        <v>265</v>
      </c>
      <c r="AA716" t="str">
        <f>IF(Tabla1[[#This Row],[Kerma en aire acumulada (Gy)]]&gt;1,SUMIF(G:G,Tabla1[[#This Row],[SIP]],I:I)-Tabla1[[#This Row],[Kerma en aire acumulada (Gy)]],"")</f>
        <v/>
      </c>
      <c r="AB716" s="8" t="str">
        <f t="shared" si="65"/>
        <v>Esteban Martinez Jimenez</v>
      </c>
    </row>
    <row r="717" spans="2:28">
      <c r="C717" s="94" t="s">
        <v>1088</v>
      </c>
      <c r="D717" s="134" t="s">
        <v>1788</v>
      </c>
      <c r="E717" s="134" t="s">
        <v>1789</v>
      </c>
      <c r="F717" s="134" t="s">
        <v>131</v>
      </c>
      <c r="G717" s="134">
        <v>4342509</v>
      </c>
      <c r="H717" s="135">
        <v>44495</v>
      </c>
      <c r="I717" s="134">
        <v>0.27879999999999999</v>
      </c>
      <c r="J717" s="134"/>
      <c r="K717" s="134"/>
      <c r="L717" s="134"/>
      <c r="M717" s="134"/>
      <c r="N717" s="134"/>
      <c r="O717" s="134"/>
      <c r="P717" s="134"/>
      <c r="Q717" s="134"/>
      <c r="R717" s="134"/>
      <c r="S717" s="134"/>
      <c r="T717" s="135">
        <v>15070</v>
      </c>
      <c r="U717" s="134"/>
      <c r="V717" s="134" t="s">
        <v>1790</v>
      </c>
      <c r="W717" s="92" t="str">
        <f t="shared" si="63"/>
        <v>Orti  Muedra,Salvador</v>
      </c>
      <c r="X717" s="95">
        <f t="shared" si="60"/>
        <v>10</v>
      </c>
      <c r="Y717" s="95">
        <f t="shared" si="61"/>
        <v>2021</v>
      </c>
      <c r="Z717" s="103" t="s">
        <v>265</v>
      </c>
      <c r="AA717" t="str">
        <f>IF(Tabla1[[#This Row],[Kerma en aire acumulada (Gy)]]&gt;1,SUMIF(G:G,Tabla1[[#This Row],[SIP]],I:I)-Tabla1[[#This Row],[Kerma en aire acumulada (Gy)]],"")</f>
        <v/>
      </c>
      <c r="AB717" s="8" t="str">
        <f t="shared" si="65"/>
        <v>Virginia Ela Rodriguez Martinez</v>
      </c>
    </row>
    <row r="718" spans="2:28">
      <c r="C718" s="94" t="s">
        <v>1088</v>
      </c>
      <c r="D718" s="134" t="s">
        <v>1209</v>
      </c>
      <c r="E718" s="134" t="s">
        <v>1819</v>
      </c>
      <c r="F718" s="134" t="s">
        <v>1787</v>
      </c>
      <c r="G718" s="134">
        <v>3088375</v>
      </c>
      <c r="H718" s="135">
        <v>44496</v>
      </c>
      <c r="I718" s="134">
        <v>0.2545</v>
      </c>
      <c r="J718" s="134"/>
      <c r="K718" s="134"/>
      <c r="L718" s="134"/>
      <c r="M718" s="134"/>
      <c r="N718" s="134"/>
      <c r="O718" s="134"/>
      <c r="P718" s="134"/>
      <c r="Q718" s="134"/>
      <c r="R718" s="134"/>
      <c r="S718" s="134"/>
      <c r="T718" s="135">
        <v>28938</v>
      </c>
      <c r="U718" s="134"/>
      <c r="V718" s="134" t="s">
        <v>1820</v>
      </c>
      <c r="W718" s="92" t="str">
        <f t="shared" si="63"/>
        <v>Sanz Rincon,Laura</v>
      </c>
      <c r="X718" s="95">
        <f t="shared" si="60"/>
        <v>10</v>
      </c>
      <c r="Y718" s="95">
        <f t="shared" si="61"/>
        <v>2021</v>
      </c>
      <c r="Z718" s="103" t="s">
        <v>265</v>
      </c>
      <c r="AA718" t="str">
        <f>IF(Tabla1[[#This Row],[Kerma en aire acumulada (Gy)]]&gt;1,SUMIF(G:G,Tabla1[[#This Row],[SIP]],I:I)-Tabla1[[#This Row],[Kerma en aire acumulada (Gy)]],"")</f>
        <v/>
      </c>
      <c r="AB718" s="8" t="str">
        <f t="shared" si="65"/>
        <v>Victoria Pinter Pla</v>
      </c>
    </row>
    <row r="719" spans="2:28">
      <c r="C719" s="94" t="s">
        <v>1088</v>
      </c>
      <c r="D719" s="134" t="s">
        <v>1837</v>
      </c>
      <c r="E719" s="134" t="s">
        <v>948</v>
      </c>
      <c r="F719" s="134" t="s">
        <v>1838</v>
      </c>
      <c r="G719" s="134">
        <v>13273157</v>
      </c>
      <c r="H719" s="135">
        <v>44496</v>
      </c>
      <c r="I719" s="134">
        <v>7.4999999999999997E-2</v>
      </c>
      <c r="J719" s="134"/>
      <c r="K719" s="134"/>
      <c r="L719" s="134"/>
      <c r="M719" s="134"/>
      <c r="N719" s="134"/>
      <c r="O719" s="134"/>
      <c r="P719" s="134"/>
      <c r="Q719" s="134"/>
      <c r="R719" s="134"/>
      <c r="S719" s="134"/>
      <c r="T719" s="135">
        <v>20370</v>
      </c>
      <c r="U719" s="134"/>
      <c r="V719" s="134" t="s">
        <v>1839</v>
      </c>
      <c r="W719" s="92" t="str">
        <f t="shared" si="63"/>
        <v>Rodriguez Martinez,Virginia Ela</v>
      </c>
      <c r="X719" s="95">
        <f t="shared" si="60"/>
        <v>10</v>
      </c>
      <c r="Y719" s="95">
        <f t="shared" si="61"/>
        <v>2021</v>
      </c>
      <c r="Z719" s="103" t="s">
        <v>265</v>
      </c>
      <c r="AA719" t="str">
        <f>IF(Tabla1[[#This Row],[Kerma en aire acumulada (Gy)]]&gt;1,SUMIF(G:G,Tabla1[[#This Row],[SIP]],I:I)-Tabla1[[#This Row],[Kerma en aire acumulada (Gy)]],"")</f>
        <v/>
      </c>
      <c r="AB719" s="8" t="str">
        <f t="shared" si="65"/>
        <v>Josefa Baño Caba</v>
      </c>
    </row>
    <row r="720" spans="2:28">
      <c r="B720" s="43"/>
      <c r="C720" s="94" t="s">
        <v>1088</v>
      </c>
      <c r="D720" s="134" t="s">
        <v>948</v>
      </c>
      <c r="E720" s="134" t="s">
        <v>1587</v>
      </c>
      <c r="F720" s="134" t="s">
        <v>321</v>
      </c>
      <c r="G720" s="134">
        <v>2335001</v>
      </c>
      <c r="H720" s="135">
        <v>44496</v>
      </c>
      <c r="I720" s="134">
        <v>0.79412000000000005</v>
      </c>
      <c r="J720" s="134"/>
      <c r="K720" s="134"/>
      <c r="L720" s="134"/>
      <c r="M720" s="134"/>
      <c r="N720" s="134"/>
      <c r="O720" s="134"/>
      <c r="P720" s="134"/>
      <c r="Q720" s="134"/>
      <c r="R720" s="134"/>
      <c r="S720" s="134"/>
      <c r="T720" s="135">
        <v>23603</v>
      </c>
      <c r="U720" s="134"/>
      <c r="V720" s="134" t="s">
        <v>180</v>
      </c>
      <c r="W720" s="92" t="str">
        <f t="shared" si="63"/>
        <v>Martinez Jimenez,Esteban</v>
      </c>
      <c r="X720" s="95">
        <f t="shared" si="60"/>
        <v>10</v>
      </c>
      <c r="Y720" s="95">
        <f t="shared" si="61"/>
        <v>2021</v>
      </c>
      <c r="Z720" s="103" t="s">
        <v>265</v>
      </c>
      <c r="AA720" t="str">
        <f>IF(Tabla1[[#This Row],[Kerma en aire acumulada (Gy)]]&gt;1,SUMIF(G:G,Tabla1[[#This Row],[SIP]],I:I)-Tabla1[[#This Row],[Kerma en aire acumulada (Gy)]],"")</f>
        <v/>
      </c>
      <c r="AB720" s="8" t="str">
        <f t="shared" si="65"/>
        <v>Valentina Solian Indoitu</v>
      </c>
    </row>
    <row r="721" spans="3:28">
      <c r="C721" s="94" t="s">
        <v>1088</v>
      </c>
      <c r="D721" s="134" t="s">
        <v>1837</v>
      </c>
      <c r="E721" s="134" t="s">
        <v>948</v>
      </c>
      <c r="F721" s="134" t="s">
        <v>1838</v>
      </c>
      <c r="G721" s="134">
        <v>13273157</v>
      </c>
      <c r="H721" s="135">
        <v>44497</v>
      </c>
      <c r="I721" s="134">
        <v>1.2579999999999999E-2</v>
      </c>
      <c r="J721" s="134"/>
      <c r="K721" s="134"/>
      <c r="L721" s="134"/>
      <c r="M721" s="134"/>
      <c r="N721" s="134"/>
      <c r="O721" s="134"/>
      <c r="P721" s="134"/>
      <c r="Q721" s="134"/>
      <c r="R721" s="134"/>
      <c r="S721" s="134"/>
      <c r="T721" s="135">
        <v>20370</v>
      </c>
      <c r="U721" s="134"/>
      <c r="V721" s="134" t="s">
        <v>1670</v>
      </c>
      <c r="W721" s="92" t="str">
        <f t="shared" si="63"/>
        <v>Rodriguez Martinez,Virginia Ela</v>
      </c>
      <c r="X721" s="95">
        <f t="shared" si="60"/>
        <v>10</v>
      </c>
      <c r="Y721" s="95">
        <f t="shared" si="61"/>
        <v>2021</v>
      </c>
      <c r="Z721" s="103" t="s">
        <v>265</v>
      </c>
      <c r="AA721" t="str">
        <f>IF(Tabla1[[#This Row],[Kerma en aire acumulada (Gy)]]&gt;1,SUMIF(G:G,Tabla1[[#This Row],[SIP]],I:I)-Tabla1[[#This Row],[Kerma en aire acumulada (Gy)]],"")</f>
        <v/>
      </c>
      <c r="AB721" s="8" t="str">
        <f t="shared" si="65"/>
        <v>Iluminado Saturino Santiago</v>
      </c>
    </row>
    <row r="722" spans="3:28">
      <c r="C722" s="94" t="s">
        <v>1088</v>
      </c>
      <c r="D722" s="134" t="s">
        <v>1004</v>
      </c>
      <c r="E722" s="134" t="s">
        <v>1005</v>
      </c>
      <c r="F722" s="134" t="s">
        <v>1006</v>
      </c>
      <c r="G722" s="134">
        <v>3099120</v>
      </c>
      <c r="H722" s="135">
        <v>44497</v>
      </c>
      <c r="I722" s="134">
        <v>3.3400000000000001E-3</v>
      </c>
      <c r="J722" s="134"/>
      <c r="K722" s="134"/>
      <c r="L722" s="134"/>
      <c r="M722" s="134"/>
      <c r="N722" s="134"/>
      <c r="O722" s="134"/>
      <c r="P722" s="134"/>
      <c r="Q722" s="134"/>
      <c r="R722" s="134"/>
      <c r="S722" s="134"/>
      <c r="T722" s="135">
        <v>24333</v>
      </c>
      <c r="U722" s="134"/>
      <c r="V722" s="134" t="s">
        <v>1734</v>
      </c>
      <c r="W722" s="92" t="str">
        <f t="shared" si="63"/>
        <v>Pinter Pla,Victoria</v>
      </c>
      <c r="X722" s="95">
        <f t="shared" si="60"/>
        <v>10</v>
      </c>
      <c r="Y722" s="95">
        <f t="shared" si="61"/>
        <v>2021</v>
      </c>
      <c r="Z722" s="103" t="s">
        <v>265</v>
      </c>
      <c r="AA722" t="str">
        <f>IF(Tabla1[[#This Row],[Kerma en aire acumulada (Gy)]]&gt;1,SUMIF(G:G,Tabla1[[#This Row],[SIP]],I:I)-Tabla1[[#This Row],[Kerma en aire acumulada (Gy)]],"")</f>
        <v/>
      </c>
      <c r="AB722" s="8" t="str">
        <f t="shared" si="65"/>
        <v>M Carmen Iznardo Olivert</v>
      </c>
    </row>
    <row r="723" spans="3:28">
      <c r="C723" s="94" t="s">
        <v>1088</v>
      </c>
      <c r="D723" s="134" t="s">
        <v>1714</v>
      </c>
      <c r="E723" s="134" t="s">
        <v>1715</v>
      </c>
      <c r="F723" s="134" t="s">
        <v>28</v>
      </c>
      <c r="G723" s="134">
        <v>2987256</v>
      </c>
      <c r="H723" s="135">
        <v>44497</v>
      </c>
      <c r="I723" s="134">
        <v>7.1529999999999996E-3</v>
      </c>
      <c r="J723" s="134"/>
      <c r="K723" s="134"/>
      <c r="L723" s="134"/>
      <c r="M723" s="134"/>
      <c r="N723" s="134"/>
      <c r="O723" s="134"/>
      <c r="P723" s="134"/>
      <c r="Q723" s="134"/>
      <c r="R723" s="134"/>
      <c r="S723" s="134"/>
      <c r="T723" s="135">
        <v>23721</v>
      </c>
      <c r="U723" s="134"/>
      <c r="V723" s="134" t="s">
        <v>1214</v>
      </c>
      <c r="W723" s="92" t="str">
        <f t="shared" si="63"/>
        <v>Baño Caba,Josefa</v>
      </c>
      <c r="X723" s="95">
        <f t="shared" si="60"/>
        <v>10</v>
      </c>
      <c r="Y723" s="95">
        <f t="shared" si="61"/>
        <v>2021</v>
      </c>
      <c r="Z723" s="103" t="s">
        <v>265</v>
      </c>
      <c r="AA723" t="str">
        <f>IF(Tabla1[[#This Row],[Kerma en aire acumulada (Gy)]]&gt;1,SUMIF(G:G,Tabla1[[#This Row],[SIP]],I:I)-Tabla1[[#This Row],[Kerma en aire acumulada (Gy)]],"")</f>
        <v/>
      </c>
      <c r="AB723" s="8" t="str">
        <f t="shared" si="65"/>
        <v>Sagrario Perez Perez</v>
      </c>
    </row>
    <row r="724" spans="3:28">
      <c r="C724" s="94" t="s">
        <v>1088</v>
      </c>
      <c r="D724" s="134" t="s">
        <v>1814</v>
      </c>
      <c r="E724" s="134" t="s">
        <v>1815</v>
      </c>
      <c r="F724" s="134" t="s">
        <v>1816</v>
      </c>
      <c r="G724" s="134">
        <v>4746423</v>
      </c>
      <c r="H724" s="135">
        <v>44498</v>
      </c>
      <c r="I724" s="134">
        <v>0.99973000000000001</v>
      </c>
      <c r="J724" s="134"/>
      <c r="K724" s="134"/>
      <c r="L724" s="134"/>
      <c r="M724" s="134"/>
      <c r="N724" s="134"/>
      <c r="O724" s="134"/>
      <c r="P724" s="134"/>
      <c r="Q724" s="134"/>
      <c r="R724" s="134"/>
      <c r="S724" s="134"/>
      <c r="T724" s="135">
        <v>22232</v>
      </c>
      <c r="U724" s="134"/>
      <c r="V724" s="134" t="s">
        <v>175</v>
      </c>
      <c r="W724" s="92" t="str">
        <f t="shared" si="63"/>
        <v>Solian Indoitu,Valentina</v>
      </c>
      <c r="X724" s="95">
        <f t="shared" si="60"/>
        <v>10</v>
      </c>
      <c r="Y724" s="95">
        <f t="shared" si="61"/>
        <v>2021</v>
      </c>
      <c r="Z724" s="103" t="s">
        <v>265</v>
      </c>
      <c r="AA724" t="str">
        <f>IF(Tabla1[[#This Row],[Kerma en aire acumulada (Gy)]]&gt;1,SUMIF(G:G,Tabla1[[#This Row],[SIP]],I:I)-Tabla1[[#This Row],[Kerma en aire acumulada (Gy)]],"")</f>
        <v/>
      </c>
      <c r="AB724" s="8" t="str">
        <f t="shared" si="65"/>
        <v>Jose Fernando Cano</v>
      </c>
    </row>
    <row r="725" spans="3:28">
      <c r="C725" s="94" t="s">
        <v>1088</v>
      </c>
      <c r="D725" s="134" t="s">
        <v>1817</v>
      </c>
      <c r="E725" s="134" t="s">
        <v>840</v>
      </c>
      <c r="F725" s="134" t="s">
        <v>1818</v>
      </c>
      <c r="G725" s="134">
        <v>3083567</v>
      </c>
      <c r="H725" s="135">
        <v>44498</v>
      </c>
      <c r="I725" s="134">
        <v>0.35904000000000003</v>
      </c>
      <c r="J725" s="134"/>
      <c r="K725" s="134"/>
      <c r="L725" s="134"/>
      <c r="M725" s="134"/>
      <c r="N725" s="134"/>
      <c r="O725" s="134"/>
      <c r="P725" s="134"/>
      <c r="Q725" s="134"/>
      <c r="R725" s="134"/>
      <c r="S725" s="134"/>
      <c r="T725" s="135">
        <v>28122</v>
      </c>
      <c r="U725" s="134"/>
      <c r="V725" s="134" t="s">
        <v>139</v>
      </c>
      <c r="W725" s="92" t="str">
        <f t="shared" si="63"/>
        <v>Saturino Santiago,Iluminado</v>
      </c>
      <c r="X725" s="95">
        <f t="shared" ref="X725:X788" si="66">MONTH(H725)</f>
        <v>10</v>
      </c>
      <c r="Y725" s="95">
        <f t="shared" ref="Y725:Y788" si="67">YEAR(H725)</f>
        <v>2021</v>
      </c>
      <c r="Z725" s="103" t="s">
        <v>265</v>
      </c>
      <c r="AA725" t="str">
        <f>IF(Tabla1[[#This Row],[Kerma en aire acumulada (Gy)]]&gt;1,SUMIF(G:G,Tabla1[[#This Row],[SIP]],I:I)-Tabla1[[#This Row],[Kerma en aire acumulada (Gy)]],"")</f>
        <v/>
      </c>
      <c r="AB725" s="8"/>
    </row>
    <row r="726" spans="3:28">
      <c r="C726" s="94" t="s">
        <v>1088</v>
      </c>
      <c r="D726" s="134" t="s">
        <v>1041</v>
      </c>
      <c r="E726" s="134" t="s">
        <v>1042</v>
      </c>
      <c r="F726" s="134" t="s">
        <v>117</v>
      </c>
      <c r="G726" s="134">
        <v>159095</v>
      </c>
      <c r="H726" s="135">
        <v>44498</v>
      </c>
      <c r="I726" s="134">
        <v>1.7099999999999999E-3</v>
      </c>
      <c r="J726" s="134"/>
      <c r="K726" s="134"/>
      <c r="L726" s="134"/>
      <c r="M726" s="134"/>
      <c r="N726" s="134"/>
      <c r="O726" s="134"/>
      <c r="P726" s="134"/>
      <c r="Q726" s="134"/>
      <c r="R726" s="134"/>
      <c r="S726" s="134"/>
      <c r="T726" s="135">
        <v>25438</v>
      </c>
      <c r="U726" s="134"/>
      <c r="V726" s="134" t="s">
        <v>143</v>
      </c>
      <c r="W726" s="92" t="str">
        <f t="shared" si="63"/>
        <v>Iznardo Olivert,M Carmen</v>
      </c>
      <c r="X726" s="95">
        <f t="shared" si="66"/>
        <v>10</v>
      </c>
      <c r="Y726" s="95">
        <f t="shared" si="67"/>
        <v>2021</v>
      </c>
      <c r="Z726" s="103" t="s">
        <v>265</v>
      </c>
      <c r="AA726" t="str">
        <f>IF(Tabla1[[#This Row],[Kerma en aire acumulada (Gy)]]&gt;1,SUMIF(G:G,Tabla1[[#This Row],[SIP]],I:I)-Tabla1[[#This Row],[Kerma en aire acumulada (Gy)]],"")</f>
        <v/>
      </c>
      <c r="AB726" s="8" t="str">
        <f t="shared" ref="AB726:AB734" si="68">CONCATENATE(F730,$A$591,D730,$A$591,E730)</f>
        <v>Jose Angel Casado Bioque</v>
      </c>
    </row>
    <row r="727" spans="3:28">
      <c r="C727" s="94" t="s">
        <v>1088</v>
      </c>
      <c r="D727" s="134" t="s">
        <v>1001</v>
      </c>
      <c r="E727" s="134" t="s">
        <v>1001</v>
      </c>
      <c r="F727" s="134" t="s">
        <v>1835</v>
      </c>
      <c r="G727" s="134">
        <v>2372586</v>
      </c>
      <c r="H727" s="135">
        <v>44498</v>
      </c>
      <c r="I727" s="134">
        <v>3.7170000000000002E-2</v>
      </c>
      <c r="J727" s="134"/>
      <c r="K727" s="134"/>
      <c r="L727" s="134"/>
      <c r="M727" s="134"/>
      <c r="N727" s="134"/>
      <c r="O727" s="134"/>
      <c r="P727" s="134"/>
      <c r="Q727" s="134"/>
      <c r="R727" s="134"/>
      <c r="S727" s="134"/>
      <c r="T727" s="135">
        <v>29188</v>
      </c>
      <c r="U727" s="134"/>
      <c r="V727" s="134" t="s">
        <v>1836</v>
      </c>
      <c r="W727" s="92" t="str">
        <f t="shared" si="63"/>
        <v>Perez Perez,Sagrario</v>
      </c>
      <c r="X727" s="95">
        <f t="shared" si="66"/>
        <v>10</v>
      </c>
      <c r="Y727" s="95">
        <f t="shared" si="67"/>
        <v>2021</v>
      </c>
      <c r="Z727" s="103" t="s">
        <v>265</v>
      </c>
      <c r="AA727" t="str">
        <f>IF(Tabla1[[#This Row],[Kerma en aire acumulada (Gy)]]&gt;1,SUMIF(G:G,Tabla1[[#This Row],[SIP]],I:I)-Tabla1[[#This Row],[Kerma en aire acumulada (Gy)]],"")</f>
        <v/>
      </c>
      <c r="AB727" s="8" t="str">
        <f t="shared" si="68"/>
        <v>Jose Francisco Aracil Viana</v>
      </c>
    </row>
    <row r="728" spans="3:28">
      <c r="C728" s="94" t="s">
        <v>1088</v>
      </c>
      <c r="D728" s="134" t="s">
        <v>519</v>
      </c>
      <c r="E728" s="134" t="s">
        <v>320</v>
      </c>
      <c r="F728" s="134" t="s">
        <v>991</v>
      </c>
      <c r="G728" s="101">
        <v>34748</v>
      </c>
      <c r="H728" s="135">
        <v>44498</v>
      </c>
      <c r="I728" s="134">
        <v>0.96340000000000003</v>
      </c>
      <c r="J728" s="134"/>
      <c r="K728" s="134"/>
      <c r="L728" s="134"/>
      <c r="M728" s="134"/>
      <c r="N728" s="134"/>
      <c r="O728" s="134"/>
      <c r="P728" s="134"/>
      <c r="Q728" s="134"/>
      <c r="R728" s="134"/>
      <c r="S728" s="134"/>
      <c r="T728" s="135">
        <v>18200</v>
      </c>
      <c r="U728" s="134"/>
      <c r="V728" s="134" t="s">
        <v>128</v>
      </c>
      <c r="W728" s="92" t="str">
        <f t="shared" si="63"/>
        <v>Fernando Cano,Jose</v>
      </c>
      <c r="X728" s="95">
        <f t="shared" si="66"/>
        <v>10</v>
      </c>
      <c r="Y728" s="95">
        <f t="shared" si="67"/>
        <v>2021</v>
      </c>
      <c r="Z728" s="103" t="s">
        <v>265</v>
      </c>
      <c r="AA728" t="str">
        <f>IF(Tabla1[[#This Row],[Kerma en aire acumulada (Gy)]]&gt;1,SUMIF(G:G,Tabla1[[#This Row],[SIP]],I:I)-Tabla1[[#This Row],[Kerma en aire acumulada (Gy)]],"")</f>
        <v/>
      </c>
      <c r="AB728" s="8" t="str">
        <f t="shared" si="68"/>
        <v xml:space="preserve">Arevik Soghomonyan </v>
      </c>
    </row>
    <row r="729" spans="3:28">
      <c r="C729" s="94" t="s">
        <v>1088</v>
      </c>
      <c r="D729" s="134" t="s">
        <v>948</v>
      </c>
      <c r="E729" s="134" t="s">
        <v>637</v>
      </c>
      <c r="F729" s="134" t="s">
        <v>1834</v>
      </c>
      <c r="G729" s="134">
        <v>3836056</v>
      </c>
      <c r="H729" s="135">
        <v>44499</v>
      </c>
      <c r="I729" s="134">
        <v>0.31818000000000002</v>
      </c>
      <c r="J729" s="134"/>
      <c r="K729" s="134"/>
      <c r="L729" s="134"/>
      <c r="M729" s="134"/>
      <c r="N729" s="134"/>
      <c r="O729" s="134"/>
      <c r="P729" s="134"/>
      <c r="Q729" s="134"/>
      <c r="R729" s="134"/>
      <c r="S729" s="134"/>
      <c r="T729" s="135">
        <v>35446</v>
      </c>
      <c r="U729" s="134"/>
      <c r="V729" s="134" t="s">
        <v>138</v>
      </c>
      <c r="W729" s="92" t="str">
        <f t="shared" si="63"/>
        <v>Martinez Sola,Laura Maria</v>
      </c>
      <c r="X729" s="95">
        <f t="shared" si="66"/>
        <v>10</v>
      </c>
      <c r="Y729" s="95">
        <f t="shared" si="67"/>
        <v>2021</v>
      </c>
      <c r="Z729" s="103" t="s">
        <v>265</v>
      </c>
      <c r="AA729" t="str">
        <f>IF(Tabla1[[#This Row],[Kerma en aire acumulada (Gy)]]&gt;1,SUMIF(G:G,Tabla1[[#This Row],[SIP]],I:I)-Tabla1[[#This Row],[Kerma en aire acumulada (Gy)]],"")</f>
        <v/>
      </c>
      <c r="AB729" s="8" t="str">
        <f t="shared" si="68"/>
        <v>Jose Angel Casado Bioque</v>
      </c>
    </row>
    <row r="730" spans="3:28">
      <c r="C730" s="94" t="s">
        <v>1088</v>
      </c>
      <c r="D730" s="134" t="s">
        <v>1180</v>
      </c>
      <c r="E730" s="134" t="s">
        <v>1810</v>
      </c>
      <c r="F730" s="134" t="s">
        <v>1811</v>
      </c>
      <c r="G730" s="134">
        <v>7818063</v>
      </c>
      <c r="H730" s="135">
        <v>44502</v>
      </c>
      <c r="I730" s="134">
        <v>4.1694000000000004</v>
      </c>
      <c r="J730" s="134"/>
      <c r="K730" s="134"/>
      <c r="L730" s="134"/>
      <c r="M730" s="134"/>
      <c r="N730" s="134"/>
      <c r="O730" s="134"/>
      <c r="P730" s="134"/>
      <c r="Q730" s="134"/>
      <c r="R730" s="134"/>
      <c r="S730" s="134"/>
      <c r="T730" s="135">
        <v>20896</v>
      </c>
      <c r="U730" s="134"/>
      <c r="V730" s="134" t="s">
        <v>1631</v>
      </c>
      <c r="W730" s="92" t="str">
        <f t="shared" si="63"/>
        <v>Casado Bioque,Jose Angel</v>
      </c>
      <c r="X730" s="95">
        <f t="shared" si="66"/>
        <v>11</v>
      </c>
      <c r="Y730" s="95">
        <f t="shared" si="67"/>
        <v>2021</v>
      </c>
      <c r="Z730" s="103" t="s">
        <v>265</v>
      </c>
      <c r="AA730">
        <f>IF(Tabla1[[#This Row],[Kerma en aire acumulada (Gy)]]&gt;1,SUMIF(G:G,Tabla1[[#This Row],[SIP]],I:I)-Tabla1[[#This Row],[Kerma en aire acumulada (Gy)]],"")</f>
        <v>0.29898999999999987</v>
      </c>
      <c r="AB730" s="8" t="str">
        <f t="shared" si="68"/>
        <v>Miguel Prieto Roelas</v>
      </c>
    </row>
    <row r="731" spans="3:28">
      <c r="C731" s="94" t="s">
        <v>1088</v>
      </c>
      <c r="D731" s="134" t="s">
        <v>1240</v>
      </c>
      <c r="E731" s="134" t="s">
        <v>1241</v>
      </c>
      <c r="F731" s="134" t="s">
        <v>1242</v>
      </c>
      <c r="G731" s="134">
        <v>3548944</v>
      </c>
      <c r="H731" s="135">
        <v>44502</v>
      </c>
      <c r="I731" s="134">
        <v>0.36797000000000002</v>
      </c>
      <c r="J731" s="134"/>
      <c r="K731" s="134"/>
      <c r="L731" s="134"/>
      <c r="M731" s="134"/>
      <c r="N731" s="134"/>
      <c r="O731" s="134"/>
      <c r="P731" s="134"/>
      <c r="Q731" s="134"/>
      <c r="R731" s="134"/>
      <c r="S731" s="134"/>
      <c r="T731" s="135">
        <v>17329</v>
      </c>
      <c r="U731" s="134"/>
      <c r="V731" s="134" t="s">
        <v>180</v>
      </c>
      <c r="W731" s="92" t="str">
        <f t="shared" si="63"/>
        <v>Aracil Viana,Jose Francisco</v>
      </c>
      <c r="X731" s="95">
        <f t="shared" si="66"/>
        <v>11</v>
      </c>
      <c r="Y731" s="95">
        <f t="shared" si="67"/>
        <v>2021</v>
      </c>
      <c r="Z731" s="103" t="s">
        <v>265</v>
      </c>
      <c r="AA731" t="str">
        <f>IF(Tabla1[[#This Row],[Kerma en aire acumulada (Gy)]]&gt;1,SUMIF(G:G,Tabla1[[#This Row],[SIP]],I:I)-Tabla1[[#This Row],[Kerma en aire acumulada (Gy)]],"")</f>
        <v/>
      </c>
      <c r="AB731" s="8" t="str">
        <f t="shared" si="68"/>
        <v>Vicente Martinez Granell</v>
      </c>
    </row>
    <row r="732" spans="3:28">
      <c r="C732" s="94" t="s">
        <v>1088</v>
      </c>
      <c r="D732" s="134" t="s">
        <v>1831</v>
      </c>
      <c r="E732" s="134"/>
      <c r="F732" s="134" t="s">
        <v>1832</v>
      </c>
      <c r="G732" s="134">
        <v>5581588</v>
      </c>
      <c r="H732" s="135">
        <v>44502</v>
      </c>
      <c r="I732" s="134">
        <v>0.27422000000000002</v>
      </c>
      <c r="J732" s="134"/>
      <c r="K732" s="134"/>
      <c r="L732" s="134"/>
      <c r="M732" s="134"/>
      <c r="N732" s="134"/>
      <c r="O732" s="134"/>
      <c r="P732" s="134"/>
      <c r="Q732" s="134"/>
      <c r="R732" s="134"/>
      <c r="S732" s="134"/>
      <c r="T732" s="135">
        <v>33357</v>
      </c>
      <c r="U732" s="134"/>
      <c r="V732" s="134" t="s">
        <v>1833</v>
      </c>
      <c r="W732" s="92" t="str">
        <f t="shared" si="63"/>
        <v>Soghomonyan ,Arevik</v>
      </c>
      <c r="X732" s="95">
        <f t="shared" si="66"/>
        <v>11</v>
      </c>
      <c r="Y732" s="95">
        <f t="shared" si="67"/>
        <v>2021</v>
      </c>
      <c r="Z732" s="103" t="s">
        <v>265</v>
      </c>
      <c r="AA732" t="str">
        <f>IF(Tabla1[[#This Row],[Kerma en aire acumulada (Gy)]]&gt;1,SUMIF(G:G,Tabla1[[#This Row],[SIP]],I:I)-Tabla1[[#This Row],[Kerma en aire acumulada (Gy)]],"")</f>
        <v/>
      </c>
      <c r="AB732" s="8" t="str">
        <f t="shared" si="68"/>
        <v>Jose Adrian Sanchis</v>
      </c>
    </row>
    <row r="733" spans="3:28">
      <c r="C733" s="94" t="s">
        <v>1088</v>
      </c>
      <c r="D733" s="134" t="s">
        <v>1180</v>
      </c>
      <c r="E733" s="134" t="s">
        <v>1810</v>
      </c>
      <c r="F733" s="134" t="s">
        <v>1811</v>
      </c>
      <c r="G733" s="134">
        <v>7818063</v>
      </c>
      <c r="H733" s="135">
        <v>44503</v>
      </c>
      <c r="I733" s="134">
        <v>0.29898999999999998</v>
      </c>
      <c r="J733" s="134"/>
      <c r="K733" s="134"/>
      <c r="L733" s="134"/>
      <c r="M733" s="134"/>
      <c r="N733" s="134"/>
      <c r="O733" s="134"/>
      <c r="P733" s="134"/>
      <c r="Q733" s="134"/>
      <c r="R733" s="134"/>
      <c r="S733" s="134"/>
      <c r="T733" s="135">
        <v>20896</v>
      </c>
      <c r="U733" s="134"/>
      <c r="V733" s="134" t="s">
        <v>1631</v>
      </c>
      <c r="W733" s="92" t="str">
        <f t="shared" si="63"/>
        <v>Casado Bioque,Jose Angel</v>
      </c>
      <c r="X733" s="95">
        <f t="shared" si="66"/>
        <v>11</v>
      </c>
      <c r="Y733" s="95">
        <f t="shared" si="67"/>
        <v>2021</v>
      </c>
      <c r="Z733" s="103" t="s">
        <v>265</v>
      </c>
      <c r="AA733" t="str">
        <f>IF(Tabla1[[#This Row],[Kerma en aire acumulada (Gy)]]&gt;1,SUMIF(G:G,Tabla1[[#This Row],[SIP]],I:I)-Tabla1[[#This Row],[Kerma en aire acumulada (Gy)]],"")</f>
        <v/>
      </c>
      <c r="AB733" s="8" t="str">
        <f t="shared" si="68"/>
        <v>Jose Amat  Aznar</v>
      </c>
    </row>
    <row r="734" spans="3:28">
      <c r="C734" s="94" t="s">
        <v>1088</v>
      </c>
      <c r="D734" s="134" t="s">
        <v>328</v>
      </c>
      <c r="E734" s="134" t="s">
        <v>1812</v>
      </c>
      <c r="F734" s="134" t="s">
        <v>57</v>
      </c>
      <c r="G734" s="134">
        <v>2903026</v>
      </c>
      <c r="H734" s="135">
        <v>44503</v>
      </c>
      <c r="I734" s="134">
        <v>1.34E-3</v>
      </c>
      <c r="J734" s="134"/>
      <c r="K734" s="134"/>
      <c r="L734" s="134"/>
      <c r="M734" s="134"/>
      <c r="N734" s="134"/>
      <c r="O734" s="134"/>
      <c r="P734" s="134"/>
      <c r="Q734" s="134"/>
      <c r="R734" s="134"/>
      <c r="S734" s="134"/>
      <c r="T734" s="135">
        <v>18608</v>
      </c>
      <c r="U734" s="134"/>
      <c r="V734" s="134" t="s">
        <v>143</v>
      </c>
      <c r="W734" s="92" t="str">
        <f t="shared" si="63"/>
        <v>Prieto Roelas,Miguel</v>
      </c>
      <c r="X734" s="95">
        <f t="shared" si="66"/>
        <v>11</v>
      </c>
      <c r="Y734" s="95">
        <f t="shared" si="67"/>
        <v>2021</v>
      </c>
      <c r="Z734" s="103" t="s">
        <v>265</v>
      </c>
      <c r="AA734" t="str">
        <f>IF(Tabla1[[#This Row],[Kerma en aire acumulada (Gy)]]&gt;1,SUMIF(G:G,Tabla1[[#This Row],[SIP]],I:I)-Tabla1[[#This Row],[Kerma en aire acumulada (Gy)]],"")</f>
        <v/>
      </c>
      <c r="AB734" s="8" t="str">
        <f t="shared" si="68"/>
        <v>Maria Dolores Giner Almiñana</v>
      </c>
    </row>
    <row r="735" spans="3:28">
      <c r="C735" s="94" t="s">
        <v>1088</v>
      </c>
      <c r="D735" s="134" t="s">
        <v>948</v>
      </c>
      <c r="E735" s="134" t="s">
        <v>1813</v>
      </c>
      <c r="F735" s="134" t="s">
        <v>88</v>
      </c>
      <c r="G735" s="134">
        <v>4517148</v>
      </c>
      <c r="H735" s="135">
        <v>44503</v>
      </c>
      <c r="I735" s="134">
        <v>8.2100000000000003E-3</v>
      </c>
      <c r="J735" s="134"/>
      <c r="K735" s="134"/>
      <c r="L735" s="134"/>
      <c r="M735" s="134"/>
      <c r="N735" s="134"/>
      <c r="O735" s="134"/>
      <c r="P735" s="134"/>
      <c r="Q735" s="134"/>
      <c r="R735" s="134"/>
      <c r="S735" s="134"/>
      <c r="T735" s="135">
        <v>12621</v>
      </c>
      <c r="U735" s="134"/>
      <c r="V735" s="134" t="s">
        <v>1274</v>
      </c>
      <c r="W735" s="92" t="str">
        <f t="shared" si="63"/>
        <v>Martinez Granell,Vicente</v>
      </c>
      <c r="X735" s="95">
        <f t="shared" si="66"/>
        <v>11</v>
      </c>
      <c r="Y735" s="95">
        <f t="shared" si="67"/>
        <v>2021</v>
      </c>
      <c r="Z735" s="103" t="s">
        <v>265</v>
      </c>
      <c r="AA735" t="str">
        <f>IF(Tabla1[[#This Row],[Kerma en aire acumulada (Gy)]]&gt;1,SUMIF(G:G,Tabla1[[#This Row],[SIP]],I:I)-Tabla1[[#This Row],[Kerma en aire acumulada (Gy)]],"")</f>
        <v/>
      </c>
      <c r="AB735" s="8"/>
    </row>
    <row r="736" spans="3:28">
      <c r="C736" s="94" t="s">
        <v>1088</v>
      </c>
      <c r="D736" s="134" t="s">
        <v>1617</v>
      </c>
      <c r="E736" s="134" t="s">
        <v>663</v>
      </c>
      <c r="F736" s="134" t="s">
        <v>991</v>
      </c>
      <c r="G736" s="134">
        <v>2399517</v>
      </c>
      <c r="H736" s="135">
        <v>44503</v>
      </c>
      <c r="I736" s="134">
        <v>2.7699999999999999E-3</v>
      </c>
      <c r="J736" s="134"/>
      <c r="K736" s="134"/>
      <c r="L736" s="134"/>
      <c r="M736" s="134"/>
      <c r="N736" s="134"/>
      <c r="O736" s="134"/>
      <c r="P736" s="134"/>
      <c r="Q736" s="134"/>
      <c r="R736" s="134"/>
      <c r="S736" s="134"/>
      <c r="T736" s="135">
        <v>19132</v>
      </c>
      <c r="U736" s="134"/>
      <c r="V736" s="134" t="s">
        <v>1274</v>
      </c>
      <c r="W736" s="92" t="str">
        <f t="shared" si="63"/>
        <v>Adrian Sanchis,Jose</v>
      </c>
      <c r="X736" s="95">
        <f t="shared" si="66"/>
        <v>11</v>
      </c>
      <c r="Y736" s="95">
        <f t="shared" si="67"/>
        <v>2021</v>
      </c>
      <c r="Z736" s="103" t="s">
        <v>265</v>
      </c>
      <c r="AA736" t="str">
        <f>IF(Tabla1[[#This Row],[Kerma en aire acumulada (Gy)]]&gt;1,SUMIF(G:G,Tabla1[[#This Row],[SIP]],I:I)-Tabla1[[#This Row],[Kerma en aire acumulada (Gy)]],"")</f>
        <v/>
      </c>
      <c r="AB736" s="8" t="str">
        <f t="shared" ref="AB736:AB741" si="69">CONCATENATE(F740,$A$591,D740,$A$591,E740)</f>
        <v>Antonia Ortega Mateu</v>
      </c>
    </row>
    <row r="737" spans="2:28">
      <c r="C737" s="94" t="s">
        <v>1088</v>
      </c>
      <c r="D737" s="134" t="s">
        <v>1828</v>
      </c>
      <c r="E737" s="134" t="s">
        <v>1829</v>
      </c>
      <c r="F737" s="134" t="s">
        <v>991</v>
      </c>
      <c r="G737" s="134">
        <v>4662161</v>
      </c>
      <c r="H737" s="135">
        <v>44503</v>
      </c>
      <c r="I737" s="134">
        <v>0.41713</v>
      </c>
      <c r="J737" s="134"/>
      <c r="K737" s="134"/>
      <c r="L737" s="134"/>
      <c r="M737" s="134"/>
      <c r="N737" s="134"/>
      <c r="O737" s="134"/>
      <c r="P737" s="134"/>
      <c r="Q737" s="134"/>
      <c r="R737" s="134"/>
      <c r="S737" s="134"/>
      <c r="T737" s="135">
        <v>16458</v>
      </c>
      <c r="U737" s="134"/>
      <c r="V737" s="134" t="s">
        <v>550</v>
      </c>
      <c r="W737" s="92" t="str">
        <f t="shared" si="63"/>
        <v>Amat  Aznar,Jose</v>
      </c>
      <c r="X737" s="95">
        <f t="shared" si="66"/>
        <v>11</v>
      </c>
      <c r="Y737" s="95">
        <f t="shared" si="67"/>
        <v>2021</v>
      </c>
      <c r="Z737" s="103" t="s">
        <v>265</v>
      </c>
      <c r="AA737" t="str">
        <f>IF(Tabla1[[#This Row],[Kerma en aire acumulada (Gy)]]&gt;1,SUMIF(G:G,Tabla1[[#This Row],[SIP]],I:I)-Tabla1[[#This Row],[Kerma en aire acumulada (Gy)]],"")</f>
        <v/>
      </c>
      <c r="AB737" s="8" t="str">
        <f t="shared" si="69"/>
        <v>Gabriel Del Arco Herrero</v>
      </c>
    </row>
    <row r="738" spans="2:28">
      <c r="C738" s="94" t="s">
        <v>1088</v>
      </c>
      <c r="D738" s="134" t="s">
        <v>189</v>
      </c>
      <c r="E738" s="134" t="s">
        <v>1830</v>
      </c>
      <c r="F738" s="134" t="s">
        <v>1704</v>
      </c>
      <c r="G738" s="134">
        <v>2071000</v>
      </c>
      <c r="H738" s="135">
        <v>44503</v>
      </c>
      <c r="I738" s="134">
        <v>0.24414</v>
      </c>
      <c r="J738" s="134"/>
      <c r="K738" s="134"/>
      <c r="L738" s="134"/>
      <c r="M738" s="134"/>
      <c r="N738" s="134"/>
      <c r="O738" s="134"/>
      <c r="P738" s="134"/>
      <c r="Q738" s="134"/>
      <c r="R738" s="134"/>
      <c r="S738" s="134"/>
      <c r="T738" s="135">
        <v>19416</v>
      </c>
      <c r="U738" s="134"/>
      <c r="V738" s="134" t="s">
        <v>550</v>
      </c>
      <c r="W738" s="92" t="str">
        <f t="shared" si="63"/>
        <v>Giner Almiñana,Maria Dolores</v>
      </c>
      <c r="X738" s="95">
        <f t="shared" si="66"/>
        <v>11</v>
      </c>
      <c r="Y738" s="95">
        <f t="shared" si="67"/>
        <v>2021</v>
      </c>
      <c r="Z738" s="103" t="s">
        <v>265</v>
      </c>
      <c r="AA738" t="str">
        <f>IF(Tabla1[[#This Row],[Kerma en aire acumulada (Gy)]]&gt;1,SUMIF(G:G,Tabla1[[#This Row],[SIP]],I:I)-Tabla1[[#This Row],[Kerma en aire acumulada (Gy)]],"")</f>
        <v/>
      </c>
      <c r="AB738" s="8" t="str">
        <f t="shared" si="69"/>
        <v>Jose Angel Casado  Bioque</v>
      </c>
    </row>
    <row r="739" spans="2:28">
      <c r="C739" s="94" t="s">
        <v>1088</v>
      </c>
      <c r="D739" s="134" t="s">
        <v>1121</v>
      </c>
      <c r="E739" s="134" t="s">
        <v>1122</v>
      </c>
      <c r="F739" s="134" t="s">
        <v>1125</v>
      </c>
      <c r="G739" s="134">
        <v>12237207</v>
      </c>
      <c r="H739" s="135">
        <v>44504</v>
      </c>
      <c r="I739" s="134">
        <v>3.0949999999999998E-2</v>
      </c>
      <c r="J739" s="134"/>
      <c r="K739" s="134"/>
      <c r="L739" s="134"/>
      <c r="M739" s="134"/>
      <c r="N739" s="134"/>
      <c r="O739" s="134"/>
      <c r="P739" s="134"/>
      <c r="Q739" s="134"/>
      <c r="R739" s="134"/>
      <c r="S739" s="134"/>
      <c r="T739" s="135">
        <v>18045</v>
      </c>
      <c r="U739" s="134"/>
      <c r="V739" s="134" t="s">
        <v>502</v>
      </c>
      <c r="W739" s="92" t="str">
        <f t="shared" ref="W739:W802" si="70">CONCATENATE(D739,$A$591,E739,",",F739)</f>
        <v>Graupner Cligny,Josiane Annick</v>
      </c>
      <c r="X739" s="95">
        <f t="shared" si="66"/>
        <v>11</v>
      </c>
      <c r="Y739" s="95">
        <f t="shared" si="67"/>
        <v>2021</v>
      </c>
      <c r="Z739" s="103" t="s">
        <v>265</v>
      </c>
      <c r="AA739" t="str">
        <f>IF(Tabla1[[#This Row],[Kerma en aire acumulada (Gy)]]&gt;1,SUMIF(G:G,Tabla1[[#This Row],[SIP]],I:I)-Tabla1[[#This Row],[Kerma en aire acumulada (Gy)]],"")</f>
        <v/>
      </c>
      <c r="AB739" s="8" t="str">
        <f t="shared" si="69"/>
        <v xml:space="preserve">Jose Javier Hueso  Esteban </v>
      </c>
    </row>
    <row r="740" spans="2:28">
      <c r="C740" s="94" t="s">
        <v>1088</v>
      </c>
      <c r="D740" s="134" t="s">
        <v>6</v>
      </c>
      <c r="E740" s="134" t="s">
        <v>921</v>
      </c>
      <c r="F740" s="134" t="s">
        <v>774</v>
      </c>
      <c r="G740" s="134">
        <v>2847917</v>
      </c>
      <c r="H740" s="135">
        <v>44504</v>
      </c>
      <c r="I740" s="134">
        <v>0.15989999999999999</v>
      </c>
      <c r="J740" s="134"/>
      <c r="K740" s="134"/>
      <c r="L740" s="134"/>
      <c r="M740" s="134"/>
      <c r="N740" s="134"/>
      <c r="O740" s="134"/>
      <c r="P740" s="134"/>
      <c r="Q740" s="134"/>
      <c r="R740" s="134"/>
      <c r="S740" s="134"/>
      <c r="T740" s="135">
        <v>15378</v>
      </c>
      <c r="U740" s="134"/>
      <c r="V740" s="134" t="s">
        <v>502</v>
      </c>
      <c r="W740" s="92" t="str">
        <f t="shared" si="70"/>
        <v>Ortega Mateu,Antonia</v>
      </c>
      <c r="X740" s="95">
        <f t="shared" si="66"/>
        <v>11</v>
      </c>
      <c r="Y740" s="95">
        <f t="shared" si="67"/>
        <v>2021</v>
      </c>
      <c r="Z740" s="103" t="s">
        <v>265</v>
      </c>
      <c r="AA740" t="str">
        <f>IF(Tabla1[[#This Row],[Kerma en aire acumulada (Gy)]]&gt;1,SUMIF(G:G,Tabla1[[#This Row],[SIP]],I:I)-Tabla1[[#This Row],[Kerma en aire acumulada (Gy)]],"")</f>
        <v/>
      </c>
      <c r="AB740" s="8" t="str">
        <f t="shared" si="69"/>
        <v>Rafael Coronado Soriano</v>
      </c>
    </row>
    <row r="741" spans="2:28">
      <c r="C741" s="94" t="s">
        <v>1088</v>
      </c>
      <c r="D741" s="134" t="s">
        <v>1808</v>
      </c>
      <c r="E741" s="134" t="s">
        <v>1809</v>
      </c>
      <c r="F741" s="134" t="s">
        <v>1766</v>
      </c>
      <c r="G741" s="134">
        <v>2462578</v>
      </c>
      <c r="H741" s="135">
        <v>44504</v>
      </c>
      <c r="I741" s="134">
        <v>0.57769999999999999</v>
      </c>
      <c r="J741" s="134"/>
      <c r="K741" s="134"/>
      <c r="L741" s="134"/>
      <c r="M741" s="134"/>
      <c r="N741" s="134"/>
      <c r="O741" s="134"/>
      <c r="P741" s="134"/>
      <c r="Q741" s="134"/>
      <c r="R741" s="134"/>
      <c r="S741" s="134"/>
      <c r="T741" s="135">
        <v>14809</v>
      </c>
      <c r="U741" s="134"/>
      <c r="V741" s="134" t="s">
        <v>1711</v>
      </c>
      <c r="W741" s="92" t="str">
        <f t="shared" si="70"/>
        <v>Del Arco Herrero,Gabriel</v>
      </c>
      <c r="X741" s="95">
        <f t="shared" si="66"/>
        <v>11</v>
      </c>
      <c r="Y741" s="95">
        <f t="shared" si="67"/>
        <v>2021</v>
      </c>
      <c r="Z741" s="103" t="s">
        <v>265</v>
      </c>
      <c r="AA741" t="str">
        <f>IF(Tabla1[[#This Row],[Kerma en aire acumulada (Gy)]]&gt;1,SUMIF(G:G,Tabla1[[#This Row],[SIP]],I:I)-Tabla1[[#This Row],[Kerma en aire acumulada (Gy)]],"")</f>
        <v/>
      </c>
      <c r="AB741" s="8" t="str">
        <f t="shared" si="69"/>
        <v>Josefa Baño Caba</v>
      </c>
    </row>
    <row r="742" spans="2:28">
      <c r="C742" s="94" t="s">
        <v>1088</v>
      </c>
      <c r="D742" s="134" t="s">
        <v>1825</v>
      </c>
      <c r="E742" s="134" t="s">
        <v>1810</v>
      </c>
      <c r="F742" s="134" t="s">
        <v>1811</v>
      </c>
      <c r="G742" s="134">
        <v>7818663</v>
      </c>
      <c r="H742" s="135">
        <v>44504</v>
      </c>
      <c r="I742" s="134">
        <v>0.10659</v>
      </c>
      <c r="J742" s="134"/>
      <c r="K742" s="134"/>
      <c r="L742" s="134"/>
      <c r="M742" s="134"/>
      <c r="N742" s="134"/>
      <c r="O742" s="134"/>
      <c r="P742" s="134"/>
      <c r="Q742" s="134"/>
      <c r="R742" s="134"/>
      <c r="S742" s="134"/>
      <c r="T742" s="135">
        <v>20896</v>
      </c>
      <c r="U742" s="134"/>
      <c r="V742" s="134" t="s">
        <v>1826</v>
      </c>
      <c r="W742" s="92" t="str">
        <f t="shared" si="70"/>
        <v>Casado  Bioque,Jose Angel</v>
      </c>
      <c r="X742" s="95">
        <f t="shared" si="66"/>
        <v>11</v>
      </c>
      <c r="Y742" s="95">
        <f t="shared" si="67"/>
        <v>2021</v>
      </c>
      <c r="Z742" s="103" t="s">
        <v>265</v>
      </c>
      <c r="AA742" t="str">
        <f>IF(Tabla1[[#This Row],[Kerma en aire acumulada (Gy)]]&gt;1,SUMIF(G:G,Tabla1[[#This Row],[SIP]],I:I)-Tabla1[[#This Row],[Kerma en aire acumulada (Gy)]],"")</f>
        <v/>
      </c>
      <c r="AB742" s="8"/>
    </row>
    <row r="743" spans="2:28">
      <c r="C743" s="94" t="s">
        <v>1088</v>
      </c>
      <c r="D743" s="134" t="s">
        <v>11</v>
      </c>
      <c r="E743" s="134" t="s">
        <v>1265</v>
      </c>
      <c r="F743" s="134" t="s">
        <v>1827</v>
      </c>
      <c r="G743" s="134">
        <v>3303220</v>
      </c>
      <c r="H743" s="135">
        <v>44504</v>
      </c>
      <c r="I743" s="134">
        <v>1.319E-2</v>
      </c>
      <c r="J743" s="134"/>
      <c r="K743" s="134"/>
      <c r="L743" s="134"/>
      <c r="M743" s="134"/>
      <c r="N743" s="134"/>
      <c r="O743" s="134"/>
      <c r="P743" s="134"/>
      <c r="Q743" s="134"/>
      <c r="R743" s="134"/>
      <c r="S743" s="134"/>
      <c r="T743" s="135">
        <v>20966</v>
      </c>
      <c r="U743" s="134"/>
      <c r="V743" s="134" t="s">
        <v>1734</v>
      </c>
      <c r="W743" s="92" t="str">
        <f t="shared" si="70"/>
        <v>Hueso  Esteban ,Jose Javier</v>
      </c>
      <c r="X743" s="95">
        <f t="shared" si="66"/>
        <v>11</v>
      </c>
      <c r="Y743" s="95">
        <f t="shared" si="67"/>
        <v>2021</v>
      </c>
      <c r="Z743" s="103" t="s">
        <v>265</v>
      </c>
      <c r="AA743" t="str">
        <f>IF(Tabla1[[#This Row],[Kerma en aire acumulada (Gy)]]&gt;1,SUMIF(G:G,Tabla1[[#This Row],[SIP]],I:I)-Tabla1[[#This Row],[Kerma en aire acumulada (Gy)]],"")</f>
        <v/>
      </c>
      <c r="AB743" s="8" t="str">
        <f t="shared" ref="AB743:AB756" si="71">CONCATENATE(F747,$A$591,D747,$A$591,E747)</f>
        <v>Antonio Carduna Soler</v>
      </c>
    </row>
    <row r="744" spans="2:28">
      <c r="C744" s="94" t="s">
        <v>1088</v>
      </c>
      <c r="D744" s="134" t="s">
        <v>1720</v>
      </c>
      <c r="E744" s="134" t="s">
        <v>105</v>
      </c>
      <c r="F744" s="134" t="s">
        <v>71</v>
      </c>
      <c r="G744" s="134">
        <v>2408615</v>
      </c>
      <c r="H744" s="135">
        <v>44505</v>
      </c>
      <c r="I744" s="134">
        <v>4.2100000000000002E-3</v>
      </c>
      <c r="J744" s="134"/>
      <c r="K744" s="134"/>
      <c r="L744" s="134"/>
      <c r="M744" s="134"/>
      <c r="N744" s="134"/>
      <c r="O744" s="134"/>
      <c r="P744" s="134"/>
      <c r="Q744" s="134"/>
      <c r="R744" s="134"/>
      <c r="S744" s="134"/>
      <c r="T744" s="135">
        <v>17284</v>
      </c>
      <c r="U744" s="134"/>
      <c r="V744" s="134" t="s">
        <v>1274</v>
      </c>
      <c r="W744" s="92" t="str">
        <f t="shared" si="70"/>
        <v>Coronado Soriano,Rafael</v>
      </c>
      <c r="X744" s="95">
        <f t="shared" si="66"/>
        <v>11</v>
      </c>
      <c r="Y744" s="95">
        <f t="shared" si="67"/>
        <v>2021</v>
      </c>
      <c r="Z744" s="103" t="s">
        <v>265</v>
      </c>
      <c r="AA744" t="str">
        <f>IF(Tabla1[[#This Row],[Kerma en aire acumulada (Gy)]]&gt;1,SUMIF(G:G,Tabla1[[#This Row],[SIP]],I:I)-Tabla1[[#This Row],[Kerma en aire acumulada (Gy)]],"")</f>
        <v/>
      </c>
      <c r="AB744" s="8" t="str">
        <f t="shared" si="71"/>
        <v>Sara Perez Icaran</v>
      </c>
    </row>
    <row r="745" spans="2:28">
      <c r="C745" s="94" t="s">
        <v>1088</v>
      </c>
      <c r="D745" s="134" t="s">
        <v>1714</v>
      </c>
      <c r="E745" s="134" t="s">
        <v>1715</v>
      </c>
      <c r="F745" s="134" t="s">
        <v>28</v>
      </c>
      <c r="G745" s="134">
        <v>2987256</v>
      </c>
      <c r="H745" s="135">
        <v>44505</v>
      </c>
      <c r="I745" s="134">
        <v>6.3950000000000007E-2</v>
      </c>
      <c r="J745" s="134"/>
      <c r="K745" s="134"/>
      <c r="L745" s="134"/>
      <c r="M745" s="134"/>
      <c r="N745" s="134"/>
      <c r="O745" s="134"/>
      <c r="P745" s="134"/>
      <c r="Q745" s="134"/>
      <c r="R745" s="134"/>
      <c r="S745" s="134"/>
      <c r="T745" s="135">
        <v>23721</v>
      </c>
      <c r="U745" s="134"/>
      <c r="V745" s="134" t="s">
        <v>1824</v>
      </c>
      <c r="W745" s="92" t="str">
        <f t="shared" si="70"/>
        <v>Baño Caba,Josefa</v>
      </c>
      <c r="X745" s="95">
        <f t="shared" si="66"/>
        <v>11</v>
      </c>
      <c r="Y745" s="95">
        <f t="shared" si="67"/>
        <v>2021</v>
      </c>
      <c r="Z745" s="103" t="s">
        <v>265</v>
      </c>
      <c r="AA745" t="str">
        <f>IF(Tabla1[[#This Row],[Kerma en aire acumulada (Gy)]]&gt;1,SUMIF(G:G,Tabla1[[#This Row],[SIP]],I:I)-Tabla1[[#This Row],[Kerma en aire acumulada (Gy)]],"")</f>
        <v/>
      </c>
      <c r="AB745" s="8" t="str">
        <f t="shared" si="71"/>
        <v>Jose Paez Rueda</v>
      </c>
    </row>
    <row r="746" spans="2:28">
      <c r="C746" s="94" t="s">
        <v>1088</v>
      </c>
      <c r="D746" s="134" t="s">
        <v>328</v>
      </c>
      <c r="E746" s="134" t="s">
        <v>1806</v>
      </c>
      <c r="F746" s="134" t="s">
        <v>1807</v>
      </c>
      <c r="G746" s="134">
        <v>5373226</v>
      </c>
      <c r="H746" s="135">
        <v>44508</v>
      </c>
      <c r="I746" s="139" t="s">
        <v>1188</v>
      </c>
      <c r="J746" s="134"/>
      <c r="K746" s="134"/>
      <c r="L746" s="134"/>
      <c r="M746" s="134"/>
      <c r="N746" s="134"/>
      <c r="O746" s="134"/>
      <c r="P746" s="134"/>
      <c r="Q746" s="134"/>
      <c r="R746" s="134"/>
      <c r="S746" s="134"/>
      <c r="T746" s="135">
        <v>35817</v>
      </c>
      <c r="U746" s="134"/>
      <c r="V746" s="134" t="s">
        <v>139</v>
      </c>
      <c r="W746" s="92" t="str">
        <f t="shared" si="70"/>
        <v>Prieto Llivicura,Alexander Fernando</v>
      </c>
      <c r="X746" s="95">
        <f t="shared" si="66"/>
        <v>11</v>
      </c>
      <c r="Y746" s="95">
        <f t="shared" si="67"/>
        <v>2021</v>
      </c>
      <c r="Z746" s="103" t="s">
        <v>265</v>
      </c>
      <c r="AA746" t="e">
        <f>IF(Tabla1[[#This Row],[Kerma en aire acumulada (Gy)]]&gt;1,SUMIF(G:G,Tabla1[[#This Row],[SIP]],I:I)-Tabla1[[#This Row],[Kerma en aire acumulada (Gy)]],"")</f>
        <v>#VALUE!</v>
      </c>
      <c r="AB746" s="8" t="str">
        <f t="shared" si="71"/>
        <v>Antonio Cardona Soler</v>
      </c>
    </row>
    <row r="747" spans="2:28">
      <c r="C747" s="94" t="s">
        <v>1088</v>
      </c>
      <c r="D747" s="134" t="s">
        <v>1821</v>
      </c>
      <c r="E747" s="134" t="s">
        <v>30</v>
      </c>
      <c r="F747" s="134" t="s">
        <v>20</v>
      </c>
      <c r="G747" s="134">
        <v>976630</v>
      </c>
      <c r="H747" s="135">
        <v>44508</v>
      </c>
      <c r="I747" s="134">
        <v>1.3382099999999999</v>
      </c>
      <c r="J747" s="134"/>
      <c r="K747" s="134"/>
      <c r="L747" s="134"/>
      <c r="M747" s="134"/>
      <c r="N747" s="134"/>
      <c r="O747" s="134"/>
      <c r="P747" s="134"/>
      <c r="Q747" s="134"/>
      <c r="R747" s="134"/>
      <c r="S747" s="134"/>
      <c r="T747" s="135">
        <v>24448</v>
      </c>
      <c r="U747" s="134"/>
      <c r="V747" s="134" t="s">
        <v>1822</v>
      </c>
      <c r="W747" s="92" t="str">
        <f t="shared" si="70"/>
        <v>Carduna Soler,Antonio</v>
      </c>
      <c r="X747" s="95">
        <f t="shared" si="66"/>
        <v>11</v>
      </c>
      <c r="Y747" s="95">
        <f t="shared" si="67"/>
        <v>2021</v>
      </c>
      <c r="Z747" s="103" t="s">
        <v>265</v>
      </c>
      <c r="AA747">
        <f>IF(Tabla1[[#This Row],[Kerma en aire acumulada (Gy)]]&gt;1,SUMIF(G:G,Tabla1[[#This Row],[SIP]],I:I)-Tabla1[[#This Row],[Kerma en aire acumulada (Gy)]],"")</f>
        <v>2.34077</v>
      </c>
      <c r="AB747" s="8" t="str">
        <f t="shared" si="71"/>
        <v>Jaime Perez Tent</v>
      </c>
    </row>
    <row r="748" spans="2:28">
      <c r="C748" s="94" t="s">
        <v>1088</v>
      </c>
      <c r="D748" s="134" t="s">
        <v>1001</v>
      </c>
      <c r="E748" s="134" t="s">
        <v>1823</v>
      </c>
      <c r="F748" s="134" t="s">
        <v>685</v>
      </c>
      <c r="G748" s="134">
        <v>3802895</v>
      </c>
      <c r="H748" s="135">
        <v>44508</v>
      </c>
      <c r="I748" s="134">
        <v>0.36397000000000002</v>
      </c>
      <c r="J748" s="134"/>
      <c r="K748" s="134"/>
      <c r="L748" s="134"/>
      <c r="M748" s="134"/>
      <c r="N748" s="134"/>
      <c r="O748" s="134"/>
      <c r="P748" s="134"/>
      <c r="Q748" s="134"/>
      <c r="R748" s="134"/>
      <c r="S748" s="134"/>
      <c r="T748" s="135">
        <v>22980</v>
      </c>
      <c r="U748" s="134"/>
      <c r="V748" s="134" t="s">
        <v>1767</v>
      </c>
      <c r="W748" s="92" t="str">
        <f t="shared" si="70"/>
        <v>Perez Icaran,Sara</v>
      </c>
      <c r="X748" s="95">
        <f t="shared" si="66"/>
        <v>11</v>
      </c>
      <c r="Y748" s="95">
        <f t="shared" si="67"/>
        <v>2021</v>
      </c>
      <c r="Z748" s="103" t="s">
        <v>265</v>
      </c>
      <c r="AA748" t="str">
        <f>IF(Tabla1[[#This Row],[Kerma en aire acumulada (Gy)]]&gt;1,SUMIF(G:G,Tabla1[[#This Row],[SIP]],I:I)-Tabla1[[#This Row],[Kerma en aire acumulada (Gy)]],"")</f>
        <v/>
      </c>
      <c r="AB748" s="8" t="str">
        <f t="shared" si="71"/>
        <v>Fuensanta Egea Vera</v>
      </c>
    </row>
    <row r="749" spans="2:28">
      <c r="C749" s="94" t="s">
        <v>1088</v>
      </c>
      <c r="D749" s="134" t="s">
        <v>1840</v>
      </c>
      <c r="E749" s="134" t="s">
        <v>1841</v>
      </c>
      <c r="F749" s="134" t="s">
        <v>991</v>
      </c>
      <c r="G749" s="134">
        <v>1856473</v>
      </c>
      <c r="H749" s="135">
        <v>44508</v>
      </c>
      <c r="I749" s="134">
        <v>2.7456200000000002</v>
      </c>
      <c r="J749" s="134"/>
      <c r="K749" s="134"/>
      <c r="L749" s="134"/>
      <c r="M749" s="134"/>
      <c r="N749" s="134"/>
      <c r="O749" s="134"/>
      <c r="P749" s="134"/>
      <c r="Q749" s="134"/>
      <c r="R749" s="134"/>
      <c r="S749" s="134"/>
      <c r="T749" s="135">
        <v>15343</v>
      </c>
      <c r="U749" s="134"/>
      <c r="V749" s="134" t="s">
        <v>563</v>
      </c>
      <c r="W749" s="92" t="str">
        <f t="shared" si="70"/>
        <v>Paez Rueda,Jose</v>
      </c>
      <c r="X749" s="95">
        <f t="shared" si="66"/>
        <v>11</v>
      </c>
      <c r="Y749" s="95">
        <f t="shared" si="67"/>
        <v>2021</v>
      </c>
      <c r="Z749" s="136" t="s">
        <v>266</v>
      </c>
      <c r="AA749">
        <f>IF(Tabla1[[#This Row],[Kerma en aire acumulada (Gy)]]&gt;1,SUMIF(G:G,Tabla1[[#This Row],[SIP]],I:I)-Tabla1[[#This Row],[Kerma en aire acumulada (Gy)]],"")</f>
        <v>0</v>
      </c>
      <c r="AB749" s="8" t="str">
        <f t="shared" si="71"/>
        <v>David Roca Julve</v>
      </c>
    </row>
    <row r="750" spans="2:28">
      <c r="C750" s="94" t="s">
        <v>1088</v>
      </c>
      <c r="D750" s="134" t="s">
        <v>1852</v>
      </c>
      <c r="E750" s="134" t="s">
        <v>30</v>
      </c>
      <c r="F750" s="134" t="s">
        <v>20</v>
      </c>
      <c r="G750" s="134">
        <v>976630</v>
      </c>
      <c r="H750" s="135">
        <v>44509</v>
      </c>
      <c r="I750" s="134">
        <v>2.34077</v>
      </c>
      <c r="J750" s="134"/>
      <c r="K750" s="134"/>
      <c r="L750" s="134"/>
      <c r="M750" s="134"/>
      <c r="N750" s="134"/>
      <c r="O750" s="134"/>
      <c r="P750" s="134"/>
      <c r="Q750" s="134"/>
      <c r="R750" s="134"/>
      <c r="S750" s="134"/>
      <c r="T750" s="135">
        <v>24448</v>
      </c>
      <c r="U750" s="134"/>
      <c r="V750" s="134" t="s">
        <v>1853</v>
      </c>
      <c r="W750" s="92" t="str">
        <f t="shared" si="70"/>
        <v>Cardona Soler,Antonio</v>
      </c>
      <c r="X750" s="95">
        <f t="shared" si="66"/>
        <v>11</v>
      </c>
      <c r="Y750" s="95">
        <f t="shared" si="67"/>
        <v>2021</v>
      </c>
      <c r="Z750" s="103" t="s">
        <v>265</v>
      </c>
      <c r="AA750">
        <f>IF(Tabla1[[#This Row],[Kerma en aire acumulada (Gy)]]&gt;1,SUMIF(G:G,Tabla1[[#This Row],[SIP]],I:I)-Tabla1[[#This Row],[Kerma en aire acumulada (Gy)]],"")</f>
        <v>1.3382100000000001</v>
      </c>
      <c r="AB750" s="8" t="str">
        <f t="shared" si="71"/>
        <v xml:space="preserve">Graham Frank Pollitt </v>
      </c>
    </row>
    <row r="751" spans="2:28">
      <c r="B751" s="43" t="s">
        <v>717</v>
      </c>
      <c r="C751" s="94" t="s">
        <v>1088</v>
      </c>
      <c r="D751" s="134" t="s">
        <v>1001</v>
      </c>
      <c r="E751" s="134" t="s">
        <v>1854</v>
      </c>
      <c r="F751" s="134" t="s">
        <v>664</v>
      </c>
      <c r="G751" s="134">
        <v>879716</v>
      </c>
      <c r="H751" s="135">
        <v>44509</v>
      </c>
      <c r="I751" s="134">
        <v>4.4510000000000001E-2</v>
      </c>
      <c r="J751" s="134"/>
      <c r="K751" s="134"/>
      <c r="L751" s="134"/>
      <c r="M751" s="134"/>
      <c r="N751" s="134"/>
      <c r="O751" s="134"/>
      <c r="P751" s="134"/>
      <c r="Q751" s="134"/>
      <c r="R751" s="134"/>
      <c r="S751" s="134"/>
      <c r="T751" s="135">
        <v>18074</v>
      </c>
      <c r="U751" s="134"/>
      <c r="V751" s="134" t="s">
        <v>1116</v>
      </c>
      <c r="W751" s="92" t="str">
        <f t="shared" si="70"/>
        <v>Perez Tent,Jaime</v>
      </c>
      <c r="X751" s="95">
        <f t="shared" si="66"/>
        <v>11</v>
      </c>
      <c r="Y751" s="95">
        <f t="shared" si="67"/>
        <v>2021</v>
      </c>
      <c r="Z751" s="103" t="s">
        <v>265</v>
      </c>
      <c r="AA751" t="str">
        <f>IF(Tabla1[[#This Row],[Kerma en aire acumulada (Gy)]]&gt;1,SUMIF(G:G,Tabla1[[#This Row],[SIP]],I:I)-Tabla1[[#This Row],[Kerma en aire acumulada (Gy)]],"")</f>
        <v/>
      </c>
      <c r="AB751" s="8" t="str">
        <f t="shared" si="71"/>
        <v>Jose Rafael Ros Peris</v>
      </c>
    </row>
    <row r="752" spans="2:28">
      <c r="C752" s="94" t="s">
        <v>1088</v>
      </c>
      <c r="D752" s="134" t="s">
        <v>97</v>
      </c>
      <c r="E752" s="134" t="s">
        <v>542</v>
      </c>
      <c r="F752" s="134" t="s">
        <v>1848</v>
      </c>
      <c r="G752" s="134">
        <v>4116668</v>
      </c>
      <c r="H752" s="135">
        <v>44510</v>
      </c>
      <c r="I752" s="134">
        <v>1.1749700000000001</v>
      </c>
      <c r="J752" s="134"/>
      <c r="K752" s="134"/>
      <c r="L752" s="134"/>
      <c r="M752" s="134"/>
      <c r="N752" s="134"/>
      <c r="O752" s="134"/>
      <c r="P752" s="134"/>
      <c r="Q752" s="134"/>
      <c r="R752" s="134"/>
      <c r="S752" s="134"/>
      <c r="T752" s="135">
        <v>21143</v>
      </c>
      <c r="U752" s="134"/>
      <c r="V752" s="134" t="s">
        <v>929</v>
      </c>
      <c r="W752" s="92" t="str">
        <f t="shared" si="70"/>
        <v>Egea Vera,Fuensanta</v>
      </c>
      <c r="X752" s="95">
        <f t="shared" si="66"/>
        <v>11</v>
      </c>
      <c r="Y752" s="95">
        <f t="shared" si="67"/>
        <v>2021</v>
      </c>
      <c r="Z752" s="103" t="s">
        <v>265</v>
      </c>
      <c r="AA752">
        <f>IF(Tabla1[[#This Row],[Kerma en aire acumulada (Gy)]]&gt;1,SUMIF(G:G,Tabla1[[#This Row],[SIP]],I:I)-Tabla1[[#This Row],[Kerma en aire acumulada (Gy)]],"")</f>
        <v>2.9069999999999929E-2</v>
      </c>
      <c r="AB752" s="8" t="str">
        <f t="shared" si="71"/>
        <v>Enrique Ismael Asunción Foix</v>
      </c>
    </row>
    <row r="753" spans="2:28">
      <c r="C753" s="94" t="s">
        <v>1088</v>
      </c>
      <c r="D753" s="134" t="s">
        <v>1294</v>
      </c>
      <c r="E753" s="134" t="s">
        <v>1295</v>
      </c>
      <c r="F753" s="134" t="s">
        <v>142</v>
      </c>
      <c r="G753" s="134">
        <v>1798521</v>
      </c>
      <c r="H753" s="135">
        <v>44510</v>
      </c>
      <c r="I753" s="134">
        <v>3.0249999999999999E-2</v>
      </c>
      <c r="J753" s="134"/>
      <c r="K753" s="134"/>
      <c r="L753" s="134"/>
      <c r="M753" s="134"/>
      <c r="N753" s="134"/>
      <c r="O753" s="134"/>
      <c r="P753" s="134"/>
      <c r="Q753" s="134"/>
      <c r="R753" s="134"/>
      <c r="S753" s="134"/>
      <c r="T753" s="135">
        <v>27137</v>
      </c>
      <c r="U753" s="134"/>
      <c r="V753" s="134" t="s">
        <v>1289</v>
      </c>
      <c r="W753" s="92" t="str">
        <f t="shared" si="70"/>
        <v>Roca Julve,David</v>
      </c>
      <c r="X753" s="95">
        <f t="shared" si="66"/>
        <v>11</v>
      </c>
      <c r="Y753" s="95">
        <f t="shared" si="67"/>
        <v>2021</v>
      </c>
      <c r="Z753" s="103" t="s">
        <v>265</v>
      </c>
      <c r="AA753" t="str">
        <f>IF(Tabla1[[#This Row],[Kerma en aire acumulada (Gy)]]&gt;1,SUMIF(G:G,Tabla1[[#This Row],[SIP]],I:I)-Tabla1[[#This Row],[Kerma en aire acumulada (Gy)]],"")</f>
        <v/>
      </c>
      <c r="AB753" s="8" t="str">
        <f t="shared" si="71"/>
        <v>Juan Uri Sanchez</v>
      </c>
    </row>
    <row r="754" spans="2:28">
      <c r="C754" s="94" t="s">
        <v>1088</v>
      </c>
      <c r="D754" s="134" t="s">
        <v>1849</v>
      </c>
      <c r="E754" s="134"/>
      <c r="F754" s="134" t="s">
        <v>1850</v>
      </c>
      <c r="G754" s="134">
        <v>13072300</v>
      </c>
      <c r="H754" s="135">
        <v>44510</v>
      </c>
      <c r="I754" s="134">
        <v>0.3483</v>
      </c>
      <c r="J754" s="134"/>
      <c r="K754" s="134"/>
      <c r="L754" s="134"/>
      <c r="M754" s="134"/>
      <c r="N754" s="134"/>
      <c r="O754" s="134"/>
      <c r="P754" s="134"/>
      <c r="Q754" s="134"/>
      <c r="R754" s="134"/>
      <c r="S754" s="134"/>
      <c r="T754" s="135">
        <v>18853</v>
      </c>
      <c r="U754" s="134"/>
      <c r="V754" s="134" t="s">
        <v>1851</v>
      </c>
      <c r="W754" s="92" t="str">
        <f t="shared" si="70"/>
        <v>Pollitt ,Graham Frank</v>
      </c>
      <c r="X754" s="95">
        <f t="shared" si="66"/>
        <v>11</v>
      </c>
      <c r="Y754" s="95">
        <f t="shared" si="67"/>
        <v>2021</v>
      </c>
      <c r="Z754" s="103" t="s">
        <v>265</v>
      </c>
      <c r="AA754" t="str">
        <f>IF(Tabla1[[#This Row],[Kerma en aire acumulada (Gy)]]&gt;1,SUMIF(G:G,Tabla1[[#This Row],[SIP]],I:I)-Tabla1[[#This Row],[Kerma en aire acumulada (Gy)]],"")</f>
        <v/>
      </c>
      <c r="AB754" s="8" t="str">
        <f t="shared" si="71"/>
        <v>Francisco José Cebrian Ruiz</v>
      </c>
    </row>
    <row r="755" spans="2:28">
      <c r="C755" s="94" t="s">
        <v>1088</v>
      </c>
      <c r="D755" s="134" t="s">
        <v>1012</v>
      </c>
      <c r="E755" s="134" t="s">
        <v>944</v>
      </c>
      <c r="F755" s="134" t="s">
        <v>1859</v>
      </c>
      <c r="G755" s="134">
        <v>2531372</v>
      </c>
      <c r="H755" s="135">
        <v>44510</v>
      </c>
      <c r="I755" s="134">
        <v>2.2399999999999998E-3</v>
      </c>
      <c r="J755" s="134"/>
      <c r="K755" s="134"/>
      <c r="L755" s="134"/>
      <c r="M755" s="134"/>
      <c r="N755" s="134"/>
      <c r="O755" s="134"/>
      <c r="P755" s="134"/>
      <c r="Q755" s="134"/>
      <c r="R755" s="134"/>
      <c r="S755" s="134"/>
      <c r="T755" s="135">
        <v>20540</v>
      </c>
      <c r="U755" s="134"/>
      <c r="V755" s="134" t="s">
        <v>1300</v>
      </c>
      <c r="W755" s="92" t="str">
        <f t="shared" si="70"/>
        <v>Ros Peris,Jose Rafael</v>
      </c>
      <c r="X755" s="95">
        <f t="shared" si="66"/>
        <v>11</v>
      </c>
      <c r="Y755" s="95">
        <f t="shared" si="67"/>
        <v>2021</v>
      </c>
      <c r="Z755" s="103" t="s">
        <v>265</v>
      </c>
      <c r="AA755" t="str">
        <f>IF(Tabla1[[#This Row],[Kerma en aire acumulada (Gy)]]&gt;1,SUMIF(G:G,Tabla1[[#This Row],[SIP]],I:I)-Tabla1[[#This Row],[Kerma en aire acumulada (Gy)]],"")</f>
        <v/>
      </c>
      <c r="AB755" s="8" t="str">
        <f t="shared" si="71"/>
        <v>Miguel Latorre Miralles</v>
      </c>
    </row>
    <row r="756" spans="2:28">
      <c r="B756" s="43"/>
      <c r="C756" s="94" t="s">
        <v>1088</v>
      </c>
      <c r="D756" s="134" t="s">
        <v>1860</v>
      </c>
      <c r="E756" s="134" t="s">
        <v>1861</v>
      </c>
      <c r="F756" s="134" t="s">
        <v>1862</v>
      </c>
      <c r="G756" s="134">
        <v>3290813</v>
      </c>
      <c r="H756" s="135">
        <v>44510</v>
      </c>
      <c r="I756" s="134">
        <v>0.82076000000000005</v>
      </c>
      <c r="J756" s="134"/>
      <c r="K756" s="134"/>
      <c r="L756" s="134"/>
      <c r="M756" s="134"/>
      <c r="N756" s="134"/>
      <c r="O756" s="134"/>
      <c r="P756" s="134"/>
      <c r="Q756" s="134"/>
      <c r="R756" s="134"/>
      <c r="S756" s="134"/>
      <c r="T756" s="135">
        <v>18792</v>
      </c>
      <c r="U756" s="134"/>
      <c r="V756" s="134" t="s">
        <v>89</v>
      </c>
      <c r="W756" s="92" t="str">
        <f t="shared" si="70"/>
        <v>Asunción Foix,Enrique Ismael</v>
      </c>
      <c r="X756" s="95">
        <f t="shared" si="66"/>
        <v>11</v>
      </c>
      <c r="Y756" s="95">
        <f t="shared" si="67"/>
        <v>2021</v>
      </c>
      <c r="Z756" s="103" t="s">
        <v>265</v>
      </c>
      <c r="AA756" t="str">
        <f>IF(Tabla1[[#This Row],[Kerma en aire acumulada (Gy)]]&gt;1,SUMIF(G:G,Tabla1[[#This Row],[SIP]],I:I)-Tabla1[[#This Row],[Kerma en aire acumulada (Gy)]],"")</f>
        <v/>
      </c>
      <c r="AB756" s="8" t="str">
        <f t="shared" si="71"/>
        <v>Carlos Reina Perez</v>
      </c>
    </row>
    <row r="757" spans="2:28">
      <c r="C757" s="94" t="s">
        <v>1088</v>
      </c>
      <c r="D757" s="134" t="s">
        <v>1863</v>
      </c>
      <c r="E757" s="134" t="s">
        <v>772</v>
      </c>
      <c r="F757" s="134" t="s">
        <v>68</v>
      </c>
      <c r="G757" s="134">
        <v>1858932</v>
      </c>
      <c r="H757" s="135">
        <v>44510</v>
      </c>
      <c r="I757" s="134">
        <v>5.8880000000000002E-2</v>
      </c>
      <c r="J757" s="134"/>
      <c r="K757" s="134"/>
      <c r="L757" s="134"/>
      <c r="M757" s="134"/>
      <c r="N757" s="134"/>
      <c r="O757" s="134"/>
      <c r="P757" s="134"/>
      <c r="Q757" s="134"/>
      <c r="R757" s="134"/>
      <c r="S757" s="134"/>
      <c r="T757" s="135">
        <v>24460</v>
      </c>
      <c r="U757" s="134"/>
      <c r="V757" s="134" t="s">
        <v>1233</v>
      </c>
      <c r="W757" s="92" t="str">
        <f t="shared" si="70"/>
        <v>Uri Sanchez,Juan</v>
      </c>
      <c r="X757" s="95">
        <f t="shared" si="66"/>
        <v>11</v>
      </c>
      <c r="Y757" s="95">
        <f t="shared" si="67"/>
        <v>2021</v>
      </c>
      <c r="Z757" s="103" t="s">
        <v>265</v>
      </c>
      <c r="AA757" t="str">
        <f>IF(Tabla1[[#This Row],[Kerma en aire acumulada (Gy)]]&gt;1,SUMIF(G:G,Tabla1[[#This Row],[SIP]],I:I)-Tabla1[[#This Row],[Kerma en aire acumulada (Gy)]],"")</f>
        <v/>
      </c>
    </row>
    <row r="758" spans="2:28">
      <c r="C758" s="94" t="s">
        <v>1088</v>
      </c>
      <c r="D758" s="134" t="s">
        <v>1864</v>
      </c>
      <c r="E758" s="134" t="s">
        <v>22</v>
      </c>
      <c r="F758" s="134" t="s">
        <v>696</v>
      </c>
      <c r="G758" s="134">
        <v>3789090</v>
      </c>
      <c r="H758" s="135">
        <v>44510</v>
      </c>
      <c r="I758" s="134">
        <v>2.4152200000000001</v>
      </c>
      <c r="J758" s="134"/>
      <c r="K758" s="134"/>
      <c r="L758" s="134"/>
      <c r="M758" s="134"/>
      <c r="N758" s="134"/>
      <c r="O758" s="134"/>
      <c r="P758" s="134"/>
      <c r="Q758" s="134"/>
      <c r="R758" s="134"/>
      <c r="S758" s="134"/>
      <c r="T758" s="135">
        <v>28111</v>
      </c>
      <c r="U758" s="134"/>
      <c r="V758" s="134" t="s">
        <v>563</v>
      </c>
      <c r="W758" s="92" t="str">
        <f t="shared" si="70"/>
        <v>Cebrian Ruiz,Francisco José</v>
      </c>
      <c r="X758" s="95">
        <f t="shared" si="66"/>
        <v>11</v>
      </c>
      <c r="Y758" s="95">
        <f t="shared" si="67"/>
        <v>2021</v>
      </c>
      <c r="Z758" s="136" t="s">
        <v>266</v>
      </c>
      <c r="AA758">
        <f>IF(Tabla1[[#This Row],[Kerma en aire acumulada (Gy)]]&gt;1,SUMIF(G:G,Tabla1[[#This Row],[SIP]],I:I)-Tabla1[[#This Row],[Kerma en aire acumulada (Gy)]],"")</f>
        <v>0</v>
      </c>
    </row>
    <row r="759" spans="2:28">
      <c r="C759" s="94" t="s">
        <v>1088</v>
      </c>
      <c r="D759" s="134" t="s">
        <v>1212</v>
      </c>
      <c r="E759" s="134" t="s">
        <v>1844</v>
      </c>
      <c r="F759" s="134" t="s">
        <v>57</v>
      </c>
      <c r="G759" s="134">
        <v>2455525</v>
      </c>
      <c r="H759" s="135">
        <v>44511</v>
      </c>
      <c r="I759" s="134">
        <v>9.5549999999999996E-2</v>
      </c>
      <c r="J759" s="134"/>
      <c r="K759" s="134"/>
      <c r="L759" s="134"/>
      <c r="M759" s="134"/>
      <c r="N759" s="134"/>
      <c r="O759" s="134"/>
      <c r="P759" s="134"/>
      <c r="Q759" s="134"/>
      <c r="R759" s="134"/>
      <c r="S759" s="134"/>
      <c r="T759" s="135">
        <v>18431</v>
      </c>
      <c r="U759" s="134"/>
      <c r="V759" s="134" t="s">
        <v>1304</v>
      </c>
      <c r="W759" s="92" t="str">
        <f t="shared" si="70"/>
        <v>Latorre Miralles,Miguel</v>
      </c>
      <c r="X759" s="95">
        <f t="shared" si="66"/>
        <v>11</v>
      </c>
      <c r="Y759" s="95">
        <f t="shared" si="67"/>
        <v>2021</v>
      </c>
      <c r="Z759" s="103" t="s">
        <v>265</v>
      </c>
      <c r="AA759" t="str">
        <f>IF(Tabla1[[#This Row],[Kerma en aire acumulada (Gy)]]&gt;1,SUMIF(G:G,Tabla1[[#This Row],[SIP]],I:I)-Tabla1[[#This Row],[Kerma en aire acumulada (Gy)]],"")</f>
        <v/>
      </c>
    </row>
    <row r="760" spans="2:28">
      <c r="C760" s="94" t="s">
        <v>1088</v>
      </c>
      <c r="D760" s="134" t="s">
        <v>299</v>
      </c>
      <c r="E760" s="134" t="s">
        <v>1001</v>
      </c>
      <c r="F760" s="134" t="s">
        <v>300</v>
      </c>
      <c r="G760" s="134">
        <v>3397746</v>
      </c>
      <c r="H760" s="135">
        <v>44511</v>
      </c>
      <c r="I760" s="134">
        <v>0.22499</v>
      </c>
      <c r="J760" s="134"/>
      <c r="K760" s="134"/>
      <c r="L760" s="134"/>
      <c r="M760" s="134"/>
      <c r="N760" s="134"/>
      <c r="O760" s="134"/>
      <c r="P760" s="134"/>
      <c r="Q760" s="134"/>
      <c r="R760" s="134"/>
      <c r="S760" s="134"/>
      <c r="T760" s="135">
        <v>28983</v>
      </c>
      <c r="U760" s="134"/>
      <c r="V760" s="134" t="s">
        <v>1845</v>
      </c>
      <c r="W760" s="92" t="str">
        <f t="shared" si="70"/>
        <v>Reina Perez,Carlos</v>
      </c>
      <c r="X760" s="95">
        <f t="shared" si="66"/>
        <v>11</v>
      </c>
      <c r="Y760" s="95">
        <f t="shared" si="67"/>
        <v>2021</v>
      </c>
      <c r="Z760" s="103" t="s">
        <v>265</v>
      </c>
      <c r="AA760" t="str">
        <f>IF(Tabla1[[#This Row],[Kerma en aire acumulada (Gy)]]&gt;1,SUMIF(G:G,Tabla1[[#This Row],[SIP]],I:I)-Tabla1[[#This Row],[Kerma en aire acumulada (Gy)]],"")</f>
        <v/>
      </c>
    </row>
    <row r="761" spans="2:28">
      <c r="C761" s="94" t="s">
        <v>1088</v>
      </c>
      <c r="D761" s="134" t="s">
        <v>1846</v>
      </c>
      <c r="E761" s="134"/>
      <c r="F761" s="134" t="s">
        <v>1847</v>
      </c>
      <c r="G761" s="134">
        <v>7543806</v>
      </c>
      <c r="H761" s="135">
        <v>44511</v>
      </c>
      <c r="I761" s="134">
        <v>0.24546000000000001</v>
      </c>
      <c r="J761" s="134"/>
      <c r="K761" s="134"/>
      <c r="L761" s="134"/>
      <c r="M761" s="134"/>
      <c r="N761" s="134"/>
      <c r="O761" s="134"/>
      <c r="P761" s="134"/>
      <c r="Q761" s="134"/>
      <c r="R761" s="134"/>
      <c r="S761" s="134"/>
      <c r="T761" s="135">
        <v>30612</v>
      </c>
      <c r="U761" s="134"/>
      <c r="V761" s="134" t="s">
        <v>151</v>
      </c>
      <c r="W761" s="92" t="str">
        <f t="shared" si="70"/>
        <v>Moraes ,Vanderila Aparecida</v>
      </c>
      <c r="X761" s="95">
        <f t="shared" si="66"/>
        <v>11</v>
      </c>
      <c r="Y761" s="95">
        <f t="shared" si="67"/>
        <v>2021</v>
      </c>
      <c r="Z761" s="103" t="s">
        <v>265</v>
      </c>
      <c r="AA761" t="str">
        <f>IF(Tabla1[[#This Row],[Kerma en aire acumulada (Gy)]]&gt;1,SUMIF(G:G,Tabla1[[#This Row],[SIP]],I:I)-Tabla1[[#This Row],[Kerma en aire acumulada (Gy)]],"")</f>
        <v/>
      </c>
    </row>
    <row r="762" spans="2:28">
      <c r="C762" s="94" t="s">
        <v>1088</v>
      </c>
      <c r="D762" s="134" t="s">
        <v>1855</v>
      </c>
      <c r="E762" s="134"/>
      <c r="F762" s="134" t="s">
        <v>1856</v>
      </c>
      <c r="G762" s="134">
        <v>11464251</v>
      </c>
      <c r="H762" s="135">
        <v>44511</v>
      </c>
      <c r="I762" s="134">
        <v>1.0399999999999999E-3</v>
      </c>
      <c r="J762" s="134"/>
      <c r="K762" s="134"/>
      <c r="L762" s="134"/>
      <c r="M762" s="134"/>
      <c r="N762" s="134"/>
      <c r="O762" s="134"/>
      <c r="P762" s="134"/>
      <c r="Q762" s="134"/>
      <c r="R762" s="134"/>
      <c r="S762" s="134"/>
      <c r="T762" s="135">
        <v>28126</v>
      </c>
      <c r="U762" s="134"/>
      <c r="V762" s="134" t="s">
        <v>1300</v>
      </c>
      <c r="W762" s="92" t="str">
        <f t="shared" si="70"/>
        <v>Hadraqui ,El Kebira</v>
      </c>
      <c r="X762" s="95">
        <f t="shared" si="66"/>
        <v>11</v>
      </c>
      <c r="Y762" s="95">
        <f t="shared" si="67"/>
        <v>2021</v>
      </c>
      <c r="Z762" s="103" t="s">
        <v>265</v>
      </c>
      <c r="AA762" t="str">
        <f>IF(Tabla1[[#This Row],[Kerma en aire acumulada (Gy)]]&gt;1,SUMIF(G:G,Tabla1[[#This Row],[SIP]],I:I)-Tabla1[[#This Row],[Kerma en aire acumulada (Gy)]],"")</f>
        <v/>
      </c>
    </row>
    <row r="763" spans="2:28">
      <c r="C763" s="94" t="s">
        <v>1088</v>
      </c>
      <c r="D763" s="134" t="s">
        <v>1857</v>
      </c>
      <c r="E763" s="134" t="s">
        <v>1098</v>
      </c>
      <c r="F763" s="134" t="s">
        <v>20</v>
      </c>
      <c r="G763" s="134">
        <v>2923307</v>
      </c>
      <c r="H763" s="135">
        <v>44511</v>
      </c>
      <c r="I763" s="134">
        <v>0.15159</v>
      </c>
      <c r="J763" s="134"/>
      <c r="K763" s="134"/>
      <c r="L763" s="134"/>
      <c r="M763" s="134"/>
      <c r="N763" s="134"/>
      <c r="O763" s="134"/>
      <c r="P763" s="134"/>
      <c r="Q763" s="134"/>
      <c r="R763" s="134"/>
      <c r="S763" s="134"/>
      <c r="T763" s="135">
        <v>22229</v>
      </c>
      <c r="U763" s="134"/>
      <c r="V763" s="134" t="s">
        <v>1858</v>
      </c>
      <c r="W763" s="92" t="str">
        <f t="shared" si="70"/>
        <v>Camacho Moya,Antonio</v>
      </c>
      <c r="X763" s="95">
        <f t="shared" si="66"/>
        <v>11</v>
      </c>
      <c r="Y763" s="95">
        <f t="shared" si="67"/>
        <v>2021</v>
      </c>
      <c r="Z763" s="103" t="s">
        <v>265</v>
      </c>
      <c r="AA763" t="str">
        <f>IF(Tabla1[[#This Row],[Kerma en aire acumulada (Gy)]]&gt;1,SUMIF(G:G,Tabla1[[#This Row],[SIP]],I:I)-Tabla1[[#This Row],[Kerma en aire acumulada (Gy)]],"")</f>
        <v/>
      </c>
    </row>
    <row r="764" spans="2:28">
      <c r="C764" s="94" t="s">
        <v>1088</v>
      </c>
      <c r="D764" s="134" t="s">
        <v>1842</v>
      </c>
      <c r="E764" s="134" t="s">
        <v>1842</v>
      </c>
      <c r="F764" s="134" t="s">
        <v>1843</v>
      </c>
      <c r="G764" s="134">
        <v>6335161</v>
      </c>
      <c r="H764" s="135">
        <v>44512</v>
      </c>
      <c r="I764" s="134">
        <v>0.12723999999999999</v>
      </c>
      <c r="J764" s="134"/>
      <c r="K764" s="134"/>
      <c r="L764" s="134"/>
      <c r="M764" s="134"/>
      <c r="N764" s="134"/>
      <c r="O764" s="134"/>
      <c r="P764" s="134"/>
      <c r="Q764" s="134"/>
      <c r="R764" s="134"/>
      <c r="S764" s="134"/>
      <c r="T764" s="135">
        <v>24699</v>
      </c>
      <c r="U764" s="134"/>
      <c r="V764" s="134" t="s">
        <v>509</v>
      </c>
      <c r="W764" s="92" t="str">
        <f t="shared" si="70"/>
        <v>Yapu Yapu,Nelly Juana</v>
      </c>
      <c r="X764" s="95">
        <f t="shared" si="66"/>
        <v>11</v>
      </c>
      <c r="Y764" s="95">
        <f t="shared" si="67"/>
        <v>2021</v>
      </c>
      <c r="Z764" s="103" t="s">
        <v>265</v>
      </c>
      <c r="AA764" t="str">
        <f>IF(Tabla1[[#This Row],[Kerma en aire acumulada (Gy)]]&gt;1,SUMIF(G:G,Tabla1[[#This Row],[SIP]],I:I)-Tabla1[[#This Row],[Kerma en aire acumulada (Gy)]],"")</f>
        <v/>
      </c>
    </row>
    <row r="765" spans="2:28">
      <c r="C765" s="94" t="s">
        <v>1088</v>
      </c>
      <c r="D765" s="134" t="s">
        <v>1887</v>
      </c>
      <c r="E765" s="134" t="s">
        <v>1888</v>
      </c>
      <c r="F765" s="134" t="s">
        <v>1889</v>
      </c>
      <c r="G765" s="134">
        <v>2414114</v>
      </c>
      <c r="H765" s="135">
        <v>44515</v>
      </c>
      <c r="I765" s="134">
        <v>0.13719999999999999</v>
      </c>
      <c r="J765" s="134"/>
      <c r="K765" s="134"/>
      <c r="L765" s="134"/>
      <c r="M765" s="134"/>
      <c r="N765" s="134"/>
      <c r="O765" s="134"/>
      <c r="P765" s="134"/>
      <c r="Q765" s="134"/>
      <c r="R765" s="134"/>
      <c r="S765" s="134"/>
      <c r="T765" s="135">
        <v>18915</v>
      </c>
      <c r="U765" s="134"/>
      <c r="V765" s="134" t="s">
        <v>1890</v>
      </c>
      <c r="W765" s="92" t="str">
        <f t="shared" si="70"/>
        <v>Marzal Felici,Miguel Angel</v>
      </c>
      <c r="X765" s="95">
        <f t="shared" si="66"/>
        <v>11</v>
      </c>
      <c r="Y765" s="95">
        <f t="shared" si="67"/>
        <v>2021</v>
      </c>
      <c r="Z765" s="103" t="s">
        <v>265</v>
      </c>
      <c r="AA765" t="str">
        <f>IF(Tabla1[[#This Row],[Kerma en aire acumulada (Gy)]]&gt;1,SUMIF(G:G,Tabla1[[#This Row],[SIP]],I:I)-Tabla1[[#This Row],[Kerma en aire acumulada (Gy)]],"")</f>
        <v/>
      </c>
    </row>
    <row r="766" spans="2:28">
      <c r="C766" s="94" t="s">
        <v>1088</v>
      </c>
      <c r="D766" s="134" t="s">
        <v>1924</v>
      </c>
      <c r="E766" s="134" t="s">
        <v>954</v>
      </c>
      <c r="F766" s="134" t="s">
        <v>1907</v>
      </c>
      <c r="G766" s="134">
        <v>3269247</v>
      </c>
      <c r="H766" s="135">
        <v>44515</v>
      </c>
      <c r="I766" s="134">
        <v>0.19755</v>
      </c>
      <c r="J766" s="134"/>
      <c r="K766" s="134"/>
      <c r="L766" s="134"/>
      <c r="M766" s="134"/>
      <c r="N766" s="134"/>
      <c r="O766" s="134"/>
      <c r="P766" s="134"/>
      <c r="Q766" s="134"/>
      <c r="R766" s="134"/>
      <c r="S766" s="134"/>
      <c r="T766" s="135">
        <v>28280</v>
      </c>
      <c r="U766" s="134"/>
      <c r="V766" s="134" t="s">
        <v>143</v>
      </c>
      <c r="W766" s="92" t="str">
        <f t="shared" si="70"/>
        <v>Copado  Carbonell,Ivan</v>
      </c>
      <c r="X766" s="95">
        <f t="shared" si="66"/>
        <v>11</v>
      </c>
      <c r="Y766" s="95">
        <f t="shared" si="67"/>
        <v>2021</v>
      </c>
      <c r="Z766" s="103" t="s">
        <v>265</v>
      </c>
      <c r="AA766" t="str">
        <f>IF(Tabla1[[#This Row],[Kerma en aire acumulada (Gy)]]&gt;1,SUMIF(G:G,Tabla1[[#This Row],[SIP]],I:I)-Tabla1[[#This Row],[Kerma en aire acumulada (Gy)]],"")</f>
        <v/>
      </c>
    </row>
    <row r="767" spans="2:28">
      <c r="C767" s="94" t="s">
        <v>1088</v>
      </c>
      <c r="D767" s="134" t="s">
        <v>1925</v>
      </c>
      <c r="E767" s="134" t="s">
        <v>960</v>
      </c>
      <c r="F767" s="134" t="s">
        <v>1213</v>
      </c>
      <c r="G767" s="134">
        <v>2195067</v>
      </c>
      <c r="H767" s="135">
        <v>44515</v>
      </c>
      <c r="I767" s="134">
        <v>0.42803000000000002</v>
      </c>
      <c r="J767" s="134"/>
      <c r="K767" s="134"/>
      <c r="L767" s="134"/>
      <c r="M767" s="134"/>
      <c r="N767" s="134"/>
      <c r="O767" s="134"/>
      <c r="P767" s="134"/>
      <c r="Q767" s="134"/>
      <c r="R767" s="134"/>
      <c r="S767" s="134"/>
      <c r="T767" s="135">
        <v>28654</v>
      </c>
      <c r="U767" s="134"/>
      <c r="V767" s="134" t="s">
        <v>166</v>
      </c>
      <c r="W767" s="92" t="str">
        <f t="shared" si="70"/>
        <v>Saura Lopez,Maria Isabel</v>
      </c>
      <c r="X767" s="95">
        <f t="shared" si="66"/>
        <v>11</v>
      </c>
      <c r="Y767" s="95">
        <f t="shared" si="67"/>
        <v>2021</v>
      </c>
      <c r="Z767" s="103" t="s">
        <v>265</v>
      </c>
      <c r="AA767" t="str">
        <f>IF(Tabla1[[#This Row],[Kerma en aire acumulada (Gy)]]&gt;1,SUMIF(G:G,Tabla1[[#This Row],[SIP]],I:I)-Tabla1[[#This Row],[Kerma en aire acumulada (Gy)]],"")</f>
        <v/>
      </c>
    </row>
    <row r="768" spans="2:28">
      <c r="C768" s="94" t="s">
        <v>1088</v>
      </c>
      <c r="D768" s="134" t="s">
        <v>337</v>
      </c>
      <c r="E768" s="134" t="s">
        <v>1886</v>
      </c>
      <c r="F768" s="134" t="s">
        <v>961</v>
      </c>
      <c r="G768" s="134">
        <v>1896540</v>
      </c>
      <c r="H768" s="135">
        <v>44516</v>
      </c>
      <c r="I768" s="134">
        <v>1.573</v>
      </c>
      <c r="J768" s="134"/>
      <c r="K768" s="134"/>
      <c r="L768" s="134"/>
      <c r="M768" s="134"/>
      <c r="N768" s="134"/>
      <c r="O768" s="134"/>
      <c r="P768" s="134"/>
      <c r="Q768" s="134"/>
      <c r="R768" s="134"/>
      <c r="S768" s="134"/>
      <c r="T768" s="135">
        <v>22289</v>
      </c>
      <c r="U768" s="134"/>
      <c r="V768" s="134" t="s">
        <v>550</v>
      </c>
      <c r="W768" s="92" t="str">
        <f t="shared" si="70"/>
        <v>Garrido Grimaltos,Teresa</v>
      </c>
      <c r="X768" s="95">
        <f t="shared" si="66"/>
        <v>11</v>
      </c>
      <c r="Y768" s="95">
        <f t="shared" si="67"/>
        <v>2021</v>
      </c>
      <c r="Z768" s="103" t="s">
        <v>265</v>
      </c>
      <c r="AA768">
        <f>IF(Tabla1[[#This Row],[Kerma en aire acumulada (Gy)]]&gt;1,SUMIF(G:G,Tabla1[[#This Row],[SIP]],I:I)-Tabla1[[#This Row],[Kerma en aire acumulada (Gy)]],"")</f>
        <v>0</v>
      </c>
    </row>
    <row r="769" spans="3:27">
      <c r="C769" s="94" t="s">
        <v>1088</v>
      </c>
      <c r="D769" s="134" t="s">
        <v>1003</v>
      </c>
      <c r="E769" s="134" t="s">
        <v>130</v>
      </c>
      <c r="F769" s="134" t="s">
        <v>356</v>
      </c>
      <c r="G769" s="134">
        <v>4271574</v>
      </c>
      <c r="H769" s="135">
        <v>44516</v>
      </c>
      <c r="I769" s="134">
        <v>4.598E-2</v>
      </c>
      <c r="J769" s="134"/>
      <c r="K769" s="134"/>
      <c r="L769" s="134"/>
      <c r="M769" s="134"/>
      <c r="N769" s="134"/>
      <c r="O769" s="134"/>
      <c r="P769" s="134"/>
      <c r="Q769" s="134"/>
      <c r="R769" s="134"/>
      <c r="S769" s="134"/>
      <c r="T769" s="135">
        <v>24324</v>
      </c>
      <c r="U769" s="134"/>
      <c r="V769" s="134" t="s">
        <v>1922</v>
      </c>
      <c r="W769" s="92" t="str">
        <f t="shared" si="70"/>
        <v>Romero Hernández,Manuel</v>
      </c>
      <c r="X769" s="95">
        <f t="shared" si="66"/>
        <v>11</v>
      </c>
      <c r="Y769" s="95">
        <f t="shared" si="67"/>
        <v>2021</v>
      </c>
      <c r="Z769" s="103" t="s">
        <v>265</v>
      </c>
      <c r="AA769" t="str">
        <f>IF(Tabla1[[#This Row],[Kerma en aire acumulada (Gy)]]&gt;1,SUMIF(G:G,Tabla1[[#This Row],[SIP]],I:I)-Tabla1[[#This Row],[Kerma en aire acumulada (Gy)]],"")</f>
        <v/>
      </c>
    </row>
    <row r="770" spans="3:27">
      <c r="C770" s="94" t="s">
        <v>1088</v>
      </c>
      <c r="D770" s="134" t="s">
        <v>294</v>
      </c>
      <c r="E770" s="134" t="s">
        <v>286</v>
      </c>
      <c r="F770" s="134" t="s">
        <v>715</v>
      </c>
      <c r="G770" s="134">
        <v>3075523</v>
      </c>
      <c r="H770" s="135">
        <v>44516</v>
      </c>
      <c r="I770" s="134">
        <v>0.10975</v>
      </c>
      <c r="J770" s="134"/>
      <c r="K770" s="134"/>
      <c r="L770" s="134"/>
      <c r="M770" s="134"/>
      <c r="N770" s="134"/>
      <c r="O770" s="134"/>
      <c r="P770" s="134"/>
      <c r="Q770" s="134"/>
      <c r="R770" s="134"/>
      <c r="S770" s="134"/>
      <c r="T770" s="135">
        <v>18521</v>
      </c>
      <c r="U770" s="134"/>
      <c r="V770" s="134" t="s">
        <v>1923</v>
      </c>
      <c r="W770" s="92" t="str">
        <f t="shared" si="70"/>
        <v>Lorenzo Rochina,Amparo</v>
      </c>
      <c r="X770" s="95">
        <f t="shared" si="66"/>
        <v>11</v>
      </c>
      <c r="Y770" s="95">
        <f t="shared" si="67"/>
        <v>2021</v>
      </c>
      <c r="Z770" s="103" t="s">
        <v>265</v>
      </c>
      <c r="AA770" t="str">
        <f>IF(Tabla1[[#This Row],[Kerma en aire acumulada (Gy)]]&gt;1,SUMIF(G:G,Tabla1[[#This Row],[SIP]],I:I)-Tabla1[[#This Row],[Kerma en aire acumulada (Gy)]],"")</f>
        <v/>
      </c>
    </row>
    <row r="771" spans="3:27">
      <c r="C771" s="94" t="s">
        <v>1088</v>
      </c>
      <c r="D771" s="134" t="s">
        <v>1881</v>
      </c>
      <c r="E771" s="134" t="s">
        <v>332</v>
      </c>
      <c r="F771" s="134" t="s">
        <v>1882</v>
      </c>
      <c r="G771" s="134">
        <v>4858273</v>
      </c>
      <c r="H771" s="135">
        <v>44517</v>
      </c>
      <c r="I771" s="134">
        <v>1.146E-2</v>
      </c>
      <c r="J771" s="134"/>
      <c r="K771" s="134"/>
      <c r="L771" s="134"/>
      <c r="M771" s="134"/>
      <c r="N771" s="134"/>
      <c r="O771" s="134"/>
      <c r="P771" s="134"/>
      <c r="Q771" s="134"/>
      <c r="R771" s="134"/>
      <c r="S771" s="134"/>
      <c r="T771" s="135">
        <v>33738</v>
      </c>
      <c r="U771" s="134"/>
      <c r="V771" s="134" t="s">
        <v>1883</v>
      </c>
      <c r="W771" s="92" t="str">
        <f t="shared" si="70"/>
        <v>Maya Albert,Francisco Gabriel</v>
      </c>
      <c r="X771" s="95">
        <f t="shared" si="66"/>
        <v>11</v>
      </c>
      <c r="Y771" s="95">
        <f t="shared" si="67"/>
        <v>2021</v>
      </c>
      <c r="Z771" s="103" t="s">
        <v>265</v>
      </c>
      <c r="AA771" t="str">
        <f>IF(Tabla1[[#This Row],[Kerma en aire acumulada (Gy)]]&gt;1,SUMIF(G:G,Tabla1[[#This Row],[SIP]],I:I)-Tabla1[[#This Row],[Kerma en aire acumulada (Gy)]],"")</f>
        <v/>
      </c>
    </row>
    <row r="772" spans="3:27">
      <c r="C772" s="94" t="s">
        <v>1088</v>
      </c>
      <c r="D772" s="134" t="s">
        <v>1003</v>
      </c>
      <c r="E772" s="134" t="s">
        <v>130</v>
      </c>
      <c r="F772" s="134" t="s">
        <v>356</v>
      </c>
      <c r="G772" s="134">
        <v>4271574</v>
      </c>
      <c r="H772" s="135">
        <v>44517</v>
      </c>
      <c r="I772" s="134">
        <v>8.3089999999999997E-2</v>
      </c>
      <c r="J772" s="134"/>
      <c r="K772" s="134"/>
      <c r="L772" s="134"/>
      <c r="M772" s="134"/>
      <c r="N772" s="134"/>
      <c r="O772" s="134"/>
      <c r="P772" s="134"/>
      <c r="Q772" s="134"/>
      <c r="R772" s="134"/>
      <c r="S772" s="134"/>
      <c r="T772" s="135">
        <v>24324</v>
      </c>
      <c r="U772" s="134"/>
      <c r="V772" s="134" t="s">
        <v>1643</v>
      </c>
      <c r="W772" s="92" t="str">
        <f t="shared" si="70"/>
        <v>Romero Hernández,Manuel</v>
      </c>
      <c r="X772" s="95">
        <f t="shared" si="66"/>
        <v>11</v>
      </c>
      <c r="Y772" s="95">
        <f t="shared" si="67"/>
        <v>2021</v>
      </c>
      <c r="Z772" s="103" t="s">
        <v>265</v>
      </c>
      <c r="AA772" t="str">
        <f>IF(Tabla1[[#This Row],[Kerma en aire acumulada (Gy)]]&gt;1,SUMIF(G:G,Tabla1[[#This Row],[SIP]],I:I)-Tabla1[[#This Row],[Kerma en aire acumulada (Gy)]],"")</f>
        <v/>
      </c>
    </row>
    <row r="773" spans="3:27">
      <c r="C773" s="94" t="s">
        <v>1088</v>
      </c>
      <c r="D773" s="134" t="s">
        <v>1884</v>
      </c>
      <c r="E773" s="134" t="s">
        <v>1167</v>
      </c>
      <c r="F773" s="134" t="s">
        <v>20</v>
      </c>
      <c r="G773" s="134">
        <v>3202519</v>
      </c>
      <c r="H773" s="135">
        <v>44517</v>
      </c>
      <c r="I773" s="134">
        <v>8.2610000000000003E-2</v>
      </c>
      <c r="J773" s="134"/>
      <c r="K773" s="134"/>
      <c r="L773" s="134"/>
      <c r="M773" s="134"/>
      <c r="N773" s="134"/>
      <c r="O773" s="134"/>
      <c r="P773" s="134"/>
      <c r="Q773" s="134"/>
      <c r="R773" s="134"/>
      <c r="S773" s="134"/>
      <c r="T773" s="135">
        <v>23891</v>
      </c>
      <c r="U773" s="134"/>
      <c r="V773" s="134" t="s">
        <v>1885</v>
      </c>
      <c r="W773" s="92" t="str">
        <f t="shared" si="70"/>
        <v>Jordan Bernat,Antonio</v>
      </c>
      <c r="X773" s="95">
        <f t="shared" si="66"/>
        <v>11</v>
      </c>
      <c r="Y773" s="95">
        <f t="shared" si="67"/>
        <v>2021</v>
      </c>
      <c r="Z773" s="103" t="s">
        <v>265</v>
      </c>
      <c r="AA773" t="str">
        <f>IF(Tabla1[[#This Row],[Kerma en aire acumulada (Gy)]]&gt;1,SUMIF(G:G,Tabla1[[#This Row],[SIP]],I:I)-Tabla1[[#This Row],[Kerma en aire acumulada (Gy)]],"")</f>
        <v/>
      </c>
    </row>
    <row r="774" spans="3:27">
      <c r="C774" s="94" t="s">
        <v>1088</v>
      </c>
      <c r="D774" s="134" t="s">
        <v>1648</v>
      </c>
      <c r="E774" s="134" t="s">
        <v>772</v>
      </c>
      <c r="F774" s="134" t="s">
        <v>75</v>
      </c>
      <c r="G774" s="134">
        <v>5003893</v>
      </c>
      <c r="H774" s="135">
        <v>44517</v>
      </c>
      <c r="I774" s="134">
        <v>1.4400000000000001E-3</v>
      </c>
      <c r="J774" s="134"/>
      <c r="K774" s="134"/>
      <c r="L774" s="134"/>
      <c r="M774" s="134"/>
      <c r="N774" s="134"/>
      <c r="O774" s="134"/>
      <c r="P774" s="134"/>
      <c r="Q774" s="134"/>
      <c r="R774" s="134"/>
      <c r="S774" s="134"/>
      <c r="T774" s="135">
        <v>25199</v>
      </c>
      <c r="U774" s="134"/>
      <c r="V774" s="134" t="s">
        <v>1274</v>
      </c>
      <c r="W774" s="92" t="str">
        <f t="shared" si="70"/>
        <v>Rojas Sanchez,Javier</v>
      </c>
      <c r="X774" s="95">
        <f t="shared" si="66"/>
        <v>11</v>
      </c>
      <c r="Y774" s="95">
        <f t="shared" si="67"/>
        <v>2021</v>
      </c>
      <c r="Z774" s="103" t="s">
        <v>265</v>
      </c>
      <c r="AA774" t="str">
        <f>IF(Tabla1[[#This Row],[Kerma en aire acumulada (Gy)]]&gt;1,SUMIF(G:G,Tabla1[[#This Row],[SIP]],I:I)-Tabla1[[#This Row],[Kerma en aire acumulada (Gy)]],"")</f>
        <v/>
      </c>
    </row>
    <row r="775" spans="3:27">
      <c r="C775" s="94" t="s">
        <v>1088</v>
      </c>
      <c r="D775" s="134" t="s">
        <v>1114</v>
      </c>
      <c r="E775" s="134" t="s">
        <v>1288</v>
      </c>
      <c r="F775" s="134" t="s">
        <v>1023</v>
      </c>
      <c r="G775" s="134">
        <v>290541</v>
      </c>
      <c r="H775" s="135">
        <v>44517</v>
      </c>
      <c r="I775" s="134">
        <v>2.2799999999999999E-3</v>
      </c>
      <c r="J775" s="134"/>
      <c r="K775" s="134"/>
      <c r="L775" s="134"/>
      <c r="M775" s="134"/>
      <c r="N775" s="134"/>
      <c r="O775" s="134"/>
      <c r="P775" s="134"/>
      <c r="Q775" s="134"/>
      <c r="R775" s="134"/>
      <c r="S775" s="134"/>
      <c r="T775" s="135">
        <v>21032</v>
      </c>
      <c r="U775" s="134"/>
      <c r="V775" s="134" t="s">
        <v>1300</v>
      </c>
      <c r="W775" s="92" t="str">
        <f t="shared" si="70"/>
        <v>Garcia  Castello,Desamparados</v>
      </c>
      <c r="X775" s="95">
        <f t="shared" si="66"/>
        <v>11</v>
      </c>
      <c r="Y775" s="95">
        <f t="shared" si="67"/>
        <v>2021</v>
      </c>
      <c r="Z775" s="103" t="s">
        <v>265</v>
      </c>
      <c r="AA775" t="str">
        <f>IF(Tabla1[[#This Row],[Kerma en aire acumulada (Gy)]]&gt;1,SUMIF(G:G,Tabla1[[#This Row],[SIP]],I:I)-Tabla1[[#This Row],[Kerma en aire acumulada (Gy)]],"")</f>
        <v/>
      </c>
    </row>
    <row r="776" spans="3:27">
      <c r="C776" s="94" t="s">
        <v>1088</v>
      </c>
      <c r="D776" s="134" t="s">
        <v>1287</v>
      </c>
      <c r="E776" s="134" t="s">
        <v>1288</v>
      </c>
      <c r="F776" s="134" t="s">
        <v>1917</v>
      </c>
      <c r="G776" s="134">
        <v>28490235</v>
      </c>
      <c r="H776" s="135">
        <v>44517</v>
      </c>
      <c r="I776" s="134">
        <v>5.688E-2</v>
      </c>
      <c r="J776" s="134"/>
      <c r="K776" s="134"/>
      <c r="L776" s="134"/>
      <c r="M776" s="134"/>
      <c r="N776" s="134"/>
      <c r="O776" s="134"/>
      <c r="P776" s="134"/>
      <c r="Q776" s="134"/>
      <c r="R776" s="134"/>
      <c r="S776" s="134"/>
      <c r="T776" s="135">
        <v>19135</v>
      </c>
      <c r="U776" s="134"/>
      <c r="V776" s="134" t="s">
        <v>1918</v>
      </c>
      <c r="W776" s="92" t="str">
        <f t="shared" si="70"/>
        <v>Huesca Castello,PAscual</v>
      </c>
      <c r="X776" s="95">
        <f t="shared" si="66"/>
        <v>11</v>
      </c>
      <c r="Y776" s="95">
        <f t="shared" si="67"/>
        <v>2021</v>
      </c>
      <c r="Z776" s="103" t="s">
        <v>265</v>
      </c>
      <c r="AA776" t="str">
        <f>IF(Tabla1[[#This Row],[Kerma en aire acumulada (Gy)]]&gt;1,SUMIF(G:G,Tabla1[[#This Row],[SIP]],I:I)-Tabla1[[#This Row],[Kerma en aire acumulada (Gy)]],"")</f>
        <v/>
      </c>
    </row>
    <row r="777" spans="3:27">
      <c r="C777" s="94" t="s">
        <v>1088</v>
      </c>
      <c r="D777" s="134" t="s">
        <v>1919</v>
      </c>
      <c r="E777" s="134" t="s">
        <v>915</v>
      </c>
      <c r="F777" s="134" t="s">
        <v>1920</v>
      </c>
      <c r="G777" s="134">
        <v>393847</v>
      </c>
      <c r="H777" s="135">
        <v>44517</v>
      </c>
      <c r="I777" s="134">
        <v>0.35235</v>
      </c>
      <c r="J777" s="134"/>
      <c r="K777" s="134"/>
      <c r="L777" s="134"/>
      <c r="M777" s="134"/>
      <c r="N777" s="134"/>
      <c r="O777" s="134"/>
      <c r="P777" s="134"/>
      <c r="Q777" s="134"/>
      <c r="R777" s="134"/>
      <c r="S777" s="134"/>
      <c r="T777" s="135">
        <v>25482</v>
      </c>
      <c r="U777" s="134"/>
      <c r="V777" s="134" t="s">
        <v>1921</v>
      </c>
      <c r="W777" s="92" t="str">
        <f t="shared" si="70"/>
        <v>Lloret Gimenez,Joan Joaquim</v>
      </c>
      <c r="X777" s="95">
        <f t="shared" si="66"/>
        <v>11</v>
      </c>
      <c r="Y777" s="95">
        <f t="shared" si="67"/>
        <v>2021</v>
      </c>
      <c r="Z777" s="103" t="s">
        <v>265</v>
      </c>
      <c r="AA777" t="str">
        <f>IF(Tabla1[[#This Row],[Kerma en aire acumulada (Gy)]]&gt;1,SUMIF(G:G,Tabla1[[#This Row],[SIP]],I:I)-Tabla1[[#This Row],[Kerma en aire acumulada (Gy)]],"")</f>
        <v/>
      </c>
    </row>
    <row r="778" spans="3:27">
      <c r="C778" s="94" t="s">
        <v>1088</v>
      </c>
      <c r="D778" s="134" t="s">
        <v>1877</v>
      </c>
      <c r="E778" s="134" t="s">
        <v>966</v>
      </c>
      <c r="F778" s="134" t="s">
        <v>1873</v>
      </c>
      <c r="G778" s="134">
        <v>2972909</v>
      </c>
      <c r="H778" s="135">
        <v>44518</v>
      </c>
      <c r="I778" s="134">
        <v>1.532E-2</v>
      </c>
      <c r="J778" s="134"/>
      <c r="K778" s="134"/>
      <c r="L778" s="134"/>
      <c r="M778" s="134"/>
      <c r="N778" s="134"/>
      <c r="O778" s="134"/>
      <c r="P778" s="134"/>
      <c r="Q778" s="134"/>
      <c r="R778" s="134"/>
      <c r="S778" s="134"/>
      <c r="T778" s="135">
        <v>25103</v>
      </c>
      <c r="U778" s="134"/>
      <c r="V778" s="134" t="s">
        <v>1233</v>
      </c>
      <c r="W778" s="92" t="str">
        <f t="shared" si="70"/>
        <v>Cervero  Marco,Ana Isabel</v>
      </c>
      <c r="X778" s="95">
        <f t="shared" si="66"/>
        <v>11</v>
      </c>
      <c r="Y778" s="95">
        <f t="shared" si="67"/>
        <v>2021</v>
      </c>
      <c r="Z778" s="103" t="s">
        <v>265</v>
      </c>
      <c r="AA778" t="str">
        <f>IF(Tabla1[[#This Row],[Kerma en aire acumulada (Gy)]]&gt;1,SUMIF(G:G,Tabla1[[#This Row],[SIP]],I:I)-Tabla1[[#This Row],[Kerma en aire acumulada (Gy)]],"")</f>
        <v/>
      </c>
    </row>
    <row r="779" spans="3:27">
      <c r="C779" s="94" t="s">
        <v>1088</v>
      </c>
      <c r="D779" s="134" t="s">
        <v>1878</v>
      </c>
      <c r="E779" s="134" t="s">
        <v>1879</v>
      </c>
      <c r="F779" s="134" t="s">
        <v>1146</v>
      </c>
      <c r="G779" s="134">
        <v>4591248</v>
      </c>
      <c r="H779" s="135">
        <v>44518</v>
      </c>
      <c r="I779" s="134">
        <v>3.0759999999999999E-2</v>
      </c>
      <c r="J779" s="134"/>
      <c r="K779" s="134"/>
      <c r="L779" s="134"/>
      <c r="M779" s="134"/>
      <c r="N779" s="134"/>
      <c r="O779" s="134"/>
      <c r="P779" s="134"/>
      <c r="Q779" s="134"/>
      <c r="R779" s="134"/>
      <c r="S779" s="134"/>
      <c r="T779" s="135">
        <v>30900</v>
      </c>
      <c r="U779" s="134"/>
      <c r="V779" s="134" t="s">
        <v>1880</v>
      </c>
      <c r="W779" s="92" t="str">
        <f t="shared" si="70"/>
        <v>Samit Castellet,Patricia</v>
      </c>
      <c r="X779" s="95">
        <f t="shared" si="66"/>
        <v>11</v>
      </c>
      <c r="Y779" s="95">
        <f t="shared" si="67"/>
        <v>2021</v>
      </c>
      <c r="Z779" s="103" t="s">
        <v>265</v>
      </c>
      <c r="AA779" t="str">
        <f>IF(Tabla1[[#This Row],[Kerma en aire acumulada (Gy)]]&gt;1,SUMIF(G:G,Tabla1[[#This Row],[SIP]],I:I)-Tabla1[[#This Row],[Kerma en aire acumulada (Gy)]],"")</f>
        <v/>
      </c>
    </row>
    <row r="780" spans="3:27">
      <c r="C780" s="94" t="s">
        <v>1088</v>
      </c>
      <c r="D780" s="134" t="s">
        <v>1262</v>
      </c>
      <c r="E780" s="134" t="s">
        <v>1915</v>
      </c>
      <c r="F780" s="134" t="s">
        <v>815</v>
      </c>
      <c r="G780" s="134">
        <v>261290</v>
      </c>
      <c r="H780" s="135">
        <v>44518</v>
      </c>
      <c r="I780" s="134">
        <v>5.8999999999999999E-3</v>
      </c>
      <c r="J780" s="134"/>
      <c r="K780" s="134"/>
      <c r="L780" s="134"/>
      <c r="M780" s="134"/>
      <c r="N780" s="134"/>
      <c r="O780" s="134"/>
      <c r="P780" s="134"/>
      <c r="Q780" s="134"/>
      <c r="R780" s="134"/>
      <c r="S780" s="134"/>
      <c r="T780" s="135">
        <v>23511</v>
      </c>
      <c r="U780" s="134"/>
      <c r="V780" s="134" t="s">
        <v>1916</v>
      </c>
      <c r="W780" s="92" t="str">
        <f t="shared" si="70"/>
        <v>Diaz Cano ,Alicia</v>
      </c>
      <c r="X780" s="95">
        <f t="shared" si="66"/>
        <v>11</v>
      </c>
      <c r="Y780" s="95">
        <f t="shared" si="67"/>
        <v>2021</v>
      </c>
      <c r="Z780" s="103" t="s">
        <v>265</v>
      </c>
      <c r="AA780" t="str">
        <f>IF(Tabla1[[#This Row],[Kerma en aire acumulada (Gy)]]&gt;1,SUMIF(G:G,Tabla1[[#This Row],[SIP]],I:I)-Tabla1[[#This Row],[Kerma en aire acumulada (Gy)]],"")</f>
        <v/>
      </c>
    </row>
    <row r="781" spans="3:27">
      <c r="C781" s="94" t="s">
        <v>1088</v>
      </c>
      <c r="D781" s="134" t="s">
        <v>1903</v>
      </c>
      <c r="E781" s="134" t="s">
        <v>1904</v>
      </c>
      <c r="F781" s="134" t="s">
        <v>1905</v>
      </c>
      <c r="G781" s="134">
        <v>2417020</v>
      </c>
      <c r="H781" s="135">
        <v>44518</v>
      </c>
      <c r="I781" s="134">
        <v>3.236E-2</v>
      </c>
      <c r="J781" s="134"/>
      <c r="K781" s="134"/>
      <c r="L781" s="134"/>
      <c r="M781" s="134"/>
      <c r="N781" s="134"/>
      <c r="O781" s="134"/>
      <c r="P781" s="134"/>
      <c r="Q781" s="134"/>
      <c r="R781" s="134"/>
      <c r="S781" s="134"/>
      <c r="T781" s="135">
        <v>18581</v>
      </c>
      <c r="U781" s="134"/>
      <c r="V781" s="134" t="s">
        <v>550</v>
      </c>
      <c r="W781" s="92" t="str">
        <f t="shared" si="70"/>
        <v>Herrera Nuñez,Vicente Luis</v>
      </c>
      <c r="X781" s="95">
        <f t="shared" si="66"/>
        <v>11</v>
      </c>
      <c r="Y781" s="95">
        <f t="shared" si="67"/>
        <v>2021</v>
      </c>
      <c r="Z781" s="103" t="s">
        <v>265</v>
      </c>
      <c r="AA781" t="str">
        <f>IF(Tabla1[[#This Row],[Kerma en aire acumulada (Gy)]]&gt;1,SUMIF(G:G,Tabla1[[#This Row],[SIP]],I:I)-Tabla1[[#This Row],[Kerma en aire acumulada (Gy)]],"")</f>
        <v/>
      </c>
    </row>
    <row r="782" spans="3:27">
      <c r="C782" s="94" t="s">
        <v>1088</v>
      </c>
      <c r="D782" s="134" t="s">
        <v>1287</v>
      </c>
      <c r="E782" s="134" t="s">
        <v>1288</v>
      </c>
      <c r="F782" s="134" t="s">
        <v>82</v>
      </c>
      <c r="G782" s="134">
        <v>2849235</v>
      </c>
      <c r="H782" s="135">
        <v>44519</v>
      </c>
      <c r="I782" s="134">
        <v>1.1220000000000001E-2</v>
      </c>
      <c r="J782" s="134"/>
      <c r="K782" s="134"/>
      <c r="L782" s="134"/>
      <c r="M782" s="134"/>
      <c r="N782" s="134"/>
      <c r="O782" s="134"/>
      <c r="P782" s="134"/>
      <c r="Q782" s="134"/>
      <c r="R782" s="134"/>
      <c r="S782" s="134"/>
      <c r="T782" s="135">
        <v>19135</v>
      </c>
      <c r="U782" s="134"/>
      <c r="V782" s="134" t="s">
        <v>143</v>
      </c>
      <c r="W782" s="92" t="str">
        <f t="shared" si="70"/>
        <v>Huesca Castello,Pascual</v>
      </c>
      <c r="X782" s="95">
        <f t="shared" si="66"/>
        <v>11</v>
      </c>
      <c r="Y782" s="95">
        <f t="shared" si="67"/>
        <v>2021</v>
      </c>
      <c r="Z782" s="103" t="s">
        <v>265</v>
      </c>
      <c r="AA782" t="str">
        <f>IF(Tabla1[[#This Row],[Kerma en aire acumulada (Gy)]]&gt;1,SUMIF(G:G,Tabla1[[#This Row],[SIP]],I:I)-Tabla1[[#This Row],[Kerma en aire acumulada (Gy)]],"")</f>
        <v/>
      </c>
    </row>
    <row r="783" spans="3:27">
      <c r="C783" s="94" t="s">
        <v>1088</v>
      </c>
      <c r="D783" s="134" t="s">
        <v>169</v>
      </c>
      <c r="E783" s="134" t="s">
        <v>1876</v>
      </c>
      <c r="F783" s="134" t="s">
        <v>83</v>
      </c>
      <c r="G783" s="134">
        <v>2356730</v>
      </c>
      <c r="H783" s="135">
        <v>44519</v>
      </c>
      <c r="I783" s="134">
        <v>0.95940000000000003</v>
      </c>
      <c r="J783" s="134"/>
      <c r="K783" s="134"/>
      <c r="L783" s="134"/>
      <c r="M783" s="134"/>
      <c r="N783" s="134"/>
      <c r="O783" s="134"/>
      <c r="P783" s="134"/>
      <c r="Q783" s="134"/>
      <c r="R783" s="134"/>
      <c r="S783" s="134"/>
      <c r="T783" s="135">
        <v>24660</v>
      </c>
      <c r="U783" s="134"/>
      <c r="V783" s="134" t="s">
        <v>128</v>
      </c>
      <c r="W783" s="92" t="str">
        <f t="shared" si="70"/>
        <v>Valero Aguardo,Francisco</v>
      </c>
      <c r="X783" s="95">
        <f t="shared" si="66"/>
        <v>11</v>
      </c>
      <c r="Y783" s="95">
        <f t="shared" si="67"/>
        <v>2021</v>
      </c>
      <c r="Z783" s="103" t="s">
        <v>265</v>
      </c>
      <c r="AA783" t="str">
        <f>IF(Tabla1[[#This Row],[Kerma en aire acumulada (Gy)]]&gt;1,SUMIF(G:G,Tabla1[[#This Row],[SIP]],I:I)-Tabla1[[#This Row],[Kerma en aire acumulada (Gy)]],"")</f>
        <v/>
      </c>
    </row>
    <row r="784" spans="3:27">
      <c r="C784" s="94" t="s">
        <v>1088</v>
      </c>
      <c r="D784" s="134" t="s">
        <v>1211</v>
      </c>
      <c r="E784" s="134" t="s">
        <v>1913</v>
      </c>
      <c r="F784" s="134" t="s">
        <v>1213</v>
      </c>
      <c r="G784" s="134">
        <v>2417866</v>
      </c>
      <c r="H784" s="135">
        <v>44519</v>
      </c>
      <c r="I784" s="134">
        <v>0.17297999999999999</v>
      </c>
      <c r="J784" s="134"/>
      <c r="K784" s="134"/>
      <c r="L784" s="134"/>
      <c r="M784" s="134"/>
      <c r="N784" s="134"/>
      <c r="O784" s="134"/>
      <c r="P784" s="134"/>
      <c r="Q784" s="134"/>
      <c r="R784" s="134"/>
      <c r="S784" s="134"/>
      <c r="T784" s="135">
        <v>20662</v>
      </c>
      <c r="U784" s="134"/>
      <c r="V784" s="134" t="s">
        <v>1631</v>
      </c>
      <c r="W784" s="92" t="str">
        <f t="shared" si="70"/>
        <v>Montoro La Torre,Maria Isabel</v>
      </c>
      <c r="X784" s="95">
        <f t="shared" si="66"/>
        <v>11</v>
      </c>
      <c r="Y784" s="95">
        <f t="shared" si="67"/>
        <v>2021</v>
      </c>
      <c r="Z784" s="103" t="s">
        <v>265</v>
      </c>
      <c r="AA784" t="str">
        <f>IF(Tabla1[[#This Row],[Kerma en aire acumulada (Gy)]]&gt;1,SUMIF(G:G,Tabla1[[#This Row],[SIP]],I:I)-Tabla1[[#This Row],[Kerma en aire acumulada (Gy)]],"")</f>
        <v/>
      </c>
    </row>
    <row r="785" spans="2:27">
      <c r="C785" s="94" t="s">
        <v>1088</v>
      </c>
      <c r="D785" s="134" t="s">
        <v>6</v>
      </c>
      <c r="E785" s="134" t="s">
        <v>1914</v>
      </c>
      <c r="F785" s="134" t="s">
        <v>1050</v>
      </c>
      <c r="G785" s="134">
        <v>3342643</v>
      </c>
      <c r="H785" s="135">
        <v>44519</v>
      </c>
      <c r="I785" s="134">
        <v>0.78642000000000001</v>
      </c>
      <c r="J785" s="134"/>
      <c r="K785" s="134"/>
      <c r="L785" s="134"/>
      <c r="M785" s="134"/>
      <c r="N785" s="134"/>
      <c r="O785" s="134"/>
      <c r="P785" s="134"/>
      <c r="Q785" s="134"/>
      <c r="R785" s="134"/>
      <c r="S785" s="134"/>
      <c r="T785" s="135">
        <v>21124</v>
      </c>
      <c r="U785" s="134"/>
      <c r="V785" s="134" t="s">
        <v>128</v>
      </c>
      <c r="W785" s="92" t="str">
        <f t="shared" si="70"/>
        <v>Ortega Escos,Francisco Javier</v>
      </c>
      <c r="X785" s="95">
        <f t="shared" si="66"/>
        <v>11</v>
      </c>
      <c r="Y785" s="95">
        <f t="shared" si="67"/>
        <v>2021</v>
      </c>
      <c r="Z785" s="103" t="s">
        <v>265</v>
      </c>
      <c r="AA785" t="str">
        <f>IF(Tabla1[[#This Row],[Kerma en aire acumulada (Gy)]]&gt;1,SUMIF(G:G,Tabla1[[#This Row],[SIP]],I:I)-Tabla1[[#This Row],[Kerma en aire acumulada (Gy)]],"")</f>
        <v/>
      </c>
    </row>
    <row r="786" spans="2:27">
      <c r="C786" s="94" t="s">
        <v>1088</v>
      </c>
      <c r="D786" s="134" t="s">
        <v>1211</v>
      </c>
      <c r="E786" s="134" t="s">
        <v>1913</v>
      </c>
      <c r="F786" s="134" t="s">
        <v>1213</v>
      </c>
      <c r="G786" s="134">
        <v>2417866</v>
      </c>
      <c r="H786" s="135">
        <v>44520</v>
      </c>
      <c r="I786" s="134">
        <v>0.22428999999999999</v>
      </c>
      <c r="J786" s="134"/>
      <c r="K786" s="134"/>
      <c r="L786" s="134"/>
      <c r="M786" s="134"/>
      <c r="N786" s="134"/>
      <c r="O786" s="134"/>
      <c r="P786" s="134"/>
      <c r="Q786" s="134"/>
      <c r="R786" s="134"/>
      <c r="S786" s="134"/>
      <c r="T786" s="135">
        <v>20662</v>
      </c>
      <c r="U786" s="134"/>
      <c r="V786" s="134" t="s">
        <v>1643</v>
      </c>
      <c r="W786" s="92" t="str">
        <f t="shared" si="70"/>
        <v>Montoro La Torre,Maria Isabel</v>
      </c>
      <c r="X786" s="95">
        <f t="shared" si="66"/>
        <v>11</v>
      </c>
      <c r="Y786" s="95">
        <f t="shared" si="67"/>
        <v>2021</v>
      </c>
      <c r="Z786" s="138" t="s">
        <v>265</v>
      </c>
      <c r="AA786" t="str">
        <f>IF(Tabla1[[#This Row],[Kerma en aire acumulada (Gy)]]&gt;1,SUMIF(G:G,Tabla1[[#This Row],[SIP]],I:I)-Tabla1[[#This Row],[Kerma en aire acumulada (Gy)]],"")</f>
        <v/>
      </c>
    </row>
    <row r="787" spans="2:27">
      <c r="C787" s="94" t="s">
        <v>1088</v>
      </c>
      <c r="D787" s="134" t="s">
        <v>1211</v>
      </c>
      <c r="E787" s="134" t="s">
        <v>1913</v>
      </c>
      <c r="F787" s="134" t="s">
        <v>1213</v>
      </c>
      <c r="G787" s="134">
        <v>2417866</v>
      </c>
      <c r="H787" s="135">
        <v>44521</v>
      </c>
      <c r="I787" s="134">
        <v>5.697E-2</v>
      </c>
      <c r="J787" s="134"/>
      <c r="K787" s="134"/>
      <c r="L787" s="134"/>
      <c r="M787" s="134"/>
      <c r="N787" s="134"/>
      <c r="O787" s="134"/>
      <c r="P787" s="134"/>
      <c r="Q787" s="134"/>
      <c r="R787" s="134"/>
      <c r="S787" s="134"/>
      <c r="T787" s="135">
        <v>20662</v>
      </c>
      <c r="U787" s="134"/>
      <c r="V787" s="134" t="s">
        <v>1631</v>
      </c>
      <c r="W787" s="92" t="str">
        <f t="shared" si="70"/>
        <v>Montoro La Torre,Maria Isabel</v>
      </c>
      <c r="X787" s="95">
        <f t="shared" si="66"/>
        <v>11</v>
      </c>
      <c r="Y787" s="95">
        <f t="shared" si="67"/>
        <v>2021</v>
      </c>
      <c r="Z787" s="103" t="s">
        <v>265</v>
      </c>
      <c r="AA787" t="str">
        <f>IF(Tabla1[[#This Row],[Kerma en aire acumulada (Gy)]]&gt;1,SUMIF(G:G,Tabla1[[#This Row],[SIP]],I:I)-Tabla1[[#This Row],[Kerma en aire acumulada (Gy)]],"")</f>
        <v/>
      </c>
    </row>
    <row r="788" spans="2:27">
      <c r="C788" s="94" t="s">
        <v>1088</v>
      </c>
      <c r="D788" s="134" t="s">
        <v>1911</v>
      </c>
      <c r="E788" s="134" t="s">
        <v>365</v>
      </c>
      <c r="F788" s="134" t="s">
        <v>83</v>
      </c>
      <c r="G788" s="134">
        <v>2405995</v>
      </c>
      <c r="H788" s="135">
        <v>44522</v>
      </c>
      <c r="I788" s="134">
        <v>5.8619999999999998E-2</v>
      </c>
      <c r="J788" s="134"/>
      <c r="K788" s="134"/>
      <c r="L788" s="134"/>
      <c r="M788" s="134"/>
      <c r="N788" s="134"/>
      <c r="O788" s="134"/>
      <c r="P788" s="134"/>
      <c r="Q788" s="134"/>
      <c r="R788" s="134"/>
      <c r="S788" s="134"/>
      <c r="T788" s="135">
        <v>14719</v>
      </c>
      <c r="U788" s="134"/>
      <c r="V788" s="134" t="s">
        <v>1912</v>
      </c>
      <c r="W788" s="92" t="str">
        <f t="shared" si="70"/>
        <v>Polit  Collado,Francisco</v>
      </c>
      <c r="X788" s="95">
        <f t="shared" si="66"/>
        <v>11</v>
      </c>
      <c r="Y788" s="95">
        <f t="shared" si="67"/>
        <v>2021</v>
      </c>
      <c r="Z788" s="103" t="s">
        <v>265</v>
      </c>
      <c r="AA788" t="str">
        <f>IF(Tabla1[[#This Row],[Kerma en aire acumulada (Gy)]]&gt;1,SUMIF(G:G,Tabla1[[#This Row],[SIP]],I:I)-Tabla1[[#This Row],[Kerma en aire acumulada (Gy)]],"")</f>
        <v/>
      </c>
    </row>
    <row r="789" spans="2:27">
      <c r="C789" s="94" t="s">
        <v>1088</v>
      </c>
      <c r="D789" s="134" t="s">
        <v>665</v>
      </c>
      <c r="E789" s="134" t="s">
        <v>1090</v>
      </c>
      <c r="F789" s="134" t="s">
        <v>83</v>
      </c>
      <c r="G789" s="134">
        <v>4334183</v>
      </c>
      <c r="H789" s="135">
        <v>44523</v>
      </c>
      <c r="I789" s="134">
        <v>0.34388999999999997</v>
      </c>
      <c r="J789" s="134"/>
      <c r="K789" s="134"/>
      <c r="L789" s="134"/>
      <c r="M789" s="134"/>
      <c r="N789" s="134"/>
      <c r="O789" s="134"/>
      <c r="P789" s="134"/>
      <c r="Q789" s="134"/>
      <c r="R789" s="134"/>
      <c r="S789" s="134"/>
      <c r="T789" s="135">
        <v>18321</v>
      </c>
      <c r="U789" s="134"/>
      <c r="V789" s="134" t="s">
        <v>89</v>
      </c>
      <c r="W789" s="92" t="str">
        <f t="shared" si="70"/>
        <v>Iranzo Ibañez,Francisco</v>
      </c>
      <c r="X789" s="95">
        <f t="shared" ref="X789:X852" si="72">MONTH(H789)</f>
        <v>11</v>
      </c>
      <c r="Y789" s="95">
        <f t="shared" ref="Y789:Y852" si="73">YEAR(H789)</f>
        <v>2021</v>
      </c>
      <c r="Z789" s="103" t="s">
        <v>265</v>
      </c>
      <c r="AA789" t="str">
        <f>IF(Tabla1[[#This Row],[Kerma en aire acumulada (Gy)]]&gt;1,SUMIF(G:G,Tabla1[[#This Row],[SIP]],I:I)-Tabla1[[#This Row],[Kerma en aire acumulada (Gy)]],"")</f>
        <v/>
      </c>
    </row>
    <row r="790" spans="2:27">
      <c r="C790" s="94" t="s">
        <v>1088</v>
      </c>
      <c r="D790" s="134" t="s">
        <v>1872</v>
      </c>
      <c r="E790" s="134" t="s">
        <v>966</v>
      </c>
      <c r="F790" s="134" t="s">
        <v>1873</v>
      </c>
      <c r="G790" s="134">
        <v>2972909</v>
      </c>
      <c r="H790" s="135">
        <v>44523</v>
      </c>
      <c r="I790" s="134">
        <v>1.1730000000000001E-2</v>
      </c>
      <c r="J790" s="134"/>
      <c r="K790" s="134"/>
      <c r="L790" s="134"/>
      <c r="M790" s="134"/>
      <c r="N790" s="134"/>
      <c r="O790" s="134"/>
      <c r="P790" s="134"/>
      <c r="Q790" s="134"/>
      <c r="R790" s="134"/>
      <c r="S790" s="134"/>
      <c r="T790" s="135">
        <v>25103</v>
      </c>
      <c r="U790" s="134"/>
      <c r="V790" s="134" t="s">
        <v>1594</v>
      </c>
      <c r="W790" s="92" t="str">
        <f t="shared" si="70"/>
        <v>Cervero Marco,Ana Isabel</v>
      </c>
      <c r="X790" s="95">
        <f t="shared" si="72"/>
        <v>11</v>
      </c>
      <c r="Y790" s="95">
        <f t="shared" si="73"/>
        <v>2021</v>
      </c>
      <c r="Z790" s="103" t="s">
        <v>265</v>
      </c>
      <c r="AA790" t="str">
        <f>IF(Tabla1[[#This Row],[Kerma en aire acumulada (Gy)]]&gt;1,SUMIF(G:G,Tabla1[[#This Row],[SIP]],I:I)-Tabla1[[#This Row],[Kerma en aire acumulada (Gy)]],"")</f>
        <v/>
      </c>
    </row>
    <row r="791" spans="2:27">
      <c r="C791" s="94" t="s">
        <v>1088</v>
      </c>
      <c r="D791" s="134" t="s">
        <v>116</v>
      </c>
      <c r="E791" s="134" t="s">
        <v>1874</v>
      </c>
      <c r="F791" s="134" t="s">
        <v>1875</v>
      </c>
      <c r="G791" s="134">
        <v>2359721</v>
      </c>
      <c r="H791" s="135">
        <v>44523</v>
      </c>
      <c r="I791" s="134">
        <v>0.19328999999999999</v>
      </c>
      <c r="J791" s="134"/>
      <c r="K791" s="134"/>
      <c r="L791" s="134"/>
      <c r="M791" s="134"/>
      <c r="N791" s="134"/>
      <c r="O791" s="134"/>
      <c r="P791" s="134"/>
      <c r="Q791" s="134"/>
      <c r="R791" s="134"/>
      <c r="S791" s="134"/>
      <c r="T791" s="135">
        <v>24287</v>
      </c>
      <c r="U791" s="134"/>
      <c r="V791" s="134" t="s">
        <v>819</v>
      </c>
      <c r="W791" s="92" t="str">
        <f t="shared" si="70"/>
        <v>Serrano Monzonis,Gema</v>
      </c>
      <c r="X791" s="95">
        <f t="shared" si="72"/>
        <v>11</v>
      </c>
      <c r="Y791" s="95">
        <f t="shared" si="73"/>
        <v>2021</v>
      </c>
      <c r="Z791" s="103" t="s">
        <v>265</v>
      </c>
      <c r="AA791" t="str">
        <f>IF(Tabla1[[#This Row],[Kerma en aire acumulada (Gy)]]&gt;1,SUMIF(G:G,Tabla1[[#This Row],[SIP]],I:I)-Tabla1[[#This Row],[Kerma en aire acumulada (Gy)]],"")</f>
        <v/>
      </c>
    </row>
    <row r="792" spans="2:27">
      <c r="C792" s="94" t="s">
        <v>1088</v>
      </c>
      <c r="D792" s="134" t="s">
        <v>1906</v>
      </c>
      <c r="E792" s="134" t="s">
        <v>954</v>
      </c>
      <c r="F792" s="134" t="s">
        <v>1907</v>
      </c>
      <c r="G792" s="134">
        <v>3269247</v>
      </c>
      <c r="H792" s="135">
        <v>44523</v>
      </c>
      <c r="I792" s="134">
        <v>7.6869999999999994E-2</v>
      </c>
      <c r="J792" s="134"/>
      <c r="K792" s="134"/>
      <c r="L792" s="134"/>
      <c r="M792" s="134"/>
      <c r="N792" s="134"/>
      <c r="O792" s="134"/>
      <c r="P792" s="134"/>
      <c r="Q792" s="134"/>
      <c r="R792" s="134"/>
      <c r="S792" s="134"/>
      <c r="T792" s="135">
        <v>28280</v>
      </c>
      <c r="U792" s="134"/>
      <c r="V792" s="134" t="s">
        <v>1214</v>
      </c>
      <c r="W792" s="92" t="str">
        <f t="shared" si="70"/>
        <v>Copado Carbonell,Ivan</v>
      </c>
      <c r="X792" s="95">
        <f t="shared" si="72"/>
        <v>11</v>
      </c>
      <c r="Y792" s="95">
        <f t="shared" si="73"/>
        <v>2021</v>
      </c>
      <c r="Z792" s="103" t="s">
        <v>265</v>
      </c>
      <c r="AA792" t="str">
        <f>IF(Tabla1[[#This Row],[Kerma en aire acumulada (Gy)]]&gt;1,SUMIF(G:G,Tabla1[[#This Row],[SIP]],I:I)-Tabla1[[#This Row],[Kerma en aire acumulada (Gy)]],"")</f>
        <v/>
      </c>
    </row>
    <row r="793" spans="2:27">
      <c r="C793" s="94" t="s">
        <v>1088</v>
      </c>
      <c r="D793" s="134" t="s">
        <v>1908</v>
      </c>
      <c r="E793" s="134" t="s">
        <v>1909</v>
      </c>
      <c r="F793" s="134" t="s">
        <v>1910</v>
      </c>
      <c r="G793" s="134">
        <v>5472914</v>
      </c>
      <c r="H793" s="135">
        <v>44523</v>
      </c>
      <c r="I793" s="134">
        <v>1.2630699999999999</v>
      </c>
      <c r="J793" s="134"/>
      <c r="K793" s="134"/>
      <c r="L793" s="134"/>
      <c r="M793" s="134"/>
      <c r="N793" s="134"/>
      <c r="O793" s="134"/>
      <c r="P793" s="134"/>
      <c r="Q793" s="134"/>
      <c r="R793" s="134"/>
      <c r="S793" s="134"/>
      <c r="T793" s="135">
        <v>19494</v>
      </c>
      <c r="U793" s="134"/>
      <c r="V793" s="134" t="s">
        <v>175</v>
      </c>
      <c r="W793" s="92" t="str">
        <f t="shared" si="70"/>
        <v>Merino Jiron,Segundo Nicanor</v>
      </c>
      <c r="X793" s="95">
        <f t="shared" si="72"/>
        <v>11</v>
      </c>
      <c r="Y793" s="95">
        <f t="shared" si="73"/>
        <v>2021</v>
      </c>
      <c r="Z793" s="103" t="s">
        <v>265</v>
      </c>
      <c r="AA793">
        <f>IF(Tabla1[[#This Row],[Kerma en aire acumulada (Gy)]]&gt;1,SUMIF(G:G,Tabla1[[#This Row],[SIP]],I:I)-Tabla1[[#This Row],[Kerma en aire acumulada (Gy)]],"")</f>
        <v>0.49443999999999999</v>
      </c>
    </row>
    <row r="794" spans="2:27">
      <c r="C794" s="94" t="s">
        <v>1088</v>
      </c>
      <c r="D794" s="134" t="s">
        <v>66</v>
      </c>
      <c r="E794" s="134" t="s">
        <v>964</v>
      </c>
      <c r="F794" s="134" t="s">
        <v>965</v>
      </c>
      <c r="G794" s="134">
        <v>1857041</v>
      </c>
      <c r="H794" s="135">
        <v>44524</v>
      </c>
      <c r="I794" s="134">
        <v>0.66081000000000001</v>
      </c>
      <c r="J794" s="134"/>
      <c r="K794" s="134"/>
      <c r="L794" s="134"/>
      <c r="M794" s="134"/>
      <c r="N794" s="134"/>
      <c r="O794" s="134"/>
      <c r="P794" s="134"/>
      <c r="Q794" s="134"/>
      <c r="R794" s="134"/>
      <c r="S794" s="134"/>
      <c r="T794" s="135">
        <v>15370</v>
      </c>
      <c r="U794" s="134"/>
      <c r="V794" s="134" t="s">
        <v>1871</v>
      </c>
      <c r="W794" s="92" t="str">
        <f t="shared" si="70"/>
        <v>Navarro San Bautista,Juan Bautista</v>
      </c>
      <c r="X794" s="95">
        <f t="shared" si="72"/>
        <v>11</v>
      </c>
      <c r="Y794" s="95">
        <f t="shared" si="73"/>
        <v>2021</v>
      </c>
      <c r="Z794" s="103" t="s">
        <v>265</v>
      </c>
      <c r="AA794" t="str">
        <f>IF(Tabla1[[#This Row],[Kerma en aire acumulada (Gy)]]&gt;1,SUMIF(G:G,Tabla1[[#This Row],[SIP]],I:I)-Tabla1[[#This Row],[Kerma en aire acumulada (Gy)]],"")</f>
        <v/>
      </c>
    </row>
    <row r="795" spans="2:27">
      <c r="C795" s="94" t="s">
        <v>1088</v>
      </c>
      <c r="D795" s="134" t="s">
        <v>1863</v>
      </c>
      <c r="E795" s="134" t="s">
        <v>772</v>
      </c>
      <c r="F795" s="134" t="s">
        <v>68</v>
      </c>
      <c r="G795" s="134">
        <v>1858932</v>
      </c>
      <c r="H795" s="135">
        <v>44524</v>
      </c>
      <c r="I795" s="134">
        <v>0.16492000000000001</v>
      </c>
      <c r="J795" s="134"/>
      <c r="K795" s="134"/>
      <c r="L795" s="134"/>
      <c r="M795" s="134"/>
      <c r="N795" s="134"/>
      <c r="O795" s="134"/>
      <c r="P795" s="134"/>
      <c r="Q795" s="134"/>
      <c r="R795" s="134"/>
      <c r="S795" s="134"/>
      <c r="T795" s="135">
        <v>24460</v>
      </c>
      <c r="U795" s="134"/>
      <c r="V795" s="134" t="s">
        <v>1233</v>
      </c>
      <c r="W795" s="92" t="str">
        <f t="shared" si="70"/>
        <v>Uri Sanchez,Juan</v>
      </c>
      <c r="X795" s="95">
        <f t="shared" si="72"/>
        <v>11</v>
      </c>
      <c r="Y795" s="95">
        <f t="shared" si="73"/>
        <v>2021</v>
      </c>
      <c r="Z795" s="103" t="s">
        <v>265</v>
      </c>
      <c r="AA795" t="str">
        <f>IF(Tabla1[[#This Row],[Kerma en aire acumulada (Gy)]]&gt;1,SUMIF(G:G,Tabla1[[#This Row],[SIP]],I:I)-Tabla1[[#This Row],[Kerma en aire acumulada (Gy)]],"")</f>
        <v/>
      </c>
    </row>
    <row r="796" spans="2:27">
      <c r="C796" s="94" t="s">
        <v>1088</v>
      </c>
      <c r="D796" s="134" t="s">
        <v>1896</v>
      </c>
      <c r="E796" s="134" t="s">
        <v>1897</v>
      </c>
      <c r="F796" s="134" t="s">
        <v>1898</v>
      </c>
      <c r="G796" s="134">
        <v>658967</v>
      </c>
      <c r="H796" s="135">
        <v>44524</v>
      </c>
      <c r="I796" s="134">
        <v>3.8179999999999999E-2</v>
      </c>
      <c r="J796" s="134"/>
      <c r="K796" s="134"/>
      <c r="L796" s="134"/>
      <c r="M796" s="134"/>
      <c r="N796" s="134"/>
      <c r="O796" s="134"/>
      <c r="P796" s="134"/>
      <c r="Q796" s="134"/>
      <c r="R796" s="134"/>
      <c r="S796" s="134"/>
      <c r="T796" s="140" t="s">
        <v>1899</v>
      </c>
      <c r="U796" s="134"/>
      <c r="V796" s="134" t="s">
        <v>502</v>
      </c>
      <c r="W796" s="92" t="str">
        <f t="shared" si="70"/>
        <v>Corrales Brunet,Fernando Jaime</v>
      </c>
      <c r="X796" s="95">
        <f t="shared" si="72"/>
        <v>11</v>
      </c>
      <c r="Y796" s="95">
        <f t="shared" si="73"/>
        <v>2021</v>
      </c>
      <c r="Z796" s="103" t="s">
        <v>265</v>
      </c>
      <c r="AA796" t="str">
        <f>IF(Tabla1[[#This Row],[Kerma en aire acumulada (Gy)]]&gt;1,SUMIF(G:G,Tabla1[[#This Row],[SIP]],I:I)-Tabla1[[#This Row],[Kerma en aire acumulada (Gy)]],"")</f>
        <v/>
      </c>
    </row>
    <row r="797" spans="2:27">
      <c r="C797" s="94" t="s">
        <v>1088</v>
      </c>
      <c r="D797" s="134" t="s">
        <v>1900</v>
      </c>
      <c r="E797" s="134" t="s">
        <v>22</v>
      </c>
      <c r="F797" s="134" t="s">
        <v>548</v>
      </c>
      <c r="G797" s="134">
        <v>2146154</v>
      </c>
      <c r="H797" s="135">
        <v>44524</v>
      </c>
      <c r="I797" s="134">
        <v>1.4E-2</v>
      </c>
      <c r="J797" s="134"/>
      <c r="K797" s="134"/>
      <c r="L797" s="134"/>
      <c r="M797" s="134"/>
      <c r="N797" s="134"/>
      <c r="O797" s="134"/>
      <c r="P797" s="134"/>
      <c r="Q797" s="134"/>
      <c r="R797" s="134"/>
      <c r="S797" s="134"/>
      <c r="T797" s="135">
        <v>16993</v>
      </c>
      <c r="U797" s="134"/>
      <c r="V797" s="134" t="s">
        <v>1653</v>
      </c>
      <c r="W797" s="92" t="str">
        <f t="shared" si="70"/>
        <v>Ricazo Ruiz,Benito</v>
      </c>
      <c r="X797" s="95">
        <f t="shared" si="72"/>
        <v>11</v>
      </c>
      <c r="Y797" s="95">
        <f t="shared" si="73"/>
        <v>2021</v>
      </c>
      <c r="Z797" s="103" t="s">
        <v>265</v>
      </c>
      <c r="AA797" t="str">
        <f>IF(Tabla1[[#This Row],[Kerma en aire acumulada (Gy)]]&gt;1,SUMIF(G:G,Tabla1[[#This Row],[SIP]],I:I)-Tabla1[[#This Row],[Kerma en aire acumulada (Gy)]],"")</f>
        <v/>
      </c>
    </row>
    <row r="798" spans="2:27">
      <c r="C798" s="94" t="s">
        <v>1088</v>
      </c>
      <c r="D798" s="134" t="s">
        <v>1901</v>
      </c>
      <c r="E798" s="134" t="s">
        <v>1902</v>
      </c>
      <c r="F798" s="134" t="s">
        <v>781</v>
      </c>
      <c r="G798" s="134">
        <v>3249063</v>
      </c>
      <c r="H798" s="135">
        <v>44524</v>
      </c>
      <c r="I798" s="134">
        <v>5.1569999999999998E-2</v>
      </c>
      <c r="J798" s="134"/>
      <c r="K798" s="134"/>
      <c r="L798" s="134"/>
      <c r="M798" s="134"/>
      <c r="N798" s="134"/>
      <c r="O798" s="134"/>
      <c r="P798" s="134"/>
      <c r="Q798" s="134"/>
      <c r="R798" s="134"/>
      <c r="S798" s="134"/>
      <c r="T798" s="135">
        <v>23330</v>
      </c>
      <c r="U798" s="134"/>
      <c r="V798" s="134" t="s">
        <v>586</v>
      </c>
      <c r="W798" s="92" t="str">
        <f t="shared" si="70"/>
        <v>Lezana Roldan,Armando</v>
      </c>
      <c r="X798" s="95">
        <f t="shared" si="72"/>
        <v>11</v>
      </c>
      <c r="Y798" s="95">
        <f t="shared" si="73"/>
        <v>2021</v>
      </c>
      <c r="Z798" s="103" t="s">
        <v>265</v>
      </c>
      <c r="AA798" t="str">
        <f>IF(Tabla1[[#This Row],[Kerma en aire acumulada (Gy)]]&gt;1,SUMIF(G:G,Tabla1[[#This Row],[SIP]],I:I)-Tabla1[[#This Row],[Kerma en aire acumulada (Gy)]],"")</f>
        <v/>
      </c>
    </row>
    <row r="799" spans="2:27">
      <c r="C799" s="94" t="s">
        <v>1088</v>
      </c>
      <c r="D799" s="134" t="s">
        <v>1903</v>
      </c>
      <c r="E799" s="134" t="s">
        <v>1904</v>
      </c>
      <c r="F799" s="134" t="s">
        <v>1905</v>
      </c>
      <c r="G799" s="134">
        <v>2417020</v>
      </c>
      <c r="H799" s="135">
        <v>44524</v>
      </c>
      <c r="I799" s="134">
        <v>0.77819000000000005</v>
      </c>
      <c r="J799" s="134"/>
      <c r="K799" s="134"/>
      <c r="L799" s="134"/>
      <c r="M799" s="134"/>
      <c r="N799" s="134"/>
      <c r="O799" s="134"/>
      <c r="P799" s="134"/>
      <c r="Q799" s="134"/>
      <c r="R799" s="134"/>
      <c r="S799" s="134"/>
      <c r="T799" s="135">
        <v>18581</v>
      </c>
      <c r="U799" s="134"/>
      <c r="V799" s="134" t="s">
        <v>550</v>
      </c>
      <c r="W799" s="92" t="str">
        <f t="shared" si="70"/>
        <v>Herrera Nuñez,Vicente Luis</v>
      </c>
      <c r="X799" s="95">
        <f t="shared" si="72"/>
        <v>11</v>
      </c>
      <c r="Y799" s="95">
        <f t="shared" si="73"/>
        <v>2021</v>
      </c>
      <c r="Z799" s="103" t="s">
        <v>265</v>
      </c>
      <c r="AA799" t="str">
        <f>IF(Tabla1[[#This Row],[Kerma en aire acumulada (Gy)]]&gt;1,SUMIF(G:G,Tabla1[[#This Row],[SIP]],I:I)-Tabla1[[#This Row],[Kerma en aire acumulada (Gy)]],"")</f>
        <v/>
      </c>
    </row>
    <row r="800" spans="2:27">
      <c r="B800" s="43"/>
      <c r="C800" s="94" t="s">
        <v>1088</v>
      </c>
      <c r="D800" s="134" t="s">
        <v>1865</v>
      </c>
      <c r="E800" s="134" t="s">
        <v>1866</v>
      </c>
      <c r="F800" s="134" t="s">
        <v>1867</v>
      </c>
      <c r="G800" s="134">
        <v>3283744</v>
      </c>
      <c r="H800" s="135">
        <v>44525</v>
      </c>
      <c r="I800" s="134">
        <v>1.7649999999999999E-2</v>
      </c>
      <c r="J800" s="134"/>
      <c r="K800" s="134"/>
      <c r="L800" s="134"/>
      <c r="M800" s="134"/>
      <c r="N800" s="134"/>
      <c r="O800" s="134"/>
      <c r="P800" s="134"/>
      <c r="Q800" s="134"/>
      <c r="R800" s="134"/>
      <c r="S800" s="134"/>
      <c r="T800" s="135">
        <v>14656</v>
      </c>
      <c r="U800" s="134"/>
      <c r="V800" s="134" t="s">
        <v>1868</v>
      </c>
      <c r="W800" s="92" t="str">
        <f t="shared" si="70"/>
        <v>Tuduri Taviel De Andrade,Ana M</v>
      </c>
      <c r="X800" s="95">
        <f t="shared" si="72"/>
        <v>11</v>
      </c>
      <c r="Y800" s="95">
        <f t="shared" si="73"/>
        <v>2021</v>
      </c>
      <c r="Z800" s="103" t="s">
        <v>265</v>
      </c>
      <c r="AA800" t="str">
        <f>IF(Tabla1[[#This Row],[Kerma en aire acumulada (Gy)]]&gt;1,SUMIF(G:G,Tabla1[[#This Row],[SIP]],I:I)-Tabla1[[#This Row],[Kerma en aire acumulada (Gy)]],"")</f>
        <v/>
      </c>
    </row>
    <row r="801" spans="2:28">
      <c r="B801" s="43"/>
      <c r="C801" s="94" t="s">
        <v>1088</v>
      </c>
      <c r="D801" s="134" t="s">
        <v>1869</v>
      </c>
      <c r="E801" s="134" t="s">
        <v>1870</v>
      </c>
      <c r="F801" s="134" t="s">
        <v>562</v>
      </c>
      <c r="G801" s="134">
        <v>1827081</v>
      </c>
      <c r="H801" s="135">
        <v>44525</v>
      </c>
      <c r="I801" s="134">
        <v>5.3339999999999999E-2</v>
      </c>
      <c r="J801" s="134"/>
      <c r="K801" s="134"/>
      <c r="L801" s="134"/>
      <c r="M801" s="134"/>
      <c r="N801" s="134"/>
      <c r="O801" s="134"/>
      <c r="P801" s="134"/>
      <c r="Q801" s="134"/>
      <c r="R801" s="134"/>
      <c r="S801" s="134"/>
      <c r="T801" s="135">
        <v>14667</v>
      </c>
      <c r="U801" s="134"/>
      <c r="V801" s="134" t="s">
        <v>1858</v>
      </c>
      <c r="W801" s="92" t="str">
        <f t="shared" si="70"/>
        <v>Cheza Bort,Rosa</v>
      </c>
      <c r="X801" s="95">
        <f t="shared" si="72"/>
        <v>11</v>
      </c>
      <c r="Y801" s="95">
        <f t="shared" si="73"/>
        <v>2021</v>
      </c>
      <c r="Z801" s="103" t="s">
        <v>265</v>
      </c>
      <c r="AA801" t="str">
        <f>IF(Tabla1[[#This Row],[Kerma en aire acumulada (Gy)]]&gt;1,SUMIF(G:G,Tabla1[[#This Row],[SIP]],I:I)-Tabla1[[#This Row],[Kerma en aire acumulada (Gy)]],"")</f>
        <v/>
      </c>
    </row>
    <row r="802" spans="2:28">
      <c r="B802" s="43"/>
      <c r="C802" s="94" t="s">
        <v>1088</v>
      </c>
      <c r="D802" s="134" t="s">
        <v>68</v>
      </c>
      <c r="E802" s="134" t="s">
        <v>1891</v>
      </c>
      <c r="F802" s="134" t="s">
        <v>106</v>
      </c>
      <c r="G802" s="134">
        <v>3148976</v>
      </c>
      <c r="H802" s="135">
        <v>44525</v>
      </c>
      <c r="I802" s="134">
        <v>4.5600000000000002E-2</v>
      </c>
      <c r="J802" s="134"/>
      <c r="K802" s="134"/>
      <c r="L802" s="134"/>
      <c r="M802" s="134"/>
      <c r="N802" s="134"/>
      <c r="O802" s="134"/>
      <c r="P802" s="134"/>
      <c r="Q802" s="134"/>
      <c r="R802" s="134"/>
      <c r="S802" s="134"/>
      <c r="T802" s="135">
        <v>12148</v>
      </c>
      <c r="U802" s="134"/>
      <c r="V802" s="134" t="s">
        <v>1061</v>
      </c>
      <c r="W802" s="92" t="str">
        <f t="shared" si="70"/>
        <v>Juan Segura,Carmen</v>
      </c>
      <c r="X802" s="95">
        <f t="shared" si="72"/>
        <v>11</v>
      </c>
      <c r="Y802" s="95">
        <f t="shared" si="73"/>
        <v>2021</v>
      </c>
      <c r="Z802" s="103" t="s">
        <v>265</v>
      </c>
      <c r="AA802" t="str">
        <f>IF(Tabla1[[#This Row],[Kerma en aire acumulada (Gy)]]&gt;1,SUMIF(G:G,Tabla1[[#This Row],[SIP]],I:I)-Tabla1[[#This Row],[Kerma en aire acumulada (Gy)]],"")</f>
        <v/>
      </c>
    </row>
    <row r="803" spans="2:28">
      <c r="B803" s="43"/>
      <c r="C803" s="94" t="s">
        <v>1088</v>
      </c>
      <c r="D803" s="134" t="s">
        <v>1892</v>
      </c>
      <c r="E803" s="134" t="s">
        <v>78</v>
      </c>
      <c r="F803" s="134" t="s">
        <v>1893</v>
      </c>
      <c r="G803" s="134">
        <v>3278300</v>
      </c>
      <c r="H803" s="135">
        <v>44525</v>
      </c>
      <c r="I803" s="134">
        <v>4.1999999999999997E-3</v>
      </c>
      <c r="J803" s="134"/>
      <c r="K803" s="134"/>
      <c r="L803" s="134"/>
      <c r="M803" s="134"/>
      <c r="N803" s="134"/>
      <c r="O803" s="134"/>
      <c r="P803" s="134"/>
      <c r="Q803" s="134"/>
      <c r="R803" s="134"/>
      <c r="S803" s="134"/>
      <c r="T803" s="135">
        <v>19002</v>
      </c>
      <c r="U803" s="134"/>
      <c r="V803" s="134" t="s">
        <v>1274</v>
      </c>
      <c r="W803" s="92" t="str">
        <f t="shared" ref="W803:W866" si="74">CONCATENATE(D803,$A$591,E803,",",F803)</f>
        <v>Higon Ballester,Fernando Victor</v>
      </c>
      <c r="X803" s="95">
        <f t="shared" si="72"/>
        <v>11</v>
      </c>
      <c r="Y803" s="95">
        <f t="shared" si="73"/>
        <v>2021</v>
      </c>
      <c r="Z803" s="103" t="s">
        <v>265</v>
      </c>
      <c r="AA803" t="str">
        <f>IF(Tabla1[[#This Row],[Kerma en aire acumulada (Gy)]]&gt;1,SUMIF(G:G,Tabla1[[#This Row],[SIP]],I:I)-Tabla1[[#This Row],[Kerma en aire acumulada (Gy)]],"")</f>
        <v/>
      </c>
    </row>
    <row r="804" spans="2:28">
      <c r="B804" s="32"/>
      <c r="C804" s="94" t="s">
        <v>1088</v>
      </c>
      <c r="D804" s="134" t="s">
        <v>1857</v>
      </c>
      <c r="E804" s="134" t="s">
        <v>1001</v>
      </c>
      <c r="F804" s="134" t="s">
        <v>1894</v>
      </c>
      <c r="G804" s="134">
        <v>1834653</v>
      </c>
      <c r="H804" s="135">
        <v>44525</v>
      </c>
      <c r="I804" s="134">
        <v>0.28466999999999998</v>
      </c>
      <c r="J804" s="134"/>
      <c r="K804" s="134"/>
      <c r="L804" s="134"/>
      <c r="M804" s="134"/>
      <c r="N804" s="134"/>
      <c r="O804" s="134"/>
      <c r="P804" s="134"/>
      <c r="Q804" s="134"/>
      <c r="R804" s="134"/>
      <c r="S804" s="134"/>
      <c r="T804" s="135">
        <v>20031</v>
      </c>
      <c r="U804" s="134"/>
      <c r="V804" s="134" t="s">
        <v>1895</v>
      </c>
      <c r="W804" s="92" t="str">
        <f t="shared" si="74"/>
        <v>Camacho Perez,Esperanza</v>
      </c>
      <c r="X804" s="95">
        <f t="shared" si="72"/>
        <v>11</v>
      </c>
      <c r="Y804" s="95">
        <f t="shared" si="73"/>
        <v>2021</v>
      </c>
      <c r="Z804" s="103" t="s">
        <v>265</v>
      </c>
      <c r="AA804" t="str">
        <f>IF(Tabla1[[#This Row],[Kerma en aire acumulada (Gy)]]&gt;1,SUMIF(G:G,Tabla1[[#This Row],[SIP]],I:I)-Tabla1[[#This Row],[Kerma en aire acumulada (Gy)]],"")</f>
        <v/>
      </c>
    </row>
    <row r="805" spans="2:28">
      <c r="C805" s="94" t="s">
        <v>1088</v>
      </c>
      <c r="D805" s="134" t="s">
        <v>948</v>
      </c>
      <c r="E805" s="134" t="s">
        <v>1001</v>
      </c>
      <c r="F805" s="134" t="s">
        <v>1656</v>
      </c>
      <c r="G805" s="134">
        <v>2686128</v>
      </c>
      <c r="H805" s="135">
        <v>44525</v>
      </c>
      <c r="I805" s="134">
        <v>0.16159999999999999</v>
      </c>
      <c r="J805" s="134"/>
      <c r="K805" s="134"/>
      <c r="L805" s="134"/>
      <c r="M805" s="134"/>
      <c r="N805" s="134"/>
      <c r="O805" s="134"/>
      <c r="P805" s="134"/>
      <c r="Q805" s="134"/>
      <c r="R805" s="134"/>
      <c r="S805" s="134"/>
      <c r="T805" s="135">
        <v>30398</v>
      </c>
      <c r="U805" s="134"/>
      <c r="V805" s="134" t="s">
        <v>1734</v>
      </c>
      <c r="W805" s="92" t="str">
        <f t="shared" si="74"/>
        <v>Martinez Perez,Saray</v>
      </c>
      <c r="X805" s="95">
        <f t="shared" si="72"/>
        <v>11</v>
      </c>
      <c r="Y805" s="95">
        <f t="shared" si="73"/>
        <v>2021</v>
      </c>
      <c r="Z805" s="103" t="s">
        <v>265</v>
      </c>
      <c r="AA805" t="str">
        <f>IF(Tabla1[[#This Row],[Kerma en aire acumulada (Gy)]]&gt;1,SUMIF(G:G,Tabla1[[#This Row],[SIP]],I:I)-Tabla1[[#This Row],[Kerma en aire acumulada (Gy)]],"")</f>
        <v/>
      </c>
      <c r="AB805" t="s">
        <v>603</v>
      </c>
    </row>
    <row r="806" spans="2:28">
      <c r="B806" s="43"/>
      <c r="C806" s="94" t="s">
        <v>1088</v>
      </c>
      <c r="D806" s="134" t="s">
        <v>1209</v>
      </c>
      <c r="E806" s="134" t="s">
        <v>1930</v>
      </c>
      <c r="F806" s="134" t="s">
        <v>88</v>
      </c>
      <c r="G806" s="134">
        <v>3707082</v>
      </c>
      <c r="H806" s="135">
        <v>44526</v>
      </c>
      <c r="I806" s="134">
        <v>1.2784500000000001</v>
      </c>
      <c r="J806" s="134"/>
      <c r="K806" s="134"/>
      <c r="L806" s="134"/>
      <c r="M806" s="134"/>
      <c r="N806" s="134"/>
      <c r="O806" s="134"/>
      <c r="P806" s="134"/>
      <c r="Q806" s="134"/>
      <c r="R806" s="134"/>
      <c r="S806" s="134"/>
      <c r="T806" s="135">
        <v>16002</v>
      </c>
      <c r="U806" s="134"/>
      <c r="V806" s="134" t="s">
        <v>1293</v>
      </c>
      <c r="W806" s="92" t="str">
        <f t="shared" si="74"/>
        <v>Sanz Medina,Vicente</v>
      </c>
      <c r="X806" s="95">
        <f t="shared" si="72"/>
        <v>11</v>
      </c>
      <c r="Y806" s="95">
        <f t="shared" si="73"/>
        <v>2021</v>
      </c>
      <c r="Z806" s="103" t="s">
        <v>265</v>
      </c>
      <c r="AA806">
        <f>IF(Tabla1[[#This Row],[Kerma en aire acumulada (Gy)]]&gt;1,SUMIF(G:G,Tabla1[[#This Row],[SIP]],I:I)-Tabla1[[#This Row],[Kerma en aire acumulada (Gy)]],"")</f>
        <v>0</v>
      </c>
      <c r="AB806" t="s">
        <v>603</v>
      </c>
    </row>
    <row r="807" spans="2:28">
      <c r="B807" s="43"/>
      <c r="C807" s="94" t="s">
        <v>1088</v>
      </c>
      <c r="D807" s="134" t="s">
        <v>1940</v>
      </c>
      <c r="E807" s="134" t="s">
        <v>948</v>
      </c>
      <c r="F807" s="134" t="s">
        <v>798</v>
      </c>
      <c r="G807" s="134">
        <v>1206353</v>
      </c>
      <c r="H807" s="135">
        <v>44526</v>
      </c>
      <c r="I807" s="134">
        <v>3.15E-3</v>
      </c>
      <c r="J807" s="134"/>
      <c r="K807" s="134"/>
      <c r="L807" s="134"/>
      <c r="M807" s="134"/>
      <c r="N807" s="134"/>
      <c r="O807" s="134"/>
      <c r="P807" s="134"/>
      <c r="Q807" s="134"/>
      <c r="R807" s="134"/>
      <c r="S807" s="134"/>
      <c r="T807" s="135">
        <v>16418</v>
      </c>
      <c r="U807" s="134"/>
      <c r="V807" s="134" t="s">
        <v>1653</v>
      </c>
      <c r="W807" s="92" t="str">
        <f t="shared" si="74"/>
        <v>Marin Martinez,Ana</v>
      </c>
      <c r="X807" s="95">
        <f t="shared" si="72"/>
        <v>11</v>
      </c>
      <c r="Y807" s="95">
        <f t="shared" si="73"/>
        <v>2021</v>
      </c>
      <c r="Z807" s="103" t="s">
        <v>265</v>
      </c>
      <c r="AA807" t="str">
        <f>IF(Tabla1[[#This Row],[Kerma en aire acumulada (Gy)]]&gt;1,SUMIF(G:G,Tabla1[[#This Row],[SIP]],I:I)-Tabla1[[#This Row],[Kerma en aire acumulada (Gy)]],"")</f>
        <v/>
      </c>
    </row>
    <row r="808" spans="2:28">
      <c r="B808" s="43"/>
      <c r="C808" s="94" t="s">
        <v>1088</v>
      </c>
      <c r="D808" s="134" t="s">
        <v>43</v>
      </c>
      <c r="E808" s="134" t="s">
        <v>1844</v>
      </c>
      <c r="F808" s="134" t="s">
        <v>1941</v>
      </c>
      <c r="G808" s="134">
        <v>2321633</v>
      </c>
      <c r="H808" s="135">
        <v>44526</v>
      </c>
      <c r="I808" s="134">
        <v>8.8239999999999999E-2</v>
      </c>
      <c r="J808" s="134"/>
      <c r="K808" s="134"/>
      <c r="L808" s="134"/>
      <c r="M808" s="134"/>
      <c r="N808" s="134"/>
      <c r="O808" s="134"/>
      <c r="P808" s="134"/>
      <c r="Q808" s="134"/>
      <c r="R808" s="134"/>
      <c r="S808" s="134"/>
      <c r="T808" s="135">
        <v>32740</v>
      </c>
      <c r="U808" s="134"/>
      <c r="V808" s="134" t="s">
        <v>509</v>
      </c>
      <c r="W808" s="92" t="str">
        <f t="shared" si="74"/>
        <v>Cuenca Miralles,Tamara</v>
      </c>
      <c r="X808" s="95">
        <f t="shared" si="72"/>
        <v>11</v>
      </c>
      <c r="Y808" s="95">
        <f t="shared" si="73"/>
        <v>2021</v>
      </c>
      <c r="Z808" s="103" t="s">
        <v>265</v>
      </c>
      <c r="AA808" t="str">
        <f>IF(Tabla1[[#This Row],[Kerma en aire acumulada (Gy)]]&gt;1,SUMIF(G:G,Tabla1[[#This Row],[SIP]],I:I)-Tabla1[[#This Row],[Kerma en aire acumulada (Gy)]],"")</f>
        <v/>
      </c>
    </row>
    <row r="809" spans="2:28">
      <c r="B809" s="32"/>
      <c r="C809" s="94" t="s">
        <v>1088</v>
      </c>
      <c r="D809" s="134" t="s">
        <v>1942</v>
      </c>
      <c r="E809" s="134" t="s">
        <v>1294</v>
      </c>
      <c r="F809" s="134" t="s">
        <v>818</v>
      </c>
      <c r="G809" s="134">
        <v>6711570</v>
      </c>
      <c r="H809" s="135">
        <v>44526</v>
      </c>
      <c r="I809" s="134">
        <v>7.8259999999999996E-2</v>
      </c>
      <c r="J809" s="134"/>
      <c r="K809" s="134"/>
      <c r="L809" s="134"/>
      <c r="M809" s="134"/>
      <c r="N809" s="134"/>
      <c r="O809" s="134"/>
      <c r="P809" s="134"/>
      <c r="Q809" s="134"/>
      <c r="R809" s="134"/>
      <c r="S809" s="134"/>
      <c r="T809" s="135">
        <v>26948</v>
      </c>
      <c r="U809" s="134"/>
      <c r="V809" s="134" t="s">
        <v>1943</v>
      </c>
      <c r="W809" s="92" t="str">
        <f t="shared" si="74"/>
        <v>Mendez Roca,Luisa</v>
      </c>
      <c r="X809" s="95">
        <f t="shared" si="72"/>
        <v>11</v>
      </c>
      <c r="Y809" s="95">
        <f t="shared" si="73"/>
        <v>2021</v>
      </c>
      <c r="Z809" s="103" t="s">
        <v>265</v>
      </c>
      <c r="AA809" t="str">
        <f>IF(Tabla1[[#This Row],[Kerma en aire acumulada (Gy)]]&gt;1,SUMIF(G:G,Tabla1[[#This Row],[SIP]],I:I)-Tabla1[[#This Row],[Kerma en aire acumulada (Gy)]],"")</f>
        <v/>
      </c>
    </row>
    <row r="810" spans="2:28">
      <c r="B810" s="43"/>
      <c r="C810" s="94" t="s">
        <v>1088</v>
      </c>
      <c r="D810" s="134" t="s">
        <v>1040</v>
      </c>
      <c r="E810" s="134" t="s">
        <v>169</v>
      </c>
      <c r="F810" s="134" t="s">
        <v>7</v>
      </c>
      <c r="G810" s="134">
        <v>2852635</v>
      </c>
      <c r="H810" s="135">
        <v>44529</v>
      </c>
      <c r="I810" s="139" t="s">
        <v>1188</v>
      </c>
      <c r="J810" s="134"/>
      <c r="K810" s="134"/>
      <c r="L810" s="134"/>
      <c r="M810" s="134"/>
      <c r="N810" s="134"/>
      <c r="O810" s="134"/>
      <c r="P810" s="134"/>
      <c r="Q810" s="134"/>
      <c r="R810" s="134"/>
      <c r="S810" s="134"/>
      <c r="T810" s="135">
        <v>13753</v>
      </c>
      <c r="U810" s="134"/>
      <c r="V810" s="134" t="s">
        <v>1929</v>
      </c>
      <c r="W810" s="92" t="str">
        <f t="shared" si="74"/>
        <v>Cuevas Valero,Francisca</v>
      </c>
      <c r="X810" s="95">
        <f t="shared" si="72"/>
        <v>11</v>
      </c>
      <c r="Y810" s="95">
        <f t="shared" si="73"/>
        <v>2021</v>
      </c>
      <c r="Z810" s="103" t="s">
        <v>265</v>
      </c>
      <c r="AA810" t="e">
        <f>IF(Tabla1[[#This Row],[Kerma en aire acumulada (Gy)]]&gt;1,SUMIF(G:G,Tabla1[[#This Row],[SIP]],I:I)-Tabla1[[#This Row],[Kerma en aire acumulada (Gy)]],"")</f>
        <v>#VALUE!</v>
      </c>
    </row>
    <row r="811" spans="2:28">
      <c r="C811" s="94" t="s">
        <v>1088</v>
      </c>
      <c r="D811" s="134" t="s">
        <v>1837</v>
      </c>
      <c r="E811" s="134" t="s">
        <v>948</v>
      </c>
      <c r="F811" s="134" t="s">
        <v>1928</v>
      </c>
      <c r="G811" s="134">
        <v>3120515</v>
      </c>
      <c r="H811" s="135">
        <v>44530</v>
      </c>
      <c r="I811" s="134">
        <v>0.24976000000000001</v>
      </c>
      <c r="J811" s="134"/>
      <c r="K811" s="134"/>
      <c r="L811" s="134"/>
      <c r="M811" s="134"/>
      <c r="N811" s="134"/>
      <c r="O811" s="134"/>
      <c r="P811" s="134"/>
      <c r="Q811" s="134"/>
      <c r="R811" s="134"/>
      <c r="S811" s="134"/>
      <c r="T811" s="135">
        <v>18568</v>
      </c>
      <c r="U811" s="134"/>
      <c r="V811" s="134" t="s">
        <v>1233</v>
      </c>
      <c r="W811" s="92" t="str">
        <f t="shared" si="74"/>
        <v>Rodriguez Martinez,Manuel Santos</v>
      </c>
      <c r="X811" s="95">
        <f t="shared" si="72"/>
        <v>11</v>
      </c>
      <c r="Y811" s="95">
        <f t="shared" si="73"/>
        <v>2021</v>
      </c>
      <c r="Z811" s="103" t="s">
        <v>265</v>
      </c>
      <c r="AA811" t="str">
        <f>IF(Tabla1[[#This Row],[Kerma en aire acumulada (Gy)]]&gt;1,SUMIF(G:G,Tabla1[[#This Row],[SIP]],I:I)-Tabla1[[#This Row],[Kerma en aire acumulada (Gy)]],"")</f>
        <v/>
      </c>
    </row>
    <row r="812" spans="2:28">
      <c r="B812" s="43"/>
      <c r="C812" s="94" t="s">
        <v>1088</v>
      </c>
      <c r="D812" s="134" t="s">
        <v>22</v>
      </c>
      <c r="E812" s="134" t="s">
        <v>1926</v>
      </c>
      <c r="F812" s="134" t="s">
        <v>1778</v>
      </c>
      <c r="G812" s="134">
        <v>343915</v>
      </c>
      <c r="H812" s="135">
        <v>44531</v>
      </c>
      <c r="I812" s="134">
        <v>0.15798999999999999</v>
      </c>
      <c r="J812" s="134"/>
      <c r="K812" s="134"/>
      <c r="L812" s="134"/>
      <c r="M812" s="134"/>
      <c r="N812" s="134"/>
      <c r="O812" s="134"/>
      <c r="P812" s="134"/>
      <c r="Q812" s="134"/>
      <c r="R812" s="134"/>
      <c r="S812" s="134"/>
      <c r="T812" s="135">
        <v>23042</v>
      </c>
      <c r="U812" s="134"/>
      <c r="V812" s="134" t="s">
        <v>1927</v>
      </c>
      <c r="W812" s="92" t="str">
        <f t="shared" si="74"/>
        <v>Ruiz Lujan,Daniela</v>
      </c>
      <c r="X812" s="95">
        <f t="shared" si="72"/>
        <v>12</v>
      </c>
      <c r="Y812" s="95">
        <f t="shared" si="73"/>
        <v>2021</v>
      </c>
      <c r="Z812" s="103" t="s">
        <v>265</v>
      </c>
      <c r="AA812" t="str">
        <f>IF(Tabla1[[#This Row],[Kerma en aire acumulada (Gy)]]&gt;1,SUMIF(G:G,Tabla1[[#This Row],[SIP]],I:I)-Tabla1[[#This Row],[Kerma en aire acumulada (Gy)]],"")</f>
        <v/>
      </c>
    </row>
    <row r="813" spans="2:28">
      <c r="B813" s="43"/>
      <c r="C813" s="94" t="s">
        <v>1088</v>
      </c>
      <c r="D813" s="134" t="s">
        <v>1908</v>
      </c>
      <c r="E813" s="134" t="s">
        <v>1937</v>
      </c>
      <c r="F813" s="134" t="s">
        <v>1938</v>
      </c>
      <c r="G813" s="134">
        <v>5472914</v>
      </c>
      <c r="H813" s="135">
        <v>44531</v>
      </c>
      <c r="I813" s="134">
        <v>0.49443999999999999</v>
      </c>
      <c r="J813" s="134"/>
      <c r="K813" s="134"/>
      <c r="L813" s="134"/>
      <c r="M813" s="134"/>
      <c r="N813" s="134"/>
      <c r="O813" s="134"/>
      <c r="P813" s="134"/>
      <c r="Q813" s="134"/>
      <c r="R813" s="134"/>
      <c r="S813" s="134"/>
      <c r="T813" s="135">
        <v>19494</v>
      </c>
      <c r="U813" s="134"/>
      <c r="V813" s="134" t="s">
        <v>175</v>
      </c>
      <c r="W813" s="92" t="str">
        <f t="shared" si="74"/>
        <v>Merino Jirun,Segundo Nicaron</v>
      </c>
      <c r="X813" s="95">
        <f t="shared" si="72"/>
        <v>12</v>
      </c>
      <c r="Y813" s="95">
        <f t="shared" si="73"/>
        <v>2021</v>
      </c>
      <c r="Z813" s="103" t="s">
        <v>265</v>
      </c>
      <c r="AA813" t="str">
        <f>IF(Tabla1[[#This Row],[Kerma en aire acumulada (Gy)]]&gt;1,SUMIF(G:G,Tabla1[[#This Row],[SIP]],I:I)-Tabla1[[#This Row],[Kerma en aire acumulada (Gy)]],"")</f>
        <v/>
      </c>
    </row>
    <row r="814" spans="2:28">
      <c r="C814" s="94" t="s">
        <v>1088</v>
      </c>
      <c r="D814" s="134" t="s">
        <v>663</v>
      </c>
      <c r="E814" s="134" t="s">
        <v>152</v>
      </c>
      <c r="F814" s="134" t="s">
        <v>1104</v>
      </c>
      <c r="G814" s="134">
        <v>3170382</v>
      </c>
      <c r="H814" s="135">
        <v>44531</v>
      </c>
      <c r="I814" s="134">
        <v>0.29226999999999997</v>
      </c>
      <c r="J814" s="134"/>
      <c r="K814" s="134"/>
      <c r="L814" s="134"/>
      <c r="M814" s="134"/>
      <c r="N814" s="134"/>
      <c r="O814" s="134"/>
      <c r="P814" s="134"/>
      <c r="Q814" s="134"/>
      <c r="R814" s="134"/>
      <c r="S814" s="134"/>
      <c r="T814" s="135">
        <v>14276</v>
      </c>
      <c r="U814" s="134"/>
      <c r="V814" s="134" t="s">
        <v>1635</v>
      </c>
      <c r="W814" s="92" t="str">
        <f t="shared" si="74"/>
        <v>Sanchis Vidal,Jose Luis</v>
      </c>
      <c r="X814" s="95">
        <f t="shared" si="72"/>
        <v>12</v>
      </c>
      <c r="Y814" s="95">
        <f t="shared" si="73"/>
        <v>2021</v>
      </c>
      <c r="Z814" s="103" t="s">
        <v>265</v>
      </c>
      <c r="AA814" t="str">
        <f>IF(Tabla1[[#This Row],[Kerma en aire acumulada (Gy)]]&gt;1,SUMIF(G:G,Tabla1[[#This Row],[SIP]],I:I)-Tabla1[[#This Row],[Kerma en aire acumulada (Gy)]],"")</f>
        <v/>
      </c>
    </row>
    <row r="815" spans="2:28">
      <c r="C815" s="94" t="s">
        <v>1088</v>
      </c>
      <c r="D815" s="134" t="s">
        <v>1939</v>
      </c>
      <c r="E815" s="134" t="s">
        <v>319</v>
      </c>
      <c r="F815" s="134" t="s">
        <v>83</v>
      </c>
      <c r="G815" s="134">
        <v>12843633</v>
      </c>
      <c r="H815" s="135">
        <v>44531</v>
      </c>
      <c r="I815" s="134">
        <v>0.11902</v>
      </c>
      <c r="J815" s="134"/>
      <c r="K815" s="134"/>
      <c r="L815" s="134"/>
      <c r="M815" s="134"/>
      <c r="N815" s="134"/>
      <c r="O815" s="134"/>
      <c r="P815" s="134"/>
      <c r="Q815" s="134"/>
      <c r="R815" s="134"/>
      <c r="S815" s="134"/>
      <c r="T815" s="135">
        <v>23149</v>
      </c>
      <c r="U815" s="134"/>
      <c r="V815" s="134" t="s">
        <v>151</v>
      </c>
      <c r="W815" s="92" t="str">
        <f t="shared" si="74"/>
        <v>Morote Gonzalez,Francisco</v>
      </c>
      <c r="X815" s="95">
        <f t="shared" si="72"/>
        <v>12</v>
      </c>
      <c r="Y815" s="95">
        <f t="shared" si="73"/>
        <v>2021</v>
      </c>
      <c r="Z815" s="103" t="s">
        <v>265</v>
      </c>
      <c r="AA815" t="str">
        <f>IF(Tabla1[[#This Row],[Kerma en aire acumulada (Gy)]]&gt;1,SUMIF(G:G,Tabla1[[#This Row],[SIP]],I:I)-Tabla1[[#This Row],[Kerma en aire acumulada (Gy)]],"")</f>
        <v/>
      </c>
    </row>
    <row r="816" spans="2:28">
      <c r="C816" s="94" t="s">
        <v>1088</v>
      </c>
      <c r="D816" s="134" t="s">
        <v>97</v>
      </c>
      <c r="E816" s="134" t="s">
        <v>542</v>
      </c>
      <c r="F816" s="134" t="s">
        <v>1848</v>
      </c>
      <c r="G816" s="134">
        <v>4116668</v>
      </c>
      <c r="H816" s="135">
        <v>44532</v>
      </c>
      <c r="I816" s="134">
        <v>2.9069999999999999E-2</v>
      </c>
      <c r="J816" s="134"/>
      <c r="K816" s="134"/>
      <c r="L816" s="134"/>
      <c r="M816" s="134"/>
      <c r="N816" s="134"/>
      <c r="O816" s="134"/>
      <c r="P816" s="134"/>
      <c r="Q816" s="134"/>
      <c r="R816" s="134"/>
      <c r="S816" s="134"/>
      <c r="T816" s="135">
        <v>21143</v>
      </c>
      <c r="U816" s="134"/>
      <c r="V816" s="134" t="s">
        <v>516</v>
      </c>
      <c r="W816" s="92" t="str">
        <f t="shared" si="74"/>
        <v>Egea Vera,Fuensanta</v>
      </c>
      <c r="X816" s="95">
        <f t="shared" si="72"/>
        <v>12</v>
      </c>
      <c r="Y816" s="95">
        <f t="shared" si="73"/>
        <v>2021</v>
      </c>
      <c r="Z816" s="103" t="s">
        <v>265</v>
      </c>
      <c r="AA816" t="str">
        <f>IF(Tabla1[[#This Row],[Kerma en aire acumulada (Gy)]]&gt;1,SUMIF(G:G,Tabla1[[#This Row],[SIP]],I:I)-Tabla1[[#This Row],[Kerma en aire acumulada (Gy)]],"")</f>
        <v/>
      </c>
    </row>
    <row r="817" spans="2:27">
      <c r="B817" s="43"/>
      <c r="C817" s="94" t="s">
        <v>1088</v>
      </c>
      <c r="D817" s="134" t="s">
        <v>66</v>
      </c>
      <c r="E817" s="134" t="s">
        <v>1931</v>
      </c>
      <c r="F817" s="134" t="s">
        <v>28</v>
      </c>
      <c r="G817" s="134">
        <v>3726292</v>
      </c>
      <c r="H817" s="135">
        <v>44532</v>
      </c>
      <c r="I817" s="134">
        <v>2.128E-2</v>
      </c>
      <c r="J817" s="134"/>
      <c r="K817" s="134"/>
      <c r="L817" s="134"/>
      <c r="M817" s="134"/>
      <c r="N817" s="134"/>
      <c r="O817" s="134"/>
      <c r="P817" s="134"/>
      <c r="Q817" s="134"/>
      <c r="R817" s="134"/>
      <c r="S817" s="134"/>
      <c r="T817" s="135">
        <v>20068</v>
      </c>
      <c r="U817" s="134"/>
      <c r="V817" s="134" t="s">
        <v>502</v>
      </c>
      <c r="W817" s="92" t="str">
        <f t="shared" si="74"/>
        <v>Navarro Candel,Josefa</v>
      </c>
      <c r="X817" s="95">
        <f t="shared" si="72"/>
        <v>12</v>
      </c>
      <c r="Y817" s="95">
        <f t="shared" si="73"/>
        <v>2021</v>
      </c>
      <c r="Z817" s="103" t="s">
        <v>265</v>
      </c>
      <c r="AA817" t="str">
        <f>IF(Tabla1[[#This Row],[Kerma en aire acumulada (Gy)]]&gt;1,SUMIF(G:G,Tabla1[[#This Row],[SIP]],I:I)-Tabla1[[#This Row],[Kerma en aire acumulada (Gy)]],"")</f>
        <v/>
      </c>
    </row>
    <row r="818" spans="2:27">
      <c r="B818" s="43"/>
      <c r="C818" s="94" t="s">
        <v>1088</v>
      </c>
      <c r="D818" s="134" t="s">
        <v>320</v>
      </c>
      <c r="E818" s="134" t="s">
        <v>29</v>
      </c>
      <c r="F818" s="134" t="s">
        <v>959</v>
      </c>
      <c r="G818" s="134">
        <v>2955837</v>
      </c>
      <c r="H818" s="135">
        <v>44532</v>
      </c>
      <c r="I818" s="134">
        <v>0.14287</v>
      </c>
      <c r="J818" s="134"/>
      <c r="K818" s="134"/>
      <c r="L818" s="134"/>
      <c r="M818" s="134"/>
      <c r="N818" s="134"/>
      <c r="O818" s="134"/>
      <c r="P818" s="134"/>
      <c r="Q818" s="134"/>
      <c r="R818" s="134"/>
      <c r="S818" s="134"/>
      <c r="T818" s="135">
        <v>22651</v>
      </c>
      <c r="U818" s="134"/>
      <c r="V818" s="134" t="s">
        <v>940</v>
      </c>
      <c r="W818" s="92" t="str">
        <f t="shared" si="74"/>
        <v>Cano Castro,Jorge Arturo</v>
      </c>
      <c r="X818" s="95">
        <f t="shared" si="72"/>
        <v>12</v>
      </c>
      <c r="Y818" s="95">
        <f t="shared" si="73"/>
        <v>2021</v>
      </c>
      <c r="Z818" s="103" t="s">
        <v>265</v>
      </c>
      <c r="AA818" t="str">
        <f>IF(Tabla1[[#This Row],[Kerma en aire acumulada (Gy)]]&gt;1,SUMIF(G:G,Tabla1[[#This Row],[SIP]],I:I)-Tabla1[[#This Row],[Kerma en aire acumulada (Gy)]],"")</f>
        <v/>
      </c>
    </row>
    <row r="819" spans="2:27">
      <c r="C819" s="94" t="s">
        <v>1088</v>
      </c>
      <c r="D819" s="134" t="s">
        <v>1932</v>
      </c>
      <c r="E819" s="134" t="s">
        <v>1932</v>
      </c>
      <c r="F819" s="134" t="s">
        <v>1611</v>
      </c>
      <c r="G819" s="134">
        <v>3249334</v>
      </c>
      <c r="H819" s="135">
        <v>44532</v>
      </c>
      <c r="I819" s="134">
        <v>0.11226999999999999</v>
      </c>
      <c r="J819" s="134"/>
      <c r="K819" s="134"/>
      <c r="L819" s="134"/>
      <c r="M819" s="134"/>
      <c r="N819" s="134"/>
      <c r="O819" s="134"/>
      <c r="P819" s="134"/>
      <c r="Q819" s="134"/>
      <c r="R819" s="134"/>
      <c r="S819" s="134"/>
      <c r="T819" s="135">
        <v>17868</v>
      </c>
      <c r="U819" s="134"/>
      <c r="V819" s="134" t="s">
        <v>139</v>
      </c>
      <c r="W819" s="92" t="str">
        <f t="shared" si="74"/>
        <v>Herriaz Herriaz,Concepción</v>
      </c>
      <c r="X819" s="95">
        <f t="shared" si="72"/>
        <v>12</v>
      </c>
      <c r="Y819" s="95">
        <f t="shared" si="73"/>
        <v>2021</v>
      </c>
      <c r="Z819" s="103" t="s">
        <v>265</v>
      </c>
      <c r="AA819" t="str">
        <f>IF(Tabla1[[#This Row],[Kerma en aire acumulada (Gy)]]&gt;1,SUMIF(G:G,Tabla1[[#This Row],[SIP]],I:I)-Tabla1[[#This Row],[Kerma en aire acumulada (Gy)]],"")</f>
        <v/>
      </c>
    </row>
    <row r="820" spans="2:27">
      <c r="C820" s="94" t="s">
        <v>1088</v>
      </c>
      <c r="D820" s="134" t="s">
        <v>1933</v>
      </c>
      <c r="E820" s="134" t="s">
        <v>1933</v>
      </c>
      <c r="F820" s="134" t="s">
        <v>1667</v>
      </c>
      <c r="G820" s="134">
        <v>3728661</v>
      </c>
      <c r="H820" s="135">
        <v>44532</v>
      </c>
      <c r="I820" s="134">
        <v>6.5189999999999998E-2</v>
      </c>
      <c r="J820" s="134"/>
      <c r="K820" s="134"/>
      <c r="L820" s="134"/>
      <c r="M820" s="134"/>
      <c r="N820" s="134"/>
      <c r="O820" s="134"/>
      <c r="P820" s="134"/>
      <c r="Q820" s="134"/>
      <c r="R820" s="134"/>
      <c r="S820" s="134"/>
      <c r="T820" s="135">
        <v>20611</v>
      </c>
      <c r="U820" s="134"/>
      <c r="V820" s="134" t="s">
        <v>1934</v>
      </c>
      <c r="W820" s="92" t="str">
        <f t="shared" si="74"/>
        <v>Murillo Murillo,Amalia</v>
      </c>
      <c r="X820" s="95">
        <f t="shared" si="72"/>
        <v>12</v>
      </c>
      <c r="Y820" s="95">
        <f t="shared" si="73"/>
        <v>2021</v>
      </c>
      <c r="Z820" s="103" t="s">
        <v>265</v>
      </c>
      <c r="AA820" t="str">
        <f>IF(Tabla1[[#This Row],[Kerma en aire acumulada (Gy)]]&gt;1,SUMIF(G:G,Tabla1[[#This Row],[SIP]],I:I)-Tabla1[[#This Row],[Kerma en aire acumulada (Gy)]],"")</f>
        <v/>
      </c>
    </row>
    <row r="821" spans="2:27">
      <c r="C821" s="94" t="s">
        <v>1088</v>
      </c>
      <c r="D821" s="134" t="s">
        <v>1935</v>
      </c>
      <c r="E821" s="134" t="s">
        <v>1936</v>
      </c>
      <c r="F821" s="134" t="s">
        <v>1725</v>
      </c>
      <c r="G821" s="134">
        <v>1943567</v>
      </c>
      <c r="H821" s="135">
        <v>44532</v>
      </c>
      <c r="I821" s="134">
        <v>0.10946</v>
      </c>
      <c r="J821" s="134"/>
      <c r="K821" s="134"/>
      <c r="L821" s="134"/>
      <c r="M821" s="134"/>
      <c r="N821" s="134"/>
      <c r="O821" s="134"/>
      <c r="P821" s="134"/>
      <c r="Q821" s="134"/>
      <c r="R821" s="134"/>
      <c r="S821" s="134"/>
      <c r="T821" s="135">
        <v>22004</v>
      </c>
      <c r="U821" s="134"/>
      <c r="V821" s="134" t="s">
        <v>1880</v>
      </c>
      <c r="W821" s="92" t="str">
        <f t="shared" si="74"/>
        <v>Palencia Fuente,Ana Maria</v>
      </c>
      <c r="X821" s="95">
        <f t="shared" si="72"/>
        <v>12</v>
      </c>
      <c r="Y821" s="95">
        <f t="shared" si="73"/>
        <v>2021</v>
      </c>
      <c r="Z821" s="103" t="s">
        <v>265</v>
      </c>
      <c r="AA821" t="str">
        <f>IF(Tabla1[[#This Row],[Kerma en aire acumulada (Gy)]]&gt;1,SUMIF(G:G,Tabla1[[#This Row],[SIP]],I:I)-Tabla1[[#This Row],[Kerma en aire acumulada (Gy)]],"")</f>
        <v/>
      </c>
    </row>
    <row r="822" spans="2:27">
      <c r="B822" s="42"/>
      <c r="C822" s="94" t="s">
        <v>1088</v>
      </c>
      <c r="D822" s="134" t="s">
        <v>22</v>
      </c>
      <c r="E822" s="134" t="s">
        <v>1926</v>
      </c>
      <c r="F822" s="134" t="s">
        <v>1778</v>
      </c>
      <c r="G822" s="134">
        <v>343915</v>
      </c>
      <c r="H822" s="135">
        <v>44533</v>
      </c>
      <c r="I822" s="134">
        <v>0.33921000000000001</v>
      </c>
      <c r="J822" s="134"/>
      <c r="K822" s="134"/>
      <c r="L822" s="134"/>
      <c r="M822" s="134"/>
      <c r="N822" s="134"/>
      <c r="O822" s="134"/>
      <c r="P822" s="134"/>
      <c r="Q822" s="134"/>
      <c r="R822" s="134"/>
      <c r="S822" s="134"/>
      <c r="T822" s="135">
        <v>23042</v>
      </c>
      <c r="U822" s="134"/>
      <c r="V822" s="134" t="s">
        <v>1947</v>
      </c>
      <c r="W822" s="92" t="str">
        <f t="shared" si="74"/>
        <v>Ruiz Lujan,Daniela</v>
      </c>
      <c r="X822" s="95">
        <f t="shared" si="72"/>
        <v>12</v>
      </c>
      <c r="Y822" s="95">
        <f t="shared" si="73"/>
        <v>2021</v>
      </c>
      <c r="Z822" s="103" t="s">
        <v>265</v>
      </c>
      <c r="AA822" t="str">
        <f>IF(Tabla1[[#This Row],[Kerma en aire acumulada (Gy)]]&gt;1,SUMIF(G:G,Tabla1[[#This Row],[SIP]],I:I)-Tabla1[[#This Row],[Kerma en aire acumulada (Gy)]],"")</f>
        <v/>
      </c>
    </row>
    <row r="823" spans="2:27">
      <c r="C823" s="94" t="s">
        <v>1088</v>
      </c>
      <c r="D823" s="134" t="s">
        <v>1948</v>
      </c>
      <c r="E823" s="134" t="s">
        <v>960</v>
      </c>
      <c r="F823" s="134" t="s">
        <v>1213</v>
      </c>
      <c r="G823" s="134">
        <v>3195067</v>
      </c>
      <c r="H823" s="135">
        <v>44533</v>
      </c>
      <c r="I823" s="134">
        <v>0.29398999999999997</v>
      </c>
      <c r="J823" s="134"/>
      <c r="K823" s="134"/>
      <c r="L823" s="134"/>
      <c r="M823" s="134"/>
      <c r="N823" s="134"/>
      <c r="O823" s="134"/>
      <c r="P823" s="134"/>
      <c r="Q823" s="134"/>
      <c r="R823" s="134"/>
      <c r="S823" s="134"/>
      <c r="T823" s="135">
        <v>28654</v>
      </c>
      <c r="U823" s="134"/>
      <c r="V823" s="134" t="s">
        <v>180</v>
      </c>
      <c r="W823" s="92" t="str">
        <f t="shared" si="74"/>
        <v>Saura  Lopez,Maria Isabel</v>
      </c>
      <c r="X823" s="95">
        <f t="shared" si="72"/>
        <v>12</v>
      </c>
      <c r="Y823" s="95">
        <f t="shared" si="73"/>
        <v>2021</v>
      </c>
      <c r="Z823" s="103" t="s">
        <v>265</v>
      </c>
      <c r="AA823" t="str">
        <f>IF(Tabla1[[#This Row],[Kerma en aire acumulada (Gy)]]&gt;1,SUMIF(G:G,Tabla1[[#This Row],[SIP]],I:I)-Tabla1[[#This Row],[Kerma en aire acumulada (Gy)]],"")</f>
        <v/>
      </c>
    </row>
    <row r="824" spans="2:27">
      <c r="C824" s="94" t="s">
        <v>1088</v>
      </c>
      <c r="D824" s="134" t="s">
        <v>1695</v>
      </c>
      <c r="E824" s="134" t="s">
        <v>1957</v>
      </c>
      <c r="F824" s="134" t="s">
        <v>1958</v>
      </c>
      <c r="G824" s="134">
        <v>1955815</v>
      </c>
      <c r="H824" s="135">
        <v>44533</v>
      </c>
      <c r="I824" s="134">
        <v>0.13593</v>
      </c>
      <c r="J824" s="134"/>
      <c r="K824" s="134"/>
      <c r="L824" s="134"/>
      <c r="M824" s="134"/>
      <c r="N824" s="134"/>
      <c r="O824" s="134"/>
      <c r="P824" s="134"/>
      <c r="Q824" s="134"/>
      <c r="R824" s="134"/>
      <c r="S824" s="134"/>
      <c r="T824" s="135">
        <v>22641</v>
      </c>
      <c r="U824" s="134"/>
      <c r="V824" s="134" t="s">
        <v>1289</v>
      </c>
      <c r="W824" s="92" t="str">
        <f t="shared" si="74"/>
        <v>Portales Llop ,Enric</v>
      </c>
      <c r="X824" s="95">
        <f t="shared" si="72"/>
        <v>12</v>
      </c>
      <c r="Y824" s="95">
        <f t="shared" si="73"/>
        <v>2021</v>
      </c>
      <c r="Z824" s="103" t="s">
        <v>265</v>
      </c>
      <c r="AA824" t="str">
        <f>IF(Tabla1[[#This Row],[Kerma en aire acumulada (Gy)]]&gt;1,SUMIF(G:G,Tabla1[[#This Row],[SIP]],I:I)-Tabla1[[#This Row],[Kerma en aire acumulada (Gy)]],"")</f>
        <v/>
      </c>
    </row>
    <row r="825" spans="2:27">
      <c r="C825" s="94" t="s">
        <v>1088</v>
      </c>
      <c r="D825" s="134" t="s">
        <v>1959</v>
      </c>
      <c r="E825" s="134" t="s">
        <v>1960</v>
      </c>
      <c r="F825" s="134" t="s">
        <v>1961</v>
      </c>
      <c r="G825" s="134">
        <v>3350930</v>
      </c>
      <c r="H825" s="135">
        <v>44533</v>
      </c>
      <c r="I825" s="134">
        <v>0.11745999999999999</v>
      </c>
      <c r="J825" s="134"/>
      <c r="K825" s="134"/>
      <c r="L825" s="134"/>
      <c r="M825" s="134"/>
      <c r="N825" s="134"/>
      <c r="O825" s="134"/>
      <c r="P825" s="134"/>
      <c r="Q825" s="134"/>
      <c r="R825" s="134"/>
      <c r="S825" s="134"/>
      <c r="T825" s="135">
        <v>24663</v>
      </c>
      <c r="U825" s="134"/>
      <c r="V825" s="134" t="s">
        <v>552</v>
      </c>
      <c r="W825" s="92" t="str">
        <f t="shared" si="74"/>
        <v>Iborra Debon,Hector Luis</v>
      </c>
      <c r="X825" s="95">
        <f t="shared" si="72"/>
        <v>12</v>
      </c>
      <c r="Y825" s="95">
        <f t="shared" si="73"/>
        <v>2021</v>
      </c>
      <c r="Z825" s="103" t="s">
        <v>265</v>
      </c>
      <c r="AA825" t="str">
        <f>IF(Tabla1[[#This Row],[Kerma en aire acumulada (Gy)]]&gt;1,SUMIF(G:G,Tabla1[[#This Row],[SIP]],I:I)-Tabla1[[#This Row],[Kerma en aire acumulada (Gy)]],"")</f>
        <v/>
      </c>
    </row>
    <row r="826" spans="2:27">
      <c r="C826" s="94" t="s">
        <v>1088</v>
      </c>
      <c r="D826" s="134" t="s">
        <v>1962</v>
      </c>
      <c r="E826" s="134" t="s">
        <v>962</v>
      </c>
      <c r="F826" s="134" t="s">
        <v>1963</v>
      </c>
      <c r="G826" s="134">
        <v>3488185</v>
      </c>
      <c r="H826" s="135">
        <v>44533</v>
      </c>
      <c r="I826" s="134">
        <v>0.28244999999999998</v>
      </c>
      <c r="J826" s="134"/>
      <c r="K826" s="134"/>
      <c r="L826" s="134"/>
      <c r="M826" s="134"/>
      <c r="N826" s="134"/>
      <c r="O826" s="134"/>
      <c r="P826" s="134"/>
      <c r="Q826" s="134"/>
      <c r="R826" s="134"/>
      <c r="S826" s="134"/>
      <c r="T826" s="135">
        <v>11233</v>
      </c>
      <c r="U826" s="134"/>
      <c r="V826" s="134" t="s">
        <v>1964</v>
      </c>
      <c r="W826" s="92" t="str">
        <f t="shared" si="74"/>
        <v>Constancio  Garcia,Remedios</v>
      </c>
      <c r="X826" s="95">
        <f t="shared" si="72"/>
        <v>12</v>
      </c>
      <c r="Y826" s="95">
        <f t="shared" si="73"/>
        <v>2021</v>
      </c>
      <c r="Z826" s="103" t="s">
        <v>265</v>
      </c>
      <c r="AA826" t="str">
        <f>IF(Tabla1[[#This Row],[Kerma en aire acumulada (Gy)]]&gt;1,SUMIF(G:G,Tabla1[[#This Row],[SIP]],I:I)-Tabla1[[#This Row],[Kerma en aire acumulada (Gy)]],"")</f>
        <v/>
      </c>
    </row>
    <row r="827" spans="2:27">
      <c r="C827" s="94" t="s">
        <v>1088</v>
      </c>
      <c r="D827" s="134" t="s">
        <v>1956</v>
      </c>
      <c r="E827" s="134" t="s">
        <v>960</v>
      </c>
      <c r="F827" s="134" t="s">
        <v>28</v>
      </c>
      <c r="G827" s="134">
        <v>1962323</v>
      </c>
      <c r="H827" s="135">
        <v>44536</v>
      </c>
      <c r="I827" s="134">
        <v>2.3990000000000001E-2</v>
      </c>
      <c r="J827" s="134"/>
      <c r="K827" s="134"/>
      <c r="L827" s="134"/>
      <c r="M827" s="134"/>
      <c r="N827" s="134"/>
      <c r="O827" s="134"/>
      <c r="P827" s="134"/>
      <c r="Q827" s="134"/>
      <c r="R827" s="134"/>
      <c r="S827" s="134"/>
      <c r="T827" s="135">
        <v>18880</v>
      </c>
      <c r="U827" s="134"/>
      <c r="V827" s="134" t="s">
        <v>1653</v>
      </c>
      <c r="W827" s="92" t="str">
        <f t="shared" si="74"/>
        <v>Galdon Lopez,Josefa</v>
      </c>
      <c r="X827" s="95">
        <f t="shared" si="72"/>
        <v>12</v>
      </c>
      <c r="Y827" s="95">
        <f t="shared" si="73"/>
        <v>2021</v>
      </c>
      <c r="Z827" s="103" t="s">
        <v>265</v>
      </c>
      <c r="AA827" t="str">
        <f>IF(Tabla1[[#This Row],[Kerma en aire acumulada (Gy)]]&gt;1,SUMIF(G:G,Tabla1[[#This Row],[SIP]],I:I)-Tabla1[[#This Row],[Kerma en aire acumulada (Gy)]],"")</f>
        <v/>
      </c>
    </row>
    <row r="828" spans="2:27">
      <c r="C828" s="94" t="s">
        <v>1088</v>
      </c>
      <c r="D828" s="134" t="s">
        <v>368</v>
      </c>
      <c r="E828" s="134" t="s">
        <v>1001</v>
      </c>
      <c r="F828" s="134" t="s">
        <v>83</v>
      </c>
      <c r="G828" s="134">
        <v>1120305</v>
      </c>
      <c r="H828" s="135">
        <v>44537</v>
      </c>
      <c r="I828" s="134">
        <v>0.71501999999999999</v>
      </c>
      <c r="J828" s="134"/>
      <c r="K828" s="134"/>
      <c r="L828" s="134"/>
      <c r="M828" s="134"/>
      <c r="N828" s="134"/>
      <c r="O828" s="134"/>
      <c r="P828" s="134"/>
      <c r="Q828" s="134"/>
      <c r="R828" s="134"/>
      <c r="S828" s="134"/>
      <c r="T828" s="102">
        <v>20192</v>
      </c>
      <c r="U828" s="134"/>
      <c r="V828" s="134" t="s">
        <v>128</v>
      </c>
      <c r="W828" s="92" t="str">
        <f t="shared" si="74"/>
        <v>García Perez,Francisco</v>
      </c>
      <c r="X828" s="95">
        <f t="shared" si="72"/>
        <v>12</v>
      </c>
      <c r="Y828" s="95">
        <f t="shared" si="73"/>
        <v>2021</v>
      </c>
      <c r="Z828" s="103" t="s">
        <v>265</v>
      </c>
      <c r="AA828" t="str">
        <f>IF(Tabla1[[#This Row],[Kerma en aire acumulada (Gy)]]&gt;1,SUMIF(G:G,Tabla1[[#This Row],[SIP]],I:I)-Tabla1[[#This Row],[Kerma en aire acumulada (Gy)]],"")</f>
        <v/>
      </c>
    </row>
    <row r="829" spans="2:27">
      <c r="C829" s="94" t="s">
        <v>1088</v>
      </c>
      <c r="D829" s="134" t="s">
        <v>1872</v>
      </c>
      <c r="E829" s="134" t="s">
        <v>966</v>
      </c>
      <c r="F829" s="134" t="s">
        <v>1873</v>
      </c>
      <c r="G829" s="134">
        <v>2972909</v>
      </c>
      <c r="H829" s="135">
        <v>44539</v>
      </c>
      <c r="I829" s="134">
        <v>2.1800000000000001E-3</v>
      </c>
      <c r="J829" s="134"/>
      <c r="K829" s="134"/>
      <c r="L829" s="134"/>
      <c r="M829" s="134"/>
      <c r="N829" s="134"/>
      <c r="O829" s="134"/>
      <c r="P829" s="134"/>
      <c r="Q829" s="134"/>
      <c r="R829" s="134"/>
      <c r="S829" s="134"/>
      <c r="T829" s="135">
        <v>25103</v>
      </c>
      <c r="U829" s="134"/>
      <c r="V829" s="134" t="s">
        <v>143</v>
      </c>
      <c r="W829" s="92" t="str">
        <f t="shared" si="74"/>
        <v>Cervero Marco,Ana Isabel</v>
      </c>
      <c r="X829" s="95">
        <f t="shared" si="72"/>
        <v>12</v>
      </c>
      <c r="Y829" s="95">
        <f t="shared" si="73"/>
        <v>2021</v>
      </c>
      <c r="Z829" s="103" t="s">
        <v>265</v>
      </c>
      <c r="AA829" t="str">
        <f>IF(Tabla1[[#This Row],[Kerma en aire acumulada (Gy)]]&gt;1,SUMIF(G:G,Tabla1[[#This Row],[SIP]],I:I)-Tabla1[[#This Row],[Kerma en aire acumulada (Gy)]],"")</f>
        <v/>
      </c>
    </row>
    <row r="830" spans="2:27">
      <c r="C830" s="94" t="s">
        <v>1088</v>
      </c>
      <c r="D830" s="134" t="s">
        <v>1944</v>
      </c>
      <c r="E830" s="134" t="s">
        <v>124</v>
      </c>
      <c r="F830" s="134" t="s">
        <v>322</v>
      </c>
      <c r="G830" s="134">
        <v>3500090</v>
      </c>
      <c r="H830" s="135">
        <v>44540</v>
      </c>
      <c r="I830" s="134">
        <v>1.8950000000000002E-2</v>
      </c>
      <c r="J830" s="134"/>
      <c r="K830" s="134"/>
      <c r="L830" s="134"/>
      <c r="M830" s="134"/>
      <c r="N830" s="134"/>
      <c r="O830" s="134"/>
      <c r="P830" s="134"/>
      <c r="Q830" s="134"/>
      <c r="R830" s="134"/>
      <c r="S830" s="134"/>
      <c r="T830" s="135">
        <v>18391</v>
      </c>
      <c r="U830" s="134"/>
      <c r="V830" s="134" t="s">
        <v>502</v>
      </c>
      <c r="W830" s="92" t="str">
        <f t="shared" si="74"/>
        <v>Carbajal Calero,Juana</v>
      </c>
      <c r="X830" s="95">
        <f t="shared" si="72"/>
        <v>12</v>
      </c>
      <c r="Y830" s="95">
        <f t="shared" si="73"/>
        <v>2021</v>
      </c>
      <c r="Z830" s="103" t="s">
        <v>265</v>
      </c>
      <c r="AA830" t="str">
        <f>IF(Tabla1[[#This Row],[Kerma en aire acumulada (Gy)]]&gt;1,SUMIF(G:G,Tabla1[[#This Row],[SIP]],I:I)-Tabla1[[#This Row],[Kerma en aire acumulada (Gy)]],"")</f>
        <v/>
      </c>
    </row>
    <row r="831" spans="2:27">
      <c r="C831" s="94" t="s">
        <v>1088</v>
      </c>
      <c r="D831" s="134" t="s">
        <v>22</v>
      </c>
      <c r="E831" s="134" t="s">
        <v>1945</v>
      </c>
      <c r="F831" s="134" t="s">
        <v>1946</v>
      </c>
      <c r="G831" s="134">
        <v>4249209</v>
      </c>
      <c r="H831" s="135">
        <v>44540</v>
      </c>
      <c r="I831" s="134">
        <v>4.8329999999999998E-2</v>
      </c>
      <c r="J831" s="134"/>
      <c r="K831" s="134"/>
      <c r="L831" s="134"/>
      <c r="M831" s="134"/>
      <c r="N831" s="134"/>
      <c r="O831" s="134"/>
      <c r="P831" s="134"/>
      <c r="Q831" s="134"/>
      <c r="R831" s="134"/>
      <c r="S831" s="134"/>
      <c r="T831" s="135">
        <v>30576</v>
      </c>
      <c r="U831" s="134"/>
      <c r="V831" s="134" t="s">
        <v>173</v>
      </c>
      <c r="W831" s="92" t="str">
        <f t="shared" si="74"/>
        <v>Ruiz Jorques,Joaquin</v>
      </c>
      <c r="X831" s="95">
        <f t="shared" si="72"/>
        <v>12</v>
      </c>
      <c r="Y831" s="95">
        <f t="shared" si="73"/>
        <v>2021</v>
      </c>
      <c r="Z831" s="103" t="s">
        <v>265</v>
      </c>
      <c r="AA831" t="str">
        <f>IF(Tabla1[[#This Row],[Kerma en aire acumulada (Gy)]]&gt;1,SUMIF(G:G,Tabla1[[#This Row],[SIP]],I:I)-Tabla1[[#This Row],[Kerma en aire acumulada (Gy)]],"")</f>
        <v/>
      </c>
    </row>
    <row r="832" spans="2:27">
      <c r="C832" s="94" t="s">
        <v>1088</v>
      </c>
      <c r="D832" s="134" t="s">
        <v>1953</v>
      </c>
      <c r="E832" s="134" t="s">
        <v>346</v>
      </c>
      <c r="F832" s="134" t="s">
        <v>88</v>
      </c>
      <c r="G832" s="134">
        <v>3167829</v>
      </c>
      <c r="H832" s="135">
        <v>44540</v>
      </c>
      <c r="I832" s="134">
        <v>0.29293999999999998</v>
      </c>
      <c r="J832" s="134"/>
      <c r="K832" s="134"/>
      <c r="L832" s="134"/>
      <c r="M832" s="134"/>
      <c r="N832" s="134"/>
      <c r="O832" s="134"/>
      <c r="P832" s="134"/>
      <c r="Q832" s="134"/>
      <c r="R832" s="134"/>
      <c r="S832" s="134"/>
      <c r="T832" s="135">
        <v>14077</v>
      </c>
      <c r="U832" s="134"/>
      <c r="V832" s="134" t="s">
        <v>502</v>
      </c>
      <c r="W832" s="92" t="str">
        <f t="shared" si="74"/>
        <v>Monte  Fuster,Vicente</v>
      </c>
      <c r="X832" s="95">
        <f t="shared" si="72"/>
        <v>12</v>
      </c>
      <c r="Y832" s="95">
        <f t="shared" si="73"/>
        <v>2021</v>
      </c>
      <c r="Z832" s="103" t="s">
        <v>265</v>
      </c>
      <c r="AA832" t="str">
        <f>IF(Tabla1[[#This Row],[Kerma en aire acumulada (Gy)]]&gt;1,SUMIF(G:G,Tabla1[[#This Row],[SIP]],I:I)-Tabla1[[#This Row],[Kerma en aire acumulada (Gy)]],"")</f>
        <v/>
      </c>
    </row>
    <row r="833" spans="2:27">
      <c r="C833" s="94" t="s">
        <v>1088</v>
      </c>
      <c r="D833" s="134" t="s">
        <v>1792</v>
      </c>
      <c r="E833" s="134" t="s">
        <v>948</v>
      </c>
      <c r="F833" s="134" t="s">
        <v>1928</v>
      </c>
      <c r="G833" s="134">
        <v>3120515</v>
      </c>
      <c r="H833" s="135">
        <v>44540</v>
      </c>
      <c r="I833" s="134">
        <v>5.1569999999999998E-2</v>
      </c>
      <c r="J833" s="134"/>
      <c r="K833" s="134"/>
      <c r="L833" s="134"/>
      <c r="M833" s="134"/>
      <c r="N833" s="134"/>
      <c r="O833" s="134"/>
      <c r="P833" s="134"/>
      <c r="Q833" s="134"/>
      <c r="R833" s="134"/>
      <c r="S833" s="134"/>
      <c r="T833" s="135">
        <v>18568</v>
      </c>
      <c r="U833" s="134"/>
      <c r="V833" s="134" t="s">
        <v>143</v>
      </c>
      <c r="W833" s="92" t="str">
        <f t="shared" si="74"/>
        <v>Rodrigo Martinez,Manuel Santos</v>
      </c>
      <c r="X833" s="95">
        <f t="shared" si="72"/>
        <v>12</v>
      </c>
      <c r="Y833" s="95">
        <f t="shared" si="73"/>
        <v>2021</v>
      </c>
      <c r="Z833" s="103" t="s">
        <v>265</v>
      </c>
      <c r="AA833" t="str">
        <f>IF(Tabla1[[#This Row],[Kerma en aire acumulada (Gy)]]&gt;1,SUMIF(G:G,Tabla1[[#This Row],[SIP]],I:I)-Tabla1[[#This Row],[Kerma en aire acumulada (Gy)]],"")</f>
        <v/>
      </c>
    </row>
    <row r="834" spans="2:27">
      <c r="C834" s="94" t="s">
        <v>1088</v>
      </c>
      <c r="D834" s="134" t="s">
        <v>319</v>
      </c>
      <c r="E834" s="134" t="s">
        <v>1954</v>
      </c>
      <c r="F834" s="134" t="s">
        <v>1771</v>
      </c>
      <c r="G834" s="134">
        <v>4336598</v>
      </c>
      <c r="H834" s="135">
        <v>44540</v>
      </c>
      <c r="I834" s="134">
        <v>0.55359999999999998</v>
      </c>
      <c r="J834" s="134"/>
      <c r="K834" s="134"/>
      <c r="L834" s="134"/>
      <c r="M834" s="134"/>
      <c r="N834" s="134"/>
      <c r="O834" s="134"/>
      <c r="P834" s="134"/>
      <c r="Q834" s="134"/>
      <c r="R834" s="134"/>
      <c r="S834" s="134"/>
      <c r="T834" s="135">
        <v>21742</v>
      </c>
      <c r="U834" s="134"/>
      <c r="V834" s="134" t="s">
        <v>1955</v>
      </c>
      <c r="W834" s="92" t="str">
        <f t="shared" si="74"/>
        <v>Gonzalez Uceda,Tomas</v>
      </c>
      <c r="X834" s="95">
        <f t="shared" si="72"/>
        <v>12</v>
      </c>
      <c r="Y834" s="95">
        <f t="shared" si="73"/>
        <v>2021</v>
      </c>
      <c r="Z834" s="103" t="s">
        <v>265</v>
      </c>
      <c r="AA834" t="str">
        <f>IF(Tabla1[[#This Row],[Kerma en aire acumulada (Gy)]]&gt;1,SUMIF(G:G,Tabla1[[#This Row],[SIP]],I:I)-Tabla1[[#This Row],[Kerma en aire acumulada (Gy)]],"")</f>
        <v/>
      </c>
    </row>
    <row r="835" spans="2:27">
      <c r="C835" s="94" t="s">
        <v>1088</v>
      </c>
      <c r="D835" s="134" t="s">
        <v>1950</v>
      </c>
      <c r="E835" s="134" t="s">
        <v>1951</v>
      </c>
      <c r="F835" s="134" t="s">
        <v>1952</v>
      </c>
      <c r="G835" s="134">
        <v>2922192</v>
      </c>
      <c r="H835" s="135">
        <v>44541</v>
      </c>
      <c r="I835" s="134">
        <v>0.23313999999999999</v>
      </c>
      <c r="J835" s="134"/>
      <c r="K835" s="134"/>
      <c r="L835" s="134"/>
      <c r="M835" s="134"/>
      <c r="N835" s="134"/>
      <c r="O835" s="134"/>
      <c r="P835" s="134"/>
      <c r="Q835" s="134"/>
      <c r="R835" s="134"/>
      <c r="S835" s="134"/>
      <c r="T835" s="135">
        <v>22472</v>
      </c>
      <c r="U835" s="134"/>
      <c r="V835" s="134" t="s">
        <v>1107</v>
      </c>
      <c r="W835" s="92" t="str">
        <f t="shared" si="74"/>
        <v>Adame Cerrada,Carlos Alfonso</v>
      </c>
      <c r="X835" s="95">
        <f t="shared" si="72"/>
        <v>12</v>
      </c>
      <c r="Y835" s="95">
        <f t="shared" si="73"/>
        <v>2021</v>
      </c>
      <c r="Z835" s="103" t="s">
        <v>265</v>
      </c>
      <c r="AA835" t="str">
        <f>IF(Tabla1[[#This Row],[Kerma en aire acumulada (Gy)]]&gt;1,SUMIF(G:G,Tabla1[[#This Row],[SIP]],I:I)-Tabla1[[#This Row],[Kerma en aire acumulada (Gy)]],"")</f>
        <v/>
      </c>
    </row>
    <row r="836" spans="2:27">
      <c r="C836" s="94" t="s">
        <v>1088</v>
      </c>
      <c r="D836" s="134" t="s">
        <v>1949</v>
      </c>
      <c r="E836" s="134" t="s">
        <v>353</v>
      </c>
      <c r="F836" s="134" t="s">
        <v>699</v>
      </c>
      <c r="G836" s="134">
        <v>2636334</v>
      </c>
      <c r="H836" s="135">
        <v>44542</v>
      </c>
      <c r="I836" s="134">
        <v>0.61770999999999998</v>
      </c>
      <c r="J836" s="134"/>
      <c r="K836" s="134"/>
      <c r="L836" s="134"/>
      <c r="M836" s="134"/>
      <c r="N836" s="134"/>
      <c r="O836" s="134"/>
      <c r="P836" s="134"/>
      <c r="Q836" s="134"/>
      <c r="R836" s="134"/>
      <c r="S836" s="134"/>
      <c r="T836" s="135">
        <v>30763</v>
      </c>
      <c r="U836" s="134"/>
      <c r="V836" s="134" t="s">
        <v>151</v>
      </c>
      <c r="W836" s="92" t="str">
        <f t="shared" si="74"/>
        <v>Aleruz Muñoz,Cristina</v>
      </c>
      <c r="X836" s="95">
        <f t="shared" si="72"/>
        <v>12</v>
      </c>
      <c r="Y836" s="95">
        <f t="shared" si="73"/>
        <v>2021</v>
      </c>
      <c r="Z836" s="103" t="s">
        <v>265</v>
      </c>
      <c r="AA836" t="str">
        <f>IF(Tabla1[[#This Row],[Kerma en aire acumulada (Gy)]]&gt;1,SUMIF(G:G,Tabla1[[#This Row],[SIP]],I:I)-Tabla1[[#This Row],[Kerma en aire acumulada (Gy)]],"")</f>
        <v/>
      </c>
    </row>
    <row r="837" spans="2:27">
      <c r="B837" t="s">
        <v>659</v>
      </c>
      <c r="C837" s="94" t="s">
        <v>1088</v>
      </c>
      <c r="D837" s="134" t="s">
        <v>1980</v>
      </c>
      <c r="E837" s="134" t="s">
        <v>340</v>
      </c>
      <c r="F837" s="134" t="s">
        <v>341</v>
      </c>
      <c r="G837" s="134">
        <v>3028955</v>
      </c>
      <c r="H837" s="135">
        <v>44543</v>
      </c>
      <c r="I837" s="134">
        <v>2.1436500000000001</v>
      </c>
      <c r="J837" s="134"/>
      <c r="K837" s="134"/>
      <c r="L837" s="134"/>
      <c r="M837" s="134"/>
      <c r="N837" s="134"/>
      <c r="O837" s="134"/>
      <c r="P837" s="134"/>
      <c r="Q837" s="134"/>
      <c r="R837" s="134"/>
      <c r="S837" s="134"/>
      <c r="T837" s="135">
        <v>22663</v>
      </c>
      <c r="U837" s="134"/>
      <c r="V837" s="134" t="s">
        <v>89</v>
      </c>
      <c r="W837" s="92" t="str">
        <f t="shared" si="74"/>
        <v>Peñarrocha  Piqueras,Marcos Antonio</v>
      </c>
      <c r="X837" s="95">
        <f t="shared" si="72"/>
        <v>12</v>
      </c>
      <c r="Y837" s="95">
        <f t="shared" si="73"/>
        <v>2021</v>
      </c>
      <c r="Z837" s="103" t="s">
        <v>265</v>
      </c>
      <c r="AA837">
        <f>IF(Tabla1[[#This Row],[Kerma en aire acumulada (Gy)]]&gt;1,SUMIF(G:G,Tabla1[[#This Row],[SIP]],I:I)-Tabla1[[#This Row],[Kerma en aire acumulada (Gy)]],"")</f>
        <v>0.62699999999999978</v>
      </c>
    </row>
    <row r="838" spans="2:27">
      <c r="C838" s="94" t="s">
        <v>1088</v>
      </c>
      <c r="D838" s="134" t="s">
        <v>1817</v>
      </c>
      <c r="E838" s="134" t="s">
        <v>1970</v>
      </c>
      <c r="F838" s="134" t="s">
        <v>1818</v>
      </c>
      <c r="G838" s="134">
        <v>3103319</v>
      </c>
      <c r="H838" s="135">
        <v>44544</v>
      </c>
      <c r="I838" s="134">
        <v>0.93284999999999996</v>
      </c>
      <c r="J838" s="134"/>
      <c r="K838" s="134"/>
      <c r="L838" s="134"/>
      <c r="M838" s="134"/>
      <c r="N838" s="134"/>
      <c r="O838" s="134"/>
      <c r="P838" s="134"/>
      <c r="Q838" s="134"/>
      <c r="R838" s="134"/>
      <c r="S838" s="134"/>
      <c r="T838" s="135">
        <v>19734</v>
      </c>
      <c r="U838" s="134"/>
      <c r="V838" s="134" t="s">
        <v>1711</v>
      </c>
      <c r="W838" s="92" t="str">
        <f t="shared" si="74"/>
        <v>Saturino Lobato,Iluminado</v>
      </c>
      <c r="X838" s="95">
        <f t="shared" si="72"/>
        <v>12</v>
      </c>
      <c r="Y838" s="95">
        <f t="shared" si="73"/>
        <v>2021</v>
      </c>
      <c r="Z838" s="103" t="s">
        <v>265</v>
      </c>
      <c r="AA838" t="str">
        <f>IF(Tabla1[[#This Row],[Kerma en aire acumulada (Gy)]]&gt;1,SUMIF(G:G,Tabla1[[#This Row],[SIP]],I:I)-Tabla1[[#This Row],[Kerma en aire acumulada (Gy)]],"")</f>
        <v/>
      </c>
    </row>
    <row r="839" spans="2:27">
      <c r="C839" s="94" t="s">
        <v>1088</v>
      </c>
      <c r="D839" s="134" t="s">
        <v>1901</v>
      </c>
      <c r="E839" s="134" t="s">
        <v>1977</v>
      </c>
      <c r="F839" s="134" t="s">
        <v>781</v>
      </c>
      <c r="G839" s="134">
        <v>3249063</v>
      </c>
      <c r="H839" s="135">
        <v>44544</v>
      </c>
      <c r="I839" s="134">
        <v>0.60650000000000004</v>
      </c>
      <c r="J839" s="134"/>
      <c r="K839" s="134"/>
      <c r="L839" s="134"/>
      <c r="M839" s="134"/>
      <c r="N839" s="134"/>
      <c r="O839" s="134"/>
      <c r="P839" s="134"/>
      <c r="Q839" s="134"/>
      <c r="R839" s="134"/>
      <c r="S839" s="134"/>
      <c r="T839" s="135">
        <v>23330</v>
      </c>
      <c r="U839" s="134"/>
      <c r="V839" s="134" t="s">
        <v>1293</v>
      </c>
      <c r="W839" s="92" t="str">
        <f t="shared" si="74"/>
        <v>Lezana Roldán,Armando</v>
      </c>
      <c r="X839" s="95">
        <f t="shared" si="72"/>
        <v>12</v>
      </c>
      <c r="Y839" s="95">
        <f t="shared" si="73"/>
        <v>2021</v>
      </c>
      <c r="Z839" s="103" t="s">
        <v>265</v>
      </c>
      <c r="AA839" t="str">
        <f>IF(Tabla1[[#This Row],[Kerma en aire acumulada (Gy)]]&gt;1,SUMIF(G:G,Tabla1[[#This Row],[SIP]],I:I)-Tabla1[[#This Row],[Kerma en aire acumulada (Gy)]],"")</f>
        <v/>
      </c>
    </row>
    <row r="840" spans="2:27">
      <c r="C840" s="94" t="s">
        <v>1088</v>
      </c>
      <c r="D840" s="134" t="s">
        <v>1007</v>
      </c>
      <c r="E840" s="134" t="s">
        <v>29</v>
      </c>
      <c r="F840" s="134" t="s">
        <v>1978</v>
      </c>
      <c r="G840" s="134">
        <v>7098294</v>
      </c>
      <c r="H840" s="135">
        <v>44544</v>
      </c>
      <c r="I840" s="134">
        <v>2.3310000000000001E-2</v>
      </c>
      <c r="J840" s="134"/>
      <c r="K840" s="134"/>
      <c r="L840" s="134"/>
      <c r="M840" s="134"/>
      <c r="N840" s="134"/>
      <c r="O840" s="134"/>
      <c r="P840" s="134"/>
      <c r="Q840" s="134"/>
      <c r="R840" s="134"/>
      <c r="S840" s="134"/>
      <c r="T840" s="140" t="s">
        <v>1979</v>
      </c>
      <c r="U840" s="134"/>
      <c r="V840" s="134" t="s">
        <v>1742</v>
      </c>
      <c r="W840" s="92" t="str">
        <f t="shared" si="74"/>
        <v>Miranda Castro,Andrés Mauricio</v>
      </c>
      <c r="X840" s="95">
        <f t="shared" si="72"/>
        <v>12</v>
      </c>
      <c r="Y840" s="95">
        <f t="shared" si="73"/>
        <v>2021</v>
      </c>
      <c r="Z840" s="103" t="s">
        <v>265</v>
      </c>
      <c r="AA840" t="str">
        <f>IF(Tabla1[[#This Row],[Kerma en aire acumulada (Gy)]]&gt;1,SUMIF(G:G,Tabla1[[#This Row],[SIP]],I:I)-Tabla1[[#This Row],[Kerma en aire acumulada (Gy)]],"")</f>
        <v/>
      </c>
    </row>
    <row r="841" spans="2:27">
      <c r="C841" s="94" t="s">
        <v>1088</v>
      </c>
      <c r="D841" s="134" t="s">
        <v>1967</v>
      </c>
      <c r="E841" s="134" t="s">
        <v>1009</v>
      </c>
      <c r="F841" s="134" t="s">
        <v>83</v>
      </c>
      <c r="G841" s="134">
        <v>5855054</v>
      </c>
      <c r="H841" s="135">
        <v>44545</v>
      </c>
      <c r="I841" s="134">
        <v>0.99397000000000002</v>
      </c>
      <c r="J841" s="134"/>
      <c r="K841" s="134"/>
      <c r="L841" s="134"/>
      <c r="M841" s="134"/>
      <c r="N841" s="134"/>
      <c r="O841" s="134"/>
      <c r="P841" s="134"/>
      <c r="Q841" s="134"/>
      <c r="R841" s="134"/>
      <c r="S841" s="134"/>
      <c r="T841" s="135">
        <v>19346</v>
      </c>
      <c r="U841" s="134"/>
      <c r="V841" s="134" t="s">
        <v>1711</v>
      </c>
      <c r="W841" s="92" t="str">
        <f t="shared" si="74"/>
        <v>Pecino Fernandez,Francisco</v>
      </c>
      <c r="X841" s="95">
        <f t="shared" si="72"/>
        <v>12</v>
      </c>
      <c r="Y841" s="95">
        <f t="shared" si="73"/>
        <v>2021</v>
      </c>
      <c r="Z841" s="103" t="s">
        <v>265</v>
      </c>
      <c r="AA841" t="str">
        <f>IF(Tabla1[[#This Row],[Kerma en aire acumulada (Gy)]]&gt;1,SUMIF(G:G,Tabla1[[#This Row],[SIP]],I:I)-Tabla1[[#This Row],[Kerma en aire acumulada (Gy)]],"")</f>
        <v/>
      </c>
    </row>
    <row r="842" spans="2:27">
      <c r="C842" s="94" t="s">
        <v>1088</v>
      </c>
      <c r="D842" s="134" t="s">
        <v>1968</v>
      </c>
      <c r="E842" s="134" t="s">
        <v>1969</v>
      </c>
      <c r="F842" s="134" t="s">
        <v>1104</v>
      </c>
      <c r="G842" s="134">
        <v>336415</v>
      </c>
      <c r="H842" s="135">
        <v>44545</v>
      </c>
      <c r="I842" s="134">
        <v>0.99397000000000002</v>
      </c>
      <c r="J842" s="134"/>
      <c r="K842" s="134"/>
      <c r="L842" s="134"/>
      <c r="M842" s="134"/>
      <c r="N842" s="134"/>
      <c r="O842" s="134"/>
      <c r="P842" s="134"/>
      <c r="Q842" s="134"/>
      <c r="R842" s="134"/>
      <c r="S842" s="134"/>
      <c r="T842" s="135">
        <v>22831</v>
      </c>
      <c r="U842" s="134"/>
      <c r="V842" s="134" t="s">
        <v>89</v>
      </c>
      <c r="W842" s="92" t="str">
        <f t="shared" si="74"/>
        <v>Bermudez Nogueira,Jose Luis</v>
      </c>
      <c r="X842" s="95">
        <f t="shared" si="72"/>
        <v>12</v>
      </c>
      <c r="Y842" s="95">
        <f t="shared" si="73"/>
        <v>2021</v>
      </c>
      <c r="Z842" s="103" t="s">
        <v>265</v>
      </c>
      <c r="AA842" t="str">
        <f>IF(Tabla1[[#This Row],[Kerma en aire acumulada (Gy)]]&gt;1,SUMIF(G:G,Tabla1[[#This Row],[SIP]],I:I)-Tabla1[[#This Row],[Kerma en aire acumulada (Gy)]],"")</f>
        <v/>
      </c>
    </row>
    <row r="843" spans="2:27">
      <c r="C843" s="94" t="s">
        <v>1088</v>
      </c>
      <c r="D843" s="134" t="s">
        <v>663</v>
      </c>
      <c r="E843" s="134" t="s">
        <v>1975</v>
      </c>
      <c r="F843" s="134" t="s">
        <v>1976</v>
      </c>
      <c r="G843" s="134">
        <v>3530558</v>
      </c>
      <c r="H843" s="135">
        <v>44545</v>
      </c>
      <c r="I843" s="134">
        <v>1.75E-3</v>
      </c>
      <c r="J843" s="134"/>
      <c r="K843" s="134"/>
      <c r="L843" s="134"/>
      <c r="M843" s="134"/>
      <c r="N843" s="134"/>
      <c r="O843" s="134"/>
      <c r="P843" s="134"/>
      <c r="Q843" s="134"/>
      <c r="R843" s="134"/>
      <c r="S843" s="134"/>
      <c r="T843" s="135">
        <v>29303</v>
      </c>
      <c r="U843" s="134"/>
      <c r="V843" s="134" t="s">
        <v>1300</v>
      </c>
      <c r="W843" s="92" t="str">
        <f t="shared" si="74"/>
        <v>Sanchis Berga,Sergio</v>
      </c>
      <c r="X843" s="95">
        <f t="shared" si="72"/>
        <v>12</v>
      </c>
      <c r="Y843" s="95">
        <f t="shared" si="73"/>
        <v>2021</v>
      </c>
      <c r="Z843" s="103" t="s">
        <v>265</v>
      </c>
      <c r="AA843" t="str">
        <f>IF(Tabla1[[#This Row],[Kerma en aire acumulada (Gy)]]&gt;1,SUMIF(G:G,Tabla1[[#This Row],[SIP]],I:I)-Tabla1[[#This Row],[Kerma en aire acumulada (Gy)]],"")</f>
        <v/>
      </c>
    </row>
    <row r="844" spans="2:27">
      <c r="C844" s="94" t="s">
        <v>1088</v>
      </c>
      <c r="D844" s="134" t="s">
        <v>948</v>
      </c>
      <c r="E844" s="134" t="s">
        <v>82</v>
      </c>
      <c r="F844" s="134" t="s">
        <v>28</v>
      </c>
      <c r="G844" s="134">
        <v>108052</v>
      </c>
      <c r="H844" s="135">
        <v>44545</v>
      </c>
      <c r="I844" s="134" t="s">
        <v>1188</v>
      </c>
      <c r="J844" s="134"/>
      <c r="K844" s="134"/>
      <c r="L844" s="134"/>
      <c r="M844" s="134"/>
      <c r="N844" s="134"/>
      <c r="O844" s="134"/>
      <c r="P844" s="134"/>
      <c r="Q844" s="134"/>
      <c r="R844" s="134"/>
      <c r="S844" s="134"/>
      <c r="T844" s="135">
        <v>24118</v>
      </c>
      <c r="U844" s="134"/>
      <c r="V844" s="134" t="s">
        <v>1214</v>
      </c>
      <c r="W844" s="92" t="str">
        <f t="shared" si="74"/>
        <v>Martinez Pascual,Josefa</v>
      </c>
      <c r="X844" s="95">
        <f t="shared" si="72"/>
        <v>12</v>
      </c>
      <c r="Y844" s="95">
        <f t="shared" si="73"/>
        <v>2021</v>
      </c>
      <c r="Z844" s="103" t="s">
        <v>265</v>
      </c>
      <c r="AA844" t="e">
        <f>IF(Tabla1[[#This Row],[Kerma en aire acumulada (Gy)]]&gt;1,SUMIF(G:G,Tabla1[[#This Row],[SIP]],I:I)-Tabla1[[#This Row],[Kerma en aire acumulada (Gy)]],"")</f>
        <v>#VALUE!</v>
      </c>
    </row>
    <row r="845" spans="2:27">
      <c r="B845" t="s">
        <v>716</v>
      </c>
      <c r="C845" s="94" t="s">
        <v>1088</v>
      </c>
      <c r="D845" s="134" t="s">
        <v>135</v>
      </c>
      <c r="E845" s="134" t="s">
        <v>319</v>
      </c>
      <c r="F845" s="134" t="s">
        <v>356</v>
      </c>
      <c r="G845" s="134">
        <v>1188313</v>
      </c>
      <c r="H845" s="135">
        <v>44545</v>
      </c>
      <c r="I845" s="134">
        <v>0.34320000000000001</v>
      </c>
      <c r="J845" s="134"/>
      <c r="K845" s="134"/>
      <c r="L845" s="134"/>
      <c r="M845" s="134"/>
      <c r="N845" s="134"/>
      <c r="O845" s="134"/>
      <c r="P845" s="134"/>
      <c r="Q845" s="134"/>
      <c r="R845" s="134"/>
      <c r="S845" s="134"/>
      <c r="T845" s="135">
        <v>22054</v>
      </c>
      <c r="U845" s="134"/>
      <c r="V845" s="134" t="s">
        <v>89</v>
      </c>
      <c r="W845" s="92" t="str">
        <f t="shared" si="74"/>
        <v>Arroyo Gonzalez,Manuel</v>
      </c>
      <c r="X845" s="95">
        <f t="shared" si="72"/>
        <v>12</v>
      </c>
      <c r="Y845" s="95">
        <f t="shared" si="73"/>
        <v>2021</v>
      </c>
      <c r="Z845" s="103" t="s">
        <v>265</v>
      </c>
      <c r="AA845" t="str">
        <f>IF(Tabla1[[#This Row],[Kerma en aire acumulada (Gy)]]&gt;1,SUMIF(G:G,Tabla1[[#This Row],[SIP]],I:I)-Tabla1[[#This Row],[Kerma en aire acumulada (Gy)]],"")</f>
        <v/>
      </c>
    </row>
    <row r="846" spans="2:27">
      <c r="C846" s="94" t="s">
        <v>1088</v>
      </c>
      <c r="D846" s="134" t="s">
        <v>836</v>
      </c>
      <c r="E846" s="134" t="s">
        <v>837</v>
      </c>
      <c r="F846" s="134" t="s">
        <v>88</v>
      </c>
      <c r="G846" s="134">
        <v>164032</v>
      </c>
      <c r="H846" s="135">
        <v>44546</v>
      </c>
      <c r="I846" s="134">
        <v>0.13836999999999999</v>
      </c>
      <c r="J846" s="134"/>
      <c r="K846" s="134"/>
      <c r="L846" s="134"/>
      <c r="M846" s="134"/>
      <c r="N846" s="134"/>
      <c r="O846" s="134"/>
      <c r="P846" s="134"/>
      <c r="Q846" s="134"/>
      <c r="R846" s="134"/>
      <c r="S846" s="134"/>
      <c r="T846" s="135">
        <v>21937</v>
      </c>
      <c r="U846" s="134"/>
      <c r="V846" s="134" t="s">
        <v>1742</v>
      </c>
      <c r="W846" s="92" t="str">
        <f t="shared" si="74"/>
        <v>Sapiña Fuertes,Vicente</v>
      </c>
      <c r="X846" s="95">
        <f t="shared" si="72"/>
        <v>12</v>
      </c>
      <c r="Y846" s="95">
        <f t="shared" si="73"/>
        <v>2021</v>
      </c>
      <c r="Z846" s="103" t="s">
        <v>265</v>
      </c>
      <c r="AA846" t="str">
        <f>IF(Tabla1[[#This Row],[Kerma en aire acumulada (Gy)]]&gt;1,SUMIF(G:G,Tabla1[[#This Row],[SIP]],I:I)-Tabla1[[#This Row],[Kerma en aire acumulada (Gy)]],"")</f>
        <v/>
      </c>
    </row>
    <row r="847" spans="2:27">
      <c r="C847" s="94" t="s">
        <v>1088</v>
      </c>
      <c r="D847" s="134" t="s">
        <v>1001</v>
      </c>
      <c r="E847" s="134" t="s">
        <v>1973</v>
      </c>
      <c r="F847" s="134" t="s">
        <v>1974</v>
      </c>
      <c r="G847" s="134">
        <v>6042079</v>
      </c>
      <c r="H847" s="135">
        <v>44546</v>
      </c>
      <c r="I847" s="134">
        <v>4.684E-2</v>
      </c>
      <c r="J847" s="134"/>
      <c r="K847" s="134"/>
      <c r="L847" s="134"/>
      <c r="M847" s="134"/>
      <c r="N847" s="134"/>
      <c r="O847" s="134"/>
      <c r="P847" s="134"/>
      <c r="Q847" s="134"/>
      <c r="R847" s="134"/>
      <c r="S847" s="134"/>
      <c r="T847" s="135">
        <v>26653</v>
      </c>
      <c r="U847" s="134"/>
      <c r="V847" s="134" t="s">
        <v>107</v>
      </c>
      <c r="W847" s="92" t="str">
        <f t="shared" si="74"/>
        <v>Perez Plata,Nelson</v>
      </c>
      <c r="X847" s="95">
        <f t="shared" si="72"/>
        <v>12</v>
      </c>
      <c r="Y847" s="95">
        <f t="shared" si="73"/>
        <v>2021</v>
      </c>
      <c r="Z847" s="103" t="s">
        <v>265</v>
      </c>
      <c r="AA847" t="str">
        <f>IF(Tabla1[[#This Row],[Kerma en aire acumulada (Gy)]]&gt;1,SUMIF(G:G,Tabla1[[#This Row],[SIP]],I:I)-Tabla1[[#This Row],[Kerma en aire acumulada (Gy)]],"")</f>
        <v/>
      </c>
    </row>
    <row r="848" spans="2:27">
      <c r="C848" s="94" t="s">
        <v>1088</v>
      </c>
      <c r="D848" s="134" t="s">
        <v>1965</v>
      </c>
      <c r="E848" s="134" t="s">
        <v>1966</v>
      </c>
      <c r="F848" s="134" t="s">
        <v>71</v>
      </c>
      <c r="G848" s="134">
        <v>3576139</v>
      </c>
      <c r="H848" s="135">
        <v>44547</v>
      </c>
      <c r="I848" s="134">
        <v>0.61997999999999998</v>
      </c>
      <c r="J848" s="134"/>
      <c r="K848" s="134"/>
      <c r="L848" s="134"/>
      <c r="M848" s="134"/>
      <c r="N848" s="134"/>
      <c r="O848" s="134"/>
      <c r="P848" s="134"/>
      <c r="Q848" s="134"/>
      <c r="R848" s="134"/>
      <c r="S848" s="134"/>
      <c r="T848" s="135">
        <v>26671</v>
      </c>
      <c r="U848" s="134"/>
      <c r="V848" s="134" t="s">
        <v>1711</v>
      </c>
      <c r="W848" s="92" t="str">
        <f t="shared" si="74"/>
        <v>Penades Cabedo,Rafael</v>
      </c>
      <c r="X848" s="95">
        <f t="shared" si="72"/>
        <v>12</v>
      </c>
      <c r="Y848" s="95">
        <f t="shared" si="73"/>
        <v>2021</v>
      </c>
      <c r="Z848" s="103" t="s">
        <v>265</v>
      </c>
      <c r="AA848" t="str">
        <f>IF(Tabla1[[#This Row],[Kerma en aire acumulada (Gy)]]&gt;1,SUMIF(G:G,Tabla1[[#This Row],[SIP]],I:I)-Tabla1[[#This Row],[Kerma en aire acumulada (Gy)]],"")</f>
        <v/>
      </c>
    </row>
    <row r="849" spans="3:27">
      <c r="C849" s="94" t="s">
        <v>1088</v>
      </c>
      <c r="D849" s="134" t="s">
        <v>169</v>
      </c>
      <c r="E849" s="134" t="s">
        <v>948</v>
      </c>
      <c r="F849" s="134" t="s">
        <v>1971</v>
      </c>
      <c r="G849" s="134">
        <v>2034916</v>
      </c>
      <c r="H849" s="135">
        <v>44550</v>
      </c>
      <c r="I849" s="134">
        <v>0.25522</v>
      </c>
      <c r="J849" s="134"/>
      <c r="K849" s="134"/>
      <c r="L849" s="134"/>
      <c r="M849" s="134"/>
      <c r="N849" s="134"/>
      <c r="O849" s="134"/>
      <c r="P849" s="134"/>
      <c r="Q849" s="134"/>
      <c r="R849" s="134"/>
      <c r="S849" s="134"/>
      <c r="T849" s="135">
        <v>27286</v>
      </c>
      <c r="U849" s="134"/>
      <c r="V849" s="134" t="s">
        <v>1921</v>
      </c>
      <c r="W849" s="92" t="str">
        <f t="shared" si="74"/>
        <v>Valero Martinez,Maria Teresa</v>
      </c>
      <c r="X849" s="95">
        <f t="shared" si="72"/>
        <v>12</v>
      </c>
      <c r="Y849" s="95">
        <f t="shared" si="73"/>
        <v>2021</v>
      </c>
      <c r="Z849" s="103" t="s">
        <v>265</v>
      </c>
      <c r="AA849" t="str">
        <f>IF(Tabla1[[#This Row],[Kerma en aire acumulada (Gy)]]&gt;1,SUMIF(G:G,Tabla1[[#This Row],[SIP]],I:I)-Tabla1[[#This Row],[Kerma en aire acumulada (Gy)]],"")</f>
        <v/>
      </c>
    </row>
    <row r="850" spans="3:27">
      <c r="C850" s="94" t="s">
        <v>1088</v>
      </c>
      <c r="D850" s="134" t="s">
        <v>1972</v>
      </c>
      <c r="E850" s="134" t="s">
        <v>1276</v>
      </c>
      <c r="F850" s="134" t="s">
        <v>1059</v>
      </c>
      <c r="G850" s="134">
        <v>2927701</v>
      </c>
      <c r="H850" s="135">
        <v>44550</v>
      </c>
      <c r="I850" s="134">
        <v>0.25584000000000001</v>
      </c>
      <c r="J850" s="134"/>
      <c r="K850" s="134"/>
      <c r="L850" s="134"/>
      <c r="M850" s="134"/>
      <c r="N850" s="134"/>
      <c r="O850" s="134"/>
      <c r="P850" s="134"/>
      <c r="Q850" s="134"/>
      <c r="R850" s="134"/>
      <c r="S850" s="134"/>
      <c r="T850" s="135">
        <v>23701</v>
      </c>
      <c r="U850" s="134"/>
      <c r="V850" s="134" t="s">
        <v>151</v>
      </c>
      <c r="W850" s="92" t="str">
        <f t="shared" si="74"/>
        <v>Saez Alvarez,M Desamparados</v>
      </c>
      <c r="X850" s="95">
        <f t="shared" si="72"/>
        <v>12</v>
      </c>
      <c r="Y850" s="95">
        <f t="shared" si="73"/>
        <v>2021</v>
      </c>
      <c r="Z850" s="103" t="s">
        <v>265</v>
      </c>
      <c r="AA850" t="str">
        <f>IF(Tabla1[[#This Row],[Kerma en aire acumulada (Gy)]]&gt;1,SUMIF(G:G,Tabla1[[#This Row],[SIP]],I:I)-Tabla1[[#This Row],[Kerma en aire acumulada (Gy)]],"")</f>
        <v/>
      </c>
    </row>
    <row r="851" spans="3:27">
      <c r="C851" s="94" t="s">
        <v>1088</v>
      </c>
      <c r="D851" s="134" t="s">
        <v>634</v>
      </c>
      <c r="E851" s="134" t="s">
        <v>1011</v>
      </c>
      <c r="F851" s="134" t="s">
        <v>1020</v>
      </c>
      <c r="G851" s="134">
        <v>3563590</v>
      </c>
      <c r="H851" s="135">
        <v>44550</v>
      </c>
      <c r="I851" s="134">
        <v>0.69123999999999997</v>
      </c>
      <c r="J851" s="134"/>
      <c r="K851" s="134"/>
      <c r="L851" s="134"/>
      <c r="M851" s="134"/>
      <c r="N851" s="134"/>
      <c r="O851" s="134"/>
      <c r="P851" s="134"/>
      <c r="Q851" s="134"/>
      <c r="R851" s="134"/>
      <c r="S851" s="134"/>
      <c r="T851" s="135">
        <v>23001</v>
      </c>
      <c r="U851" s="134"/>
      <c r="V851" s="134" t="s">
        <v>107</v>
      </c>
      <c r="W851" s="92" t="str">
        <f t="shared" si="74"/>
        <v>Gil Andres,Rafael Antonio</v>
      </c>
      <c r="X851" s="95">
        <f t="shared" si="72"/>
        <v>12</v>
      </c>
      <c r="Y851" s="95">
        <f t="shared" si="73"/>
        <v>2021</v>
      </c>
      <c r="Z851" s="103" t="s">
        <v>265</v>
      </c>
      <c r="AA851" t="str">
        <f>IF(Tabla1[[#This Row],[Kerma en aire acumulada (Gy)]]&gt;1,SUMIF(G:G,Tabla1[[#This Row],[SIP]],I:I)-Tabla1[[#This Row],[Kerma en aire acumulada (Gy)]],"")</f>
        <v/>
      </c>
    </row>
    <row r="852" spans="3:27">
      <c r="C852" s="94" t="s">
        <v>1088</v>
      </c>
      <c r="D852" s="134" t="s">
        <v>772</v>
      </c>
      <c r="E852" s="134" t="s">
        <v>1988</v>
      </c>
      <c r="F852" s="134" t="s">
        <v>724</v>
      </c>
      <c r="G852" s="134">
        <v>2897472</v>
      </c>
      <c r="H852" s="135">
        <v>44552</v>
      </c>
      <c r="I852" s="134">
        <v>0.23042000000000001</v>
      </c>
      <c r="J852" s="134"/>
      <c r="K852" s="134"/>
      <c r="L852" s="134"/>
      <c r="M852" s="134"/>
      <c r="N852" s="134"/>
      <c r="O852" s="134"/>
      <c r="P852" s="134"/>
      <c r="Q852" s="134"/>
      <c r="R852" s="134"/>
      <c r="S852" s="134"/>
      <c r="T852" s="135">
        <v>27442</v>
      </c>
      <c r="U852" s="134"/>
      <c r="V852" s="134" t="s">
        <v>819</v>
      </c>
      <c r="W852" s="92" t="str">
        <f t="shared" si="74"/>
        <v>Sanchez Juarez,Ignacio</v>
      </c>
      <c r="X852" s="95">
        <f t="shared" si="72"/>
        <v>12</v>
      </c>
      <c r="Y852" s="95">
        <f t="shared" si="73"/>
        <v>2021</v>
      </c>
      <c r="Z852" s="103" t="s">
        <v>265</v>
      </c>
      <c r="AA852" t="str">
        <f>IF(Tabla1[[#This Row],[Kerma en aire acumulada (Gy)]]&gt;1,SUMIF(G:G,Tabla1[[#This Row],[SIP]],I:I)-Tabla1[[#This Row],[Kerma en aire acumulada (Gy)]],"")</f>
        <v/>
      </c>
    </row>
    <row r="853" spans="3:27">
      <c r="C853" s="94" t="s">
        <v>1088</v>
      </c>
      <c r="D853" s="134" t="s">
        <v>1999</v>
      </c>
      <c r="E853" s="134"/>
      <c r="F853" s="134" t="s">
        <v>531</v>
      </c>
      <c r="G853" s="134">
        <v>6912587</v>
      </c>
      <c r="H853" s="135">
        <v>44552</v>
      </c>
      <c r="I853" s="134">
        <v>9.0279999999999999E-2</v>
      </c>
      <c r="J853" s="134"/>
      <c r="K853" s="134"/>
      <c r="L853" s="134"/>
      <c r="M853" s="134"/>
      <c r="N853" s="134"/>
      <c r="O853" s="134"/>
      <c r="P853" s="134"/>
      <c r="Q853" s="134"/>
      <c r="R853" s="134"/>
      <c r="S853" s="134"/>
      <c r="T853" s="135">
        <v>28097</v>
      </c>
      <c r="U853" s="134"/>
      <c r="V853" s="134" t="s">
        <v>1943</v>
      </c>
      <c r="W853" s="92" t="str">
        <f t="shared" si="74"/>
        <v>Rebbets ,Emma</v>
      </c>
      <c r="X853" s="95">
        <f t="shared" ref="X853:X916" si="75">MONTH(H853)</f>
        <v>12</v>
      </c>
      <c r="Y853" s="95">
        <f t="shared" ref="Y853:Y916" si="76">YEAR(H853)</f>
        <v>2021</v>
      </c>
      <c r="Z853" s="103" t="s">
        <v>265</v>
      </c>
      <c r="AA853" t="str">
        <f>IF(Tabla1[[#This Row],[Kerma en aire acumulada (Gy)]]&gt;1,SUMIF(G:G,Tabla1[[#This Row],[SIP]],I:I)-Tabla1[[#This Row],[Kerma en aire acumulada (Gy)]],"")</f>
        <v/>
      </c>
    </row>
    <row r="854" spans="3:27">
      <c r="C854" s="94" t="s">
        <v>1088</v>
      </c>
      <c r="D854" s="134" t="s">
        <v>2000</v>
      </c>
      <c r="E854" s="134" t="s">
        <v>916</v>
      </c>
      <c r="F854" s="134" t="s">
        <v>83</v>
      </c>
      <c r="G854" s="134">
        <v>2287162</v>
      </c>
      <c r="H854" s="135">
        <v>44552</v>
      </c>
      <c r="I854" s="134">
        <v>0.53247</v>
      </c>
      <c r="J854" s="134"/>
      <c r="K854" s="134"/>
      <c r="L854" s="134"/>
      <c r="M854" s="134"/>
      <c r="N854" s="134"/>
      <c r="O854" s="134"/>
      <c r="P854" s="134"/>
      <c r="Q854" s="134"/>
      <c r="R854" s="134"/>
      <c r="S854" s="134"/>
      <c r="T854" s="135">
        <v>28776</v>
      </c>
      <c r="U854" s="134"/>
      <c r="V854" s="134" t="s">
        <v>1061</v>
      </c>
      <c r="W854" s="92" t="str">
        <f t="shared" si="74"/>
        <v>Torajada Salazar,Francisco</v>
      </c>
      <c r="X854" s="95">
        <f t="shared" si="75"/>
        <v>12</v>
      </c>
      <c r="Y854" s="95">
        <f t="shared" si="76"/>
        <v>2021</v>
      </c>
      <c r="Z854" s="103" t="s">
        <v>265</v>
      </c>
      <c r="AA854" t="str">
        <f>IF(Tabla1[[#This Row],[Kerma en aire acumulada (Gy)]]&gt;1,SUMIF(G:G,Tabla1[[#This Row],[SIP]],I:I)-Tabla1[[#This Row],[Kerma en aire acumulada (Gy)]],"")</f>
        <v/>
      </c>
    </row>
    <row r="855" spans="3:27">
      <c r="C855" s="94" t="s">
        <v>1088</v>
      </c>
      <c r="D855" s="134" t="s">
        <v>1983</v>
      </c>
      <c r="E855" s="134" t="s">
        <v>1984</v>
      </c>
      <c r="F855" s="134" t="s">
        <v>1985</v>
      </c>
      <c r="G855" s="134">
        <v>3371452</v>
      </c>
      <c r="H855" s="135">
        <v>44553</v>
      </c>
      <c r="I855" s="134">
        <v>1.044E-2</v>
      </c>
      <c r="J855" s="134"/>
      <c r="K855" s="134"/>
      <c r="L855" s="134"/>
      <c r="M855" s="134"/>
      <c r="N855" s="134"/>
      <c r="O855" s="134"/>
      <c r="P855" s="134"/>
      <c r="Q855" s="134"/>
      <c r="R855" s="134"/>
      <c r="S855" s="134"/>
      <c r="T855" s="135">
        <v>17326</v>
      </c>
      <c r="U855" s="134"/>
      <c r="V855" s="134" t="s">
        <v>1653</v>
      </c>
      <c r="W855" s="92" t="str">
        <f t="shared" si="74"/>
        <v>Noheda De la Torre,Octavio</v>
      </c>
      <c r="X855" s="95">
        <f t="shared" si="75"/>
        <v>12</v>
      </c>
      <c r="Y855" s="95">
        <f t="shared" si="76"/>
        <v>2021</v>
      </c>
      <c r="Z855" s="103" t="s">
        <v>265</v>
      </c>
      <c r="AA855" t="str">
        <f>IF(Tabla1[[#This Row],[Kerma en aire acumulada (Gy)]]&gt;1,SUMIF(G:G,Tabla1[[#This Row],[SIP]],I:I)-Tabla1[[#This Row],[Kerma en aire acumulada (Gy)]],"")</f>
        <v/>
      </c>
    </row>
    <row r="856" spans="3:27">
      <c r="C856" s="94" t="s">
        <v>1088</v>
      </c>
      <c r="D856" s="134" t="s">
        <v>1986</v>
      </c>
      <c r="E856" s="134" t="s">
        <v>22</v>
      </c>
      <c r="F856" s="134" t="s">
        <v>548</v>
      </c>
      <c r="G856" s="134">
        <v>2146154</v>
      </c>
      <c r="H856" s="135">
        <v>44553</v>
      </c>
      <c r="I856" s="134">
        <v>9.3799999999999994E-3</v>
      </c>
      <c r="J856" s="134"/>
      <c r="K856" s="134"/>
      <c r="L856" s="134"/>
      <c r="M856" s="134"/>
      <c r="N856" s="134"/>
      <c r="O856" s="134"/>
      <c r="P856" s="134"/>
      <c r="Q856" s="134"/>
      <c r="R856" s="134"/>
      <c r="S856" s="134"/>
      <c r="T856" s="135">
        <v>16993</v>
      </c>
      <c r="U856" s="134"/>
      <c r="V856" s="134" t="s">
        <v>1653</v>
      </c>
      <c r="W856" s="92" t="str">
        <f t="shared" si="74"/>
        <v>Picazo Ruiz,Benito</v>
      </c>
      <c r="X856" s="95">
        <f t="shared" si="75"/>
        <v>12</v>
      </c>
      <c r="Y856" s="95">
        <f t="shared" si="76"/>
        <v>2021</v>
      </c>
      <c r="Z856" s="103" t="s">
        <v>265</v>
      </c>
      <c r="AA856" t="str">
        <f>IF(Tabla1[[#This Row],[Kerma en aire acumulada (Gy)]]&gt;1,SUMIF(G:G,Tabla1[[#This Row],[SIP]],I:I)-Tabla1[[#This Row],[Kerma en aire acumulada (Gy)]],"")</f>
        <v/>
      </c>
    </row>
    <row r="857" spans="3:27">
      <c r="C857" s="94" t="s">
        <v>1088</v>
      </c>
      <c r="D857" s="134" t="s">
        <v>268</v>
      </c>
      <c r="E857" s="134" t="s">
        <v>145</v>
      </c>
      <c r="F857" s="134" t="s">
        <v>1139</v>
      </c>
      <c r="G857" s="134">
        <v>1242009</v>
      </c>
      <c r="H857" s="135">
        <v>44553</v>
      </c>
      <c r="I857" s="134">
        <v>0.44962000000000002</v>
      </c>
      <c r="J857" s="134"/>
      <c r="K857" s="134"/>
      <c r="L857" s="134"/>
      <c r="M857" s="134"/>
      <c r="N857" s="134"/>
      <c r="O857" s="134"/>
      <c r="P857" s="134"/>
      <c r="Q857" s="134"/>
      <c r="R857" s="134"/>
      <c r="S857" s="134"/>
      <c r="T857" s="135">
        <v>19103</v>
      </c>
      <c r="U857" s="134"/>
      <c r="V857" s="134" t="s">
        <v>107</v>
      </c>
      <c r="W857" s="92" t="str">
        <f t="shared" si="74"/>
        <v>Fontestad Crespo,Jose Vicente</v>
      </c>
      <c r="X857" s="95">
        <f t="shared" si="75"/>
        <v>12</v>
      </c>
      <c r="Y857" s="95">
        <f t="shared" si="76"/>
        <v>2021</v>
      </c>
      <c r="Z857" s="103" t="s">
        <v>265</v>
      </c>
      <c r="AA857" t="str">
        <f>IF(Tabla1[[#This Row],[Kerma en aire acumulada (Gy)]]&gt;1,SUMIF(G:G,Tabla1[[#This Row],[SIP]],I:I)-Tabla1[[#This Row],[Kerma en aire acumulada (Gy)]],"")</f>
        <v/>
      </c>
    </row>
    <row r="858" spans="3:27">
      <c r="C858" s="94" t="s">
        <v>1088</v>
      </c>
      <c r="D858" s="134" t="s">
        <v>1987</v>
      </c>
      <c r="E858" s="134" t="s">
        <v>30</v>
      </c>
      <c r="F858" s="134" t="s">
        <v>131</v>
      </c>
      <c r="G858" s="134">
        <v>1849414</v>
      </c>
      <c r="H858" s="135">
        <v>44553</v>
      </c>
      <c r="I858" s="134">
        <v>0.47620000000000001</v>
      </c>
      <c r="J858" s="134"/>
      <c r="K858" s="134"/>
      <c r="L858" s="134"/>
      <c r="M858" s="134"/>
      <c r="N858" s="134"/>
      <c r="O858" s="134"/>
      <c r="P858" s="134"/>
      <c r="Q858" s="134"/>
      <c r="R858" s="134"/>
      <c r="S858" s="134"/>
      <c r="T858" s="135">
        <v>14231</v>
      </c>
      <c r="U858" s="134"/>
      <c r="V858" s="134" t="s">
        <v>550</v>
      </c>
      <c r="W858" s="92" t="str">
        <f t="shared" si="74"/>
        <v>Nacher Soler,Salvador</v>
      </c>
      <c r="X858" s="95">
        <f t="shared" si="75"/>
        <v>12</v>
      </c>
      <c r="Y858" s="95">
        <f t="shared" si="76"/>
        <v>2021</v>
      </c>
      <c r="Z858" s="103" t="s">
        <v>265</v>
      </c>
      <c r="AA858" t="str">
        <f>IF(Tabla1[[#This Row],[Kerma en aire acumulada (Gy)]]&gt;1,SUMIF(G:G,Tabla1[[#This Row],[SIP]],I:I)-Tabla1[[#This Row],[Kerma en aire acumulada (Gy)]],"")</f>
        <v/>
      </c>
    </row>
    <row r="859" spans="3:27">
      <c r="C859" s="94" t="s">
        <v>1088</v>
      </c>
      <c r="D859" s="134" t="s">
        <v>663</v>
      </c>
      <c r="E859" s="134" t="s">
        <v>365</v>
      </c>
      <c r="F859" s="134" t="s">
        <v>88</v>
      </c>
      <c r="G859" s="134">
        <v>3802484</v>
      </c>
      <c r="H859" s="135">
        <v>44553</v>
      </c>
      <c r="I859" s="134">
        <v>0.82789000000000001</v>
      </c>
      <c r="J859" s="134"/>
      <c r="K859" s="134"/>
      <c r="L859" s="134"/>
      <c r="M859" s="134"/>
      <c r="N859" s="134"/>
      <c r="O859" s="134"/>
      <c r="P859" s="134"/>
      <c r="Q859" s="134"/>
      <c r="R859" s="134"/>
      <c r="S859" s="134"/>
      <c r="T859" s="135">
        <v>22505</v>
      </c>
      <c r="U859" s="134"/>
      <c r="V859" s="134" t="s">
        <v>89</v>
      </c>
      <c r="W859" s="92" t="str">
        <f t="shared" si="74"/>
        <v>Sanchis Collado,Vicente</v>
      </c>
      <c r="X859" s="95">
        <f t="shared" si="75"/>
        <v>12</v>
      </c>
      <c r="Y859" s="95">
        <f t="shared" si="76"/>
        <v>2021</v>
      </c>
      <c r="Z859" s="103" t="s">
        <v>265</v>
      </c>
      <c r="AA859" t="str">
        <f>IF(Tabla1[[#This Row],[Kerma en aire acumulada (Gy)]]&gt;1,SUMIF(G:G,Tabla1[[#This Row],[SIP]],I:I)-Tabla1[[#This Row],[Kerma en aire acumulada (Gy)]],"")</f>
        <v/>
      </c>
    </row>
    <row r="860" spans="3:27">
      <c r="C860" s="94" t="s">
        <v>1088</v>
      </c>
      <c r="D860" s="134" t="s">
        <v>1997</v>
      </c>
      <c r="E860" s="134" t="s">
        <v>1998</v>
      </c>
      <c r="F860" s="134" t="s">
        <v>321</v>
      </c>
      <c r="G860" s="134">
        <v>13372839</v>
      </c>
      <c r="H860" s="135">
        <v>44555</v>
      </c>
      <c r="I860" s="134">
        <v>0.28136</v>
      </c>
      <c r="J860" s="134"/>
      <c r="K860" s="134"/>
      <c r="L860" s="134"/>
      <c r="M860" s="134"/>
      <c r="N860" s="134"/>
      <c r="O860" s="134"/>
      <c r="P860" s="134"/>
      <c r="Q860" s="134"/>
      <c r="R860" s="134"/>
      <c r="S860" s="134"/>
      <c r="T860" s="135">
        <v>14710</v>
      </c>
      <c r="U860" s="134"/>
      <c r="V860" s="134" t="s">
        <v>550</v>
      </c>
      <c r="W860" s="92" t="str">
        <f t="shared" si="74"/>
        <v>Canaletas Puigpey,Esteban</v>
      </c>
      <c r="X860" s="95">
        <f t="shared" si="75"/>
        <v>12</v>
      </c>
      <c r="Y860" s="95">
        <f t="shared" si="76"/>
        <v>2021</v>
      </c>
      <c r="Z860" s="103" t="s">
        <v>265</v>
      </c>
      <c r="AA860" t="str">
        <f>IF(Tabla1[[#This Row],[Kerma en aire acumulada (Gy)]]&gt;1,SUMIF(G:G,Tabla1[[#This Row],[SIP]],I:I)-Tabla1[[#This Row],[Kerma en aire acumulada (Gy)]],"")</f>
        <v/>
      </c>
    </row>
    <row r="861" spans="3:27">
      <c r="C861" s="94" t="s">
        <v>1088</v>
      </c>
      <c r="D861" s="134" t="s">
        <v>948</v>
      </c>
      <c r="E861" s="134" t="s">
        <v>1001</v>
      </c>
      <c r="F861" s="134" t="s">
        <v>1766</v>
      </c>
      <c r="G861" s="134">
        <v>3192400</v>
      </c>
      <c r="H861" s="135">
        <v>44557</v>
      </c>
      <c r="I861" s="134">
        <v>3.1900000000000001E-3</v>
      </c>
      <c r="J861" s="134"/>
      <c r="K861" s="134"/>
      <c r="L861" s="134"/>
      <c r="M861" s="134"/>
      <c r="N861" s="134"/>
      <c r="O861" s="134"/>
      <c r="P861" s="134"/>
      <c r="Q861" s="134"/>
      <c r="R861" s="134"/>
      <c r="S861" s="134"/>
      <c r="T861" s="135">
        <v>17966</v>
      </c>
      <c r="U861" s="134"/>
      <c r="V861" s="134" t="s">
        <v>1274</v>
      </c>
      <c r="W861" s="92" t="str">
        <f t="shared" si="74"/>
        <v>Martinez Perez,Gabriel</v>
      </c>
      <c r="X861" s="95">
        <f t="shared" si="75"/>
        <v>12</v>
      </c>
      <c r="Y861" s="95">
        <f t="shared" si="76"/>
        <v>2021</v>
      </c>
      <c r="Z861" s="103" t="s">
        <v>265</v>
      </c>
      <c r="AA861" t="str">
        <f>IF(Tabla1[[#This Row],[Kerma en aire acumulada (Gy)]]&gt;1,SUMIF(G:G,Tabla1[[#This Row],[SIP]],I:I)-Tabla1[[#This Row],[Kerma en aire acumulada (Gy)]],"")</f>
        <v/>
      </c>
    </row>
    <row r="862" spans="3:27">
      <c r="C862" s="94" t="s">
        <v>1088</v>
      </c>
      <c r="D862" s="134" t="s">
        <v>997</v>
      </c>
      <c r="E862" s="134" t="s">
        <v>1003</v>
      </c>
      <c r="F862" s="134" t="s">
        <v>1229</v>
      </c>
      <c r="G862" s="134">
        <v>8153148</v>
      </c>
      <c r="H862" s="135">
        <v>44557</v>
      </c>
      <c r="I862" s="134">
        <v>5.62E-3</v>
      </c>
      <c r="J862" s="134"/>
      <c r="K862" s="134"/>
      <c r="L862" s="134"/>
      <c r="M862" s="134"/>
      <c r="N862" s="134"/>
      <c r="O862" s="134"/>
      <c r="P862" s="134"/>
      <c r="Q862" s="134"/>
      <c r="R862" s="134"/>
      <c r="S862" s="134"/>
      <c r="T862" s="135">
        <v>21938</v>
      </c>
      <c r="U862" s="134"/>
      <c r="V862" s="134" t="s">
        <v>1274</v>
      </c>
      <c r="W862" s="92" t="str">
        <f t="shared" si="74"/>
        <v>Real Romero,Augustin</v>
      </c>
      <c r="X862" s="95">
        <f t="shared" si="75"/>
        <v>12</v>
      </c>
      <c r="Y862" s="95">
        <f t="shared" si="76"/>
        <v>2021</v>
      </c>
      <c r="Z862" s="103" t="s">
        <v>265</v>
      </c>
      <c r="AA862" t="str">
        <f>IF(Tabla1[[#This Row],[Kerma en aire acumulada (Gy)]]&gt;1,SUMIF(G:G,Tabla1[[#This Row],[SIP]],I:I)-Tabla1[[#This Row],[Kerma en aire acumulada (Gy)]],"")</f>
        <v/>
      </c>
    </row>
    <row r="863" spans="3:27">
      <c r="C863" s="94" t="s">
        <v>1088</v>
      </c>
      <c r="D863" s="134" t="s">
        <v>1994</v>
      </c>
      <c r="E863" s="134" t="s">
        <v>839</v>
      </c>
      <c r="F863" s="134" t="s">
        <v>83</v>
      </c>
      <c r="G863" s="134">
        <v>3848081</v>
      </c>
      <c r="H863" s="135">
        <v>44557</v>
      </c>
      <c r="I863" s="134">
        <v>3.6000000000000002E-4</v>
      </c>
      <c r="J863" s="134"/>
      <c r="K863" s="134"/>
      <c r="L863" s="134"/>
      <c r="M863" s="134"/>
      <c r="N863" s="134"/>
      <c r="O863" s="134"/>
      <c r="P863" s="134"/>
      <c r="Q863" s="134"/>
      <c r="R863" s="134"/>
      <c r="S863" s="134"/>
      <c r="T863" s="135">
        <v>27528</v>
      </c>
      <c r="U863" s="134"/>
      <c r="V863" s="134" t="s">
        <v>1274</v>
      </c>
      <c r="W863" s="92" t="str">
        <f t="shared" si="74"/>
        <v>Chilet Ferrer,Francisco</v>
      </c>
      <c r="X863" s="95">
        <f t="shared" si="75"/>
        <v>12</v>
      </c>
      <c r="Y863" s="95">
        <f t="shared" si="76"/>
        <v>2021</v>
      </c>
      <c r="Z863" s="103" t="s">
        <v>265</v>
      </c>
      <c r="AA863" t="str">
        <f>IF(Tabla1[[#This Row],[Kerma en aire acumulada (Gy)]]&gt;1,SUMIF(G:G,Tabla1[[#This Row],[SIP]],I:I)-Tabla1[[#This Row],[Kerma en aire acumulada (Gy)]],"")</f>
        <v/>
      </c>
    </row>
    <row r="864" spans="3:27">
      <c r="C864" s="94" t="s">
        <v>1088</v>
      </c>
      <c r="D864" s="134" t="s">
        <v>69</v>
      </c>
      <c r="E864" s="134" t="s">
        <v>66</v>
      </c>
      <c r="F864" s="134" t="s">
        <v>1137</v>
      </c>
      <c r="G864" s="134">
        <v>37916294</v>
      </c>
      <c r="H864" s="135">
        <v>44557</v>
      </c>
      <c r="I864" s="134">
        <v>5.0000000000000002E-5</v>
      </c>
      <c r="J864" s="134"/>
      <c r="K864" s="134"/>
      <c r="L864" s="134"/>
      <c r="M864" s="134"/>
      <c r="N864" s="134"/>
      <c r="O864" s="134"/>
      <c r="P864" s="134"/>
      <c r="Q864" s="134"/>
      <c r="R864" s="134"/>
      <c r="S864" s="134"/>
      <c r="T864" s="135">
        <v>17691</v>
      </c>
      <c r="U864" s="134"/>
      <c r="V864" s="134" t="s">
        <v>1274</v>
      </c>
      <c r="W864" s="92" t="str">
        <f t="shared" si="74"/>
        <v>García  Navarro,Lucia</v>
      </c>
      <c r="X864" s="95">
        <f t="shared" si="75"/>
        <v>12</v>
      </c>
      <c r="Y864" s="95">
        <f t="shared" si="76"/>
        <v>2021</v>
      </c>
      <c r="Z864" s="103" t="s">
        <v>265</v>
      </c>
      <c r="AA864" t="str">
        <f>IF(Tabla1[[#This Row],[Kerma en aire acumulada (Gy)]]&gt;1,SUMIF(G:G,Tabla1[[#This Row],[SIP]],I:I)-Tabla1[[#This Row],[Kerma en aire acumulada (Gy)]],"")</f>
        <v/>
      </c>
    </row>
    <row r="865" spans="3:27">
      <c r="C865" s="94" t="s">
        <v>1088</v>
      </c>
      <c r="D865" s="134" t="s">
        <v>1995</v>
      </c>
      <c r="E865" s="134" t="s">
        <v>1996</v>
      </c>
      <c r="F865" s="134" t="s">
        <v>68</v>
      </c>
      <c r="G865" s="134">
        <v>3202950</v>
      </c>
      <c r="H865" s="135">
        <v>44557</v>
      </c>
      <c r="I865" s="134">
        <v>3.4000000000000002E-4</v>
      </c>
      <c r="J865" s="134"/>
      <c r="K865" s="134"/>
      <c r="L865" s="134"/>
      <c r="M865" s="134"/>
      <c r="N865" s="134"/>
      <c r="O865" s="134"/>
      <c r="P865" s="134"/>
      <c r="Q865" s="134"/>
      <c r="R865" s="134"/>
      <c r="S865" s="134"/>
      <c r="T865" s="135">
        <v>16404</v>
      </c>
      <c r="U865" s="134"/>
      <c r="V865" s="134" t="s">
        <v>1300</v>
      </c>
      <c r="W865" s="92" t="str">
        <f t="shared" si="74"/>
        <v>Carpena  Azorin,Juan</v>
      </c>
      <c r="X865" s="95">
        <f t="shared" si="75"/>
        <v>12</v>
      </c>
      <c r="Y865" s="95">
        <f t="shared" si="76"/>
        <v>2021</v>
      </c>
      <c r="Z865" s="103" t="s">
        <v>265</v>
      </c>
      <c r="AA865" t="str">
        <f>IF(Tabla1[[#This Row],[Kerma en aire acumulada (Gy)]]&gt;1,SUMIF(G:G,Tabla1[[#This Row],[SIP]],I:I)-Tabla1[[#This Row],[Kerma en aire acumulada (Gy)]],"")</f>
        <v/>
      </c>
    </row>
    <row r="866" spans="3:27">
      <c r="C866" s="94" t="s">
        <v>1088</v>
      </c>
      <c r="D866" s="134" t="s">
        <v>948</v>
      </c>
      <c r="E866" s="134" t="s">
        <v>1993</v>
      </c>
      <c r="F866" s="134" t="s">
        <v>88</v>
      </c>
      <c r="G866" s="134">
        <v>3285365</v>
      </c>
      <c r="H866" s="135">
        <v>44558</v>
      </c>
      <c r="I866" s="134">
        <v>1.1559999999999999E-3</v>
      </c>
      <c r="J866" s="134"/>
      <c r="K866" s="134"/>
      <c r="L866" s="134"/>
      <c r="M866" s="134"/>
      <c r="N866" s="134"/>
      <c r="O866" s="134"/>
      <c r="P866" s="134"/>
      <c r="Q866" s="134"/>
      <c r="R866" s="134"/>
      <c r="S866" s="134"/>
      <c r="T866" s="135">
        <v>19650</v>
      </c>
      <c r="U866" s="134"/>
      <c r="V866" s="134" t="s">
        <v>1767</v>
      </c>
      <c r="W866" s="92" t="str">
        <f t="shared" si="74"/>
        <v>Martinez Judar,Vicente</v>
      </c>
      <c r="X866" s="95">
        <f t="shared" si="75"/>
        <v>12</v>
      </c>
      <c r="Y866" s="95">
        <f t="shared" si="76"/>
        <v>2021</v>
      </c>
      <c r="Z866" s="103" t="s">
        <v>265</v>
      </c>
      <c r="AA866" t="str">
        <f>IF(Tabla1[[#This Row],[Kerma en aire acumulada (Gy)]]&gt;1,SUMIF(G:G,Tabla1[[#This Row],[SIP]],I:I)-Tabla1[[#This Row],[Kerma en aire acumulada (Gy)]],"")</f>
        <v/>
      </c>
    </row>
    <row r="867" spans="3:27">
      <c r="C867" s="94" t="s">
        <v>1088</v>
      </c>
      <c r="D867" s="134" t="s">
        <v>1989</v>
      </c>
      <c r="E867" s="134" t="s">
        <v>865</v>
      </c>
      <c r="F867" s="134" t="s">
        <v>1990</v>
      </c>
      <c r="G867" s="134">
        <v>242936</v>
      </c>
      <c r="H867" s="135">
        <v>44559</v>
      </c>
      <c r="I867" s="134">
        <v>0.15836</v>
      </c>
      <c r="J867" s="134"/>
      <c r="K867" s="134"/>
      <c r="L867" s="134"/>
      <c r="M867" s="134"/>
      <c r="N867" s="134"/>
      <c r="O867" s="134"/>
      <c r="P867" s="134"/>
      <c r="Q867" s="134"/>
      <c r="R867" s="134"/>
      <c r="S867" s="134"/>
      <c r="T867" s="135">
        <v>25309</v>
      </c>
      <c r="U867" s="134"/>
      <c r="V867" s="134" t="s">
        <v>1126</v>
      </c>
      <c r="W867" s="92" t="str">
        <f t="shared" ref="W867:W930" si="77">CONCATENATE(D867,$A$591,E867,",",F867)</f>
        <v>Escirva  Faus,Jose Ramon</v>
      </c>
      <c r="X867" s="95">
        <f t="shared" si="75"/>
        <v>12</v>
      </c>
      <c r="Y867" s="95">
        <f t="shared" si="76"/>
        <v>2021</v>
      </c>
      <c r="Z867" s="103" t="s">
        <v>265</v>
      </c>
      <c r="AA867" t="str">
        <f>IF(Tabla1[[#This Row],[Kerma en aire acumulada (Gy)]]&gt;1,SUMIF(G:G,Tabla1[[#This Row],[SIP]],I:I)-Tabla1[[#This Row],[Kerma en aire acumulada (Gy)]],"")</f>
        <v/>
      </c>
    </row>
    <row r="868" spans="3:27">
      <c r="C868" s="94" t="s">
        <v>1108</v>
      </c>
      <c r="D868" s="134" t="s">
        <v>631</v>
      </c>
      <c r="E868" s="134" t="s">
        <v>1991</v>
      </c>
      <c r="F868" s="134" t="s">
        <v>1155</v>
      </c>
      <c r="G868" s="134">
        <v>5575090</v>
      </c>
      <c r="H868" s="135">
        <v>44559</v>
      </c>
      <c r="I868" s="134">
        <v>1.9000000000000001E-4</v>
      </c>
      <c r="J868" s="134"/>
      <c r="K868" s="134"/>
      <c r="L868" s="134"/>
      <c r="M868" s="134"/>
      <c r="N868" s="134"/>
      <c r="O868" s="134"/>
      <c r="P868" s="134"/>
      <c r="Q868" s="134"/>
      <c r="R868" s="134"/>
      <c r="S868" s="134"/>
      <c r="T868" s="135">
        <v>38204</v>
      </c>
      <c r="U868" s="134"/>
      <c r="V868" s="134" t="s">
        <v>1300</v>
      </c>
      <c r="W868" s="92" t="str">
        <f t="shared" si="77"/>
        <v>Molina Fraile,Maria</v>
      </c>
      <c r="X868" s="95">
        <f t="shared" si="75"/>
        <v>12</v>
      </c>
      <c r="Y868" s="95">
        <f t="shared" si="76"/>
        <v>2021</v>
      </c>
      <c r="Z868" s="103" t="s">
        <v>265</v>
      </c>
      <c r="AA868" t="str">
        <f>IF(Tabla1[[#This Row],[Kerma en aire acumulada (Gy)]]&gt;1,SUMIF(G:G,Tabla1[[#This Row],[SIP]],I:I)-Tabla1[[#This Row],[Kerma en aire acumulada (Gy)]],"")</f>
        <v/>
      </c>
    </row>
    <row r="869" spans="3:27">
      <c r="C869" s="94" t="s">
        <v>1088</v>
      </c>
      <c r="D869" s="134" t="s">
        <v>1992</v>
      </c>
      <c r="E869" s="134" t="s">
        <v>1294</v>
      </c>
      <c r="F869" s="134" t="s">
        <v>88</v>
      </c>
      <c r="G869" s="134">
        <v>2903325</v>
      </c>
      <c r="H869" s="135">
        <v>44559</v>
      </c>
      <c r="I869" s="134">
        <v>8.3000000000000001E-4</v>
      </c>
      <c r="J869" s="134"/>
      <c r="K869" s="134"/>
      <c r="L869" s="134"/>
      <c r="M869" s="134"/>
      <c r="N869" s="134"/>
      <c r="O869" s="134"/>
      <c r="P869" s="134"/>
      <c r="Q869" s="134"/>
      <c r="R869" s="134"/>
      <c r="S869" s="134"/>
      <c r="T869" s="135">
        <v>18564</v>
      </c>
      <c r="U869" s="134"/>
      <c r="V869" s="134" t="s">
        <v>1300</v>
      </c>
      <c r="W869" s="92" t="str">
        <f t="shared" si="77"/>
        <v>Izquierdo  Roca,Vicente</v>
      </c>
      <c r="X869" s="95">
        <f t="shared" si="75"/>
        <v>12</v>
      </c>
      <c r="Y869" s="95">
        <f t="shared" si="76"/>
        <v>2021</v>
      </c>
      <c r="Z869" s="103" t="s">
        <v>265</v>
      </c>
      <c r="AA869" t="str">
        <f>IF(Tabla1[[#This Row],[Kerma en aire acumulada (Gy)]]&gt;1,SUMIF(G:G,Tabla1[[#This Row],[SIP]],I:I)-Tabla1[[#This Row],[Kerma en aire acumulada (Gy)]],"")</f>
        <v/>
      </c>
    </row>
    <row r="870" spans="3:27">
      <c r="C870" s="94" t="s">
        <v>1088</v>
      </c>
      <c r="D870" s="134" t="s">
        <v>1981</v>
      </c>
      <c r="E870" s="134" t="s">
        <v>1982</v>
      </c>
      <c r="F870" s="134" t="s">
        <v>1104</v>
      </c>
      <c r="G870" s="134">
        <v>8453488</v>
      </c>
      <c r="H870" s="135">
        <v>44560</v>
      </c>
      <c r="I870" s="134">
        <v>6.3339999999999994E-2</v>
      </c>
      <c r="J870" s="134"/>
      <c r="K870" s="134"/>
      <c r="L870" s="134"/>
      <c r="M870" s="134"/>
      <c r="N870" s="134"/>
      <c r="O870" s="134"/>
      <c r="P870" s="134"/>
      <c r="Q870" s="134"/>
      <c r="R870" s="134"/>
      <c r="S870" s="134"/>
      <c r="T870" s="135">
        <v>18638</v>
      </c>
      <c r="U870" s="134"/>
      <c r="V870" s="134" t="s">
        <v>1767</v>
      </c>
      <c r="W870" s="92" t="str">
        <f t="shared" si="77"/>
        <v>Brualla Olle,Jose Luis</v>
      </c>
      <c r="X870" s="95">
        <f t="shared" si="75"/>
        <v>12</v>
      </c>
      <c r="Y870" s="95">
        <f t="shared" si="76"/>
        <v>2021</v>
      </c>
      <c r="Z870" s="103" t="s">
        <v>265</v>
      </c>
      <c r="AA870" t="str">
        <f>IF(Tabla1[[#This Row],[Kerma en aire acumulada (Gy)]]&gt;1,SUMIF(G:G,Tabla1[[#This Row],[SIP]],I:I)-Tabla1[[#This Row],[Kerma en aire acumulada (Gy)]],"")</f>
        <v/>
      </c>
    </row>
    <row r="871" spans="3:27">
      <c r="C871" s="94" t="s">
        <v>1088</v>
      </c>
      <c r="D871" s="134" t="s">
        <v>1906</v>
      </c>
      <c r="E871" s="134" t="s">
        <v>954</v>
      </c>
      <c r="F871" s="134" t="s">
        <v>1907</v>
      </c>
      <c r="G871" s="134">
        <v>3269247</v>
      </c>
      <c r="H871" s="135">
        <v>44560</v>
      </c>
      <c r="I871" s="134">
        <v>0.23094000000000001</v>
      </c>
      <c r="J871" s="134"/>
      <c r="K871" s="134"/>
      <c r="L871" s="134"/>
      <c r="M871" s="134"/>
      <c r="N871" s="134"/>
      <c r="O871" s="134"/>
      <c r="P871" s="134"/>
      <c r="Q871" s="134"/>
      <c r="R871" s="134"/>
      <c r="S871" s="134"/>
      <c r="T871" s="135">
        <v>28280</v>
      </c>
      <c r="U871" s="134"/>
      <c r="V871" s="134" t="s">
        <v>1653</v>
      </c>
      <c r="W871" s="92" t="str">
        <f t="shared" si="77"/>
        <v>Copado Carbonell,Ivan</v>
      </c>
      <c r="X871" s="95">
        <f t="shared" si="75"/>
        <v>12</v>
      </c>
      <c r="Y871" s="95">
        <f t="shared" si="76"/>
        <v>2021</v>
      </c>
      <c r="Z871" s="103" t="s">
        <v>265</v>
      </c>
      <c r="AA871" t="str">
        <f>IF(Tabla1[[#This Row],[Kerma en aire acumulada (Gy)]]&gt;1,SUMIF(G:G,Tabla1[[#This Row],[SIP]],I:I)-Tabla1[[#This Row],[Kerma en aire acumulada (Gy)]],"")</f>
        <v/>
      </c>
    </row>
    <row r="872" spans="3:27">
      <c r="C872" s="147" t="s">
        <v>1088</v>
      </c>
      <c r="D872" s="134" t="s">
        <v>1759</v>
      </c>
      <c r="E872" s="134" t="s">
        <v>1988</v>
      </c>
      <c r="F872" s="134" t="s">
        <v>2047</v>
      </c>
      <c r="G872" s="134">
        <v>3292246</v>
      </c>
      <c r="H872" s="135">
        <v>44562</v>
      </c>
      <c r="I872" s="134">
        <v>2.3279999999999999E-2</v>
      </c>
      <c r="J872" s="145"/>
      <c r="K872" s="145"/>
      <c r="L872" s="145"/>
      <c r="M872" s="145"/>
      <c r="N872" s="145"/>
      <c r="O872" s="145"/>
      <c r="P872" s="145"/>
      <c r="Q872" s="145"/>
      <c r="R872" s="145"/>
      <c r="S872" s="145"/>
      <c r="T872" s="135">
        <v>19025</v>
      </c>
      <c r="U872" s="145"/>
      <c r="V872" s="134" t="s">
        <v>1193</v>
      </c>
      <c r="W872" s="92" t="str">
        <f t="shared" si="77"/>
        <v>Martin Juarez,Federico</v>
      </c>
      <c r="X872" s="95">
        <f t="shared" si="75"/>
        <v>1</v>
      </c>
      <c r="Y872" s="95">
        <f t="shared" si="76"/>
        <v>2022</v>
      </c>
      <c r="Z872" s="103" t="s">
        <v>265</v>
      </c>
      <c r="AA872" t="str">
        <f>IF(Tabla1[[#This Row],[Kerma en aire acumulada (Gy)]]&gt;1,SUMIF(G:G,Tabla1[[#This Row],[SIP]],I:I)-Tabla1[[#This Row],[Kerma en aire acumulada (Gy)]],"")</f>
        <v/>
      </c>
    </row>
    <row r="873" spans="3:27">
      <c r="C873" s="94" t="s">
        <v>1088</v>
      </c>
      <c r="D873" s="134" t="s">
        <v>2011</v>
      </c>
      <c r="E873" s="134" t="s">
        <v>101</v>
      </c>
      <c r="F873" s="134" t="s">
        <v>2012</v>
      </c>
      <c r="G873" s="134">
        <v>2036804</v>
      </c>
      <c r="H873" s="135">
        <v>44564</v>
      </c>
      <c r="I873" s="134">
        <v>5.9000000000000003E-4</v>
      </c>
      <c r="J873" s="134"/>
      <c r="K873" s="134"/>
      <c r="L873" s="134"/>
      <c r="M873" s="134"/>
      <c r="N873" s="134"/>
      <c r="O873" s="134"/>
      <c r="P873" s="134"/>
      <c r="Q873" s="134"/>
      <c r="R873" s="134"/>
      <c r="S873" s="134"/>
      <c r="T873" s="135">
        <v>21797</v>
      </c>
      <c r="U873" s="134"/>
      <c r="V873" s="134" t="s">
        <v>1300</v>
      </c>
      <c r="W873" s="92" t="str">
        <f t="shared" si="77"/>
        <v>Escarabajal  Calvo,Mari Carmen</v>
      </c>
      <c r="X873" s="95">
        <f t="shared" si="75"/>
        <v>1</v>
      </c>
      <c r="Y873" s="95">
        <f t="shared" si="76"/>
        <v>2022</v>
      </c>
      <c r="Z873" s="103" t="s">
        <v>265</v>
      </c>
      <c r="AA873" t="str">
        <f>IF(Tabla1[[#This Row],[Kerma en aire acumulada (Gy)]]&gt;1,SUMIF(G:G,Tabla1[[#This Row],[SIP]],I:I)-Tabla1[[#This Row],[Kerma en aire acumulada (Gy)]],"")</f>
        <v/>
      </c>
    </row>
    <row r="874" spans="3:27">
      <c r="C874" s="94" t="s">
        <v>1088</v>
      </c>
      <c r="D874" s="134" t="s">
        <v>2013</v>
      </c>
      <c r="E874" s="134" t="s">
        <v>787</v>
      </c>
      <c r="F874" s="134" t="s">
        <v>20</v>
      </c>
      <c r="G874" s="134">
        <v>2816484</v>
      </c>
      <c r="H874" s="135">
        <v>44564</v>
      </c>
      <c r="I874" s="134">
        <v>7.0699999999999999E-3</v>
      </c>
      <c r="J874" s="134"/>
      <c r="K874" s="134"/>
      <c r="L874" s="134"/>
      <c r="M874" s="134"/>
      <c r="N874" s="134"/>
      <c r="O874" s="134"/>
      <c r="P874" s="134"/>
      <c r="Q874" s="134"/>
      <c r="R874" s="134"/>
      <c r="S874" s="134"/>
      <c r="T874" s="135">
        <v>21139</v>
      </c>
      <c r="U874" s="134"/>
      <c r="V874" s="134" t="s">
        <v>1274</v>
      </c>
      <c r="W874" s="92" t="str">
        <f t="shared" si="77"/>
        <v>Frontera Bosch,Antonio</v>
      </c>
      <c r="X874" s="95">
        <f t="shared" si="75"/>
        <v>1</v>
      </c>
      <c r="Y874" s="95">
        <f t="shared" si="76"/>
        <v>2022</v>
      </c>
      <c r="Z874" s="103" t="s">
        <v>265</v>
      </c>
      <c r="AA874" t="str">
        <f>IF(Tabla1[[#This Row],[Kerma en aire acumulada (Gy)]]&gt;1,SUMIF(G:G,Tabla1[[#This Row],[SIP]],I:I)-Tabla1[[#This Row],[Kerma en aire acumulada (Gy)]],"")</f>
        <v/>
      </c>
    </row>
    <row r="875" spans="3:27">
      <c r="C875" s="147" t="s">
        <v>1088</v>
      </c>
      <c r="D875" s="134" t="s">
        <v>2022</v>
      </c>
      <c r="E875" s="134" t="s">
        <v>1621</v>
      </c>
      <c r="F875" s="134" t="s">
        <v>2023</v>
      </c>
      <c r="G875" s="134">
        <v>3071940</v>
      </c>
      <c r="H875" s="135">
        <v>44564</v>
      </c>
      <c r="I875" s="134">
        <v>1.0529999999999999E-2</v>
      </c>
      <c r="J875" s="134"/>
      <c r="K875" s="134"/>
      <c r="L875" s="134"/>
      <c r="M875" s="134"/>
      <c r="N875" s="134"/>
      <c r="O875" s="134"/>
      <c r="P875" s="134"/>
      <c r="Q875" s="134"/>
      <c r="R875" s="134"/>
      <c r="S875" s="134"/>
      <c r="T875" s="135">
        <v>17421</v>
      </c>
      <c r="U875" s="134"/>
      <c r="V875" s="134" t="s">
        <v>1300</v>
      </c>
      <c r="W875" s="92" t="str">
        <f t="shared" si="77"/>
        <v>Aguilar  Ramon,Vicente Enrique</v>
      </c>
      <c r="X875" s="95">
        <f t="shared" si="75"/>
        <v>1</v>
      </c>
      <c r="Y875" s="95">
        <f t="shared" si="76"/>
        <v>2022</v>
      </c>
      <c r="Z875" s="103" t="s">
        <v>265</v>
      </c>
      <c r="AA875" t="str">
        <f>IF(Tabla1[[#This Row],[Kerma en aire acumulada (Gy)]]&gt;1,SUMIF(G:G,Tabla1[[#This Row],[SIP]],I:I)-Tabla1[[#This Row],[Kerma en aire acumulada (Gy)]],"")</f>
        <v/>
      </c>
    </row>
    <row r="876" spans="3:27">
      <c r="C876" s="144" t="s">
        <v>1088</v>
      </c>
      <c r="D876" s="145" t="s">
        <v>2024</v>
      </c>
      <c r="E876" s="145" t="s">
        <v>962</v>
      </c>
      <c r="F876" s="145" t="s">
        <v>965</v>
      </c>
      <c r="G876" s="145">
        <v>2816998</v>
      </c>
      <c r="H876" s="146">
        <v>44564</v>
      </c>
      <c r="I876" s="145">
        <v>9.5600000000000008E-3</v>
      </c>
      <c r="J876" s="145"/>
      <c r="K876" s="145"/>
      <c r="L876" s="145"/>
      <c r="M876" s="145"/>
      <c r="N876" s="145"/>
      <c r="O876" s="145"/>
      <c r="P876" s="145"/>
      <c r="Q876" s="145"/>
      <c r="R876" s="145"/>
      <c r="S876" s="145"/>
      <c r="T876" s="146">
        <v>20864</v>
      </c>
      <c r="U876" s="145"/>
      <c r="V876" s="145" t="s">
        <v>1274</v>
      </c>
      <c r="W876" s="92" t="str">
        <f t="shared" si="77"/>
        <v>Montagut Garcia,Juan Bautista</v>
      </c>
      <c r="X876" s="95">
        <f t="shared" si="75"/>
        <v>1</v>
      </c>
      <c r="Y876" s="95">
        <f t="shared" si="76"/>
        <v>2022</v>
      </c>
      <c r="Z876" s="103" t="s">
        <v>265</v>
      </c>
      <c r="AA876" t="str">
        <f>IF(Tabla1[[#This Row],[Kerma en aire acumulada (Gy)]]&gt;1,SUMIF(G:G,Tabla1[[#This Row],[SIP]],I:I)-Tabla1[[#This Row],[Kerma en aire acumulada (Gy)]],"")</f>
        <v/>
      </c>
    </row>
    <row r="877" spans="3:27">
      <c r="C877" s="94" t="s">
        <v>1088</v>
      </c>
      <c r="D877" s="134" t="s">
        <v>1001</v>
      </c>
      <c r="E877" s="134" t="s">
        <v>66</v>
      </c>
      <c r="F877" s="134" t="s">
        <v>2009</v>
      </c>
      <c r="G877" s="134">
        <v>4637007</v>
      </c>
      <c r="H877" s="135">
        <v>44565</v>
      </c>
      <c r="I877" s="134">
        <v>2.0200000000000001E-3</v>
      </c>
      <c r="J877" s="134"/>
      <c r="K877" s="134"/>
      <c r="L877" s="134"/>
      <c r="M877" s="134"/>
      <c r="N877" s="134"/>
      <c r="O877" s="134"/>
      <c r="P877" s="134"/>
      <c r="Q877" s="134"/>
      <c r="R877" s="134"/>
      <c r="S877" s="134"/>
      <c r="T877" s="135">
        <v>36760</v>
      </c>
      <c r="U877" s="134"/>
      <c r="V877" s="134" t="s">
        <v>1203</v>
      </c>
      <c r="W877" s="92" t="str">
        <f t="shared" si="77"/>
        <v>Perez Navarro,Andrea</v>
      </c>
      <c r="X877" s="95">
        <f t="shared" si="75"/>
        <v>1</v>
      </c>
      <c r="Y877" s="95">
        <f t="shared" si="76"/>
        <v>2022</v>
      </c>
      <c r="Z877" s="103" t="s">
        <v>265</v>
      </c>
      <c r="AA877" t="str">
        <f>IF(Tabla1[[#This Row],[Kerma en aire acumulada (Gy)]]&gt;1,SUMIF(G:G,Tabla1[[#This Row],[SIP]],I:I)-Tabla1[[#This Row],[Kerma en aire acumulada (Gy)]],"")</f>
        <v/>
      </c>
    </row>
    <row r="878" spans="3:27">
      <c r="C878" s="94" t="s">
        <v>1088</v>
      </c>
      <c r="D878" s="134" t="s">
        <v>960</v>
      </c>
      <c r="E878" s="134" t="s">
        <v>1662</v>
      </c>
      <c r="F878" s="134" t="s">
        <v>699</v>
      </c>
      <c r="G878" s="134">
        <v>1972988</v>
      </c>
      <c r="H878" s="135">
        <v>44565</v>
      </c>
      <c r="I878" s="134">
        <v>7.0699999999999999E-3</v>
      </c>
      <c r="J878" s="134"/>
      <c r="K878" s="134"/>
      <c r="L878" s="134"/>
      <c r="M878" s="134"/>
      <c r="N878" s="134"/>
      <c r="O878" s="134"/>
      <c r="P878" s="134"/>
      <c r="Q878" s="134"/>
      <c r="R878" s="134"/>
      <c r="S878" s="134"/>
      <c r="T878" s="135">
        <v>20372</v>
      </c>
      <c r="U878" s="134"/>
      <c r="V878" s="134" t="s">
        <v>516</v>
      </c>
      <c r="W878" s="92" t="str">
        <f t="shared" si="77"/>
        <v>Lopez Vazquez,Cristina</v>
      </c>
      <c r="X878" s="95">
        <f t="shared" si="75"/>
        <v>1</v>
      </c>
      <c r="Y878" s="95">
        <f t="shared" si="76"/>
        <v>2022</v>
      </c>
      <c r="Z878" s="103" t="s">
        <v>265</v>
      </c>
      <c r="AA878" t="str">
        <f>IF(Tabla1[[#This Row],[Kerma en aire acumulada (Gy)]]&gt;1,SUMIF(G:G,Tabla1[[#This Row],[SIP]],I:I)-Tabla1[[#This Row],[Kerma en aire acumulada (Gy)]],"")</f>
        <v/>
      </c>
    </row>
    <row r="879" spans="3:27">
      <c r="C879" s="94" t="s">
        <v>1088</v>
      </c>
      <c r="D879" s="134" t="s">
        <v>1176</v>
      </c>
      <c r="E879" s="134" t="s">
        <v>554</v>
      </c>
      <c r="F879" s="134" t="s">
        <v>2010</v>
      </c>
      <c r="G879" s="134">
        <v>2987571</v>
      </c>
      <c r="H879" s="135">
        <v>44565</v>
      </c>
      <c r="I879" s="134">
        <v>0.35793999999999998</v>
      </c>
      <c r="J879" s="134"/>
      <c r="K879" s="134"/>
      <c r="L879" s="134"/>
      <c r="M879" s="134"/>
      <c r="N879" s="134"/>
      <c r="O879" s="134"/>
      <c r="P879" s="134"/>
      <c r="Q879" s="134"/>
      <c r="R879" s="134"/>
      <c r="S879" s="134"/>
      <c r="T879" s="135">
        <v>23384</v>
      </c>
      <c r="U879" s="134"/>
      <c r="V879" s="134" t="s">
        <v>89</v>
      </c>
      <c r="W879" s="92" t="str">
        <f t="shared" si="77"/>
        <v>Peiro Navarrete,Candido</v>
      </c>
      <c r="X879" s="95">
        <f t="shared" si="75"/>
        <v>1</v>
      </c>
      <c r="Y879" s="95">
        <f t="shared" si="76"/>
        <v>2022</v>
      </c>
      <c r="Z879" s="103" t="s">
        <v>265</v>
      </c>
      <c r="AA879" t="str">
        <f>IF(Tabla1[[#This Row],[Kerma en aire acumulada (Gy)]]&gt;1,SUMIF(G:G,Tabla1[[#This Row],[SIP]],I:I)-Tabla1[[#This Row],[Kerma en aire acumulada (Gy)]],"")</f>
        <v/>
      </c>
    </row>
    <row r="880" spans="3:27">
      <c r="C880" s="94" t="s">
        <v>1088</v>
      </c>
      <c r="D880" s="134" t="s">
        <v>2008</v>
      </c>
      <c r="E880" s="134" t="s">
        <v>797</v>
      </c>
      <c r="F880" s="134" t="s">
        <v>1596</v>
      </c>
      <c r="G880" s="134">
        <v>15513</v>
      </c>
      <c r="H880" s="135">
        <v>44566</v>
      </c>
      <c r="I880" s="134">
        <v>7.7429999999999999E-2</v>
      </c>
      <c r="J880" s="134"/>
      <c r="K880" s="134"/>
      <c r="L880" s="134"/>
      <c r="M880" s="134"/>
      <c r="N880" s="134"/>
      <c r="O880" s="134"/>
      <c r="P880" s="134"/>
      <c r="Q880" s="134"/>
      <c r="R880" s="134"/>
      <c r="S880" s="134"/>
      <c r="T880" s="135">
        <v>24354</v>
      </c>
      <c r="U880" s="134"/>
      <c r="V880" s="134" t="s">
        <v>1653</v>
      </c>
      <c r="W880" s="92" t="str">
        <f t="shared" si="77"/>
        <v>Puchades Ruano,Eduardo</v>
      </c>
      <c r="X880" s="95">
        <f t="shared" si="75"/>
        <v>1</v>
      </c>
      <c r="Y880" s="95">
        <f t="shared" si="76"/>
        <v>2022</v>
      </c>
      <c r="Z880" s="103" t="s">
        <v>265</v>
      </c>
      <c r="AA880" t="str">
        <f>IF(Tabla1[[#This Row],[Kerma en aire acumulada (Gy)]]&gt;1,SUMIF(G:G,Tabla1[[#This Row],[SIP]],I:I)-Tabla1[[#This Row],[Kerma en aire acumulada (Gy)]],"")</f>
        <v/>
      </c>
    </row>
    <row r="881" spans="3:27">
      <c r="C881" s="94" t="s">
        <v>1088</v>
      </c>
      <c r="D881" s="134" t="s">
        <v>1248</v>
      </c>
      <c r="E881" s="134" t="s">
        <v>1098</v>
      </c>
      <c r="F881" s="134" t="s">
        <v>1010</v>
      </c>
      <c r="G881" s="134">
        <v>1857814</v>
      </c>
      <c r="H881" s="135">
        <v>44566</v>
      </c>
      <c r="I881" s="134">
        <v>2.4662E-2</v>
      </c>
      <c r="J881" s="134"/>
      <c r="K881" s="134"/>
      <c r="L881" s="134"/>
      <c r="M881" s="134"/>
      <c r="N881" s="134"/>
      <c r="O881" s="134"/>
      <c r="P881" s="134"/>
      <c r="Q881" s="134"/>
      <c r="R881" s="134"/>
      <c r="S881" s="134"/>
      <c r="T881" s="135">
        <v>16837</v>
      </c>
      <c r="U881" s="134"/>
      <c r="V881" s="134" t="s">
        <v>1214</v>
      </c>
      <c r="W881" s="92" t="str">
        <f t="shared" si="77"/>
        <v>Marti Moya,Bautista</v>
      </c>
      <c r="X881" s="95">
        <f t="shared" si="75"/>
        <v>1</v>
      </c>
      <c r="Y881" s="95">
        <f t="shared" si="76"/>
        <v>2022</v>
      </c>
      <c r="Z881" s="103" t="s">
        <v>265</v>
      </c>
      <c r="AA881" t="str">
        <f>IF(Tabla1[[#This Row],[Kerma en aire acumulada (Gy)]]&gt;1,SUMIF(G:G,Tabla1[[#This Row],[SIP]],I:I)-Tabla1[[#This Row],[Kerma en aire acumulada (Gy)]],"")</f>
        <v/>
      </c>
    </row>
    <row r="882" spans="3:27">
      <c r="C882" s="147" t="s">
        <v>1088</v>
      </c>
      <c r="D882" s="134" t="s">
        <v>189</v>
      </c>
      <c r="E882" s="134" t="s">
        <v>6</v>
      </c>
      <c r="F882" s="134" t="s">
        <v>7</v>
      </c>
      <c r="G882" s="134">
        <v>2932156</v>
      </c>
      <c r="H882" s="135">
        <v>44566</v>
      </c>
      <c r="I882" s="134">
        <v>1.16327</v>
      </c>
      <c r="J882" s="134"/>
      <c r="K882" s="134"/>
      <c r="L882" s="134"/>
      <c r="M882" s="134"/>
      <c r="N882" s="134"/>
      <c r="O882" s="134"/>
      <c r="P882" s="134"/>
      <c r="Q882" s="134"/>
      <c r="R882" s="134"/>
      <c r="S882" s="134"/>
      <c r="T882" s="135">
        <v>21548</v>
      </c>
      <c r="U882" s="134"/>
      <c r="V882" s="134" t="s">
        <v>2020</v>
      </c>
      <c r="W882" s="92" t="str">
        <f t="shared" si="77"/>
        <v>Giner Ortega,Francisca</v>
      </c>
      <c r="X882" s="95">
        <f t="shared" si="75"/>
        <v>1</v>
      </c>
      <c r="Y882" s="95">
        <f t="shared" si="76"/>
        <v>2022</v>
      </c>
      <c r="Z882" s="103" t="s">
        <v>265</v>
      </c>
      <c r="AA882">
        <f>IF(Tabla1[[#This Row],[Kerma en aire acumulada (Gy)]]&gt;1,SUMIF(G:G,Tabla1[[#This Row],[SIP]],I:I)-Tabla1[[#This Row],[Kerma en aire acumulada (Gy)]],"")</f>
        <v>5.4479999999999995</v>
      </c>
    </row>
    <row r="883" spans="3:27">
      <c r="C883" s="144" t="s">
        <v>1088</v>
      </c>
      <c r="D883" s="145" t="s">
        <v>34</v>
      </c>
      <c r="E883" s="145" t="s">
        <v>856</v>
      </c>
      <c r="F883" s="145" t="s">
        <v>2021</v>
      </c>
      <c r="G883" s="145">
        <v>1857812</v>
      </c>
      <c r="H883" s="146">
        <v>44566</v>
      </c>
      <c r="I883" s="145">
        <v>6.6699999999999997E-3</v>
      </c>
      <c r="J883" s="145"/>
      <c r="K883" s="145"/>
      <c r="L883" s="145"/>
      <c r="M883" s="145"/>
      <c r="N883" s="145"/>
      <c r="O883" s="145"/>
      <c r="P883" s="145"/>
      <c r="Q883" s="145"/>
      <c r="R883" s="145"/>
      <c r="S883" s="145"/>
      <c r="T883" s="146">
        <v>21293</v>
      </c>
      <c r="U883" s="145"/>
      <c r="V883" s="145" t="s">
        <v>1300</v>
      </c>
      <c r="W883" s="92" t="str">
        <f t="shared" si="77"/>
        <v>Jiménez  Gomez,Crescencio</v>
      </c>
      <c r="X883" s="95">
        <f t="shared" si="75"/>
        <v>1</v>
      </c>
      <c r="Y883" s="95">
        <f t="shared" si="76"/>
        <v>2022</v>
      </c>
      <c r="Z883" s="103" t="s">
        <v>265</v>
      </c>
      <c r="AA883" t="str">
        <f>IF(Tabla1[[#This Row],[Kerma en aire acumulada (Gy)]]&gt;1,SUMIF(G:G,Tabla1[[#This Row],[SIP]],I:I)-Tabla1[[#This Row],[Kerma en aire acumulada (Gy)]],"")</f>
        <v/>
      </c>
    </row>
    <row r="884" spans="3:27">
      <c r="C884" s="94" t="s">
        <v>1088</v>
      </c>
      <c r="D884" s="134" t="s">
        <v>1904</v>
      </c>
      <c r="E884" s="134" t="s">
        <v>2006</v>
      </c>
      <c r="F884" s="134" t="s">
        <v>861</v>
      </c>
      <c r="G884" s="134">
        <v>2910929</v>
      </c>
      <c r="H884" s="135">
        <v>44568</v>
      </c>
      <c r="I884" s="134">
        <v>4.3200000000000001E-3</v>
      </c>
      <c r="J884" s="134"/>
      <c r="K884" s="134"/>
      <c r="L884" s="134"/>
      <c r="M884" s="134"/>
      <c r="N884" s="134"/>
      <c r="O884" s="134"/>
      <c r="P884" s="134"/>
      <c r="Q884" s="134"/>
      <c r="R884" s="134"/>
      <c r="S884" s="134"/>
      <c r="T884" s="135">
        <v>22431</v>
      </c>
      <c r="U884" s="134"/>
      <c r="V884" s="134" t="s">
        <v>1274</v>
      </c>
      <c r="W884" s="92" t="str">
        <f t="shared" si="77"/>
        <v>Nuñez Palomo,Juan Carlos</v>
      </c>
      <c r="X884" s="95">
        <f t="shared" si="75"/>
        <v>1</v>
      </c>
      <c r="Y884" s="95">
        <f t="shared" si="76"/>
        <v>2022</v>
      </c>
      <c r="Z884" s="103" t="s">
        <v>265</v>
      </c>
      <c r="AA884" t="str">
        <f>IF(Tabla1[[#This Row],[Kerma en aire acumulada (Gy)]]&gt;1,SUMIF(G:G,Tabla1[[#This Row],[SIP]],I:I)-Tabla1[[#This Row],[Kerma en aire acumulada (Gy)]],"")</f>
        <v/>
      </c>
    </row>
    <row r="885" spans="3:27">
      <c r="C885" s="94" t="s">
        <v>1088</v>
      </c>
      <c r="D885" s="134" t="s">
        <v>2007</v>
      </c>
      <c r="E885" s="134" t="s">
        <v>90</v>
      </c>
      <c r="F885" s="134" t="s">
        <v>664</v>
      </c>
      <c r="G885" s="134">
        <v>2864776</v>
      </c>
      <c r="H885" s="135">
        <v>44568</v>
      </c>
      <c r="I885" s="134">
        <v>6.4000000000000003E-3</v>
      </c>
      <c r="J885" s="134"/>
      <c r="K885" s="134"/>
      <c r="L885" s="134"/>
      <c r="M885" s="134"/>
      <c r="N885" s="134"/>
      <c r="O885" s="134"/>
      <c r="P885" s="134"/>
      <c r="Q885" s="134"/>
      <c r="R885" s="134"/>
      <c r="S885" s="134"/>
      <c r="T885" s="135">
        <v>18103</v>
      </c>
      <c r="U885" s="134"/>
      <c r="V885" s="134" t="s">
        <v>1300</v>
      </c>
      <c r="W885" s="92" t="str">
        <f t="shared" si="77"/>
        <v>Albors Nieto,Jaime</v>
      </c>
      <c r="X885" s="95">
        <f t="shared" si="75"/>
        <v>1</v>
      </c>
      <c r="Y885" s="95">
        <f t="shared" si="76"/>
        <v>2022</v>
      </c>
      <c r="Z885" s="103" t="s">
        <v>265</v>
      </c>
      <c r="AA885" t="str">
        <f>IF(Tabla1[[#This Row],[Kerma en aire acumulada (Gy)]]&gt;1,SUMIF(G:G,Tabla1[[#This Row],[SIP]],I:I)-Tabla1[[#This Row],[Kerma en aire acumulada (Gy)]],"")</f>
        <v/>
      </c>
    </row>
    <row r="886" spans="3:27">
      <c r="C886" s="94" t="s">
        <v>1088</v>
      </c>
      <c r="D886" s="134" t="s">
        <v>2016</v>
      </c>
      <c r="E886" s="134" t="s">
        <v>2017</v>
      </c>
      <c r="F886" s="134" t="s">
        <v>2018</v>
      </c>
      <c r="G886" s="134">
        <v>6694250</v>
      </c>
      <c r="H886" s="135">
        <v>44568</v>
      </c>
      <c r="I886" s="134">
        <v>7.7119999999999994E-2</v>
      </c>
      <c r="J886" s="134"/>
      <c r="K886" s="134"/>
      <c r="L886" s="134"/>
      <c r="M886" s="134"/>
      <c r="N886" s="134"/>
      <c r="O886" s="134"/>
      <c r="P886" s="134"/>
      <c r="Q886" s="134"/>
      <c r="R886" s="134"/>
      <c r="S886" s="134"/>
      <c r="T886" s="135">
        <v>25853</v>
      </c>
      <c r="U886" s="134"/>
      <c r="V886" s="134" t="s">
        <v>1214</v>
      </c>
      <c r="W886" s="92" t="str">
        <f t="shared" si="77"/>
        <v>Mirapeix Fides,Pedro Vicente</v>
      </c>
      <c r="X886" s="95">
        <f t="shared" si="75"/>
        <v>1</v>
      </c>
      <c r="Y886" s="95">
        <f t="shared" si="76"/>
        <v>2022</v>
      </c>
      <c r="Z886" s="103" t="s">
        <v>265</v>
      </c>
      <c r="AA886" t="str">
        <f>IF(Tabla1[[#This Row],[Kerma en aire acumulada (Gy)]]&gt;1,SUMIF(G:G,Tabla1[[#This Row],[SIP]],I:I)-Tabla1[[#This Row],[Kerma en aire acumulada (Gy)]],"")</f>
        <v/>
      </c>
    </row>
    <row r="887" spans="3:27">
      <c r="C887" s="144" t="s">
        <v>1088</v>
      </c>
      <c r="D887" s="145" t="s">
        <v>2019</v>
      </c>
      <c r="E887" s="145" t="s">
        <v>1017</v>
      </c>
      <c r="F887" s="145" t="s">
        <v>88</v>
      </c>
      <c r="G887" s="145">
        <v>2971514</v>
      </c>
      <c r="H887" s="146">
        <v>44568</v>
      </c>
      <c r="I887" s="145">
        <v>7.2389999999999996E-2</v>
      </c>
      <c r="J887" s="145"/>
      <c r="K887" s="145"/>
      <c r="L887" s="145"/>
      <c r="M887" s="145"/>
      <c r="N887" s="145"/>
      <c r="O887" s="145"/>
      <c r="P887" s="145"/>
      <c r="Q887" s="145"/>
      <c r="R887" s="145"/>
      <c r="S887" s="145"/>
      <c r="T887" s="146">
        <v>25414</v>
      </c>
      <c r="U887" s="145"/>
      <c r="V887" s="145" t="s">
        <v>1589</v>
      </c>
      <c r="W887" s="92" t="str">
        <f t="shared" si="77"/>
        <v>Toledo Clemente,Vicente</v>
      </c>
      <c r="X887" s="95">
        <f t="shared" si="75"/>
        <v>1</v>
      </c>
      <c r="Y887" s="95">
        <f t="shared" si="76"/>
        <v>2022</v>
      </c>
      <c r="Z887" s="103" t="s">
        <v>265</v>
      </c>
      <c r="AA887" t="str">
        <f>IF(Tabla1[[#This Row],[Kerma en aire acumulada (Gy)]]&gt;1,SUMIF(G:G,Tabla1[[#This Row],[SIP]],I:I)-Tabla1[[#This Row],[Kerma en aire acumulada (Gy)]],"")</f>
        <v/>
      </c>
    </row>
    <row r="888" spans="3:27">
      <c r="C888" s="147" t="s">
        <v>1088</v>
      </c>
      <c r="D888" s="134" t="s">
        <v>130</v>
      </c>
      <c r="E888" s="134" t="s">
        <v>962</v>
      </c>
      <c r="F888" s="134" t="s">
        <v>1139</v>
      </c>
      <c r="G888" s="134">
        <v>3196946</v>
      </c>
      <c r="H888" s="135">
        <v>44568</v>
      </c>
      <c r="I888" s="134">
        <v>0.41467999999999999</v>
      </c>
      <c r="J888" s="134"/>
      <c r="K888" s="134"/>
      <c r="L888" s="134"/>
      <c r="M888" s="134"/>
      <c r="N888" s="134"/>
      <c r="O888" s="134"/>
      <c r="P888" s="134"/>
      <c r="Q888" s="134"/>
      <c r="R888" s="134"/>
      <c r="S888" s="134"/>
      <c r="T888" s="135">
        <v>19105</v>
      </c>
      <c r="U888" s="134"/>
      <c r="V888" s="134" t="s">
        <v>1177</v>
      </c>
      <c r="W888" s="92" t="str">
        <f t="shared" si="77"/>
        <v>Hernández Garcia,Jose Vicente</v>
      </c>
      <c r="X888" s="95">
        <f t="shared" si="75"/>
        <v>1</v>
      </c>
      <c r="Y888" s="95">
        <f t="shared" si="76"/>
        <v>2022</v>
      </c>
      <c r="Z888" s="103" t="s">
        <v>265</v>
      </c>
      <c r="AA888" t="str">
        <f>IF(Tabla1[[#This Row],[Kerma en aire acumulada (Gy)]]&gt;1,SUMIF(G:G,Tabla1[[#This Row],[SIP]],I:I)-Tabla1[[#This Row],[Kerma en aire acumulada (Gy)]],"")</f>
        <v/>
      </c>
    </row>
    <row r="889" spans="3:27">
      <c r="C889" s="94" t="s">
        <v>1088</v>
      </c>
      <c r="D889" s="134" t="s">
        <v>676</v>
      </c>
      <c r="E889" s="134" t="s">
        <v>1238</v>
      </c>
      <c r="F889" s="134" t="s">
        <v>62</v>
      </c>
      <c r="G889" s="134">
        <v>2960626</v>
      </c>
      <c r="H889" s="135">
        <v>44571</v>
      </c>
      <c r="I889" s="134">
        <v>0.27655999999999997</v>
      </c>
      <c r="J889" s="134"/>
      <c r="K889" s="134"/>
      <c r="L889" s="134"/>
      <c r="M889" s="134"/>
      <c r="N889" s="134"/>
      <c r="O889" s="134"/>
      <c r="P889" s="134"/>
      <c r="Q889" s="134"/>
      <c r="R889" s="134"/>
      <c r="S889" s="134"/>
      <c r="T889" s="135">
        <v>15905</v>
      </c>
      <c r="U889" s="134"/>
      <c r="V889" s="134" t="s">
        <v>166</v>
      </c>
      <c r="W889" s="92" t="str">
        <f t="shared" si="77"/>
        <v>Castillero Angel,Jacinto</v>
      </c>
      <c r="X889" s="95">
        <f t="shared" si="75"/>
        <v>1</v>
      </c>
      <c r="Y889" s="95">
        <f t="shared" si="76"/>
        <v>2022</v>
      </c>
      <c r="Z889" s="103" t="s">
        <v>265</v>
      </c>
      <c r="AA889" t="str">
        <f>IF(Tabla1[[#This Row],[Kerma en aire acumulada (Gy)]]&gt;1,SUMIF(G:G,Tabla1[[#This Row],[SIP]],I:I)-Tabla1[[#This Row],[Kerma en aire acumulada (Gy)]],"")</f>
        <v/>
      </c>
    </row>
    <row r="890" spans="3:27">
      <c r="C890" s="94" t="s">
        <v>1088</v>
      </c>
      <c r="D890" s="134" t="s">
        <v>1272</v>
      </c>
      <c r="E890" s="134" t="s">
        <v>2015</v>
      </c>
      <c r="F890" s="134" t="s">
        <v>71</v>
      </c>
      <c r="G890" s="134">
        <v>1895471</v>
      </c>
      <c r="H890" s="135">
        <v>44571</v>
      </c>
      <c r="I890" s="134">
        <v>0.53493999999999997</v>
      </c>
      <c r="J890" s="134"/>
      <c r="K890" s="134"/>
      <c r="L890" s="134"/>
      <c r="M890" s="134"/>
      <c r="N890" s="134"/>
      <c r="O890" s="134"/>
      <c r="P890" s="134"/>
      <c r="Q890" s="134"/>
      <c r="R890" s="134"/>
      <c r="S890" s="134"/>
      <c r="T890" s="135">
        <v>14108</v>
      </c>
      <c r="U890" s="134"/>
      <c r="V890" s="134" t="s">
        <v>180</v>
      </c>
      <c r="W890" s="92" t="str">
        <f t="shared" si="77"/>
        <v>Benavent Perucho,Rafael</v>
      </c>
      <c r="X890" s="95">
        <f t="shared" si="75"/>
        <v>1</v>
      </c>
      <c r="Y890" s="95">
        <f t="shared" si="76"/>
        <v>2022</v>
      </c>
      <c r="Z890" s="103" t="s">
        <v>265</v>
      </c>
      <c r="AA890" t="str">
        <f>IF(Tabla1[[#This Row],[Kerma en aire acumulada (Gy)]]&gt;1,SUMIF(G:G,Tabla1[[#This Row],[SIP]],I:I)-Tabla1[[#This Row],[Kerma en aire acumulada (Gy)]],"")</f>
        <v/>
      </c>
    </row>
    <row r="891" spans="3:27">
      <c r="C891" s="94" t="s">
        <v>1088</v>
      </c>
      <c r="D891" s="134" t="s">
        <v>2005</v>
      </c>
      <c r="E891" s="134" t="s">
        <v>1740</v>
      </c>
      <c r="F891" s="134" t="s">
        <v>7</v>
      </c>
      <c r="G891" s="134">
        <v>1746954</v>
      </c>
      <c r="H891" s="135">
        <v>44572</v>
      </c>
      <c r="I891" s="134">
        <v>0.43168000000000001</v>
      </c>
      <c r="J891" s="134"/>
      <c r="K891" s="134"/>
      <c r="L891" s="134"/>
      <c r="M891" s="134"/>
      <c r="N891" s="134"/>
      <c r="O891" s="134"/>
      <c r="P891" s="134"/>
      <c r="Q891" s="134"/>
      <c r="R891" s="134"/>
      <c r="S891" s="134"/>
      <c r="T891" s="135">
        <v>18966</v>
      </c>
      <c r="U891" s="134"/>
      <c r="V891" s="134" t="s">
        <v>502</v>
      </c>
      <c r="W891" s="92" t="str">
        <f t="shared" si="77"/>
        <v>Caballer Vila,Francisca</v>
      </c>
      <c r="X891" s="95">
        <f t="shared" si="75"/>
        <v>1</v>
      </c>
      <c r="Y891" s="95">
        <f t="shared" si="76"/>
        <v>2022</v>
      </c>
      <c r="Z891" s="103" t="s">
        <v>265</v>
      </c>
      <c r="AA891" t="str">
        <f>IF(Tabla1[[#This Row],[Kerma en aire acumulada (Gy)]]&gt;1,SUMIF(G:G,Tabla1[[#This Row],[SIP]],I:I)-Tabla1[[#This Row],[Kerma en aire acumulada (Gy)]],"")</f>
        <v/>
      </c>
    </row>
    <row r="892" spans="3:27">
      <c r="C892" s="94" t="s">
        <v>1088</v>
      </c>
      <c r="D892" s="134" t="s">
        <v>1791</v>
      </c>
      <c r="E892" s="134" t="s">
        <v>1792</v>
      </c>
      <c r="F892" s="134" t="s">
        <v>828</v>
      </c>
      <c r="G892" s="101">
        <v>3202171</v>
      </c>
      <c r="H892" s="135">
        <v>44572</v>
      </c>
      <c r="I892" s="134">
        <v>1.1757599999999999</v>
      </c>
      <c r="J892" s="134"/>
      <c r="K892" s="134"/>
      <c r="L892" s="134"/>
      <c r="M892" s="134"/>
      <c r="N892" s="134"/>
      <c r="O892" s="134"/>
      <c r="P892" s="134"/>
      <c r="Q892" s="134"/>
      <c r="R892" s="134"/>
      <c r="S892" s="134"/>
      <c r="T892" s="135">
        <v>16369</v>
      </c>
      <c r="U892" s="134"/>
      <c r="V892" s="134" t="s">
        <v>89</v>
      </c>
      <c r="W892" s="92" t="str">
        <f t="shared" si="77"/>
        <v>Medina i Rodrigo,Josep</v>
      </c>
      <c r="X892" s="95">
        <f t="shared" si="75"/>
        <v>1</v>
      </c>
      <c r="Y892" s="95">
        <f t="shared" si="76"/>
        <v>2022</v>
      </c>
      <c r="Z892" s="103" t="s">
        <v>265</v>
      </c>
      <c r="AA892">
        <f>IF(Tabla1[[#This Row],[Kerma en aire acumulada (Gy)]]&gt;1,SUMIF(G:G,Tabla1[[#This Row],[SIP]],I:I)-Tabla1[[#This Row],[Kerma en aire acumulada (Gy)]],"")</f>
        <v>2.0719800000000004</v>
      </c>
    </row>
    <row r="893" spans="3:27">
      <c r="C893" s="94" t="s">
        <v>1088</v>
      </c>
      <c r="D893" s="134" t="s">
        <v>169</v>
      </c>
      <c r="E893" s="134" t="s">
        <v>1919</v>
      </c>
      <c r="F893" s="134" t="s">
        <v>2001</v>
      </c>
      <c r="G893" s="134">
        <v>2484613</v>
      </c>
      <c r="H893" s="135">
        <v>44572</v>
      </c>
      <c r="I893" s="134">
        <v>3.4130000000000001E-2</v>
      </c>
      <c r="J893" s="134"/>
      <c r="K893" s="134"/>
      <c r="L893" s="134"/>
      <c r="M893" s="134"/>
      <c r="N893" s="134"/>
      <c r="O893" s="134"/>
      <c r="P893" s="134"/>
      <c r="Q893" s="134"/>
      <c r="R893" s="134"/>
      <c r="S893" s="134"/>
      <c r="T893" s="135">
        <v>18465</v>
      </c>
      <c r="U893" s="134"/>
      <c r="V893" s="134" t="s">
        <v>1653</v>
      </c>
      <c r="W893" s="92" t="str">
        <f t="shared" si="77"/>
        <v>Valero Lloret,Luis Francisco</v>
      </c>
      <c r="X893" s="95">
        <f t="shared" si="75"/>
        <v>1</v>
      </c>
      <c r="Y893" s="95">
        <f t="shared" si="76"/>
        <v>2022</v>
      </c>
      <c r="Z893" s="103" t="s">
        <v>265</v>
      </c>
      <c r="AA893" t="str">
        <f>IF(Tabla1[[#This Row],[Kerma en aire acumulada (Gy)]]&gt;1,SUMIF(G:G,Tabla1[[#This Row],[SIP]],I:I)-Tabla1[[#This Row],[Kerma en aire acumulada (Gy)]],"")</f>
        <v/>
      </c>
    </row>
    <row r="894" spans="3:27">
      <c r="C894" s="94" t="s">
        <v>1088</v>
      </c>
      <c r="D894" s="134" t="s">
        <v>66</v>
      </c>
      <c r="E894" s="134" t="s">
        <v>353</v>
      </c>
      <c r="F894" s="134" t="s">
        <v>1158</v>
      </c>
      <c r="G894" s="134">
        <v>3737444</v>
      </c>
      <c r="H894" s="135">
        <v>44572</v>
      </c>
      <c r="I894" s="134">
        <v>0.43185000000000001</v>
      </c>
      <c r="J894" s="134"/>
      <c r="K894" s="134"/>
      <c r="L894" s="134"/>
      <c r="M894" s="134"/>
      <c r="N894" s="134"/>
      <c r="O894" s="134"/>
      <c r="P894" s="134"/>
      <c r="Q894" s="134"/>
      <c r="R894" s="134"/>
      <c r="S894" s="134"/>
      <c r="T894" s="135">
        <v>21288</v>
      </c>
      <c r="U894" s="134"/>
      <c r="V894" s="134" t="s">
        <v>128</v>
      </c>
      <c r="W894" s="92" t="str">
        <f t="shared" si="77"/>
        <v>Navarro Muñoz,Ramiro</v>
      </c>
      <c r="X894" s="95">
        <f t="shared" si="75"/>
        <v>1</v>
      </c>
      <c r="Y894" s="95">
        <f t="shared" si="76"/>
        <v>2022</v>
      </c>
      <c r="Z894" s="103" t="s">
        <v>265</v>
      </c>
      <c r="AA894" t="str">
        <f>IF(Tabla1[[#This Row],[Kerma en aire acumulada (Gy)]]&gt;1,SUMIF(G:G,Tabla1[[#This Row],[SIP]],I:I)-Tabla1[[#This Row],[Kerma en aire acumulada (Gy)]],"")</f>
        <v/>
      </c>
    </row>
    <row r="895" spans="3:27">
      <c r="C895" s="94" t="s">
        <v>1088</v>
      </c>
      <c r="D895" s="134" t="s">
        <v>2003</v>
      </c>
      <c r="E895" s="134" t="s">
        <v>2004</v>
      </c>
      <c r="F895" s="134" t="s">
        <v>585</v>
      </c>
      <c r="G895" s="134">
        <v>207277</v>
      </c>
      <c r="H895" s="135">
        <v>44573</v>
      </c>
      <c r="I895" s="134">
        <v>0.12350999999999999</v>
      </c>
      <c r="J895" s="134"/>
      <c r="K895" s="134"/>
      <c r="L895" s="134"/>
      <c r="M895" s="134"/>
      <c r="N895" s="134"/>
      <c r="O895" s="134"/>
      <c r="P895" s="134"/>
      <c r="Q895" s="134"/>
      <c r="R895" s="134"/>
      <c r="S895" s="134"/>
      <c r="T895" s="135">
        <v>20881</v>
      </c>
      <c r="U895" s="134"/>
      <c r="V895" s="134" t="s">
        <v>1711</v>
      </c>
      <c r="W895" s="92" t="str">
        <f t="shared" si="77"/>
        <v>Palacios Moncho,Ricardo</v>
      </c>
      <c r="X895" s="95">
        <f t="shared" si="75"/>
        <v>1</v>
      </c>
      <c r="Y895" s="95">
        <f t="shared" si="76"/>
        <v>2022</v>
      </c>
      <c r="Z895" s="103" t="s">
        <v>265</v>
      </c>
      <c r="AA895" t="str">
        <f>IF(Tabla1[[#This Row],[Kerma en aire acumulada (Gy)]]&gt;1,SUMIF(G:G,Tabla1[[#This Row],[SIP]],I:I)-Tabla1[[#This Row],[Kerma en aire acumulada (Gy)]],"")</f>
        <v/>
      </c>
    </row>
    <row r="896" spans="3:27">
      <c r="C896" s="94" t="s">
        <v>1088</v>
      </c>
      <c r="D896" s="134" t="s">
        <v>784</v>
      </c>
      <c r="E896" s="134" t="s">
        <v>723</v>
      </c>
      <c r="F896" s="134" t="s">
        <v>1104</v>
      </c>
      <c r="G896" s="134">
        <v>2268610</v>
      </c>
      <c r="H896" s="135">
        <v>44573</v>
      </c>
      <c r="I896" s="134">
        <v>0.35893000000000003</v>
      </c>
      <c r="J896" s="134"/>
      <c r="K896" s="134"/>
      <c r="L896" s="134"/>
      <c r="M896" s="134"/>
      <c r="N896" s="134"/>
      <c r="O896" s="134"/>
      <c r="P896" s="134"/>
      <c r="Q896" s="134"/>
      <c r="R896" s="134"/>
      <c r="S896" s="134"/>
      <c r="T896" s="135">
        <v>19062</v>
      </c>
      <c r="U896" s="134"/>
      <c r="V896" s="134" t="s">
        <v>1767</v>
      </c>
      <c r="W896" s="92" t="str">
        <f t="shared" si="77"/>
        <v>Coll Moscardo,Jose Luis</v>
      </c>
      <c r="X896" s="95">
        <f t="shared" si="75"/>
        <v>1</v>
      </c>
      <c r="Y896" s="95">
        <f t="shared" si="76"/>
        <v>2022</v>
      </c>
      <c r="Z896" s="103" t="s">
        <v>265</v>
      </c>
      <c r="AA896" t="str">
        <f>IF(Tabla1[[#This Row],[Kerma en aire acumulada (Gy)]]&gt;1,SUMIF(G:G,Tabla1[[#This Row],[SIP]],I:I)-Tabla1[[#This Row],[Kerma en aire acumulada (Gy)]],"")</f>
        <v/>
      </c>
    </row>
    <row r="897" spans="3:27">
      <c r="C897" s="94" t="s">
        <v>1088</v>
      </c>
      <c r="D897" s="134" t="s">
        <v>320</v>
      </c>
      <c r="E897" s="134" t="s">
        <v>1587</v>
      </c>
      <c r="F897" s="134" t="s">
        <v>991</v>
      </c>
      <c r="G897" s="134">
        <v>11781720</v>
      </c>
      <c r="H897" s="135">
        <v>44573</v>
      </c>
      <c r="I897" s="134">
        <v>1.3492</v>
      </c>
      <c r="J897" s="134"/>
      <c r="K897" s="134"/>
      <c r="L897" s="134"/>
      <c r="M897" s="134"/>
      <c r="N897" s="134"/>
      <c r="O897" s="134"/>
      <c r="P897" s="134"/>
      <c r="Q897" s="134"/>
      <c r="R897" s="134"/>
      <c r="S897" s="134"/>
      <c r="T897" s="135">
        <v>23696</v>
      </c>
      <c r="U897" s="134"/>
      <c r="V897" s="134" t="s">
        <v>2014</v>
      </c>
      <c r="W897" s="92" t="str">
        <f t="shared" si="77"/>
        <v>Cano Jimenez,Jose</v>
      </c>
      <c r="X897" s="95">
        <f t="shared" si="75"/>
        <v>1</v>
      </c>
      <c r="Y897" s="95">
        <f t="shared" si="76"/>
        <v>2022</v>
      </c>
      <c r="Z897" s="103" t="s">
        <v>265</v>
      </c>
      <c r="AA897">
        <f>IF(Tabla1[[#This Row],[Kerma en aire acumulada (Gy)]]&gt;1,SUMIF(G:G,Tabla1[[#This Row],[SIP]],I:I)-Tabla1[[#This Row],[Kerma en aire acumulada (Gy)]],"")</f>
        <v>1.7023999999999997</v>
      </c>
    </row>
    <row r="898" spans="3:27">
      <c r="C898" s="94" t="s">
        <v>1088</v>
      </c>
      <c r="D898" s="134" t="s">
        <v>169</v>
      </c>
      <c r="E898" s="134" t="s">
        <v>1919</v>
      </c>
      <c r="F898" s="134" t="s">
        <v>2001</v>
      </c>
      <c r="G898" s="134">
        <v>2484613</v>
      </c>
      <c r="H898" s="135">
        <v>44574</v>
      </c>
      <c r="I898" s="134">
        <v>1.8000000000000001E-4</v>
      </c>
      <c r="J898" s="134"/>
      <c r="K898" s="134"/>
      <c r="L898" s="134"/>
      <c r="M898" s="134"/>
      <c r="N898" s="134"/>
      <c r="O898" s="134"/>
      <c r="P898" s="134"/>
      <c r="Q898" s="134"/>
      <c r="R898" s="134"/>
      <c r="S898" s="134"/>
      <c r="T898" s="135">
        <v>18465</v>
      </c>
      <c r="U898" s="134"/>
      <c r="V898" s="134" t="s">
        <v>1274</v>
      </c>
      <c r="W898" s="92" t="str">
        <f t="shared" si="77"/>
        <v>Valero Lloret,Luis Francisco</v>
      </c>
      <c r="X898" s="95">
        <f t="shared" si="75"/>
        <v>1</v>
      </c>
      <c r="Y898" s="95">
        <f t="shared" si="76"/>
        <v>2022</v>
      </c>
      <c r="Z898" s="103" t="s">
        <v>265</v>
      </c>
      <c r="AA898" t="str">
        <f>IF(Tabla1[[#This Row],[Kerma en aire acumulada (Gy)]]&gt;1,SUMIF(G:G,Tabla1[[#This Row],[SIP]],I:I)-Tabla1[[#This Row],[Kerma en aire acumulada (Gy)]],"")</f>
        <v/>
      </c>
    </row>
    <row r="899" spans="3:27">
      <c r="C899" s="94" t="s">
        <v>1088</v>
      </c>
      <c r="D899" s="134" t="s">
        <v>291</v>
      </c>
      <c r="E899" s="134" t="s">
        <v>2002</v>
      </c>
      <c r="F899" s="134" t="s">
        <v>1694</v>
      </c>
      <c r="G899" s="134">
        <v>3178351</v>
      </c>
      <c r="H899" s="135">
        <v>44574</v>
      </c>
      <c r="I899" s="134" t="s">
        <v>1188</v>
      </c>
      <c r="J899" s="134"/>
      <c r="K899" s="134"/>
      <c r="L899" s="134"/>
      <c r="M899" s="134"/>
      <c r="N899" s="134"/>
      <c r="O899" s="134"/>
      <c r="P899" s="134"/>
      <c r="Q899" s="134"/>
      <c r="R899" s="134"/>
      <c r="S899" s="134"/>
      <c r="T899" s="135">
        <v>12724</v>
      </c>
      <c r="U899" s="134"/>
      <c r="V899" s="134" t="s">
        <v>118</v>
      </c>
      <c r="W899" s="92" t="str">
        <f t="shared" si="77"/>
        <v>Gomis Chilet ,Concepcion</v>
      </c>
      <c r="X899" s="95">
        <f t="shared" si="75"/>
        <v>1</v>
      </c>
      <c r="Y899" s="95">
        <f t="shared" si="76"/>
        <v>2022</v>
      </c>
      <c r="Z899" s="103" t="s">
        <v>265</v>
      </c>
      <c r="AA899" t="e">
        <f>IF(Tabla1[[#This Row],[Kerma en aire acumulada (Gy)]]&gt;1,SUMIF(G:G,Tabla1[[#This Row],[SIP]],I:I)-Tabla1[[#This Row],[Kerma en aire acumulada (Gy)]],"")</f>
        <v>#VALUE!</v>
      </c>
    </row>
    <row r="900" spans="3:27">
      <c r="C900" s="147" t="s">
        <v>1088</v>
      </c>
      <c r="D900" s="134" t="s">
        <v>660</v>
      </c>
      <c r="E900" s="134" t="s">
        <v>2034</v>
      </c>
      <c r="F900" s="134" t="s">
        <v>2035</v>
      </c>
      <c r="G900" s="134">
        <v>2916872</v>
      </c>
      <c r="H900" s="135">
        <v>44575</v>
      </c>
      <c r="I900" s="134">
        <v>0.32895999999999997</v>
      </c>
      <c r="J900" s="145"/>
      <c r="K900" s="145"/>
      <c r="L900" s="145"/>
      <c r="M900" s="145"/>
      <c r="N900" s="145"/>
      <c r="O900" s="145"/>
      <c r="P900" s="145"/>
      <c r="Q900" s="145"/>
      <c r="R900" s="145"/>
      <c r="S900" s="145"/>
      <c r="T900" s="135">
        <v>20605</v>
      </c>
      <c r="U900" s="145"/>
      <c r="V900" s="134" t="s">
        <v>108</v>
      </c>
      <c r="W900" s="92" t="str">
        <f t="shared" si="77"/>
        <v>Abad Fauli,Jose Fernando</v>
      </c>
      <c r="X900" s="95">
        <f t="shared" si="75"/>
        <v>1</v>
      </c>
      <c r="Y900" s="95">
        <f t="shared" si="76"/>
        <v>2022</v>
      </c>
      <c r="Z900" s="103" t="s">
        <v>265</v>
      </c>
      <c r="AA900" t="str">
        <f>IF(Tabla1[[#This Row],[Kerma en aire acumulada (Gy)]]&gt;1,SUMIF(G:G,Tabla1[[#This Row],[SIP]],I:I)-Tabla1[[#This Row],[Kerma en aire acumulada (Gy)]],"")</f>
        <v/>
      </c>
    </row>
    <row r="901" spans="3:27">
      <c r="C901" s="147" t="s">
        <v>1088</v>
      </c>
      <c r="D901" s="134" t="s">
        <v>962</v>
      </c>
      <c r="E901" s="134" t="s">
        <v>1001</v>
      </c>
      <c r="F901" s="134" t="s">
        <v>83</v>
      </c>
      <c r="G901" s="134">
        <v>1120305</v>
      </c>
      <c r="H901" s="135">
        <v>44575</v>
      </c>
      <c r="I901" s="134">
        <v>8.1100000000000005E-2</v>
      </c>
      <c r="J901" s="145"/>
      <c r="K901" s="145"/>
      <c r="L901" s="145"/>
      <c r="M901" s="145"/>
      <c r="N901" s="145"/>
      <c r="O901" s="145"/>
      <c r="P901" s="145"/>
      <c r="Q901" s="145"/>
      <c r="R901" s="145"/>
      <c r="S901" s="145"/>
      <c r="T901" s="135">
        <v>18366</v>
      </c>
      <c r="U901" s="145"/>
      <c r="V901" s="134" t="s">
        <v>929</v>
      </c>
      <c r="W901" s="92" t="str">
        <f t="shared" si="77"/>
        <v>Garcia Perez,Francisco</v>
      </c>
      <c r="X901" s="95">
        <f t="shared" si="75"/>
        <v>1</v>
      </c>
      <c r="Y901" s="95">
        <f t="shared" si="76"/>
        <v>2022</v>
      </c>
      <c r="Z901" s="103" t="s">
        <v>265</v>
      </c>
      <c r="AA901" t="str">
        <f>IF(Tabla1[[#This Row],[Kerma en aire acumulada (Gy)]]&gt;1,SUMIF(G:G,Tabla1[[#This Row],[SIP]],I:I)-Tabla1[[#This Row],[Kerma en aire acumulada (Gy)]],"")</f>
        <v/>
      </c>
    </row>
    <row r="902" spans="3:27">
      <c r="C902" s="147" t="s">
        <v>1088</v>
      </c>
      <c r="D902" s="134" t="s">
        <v>641</v>
      </c>
      <c r="E902" s="134" t="s">
        <v>948</v>
      </c>
      <c r="F902" s="134" t="s">
        <v>1238</v>
      </c>
      <c r="G902" s="134">
        <v>3308940</v>
      </c>
      <c r="H902" s="135">
        <v>44575</v>
      </c>
      <c r="I902" s="134">
        <v>0.24031</v>
      </c>
      <c r="J902" s="145"/>
      <c r="K902" s="145"/>
      <c r="L902" s="145"/>
      <c r="M902" s="145"/>
      <c r="N902" s="145"/>
      <c r="O902" s="145"/>
      <c r="P902" s="145"/>
      <c r="Q902" s="145"/>
      <c r="R902" s="145"/>
      <c r="S902" s="145"/>
      <c r="T902" s="135">
        <v>14671</v>
      </c>
      <c r="U902" s="145"/>
      <c r="V902" s="134" t="s">
        <v>143</v>
      </c>
      <c r="W902" s="92" t="str">
        <f t="shared" si="77"/>
        <v>Parra Martinez,Angel</v>
      </c>
      <c r="X902" s="95">
        <f t="shared" si="75"/>
        <v>1</v>
      </c>
      <c r="Y902" s="95">
        <f t="shared" si="76"/>
        <v>2022</v>
      </c>
      <c r="Z902" s="103" t="s">
        <v>265</v>
      </c>
      <c r="AA902" t="str">
        <f>IF(Tabla1[[#This Row],[Kerma en aire acumulada (Gy)]]&gt;1,SUMIF(G:G,Tabla1[[#This Row],[SIP]],I:I)-Tabla1[[#This Row],[Kerma en aire acumulada (Gy)]],"")</f>
        <v/>
      </c>
    </row>
    <row r="903" spans="3:27">
      <c r="C903" s="147" t="s">
        <v>1088</v>
      </c>
      <c r="D903" s="134" t="s">
        <v>2050</v>
      </c>
      <c r="E903" s="134" t="s">
        <v>2051</v>
      </c>
      <c r="F903" s="134" t="s">
        <v>1297</v>
      </c>
      <c r="G903" s="134">
        <v>89582</v>
      </c>
      <c r="H903" s="135">
        <v>44576</v>
      </c>
      <c r="I903" s="134">
        <v>0.87904000000000004</v>
      </c>
      <c r="J903" s="145"/>
      <c r="K903" s="145"/>
      <c r="L903" s="145"/>
      <c r="M903" s="145"/>
      <c r="N903" s="145"/>
      <c r="O903" s="145"/>
      <c r="P903" s="145"/>
      <c r="Q903" s="145"/>
      <c r="R903" s="145"/>
      <c r="S903" s="145"/>
      <c r="T903" s="135">
        <v>21839</v>
      </c>
      <c r="U903" s="145"/>
      <c r="V903" s="134" t="s">
        <v>151</v>
      </c>
      <c r="W903" s="92" t="str">
        <f t="shared" si="77"/>
        <v>Montañes Ferragud,Juan Vicente</v>
      </c>
      <c r="X903" s="95">
        <f t="shared" si="75"/>
        <v>1</v>
      </c>
      <c r="Y903" s="95">
        <f t="shared" si="76"/>
        <v>2022</v>
      </c>
      <c r="Z903" s="103" t="s">
        <v>265</v>
      </c>
      <c r="AA903" t="str">
        <f>IF(Tabla1[[#This Row],[Kerma en aire acumulada (Gy)]]&gt;1,SUMIF(G:G,Tabla1[[#This Row],[SIP]],I:I)-Tabla1[[#This Row],[Kerma en aire acumulada (Gy)]],"")</f>
        <v/>
      </c>
    </row>
    <row r="904" spans="3:27">
      <c r="C904" s="147" t="s">
        <v>1088</v>
      </c>
      <c r="D904" s="134" t="s">
        <v>2036</v>
      </c>
      <c r="E904" s="134"/>
      <c r="F904" s="134" t="s">
        <v>2037</v>
      </c>
      <c r="G904" s="134">
        <v>6036864</v>
      </c>
      <c r="H904" s="135">
        <v>44578</v>
      </c>
      <c r="I904" s="134">
        <v>0.88993999999999995</v>
      </c>
      <c r="J904" s="145"/>
      <c r="K904" s="145"/>
      <c r="L904" s="145"/>
      <c r="M904" s="145"/>
      <c r="N904" s="145"/>
      <c r="O904" s="145"/>
      <c r="P904" s="145"/>
      <c r="Q904" s="145"/>
      <c r="R904" s="145"/>
      <c r="S904" s="145"/>
      <c r="T904" s="135">
        <v>24747</v>
      </c>
      <c r="U904" s="145"/>
      <c r="V904" s="134" t="s">
        <v>173</v>
      </c>
      <c r="W904" s="92" t="str">
        <f t="shared" si="77"/>
        <v>Moise ,Nicoleta Iuliana</v>
      </c>
      <c r="X904" s="95">
        <f t="shared" si="75"/>
        <v>1</v>
      </c>
      <c r="Y904" s="95">
        <f t="shared" si="76"/>
        <v>2022</v>
      </c>
      <c r="Z904" s="103" t="s">
        <v>265</v>
      </c>
      <c r="AA904" t="str">
        <f>IF(Tabla1[[#This Row],[Kerma en aire acumulada (Gy)]]&gt;1,SUMIF(G:G,Tabla1[[#This Row],[SIP]],I:I)-Tabla1[[#This Row],[Kerma en aire acumulada (Gy)]],"")</f>
        <v/>
      </c>
    </row>
    <row r="905" spans="3:27">
      <c r="C905" s="147" t="s">
        <v>1088</v>
      </c>
      <c r="D905" s="134" t="s">
        <v>2031</v>
      </c>
      <c r="E905" s="134"/>
      <c r="F905" s="134" t="s">
        <v>2032</v>
      </c>
      <c r="G905" s="134">
        <v>1089863</v>
      </c>
      <c r="H905" s="135">
        <v>44579</v>
      </c>
      <c r="I905" s="134">
        <v>3.13E-3</v>
      </c>
      <c r="J905" s="145"/>
      <c r="K905" s="145"/>
      <c r="L905" s="145"/>
      <c r="M905" s="145"/>
      <c r="N905" s="145"/>
      <c r="O905" s="145"/>
      <c r="P905" s="145"/>
      <c r="Q905" s="145"/>
      <c r="R905" s="145"/>
      <c r="S905" s="145"/>
      <c r="T905" s="135">
        <v>18664</v>
      </c>
      <c r="U905" s="145"/>
      <c r="V905" s="134" t="s">
        <v>1274</v>
      </c>
      <c r="W905" s="92" t="str">
        <f t="shared" si="77"/>
        <v>Tabikh ,Mohe Ddin</v>
      </c>
      <c r="X905" s="95">
        <f t="shared" si="75"/>
        <v>1</v>
      </c>
      <c r="Y905" s="95">
        <f t="shared" si="76"/>
        <v>2022</v>
      </c>
      <c r="Z905" s="103" t="s">
        <v>265</v>
      </c>
      <c r="AA905" t="str">
        <f>IF(Tabla1[[#This Row],[Kerma en aire acumulada (Gy)]]&gt;1,SUMIF(G:G,Tabla1[[#This Row],[SIP]],I:I)-Tabla1[[#This Row],[Kerma en aire acumulada (Gy)]],"")</f>
        <v/>
      </c>
    </row>
    <row r="906" spans="3:27">
      <c r="C906" s="147" t="s">
        <v>1088</v>
      </c>
      <c r="D906" s="134" t="s">
        <v>2033</v>
      </c>
      <c r="E906" s="134" t="s">
        <v>1903</v>
      </c>
      <c r="F906" s="134" t="s">
        <v>1050</v>
      </c>
      <c r="G906" s="134">
        <v>4707808</v>
      </c>
      <c r="H906" s="135">
        <v>44579</v>
      </c>
      <c r="I906" s="134">
        <v>6.2890000000000001E-2</v>
      </c>
      <c r="J906" s="145"/>
      <c r="K906" s="145"/>
      <c r="L906" s="145"/>
      <c r="M906" s="145"/>
      <c r="N906" s="145"/>
      <c r="O906" s="145"/>
      <c r="P906" s="145"/>
      <c r="Q906" s="145"/>
      <c r="R906" s="145"/>
      <c r="S906" s="145"/>
      <c r="T906" s="135">
        <v>44579</v>
      </c>
      <c r="U906" s="145"/>
      <c r="V906" s="134" t="s">
        <v>586</v>
      </c>
      <c r="W906" s="92" t="str">
        <f t="shared" si="77"/>
        <v>Arenas Herrera,Francisco Javier</v>
      </c>
      <c r="X906" s="95">
        <f t="shared" si="75"/>
        <v>1</v>
      </c>
      <c r="Y906" s="95">
        <f t="shared" si="76"/>
        <v>2022</v>
      </c>
      <c r="Z906" s="103" t="s">
        <v>265</v>
      </c>
      <c r="AA906" t="str">
        <f>IF(Tabla1[[#This Row],[Kerma en aire acumulada (Gy)]]&gt;1,SUMIF(G:G,Tabla1[[#This Row],[SIP]],I:I)-Tabla1[[#This Row],[Kerma en aire acumulada (Gy)]],"")</f>
        <v/>
      </c>
    </row>
    <row r="907" spans="3:27">
      <c r="C907" s="147" t="s">
        <v>1088</v>
      </c>
      <c r="D907" s="134" t="s">
        <v>2048</v>
      </c>
      <c r="E907" s="134" t="s">
        <v>2049</v>
      </c>
      <c r="F907" s="134" t="s">
        <v>861</v>
      </c>
      <c r="G907" s="134">
        <v>4274416</v>
      </c>
      <c r="H907" s="135">
        <v>44579</v>
      </c>
      <c r="I907" s="134">
        <v>8.8000000000000003E-4</v>
      </c>
      <c r="J907" s="145"/>
      <c r="K907" s="145"/>
      <c r="L907" s="145"/>
      <c r="M907" s="145"/>
      <c r="N907" s="145"/>
      <c r="O907" s="145"/>
      <c r="P907" s="145"/>
      <c r="Q907" s="145"/>
      <c r="R907" s="145"/>
      <c r="S907" s="145"/>
      <c r="T907" s="135">
        <v>24325</v>
      </c>
      <c r="U907" s="145"/>
      <c r="V907" s="134" t="s">
        <v>1274</v>
      </c>
      <c r="W907" s="92" t="str">
        <f t="shared" si="77"/>
        <v>Carro Jueguen,Juan Carlos</v>
      </c>
      <c r="X907" s="95">
        <f t="shared" si="75"/>
        <v>1</v>
      </c>
      <c r="Y907" s="95">
        <f t="shared" si="76"/>
        <v>2022</v>
      </c>
      <c r="Z907" s="103" t="s">
        <v>265</v>
      </c>
      <c r="AA907" t="str">
        <f>IF(Tabla1[[#This Row],[Kerma en aire acumulada (Gy)]]&gt;1,SUMIF(G:G,Tabla1[[#This Row],[SIP]],I:I)-Tabla1[[#This Row],[Kerma en aire acumulada (Gy)]],"")</f>
        <v/>
      </c>
    </row>
    <row r="908" spans="3:27">
      <c r="C908" s="147" t="s">
        <v>1088</v>
      </c>
      <c r="D908" s="134" t="s">
        <v>22</v>
      </c>
      <c r="E908" s="134" t="s">
        <v>1954</v>
      </c>
      <c r="F908" s="134" t="s">
        <v>2029</v>
      </c>
      <c r="G908" s="134">
        <v>2929079</v>
      </c>
      <c r="H908" s="135">
        <v>44580</v>
      </c>
      <c r="I908" s="134">
        <v>6.0159999999999998E-2</v>
      </c>
      <c r="J908" s="145"/>
      <c r="K908" s="145"/>
      <c r="L908" s="145"/>
      <c r="M908" s="145"/>
      <c r="N908" s="145"/>
      <c r="O908" s="145"/>
      <c r="P908" s="145"/>
      <c r="Q908" s="145"/>
      <c r="R908" s="145"/>
      <c r="S908" s="145"/>
      <c r="T908" s="135">
        <v>25055</v>
      </c>
      <c r="U908" s="145"/>
      <c r="V908" s="134" t="s">
        <v>552</v>
      </c>
      <c r="W908" s="92" t="str">
        <f t="shared" si="77"/>
        <v>Ruiz Uceda,Bruno</v>
      </c>
      <c r="X908" s="95">
        <f t="shared" si="75"/>
        <v>1</v>
      </c>
      <c r="Y908" s="95">
        <f t="shared" si="76"/>
        <v>2022</v>
      </c>
      <c r="Z908" s="103" t="s">
        <v>265</v>
      </c>
      <c r="AA908" t="str">
        <f>IF(Tabla1[[#This Row],[Kerma en aire acumulada (Gy)]]&gt;1,SUMIF(G:G,Tabla1[[#This Row],[SIP]],I:I)-Tabla1[[#This Row],[Kerma en aire acumulada (Gy)]],"")</f>
        <v/>
      </c>
    </row>
    <row r="909" spans="3:27">
      <c r="C909" s="147" t="s">
        <v>1088</v>
      </c>
      <c r="D909" s="134" t="s">
        <v>962</v>
      </c>
      <c r="E909" s="134" t="s">
        <v>1001</v>
      </c>
      <c r="F909" s="134" t="s">
        <v>83</v>
      </c>
      <c r="G909" s="134">
        <v>1120305</v>
      </c>
      <c r="H909" s="135">
        <v>44580</v>
      </c>
      <c r="I909" s="134">
        <v>0.41002</v>
      </c>
      <c r="J909" s="145"/>
      <c r="K909" s="145"/>
      <c r="L909" s="145"/>
      <c r="M909" s="145"/>
      <c r="N909" s="145"/>
      <c r="O909" s="145"/>
      <c r="P909" s="145"/>
      <c r="Q909" s="145"/>
      <c r="R909" s="145"/>
      <c r="S909" s="145"/>
      <c r="T909" s="135">
        <v>18366</v>
      </c>
      <c r="U909" s="145"/>
      <c r="V909" s="134" t="s">
        <v>1653</v>
      </c>
      <c r="W909" s="92" t="str">
        <f t="shared" si="77"/>
        <v>Garcia Perez,Francisco</v>
      </c>
      <c r="X909" s="95">
        <f t="shared" si="75"/>
        <v>1</v>
      </c>
      <c r="Y909" s="95">
        <f t="shared" si="76"/>
        <v>2022</v>
      </c>
      <c r="Z909" s="103" t="s">
        <v>265</v>
      </c>
      <c r="AA909" t="str">
        <f>IF(Tabla1[[#This Row],[Kerma en aire acumulada (Gy)]]&gt;1,SUMIF(G:G,Tabla1[[#This Row],[SIP]],I:I)-Tabla1[[#This Row],[Kerma en aire acumulada (Gy)]],"")</f>
        <v/>
      </c>
    </row>
    <row r="910" spans="3:27">
      <c r="C910" s="147" t="s">
        <v>1088</v>
      </c>
      <c r="D910" s="134" t="s">
        <v>331</v>
      </c>
      <c r="E910" s="134" t="s">
        <v>2030</v>
      </c>
      <c r="F910" s="134" t="s">
        <v>88</v>
      </c>
      <c r="G910" s="134">
        <v>4908915</v>
      </c>
      <c r="H910" s="135">
        <v>44580</v>
      </c>
      <c r="I910" s="134">
        <v>0.15154000000000001</v>
      </c>
      <c r="J910" s="145"/>
      <c r="K910" s="145"/>
      <c r="L910" s="145"/>
      <c r="M910" s="145"/>
      <c r="N910" s="145"/>
      <c r="O910" s="145"/>
      <c r="P910" s="145"/>
      <c r="Q910" s="145"/>
      <c r="R910" s="145"/>
      <c r="S910" s="145"/>
      <c r="T910" s="135">
        <v>21674</v>
      </c>
      <c r="U910" s="145"/>
      <c r="V910" s="134" t="s">
        <v>1923</v>
      </c>
      <c r="W910" s="92" t="str">
        <f t="shared" si="77"/>
        <v>Tormo Benet,Vicente</v>
      </c>
      <c r="X910" s="95">
        <f t="shared" si="75"/>
        <v>1</v>
      </c>
      <c r="Y910" s="95">
        <f t="shared" si="76"/>
        <v>2022</v>
      </c>
      <c r="Z910" s="103" t="s">
        <v>265</v>
      </c>
      <c r="AA910" t="str">
        <f>IF(Tabla1[[#This Row],[Kerma en aire acumulada (Gy)]]&gt;1,SUMIF(G:G,Tabla1[[#This Row],[SIP]],I:I)-Tabla1[[#This Row],[Kerma en aire acumulada (Gy)]],"")</f>
        <v/>
      </c>
    </row>
    <row r="911" spans="3:27">
      <c r="C911" s="147" t="s">
        <v>1088</v>
      </c>
      <c r="D911" s="134" t="s">
        <v>2045</v>
      </c>
      <c r="E911" s="134" t="s">
        <v>2046</v>
      </c>
      <c r="F911" s="134" t="s">
        <v>7</v>
      </c>
      <c r="G911" s="134">
        <v>3742410</v>
      </c>
      <c r="H911" s="135">
        <v>44580</v>
      </c>
      <c r="I911" s="134">
        <v>8.9349999999999999E-2</v>
      </c>
      <c r="J911" s="145"/>
      <c r="K911" s="145"/>
      <c r="L911" s="145"/>
      <c r="M911" s="145"/>
      <c r="N911" s="145"/>
      <c r="O911" s="145"/>
      <c r="P911" s="145"/>
      <c r="Q911" s="145"/>
      <c r="R911" s="145"/>
      <c r="S911" s="145"/>
      <c r="T911" s="135">
        <v>18441</v>
      </c>
      <c r="U911" s="145"/>
      <c r="V911" s="134" t="s">
        <v>1116</v>
      </c>
      <c r="W911" s="92" t="str">
        <f t="shared" si="77"/>
        <v>Ciscar Vilanova ,Francisca</v>
      </c>
      <c r="X911" s="95">
        <f t="shared" si="75"/>
        <v>1</v>
      </c>
      <c r="Y911" s="95">
        <f t="shared" si="76"/>
        <v>2022</v>
      </c>
      <c r="Z911" s="103" t="s">
        <v>265</v>
      </c>
      <c r="AA911" t="str">
        <f>IF(Tabla1[[#This Row],[Kerma en aire acumulada (Gy)]]&gt;1,SUMIF(G:G,Tabla1[[#This Row],[SIP]],I:I)-Tabla1[[#This Row],[Kerma en aire acumulada (Gy)]],"")</f>
        <v/>
      </c>
    </row>
    <row r="912" spans="3:27">
      <c r="C912" s="147" t="s">
        <v>1088</v>
      </c>
      <c r="D912" s="134" t="s">
        <v>176</v>
      </c>
      <c r="E912" s="134" t="s">
        <v>1671</v>
      </c>
      <c r="F912" s="134" t="s">
        <v>2026</v>
      </c>
      <c r="G912" s="134">
        <v>2418679</v>
      </c>
      <c r="H912" s="135">
        <v>44581</v>
      </c>
      <c r="I912" s="134">
        <v>0.15096999999999999</v>
      </c>
      <c r="J912" s="145"/>
      <c r="K912" s="145"/>
      <c r="L912" s="145"/>
      <c r="M912" s="145"/>
      <c r="N912" s="145"/>
      <c r="O912" s="145"/>
      <c r="P912" s="145"/>
      <c r="Q912" s="145"/>
      <c r="R912" s="145"/>
      <c r="S912" s="145"/>
      <c r="T912" s="135">
        <v>21705</v>
      </c>
      <c r="U912" s="145"/>
      <c r="V912" s="134" t="s">
        <v>1921</v>
      </c>
      <c r="W912" s="92" t="str">
        <f t="shared" si="77"/>
        <v>Campos Gisbert,Carlos Enrique</v>
      </c>
      <c r="X912" s="95">
        <f t="shared" si="75"/>
        <v>1</v>
      </c>
      <c r="Y912" s="95">
        <f t="shared" si="76"/>
        <v>2022</v>
      </c>
      <c r="Z912" s="103" t="s">
        <v>265</v>
      </c>
      <c r="AA912" t="str">
        <f>IF(Tabla1[[#This Row],[Kerma en aire acumulada (Gy)]]&gt;1,SUMIF(G:G,Tabla1[[#This Row],[SIP]],I:I)-Tabla1[[#This Row],[Kerma en aire acumulada (Gy)]],"")</f>
        <v/>
      </c>
    </row>
    <row r="913" spans="2:27">
      <c r="C913" s="147" t="s">
        <v>1088</v>
      </c>
      <c r="D913" s="134" t="s">
        <v>2027</v>
      </c>
      <c r="E913" s="134" t="s">
        <v>948</v>
      </c>
      <c r="F913" s="134" t="s">
        <v>2028</v>
      </c>
      <c r="G913" s="134">
        <v>3264857</v>
      </c>
      <c r="H913" s="135">
        <v>44581</v>
      </c>
      <c r="I913" s="134">
        <v>7.0930000000000007E-2</v>
      </c>
      <c r="J913" s="145"/>
      <c r="K913" s="145"/>
      <c r="L913" s="145"/>
      <c r="M913" s="145"/>
      <c r="N913" s="145"/>
      <c r="O913" s="145"/>
      <c r="P913" s="145"/>
      <c r="Q913" s="145"/>
      <c r="R913" s="145"/>
      <c r="S913" s="145"/>
      <c r="T913" s="135">
        <v>26079</v>
      </c>
      <c r="U913" s="145"/>
      <c r="V913" s="134" t="s">
        <v>1742</v>
      </c>
      <c r="W913" s="92" t="str">
        <f t="shared" si="77"/>
        <v>Urban  Martinez,M Angeles</v>
      </c>
      <c r="X913" s="95">
        <f t="shared" si="75"/>
        <v>1</v>
      </c>
      <c r="Y913" s="95">
        <f t="shared" si="76"/>
        <v>2022</v>
      </c>
      <c r="Z913" s="103" t="s">
        <v>265</v>
      </c>
      <c r="AA913" t="str">
        <f>IF(Tabla1[[#This Row],[Kerma en aire acumulada (Gy)]]&gt;1,SUMIF(G:G,Tabla1[[#This Row],[SIP]],I:I)-Tabla1[[#This Row],[Kerma en aire acumulada (Gy)]],"")</f>
        <v/>
      </c>
    </row>
    <row r="914" spans="2:27">
      <c r="C914" s="147" t="s">
        <v>1088</v>
      </c>
      <c r="D914" s="134" t="s">
        <v>2043</v>
      </c>
      <c r="E914" s="134"/>
      <c r="F914" s="134" t="s">
        <v>2044</v>
      </c>
      <c r="G914" s="134">
        <v>13094297</v>
      </c>
      <c r="H914" s="135">
        <v>44581</v>
      </c>
      <c r="I914" s="134">
        <v>4.6000000000000001E-4</v>
      </c>
      <c r="J914" s="145"/>
      <c r="K914" s="145"/>
      <c r="L914" s="145"/>
      <c r="M914" s="145"/>
      <c r="N914" s="145"/>
      <c r="O914" s="145"/>
      <c r="P914" s="145"/>
      <c r="Q914" s="145"/>
      <c r="R914" s="145"/>
      <c r="S914" s="145"/>
      <c r="T914" s="135">
        <v>33184</v>
      </c>
      <c r="U914" s="145"/>
      <c r="V914" s="134" t="s">
        <v>1274</v>
      </c>
      <c r="W914" s="92" t="str">
        <f t="shared" si="77"/>
        <v>Talhaoui ,Halima</v>
      </c>
      <c r="X914" s="95">
        <f t="shared" si="75"/>
        <v>1</v>
      </c>
      <c r="Y914" s="95">
        <f t="shared" si="76"/>
        <v>2022</v>
      </c>
      <c r="Z914" s="103" t="s">
        <v>265</v>
      </c>
      <c r="AA914" t="str">
        <f>IF(Tabla1[[#This Row],[Kerma en aire acumulada (Gy)]]&gt;1,SUMIF(G:G,Tabla1[[#This Row],[SIP]],I:I)-Tabla1[[#This Row],[Kerma en aire acumulada (Gy)]],"")</f>
        <v/>
      </c>
    </row>
    <row r="915" spans="2:27">
      <c r="C915" s="147" t="s">
        <v>1088</v>
      </c>
      <c r="D915" s="134" t="s">
        <v>997</v>
      </c>
      <c r="E915" s="134" t="s">
        <v>804</v>
      </c>
      <c r="F915" s="134" t="s">
        <v>82</v>
      </c>
      <c r="G915" s="134">
        <v>2868686</v>
      </c>
      <c r="H915" s="135">
        <v>44581</v>
      </c>
      <c r="I915" s="134">
        <v>6.6100000000000004E-3</v>
      </c>
      <c r="J915" s="145"/>
      <c r="K915" s="145"/>
      <c r="L915" s="145"/>
      <c r="M915" s="145"/>
      <c r="N915" s="145"/>
      <c r="O915" s="145"/>
      <c r="P915" s="145"/>
      <c r="Q915" s="145"/>
      <c r="R915" s="145"/>
      <c r="S915" s="145"/>
      <c r="T915" s="135">
        <v>19536</v>
      </c>
      <c r="U915" s="145"/>
      <c r="V915" s="134" t="s">
        <v>1734</v>
      </c>
      <c r="W915" s="92" t="str">
        <f t="shared" si="77"/>
        <v>Real Balaguer,Pascual</v>
      </c>
      <c r="X915" s="95">
        <f t="shared" si="75"/>
        <v>1</v>
      </c>
      <c r="Y915" s="95">
        <f t="shared" si="76"/>
        <v>2022</v>
      </c>
      <c r="Z915" s="103" t="s">
        <v>265</v>
      </c>
      <c r="AA915" t="str">
        <f>IF(Tabla1[[#This Row],[Kerma en aire acumulada (Gy)]]&gt;1,SUMIF(G:G,Tabla1[[#This Row],[SIP]],I:I)-Tabla1[[#This Row],[Kerma en aire acumulada (Gy)]],"")</f>
        <v/>
      </c>
    </row>
    <row r="916" spans="2:27">
      <c r="C916" s="147" t="s">
        <v>1088</v>
      </c>
      <c r="D916" s="134" t="s">
        <v>1595</v>
      </c>
      <c r="E916" s="134" t="s">
        <v>2025</v>
      </c>
      <c r="F916" s="134" t="s">
        <v>635</v>
      </c>
      <c r="G916" s="134">
        <v>2222044</v>
      </c>
      <c r="H916" s="135">
        <v>44582</v>
      </c>
      <c r="I916" s="134">
        <v>3.14E-3</v>
      </c>
      <c r="J916" s="134"/>
      <c r="K916" s="134"/>
      <c r="L916" s="134"/>
      <c r="M916" s="134"/>
      <c r="N916" s="134"/>
      <c r="O916" s="134"/>
      <c r="P916" s="134"/>
      <c r="Q916" s="134"/>
      <c r="R916" s="134"/>
      <c r="S916" s="134"/>
      <c r="T916" s="135">
        <v>15205</v>
      </c>
      <c r="U916" s="134"/>
      <c r="V916" s="134" t="s">
        <v>1300</v>
      </c>
      <c r="W916" s="92" t="str">
        <f t="shared" si="77"/>
        <v>March Orts,Enrique</v>
      </c>
      <c r="X916" s="95">
        <f t="shared" si="75"/>
        <v>1</v>
      </c>
      <c r="Y916" s="95">
        <f t="shared" si="76"/>
        <v>2022</v>
      </c>
      <c r="Z916" s="103" t="s">
        <v>265</v>
      </c>
      <c r="AA916" t="str">
        <f>IF(Tabla1[[#This Row],[Kerma en aire acumulada (Gy)]]&gt;1,SUMIF(G:G,Tabla1[[#This Row],[SIP]],I:I)-Tabla1[[#This Row],[Kerma en aire acumulada (Gy)]],"")</f>
        <v/>
      </c>
    </row>
    <row r="917" spans="2:27">
      <c r="C917" s="147" t="s">
        <v>1088</v>
      </c>
      <c r="D917" s="134" t="s">
        <v>2040</v>
      </c>
      <c r="E917" s="134" t="s">
        <v>1837</v>
      </c>
      <c r="F917" s="134" t="s">
        <v>798</v>
      </c>
      <c r="G917" s="134">
        <v>2665756</v>
      </c>
      <c r="H917" s="135">
        <v>44582</v>
      </c>
      <c r="I917" s="134">
        <v>0.15323000000000001</v>
      </c>
      <c r="J917" s="145"/>
      <c r="K917" s="145"/>
      <c r="L917" s="145"/>
      <c r="M917" s="145"/>
      <c r="N917" s="145"/>
      <c r="O917" s="145"/>
      <c r="P917" s="145"/>
      <c r="Q917" s="145"/>
      <c r="R917" s="145"/>
      <c r="S917" s="145"/>
      <c r="T917" s="135">
        <v>32425</v>
      </c>
      <c r="U917" s="145"/>
      <c r="V917" s="134" t="s">
        <v>2041</v>
      </c>
      <c r="W917" s="92" t="str">
        <f t="shared" si="77"/>
        <v>Bayuna Rodriguez,Ana</v>
      </c>
      <c r="X917" s="95">
        <f t="shared" ref="X917:X980" si="78">MONTH(H917)</f>
        <v>1</v>
      </c>
      <c r="Y917" s="95">
        <f t="shared" ref="Y917:Y960" si="79">YEAR(H917)</f>
        <v>2022</v>
      </c>
      <c r="Z917" s="103" t="s">
        <v>265</v>
      </c>
      <c r="AA917" t="str">
        <f>IF(Tabla1[[#This Row],[Kerma en aire acumulada (Gy)]]&gt;1,SUMIF(G:G,Tabla1[[#This Row],[SIP]],I:I)-Tabla1[[#This Row],[Kerma en aire acumulada (Gy)]],"")</f>
        <v/>
      </c>
    </row>
    <row r="918" spans="2:27">
      <c r="C918" s="147" t="s">
        <v>1088</v>
      </c>
      <c r="D918" s="134" t="s">
        <v>2042</v>
      </c>
      <c r="E918" s="134" t="s">
        <v>938</v>
      </c>
      <c r="F918" s="134" t="s">
        <v>1621</v>
      </c>
      <c r="G918" s="134">
        <v>2436928</v>
      </c>
      <c r="H918" s="135">
        <v>44582</v>
      </c>
      <c r="I918" s="134">
        <v>1E-3</v>
      </c>
      <c r="J918" s="145"/>
      <c r="K918" s="145"/>
      <c r="L918" s="145"/>
      <c r="M918" s="145"/>
      <c r="N918" s="145"/>
      <c r="O918" s="145"/>
      <c r="P918" s="145"/>
      <c r="Q918" s="145"/>
      <c r="R918" s="145"/>
      <c r="S918" s="145"/>
      <c r="T918" s="135">
        <v>21678</v>
      </c>
      <c r="U918" s="145"/>
      <c r="V918" s="134" t="s">
        <v>1300</v>
      </c>
      <c r="W918" s="92" t="str">
        <f t="shared" si="77"/>
        <v>Lara Doñate,Ramon</v>
      </c>
      <c r="X918" s="95">
        <f t="shared" si="78"/>
        <v>1</v>
      </c>
      <c r="Y918" s="95">
        <f t="shared" si="79"/>
        <v>2022</v>
      </c>
      <c r="Z918" s="103" t="s">
        <v>265</v>
      </c>
      <c r="AA918" t="str">
        <f>IF(Tabla1[[#This Row],[Kerma en aire acumulada (Gy)]]&gt;1,SUMIF(G:G,Tabla1[[#This Row],[SIP]],I:I)-Tabla1[[#This Row],[Kerma en aire acumulada (Gy)]],"")</f>
        <v/>
      </c>
    </row>
    <row r="919" spans="2:27">
      <c r="C919" s="147" t="s">
        <v>1088</v>
      </c>
      <c r="D919" s="134" t="s">
        <v>948</v>
      </c>
      <c r="E919" s="134" t="s">
        <v>962</v>
      </c>
      <c r="F919" s="134" t="s">
        <v>106</v>
      </c>
      <c r="G919" s="134">
        <v>2876248</v>
      </c>
      <c r="H919" s="135">
        <v>44583</v>
      </c>
      <c r="I919" s="134">
        <v>309957</v>
      </c>
      <c r="J919" s="145"/>
      <c r="K919" s="145"/>
      <c r="L919" s="145"/>
      <c r="M919" s="145"/>
      <c r="N919" s="145"/>
      <c r="O919" s="145"/>
      <c r="P919" s="145"/>
      <c r="Q919" s="145"/>
      <c r="R919" s="145"/>
      <c r="S919" s="145"/>
      <c r="T919" s="135">
        <v>20875</v>
      </c>
      <c r="U919" s="145"/>
      <c r="V919" s="134" t="s">
        <v>1890</v>
      </c>
      <c r="W919" s="92" t="str">
        <f t="shared" si="77"/>
        <v>Martinez Garcia,Carmen</v>
      </c>
      <c r="X919" s="95">
        <f t="shared" si="78"/>
        <v>1</v>
      </c>
      <c r="Y919" s="95">
        <f t="shared" si="79"/>
        <v>2022</v>
      </c>
      <c r="Z919" s="103" t="s">
        <v>265</v>
      </c>
      <c r="AA919">
        <f>IF(Tabla1[[#This Row],[Kerma en aire acumulada (Gy)]]&gt;1,SUMIF(G:G,Tabla1[[#This Row],[SIP]],I:I)-Tabla1[[#This Row],[Kerma en aire acumulada (Gy)]],"")</f>
        <v>0</v>
      </c>
    </row>
    <row r="920" spans="2:27">
      <c r="C920" s="147" t="s">
        <v>1088</v>
      </c>
      <c r="D920" s="134" t="s">
        <v>787</v>
      </c>
      <c r="E920" s="134" t="s">
        <v>2038</v>
      </c>
      <c r="F920" s="134" t="s">
        <v>2039</v>
      </c>
      <c r="G920" s="134">
        <v>4729022</v>
      </c>
      <c r="H920" s="135">
        <v>44584</v>
      </c>
      <c r="I920" s="134">
        <v>0.10778</v>
      </c>
      <c r="J920" s="145"/>
      <c r="K920" s="145"/>
      <c r="L920" s="145"/>
      <c r="M920" s="145"/>
      <c r="N920" s="145"/>
      <c r="O920" s="145"/>
      <c r="P920" s="145"/>
      <c r="Q920" s="145"/>
      <c r="R920" s="145"/>
      <c r="S920" s="145"/>
      <c r="T920" s="135">
        <v>19095</v>
      </c>
      <c r="U920" s="145"/>
      <c r="V920" s="134" t="s">
        <v>107</v>
      </c>
      <c r="W920" s="92" t="str">
        <f t="shared" si="77"/>
        <v>Bosch Alos,Maria Desampara</v>
      </c>
      <c r="X920" s="95">
        <f t="shared" si="78"/>
        <v>1</v>
      </c>
      <c r="Y920" s="95">
        <f t="shared" si="79"/>
        <v>2022</v>
      </c>
      <c r="Z920" s="103" t="s">
        <v>265</v>
      </c>
      <c r="AA920" t="str">
        <f>IF(Tabla1[[#This Row],[Kerma en aire acumulada (Gy)]]&gt;1,SUMIF(G:G,Tabla1[[#This Row],[SIP]],I:I)-Tabla1[[#This Row],[Kerma en aire acumulada (Gy)]],"")</f>
        <v/>
      </c>
    </row>
    <row r="921" spans="2:27">
      <c r="C921" s="147" t="s">
        <v>1088</v>
      </c>
      <c r="D921" s="134" t="s">
        <v>1272</v>
      </c>
      <c r="E921" s="134" t="s">
        <v>2015</v>
      </c>
      <c r="F921" s="134" t="s">
        <v>71</v>
      </c>
      <c r="G921" s="134">
        <v>1895471</v>
      </c>
      <c r="H921" s="135">
        <v>44585</v>
      </c>
      <c r="I921" s="134">
        <v>1.1814899999999999</v>
      </c>
      <c r="J921" s="145"/>
      <c r="K921" s="145"/>
      <c r="L921" s="145"/>
      <c r="M921" s="145"/>
      <c r="N921" s="145"/>
      <c r="O921" s="145"/>
      <c r="P921" s="145"/>
      <c r="Q921" s="145"/>
      <c r="R921" s="145"/>
      <c r="S921" s="145"/>
      <c r="T921" s="135">
        <v>14108</v>
      </c>
      <c r="U921" s="145"/>
      <c r="V921" s="134" t="s">
        <v>89</v>
      </c>
      <c r="W921" s="92" t="str">
        <f t="shared" si="77"/>
        <v>Benavent Perucho,Rafael</v>
      </c>
      <c r="X921" s="95">
        <f t="shared" si="78"/>
        <v>1</v>
      </c>
      <c r="Y921" s="95">
        <f t="shared" si="79"/>
        <v>2022</v>
      </c>
      <c r="Z921" s="103" t="s">
        <v>265</v>
      </c>
      <c r="AA921">
        <f>IF(Tabla1[[#This Row],[Kerma en aire acumulada (Gy)]]&gt;1,SUMIF(G:G,Tabla1[[#This Row],[SIP]],I:I)-Tabla1[[#This Row],[Kerma en aire acumulada (Gy)]],"")</f>
        <v>0.53493999999999997</v>
      </c>
    </row>
    <row r="922" spans="2:27">
      <c r="C922" s="147" t="s">
        <v>1088</v>
      </c>
      <c r="D922" s="134" t="s">
        <v>2139</v>
      </c>
      <c r="E922" s="134" t="s">
        <v>2140</v>
      </c>
      <c r="F922" s="134" t="s">
        <v>2141</v>
      </c>
      <c r="G922" s="134">
        <v>11541319</v>
      </c>
      <c r="H922" s="135">
        <v>44585</v>
      </c>
      <c r="I922" s="134">
        <v>6.0800000000000003E-3</v>
      </c>
      <c r="J922" s="145"/>
      <c r="K922" s="145"/>
      <c r="L922" s="145"/>
      <c r="M922" s="145"/>
      <c r="N922" s="145"/>
      <c r="O922" s="145"/>
      <c r="P922" s="145"/>
      <c r="Q922" s="145"/>
      <c r="R922" s="145"/>
      <c r="S922" s="145"/>
      <c r="T922" s="135">
        <v>20001</v>
      </c>
      <c r="U922" s="145"/>
      <c r="V922" s="134" t="s">
        <v>1300</v>
      </c>
      <c r="W922" s="148" t="str">
        <f t="shared" si="77"/>
        <v>De Juan Oriola,Jesus</v>
      </c>
      <c r="X922" s="145">
        <f t="shared" si="78"/>
        <v>1</v>
      </c>
      <c r="Y922" s="145">
        <f t="shared" si="79"/>
        <v>2022</v>
      </c>
      <c r="Z922" s="103" t="s">
        <v>265</v>
      </c>
      <c r="AA922" t="str">
        <f>IF(Tabla1[[#This Row],[Kerma en aire acumulada (Gy)]]&gt;1,SUMIF(G:G,Tabla1[[#This Row],[SIP]],I:I)-Tabla1[[#This Row],[Kerma en aire acumulada (Gy)]],"")</f>
        <v/>
      </c>
    </row>
    <row r="923" spans="2:27">
      <c r="C923" s="147" t="s">
        <v>1088</v>
      </c>
      <c r="D923" s="134" t="s">
        <v>2142</v>
      </c>
      <c r="E923" s="134" t="s">
        <v>116</v>
      </c>
      <c r="F923" s="134" t="s">
        <v>356</v>
      </c>
      <c r="G923" s="134">
        <v>3177475</v>
      </c>
      <c r="H923" s="135">
        <v>44585</v>
      </c>
      <c r="I923" s="134">
        <v>0.15518999999999999</v>
      </c>
      <c r="J923" s="145"/>
      <c r="K923" s="145"/>
      <c r="L923" s="145"/>
      <c r="M923" s="145"/>
      <c r="N923" s="145"/>
      <c r="O923" s="145"/>
      <c r="P923" s="145"/>
      <c r="Q923" s="145"/>
      <c r="R923" s="145"/>
      <c r="S923" s="145"/>
      <c r="T923" s="135">
        <v>13021</v>
      </c>
      <c r="U923" s="145"/>
      <c r="V923" s="134" t="s">
        <v>1643</v>
      </c>
      <c r="W923" s="148" t="str">
        <f t="shared" si="77"/>
        <v>Andreo Serrano,Manuel</v>
      </c>
      <c r="X923" s="145">
        <f t="shared" si="78"/>
        <v>1</v>
      </c>
      <c r="Y923" s="145">
        <f t="shared" si="79"/>
        <v>2022</v>
      </c>
      <c r="Z923" s="103" t="s">
        <v>265</v>
      </c>
      <c r="AA923" t="str">
        <f>IF(Tabla1[[#This Row],[Kerma en aire acumulada (Gy)]]&gt;1,SUMIF(G:G,Tabla1[[#This Row],[SIP]],I:I)-Tabla1[[#This Row],[Kerma en aire acumulada (Gy)]],"")</f>
        <v/>
      </c>
    </row>
    <row r="924" spans="2:27">
      <c r="C924" s="147" t="s">
        <v>1088</v>
      </c>
      <c r="D924" s="134" t="s">
        <v>1313</v>
      </c>
      <c r="E924" s="134" t="s">
        <v>2143</v>
      </c>
      <c r="F924" s="134" t="s">
        <v>88</v>
      </c>
      <c r="G924" s="134">
        <v>327516</v>
      </c>
      <c r="H924" s="135">
        <v>44585</v>
      </c>
      <c r="I924" s="134">
        <v>0.91015000000000001</v>
      </c>
      <c r="J924" s="145"/>
      <c r="K924" s="145"/>
      <c r="L924" s="145"/>
      <c r="M924" s="145"/>
      <c r="N924" s="145"/>
      <c r="O924" s="145"/>
      <c r="P924" s="145"/>
      <c r="Q924" s="145"/>
      <c r="R924" s="145"/>
      <c r="S924" s="145"/>
      <c r="T924" s="135">
        <v>22758</v>
      </c>
      <c r="U924" s="145"/>
      <c r="V924" s="134" t="s">
        <v>2144</v>
      </c>
      <c r="W924" s="92" t="str">
        <f t="shared" si="77"/>
        <v>Belda Dominguez,Vicente</v>
      </c>
      <c r="X924" s="95">
        <f t="shared" si="78"/>
        <v>1</v>
      </c>
      <c r="Y924" s="95">
        <f t="shared" si="79"/>
        <v>2022</v>
      </c>
      <c r="Z924" s="103" t="s">
        <v>265</v>
      </c>
      <c r="AA924" t="str">
        <f>IF(Tabla1[[#This Row],[Kerma en aire acumulada (Gy)]]&gt;1,SUMIF(G:G,Tabla1[[#This Row],[SIP]],I:I)-Tabla1[[#This Row],[Kerma en aire acumulada (Gy)]],"")</f>
        <v/>
      </c>
    </row>
    <row r="925" spans="2:27">
      <c r="B925" t="s">
        <v>858</v>
      </c>
      <c r="C925" s="147" t="s">
        <v>1088</v>
      </c>
      <c r="D925" s="134" t="s">
        <v>2112</v>
      </c>
      <c r="E925" s="134" t="s">
        <v>1919</v>
      </c>
      <c r="F925" s="134" t="s">
        <v>2001</v>
      </c>
      <c r="G925" s="134">
        <v>2484613</v>
      </c>
      <c r="H925" s="135">
        <v>44586</v>
      </c>
      <c r="I925" s="134">
        <v>8.94E-3</v>
      </c>
      <c r="J925" s="145"/>
      <c r="K925" s="145"/>
      <c r="L925" s="145"/>
      <c r="M925" s="145"/>
      <c r="N925" s="145"/>
      <c r="O925" s="145"/>
      <c r="P925" s="145"/>
      <c r="Q925" s="145"/>
      <c r="R925" s="145"/>
      <c r="S925" s="145"/>
      <c r="T925" s="135">
        <v>18465</v>
      </c>
      <c r="U925" s="145"/>
      <c r="V925" s="134" t="s">
        <v>1214</v>
      </c>
      <c r="W925" s="92" t="str">
        <f t="shared" si="77"/>
        <v>Valero  Lloret,Luis Francisco</v>
      </c>
      <c r="X925" s="95">
        <f t="shared" si="78"/>
        <v>1</v>
      </c>
      <c r="Y925" s="95">
        <f t="shared" si="79"/>
        <v>2022</v>
      </c>
      <c r="Z925" s="103" t="s">
        <v>265</v>
      </c>
      <c r="AA925" t="str">
        <f>IF(Tabla1[[#This Row],[Kerma en aire acumulada (Gy)]]&gt;1,SUMIF(G:G,Tabla1[[#This Row],[SIP]],I:I)-Tabla1[[#This Row],[Kerma en aire acumulada (Gy)]],"")</f>
        <v/>
      </c>
    </row>
    <row r="926" spans="2:27">
      <c r="C926" s="147" t="s">
        <v>1088</v>
      </c>
      <c r="D926" s="134" t="s">
        <v>948</v>
      </c>
      <c r="E926" s="134" t="s">
        <v>825</v>
      </c>
      <c r="F926" s="134" t="s">
        <v>88</v>
      </c>
      <c r="G926" s="134">
        <v>3285365</v>
      </c>
      <c r="H926" s="135">
        <v>44586</v>
      </c>
      <c r="I926" s="134">
        <v>1.106E-2</v>
      </c>
      <c r="J926" s="145"/>
      <c r="K926" s="145"/>
      <c r="L926" s="145"/>
      <c r="M926" s="145"/>
      <c r="N926" s="145"/>
      <c r="O926" s="145"/>
      <c r="P926" s="145"/>
      <c r="Q926" s="145"/>
      <c r="R926" s="145"/>
      <c r="S926" s="145"/>
      <c r="T926" s="135">
        <v>23302</v>
      </c>
      <c r="U926" s="145"/>
      <c r="V926" s="134" t="s">
        <v>1274</v>
      </c>
      <c r="W926" s="92" t="str">
        <f t="shared" si="77"/>
        <v>Martinez Jodar,Vicente</v>
      </c>
      <c r="X926" s="95">
        <f t="shared" si="78"/>
        <v>1</v>
      </c>
      <c r="Y926" s="95">
        <f t="shared" si="79"/>
        <v>2022</v>
      </c>
      <c r="Z926" s="103" t="s">
        <v>265</v>
      </c>
      <c r="AA926" t="str">
        <f>IF(Tabla1[[#This Row],[Kerma en aire acumulada (Gy)]]&gt;1,SUMIF(G:G,Tabla1[[#This Row],[SIP]],I:I)-Tabla1[[#This Row],[Kerma en aire acumulada (Gy)]],"")</f>
        <v/>
      </c>
    </row>
    <row r="927" spans="2:27">
      <c r="C927" s="147" t="s">
        <v>1088</v>
      </c>
      <c r="D927" s="134" t="s">
        <v>2113</v>
      </c>
      <c r="E927" s="134" t="s">
        <v>2114</v>
      </c>
      <c r="F927" s="134" t="s">
        <v>2115</v>
      </c>
      <c r="G927" s="134">
        <v>12675710</v>
      </c>
      <c r="H927" s="135">
        <v>44586</v>
      </c>
      <c r="I927" s="134">
        <v>6.0900000000000003E-2</v>
      </c>
      <c r="J927" s="145"/>
      <c r="K927" s="145"/>
      <c r="L927" s="145"/>
      <c r="M927" s="145"/>
      <c r="N927" s="145"/>
      <c r="O927" s="145"/>
      <c r="P927" s="145"/>
      <c r="Q927" s="145"/>
      <c r="R927" s="145"/>
      <c r="S927" s="145"/>
      <c r="T927" s="135">
        <v>33539</v>
      </c>
      <c r="U927" s="145"/>
      <c r="V927" s="134" t="s">
        <v>2102</v>
      </c>
      <c r="W927" s="92" t="str">
        <f t="shared" si="77"/>
        <v>Loaiza Arboleda,Yeraldyn</v>
      </c>
      <c r="X927" s="95">
        <f t="shared" si="78"/>
        <v>1</v>
      </c>
      <c r="Y927" s="95">
        <f t="shared" si="79"/>
        <v>2022</v>
      </c>
      <c r="Z927" s="103" t="s">
        <v>265</v>
      </c>
      <c r="AA927" t="str">
        <f>IF(Tabla1[[#This Row],[Kerma en aire acumulada (Gy)]]&gt;1,SUMIF(G:G,Tabla1[[#This Row],[SIP]],I:I)-Tabla1[[#This Row],[Kerma en aire acumulada (Gy)]],"")</f>
        <v/>
      </c>
    </row>
    <row r="928" spans="2:27">
      <c r="C928" s="147" t="s">
        <v>1088</v>
      </c>
      <c r="D928" s="134" t="s">
        <v>2137</v>
      </c>
      <c r="E928" s="134" t="s">
        <v>2138</v>
      </c>
      <c r="F928" s="134" t="s">
        <v>724</v>
      </c>
      <c r="G928" s="134">
        <v>2929072</v>
      </c>
      <c r="H928" s="135">
        <v>44586</v>
      </c>
      <c r="I928" s="134">
        <v>6.0830000000000002E-2</v>
      </c>
      <c r="J928" s="145"/>
      <c r="K928" s="145"/>
      <c r="L928" s="145"/>
      <c r="M928" s="145"/>
      <c r="N928" s="145"/>
      <c r="O928" s="145"/>
      <c r="P928" s="145"/>
      <c r="Q928" s="145"/>
      <c r="R928" s="145"/>
      <c r="S928" s="145"/>
      <c r="T928" s="135">
        <v>26816</v>
      </c>
      <c r="U928" s="145"/>
      <c r="V928" s="134" t="s">
        <v>1284</v>
      </c>
      <c r="W928" s="92" t="str">
        <f t="shared" si="77"/>
        <v>Carrasco  Chaumel,Ignacio</v>
      </c>
      <c r="X928" s="95">
        <f t="shared" si="78"/>
        <v>1</v>
      </c>
      <c r="Y928" s="95">
        <f t="shared" si="79"/>
        <v>2022</v>
      </c>
      <c r="Z928" s="103" t="s">
        <v>265</v>
      </c>
      <c r="AA928" t="str">
        <f>IF(Tabla1[[#This Row],[Kerma en aire acumulada (Gy)]]&gt;1,SUMIF(G:G,Tabla1[[#This Row],[SIP]],I:I)-Tabla1[[#This Row],[Kerma en aire acumulada (Gy)]],"")</f>
        <v/>
      </c>
    </row>
    <row r="929" spans="3:28">
      <c r="C929" s="147" t="s">
        <v>1088</v>
      </c>
      <c r="D929" s="134" t="s">
        <v>1114</v>
      </c>
      <c r="E929" s="134" t="s">
        <v>1056</v>
      </c>
      <c r="F929" s="134" t="s">
        <v>1057</v>
      </c>
      <c r="G929" s="134">
        <v>2862167</v>
      </c>
      <c r="H929" s="135">
        <v>44586</v>
      </c>
      <c r="I929" s="134">
        <v>0.86741000000000001</v>
      </c>
      <c r="J929" s="145"/>
      <c r="K929" s="145"/>
      <c r="L929" s="145"/>
      <c r="M929" s="145"/>
      <c r="N929" s="145"/>
      <c r="O929" s="145"/>
      <c r="P929" s="145"/>
      <c r="Q929" s="145"/>
      <c r="R929" s="145"/>
      <c r="S929" s="145"/>
      <c r="T929" s="135">
        <v>17478</v>
      </c>
      <c r="U929" s="145"/>
      <c r="V929" s="134" t="s">
        <v>118</v>
      </c>
      <c r="W929" s="92" t="str">
        <f t="shared" si="77"/>
        <v>Garcia  Lorenzana,Emilio Ernesto</v>
      </c>
      <c r="X929" s="95">
        <f t="shared" si="78"/>
        <v>1</v>
      </c>
      <c r="Y929" s="95">
        <f t="shared" si="79"/>
        <v>2022</v>
      </c>
      <c r="Z929" s="103" t="s">
        <v>265</v>
      </c>
      <c r="AA929" t="str">
        <f>IF(Tabla1[[#This Row],[Kerma en aire acumulada (Gy)]]&gt;1,SUMIF(G:G,Tabla1[[#This Row],[SIP]],I:I)-Tabla1[[#This Row],[Kerma en aire acumulada (Gy)]],"")</f>
        <v/>
      </c>
    </row>
    <row r="930" spans="3:28">
      <c r="C930" s="147" t="s">
        <v>1088</v>
      </c>
      <c r="D930" s="134" t="s">
        <v>2107</v>
      </c>
      <c r="E930" s="134" t="s">
        <v>2108</v>
      </c>
      <c r="F930" s="134" t="s">
        <v>88</v>
      </c>
      <c r="G930" s="134">
        <v>353699</v>
      </c>
      <c r="H930" s="135">
        <v>44587</v>
      </c>
      <c r="I930" s="134">
        <v>2.4549999999999999E-2</v>
      </c>
      <c r="J930" s="145"/>
      <c r="K930" s="145"/>
      <c r="L930" s="145"/>
      <c r="M930" s="145"/>
      <c r="N930" s="145"/>
      <c r="O930" s="145"/>
      <c r="P930" s="145"/>
      <c r="Q930" s="145"/>
      <c r="R930" s="145"/>
      <c r="S930" s="145"/>
      <c r="T930" s="135">
        <v>23094</v>
      </c>
      <c r="U930" s="145"/>
      <c r="V930" s="134" t="s">
        <v>2109</v>
      </c>
      <c r="W930" s="92" t="str">
        <f t="shared" si="77"/>
        <v>Llinares Fayos,Vicente</v>
      </c>
      <c r="X930" s="95">
        <f t="shared" si="78"/>
        <v>1</v>
      </c>
      <c r="Y930" s="95">
        <f t="shared" si="79"/>
        <v>2022</v>
      </c>
      <c r="Z930" s="103" t="s">
        <v>265</v>
      </c>
      <c r="AA930" t="str">
        <f>IF(Tabla1[[#This Row],[Kerma en aire acumulada (Gy)]]&gt;1,SUMIF(G:G,Tabla1[[#This Row],[SIP]],I:I)-Tabla1[[#This Row],[Kerma en aire acumulada (Gy)]],"")</f>
        <v/>
      </c>
      <c r="AB930" t="s">
        <v>867</v>
      </c>
    </row>
    <row r="931" spans="3:28">
      <c r="C931" s="147" t="s">
        <v>1088</v>
      </c>
      <c r="D931" s="134" t="s">
        <v>2110</v>
      </c>
      <c r="E931" s="134" t="s">
        <v>2111</v>
      </c>
      <c r="F931" s="134" t="s">
        <v>786</v>
      </c>
      <c r="G931" s="134">
        <v>2913226</v>
      </c>
      <c r="H931" s="135">
        <v>44587</v>
      </c>
      <c r="I931" s="134">
        <v>0.10648000000000001</v>
      </c>
      <c r="J931" s="145"/>
      <c r="K931" s="145"/>
      <c r="L931" s="145"/>
      <c r="M931" s="145"/>
      <c r="N931" s="145"/>
      <c r="O931" s="145"/>
      <c r="P931" s="145"/>
      <c r="Q931" s="145"/>
      <c r="R931" s="145"/>
      <c r="S931" s="145"/>
      <c r="T931" s="135">
        <v>22488</v>
      </c>
      <c r="U931" s="145"/>
      <c r="V931" s="134" t="s">
        <v>1214</v>
      </c>
      <c r="W931" s="92" t="str">
        <f t="shared" ref="W931:W994" si="80">CONCATENATE(D931,$A$591,E931,",",F931)</f>
        <v>Buso Guillot,Maria Carmen</v>
      </c>
      <c r="X931" s="95">
        <f t="shared" si="78"/>
        <v>1</v>
      </c>
      <c r="Y931" s="95">
        <f t="shared" si="79"/>
        <v>2022</v>
      </c>
      <c r="Z931" s="103" t="s">
        <v>265</v>
      </c>
      <c r="AA931" t="str">
        <f>IF(Tabla1[[#This Row],[Kerma en aire acumulada (Gy)]]&gt;1,SUMIF(G:G,Tabla1[[#This Row],[SIP]],I:I)-Tabla1[[#This Row],[Kerma en aire acumulada (Gy)]],"")</f>
        <v/>
      </c>
    </row>
    <row r="932" spans="3:28">
      <c r="C932" s="147" t="s">
        <v>1088</v>
      </c>
      <c r="D932" s="134" t="s">
        <v>1060</v>
      </c>
      <c r="E932" s="134" t="s">
        <v>1904</v>
      </c>
      <c r="F932" s="134" t="s">
        <v>356</v>
      </c>
      <c r="G932" s="134">
        <v>5355097</v>
      </c>
      <c r="H932" s="135">
        <v>44587</v>
      </c>
      <c r="I932" s="134">
        <v>0.23746</v>
      </c>
      <c r="J932" s="145"/>
      <c r="K932" s="145"/>
      <c r="L932" s="145"/>
      <c r="M932" s="145"/>
      <c r="N932" s="145"/>
      <c r="O932" s="145"/>
      <c r="P932" s="145"/>
      <c r="Q932" s="145"/>
      <c r="R932" s="145"/>
      <c r="S932" s="145"/>
      <c r="T932" s="135">
        <v>37852</v>
      </c>
      <c r="U932" s="145"/>
      <c r="V932" s="134" t="s">
        <v>1643</v>
      </c>
      <c r="W932" s="92" t="str">
        <f t="shared" si="80"/>
        <v>Rubio Nuñez,Manuel</v>
      </c>
      <c r="X932" s="95">
        <f t="shared" si="78"/>
        <v>1</v>
      </c>
      <c r="Y932" s="95">
        <f t="shared" si="79"/>
        <v>2022</v>
      </c>
      <c r="Z932" s="103" t="s">
        <v>265</v>
      </c>
      <c r="AA932" t="str">
        <f>IF(Tabla1[[#This Row],[Kerma en aire acumulada (Gy)]]&gt;1,SUMIF(G:G,Tabla1[[#This Row],[SIP]],I:I)-Tabla1[[#This Row],[Kerma en aire acumulada (Gy)]],"")</f>
        <v/>
      </c>
    </row>
    <row r="933" spans="3:28">
      <c r="C933" s="147" t="s">
        <v>1088</v>
      </c>
      <c r="D933" s="134" t="s">
        <v>997</v>
      </c>
      <c r="E933" s="134" t="s">
        <v>2130</v>
      </c>
      <c r="F933" s="134" t="s">
        <v>1667</v>
      </c>
      <c r="G933" s="134">
        <v>3142688</v>
      </c>
      <c r="H933" s="135">
        <v>44587</v>
      </c>
      <c r="I933" s="134">
        <v>0.71009</v>
      </c>
      <c r="J933" s="145"/>
      <c r="K933" s="145"/>
      <c r="L933" s="145"/>
      <c r="M933" s="145"/>
      <c r="N933" s="145"/>
      <c r="O933" s="145"/>
      <c r="P933" s="145"/>
      <c r="Q933" s="145"/>
      <c r="R933" s="145"/>
      <c r="S933" s="145"/>
      <c r="T933" s="135">
        <v>11354</v>
      </c>
      <c r="U933" s="145"/>
      <c r="V933" s="134" t="s">
        <v>2131</v>
      </c>
      <c r="W933" s="92" t="str">
        <f t="shared" si="80"/>
        <v>Real Costell,Amalia</v>
      </c>
      <c r="X933" s="95">
        <f t="shared" si="78"/>
        <v>1</v>
      </c>
      <c r="Y933" s="95">
        <f t="shared" si="79"/>
        <v>2022</v>
      </c>
      <c r="Z933" s="103" t="s">
        <v>265</v>
      </c>
      <c r="AA933" t="str">
        <f>IF(Tabla1[[#This Row],[Kerma en aire acumulada (Gy)]]&gt;1,SUMIF(G:G,Tabla1[[#This Row],[SIP]],I:I)-Tabla1[[#This Row],[Kerma en aire acumulada (Gy)]],"")</f>
        <v/>
      </c>
    </row>
    <row r="934" spans="3:28">
      <c r="C934" s="147" t="s">
        <v>1088</v>
      </c>
      <c r="D934" s="134" t="s">
        <v>2132</v>
      </c>
      <c r="E934" s="134" t="s">
        <v>2133</v>
      </c>
      <c r="F934" s="134" t="s">
        <v>2134</v>
      </c>
      <c r="G934" s="134">
        <v>3808409</v>
      </c>
      <c r="H934" s="135">
        <v>44587</v>
      </c>
      <c r="I934" s="134">
        <v>0.57711999999999997</v>
      </c>
      <c r="J934" s="145"/>
      <c r="K934" s="145"/>
      <c r="L934" s="145"/>
      <c r="M934" s="145"/>
      <c r="N934" s="145"/>
      <c r="O934" s="145"/>
      <c r="P934" s="145"/>
      <c r="Q934" s="145"/>
      <c r="R934" s="145"/>
      <c r="S934" s="145"/>
      <c r="T934" s="135">
        <v>22435</v>
      </c>
      <c r="U934" s="145"/>
      <c r="V934" s="134" t="s">
        <v>118</v>
      </c>
      <c r="W934" s="92" t="str">
        <f t="shared" si="80"/>
        <v>Duque Robledo,Benjamin</v>
      </c>
      <c r="X934" s="95">
        <f t="shared" si="78"/>
        <v>1</v>
      </c>
      <c r="Y934" s="95">
        <f t="shared" si="79"/>
        <v>2022</v>
      </c>
      <c r="Z934" s="103" t="s">
        <v>265</v>
      </c>
      <c r="AA934" t="str">
        <f>IF(Tabla1[[#This Row],[Kerma en aire acumulada (Gy)]]&gt;1,SUMIF(G:G,Tabla1[[#This Row],[SIP]],I:I)-Tabla1[[#This Row],[Kerma en aire acumulada (Gy)]],"")</f>
        <v/>
      </c>
    </row>
    <row r="935" spans="3:28">
      <c r="C935" s="147" t="s">
        <v>1088</v>
      </c>
      <c r="D935" s="134" t="s">
        <v>948</v>
      </c>
      <c r="E935" s="134" t="s">
        <v>2129</v>
      </c>
      <c r="F935" s="134" t="s">
        <v>7</v>
      </c>
      <c r="G935" s="134">
        <v>2283238</v>
      </c>
      <c r="H935" s="135">
        <v>44587</v>
      </c>
      <c r="I935" s="134">
        <v>0.14879999999999999</v>
      </c>
      <c r="J935" s="145"/>
      <c r="K935" s="145"/>
      <c r="L935" s="145"/>
      <c r="M935" s="145"/>
      <c r="N935" s="145"/>
      <c r="O935" s="145"/>
      <c r="P935" s="145"/>
      <c r="Q935" s="145"/>
      <c r="R935" s="145"/>
      <c r="S935" s="145"/>
      <c r="T935" s="135">
        <v>20940</v>
      </c>
      <c r="U935" s="145"/>
      <c r="V935" s="134" t="s">
        <v>1742</v>
      </c>
      <c r="W935" s="92" t="str">
        <f t="shared" si="80"/>
        <v>Martinez Cuadros,Francisca</v>
      </c>
      <c r="X935" s="95">
        <f t="shared" si="78"/>
        <v>1</v>
      </c>
      <c r="Y935" s="95">
        <f t="shared" si="79"/>
        <v>2022</v>
      </c>
      <c r="Z935" s="103" t="s">
        <v>265</v>
      </c>
      <c r="AA935" t="str">
        <f>IF(Tabla1[[#This Row],[Kerma en aire acumulada (Gy)]]&gt;1,SUMIF(G:G,Tabla1[[#This Row],[SIP]],I:I)-Tabla1[[#This Row],[Kerma en aire acumulada (Gy)]],"")</f>
        <v/>
      </c>
    </row>
    <row r="936" spans="3:28">
      <c r="C936" s="147" t="s">
        <v>1088</v>
      </c>
      <c r="D936" s="134" t="s">
        <v>2135</v>
      </c>
      <c r="E936" s="134" t="s">
        <v>948</v>
      </c>
      <c r="F936" s="134" t="s">
        <v>1827</v>
      </c>
      <c r="G936" s="134">
        <v>2962215</v>
      </c>
      <c r="H936" s="135">
        <v>44587</v>
      </c>
      <c r="I936" s="134">
        <v>0.13469</v>
      </c>
      <c r="J936" s="145"/>
      <c r="K936" s="145"/>
      <c r="L936" s="145"/>
      <c r="M936" s="145"/>
      <c r="N936" s="145"/>
      <c r="O936" s="145"/>
      <c r="P936" s="145"/>
      <c r="Q936" s="145"/>
      <c r="R936" s="145"/>
      <c r="S936" s="145"/>
      <c r="T936" s="135">
        <v>23103</v>
      </c>
      <c r="U936" s="145"/>
      <c r="V936" s="134" t="s">
        <v>2136</v>
      </c>
      <c r="W936" s="92" t="str">
        <f t="shared" si="80"/>
        <v>Blesa Martinez,Jose Javier</v>
      </c>
      <c r="X936" s="95">
        <f t="shared" si="78"/>
        <v>1</v>
      </c>
      <c r="Y936" s="95">
        <f t="shared" si="79"/>
        <v>2022</v>
      </c>
      <c r="Z936" s="103" t="s">
        <v>265</v>
      </c>
      <c r="AA936" t="str">
        <f>IF(Tabla1[[#This Row],[Kerma en aire acumulada (Gy)]]&gt;1,SUMIF(G:G,Tabla1[[#This Row],[SIP]],I:I)-Tabla1[[#This Row],[Kerma en aire acumulada (Gy)]],"")</f>
        <v/>
      </c>
    </row>
    <row r="937" spans="3:28">
      <c r="C937" s="147" t="s">
        <v>1088</v>
      </c>
      <c r="D937" s="134" t="s">
        <v>1001</v>
      </c>
      <c r="E937" s="134" t="s">
        <v>2106</v>
      </c>
      <c r="F937" s="134" t="s">
        <v>131</v>
      </c>
      <c r="G937" s="134">
        <v>3352054</v>
      </c>
      <c r="H937" s="135">
        <v>44588</v>
      </c>
      <c r="I937" s="134">
        <v>4.1700000000000001E-3</v>
      </c>
      <c r="J937" s="145"/>
      <c r="K937" s="145"/>
      <c r="L937" s="145"/>
      <c r="M937" s="145"/>
      <c r="N937" s="145"/>
      <c r="O937" s="145"/>
      <c r="P937" s="145"/>
      <c r="Q937" s="145"/>
      <c r="R937" s="145"/>
      <c r="S937" s="145"/>
      <c r="T937" s="135">
        <v>22740</v>
      </c>
      <c r="U937" s="145"/>
      <c r="V937" s="134" t="s">
        <v>1929</v>
      </c>
      <c r="W937" s="92" t="str">
        <f t="shared" si="80"/>
        <v>Perez Velez,Salvador</v>
      </c>
      <c r="X937" s="95">
        <f t="shared" si="78"/>
        <v>1</v>
      </c>
      <c r="Y937" s="95">
        <f t="shared" si="79"/>
        <v>2022</v>
      </c>
      <c r="Z937" s="103" t="s">
        <v>265</v>
      </c>
      <c r="AA937" t="str">
        <f>IF(Tabla1[[#This Row],[Kerma en aire acumulada (Gy)]]&gt;1,SUMIF(G:G,Tabla1[[#This Row],[SIP]],I:I)-Tabla1[[#This Row],[Kerma en aire acumulada (Gy)]],"")</f>
        <v/>
      </c>
    </row>
    <row r="938" spans="3:28">
      <c r="C938" s="147" t="s">
        <v>1088</v>
      </c>
      <c r="D938" s="134" t="s">
        <v>2127</v>
      </c>
      <c r="E938" s="134" t="s">
        <v>2128</v>
      </c>
      <c r="F938" s="134" t="s">
        <v>267</v>
      </c>
      <c r="G938" s="134">
        <v>3592432</v>
      </c>
      <c r="H938" s="135">
        <v>44588</v>
      </c>
      <c r="I938" s="134">
        <v>6.9620000000000001E-2</v>
      </c>
      <c r="J938" s="145"/>
      <c r="K938" s="145"/>
      <c r="L938" s="145"/>
      <c r="M938" s="145"/>
      <c r="N938" s="145"/>
      <c r="O938" s="145"/>
      <c r="P938" s="145"/>
      <c r="Q938" s="145"/>
      <c r="R938" s="145"/>
      <c r="S938" s="145"/>
      <c r="T938" s="135">
        <v>16028</v>
      </c>
      <c r="U938" s="145"/>
      <c r="V938" s="134" t="s">
        <v>503</v>
      </c>
      <c r="W938" s="92" t="str">
        <f t="shared" si="80"/>
        <v>Baltanas Ayuela,Felix</v>
      </c>
      <c r="X938" s="95">
        <f t="shared" si="78"/>
        <v>1</v>
      </c>
      <c r="Y938" s="95">
        <f t="shared" si="79"/>
        <v>2022</v>
      </c>
      <c r="Z938" s="103" t="s">
        <v>265</v>
      </c>
      <c r="AA938" t="str">
        <f>IF(Tabla1[[#This Row],[Kerma en aire acumulada (Gy)]]&gt;1,SUMIF(G:G,Tabla1[[#This Row],[SIP]],I:I)-Tabla1[[#This Row],[Kerma en aire acumulada (Gy)]],"")</f>
        <v/>
      </c>
    </row>
    <row r="939" spans="3:28">
      <c r="C939" s="147" t="s">
        <v>1088</v>
      </c>
      <c r="D939" s="134" t="s">
        <v>948</v>
      </c>
      <c r="E939" s="134" t="s">
        <v>2129</v>
      </c>
      <c r="F939" s="134" t="s">
        <v>7</v>
      </c>
      <c r="G939" s="134">
        <v>2283238</v>
      </c>
      <c r="H939" s="135">
        <v>44588</v>
      </c>
      <c r="I939" s="134">
        <v>5.1990000000000001E-2</v>
      </c>
      <c r="J939" s="145"/>
      <c r="K939" s="145"/>
      <c r="L939" s="145"/>
      <c r="M939" s="145"/>
      <c r="N939" s="145"/>
      <c r="O939" s="145"/>
      <c r="P939" s="145"/>
      <c r="Q939" s="145"/>
      <c r="R939" s="145"/>
      <c r="S939" s="145"/>
      <c r="T939" s="135">
        <v>20940</v>
      </c>
      <c r="U939" s="145"/>
      <c r="V939" s="134" t="s">
        <v>1742</v>
      </c>
      <c r="W939" s="92" t="str">
        <f t="shared" si="80"/>
        <v>Martinez Cuadros,Francisca</v>
      </c>
      <c r="X939" s="95">
        <f t="shared" si="78"/>
        <v>1</v>
      </c>
      <c r="Y939" s="95">
        <f t="shared" si="79"/>
        <v>2022</v>
      </c>
      <c r="Z939" s="103" t="s">
        <v>265</v>
      </c>
      <c r="AA939" t="str">
        <f>IF(Tabla1[[#This Row],[Kerma en aire acumulada (Gy)]]&gt;1,SUMIF(G:G,Tabla1[[#This Row],[SIP]],I:I)-Tabla1[[#This Row],[Kerma en aire acumulada (Gy)]],"")</f>
        <v/>
      </c>
    </row>
    <row r="940" spans="3:28">
      <c r="C940" s="147" t="s">
        <v>1088</v>
      </c>
      <c r="D940" s="134" t="s">
        <v>2103</v>
      </c>
      <c r="E940" s="134" t="s">
        <v>2104</v>
      </c>
      <c r="F940" s="134" t="s">
        <v>2105</v>
      </c>
      <c r="G940" s="134">
        <v>2451419</v>
      </c>
      <c r="H940" s="135">
        <v>44589</v>
      </c>
      <c r="I940" s="134">
        <v>0.11430999999999999</v>
      </c>
      <c r="J940" s="145"/>
      <c r="K940" s="145"/>
      <c r="L940" s="145"/>
      <c r="M940" s="145"/>
      <c r="N940" s="145"/>
      <c r="O940" s="145"/>
      <c r="P940" s="145"/>
      <c r="Q940" s="145"/>
      <c r="R940" s="145"/>
      <c r="S940" s="145"/>
      <c r="T940" s="135">
        <v>44589</v>
      </c>
      <c r="U940" s="145"/>
      <c r="V940" s="134" t="s">
        <v>1921</v>
      </c>
      <c r="W940" s="92" t="str">
        <f t="shared" si="80"/>
        <v>Borras Lorente,Juan Francisco</v>
      </c>
      <c r="X940" s="95">
        <f t="shared" si="78"/>
        <v>1</v>
      </c>
      <c r="Y940" s="95">
        <f t="shared" si="79"/>
        <v>2022</v>
      </c>
      <c r="Z940" s="103" t="s">
        <v>265</v>
      </c>
      <c r="AA940" t="str">
        <f>IF(Tabla1[[#This Row],[Kerma en aire acumulada (Gy)]]&gt;1,SUMIF(G:G,Tabla1[[#This Row],[SIP]],I:I)-Tabla1[[#This Row],[Kerma en aire acumulada (Gy)]],"")</f>
        <v/>
      </c>
    </row>
    <row r="941" spans="3:28">
      <c r="C941" s="147" t="s">
        <v>1088</v>
      </c>
      <c r="D941" s="134" t="s">
        <v>684</v>
      </c>
      <c r="E941" s="134" t="s">
        <v>2123</v>
      </c>
      <c r="F941" s="134" t="s">
        <v>68</v>
      </c>
      <c r="G941" s="134">
        <v>3279629</v>
      </c>
      <c r="H941" s="135">
        <v>44589</v>
      </c>
      <c r="I941" s="134" t="s">
        <v>2121</v>
      </c>
      <c r="J941" s="145"/>
      <c r="K941" s="145"/>
      <c r="L941" s="145"/>
      <c r="M941" s="145"/>
      <c r="N941" s="145"/>
      <c r="O941" s="145"/>
      <c r="P941" s="145"/>
      <c r="Q941" s="145"/>
      <c r="R941" s="145"/>
      <c r="S941" s="145"/>
      <c r="T941" s="135">
        <v>18405</v>
      </c>
      <c r="U941" s="145"/>
      <c r="V941" s="134" t="s">
        <v>2122</v>
      </c>
      <c r="W941" s="92" t="str">
        <f t="shared" si="80"/>
        <v>Peña Diez,Juan</v>
      </c>
      <c r="X941" s="95">
        <f t="shared" si="78"/>
        <v>1</v>
      </c>
      <c r="Y941" s="95">
        <f t="shared" si="79"/>
        <v>2022</v>
      </c>
      <c r="Z941" s="103" t="s">
        <v>265</v>
      </c>
      <c r="AA941" t="e">
        <f>IF(Tabla1[[#This Row],[Kerma en aire acumulada (Gy)]]&gt;1,SUMIF(G:G,Tabla1[[#This Row],[SIP]],I:I)-Tabla1[[#This Row],[Kerma en aire acumulada (Gy)]],"")</f>
        <v>#VALUE!</v>
      </c>
    </row>
    <row r="942" spans="3:28">
      <c r="C942" s="147" t="s">
        <v>1088</v>
      </c>
      <c r="D942" s="134" t="s">
        <v>2016</v>
      </c>
      <c r="E942" s="134" t="s">
        <v>2017</v>
      </c>
      <c r="F942" s="134" t="s">
        <v>2018</v>
      </c>
      <c r="G942" s="134">
        <v>6694250</v>
      </c>
      <c r="H942" s="135">
        <v>44589</v>
      </c>
      <c r="I942" s="134">
        <v>7.6899999999999998E-3</v>
      </c>
      <c r="J942" s="145"/>
      <c r="K942" s="145"/>
      <c r="L942" s="145"/>
      <c r="M942" s="145"/>
      <c r="N942" s="145"/>
      <c r="O942" s="145"/>
      <c r="P942" s="145"/>
      <c r="Q942" s="145"/>
      <c r="R942" s="145"/>
      <c r="S942" s="145"/>
      <c r="T942" s="135">
        <v>25853</v>
      </c>
      <c r="U942" s="145"/>
      <c r="V942" s="134" t="s">
        <v>1653</v>
      </c>
      <c r="W942" s="92" t="str">
        <f t="shared" si="80"/>
        <v>Mirapeix Fides,Pedro Vicente</v>
      </c>
      <c r="X942" s="95">
        <f t="shared" si="78"/>
        <v>1</v>
      </c>
      <c r="Y942" s="95">
        <f t="shared" si="79"/>
        <v>2022</v>
      </c>
      <c r="Z942" s="103" t="s">
        <v>265</v>
      </c>
      <c r="AA942" t="str">
        <f>IF(Tabla1[[#This Row],[Kerma en aire acumulada (Gy)]]&gt;1,SUMIF(G:G,Tabla1[[#This Row],[SIP]],I:I)-Tabla1[[#This Row],[Kerma en aire acumulada (Gy)]],"")</f>
        <v/>
      </c>
    </row>
    <row r="943" spans="3:28">
      <c r="C943" s="147" t="s">
        <v>1088</v>
      </c>
      <c r="D943" s="134" t="s">
        <v>2124</v>
      </c>
      <c r="E943" s="134" t="s">
        <v>319</v>
      </c>
      <c r="F943" s="134" t="s">
        <v>2125</v>
      </c>
      <c r="G943" s="134">
        <v>2855298</v>
      </c>
      <c r="H943" s="135">
        <v>44589</v>
      </c>
      <c r="I943" s="134">
        <v>4.1930000000000002E-2</v>
      </c>
      <c r="J943" s="145"/>
      <c r="K943" s="145"/>
      <c r="L943" s="145"/>
      <c r="M943" s="145"/>
      <c r="N943" s="145"/>
      <c r="O943" s="145"/>
      <c r="P943" s="145"/>
      <c r="Q943" s="145"/>
      <c r="R943" s="145"/>
      <c r="S943" s="145"/>
      <c r="T943" s="135">
        <v>13695</v>
      </c>
      <c r="U943" s="145"/>
      <c r="V943" s="134" t="s">
        <v>533</v>
      </c>
      <c r="W943" s="92" t="str">
        <f t="shared" si="80"/>
        <v>Serena Gonzalez,Josefa Ana</v>
      </c>
      <c r="X943" s="95">
        <f t="shared" si="78"/>
        <v>1</v>
      </c>
      <c r="Y943" s="95">
        <f t="shared" si="79"/>
        <v>2022</v>
      </c>
      <c r="Z943" s="103" t="s">
        <v>265</v>
      </c>
      <c r="AA943" t="str">
        <f>IF(Tabla1[[#This Row],[Kerma en aire acumulada (Gy)]]&gt;1,SUMIF(G:G,Tabla1[[#This Row],[SIP]],I:I)-Tabla1[[#This Row],[Kerma en aire acumulada (Gy)]],"")</f>
        <v/>
      </c>
    </row>
    <row r="944" spans="3:28">
      <c r="C944" s="147" t="s">
        <v>1088</v>
      </c>
      <c r="D944" s="134" t="s">
        <v>1114</v>
      </c>
      <c r="E944" s="134" t="s">
        <v>2126</v>
      </c>
      <c r="F944" s="134" t="s">
        <v>1596</v>
      </c>
      <c r="G944" s="134">
        <v>2671170</v>
      </c>
      <c r="H944" s="135">
        <v>44589</v>
      </c>
      <c r="I944" s="134">
        <v>2.47E-3</v>
      </c>
      <c r="J944" s="145"/>
      <c r="K944" s="145"/>
      <c r="L944" s="145"/>
      <c r="M944" s="145"/>
      <c r="N944" s="145"/>
      <c r="O944" s="145"/>
      <c r="P944" s="145"/>
      <c r="Q944" s="145"/>
      <c r="R944" s="145"/>
      <c r="S944" s="145"/>
      <c r="T944" s="135">
        <v>31423</v>
      </c>
      <c r="U944" s="145"/>
      <c r="V944" s="134" t="s">
        <v>1772</v>
      </c>
      <c r="W944" s="92" t="str">
        <f t="shared" si="80"/>
        <v>Garcia  Tortula,Eduardo</v>
      </c>
      <c r="X944" s="95">
        <f t="shared" si="78"/>
        <v>1</v>
      </c>
      <c r="Y944" s="95">
        <f t="shared" si="79"/>
        <v>2022</v>
      </c>
      <c r="Z944" s="103" t="s">
        <v>265</v>
      </c>
      <c r="AA944" t="str">
        <f>IF(Tabla1[[#This Row],[Kerma en aire acumulada (Gy)]]&gt;1,SUMIF(G:G,Tabla1[[#This Row],[SIP]],I:I)-Tabla1[[#This Row],[Kerma en aire acumulada (Gy)]],"")</f>
        <v/>
      </c>
    </row>
    <row r="945" spans="3:27">
      <c r="C945" s="147" t="s">
        <v>1088</v>
      </c>
      <c r="D945" s="134" t="s">
        <v>1138</v>
      </c>
      <c r="E945" s="134" t="s">
        <v>681</v>
      </c>
      <c r="F945" s="134" t="s">
        <v>80</v>
      </c>
      <c r="G945" s="134">
        <v>3018034</v>
      </c>
      <c r="H945" s="135">
        <v>44592</v>
      </c>
      <c r="I945" s="134">
        <v>0.19145999999999999</v>
      </c>
      <c r="J945" s="145"/>
      <c r="K945" s="145"/>
      <c r="L945" s="145"/>
      <c r="M945" s="145"/>
      <c r="N945" s="145"/>
      <c r="O945" s="145"/>
      <c r="P945" s="145"/>
      <c r="Q945" s="145"/>
      <c r="R945" s="145"/>
      <c r="S945" s="145"/>
      <c r="T945" s="135">
        <v>21588</v>
      </c>
      <c r="U945" s="145"/>
      <c r="V945" s="134" t="s">
        <v>1026</v>
      </c>
      <c r="W945" s="92" t="str">
        <f t="shared" si="80"/>
        <v>Nebot Blasco,José Vicente</v>
      </c>
      <c r="X945" s="95">
        <f t="shared" si="78"/>
        <v>1</v>
      </c>
      <c r="Y945" s="95">
        <f t="shared" si="79"/>
        <v>2022</v>
      </c>
      <c r="Z945" s="103" t="s">
        <v>265</v>
      </c>
      <c r="AA945" t="str">
        <f>IF(Tabla1[[#This Row],[Kerma en aire acumulada (Gy)]]&gt;1,SUMIF(G:G,Tabla1[[#This Row],[SIP]],I:I)-Tabla1[[#This Row],[Kerma en aire acumulada (Gy)]],"")</f>
        <v/>
      </c>
    </row>
    <row r="946" spans="3:27">
      <c r="C946" s="147" t="s">
        <v>1088</v>
      </c>
      <c r="D946" s="134" t="s">
        <v>2097</v>
      </c>
      <c r="E946" s="134" t="s">
        <v>663</v>
      </c>
      <c r="F946" s="134" t="s">
        <v>798</v>
      </c>
      <c r="G946" s="134">
        <v>1866782</v>
      </c>
      <c r="H946" s="135">
        <v>44592</v>
      </c>
      <c r="I946" s="134">
        <v>0.77766000000000002</v>
      </c>
      <c r="J946" s="145"/>
      <c r="K946" s="145"/>
      <c r="L946" s="145"/>
      <c r="M946" s="145"/>
      <c r="N946" s="145"/>
      <c r="O946" s="145"/>
      <c r="P946" s="145"/>
      <c r="Q946" s="145"/>
      <c r="R946" s="145"/>
      <c r="S946" s="145"/>
      <c r="T946" s="135">
        <v>17379</v>
      </c>
      <c r="U946" s="145"/>
      <c r="V946" s="134" t="s">
        <v>2098</v>
      </c>
      <c r="W946" s="92" t="str">
        <f t="shared" si="80"/>
        <v>Verdeguer Sanchis,Ana</v>
      </c>
      <c r="X946" s="95">
        <f t="shared" si="78"/>
        <v>1</v>
      </c>
      <c r="Y946" s="95">
        <f t="shared" si="79"/>
        <v>2022</v>
      </c>
      <c r="Z946" s="103" t="s">
        <v>265</v>
      </c>
      <c r="AA946" t="str">
        <f>IF(Tabla1[[#This Row],[Kerma en aire acumulada (Gy)]]&gt;1,SUMIF(G:G,Tabla1[[#This Row],[SIP]],I:I)-Tabla1[[#This Row],[Kerma en aire acumulada (Gy)]],"")</f>
        <v/>
      </c>
    </row>
    <row r="947" spans="3:27">
      <c r="C947" s="147" t="s">
        <v>1088</v>
      </c>
      <c r="D947" s="134" t="s">
        <v>2099</v>
      </c>
      <c r="E947" s="134" t="s">
        <v>2100</v>
      </c>
      <c r="F947" s="134" t="s">
        <v>2101</v>
      </c>
      <c r="G947" s="134">
        <v>3421275</v>
      </c>
      <c r="H947" s="135">
        <v>44593</v>
      </c>
      <c r="I947" s="134">
        <v>8.2589999999999997E-2</v>
      </c>
      <c r="J947" s="145"/>
      <c r="K947" s="145"/>
      <c r="L947" s="145"/>
      <c r="M947" s="145"/>
      <c r="N947" s="145"/>
      <c r="O947" s="145"/>
      <c r="P947" s="145"/>
      <c r="Q947" s="145"/>
      <c r="R947" s="145"/>
      <c r="S947" s="145"/>
      <c r="T947" s="135">
        <v>33197</v>
      </c>
      <c r="U947" s="145"/>
      <c r="V947" s="134" t="s">
        <v>2102</v>
      </c>
      <c r="W947" s="92" t="str">
        <f t="shared" si="80"/>
        <v>Zanon Montesinos,Irene</v>
      </c>
      <c r="X947" s="95">
        <f t="shared" si="78"/>
        <v>2</v>
      </c>
      <c r="Y947" s="95">
        <f t="shared" si="79"/>
        <v>2022</v>
      </c>
      <c r="Z947" s="103" t="s">
        <v>265</v>
      </c>
      <c r="AA947" t="str">
        <f>IF(Tabla1[[#This Row],[Kerma en aire acumulada (Gy)]]&gt;1,SUMIF(G:G,Tabla1[[#This Row],[SIP]],I:I)-Tabla1[[#This Row],[Kerma en aire acumulada (Gy)]],"")</f>
        <v/>
      </c>
    </row>
    <row r="948" spans="3:27">
      <c r="C948" s="147" t="s">
        <v>1088</v>
      </c>
      <c r="D948" s="134" t="s">
        <v>1771</v>
      </c>
      <c r="E948" s="134" t="s">
        <v>663</v>
      </c>
      <c r="F948" s="134" t="s">
        <v>71</v>
      </c>
      <c r="G948" s="134">
        <v>2313416</v>
      </c>
      <c r="H948" s="135">
        <v>44593</v>
      </c>
      <c r="I948" s="134">
        <v>0.14133999999999999</v>
      </c>
      <c r="J948" s="145"/>
      <c r="K948" s="145"/>
      <c r="L948" s="145"/>
      <c r="M948" s="145"/>
      <c r="N948" s="145"/>
      <c r="O948" s="145"/>
      <c r="P948" s="145"/>
      <c r="Q948" s="145"/>
      <c r="R948" s="145"/>
      <c r="S948" s="145"/>
      <c r="T948" s="135">
        <v>15371</v>
      </c>
      <c r="U948" s="145"/>
      <c r="V948" s="134" t="s">
        <v>819</v>
      </c>
      <c r="W948" s="92" t="str">
        <f t="shared" si="80"/>
        <v>Tomas Sanchis,Rafael</v>
      </c>
      <c r="X948" s="95">
        <f t="shared" si="78"/>
        <v>2</v>
      </c>
      <c r="Y948" s="95">
        <f t="shared" si="79"/>
        <v>2022</v>
      </c>
      <c r="Z948" s="103" t="s">
        <v>265</v>
      </c>
      <c r="AA948" t="str">
        <f>IF(Tabla1[[#This Row],[Kerma en aire acumulada (Gy)]]&gt;1,SUMIF(G:G,Tabla1[[#This Row],[SIP]],I:I)-Tabla1[[#This Row],[Kerma en aire acumulada (Gy)]],"")</f>
        <v/>
      </c>
    </row>
    <row r="949" spans="3:27">
      <c r="C949" s="147" t="s">
        <v>1088</v>
      </c>
      <c r="D949" s="134" t="s">
        <v>772</v>
      </c>
      <c r="E949" s="134" t="s">
        <v>548</v>
      </c>
      <c r="F949" s="134" t="s">
        <v>834</v>
      </c>
      <c r="G949" s="134">
        <v>2274151</v>
      </c>
      <c r="H949" s="135">
        <v>44593</v>
      </c>
      <c r="I949" s="134">
        <v>0.15484000000000001</v>
      </c>
      <c r="J949" s="145"/>
      <c r="K949" s="145"/>
      <c r="L949" s="145"/>
      <c r="M949" s="145"/>
      <c r="N949" s="145"/>
      <c r="O949" s="145"/>
      <c r="P949" s="145"/>
      <c r="Q949" s="145"/>
      <c r="R949" s="145"/>
      <c r="S949" s="145"/>
      <c r="T949" s="135">
        <v>19918</v>
      </c>
      <c r="U949" s="145"/>
      <c r="V949" s="134" t="s">
        <v>1643</v>
      </c>
      <c r="W949" s="92" t="str">
        <f t="shared" si="80"/>
        <v>Sanchez Benito,Pedro</v>
      </c>
      <c r="X949" s="95">
        <f t="shared" si="78"/>
        <v>2</v>
      </c>
      <c r="Y949" s="95">
        <f t="shared" si="79"/>
        <v>2022</v>
      </c>
      <c r="Z949" s="103" t="s">
        <v>265</v>
      </c>
      <c r="AA949" t="str">
        <f>IF(Tabla1[[#This Row],[Kerma en aire acumulada (Gy)]]&gt;1,SUMIF(G:G,Tabla1[[#This Row],[SIP]],I:I)-Tabla1[[#This Row],[Kerma en aire acumulada (Gy)]],"")</f>
        <v/>
      </c>
    </row>
    <row r="950" spans="3:27">
      <c r="C950" s="147" t="s">
        <v>1088</v>
      </c>
      <c r="D950" s="134" t="s">
        <v>2120</v>
      </c>
      <c r="E950" s="134" t="s">
        <v>1829</v>
      </c>
      <c r="F950" s="134" t="s">
        <v>991</v>
      </c>
      <c r="G950" s="134">
        <v>4662161</v>
      </c>
      <c r="H950" s="135">
        <v>44593</v>
      </c>
      <c r="I950" s="134">
        <v>0.10376000000000001</v>
      </c>
      <c r="J950" s="145"/>
      <c r="K950" s="145"/>
      <c r="L950" s="145"/>
      <c r="M950" s="145"/>
      <c r="N950" s="145"/>
      <c r="O950" s="145"/>
      <c r="P950" s="145"/>
      <c r="Q950" s="145"/>
      <c r="R950" s="145"/>
      <c r="S950" s="145"/>
      <c r="T950" s="135">
        <v>16458</v>
      </c>
      <c r="U950" s="145"/>
      <c r="V950" s="134" t="s">
        <v>1233</v>
      </c>
      <c r="W950" s="92" t="str">
        <f t="shared" si="80"/>
        <v>Amat Aznar,Jose</v>
      </c>
      <c r="X950" s="95">
        <f t="shared" si="78"/>
        <v>2</v>
      </c>
      <c r="Y950" s="95">
        <f t="shared" si="79"/>
        <v>2022</v>
      </c>
      <c r="Z950" s="103" t="s">
        <v>265</v>
      </c>
      <c r="AA950" t="str">
        <f>IF(Tabla1[[#This Row],[Kerma en aire acumulada (Gy)]]&gt;1,SUMIF(G:G,Tabla1[[#This Row],[SIP]],I:I)-Tabla1[[#This Row],[Kerma en aire acumulada (Gy)]],"")</f>
        <v/>
      </c>
    </row>
    <row r="951" spans="3:27">
      <c r="C951" s="147" t="s">
        <v>1088</v>
      </c>
      <c r="D951" s="134" t="s">
        <v>772</v>
      </c>
      <c r="E951" s="134" t="s">
        <v>548</v>
      </c>
      <c r="F951" s="134" t="s">
        <v>834</v>
      </c>
      <c r="G951" s="134">
        <v>2274151</v>
      </c>
      <c r="H951" s="135">
        <v>44594</v>
      </c>
      <c r="I951" s="134">
        <v>0.22833000000000001</v>
      </c>
      <c r="J951" s="145"/>
      <c r="K951" s="145"/>
      <c r="L951" s="145"/>
      <c r="M951" s="145"/>
      <c r="N951" s="145"/>
      <c r="O951" s="145"/>
      <c r="P951" s="145"/>
      <c r="Q951" s="145"/>
      <c r="R951" s="145"/>
      <c r="S951" s="145"/>
      <c r="T951" s="135">
        <v>19918</v>
      </c>
      <c r="U951" s="145"/>
      <c r="V951" s="134" t="s">
        <v>2096</v>
      </c>
      <c r="W951" s="92" t="str">
        <f t="shared" si="80"/>
        <v>Sanchez Benito,Pedro</v>
      </c>
      <c r="X951" s="95">
        <f t="shared" si="78"/>
        <v>2</v>
      </c>
      <c r="Y951" s="95">
        <f t="shared" si="79"/>
        <v>2022</v>
      </c>
      <c r="Z951" s="103" t="s">
        <v>265</v>
      </c>
      <c r="AA951" t="str">
        <f>IF(Tabla1[[#This Row],[Kerma en aire acumulada (Gy)]]&gt;1,SUMIF(G:G,Tabla1[[#This Row],[SIP]],I:I)-Tabla1[[#This Row],[Kerma en aire acumulada (Gy)]],"")</f>
        <v/>
      </c>
    </row>
    <row r="952" spans="3:27">
      <c r="C952" s="147" t="s">
        <v>1088</v>
      </c>
      <c r="D952" s="134" t="s">
        <v>2097</v>
      </c>
      <c r="E952" s="134" t="s">
        <v>663</v>
      </c>
      <c r="F952" s="134" t="s">
        <v>798</v>
      </c>
      <c r="G952" s="134">
        <v>1866782</v>
      </c>
      <c r="H952" s="135">
        <v>44594</v>
      </c>
      <c r="I952" s="134">
        <v>1.1280600000000001</v>
      </c>
      <c r="J952" s="145"/>
      <c r="K952" s="145"/>
      <c r="L952" s="145"/>
      <c r="M952" s="145"/>
      <c r="N952" s="145"/>
      <c r="O952" s="145"/>
      <c r="P952" s="145"/>
      <c r="Q952" s="145"/>
      <c r="R952" s="145"/>
      <c r="S952" s="145"/>
      <c r="T952" s="135">
        <v>17198</v>
      </c>
      <c r="U952" s="145"/>
      <c r="V952" s="134" t="s">
        <v>2098</v>
      </c>
      <c r="W952" s="92" t="str">
        <f t="shared" si="80"/>
        <v>Verdeguer Sanchis,Ana</v>
      </c>
      <c r="X952" s="95">
        <f t="shared" si="78"/>
        <v>2</v>
      </c>
      <c r="Y952" s="95">
        <f t="shared" si="79"/>
        <v>2022</v>
      </c>
      <c r="Z952" s="103" t="s">
        <v>265</v>
      </c>
      <c r="AA952">
        <f>IF(Tabla1[[#This Row],[Kerma en aire acumulada (Gy)]]&gt;1,SUMIF(G:G,Tabla1[[#This Row],[SIP]],I:I)-Tabla1[[#This Row],[Kerma en aire acumulada (Gy)]],"")</f>
        <v>0.77766000000000002</v>
      </c>
    </row>
    <row r="953" spans="3:27">
      <c r="C953" s="147" t="s">
        <v>1088</v>
      </c>
      <c r="D953" s="134" t="s">
        <v>2118</v>
      </c>
      <c r="E953" s="134"/>
      <c r="F953" s="134" t="s">
        <v>2119</v>
      </c>
      <c r="G953" s="134">
        <v>1023701</v>
      </c>
      <c r="H953" s="135">
        <v>44594</v>
      </c>
      <c r="I953" s="134">
        <v>0.53119099999999997</v>
      </c>
      <c r="J953" s="145"/>
      <c r="K953" s="145"/>
      <c r="L953" s="145"/>
      <c r="M953" s="145"/>
      <c r="N953" s="145"/>
      <c r="O953" s="145"/>
      <c r="P953" s="145"/>
      <c r="Q953" s="145"/>
      <c r="R953" s="145"/>
      <c r="S953" s="145"/>
      <c r="T953" s="135">
        <v>17062</v>
      </c>
      <c r="U953" s="145"/>
      <c r="V953" s="134" t="s">
        <v>550</v>
      </c>
      <c r="W953" s="92" t="str">
        <f t="shared" si="80"/>
        <v>Nagtegaal  ,Gerrit Simon</v>
      </c>
      <c r="X953" s="95">
        <f t="shared" si="78"/>
        <v>2</v>
      </c>
      <c r="Y953" s="95">
        <f t="shared" si="79"/>
        <v>2022</v>
      </c>
      <c r="Z953" s="103" t="s">
        <v>265</v>
      </c>
      <c r="AA953" t="str">
        <f>IF(Tabla1[[#This Row],[Kerma en aire acumulada (Gy)]]&gt;1,SUMIF(G:G,Tabla1[[#This Row],[SIP]],I:I)-Tabla1[[#This Row],[Kerma en aire acumulada (Gy)]],"")</f>
        <v/>
      </c>
    </row>
    <row r="954" spans="3:27">
      <c r="C954" s="147" t="s">
        <v>1088</v>
      </c>
      <c r="D954" s="134" t="s">
        <v>519</v>
      </c>
      <c r="E954" s="134" t="s">
        <v>520</v>
      </c>
      <c r="F954" s="134" t="s">
        <v>521</v>
      </c>
      <c r="G954" s="134">
        <v>221667</v>
      </c>
      <c r="H954" s="135">
        <v>44594</v>
      </c>
      <c r="I954" s="134">
        <v>0.62729999999999997</v>
      </c>
      <c r="J954" s="145"/>
      <c r="K954" s="145"/>
      <c r="L954" s="145"/>
      <c r="M954" s="145"/>
      <c r="N954" s="145"/>
      <c r="O954" s="145"/>
      <c r="P954" s="145"/>
      <c r="Q954" s="145"/>
      <c r="R954" s="145"/>
      <c r="S954" s="145"/>
      <c r="T954" s="135">
        <v>23078</v>
      </c>
      <c r="U954" s="145"/>
      <c r="V954" s="134" t="s">
        <v>2102</v>
      </c>
      <c r="W954" s="92" t="str">
        <f t="shared" si="80"/>
        <v>Fernando Llorca,Consuelo</v>
      </c>
      <c r="X954" s="95">
        <f t="shared" si="78"/>
        <v>2</v>
      </c>
      <c r="Y954" s="95">
        <f t="shared" si="79"/>
        <v>2022</v>
      </c>
      <c r="Z954" s="103" t="s">
        <v>265</v>
      </c>
      <c r="AA954" t="str">
        <f>IF(Tabla1[[#This Row],[Kerma en aire acumulada (Gy)]]&gt;1,SUMIF(G:G,Tabla1[[#This Row],[SIP]],I:I)-Tabla1[[#This Row],[Kerma en aire acumulada (Gy)]],"")</f>
        <v/>
      </c>
    </row>
    <row r="955" spans="3:27">
      <c r="C955" s="147" t="s">
        <v>1088</v>
      </c>
      <c r="D955" s="134" t="s">
        <v>88</v>
      </c>
      <c r="E955" s="134" t="s">
        <v>47</v>
      </c>
      <c r="F955" s="134" t="s">
        <v>1229</v>
      </c>
      <c r="G955" s="134">
        <v>5260412</v>
      </c>
      <c r="H955" s="135">
        <v>44595</v>
      </c>
      <c r="I955" s="134">
        <v>0.17546</v>
      </c>
      <c r="J955" s="145"/>
      <c r="K955" s="145"/>
      <c r="L955" s="145"/>
      <c r="M955" s="145"/>
      <c r="N955" s="145"/>
      <c r="O955" s="145"/>
      <c r="P955" s="145"/>
      <c r="Q955" s="145"/>
      <c r="R955" s="145"/>
      <c r="S955" s="145"/>
      <c r="T955" s="135">
        <v>31229</v>
      </c>
      <c r="U955" s="145"/>
      <c r="V955" s="134" t="s">
        <v>107</v>
      </c>
      <c r="W955" s="92" t="str">
        <f t="shared" si="80"/>
        <v>Vicente Jiménez,Augustin</v>
      </c>
      <c r="X955" s="95">
        <f t="shared" si="78"/>
        <v>2</v>
      </c>
      <c r="Y955" s="95">
        <f t="shared" si="79"/>
        <v>2022</v>
      </c>
      <c r="Z955" s="103" t="s">
        <v>265</v>
      </c>
      <c r="AA955" t="str">
        <f>IF(Tabla1[[#This Row],[Kerma en aire acumulada (Gy)]]&gt;1,SUMIF(G:G,Tabla1[[#This Row],[SIP]],I:I)-Tabla1[[#This Row],[Kerma en aire acumulada (Gy)]],"")</f>
        <v/>
      </c>
    </row>
    <row r="956" spans="3:27">
      <c r="C956" s="147" t="s">
        <v>1108</v>
      </c>
      <c r="D956" s="134" t="s">
        <v>2094</v>
      </c>
      <c r="E956" s="134" t="s">
        <v>1684</v>
      </c>
      <c r="F956" s="134" t="s">
        <v>2095</v>
      </c>
      <c r="G956" s="134">
        <v>5772397</v>
      </c>
      <c r="H956" s="135">
        <v>44595</v>
      </c>
      <c r="I956" s="134">
        <v>4.6100000000000004E-3</v>
      </c>
      <c r="J956" s="145"/>
      <c r="K956" s="145"/>
      <c r="L956" s="145"/>
      <c r="M956" s="145"/>
      <c r="N956" s="145"/>
      <c r="O956" s="145"/>
      <c r="P956" s="145"/>
      <c r="Q956" s="145"/>
      <c r="R956" s="145"/>
      <c r="S956" s="145"/>
      <c r="T956" s="135">
        <v>38456</v>
      </c>
      <c r="U956" s="145"/>
      <c r="V956" s="134" t="s">
        <v>1203</v>
      </c>
      <c r="W956" s="92" t="str">
        <f t="shared" si="80"/>
        <v>Duran Cherino,Clara</v>
      </c>
      <c r="X956" s="95">
        <f t="shared" si="78"/>
        <v>2</v>
      </c>
      <c r="Y956" s="95">
        <f t="shared" si="79"/>
        <v>2022</v>
      </c>
      <c r="Z956" s="103" t="s">
        <v>265</v>
      </c>
      <c r="AA956" t="str">
        <f>IF(Tabla1[[#This Row],[Kerma en aire acumulada (Gy)]]&gt;1,SUMIF(G:G,Tabla1[[#This Row],[SIP]],I:I)-Tabla1[[#This Row],[Kerma en aire acumulada (Gy)]],"")</f>
        <v/>
      </c>
    </row>
    <row r="957" spans="3:27">
      <c r="C957" s="147" t="s">
        <v>1088</v>
      </c>
      <c r="D957" s="134" t="s">
        <v>2116</v>
      </c>
      <c r="E957" s="134" t="s">
        <v>856</v>
      </c>
      <c r="F957" s="134" t="s">
        <v>2117</v>
      </c>
      <c r="G957" s="134">
        <v>280595</v>
      </c>
      <c r="H957" s="135">
        <v>44595</v>
      </c>
      <c r="I957" s="134">
        <v>9.1900000000000003E-3</v>
      </c>
      <c r="J957" s="145"/>
      <c r="K957" s="145"/>
      <c r="L957" s="145"/>
      <c r="M957" s="145"/>
      <c r="N957" s="145"/>
      <c r="O957" s="145"/>
      <c r="P957" s="145"/>
      <c r="Q957" s="145"/>
      <c r="R957" s="145"/>
      <c r="S957" s="145"/>
      <c r="T957" s="135">
        <v>27187</v>
      </c>
      <c r="U957" s="145"/>
      <c r="V957" s="134" t="s">
        <v>1934</v>
      </c>
      <c r="W957" s="92" t="str">
        <f t="shared" si="80"/>
        <v>Caro Gomez,M Pilar</v>
      </c>
      <c r="X957" s="95">
        <f t="shared" si="78"/>
        <v>2</v>
      </c>
      <c r="Y957" s="95">
        <f t="shared" si="79"/>
        <v>2022</v>
      </c>
      <c r="Z957" s="103" t="s">
        <v>265</v>
      </c>
      <c r="AA957" t="str">
        <f>IF(Tabla1[[#This Row],[Kerma en aire acumulada (Gy)]]&gt;1,SUMIF(G:G,Tabla1[[#This Row],[SIP]],I:I)-Tabla1[[#This Row],[Kerma en aire acumulada (Gy)]],"")</f>
        <v/>
      </c>
    </row>
    <row r="958" spans="3:27">
      <c r="C958" s="147" t="s">
        <v>1088</v>
      </c>
      <c r="D958" s="134" t="s">
        <v>960</v>
      </c>
      <c r="E958" s="134" t="s">
        <v>2070</v>
      </c>
      <c r="F958" s="134" t="s">
        <v>664</v>
      </c>
      <c r="G958" s="134">
        <v>2486405</v>
      </c>
      <c r="H958" s="135">
        <v>44596</v>
      </c>
      <c r="I958" s="134">
        <v>0.16708999999999999</v>
      </c>
      <c r="J958" s="145"/>
      <c r="K958" s="145"/>
      <c r="L958" s="145"/>
      <c r="M958" s="145"/>
      <c r="N958" s="145"/>
      <c r="O958" s="145"/>
      <c r="P958" s="145"/>
      <c r="Q958" s="145"/>
      <c r="R958" s="145"/>
      <c r="S958" s="145"/>
      <c r="T958" s="135">
        <v>28476</v>
      </c>
      <c r="U958" s="145"/>
      <c r="V958" s="134" t="s">
        <v>1185</v>
      </c>
      <c r="W958" s="92" t="str">
        <f t="shared" si="80"/>
        <v>Lopez Osada,Jaime</v>
      </c>
      <c r="X958" s="95">
        <f t="shared" si="78"/>
        <v>2</v>
      </c>
      <c r="Y958" s="95">
        <f t="shared" si="79"/>
        <v>2022</v>
      </c>
      <c r="Z958" s="103" t="s">
        <v>265</v>
      </c>
      <c r="AA958" t="str">
        <f>IF(Tabla1[[#This Row],[Kerma en aire acumulada (Gy)]]&gt;1,SUMIF(G:G,Tabla1[[#This Row],[SIP]],I:I)-Tabla1[[#This Row],[Kerma en aire acumulada (Gy)]],"")</f>
        <v/>
      </c>
    </row>
    <row r="959" spans="3:27">
      <c r="C959" s="147" t="s">
        <v>1088</v>
      </c>
      <c r="D959" s="134" t="s">
        <v>1864</v>
      </c>
      <c r="E959" s="134" t="s">
        <v>2071</v>
      </c>
      <c r="F959" s="134" t="s">
        <v>2072</v>
      </c>
      <c r="G959" s="134">
        <v>3347239</v>
      </c>
      <c r="H959" s="135">
        <v>44596</v>
      </c>
      <c r="I959" s="134">
        <v>7.3299999999999997E-3</v>
      </c>
      <c r="J959" s="145"/>
      <c r="K959" s="145"/>
      <c r="L959" s="145"/>
      <c r="M959" s="145"/>
      <c r="N959" s="145"/>
      <c r="O959" s="145"/>
      <c r="P959" s="145"/>
      <c r="Q959" s="145"/>
      <c r="R959" s="145"/>
      <c r="S959" s="145"/>
      <c r="T959" s="135">
        <v>24184</v>
      </c>
      <c r="U959" s="145"/>
      <c r="V959" s="134" t="s">
        <v>2073</v>
      </c>
      <c r="W959" s="92" t="str">
        <f t="shared" si="80"/>
        <v>Cebrian Carillo,M Amparo</v>
      </c>
      <c r="X959" s="95">
        <f t="shared" si="78"/>
        <v>2</v>
      </c>
      <c r="Y959" s="95">
        <f t="shared" si="79"/>
        <v>2022</v>
      </c>
      <c r="Z959" s="103" t="s">
        <v>265</v>
      </c>
      <c r="AA959" t="str">
        <f>IF(Tabla1[[#This Row],[Kerma en aire acumulada (Gy)]]&gt;1,SUMIF(G:G,Tabla1[[#This Row],[SIP]],I:I)-Tabla1[[#This Row],[Kerma en aire acumulada (Gy)]],"")</f>
        <v/>
      </c>
    </row>
    <row r="960" spans="3:27">
      <c r="C960" s="147" t="s">
        <v>2074</v>
      </c>
      <c r="D960" s="134" t="s">
        <v>1972</v>
      </c>
      <c r="E960" s="134" t="s">
        <v>1626</v>
      </c>
      <c r="F960" s="134" t="s">
        <v>691</v>
      </c>
      <c r="G960" s="134">
        <v>3404440</v>
      </c>
      <c r="H960" s="135">
        <v>44596</v>
      </c>
      <c r="I960" s="134">
        <v>7.6899999999999998E-3</v>
      </c>
      <c r="J960" s="145"/>
      <c r="K960" s="145"/>
      <c r="L960" s="145"/>
      <c r="M960" s="145"/>
      <c r="N960" s="145"/>
      <c r="O960" s="145"/>
      <c r="P960" s="145"/>
      <c r="Q960" s="145"/>
      <c r="R960" s="145"/>
      <c r="S960" s="145"/>
      <c r="T960" s="135">
        <v>35333</v>
      </c>
      <c r="U960" s="145"/>
      <c r="V960" s="134" t="s">
        <v>2075</v>
      </c>
      <c r="W960" s="92" t="str">
        <f t="shared" si="80"/>
        <v>Saez Sancho,Paula</v>
      </c>
      <c r="X960" s="95">
        <f t="shared" si="78"/>
        <v>2</v>
      </c>
      <c r="Y960" s="95">
        <f t="shared" si="79"/>
        <v>2022</v>
      </c>
      <c r="Z960" s="103" t="s">
        <v>265</v>
      </c>
      <c r="AA960" t="str">
        <f>IF(Tabla1[[#This Row],[Kerma en aire acumulada (Gy)]]&gt;1,SUMIF(G:G,Tabla1[[#This Row],[SIP]],I:I)-Tabla1[[#This Row],[Kerma en aire acumulada (Gy)]],"")</f>
        <v/>
      </c>
    </row>
    <row r="961" spans="3:27">
      <c r="C961" s="147" t="s">
        <v>1088</v>
      </c>
      <c r="D961" s="134" t="s">
        <v>1313</v>
      </c>
      <c r="E961" s="134" t="s">
        <v>2143</v>
      </c>
      <c r="F961" s="134" t="s">
        <v>88</v>
      </c>
      <c r="G961" s="134">
        <v>327516</v>
      </c>
      <c r="H961" s="135">
        <v>44596</v>
      </c>
      <c r="I961" s="134">
        <v>0.25416</v>
      </c>
      <c r="J961" s="145"/>
      <c r="K961" s="145"/>
      <c r="L961" s="145"/>
      <c r="M961" s="145"/>
      <c r="N961" s="145"/>
      <c r="O961" s="145"/>
      <c r="P961" s="145"/>
      <c r="Q961" s="145"/>
      <c r="R961" s="145"/>
      <c r="S961" s="145"/>
      <c r="T961" s="135">
        <v>22758</v>
      </c>
      <c r="U961" s="145"/>
      <c r="V961" s="134" t="s">
        <v>107</v>
      </c>
      <c r="W961" s="92" t="str">
        <f t="shared" si="80"/>
        <v>Belda Dominguez,Vicente</v>
      </c>
      <c r="X961" s="95">
        <f t="shared" si="78"/>
        <v>2</v>
      </c>
      <c r="Y961" s="95">
        <f>YEAR(H960)</f>
        <v>2022</v>
      </c>
      <c r="Z961" s="103" t="s">
        <v>265</v>
      </c>
      <c r="AA961" t="str">
        <f>IF(Tabla1[[#This Row],[Kerma en aire acumulada (Gy)]]&gt;1,SUMIF(G:G,Tabla1[[#This Row],[SIP]],I:I)-Tabla1[[#This Row],[Kerma en aire acumulada (Gy)]],"")</f>
        <v/>
      </c>
    </row>
    <row r="962" spans="3:27">
      <c r="C962" s="147" t="s">
        <v>1088</v>
      </c>
      <c r="D962" s="134" t="s">
        <v>2066</v>
      </c>
      <c r="E962" s="134" t="s">
        <v>960</v>
      </c>
      <c r="F962" s="134" t="s">
        <v>20</v>
      </c>
      <c r="G962" s="134">
        <v>2913258</v>
      </c>
      <c r="H962" s="135">
        <v>44599</v>
      </c>
      <c r="I962" s="134">
        <v>0.22147</v>
      </c>
      <c r="J962" s="145"/>
      <c r="K962" s="145"/>
      <c r="L962" s="145"/>
      <c r="M962" s="145"/>
      <c r="N962" s="145"/>
      <c r="O962" s="145"/>
      <c r="P962" s="145"/>
      <c r="Q962" s="145"/>
      <c r="R962" s="145"/>
      <c r="S962" s="145"/>
      <c r="T962" s="135">
        <v>22417</v>
      </c>
      <c r="U962" s="145"/>
      <c r="V962" s="134" t="s">
        <v>2067</v>
      </c>
      <c r="W962" s="92" t="str">
        <f t="shared" si="80"/>
        <v>Verdejo  Lopez,Antonio</v>
      </c>
      <c r="X962" s="95">
        <f t="shared" si="78"/>
        <v>2</v>
      </c>
      <c r="Y962" s="95">
        <f t="shared" ref="Y962:Y984" si="81">YEAR(H962)</f>
        <v>2022</v>
      </c>
      <c r="Z962" s="103" t="s">
        <v>265</v>
      </c>
      <c r="AA962" t="str">
        <f>IF(Tabla1[[#This Row],[Kerma en aire acumulada (Gy)]]&gt;1,SUMIF(G:G,Tabla1[[#This Row],[SIP]],I:I)-Tabla1[[#This Row],[Kerma en aire acumulada (Gy)]],"")</f>
        <v/>
      </c>
    </row>
    <row r="963" spans="3:27">
      <c r="C963" s="147" t="s">
        <v>1088</v>
      </c>
      <c r="D963" s="134" t="s">
        <v>2068</v>
      </c>
      <c r="E963" s="134" t="s">
        <v>1001</v>
      </c>
      <c r="F963" s="134" t="s">
        <v>2069</v>
      </c>
      <c r="G963" s="134">
        <v>3586766</v>
      </c>
      <c r="H963" s="135">
        <v>44599</v>
      </c>
      <c r="I963" s="134">
        <v>0.15747</v>
      </c>
      <c r="J963" s="145"/>
      <c r="K963" s="145"/>
      <c r="L963" s="145"/>
      <c r="M963" s="145"/>
      <c r="N963" s="145"/>
      <c r="O963" s="145"/>
      <c r="P963" s="145"/>
      <c r="Q963" s="145"/>
      <c r="R963" s="145"/>
      <c r="S963" s="145"/>
      <c r="T963" s="135">
        <v>27267</v>
      </c>
      <c r="U963" s="145"/>
      <c r="V963" s="134" t="s">
        <v>95</v>
      </c>
      <c r="W963" s="92" t="str">
        <f t="shared" si="80"/>
        <v>Espert Perez,Rosario</v>
      </c>
      <c r="X963" s="95">
        <f t="shared" si="78"/>
        <v>2</v>
      </c>
      <c r="Y963" s="95">
        <f t="shared" si="81"/>
        <v>2022</v>
      </c>
      <c r="Z963" s="103" t="s">
        <v>265</v>
      </c>
      <c r="AA963" t="str">
        <f>IF(Tabla1[[#This Row],[Kerma en aire acumulada (Gy)]]&gt;1,SUMIF(G:G,Tabla1[[#This Row],[SIP]],I:I)-Tabla1[[#This Row],[Kerma en aire acumulada (Gy)]],"")</f>
        <v/>
      </c>
    </row>
    <row r="964" spans="3:27">
      <c r="C964" s="147" t="s">
        <v>1088</v>
      </c>
      <c r="D964" s="134" t="s">
        <v>2090</v>
      </c>
      <c r="E964" s="134" t="s">
        <v>2091</v>
      </c>
      <c r="F964" s="134" t="s">
        <v>1704</v>
      </c>
      <c r="G964" s="134">
        <v>3729371</v>
      </c>
      <c r="H964" s="135">
        <v>44599</v>
      </c>
      <c r="I964" s="134">
        <v>3.6240000000000001E-2</v>
      </c>
      <c r="J964" s="145"/>
      <c r="K964" s="145"/>
      <c r="L964" s="145"/>
      <c r="M964" s="145"/>
      <c r="N964" s="145"/>
      <c r="O964" s="145"/>
      <c r="P964" s="145"/>
      <c r="Q964" s="145"/>
      <c r="R964" s="145"/>
      <c r="S964" s="145"/>
      <c r="T964" s="135">
        <v>20347</v>
      </c>
      <c r="U964" s="145"/>
      <c r="V964" s="134" t="s">
        <v>1203</v>
      </c>
      <c r="W964" s="92" t="str">
        <f t="shared" si="80"/>
        <v>Lanza Miñana,Maria Dolores</v>
      </c>
      <c r="X964" s="95">
        <f t="shared" si="78"/>
        <v>2</v>
      </c>
      <c r="Y964" s="95">
        <f t="shared" si="81"/>
        <v>2022</v>
      </c>
      <c r="Z964" s="103" t="s">
        <v>265</v>
      </c>
      <c r="AA964" t="str">
        <f>IF(Tabla1[[#This Row],[Kerma en aire acumulada (Gy)]]&gt;1,SUMIF(G:G,Tabla1[[#This Row],[SIP]],I:I)-Tabla1[[#This Row],[Kerma en aire acumulada (Gy)]],"")</f>
        <v/>
      </c>
    </row>
    <row r="965" spans="3:27">
      <c r="C965" s="147" t="s">
        <v>1088</v>
      </c>
      <c r="D965" s="134" t="s">
        <v>772</v>
      </c>
      <c r="E965" s="134" t="s">
        <v>2084</v>
      </c>
      <c r="F965" s="134" t="s">
        <v>71</v>
      </c>
      <c r="G965" s="134">
        <v>3175500</v>
      </c>
      <c r="H965" s="135">
        <v>44599</v>
      </c>
      <c r="I965" s="134">
        <v>0.34834999999999999</v>
      </c>
      <c r="J965" s="145"/>
      <c r="K965" s="145"/>
      <c r="L965" s="145"/>
      <c r="M965" s="145"/>
      <c r="N965" s="145"/>
      <c r="O965" s="145"/>
      <c r="P965" s="145"/>
      <c r="Q965" s="145"/>
      <c r="R965" s="145"/>
      <c r="S965" s="145"/>
      <c r="T965" s="135">
        <v>14739</v>
      </c>
      <c r="U965" s="145"/>
      <c r="V965" s="134" t="s">
        <v>541</v>
      </c>
      <c r="W965" s="92" t="str">
        <f t="shared" si="80"/>
        <v>Sanchez Gutierrez,Rafael</v>
      </c>
      <c r="X965" s="95">
        <f t="shared" si="78"/>
        <v>2</v>
      </c>
      <c r="Y965" s="95">
        <f t="shared" si="81"/>
        <v>2022</v>
      </c>
      <c r="Z965" s="103" t="s">
        <v>265</v>
      </c>
      <c r="AA965" t="str">
        <f>IF(Tabla1[[#This Row],[Kerma en aire acumulada (Gy)]]&gt;1,SUMIF(G:G,Tabla1[[#This Row],[SIP]],I:I)-Tabla1[[#This Row],[Kerma en aire acumulada (Gy)]],"")</f>
        <v/>
      </c>
    </row>
    <row r="966" spans="3:27">
      <c r="C966" s="147" t="s">
        <v>1088</v>
      </c>
      <c r="D966" s="134" t="s">
        <v>989</v>
      </c>
      <c r="E966" s="134" t="s">
        <v>2092</v>
      </c>
      <c r="F966" s="134" t="s">
        <v>2093</v>
      </c>
      <c r="G966" s="134">
        <v>214841</v>
      </c>
      <c r="H966" s="135">
        <v>44599</v>
      </c>
      <c r="I966" s="134">
        <v>0.12751999999999999</v>
      </c>
      <c r="J966" s="145"/>
      <c r="K966" s="145"/>
      <c r="L966" s="145"/>
      <c r="M966" s="145"/>
      <c r="N966" s="145"/>
      <c r="O966" s="145"/>
      <c r="P966" s="145"/>
      <c r="Q966" s="145"/>
      <c r="R966" s="145"/>
      <c r="S966" s="145"/>
      <c r="T966" s="135">
        <v>17527</v>
      </c>
      <c r="U966" s="145"/>
      <c r="V966" s="134" t="s">
        <v>1268</v>
      </c>
      <c r="W966" s="92" t="str">
        <f t="shared" si="80"/>
        <v>Mateo Franco,Pedro Juan</v>
      </c>
      <c r="X966" s="95">
        <f t="shared" si="78"/>
        <v>2</v>
      </c>
      <c r="Y966" s="95">
        <f t="shared" si="81"/>
        <v>2022</v>
      </c>
      <c r="Z966" s="103" t="s">
        <v>265</v>
      </c>
      <c r="AA966" t="str">
        <f>IF(Tabla1[[#This Row],[Kerma en aire acumulada (Gy)]]&gt;1,SUMIF(G:G,Tabla1[[#This Row],[SIP]],I:I)-Tabla1[[#This Row],[Kerma en aire acumulada (Gy)]],"")</f>
        <v/>
      </c>
    </row>
    <row r="967" spans="3:27">
      <c r="C967" s="147" t="s">
        <v>1088</v>
      </c>
      <c r="D967" s="134" t="s">
        <v>2062</v>
      </c>
      <c r="E967" s="134" t="s">
        <v>1776</v>
      </c>
      <c r="F967" s="134" t="s">
        <v>1697</v>
      </c>
      <c r="G967" s="134">
        <v>2151289</v>
      </c>
      <c r="H967" s="135">
        <v>44600</v>
      </c>
      <c r="I967" s="134">
        <v>5.3400000000000001E-3</v>
      </c>
      <c r="J967" s="145"/>
      <c r="K967" s="145"/>
      <c r="L967" s="145"/>
      <c r="M967" s="145"/>
      <c r="N967" s="145"/>
      <c r="O967" s="145"/>
      <c r="P967" s="145"/>
      <c r="Q967" s="145"/>
      <c r="R967" s="145"/>
      <c r="S967" s="145"/>
      <c r="T967" s="135">
        <v>19386</v>
      </c>
      <c r="U967" s="145"/>
      <c r="V967" s="134" t="s">
        <v>1929</v>
      </c>
      <c r="W967" s="92" t="str">
        <f t="shared" si="80"/>
        <v>Otriz Escribano,Emilio</v>
      </c>
      <c r="X967" s="95">
        <f t="shared" si="78"/>
        <v>2</v>
      </c>
      <c r="Y967" s="95">
        <f t="shared" si="81"/>
        <v>2022</v>
      </c>
      <c r="Z967" s="103" t="s">
        <v>265</v>
      </c>
      <c r="AA967" t="str">
        <f>IF(Tabla1[[#This Row],[Kerma en aire acumulada (Gy)]]&gt;1,SUMIF(G:G,Tabla1[[#This Row],[SIP]],I:I)-Tabla1[[#This Row],[Kerma en aire acumulada (Gy)]],"")</f>
        <v/>
      </c>
    </row>
    <row r="968" spans="3:27">
      <c r="C968" s="147" t="s">
        <v>1088</v>
      </c>
      <c r="D968" s="134" t="s">
        <v>2063</v>
      </c>
      <c r="E968" s="134" t="s">
        <v>2064</v>
      </c>
      <c r="F968" s="134" t="s">
        <v>2065</v>
      </c>
      <c r="G968" s="134">
        <v>2334642</v>
      </c>
      <c r="H968" s="135">
        <v>44600</v>
      </c>
      <c r="I968" s="134">
        <v>1.7579999999999998E-2</v>
      </c>
      <c r="J968" s="145"/>
      <c r="K968" s="145"/>
      <c r="L968" s="145"/>
      <c r="M968" s="145"/>
      <c r="N968" s="145"/>
      <c r="O968" s="145"/>
      <c r="P968" s="145"/>
      <c r="Q968" s="145"/>
      <c r="R968" s="145"/>
      <c r="S968" s="145"/>
      <c r="T968" s="135">
        <v>23524</v>
      </c>
      <c r="U968" s="145"/>
      <c r="V968" s="134" t="s">
        <v>1742</v>
      </c>
      <c r="W968" s="92" t="str">
        <f t="shared" si="80"/>
        <v>Comenadador Lomas,Felisa</v>
      </c>
      <c r="X968" s="95">
        <f t="shared" si="78"/>
        <v>2</v>
      </c>
      <c r="Y968" s="95">
        <f t="shared" si="81"/>
        <v>2022</v>
      </c>
      <c r="Z968" s="103" t="s">
        <v>265</v>
      </c>
      <c r="AA968" t="str">
        <f>IF(Tabla1[[#This Row],[Kerma en aire acumulada (Gy)]]&gt;1,SUMIF(G:G,Tabla1[[#This Row],[SIP]],I:I)-Tabla1[[#This Row],[Kerma en aire acumulada (Gy)]],"")</f>
        <v/>
      </c>
    </row>
    <row r="969" spans="3:27">
      <c r="C969" s="147" t="s">
        <v>1088</v>
      </c>
      <c r="D969" s="134" t="s">
        <v>2016</v>
      </c>
      <c r="E969" s="134" t="s">
        <v>2017</v>
      </c>
      <c r="F969" s="134" t="s">
        <v>2018</v>
      </c>
      <c r="G969" s="134">
        <v>6694250</v>
      </c>
      <c r="H969" s="135">
        <v>44600</v>
      </c>
      <c r="I969" s="134">
        <v>7.7219999999999997E-2</v>
      </c>
      <c r="J969" s="145"/>
      <c r="K969" s="145"/>
      <c r="L969" s="145"/>
      <c r="M969" s="145"/>
      <c r="N969" s="145"/>
      <c r="O969" s="145"/>
      <c r="P969" s="145"/>
      <c r="Q969" s="145"/>
      <c r="R969" s="145"/>
      <c r="S969" s="145"/>
      <c r="T969" s="135">
        <v>25853</v>
      </c>
      <c r="U969" s="145"/>
      <c r="V969" s="134" t="s">
        <v>1653</v>
      </c>
      <c r="W969" s="92" t="str">
        <f t="shared" si="80"/>
        <v>Mirapeix Fides,Pedro Vicente</v>
      </c>
      <c r="X969" s="95">
        <f t="shared" si="78"/>
        <v>2</v>
      </c>
      <c r="Y969" s="95">
        <f t="shared" si="81"/>
        <v>2022</v>
      </c>
      <c r="Z969" s="103" t="s">
        <v>265</v>
      </c>
      <c r="AA969" t="str">
        <f>IF(Tabla1[[#This Row],[Kerma en aire acumulada (Gy)]]&gt;1,SUMIF(G:G,Tabla1[[#This Row],[SIP]],I:I)-Tabla1[[#This Row],[Kerma en aire acumulada (Gy)]],"")</f>
        <v/>
      </c>
    </row>
    <row r="970" spans="3:27">
      <c r="C970" s="147" t="s">
        <v>1088</v>
      </c>
      <c r="D970" s="134" t="s">
        <v>787</v>
      </c>
      <c r="E970" s="134" t="s">
        <v>2089</v>
      </c>
      <c r="F970" s="134" t="s">
        <v>926</v>
      </c>
      <c r="G970" s="134">
        <v>2531319</v>
      </c>
      <c r="H970" s="135">
        <v>44600</v>
      </c>
      <c r="I970" s="134">
        <v>0.22455</v>
      </c>
      <c r="J970" s="145"/>
      <c r="K970" s="145"/>
      <c r="L970" s="145"/>
      <c r="M970" s="145"/>
      <c r="N970" s="145"/>
      <c r="O970" s="145"/>
      <c r="P970" s="145"/>
      <c r="Q970" s="145"/>
      <c r="R970" s="145"/>
      <c r="S970" s="145"/>
      <c r="T970" s="135">
        <v>19405</v>
      </c>
      <c r="U970" s="145"/>
      <c r="V970" s="134" t="s">
        <v>1293</v>
      </c>
      <c r="W970" s="92" t="str">
        <f t="shared" si="80"/>
        <v>Bosch Fornas,Eduardo José</v>
      </c>
      <c r="X970" s="95">
        <f t="shared" si="78"/>
        <v>2</v>
      </c>
      <c r="Y970" s="95">
        <f t="shared" si="81"/>
        <v>2022</v>
      </c>
      <c r="Z970" s="103" t="s">
        <v>265</v>
      </c>
      <c r="AA970" t="str">
        <f>IF(Tabla1[[#This Row],[Kerma en aire acumulada (Gy)]]&gt;1,SUMIF(G:G,Tabla1[[#This Row],[SIP]],I:I)-Tabla1[[#This Row],[Kerma en aire acumulada (Gy)]],"")</f>
        <v/>
      </c>
    </row>
    <row r="971" spans="3:27">
      <c r="C971" s="147" t="s">
        <v>1088</v>
      </c>
      <c r="D971" s="134" t="s">
        <v>1001</v>
      </c>
      <c r="E971" s="134" t="s">
        <v>2060</v>
      </c>
      <c r="F971" s="134" t="s">
        <v>2061</v>
      </c>
      <c r="G971" s="134">
        <v>2950401</v>
      </c>
      <c r="H971" s="135">
        <v>44601</v>
      </c>
      <c r="I971" s="134">
        <v>3.6569999999999998E-2</v>
      </c>
      <c r="J971" s="145"/>
      <c r="K971" s="145"/>
      <c r="L971" s="145"/>
      <c r="M971" s="145"/>
      <c r="N971" s="145"/>
      <c r="O971" s="145"/>
      <c r="P971" s="145"/>
      <c r="Q971" s="145"/>
      <c r="R971" s="145"/>
      <c r="S971" s="145"/>
      <c r="T971" s="135">
        <v>26686</v>
      </c>
      <c r="U971" s="145"/>
      <c r="V971" s="134" t="s">
        <v>502</v>
      </c>
      <c r="W971" s="92" t="str">
        <f t="shared" si="80"/>
        <v>Perez Sanchis-Estal,Antonio Ramón</v>
      </c>
      <c r="X971" s="95">
        <f t="shared" si="78"/>
        <v>2</v>
      </c>
      <c r="Y971" s="95">
        <f t="shared" si="81"/>
        <v>2022</v>
      </c>
      <c r="Z971" s="103" t="s">
        <v>265</v>
      </c>
      <c r="AA971" t="str">
        <f>IF(Tabla1[[#This Row],[Kerma en aire acumulada (Gy)]]&gt;1,SUMIF(G:G,Tabla1[[#This Row],[SIP]],I:I)-Tabla1[[#This Row],[Kerma en aire acumulada (Gy)]],"")</f>
        <v/>
      </c>
    </row>
    <row r="972" spans="3:27">
      <c r="C972" s="147" t="s">
        <v>1088</v>
      </c>
      <c r="D972" s="134" t="s">
        <v>1616</v>
      </c>
      <c r="E972" s="134" t="s">
        <v>1253</v>
      </c>
      <c r="F972" s="134" t="s">
        <v>834</v>
      </c>
      <c r="G972" s="134">
        <v>3336681</v>
      </c>
      <c r="H972" s="135">
        <v>44601</v>
      </c>
      <c r="I972" s="134">
        <v>9.3399999999999993E-3</v>
      </c>
      <c r="J972" s="145"/>
      <c r="K972" s="145"/>
      <c r="L972" s="145"/>
      <c r="M972" s="145"/>
      <c r="N972" s="145"/>
      <c r="O972" s="145"/>
      <c r="P972" s="145"/>
      <c r="Q972" s="145"/>
      <c r="R972" s="145"/>
      <c r="S972" s="145"/>
      <c r="T972" s="135">
        <v>13640</v>
      </c>
      <c r="U972" s="145"/>
      <c r="V972" s="134" t="s">
        <v>1219</v>
      </c>
      <c r="W972" s="92" t="str">
        <f t="shared" si="80"/>
        <v>Tortajada Anton,Pedro</v>
      </c>
      <c r="X972" s="95">
        <f t="shared" si="78"/>
        <v>2</v>
      </c>
      <c r="Y972" s="95">
        <f t="shared" si="81"/>
        <v>2022</v>
      </c>
      <c r="Z972" s="103" t="s">
        <v>265</v>
      </c>
      <c r="AA972" t="str">
        <f>IF(Tabla1[[#This Row],[Kerma en aire acumulada (Gy)]]&gt;1,SUMIF(G:G,Tabla1[[#This Row],[SIP]],I:I)-Tabla1[[#This Row],[Kerma en aire acumulada (Gy)]],"")</f>
        <v/>
      </c>
    </row>
    <row r="973" spans="3:27">
      <c r="C973" s="147" t="s">
        <v>1088</v>
      </c>
      <c r="D973" s="134" t="s">
        <v>981</v>
      </c>
      <c r="E973" s="134" t="s">
        <v>2087</v>
      </c>
      <c r="F973" s="134" t="s">
        <v>2088</v>
      </c>
      <c r="G973" s="134">
        <v>3330826</v>
      </c>
      <c r="H973" s="135">
        <v>44601</v>
      </c>
      <c r="I973" s="134">
        <v>0.16253000000000001</v>
      </c>
      <c r="J973" s="145"/>
      <c r="K973" s="145"/>
      <c r="L973" s="145"/>
      <c r="M973" s="145"/>
      <c r="N973" s="145"/>
      <c r="O973" s="145"/>
      <c r="P973" s="145"/>
      <c r="Q973" s="145"/>
      <c r="R973" s="145"/>
      <c r="S973" s="145"/>
      <c r="T973" s="135">
        <v>16246</v>
      </c>
      <c r="U973" s="145"/>
      <c r="V973" s="134" t="s">
        <v>1635</v>
      </c>
      <c r="W973" s="92" t="str">
        <f t="shared" si="80"/>
        <v>Herraiz Hidalgo,Juan Bienvenido</v>
      </c>
      <c r="X973" s="95">
        <f t="shared" si="78"/>
        <v>2</v>
      </c>
      <c r="Y973" s="95">
        <f t="shared" si="81"/>
        <v>2022</v>
      </c>
      <c r="Z973" s="103" t="s">
        <v>265</v>
      </c>
      <c r="AA973" t="str">
        <f>IF(Tabla1[[#This Row],[Kerma en aire acumulada (Gy)]]&gt;1,SUMIF(G:G,Tabla1[[#This Row],[SIP]],I:I)-Tabla1[[#This Row],[Kerma en aire acumulada (Gy)]],"")</f>
        <v/>
      </c>
    </row>
    <row r="974" spans="3:27">
      <c r="C974" s="147" t="s">
        <v>1088</v>
      </c>
      <c r="D974" s="134" t="s">
        <v>2058</v>
      </c>
      <c r="E974" s="134" t="s">
        <v>321</v>
      </c>
      <c r="F974" s="134" t="s">
        <v>54</v>
      </c>
      <c r="G974" s="134">
        <v>2862234</v>
      </c>
      <c r="H974" s="135">
        <v>44602</v>
      </c>
      <c r="I974" s="134">
        <v>0.32739000000000001</v>
      </c>
      <c r="J974" s="145"/>
      <c r="K974" s="145"/>
      <c r="L974" s="145"/>
      <c r="M974" s="145"/>
      <c r="N974" s="145"/>
      <c r="O974" s="145"/>
      <c r="P974" s="145"/>
      <c r="Q974" s="145"/>
      <c r="R974" s="145"/>
      <c r="S974" s="145"/>
      <c r="T974" s="135">
        <v>17123</v>
      </c>
      <c r="U974" s="145"/>
      <c r="V974" s="134" t="s">
        <v>2059</v>
      </c>
      <c r="W974" s="92" t="str">
        <f t="shared" si="80"/>
        <v>Chicano  Esteban,Isabel</v>
      </c>
      <c r="X974" s="95">
        <f t="shared" si="78"/>
        <v>2</v>
      </c>
      <c r="Y974" s="95">
        <f t="shared" si="81"/>
        <v>2022</v>
      </c>
      <c r="Z974" s="103" t="s">
        <v>265</v>
      </c>
      <c r="AA974" t="str">
        <f>IF(Tabla1[[#This Row],[Kerma en aire acumulada (Gy)]]&gt;1,SUMIF(G:G,Tabla1[[#This Row],[SIP]],I:I)-Tabla1[[#This Row],[Kerma en aire acumulada (Gy)]],"")</f>
        <v/>
      </c>
    </row>
    <row r="975" spans="3:27">
      <c r="C975" s="147" t="s">
        <v>1088</v>
      </c>
      <c r="D975" s="134" t="s">
        <v>355</v>
      </c>
      <c r="E975" s="134" t="s">
        <v>2085</v>
      </c>
      <c r="F975" s="134" t="s">
        <v>2086</v>
      </c>
      <c r="G975" s="134">
        <v>2415119</v>
      </c>
      <c r="H975" s="135">
        <v>44602</v>
      </c>
      <c r="I975" s="134">
        <v>6.3099999999999996E-3</v>
      </c>
      <c r="J975" s="145"/>
      <c r="K975" s="145"/>
      <c r="L975" s="145"/>
      <c r="M975" s="145"/>
      <c r="N975" s="145"/>
      <c r="O975" s="145"/>
      <c r="P975" s="145"/>
      <c r="Q975" s="145"/>
      <c r="R975" s="145"/>
      <c r="S975" s="145"/>
      <c r="T975" s="135">
        <v>21714</v>
      </c>
      <c r="U975" s="145"/>
      <c r="V975" s="134" t="s">
        <v>1934</v>
      </c>
      <c r="W975" s="92" t="str">
        <f t="shared" si="80"/>
        <v>Quevedo Rufino,Emilio Miguel</v>
      </c>
      <c r="X975" s="95">
        <f t="shared" si="78"/>
        <v>2</v>
      </c>
      <c r="Y975" s="95">
        <f t="shared" si="81"/>
        <v>2022</v>
      </c>
      <c r="Z975" s="103" t="s">
        <v>265</v>
      </c>
      <c r="AA975" t="str">
        <f>IF(Tabla1[[#This Row],[Kerma en aire acumulada (Gy)]]&gt;1,SUMIF(G:G,Tabla1[[#This Row],[SIP]],I:I)-Tabla1[[#This Row],[Kerma en aire acumulada (Gy)]],"")</f>
        <v/>
      </c>
    </row>
    <row r="976" spans="3:27">
      <c r="C976" s="147" t="s">
        <v>1088</v>
      </c>
      <c r="D976" s="134" t="s">
        <v>2052</v>
      </c>
      <c r="E976" s="134" t="s">
        <v>962</v>
      </c>
      <c r="F976" s="134" t="s">
        <v>2053</v>
      </c>
      <c r="G976" s="134">
        <v>2849517</v>
      </c>
      <c r="H976" s="135">
        <v>44603</v>
      </c>
      <c r="I976" s="134">
        <v>7.4520000000000003E-2</v>
      </c>
      <c r="J976" s="145"/>
      <c r="K976" s="145"/>
      <c r="L976" s="145"/>
      <c r="M976" s="145"/>
      <c r="N976" s="145"/>
      <c r="O976" s="145"/>
      <c r="P976" s="145"/>
      <c r="Q976" s="145"/>
      <c r="R976" s="145"/>
      <c r="S976" s="145"/>
      <c r="T976" s="135">
        <v>23789</v>
      </c>
      <c r="U976" s="145"/>
      <c r="V976" s="134" t="s">
        <v>1711</v>
      </c>
      <c r="W976" s="92" t="str">
        <f t="shared" si="80"/>
        <v>Sanchiz Garcia,Vicenta Maria</v>
      </c>
      <c r="X976" s="95">
        <f t="shared" si="78"/>
        <v>2</v>
      </c>
      <c r="Y976" s="95">
        <f t="shared" si="81"/>
        <v>2022</v>
      </c>
      <c r="Z976" s="103" t="s">
        <v>265</v>
      </c>
      <c r="AA976" t="str">
        <f>IF(Tabla1[[#This Row],[Kerma en aire acumulada (Gy)]]&gt;1,SUMIF(G:G,Tabla1[[#This Row],[SIP]],I:I)-Tabla1[[#This Row],[Kerma en aire acumulada (Gy)]],"")</f>
        <v/>
      </c>
    </row>
    <row r="977" spans="3:27">
      <c r="C977" s="147" t="s">
        <v>1088</v>
      </c>
      <c r="D977" s="134" t="s">
        <v>1080</v>
      </c>
      <c r="E977" s="134" t="s">
        <v>1001</v>
      </c>
      <c r="F977" s="134" t="s">
        <v>2054</v>
      </c>
      <c r="G977" s="134">
        <v>3315590</v>
      </c>
      <c r="H977" s="135">
        <v>44603</v>
      </c>
      <c r="I977" s="134">
        <v>4.6944E-2</v>
      </c>
      <c r="J977" s="145"/>
      <c r="K977" s="145"/>
      <c r="L977" s="145"/>
      <c r="M977" s="145"/>
      <c r="N977" s="145"/>
      <c r="O977" s="145"/>
      <c r="P977" s="145"/>
      <c r="Q977" s="145"/>
      <c r="R977" s="145"/>
      <c r="S977" s="145"/>
      <c r="T977" s="135">
        <v>12855</v>
      </c>
      <c r="U977" s="145"/>
      <c r="V977" s="134" t="s">
        <v>2055</v>
      </c>
      <c r="W977" s="92" t="str">
        <f t="shared" si="80"/>
        <v>Bustos Perez,Gregoria</v>
      </c>
      <c r="X977" s="95">
        <f t="shared" si="78"/>
        <v>2</v>
      </c>
      <c r="Y977" s="95">
        <f t="shared" si="81"/>
        <v>2022</v>
      </c>
      <c r="Z977" s="103" t="s">
        <v>265</v>
      </c>
      <c r="AA977" t="str">
        <f>IF(Tabla1[[#This Row],[Kerma en aire acumulada (Gy)]]&gt;1,SUMIF(G:G,Tabla1[[#This Row],[SIP]],I:I)-Tabla1[[#This Row],[Kerma en aire acumulada (Gy)]],"")</f>
        <v/>
      </c>
    </row>
    <row r="978" spans="3:27">
      <c r="C978" s="147" t="s">
        <v>1088</v>
      </c>
      <c r="D978" s="134" t="s">
        <v>2056</v>
      </c>
      <c r="E978" s="134"/>
      <c r="F978" s="134" t="s">
        <v>2057</v>
      </c>
      <c r="G978" s="134">
        <v>6289292</v>
      </c>
      <c r="H978" s="135">
        <v>44603</v>
      </c>
      <c r="I978" s="134">
        <v>0.19725000000000001</v>
      </c>
      <c r="J978" s="145"/>
      <c r="K978" s="145"/>
      <c r="L978" s="145"/>
      <c r="M978" s="145"/>
      <c r="N978" s="145"/>
      <c r="O978" s="145"/>
      <c r="P978" s="145"/>
      <c r="Q978" s="145"/>
      <c r="R978" s="145"/>
      <c r="S978" s="145"/>
      <c r="T978" s="135">
        <v>28221</v>
      </c>
      <c r="U978" s="145"/>
      <c r="V978" s="134" t="s">
        <v>1711</v>
      </c>
      <c r="W978" s="92" t="str">
        <f t="shared" si="80"/>
        <v>Parcalaboiu ,Carmen Cristina</v>
      </c>
      <c r="X978" s="95">
        <f t="shared" si="78"/>
        <v>2</v>
      </c>
      <c r="Y978" s="95">
        <f t="shared" si="81"/>
        <v>2022</v>
      </c>
      <c r="Z978" s="103" t="s">
        <v>265</v>
      </c>
      <c r="AA978" t="str">
        <f>IF(Tabla1[[#This Row],[Kerma en aire acumulada (Gy)]]&gt;1,SUMIF(G:G,Tabla1[[#This Row],[SIP]],I:I)-Tabla1[[#This Row],[Kerma en aire acumulada (Gy)]],"")</f>
        <v/>
      </c>
    </row>
    <row r="979" spans="3:27">
      <c r="C979" s="147" t="s">
        <v>1088</v>
      </c>
      <c r="D979" s="134" t="s">
        <v>1759</v>
      </c>
      <c r="E979" s="134" t="s">
        <v>2076</v>
      </c>
      <c r="F979" s="134" t="s">
        <v>2077</v>
      </c>
      <c r="G979" s="134">
        <v>3376217</v>
      </c>
      <c r="H979" s="135">
        <v>44603</v>
      </c>
      <c r="I979" s="134">
        <v>0.43341000000000002</v>
      </c>
      <c r="J979" s="145"/>
      <c r="K979" s="145"/>
      <c r="L979" s="145"/>
      <c r="M979" s="145"/>
      <c r="N979" s="145"/>
      <c r="O979" s="145"/>
      <c r="P979" s="145"/>
      <c r="Q979" s="145"/>
      <c r="R979" s="145"/>
      <c r="S979" s="145"/>
      <c r="T979" s="135">
        <v>18451</v>
      </c>
      <c r="U979" s="145"/>
      <c r="V979" s="134" t="s">
        <v>259</v>
      </c>
      <c r="W979" s="92" t="str">
        <f t="shared" si="80"/>
        <v>Martin Fuente de la,Abelardo</v>
      </c>
      <c r="X979" s="95">
        <f t="shared" si="78"/>
        <v>2</v>
      </c>
      <c r="Y979" s="95">
        <f t="shared" si="81"/>
        <v>2022</v>
      </c>
      <c r="Z979" s="103" t="s">
        <v>265</v>
      </c>
      <c r="AA979" t="str">
        <f>IF(Tabla1[[#This Row],[Kerma en aire acumulada (Gy)]]&gt;1,SUMIF(G:G,Tabla1[[#This Row],[SIP]],I:I)-Tabla1[[#This Row],[Kerma en aire acumulada (Gy)]],"")</f>
        <v/>
      </c>
    </row>
    <row r="980" spans="3:27">
      <c r="C980" s="147" t="s">
        <v>1088</v>
      </c>
      <c r="D980" s="134" t="s">
        <v>2078</v>
      </c>
      <c r="E980" s="134" t="s">
        <v>960</v>
      </c>
      <c r="F980" s="134" t="s">
        <v>2009</v>
      </c>
      <c r="G980" s="134">
        <v>2481406</v>
      </c>
      <c r="H980" s="135">
        <v>44603</v>
      </c>
      <c r="I980" s="134">
        <v>2.8999999999999998E-3</v>
      </c>
      <c r="J980" s="145"/>
      <c r="K980" s="145"/>
      <c r="L980" s="145"/>
      <c r="M980" s="145"/>
      <c r="N980" s="145"/>
      <c r="O980" s="145"/>
      <c r="P980" s="145"/>
      <c r="Q980" s="145"/>
      <c r="R980" s="145"/>
      <c r="S980" s="145"/>
      <c r="T980" s="135">
        <v>35347</v>
      </c>
      <c r="U980" s="145"/>
      <c r="V980" s="134" t="s">
        <v>533</v>
      </c>
      <c r="W980" s="92" t="str">
        <f t="shared" si="80"/>
        <v>Boyer Lopez,Andrea</v>
      </c>
      <c r="X980" s="95">
        <f t="shared" si="78"/>
        <v>2</v>
      </c>
      <c r="Y980" s="95">
        <f t="shared" si="81"/>
        <v>2022</v>
      </c>
      <c r="Z980" s="103" t="s">
        <v>265</v>
      </c>
      <c r="AA980" t="str">
        <f>IF(Tabla1[[#This Row],[Kerma en aire acumulada (Gy)]]&gt;1,SUMIF(G:G,Tabla1[[#This Row],[SIP]],I:I)-Tabla1[[#This Row],[Kerma en aire acumulada (Gy)]],"")</f>
        <v/>
      </c>
    </row>
    <row r="981" spans="3:27">
      <c r="C981" s="147" t="s">
        <v>1088</v>
      </c>
      <c r="D981" s="134" t="s">
        <v>1165</v>
      </c>
      <c r="E981" s="134" t="s">
        <v>1288</v>
      </c>
      <c r="F981" s="134" t="s">
        <v>75</v>
      </c>
      <c r="G981" s="134">
        <v>1701466</v>
      </c>
      <c r="H981" s="135">
        <v>44603</v>
      </c>
      <c r="I981" s="134">
        <v>1.7469999999999999E-2</v>
      </c>
      <c r="J981" s="145"/>
      <c r="K981" s="145"/>
      <c r="L981" s="145"/>
      <c r="M981" s="145"/>
      <c r="N981" s="145"/>
      <c r="O981" s="145"/>
      <c r="P981" s="145"/>
      <c r="Q981" s="145"/>
      <c r="R981" s="145"/>
      <c r="S981" s="145"/>
      <c r="T981" s="135">
        <v>29981</v>
      </c>
      <c r="U981" s="145"/>
      <c r="V981" s="134" t="s">
        <v>2079</v>
      </c>
      <c r="W981" s="92" t="str">
        <f t="shared" si="80"/>
        <v>Cabanes Castello,Javier</v>
      </c>
      <c r="X981" s="95">
        <f t="shared" ref="X981:X1044" si="82">MONTH(H981)</f>
        <v>2</v>
      </c>
      <c r="Y981" s="95">
        <f t="shared" si="81"/>
        <v>2022</v>
      </c>
      <c r="Z981" s="103" t="s">
        <v>265</v>
      </c>
      <c r="AA981" t="str">
        <f>IF(Tabla1[[#This Row],[Kerma en aire acumulada (Gy)]]&gt;1,SUMIF(G:G,Tabla1[[#This Row],[SIP]],I:I)-Tabla1[[#This Row],[Kerma en aire acumulada (Gy)]],"")</f>
        <v/>
      </c>
    </row>
    <row r="982" spans="3:27">
      <c r="C982" s="147" t="s">
        <v>1088</v>
      </c>
      <c r="D982" s="134" t="s">
        <v>2080</v>
      </c>
      <c r="E982" s="134" t="s">
        <v>2081</v>
      </c>
      <c r="F982" s="134" t="s">
        <v>2082</v>
      </c>
      <c r="G982" s="134">
        <v>2091683</v>
      </c>
      <c r="H982" s="135">
        <v>44603</v>
      </c>
      <c r="I982" s="134">
        <v>0.20165</v>
      </c>
      <c r="J982" s="145"/>
      <c r="K982" s="145"/>
      <c r="L982" s="145"/>
      <c r="M982" s="145"/>
      <c r="N982" s="145"/>
      <c r="O982" s="145"/>
      <c r="P982" s="145"/>
      <c r="Q982" s="145"/>
      <c r="R982" s="145"/>
      <c r="S982" s="145"/>
      <c r="T982" s="135">
        <v>24994</v>
      </c>
      <c r="U982" s="145"/>
      <c r="V982" s="134" t="s">
        <v>2083</v>
      </c>
      <c r="W982" s="92" t="str">
        <f t="shared" si="80"/>
        <v>Hervas Cabeza,Maria Jesus</v>
      </c>
      <c r="X982" s="95">
        <f t="shared" si="82"/>
        <v>2</v>
      </c>
      <c r="Y982" s="95">
        <f t="shared" si="81"/>
        <v>2022</v>
      </c>
      <c r="Z982" s="103" t="s">
        <v>265</v>
      </c>
      <c r="AA982" t="str">
        <f>IF(Tabla1[[#This Row],[Kerma en aire acumulada (Gy)]]&gt;1,SUMIF(G:G,Tabla1[[#This Row],[SIP]],I:I)-Tabla1[[#This Row],[Kerma en aire acumulada (Gy)]],"")</f>
        <v/>
      </c>
    </row>
    <row r="983" spans="3:27">
      <c r="C983" s="147" t="s">
        <v>1088</v>
      </c>
      <c r="D983" s="134" t="s">
        <v>856</v>
      </c>
      <c r="E983" s="134" t="s">
        <v>2084</v>
      </c>
      <c r="F983" s="134" t="s">
        <v>279</v>
      </c>
      <c r="G983" s="134">
        <v>2446275</v>
      </c>
      <c r="H983" s="135">
        <v>44603</v>
      </c>
      <c r="I983" s="134">
        <v>0.65693000000000001</v>
      </c>
      <c r="J983" s="145"/>
      <c r="K983" s="145"/>
      <c r="L983" s="145"/>
      <c r="M983" s="145"/>
      <c r="N983" s="145"/>
      <c r="O983" s="145"/>
      <c r="P983" s="145"/>
      <c r="Q983" s="145"/>
      <c r="R983" s="145"/>
      <c r="S983" s="145"/>
      <c r="T983" s="135">
        <v>21471</v>
      </c>
      <c r="U983" s="145"/>
      <c r="V983" s="134" t="s">
        <v>1126</v>
      </c>
      <c r="W983" s="92" t="str">
        <f t="shared" si="80"/>
        <v>Gomez Gutierrez,Gregorio</v>
      </c>
      <c r="X983" s="95">
        <f t="shared" si="82"/>
        <v>2</v>
      </c>
      <c r="Y983" s="95">
        <f t="shared" si="81"/>
        <v>2022</v>
      </c>
      <c r="Z983" s="103" t="s">
        <v>265</v>
      </c>
      <c r="AA983" t="str">
        <f>IF(Tabla1[[#This Row],[Kerma en aire acumulada (Gy)]]&gt;1,SUMIF(G:G,Tabla1[[#This Row],[SIP]],I:I)-Tabla1[[#This Row],[Kerma en aire acumulada (Gy)]],"")</f>
        <v/>
      </c>
    </row>
    <row r="984" spans="3:27">
      <c r="C984" s="147" t="s">
        <v>1088</v>
      </c>
      <c r="D984" s="134" t="s">
        <v>1792</v>
      </c>
      <c r="E984" s="134" t="s">
        <v>2156</v>
      </c>
      <c r="F984" s="134" t="s">
        <v>2157</v>
      </c>
      <c r="G984" s="134">
        <v>4726654</v>
      </c>
      <c r="H984" s="135">
        <v>44606</v>
      </c>
      <c r="I984" s="134">
        <v>0.15911</v>
      </c>
      <c r="J984" s="145"/>
      <c r="K984" s="145"/>
      <c r="L984" s="145"/>
      <c r="M984" s="145"/>
      <c r="N984" s="145"/>
      <c r="O984" s="145"/>
      <c r="P984" s="145"/>
      <c r="Q984" s="145"/>
      <c r="R984" s="145"/>
      <c r="S984" s="145"/>
      <c r="T984" s="135">
        <v>22338</v>
      </c>
      <c r="U984" s="145"/>
      <c r="V984" s="134" t="s">
        <v>1742</v>
      </c>
      <c r="W984" s="92" t="str">
        <f t="shared" si="80"/>
        <v>Rodrigo Vela,Enrique Vicente</v>
      </c>
      <c r="X984" s="95">
        <f t="shared" si="82"/>
        <v>2</v>
      </c>
      <c r="Y984" s="95">
        <f t="shared" si="81"/>
        <v>2022</v>
      </c>
      <c r="Z984" s="103" t="s">
        <v>265</v>
      </c>
      <c r="AA984" t="str">
        <f>IF(Tabla1[[#This Row],[Kerma en aire acumulada (Gy)]]&gt;1,SUMIF(G:G,Tabla1[[#This Row],[SIP]],I:I)-Tabla1[[#This Row],[Kerma en aire acumulada (Gy)]],"")</f>
        <v/>
      </c>
    </row>
    <row r="985" spans="3:27">
      <c r="C985" s="147" t="s">
        <v>1088</v>
      </c>
      <c r="D985" s="134" t="s">
        <v>2181</v>
      </c>
      <c r="E985" s="134" t="s">
        <v>2182</v>
      </c>
      <c r="F985" s="134" t="s">
        <v>1192</v>
      </c>
      <c r="G985" s="134">
        <v>2251743</v>
      </c>
      <c r="H985" s="135">
        <v>44606</v>
      </c>
      <c r="I985" s="134">
        <v>0.21951999999999999</v>
      </c>
      <c r="J985" s="145"/>
      <c r="K985" s="145"/>
      <c r="L985" s="145"/>
      <c r="M985" s="145"/>
      <c r="N985" s="145"/>
      <c r="O985" s="145"/>
      <c r="P985" s="145"/>
      <c r="Q985" s="145"/>
      <c r="R985" s="145"/>
      <c r="S985" s="145"/>
      <c r="T985" s="135">
        <v>17020</v>
      </c>
      <c r="U985" s="145"/>
      <c r="V985" s="134" t="s">
        <v>1203</v>
      </c>
      <c r="W985" s="92" t="str">
        <f t="shared" si="80"/>
        <v>Colomer Monzo,M Teresa</v>
      </c>
      <c r="X985" s="95">
        <f t="shared" si="82"/>
        <v>2</v>
      </c>
      <c r="Y985" s="95">
        <f>YEAR(H984)</f>
        <v>2022</v>
      </c>
      <c r="Z985" s="103" t="s">
        <v>265</v>
      </c>
      <c r="AA985" t="str">
        <f>IF(Tabla1[[#This Row],[Kerma en aire acumulada (Gy)]]&gt;1,SUMIF(G:G,Tabla1[[#This Row],[SIP]],I:I)-Tabla1[[#This Row],[Kerma en aire acumulada (Gy)]],"")</f>
        <v/>
      </c>
    </row>
    <row r="986" spans="3:27">
      <c r="C986" s="147" t="s">
        <v>1088</v>
      </c>
      <c r="D986" s="134" t="s">
        <v>628</v>
      </c>
      <c r="E986" s="134" t="s">
        <v>677</v>
      </c>
      <c r="F986" s="134" t="s">
        <v>2183</v>
      </c>
      <c r="G986" s="134">
        <v>89701</v>
      </c>
      <c r="H986" s="135">
        <v>44606</v>
      </c>
      <c r="I986" s="134">
        <v>0.10921</v>
      </c>
      <c r="J986" s="145"/>
      <c r="K986" s="145"/>
      <c r="L986" s="145"/>
      <c r="M986" s="145"/>
      <c r="N986" s="145"/>
      <c r="O986" s="145"/>
      <c r="P986" s="145"/>
      <c r="Q986" s="145"/>
      <c r="R986" s="145"/>
      <c r="S986" s="145"/>
      <c r="T986" s="135">
        <v>33325</v>
      </c>
      <c r="U986" s="145"/>
      <c r="V986" s="134" t="s">
        <v>1203</v>
      </c>
      <c r="W986" s="92" t="str">
        <f t="shared" si="80"/>
        <v>Pons Aliaga,Agustin</v>
      </c>
      <c r="X986" s="95">
        <f t="shared" si="82"/>
        <v>2</v>
      </c>
      <c r="Y986" s="95">
        <f>YEAR(H985)</f>
        <v>2022</v>
      </c>
      <c r="Z986" s="103" t="s">
        <v>265</v>
      </c>
      <c r="AA986" t="str">
        <f>IF(Tabla1[[#This Row],[Kerma en aire acumulada (Gy)]]&gt;1,SUMIF(G:G,Tabla1[[#This Row],[SIP]],I:I)-Tabla1[[#This Row],[Kerma en aire acumulada (Gy)]],"")</f>
        <v/>
      </c>
    </row>
    <row r="987" spans="3:27">
      <c r="C987" s="147" t="s">
        <v>1088</v>
      </c>
      <c r="D987" s="134" t="s">
        <v>1313</v>
      </c>
      <c r="E987" s="134" t="s">
        <v>2143</v>
      </c>
      <c r="F987" s="134" t="s">
        <v>88</v>
      </c>
      <c r="G987" s="134">
        <v>327516</v>
      </c>
      <c r="H987" s="135">
        <v>44606</v>
      </c>
      <c r="I987" s="134">
        <v>0.25295000000000001</v>
      </c>
      <c r="J987" s="145"/>
      <c r="K987" s="145"/>
      <c r="L987" s="145"/>
      <c r="M987" s="145"/>
      <c r="N987" s="145"/>
      <c r="O987" s="145"/>
      <c r="P987" s="145"/>
      <c r="Q987" s="145"/>
      <c r="R987" s="145"/>
      <c r="S987" s="145"/>
      <c r="T987" s="135">
        <v>22758</v>
      </c>
      <c r="U987" s="145"/>
      <c r="V987" s="134" t="s">
        <v>2184</v>
      </c>
      <c r="W987" s="92" t="str">
        <f t="shared" si="80"/>
        <v>Belda Dominguez,Vicente</v>
      </c>
      <c r="X987" s="95">
        <f t="shared" si="82"/>
        <v>2</v>
      </c>
      <c r="Y987" s="95">
        <f>YEAR(H986)</f>
        <v>2022</v>
      </c>
      <c r="Z987" s="103" t="s">
        <v>265</v>
      </c>
      <c r="AA987" t="str">
        <f>IF(Tabla1[[#This Row],[Kerma en aire acumulada (Gy)]]&gt;1,SUMIF(G:G,Tabla1[[#This Row],[SIP]],I:I)-Tabla1[[#This Row],[Kerma en aire acumulada (Gy)]],"")</f>
        <v/>
      </c>
    </row>
    <row r="988" spans="3:27">
      <c r="C988" s="147" t="s">
        <v>1088</v>
      </c>
      <c r="D988" s="134" t="s">
        <v>1792</v>
      </c>
      <c r="E988" s="134" t="s">
        <v>2156</v>
      </c>
      <c r="F988" s="134" t="s">
        <v>2157</v>
      </c>
      <c r="G988" s="134">
        <v>4726654</v>
      </c>
      <c r="H988" s="135">
        <v>44607</v>
      </c>
      <c r="I988" s="134">
        <v>5.0250000000000003E-2</v>
      </c>
      <c r="J988" s="145"/>
      <c r="K988" s="145"/>
      <c r="L988" s="145"/>
      <c r="M988" s="145"/>
      <c r="N988" s="145"/>
      <c r="O988" s="145"/>
      <c r="P988" s="145"/>
      <c r="Q988" s="145"/>
      <c r="R988" s="145"/>
      <c r="S988" s="145"/>
      <c r="T988" s="135">
        <v>22338</v>
      </c>
      <c r="U988" s="145"/>
      <c r="V988" s="134" t="s">
        <v>1742</v>
      </c>
      <c r="W988" s="92" t="str">
        <f t="shared" si="80"/>
        <v>Rodrigo Vela,Enrique Vicente</v>
      </c>
      <c r="X988" s="95">
        <f t="shared" si="82"/>
        <v>2</v>
      </c>
      <c r="Y988" s="95">
        <f t="shared" ref="Y988:Y1051" si="83">YEAR(H988)</f>
        <v>2022</v>
      </c>
      <c r="Z988" s="103" t="s">
        <v>265</v>
      </c>
      <c r="AA988" t="str">
        <f>IF(Tabla1[[#This Row],[Kerma en aire acumulada (Gy)]]&gt;1,SUMIF(G:G,Tabla1[[#This Row],[SIP]],I:I)-Tabla1[[#This Row],[Kerma en aire acumulada (Gy)]],"")</f>
        <v/>
      </c>
    </row>
    <row r="989" spans="3:27">
      <c r="C989" s="147" t="s">
        <v>1088</v>
      </c>
      <c r="D989" s="134" t="s">
        <v>2158</v>
      </c>
      <c r="E989" s="134" t="s">
        <v>2064</v>
      </c>
      <c r="F989" s="134" t="s">
        <v>2065</v>
      </c>
      <c r="G989" s="134">
        <v>2334642</v>
      </c>
      <c r="H989" s="135">
        <v>44607</v>
      </c>
      <c r="I989" s="134">
        <v>1.627E-2</v>
      </c>
      <c r="J989" s="145"/>
      <c r="K989" s="145"/>
      <c r="L989" s="145"/>
      <c r="M989" s="145"/>
      <c r="N989" s="145"/>
      <c r="O989" s="145"/>
      <c r="P989" s="145"/>
      <c r="Q989" s="145"/>
      <c r="R989" s="145"/>
      <c r="S989" s="145"/>
      <c r="T989" s="135">
        <v>23524</v>
      </c>
      <c r="U989" s="145"/>
      <c r="V989" s="134" t="s">
        <v>1742</v>
      </c>
      <c r="W989" s="92" t="str">
        <f t="shared" si="80"/>
        <v>Comendador  Lomas,Felisa</v>
      </c>
      <c r="X989" s="95">
        <f t="shared" si="82"/>
        <v>2</v>
      </c>
      <c r="Y989" s="95">
        <f t="shared" si="83"/>
        <v>2022</v>
      </c>
      <c r="Z989" s="103" t="s">
        <v>265</v>
      </c>
      <c r="AA989" t="str">
        <f>IF(Tabla1[[#This Row],[Kerma en aire acumulada (Gy)]]&gt;1,SUMIF(G:G,Tabla1[[#This Row],[SIP]],I:I)-Tabla1[[#This Row],[Kerma en aire acumulada (Gy)]],"")</f>
        <v/>
      </c>
    </row>
    <row r="990" spans="3:27">
      <c r="C990" s="147" t="s">
        <v>1088</v>
      </c>
      <c r="D990" s="134" t="s">
        <v>2174</v>
      </c>
      <c r="E990" s="134" t="s">
        <v>854</v>
      </c>
      <c r="F990" s="134" t="s">
        <v>546</v>
      </c>
      <c r="G990" s="134">
        <v>3100424</v>
      </c>
      <c r="H990" s="135">
        <v>44607</v>
      </c>
      <c r="I990" s="134">
        <v>9.8589999999999997E-2</v>
      </c>
      <c r="J990" s="145"/>
      <c r="K990" s="145"/>
      <c r="L990" s="145"/>
      <c r="M990" s="145"/>
      <c r="N990" s="145"/>
      <c r="O990" s="145"/>
      <c r="P990" s="145"/>
      <c r="Q990" s="145"/>
      <c r="R990" s="145"/>
      <c r="S990" s="145"/>
      <c r="T990" s="135">
        <v>25918</v>
      </c>
      <c r="U990" s="145"/>
      <c r="V990" s="134" t="s">
        <v>2175</v>
      </c>
      <c r="W990" s="92" t="str">
        <f t="shared" si="80"/>
        <v>Maldonado Heredia,Luis</v>
      </c>
      <c r="X990" s="95">
        <f t="shared" si="82"/>
        <v>2</v>
      </c>
      <c r="Y990" s="95">
        <f t="shared" si="83"/>
        <v>2022</v>
      </c>
      <c r="Z990" s="103" t="s">
        <v>265</v>
      </c>
      <c r="AA990" t="str">
        <f>IF(Tabla1[[#This Row],[Kerma en aire acumulada (Gy)]]&gt;1,SUMIF(G:G,Tabla1[[#This Row],[SIP]],I:I)-Tabla1[[#This Row],[Kerma en aire acumulada (Gy)]],"")</f>
        <v/>
      </c>
    </row>
    <row r="991" spans="3:27">
      <c r="C991" s="147" t="s">
        <v>1088</v>
      </c>
      <c r="D991" s="134" t="s">
        <v>2179</v>
      </c>
      <c r="E991" s="134" t="s">
        <v>668</v>
      </c>
      <c r="F991" s="134" t="s">
        <v>106</v>
      </c>
      <c r="G991" s="134">
        <v>2659517</v>
      </c>
      <c r="H991" s="135">
        <v>44607</v>
      </c>
      <c r="I991" s="134">
        <v>0.40354000000000001</v>
      </c>
      <c r="J991" s="145"/>
      <c r="K991" s="145"/>
      <c r="L991" s="145"/>
      <c r="M991" s="145"/>
      <c r="N991" s="145"/>
      <c r="O991" s="145"/>
      <c r="P991" s="145"/>
      <c r="Q991" s="145"/>
      <c r="R991" s="145"/>
      <c r="S991" s="145"/>
      <c r="T991" s="135">
        <v>20839</v>
      </c>
      <c r="U991" s="145"/>
      <c r="V991" s="134" t="s">
        <v>2176</v>
      </c>
      <c r="W991" s="92" t="str">
        <f t="shared" si="80"/>
        <v>Ferrero Salcedo,Carmen</v>
      </c>
      <c r="X991" s="95">
        <f t="shared" si="82"/>
        <v>2</v>
      </c>
      <c r="Y991" s="95">
        <f t="shared" si="83"/>
        <v>2022</v>
      </c>
      <c r="Z991" s="103" t="s">
        <v>265</v>
      </c>
      <c r="AA991" t="str">
        <f>IF(Tabla1[[#This Row],[Kerma en aire acumulada (Gy)]]&gt;1,SUMIF(G:G,Tabla1[[#This Row],[SIP]],I:I)-Tabla1[[#This Row],[Kerma en aire acumulada (Gy)]],"")</f>
        <v/>
      </c>
    </row>
    <row r="992" spans="3:27">
      <c r="C992" s="147" t="s">
        <v>1088</v>
      </c>
      <c r="D992" s="134" t="s">
        <v>2177</v>
      </c>
      <c r="E992" s="134" t="s">
        <v>2178</v>
      </c>
      <c r="F992" s="134" t="s">
        <v>961</v>
      </c>
      <c r="G992" s="134">
        <v>3402617</v>
      </c>
      <c r="H992" s="135">
        <v>44607</v>
      </c>
      <c r="I992" s="134"/>
      <c r="J992" s="145"/>
      <c r="K992" s="145"/>
      <c r="L992" s="145"/>
      <c r="M992" s="145"/>
      <c r="N992" s="145"/>
      <c r="O992" s="145"/>
      <c r="P992" s="145"/>
      <c r="Q992" s="145"/>
      <c r="R992" s="145"/>
      <c r="S992" s="145"/>
      <c r="T992" s="135">
        <v>23653</v>
      </c>
      <c r="U992" s="145"/>
      <c r="V992" s="134" t="s">
        <v>180</v>
      </c>
      <c r="W992" s="92" t="str">
        <f t="shared" si="80"/>
        <v>Rubio  Osma,Teresa</v>
      </c>
      <c r="X992" s="95">
        <f t="shared" si="82"/>
        <v>2</v>
      </c>
      <c r="Y992" s="95">
        <f t="shared" si="83"/>
        <v>2022</v>
      </c>
      <c r="Z992" s="103" t="s">
        <v>265</v>
      </c>
      <c r="AA992" t="str">
        <f>IF(Tabla1[[#This Row],[Kerma en aire acumulada (Gy)]]&gt;1,SUMIF(G:G,Tabla1[[#This Row],[SIP]],I:I)-Tabla1[[#This Row],[Kerma en aire acumulada (Gy)]],"")</f>
        <v/>
      </c>
    </row>
    <row r="993" spans="3:27">
      <c r="C993" s="147" t="s">
        <v>1088</v>
      </c>
      <c r="D993" s="134" t="s">
        <v>1138</v>
      </c>
      <c r="E993" s="134" t="s">
        <v>681</v>
      </c>
      <c r="F993" s="134" t="s">
        <v>1139</v>
      </c>
      <c r="G993" s="134">
        <v>3018034</v>
      </c>
      <c r="H993" s="135">
        <v>44607</v>
      </c>
      <c r="I993" s="134">
        <v>4.972E-2</v>
      </c>
      <c r="J993" s="145"/>
      <c r="K993" s="145"/>
      <c r="L993" s="145"/>
      <c r="M993" s="145"/>
      <c r="N993" s="145"/>
      <c r="O993" s="145"/>
      <c r="P993" s="145"/>
      <c r="Q993" s="145"/>
      <c r="R993" s="145"/>
      <c r="S993" s="145"/>
      <c r="T993" s="135">
        <v>21588</v>
      </c>
      <c r="U993" s="145"/>
      <c r="V993" s="134" t="s">
        <v>2180</v>
      </c>
      <c r="W993" s="92" t="str">
        <f t="shared" si="80"/>
        <v>Nebot Blasco,Jose Vicente</v>
      </c>
      <c r="X993" s="95">
        <f t="shared" si="82"/>
        <v>2</v>
      </c>
      <c r="Y993" s="95">
        <f t="shared" si="83"/>
        <v>2022</v>
      </c>
      <c r="Z993" s="103" t="s">
        <v>265</v>
      </c>
      <c r="AA993" t="str">
        <f>IF(Tabla1[[#This Row],[Kerma en aire acumulada (Gy)]]&gt;1,SUMIF(G:G,Tabla1[[#This Row],[SIP]],I:I)-Tabla1[[#This Row],[Kerma en aire acumulada (Gy)]],"")</f>
        <v/>
      </c>
    </row>
    <row r="994" spans="3:27">
      <c r="C994" s="147" t="s">
        <v>1088</v>
      </c>
      <c r="D994" s="134" t="s">
        <v>2155</v>
      </c>
      <c r="E994" s="134" t="s">
        <v>673</v>
      </c>
      <c r="F994" s="134" t="s">
        <v>356</v>
      </c>
      <c r="G994" s="134">
        <v>2269932</v>
      </c>
      <c r="H994" s="135">
        <v>44608</v>
      </c>
      <c r="I994" s="134">
        <v>1.0071000000000001</v>
      </c>
      <c r="J994" s="145"/>
      <c r="K994" s="145"/>
      <c r="L994" s="145"/>
      <c r="M994" s="145"/>
      <c r="N994" s="145"/>
      <c r="O994" s="145"/>
      <c r="P994" s="145"/>
      <c r="Q994" s="145"/>
      <c r="R994" s="145"/>
      <c r="S994" s="145"/>
      <c r="T994" s="135">
        <v>18023</v>
      </c>
      <c r="U994" s="145"/>
      <c r="V994" s="134" t="s">
        <v>89</v>
      </c>
      <c r="W994" s="92" t="str">
        <f t="shared" si="80"/>
        <v>Milla Piro,Manuel</v>
      </c>
      <c r="X994" s="95">
        <f t="shared" si="82"/>
        <v>2</v>
      </c>
      <c r="Y994" s="95">
        <f t="shared" si="83"/>
        <v>2022</v>
      </c>
      <c r="Z994" s="103" t="s">
        <v>265</v>
      </c>
      <c r="AA994">
        <f>IF(Tabla1[[#This Row],[Kerma en aire acumulada (Gy)]]&gt;1,SUMIF(G:G,Tabla1[[#This Row],[SIP]],I:I)-Tabla1[[#This Row],[Kerma en aire acumulada (Gy)]],"")</f>
        <v>3.2489999999999997</v>
      </c>
    </row>
    <row r="995" spans="3:27">
      <c r="C995" s="147" t="s">
        <v>1088</v>
      </c>
      <c r="D995" s="134" t="s">
        <v>2171</v>
      </c>
      <c r="E995" s="134" t="s">
        <v>2172</v>
      </c>
      <c r="F995" s="134" t="s">
        <v>2173</v>
      </c>
      <c r="G995" s="134">
        <v>5466333</v>
      </c>
      <c r="H995" s="135">
        <v>44608</v>
      </c>
      <c r="I995" s="134">
        <v>1.214E-2</v>
      </c>
      <c r="J995" s="145"/>
      <c r="K995" s="145"/>
      <c r="L995" s="145"/>
      <c r="M995" s="145"/>
      <c r="N995" s="145"/>
      <c r="O995" s="145"/>
      <c r="P995" s="145"/>
      <c r="Q995" s="145"/>
      <c r="R995" s="145"/>
      <c r="S995" s="145"/>
      <c r="T995" s="135">
        <v>27294</v>
      </c>
      <c r="U995" s="145"/>
      <c r="V995" s="134" t="s">
        <v>503</v>
      </c>
      <c r="W995" s="92" t="str">
        <f t="shared" ref="W995:W1058" si="84">CONCATENATE(D995,$A$591,E995,",",F995)</f>
        <v>Suarez Valdivia,Carmen Rosa</v>
      </c>
      <c r="X995" s="95">
        <f t="shared" si="82"/>
        <v>2</v>
      </c>
      <c r="Y995" s="95">
        <f t="shared" si="83"/>
        <v>2022</v>
      </c>
      <c r="Z995" s="103" t="s">
        <v>265</v>
      </c>
      <c r="AA995" t="str">
        <f>IF(Tabla1[[#This Row],[Kerma en aire acumulada (Gy)]]&gt;1,SUMIF(G:G,Tabla1[[#This Row],[SIP]],I:I)-Tabla1[[#This Row],[Kerma en aire acumulada (Gy)]],"")</f>
        <v/>
      </c>
    </row>
    <row r="996" spans="3:27">
      <c r="C996" s="147" t="s">
        <v>1088</v>
      </c>
      <c r="D996" s="134" t="s">
        <v>762</v>
      </c>
      <c r="E996" s="134" t="s">
        <v>1001</v>
      </c>
      <c r="F996" s="134" t="s">
        <v>2072</v>
      </c>
      <c r="G996" s="134">
        <v>1253765</v>
      </c>
      <c r="H996" s="135">
        <v>44608</v>
      </c>
      <c r="I996" s="134">
        <v>6.8659999999999999E-2</v>
      </c>
      <c r="J996" s="145"/>
      <c r="K996" s="145"/>
      <c r="L996" s="145"/>
      <c r="M996" s="145"/>
      <c r="N996" s="145"/>
      <c r="O996" s="145"/>
      <c r="P996" s="145"/>
      <c r="Q996" s="145"/>
      <c r="R996" s="145"/>
      <c r="S996" s="145"/>
      <c r="T996" s="135">
        <v>23504</v>
      </c>
      <c r="U996" s="145"/>
      <c r="V996" s="134" t="s">
        <v>173</v>
      </c>
      <c r="W996" s="92" t="str">
        <f t="shared" si="84"/>
        <v>Arribas Perez,M Amparo</v>
      </c>
      <c r="X996" s="95">
        <f t="shared" si="82"/>
        <v>2</v>
      </c>
      <c r="Y996" s="95">
        <f t="shared" si="83"/>
        <v>2022</v>
      </c>
      <c r="Z996" s="103" t="s">
        <v>265</v>
      </c>
      <c r="AA996" t="str">
        <f>IF(Tabla1[[#This Row],[Kerma en aire acumulada (Gy)]]&gt;1,SUMIF(G:G,Tabla1[[#This Row],[SIP]],I:I)-Tabla1[[#This Row],[Kerma en aire acumulada (Gy)]],"")</f>
        <v/>
      </c>
    </row>
    <row r="997" spans="3:27">
      <c r="C997" s="147" t="s">
        <v>1088</v>
      </c>
      <c r="D997" s="134" t="s">
        <v>2592</v>
      </c>
      <c r="E997" s="134" t="s">
        <v>2593</v>
      </c>
      <c r="F997" s="134" t="s">
        <v>300</v>
      </c>
      <c r="G997" s="150">
        <v>164039</v>
      </c>
      <c r="H997" s="135">
        <v>44608</v>
      </c>
      <c r="I997" s="150"/>
      <c r="J997" s="145"/>
      <c r="K997" s="145"/>
      <c r="L997" s="145"/>
      <c r="M997" s="145"/>
      <c r="N997" s="145"/>
      <c r="O997" s="145"/>
      <c r="P997" s="145"/>
      <c r="Q997" s="145"/>
      <c r="R997" s="145"/>
      <c r="S997" s="145"/>
      <c r="T997" s="135">
        <v>22776</v>
      </c>
      <c r="U997" s="145"/>
      <c r="V997" s="134" t="s">
        <v>563</v>
      </c>
      <c r="W997" s="92" t="str">
        <f t="shared" si="84"/>
        <v>Colom Campello,Carlos</v>
      </c>
      <c r="X997" s="95">
        <f t="shared" si="82"/>
        <v>2</v>
      </c>
      <c r="Y997" s="95">
        <f t="shared" si="83"/>
        <v>2022</v>
      </c>
      <c r="Z997" s="136" t="s">
        <v>266</v>
      </c>
      <c r="AA997" t="str">
        <f>IF(Tabla1[[#This Row],[Kerma en aire acumulada (Gy)]]&gt;1,SUMIF(G:G,Tabla1[[#This Row],[SIP]],I:I)-Tabla1[[#This Row],[Kerma en aire acumulada (Gy)]],"")</f>
        <v/>
      </c>
    </row>
    <row r="998" spans="3:27">
      <c r="C998" s="147" t="s">
        <v>1088</v>
      </c>
      <c r="D998" s="134" t="s">
        <v>1248</v>
      </c>
      <c r="E998" s="134" t="s">
        <v>1248</v>
      </c>
      <c r="F998" s="134" t="s">
        <v>1023</v>
      </c>
      <c r="G998" s="134">
        <v>3370866</v>
      </c>
      <c r="H998" s="135">
        <v>44609</v>
      </c>
      <c r="I998" s="134">
        <v>1.7825</v>
      </c>
      <c r="J998" s="145"/>
      <c r="K998" s="145"/>
      <c r="L998" s="145"/>
      <c r="M998" s="145"/>
      <c r="N998" s="145"/>
      <c r="O998" s="145"/>
      <c r="P998" s="145"/>
      <c r="Q998" s="145"/>
      <c r="R998" s="145"/>
      <c r="S998" s="145"/>
      <c r="T998" s="135">
        <v>17256</v>
      </c>
      <c r="U998" s="145"/>
      <c r="V998" s="134" t="s">
        <v>89</v>
      </c>
      <c r="W998" s="92" t="str">
        <f t="shared" si="84"/>
        <v>Marti Marti,Desamparados</v>
      </c>
      <c r="X998" s="95">
        <f t="shared" si="82"/>
        <v>2</v>
      </c>
      <c r="Y998" s="95">
        <f t="shared" si="83"/>
        <v>2022</v>
      </c>
      <c r="Z998" s="103" t="s">
        <v>265</v>
      </c>
      <c r="AA998">
        <f>IF(Tabla1[[#This Row],[Kerma en aire acumulada (Gy)]]&gt;1,SUMIF(G:G,Tabla1[[#This Row],[SIP]],I:I)-Tabla1[[#This Row],[Kerma en aire acumulada (Gy)]],"")</f>
        <v>0</v>
      </c>
    </row>
    <row r="999" spans="3:27">
      <c r="C999" s="147" t="s">
        <v>1088</v>
      </c>
      <c r="D999" s="134" t="s">
        <v>634</v>
      </c>
      <c r="E999" s="134" t="s">
        <v>2166</v>
      </c>
      <c r="F999" s="134" t="s">
        <v>2167</v>
      </c>
      <c r="G999" s="134">
        <v>3253823</v>
      </c>
      <c r="H999" s="135">
        <v>44609</v>
      </c>
      <c r="I999" s="134">
        <v>2.683E-2</v>
      </c>
      <c r="J999" s="145"/>
      <c r="K999" s="145"/>
      <c r="L999" s="145"/>
      <c r="M999" s="145"/>
      <c r="N999" s="145"/>
      <c r="O999" s="145"/>
      <c r="P999" s="145"/>
      <c r="Q999" s="145"/>
      <c r="R999" s="145"/>
      <c r="S999" s="145"/>
      <c r="T999" s="135">
        <v>22450</v>
      </c>
      <c r="U999" s="145"/>
      <c r="V999" s="134" t="s">
        <v>950</v>
      </c>
      <c r="W999" s="92" t="str">
        <f t="shared" si="84"/>
        <v>Gil Perales,Barbara</v>
      </c>
      <c r="X999" s="95">
        <f t="shared" si="82"/>
        <v>2</v>
      </c>
      <c r="Y999" s="95">
        <f t="shared" si="83"/>
        <v>2022</v>
      </c>
      <c r="Z999" s="103" t="s">
        <v>265</v>
      </c>
      <c r="AA999" t="str">
        <f>IF(Tabla1[[#This Row],[Kerma en aire acumulada (Gy)]]&gt;1,SUMIF(G:G,Tabla1[[#This Row],[SIP]],I:I)-Tabla1[[#This Row],[Kerma en aire acumulada (Gy)]],"")</f>
        <v/>
      </c>
    </row>
    <row r="1000" spans="3:27">
      <c r="C1000" s="147" t="s">
        <v>1088</v>
      </c>
      <c r="D1000" s="134" t="s">
        <v>1986</v>
      </c>
      <c r="E1000" s="134" t="s">
        <v>948</v>
      </c>
      <c r="F1000" s="134" t="s">
        <v>2168</v>
      </c>
      <c r="G1000" s="134">
        <v>1426237</v>
      </c>
      <c r="H1000" s="135">
        <v>44609</v>
      </c>
      <c r="I1000" s="134">
        <v>0.48036000000000001</v>
      </c>
      <c r="J1000" s="145"/>
      <c r="K1000" s="145"/>
      <c r="L1000" s="145"/>
      <c r="M1000" s="145"/>
      <c r="N1000" s="145"/>
      <c r="O1000" s="145"/>
      <c r="P1000" s="145"/>
      <c r="Q1000" s="145"/>
      <c r="R1000" s="145"/>
      <c r="S1000" s="145"/>
      <c r="T1000" s="135">
        <v>28043</v>
      </c>
      <c r="U1000" s="145"/>
      <c r="V1000" s="134" t="s">
        <v>1943</v>
      </c>
      <c r="W1000" s="92" t="str">
        <f t="shared" si="84"/>
        <v>Picazo Martinez,Leonides</v>
      </c>
      <c r="X1000" s="95">
        <f t="shared" si="82"/>
        <v>2</v>
      </c>
      <c r="Y1000" s="95">
        <f t="shared" si="83"/>
        <v>2022</v>
      </c>
      <c r="Z1000" s="103" t="s">
        <v>265</v>
      </c>
      <c r="AA1000" t="str">
        <f>IF(Tabla1[[#This Row],[Kerma en aire acumulada (Gy)]]&gt;1,SUMIF(G:G,Tabla1[[#This Row],[SIP]],I:I)-Tabla1[[#This Row],[Kerma en aire acumulada (Gy)]],"")</f>
        <v/>
      </c>
    </row>
    <row r="1001" spans="3:27">
      <c r="C1001" s="147" t="s">
        <v>1088</v>
      </c>
      <c r="D1001" s="134" t="s">
        <v>1906</v>
      </c>
      <c r="E1001" s="134" t="s">
        <v>954</v>
      </c>
      <c r="F1001" s="134" t="s">
        <v>1907</v>
      </c>
      <c r="G1001" s="134">
        <v>3269247</v>
      </c>
      <c r="H1001" s="135">
        <v>44609</v>
      </c>
      <c r="I1001" s="134">
        <v>4.2810000000000001E-2</v>
      </c>
      <c r="J1001" s="145"/>
      <c r="K1001" s="145"/>
      <c r="L1001" s="145"/>
      <c r="M1001" s="145"/>
      <c r="N1001" s="145"/>
      <c r="O1001" s="145"/>
      <c r="P1001" s="145"/>
      <c r="Q1001" s="145"/>
      <c r="R1001" s="145"/>
      <c r="S1001" s="145"/>
      <c r="T1001" s="135">
        <v>28280</v>
      </c>
      <c r="U1001" s="145"/>
      <c r="V1001" s="134" t="s">
        <v>1312</v>
      </c>
      <c r="W1001" s="92" t="str">
        <f t="shared" si="84"/>
        <v>Copado Carbonell,Ivan</v>
      </c>
      <c r="X1001" s="95">
        <f t="shared" si="82"/>
        <v>2</v>
      </c>
      <c r="Y1001" s="95">
        <f t="shared" si="83"/>
        <v>2022</v>
      </c>
      <c r="Z1001" s="103" t="s">
        <v>265</v>
      </c>
      <c r="AA1001" t="str">
        <f>IF(Tabla1[[#This Row],[Kerma en aire acumulada (Gy)]]&gt;1,SUMIF(G:G,Tabla1[[#This Row],[SIP]],I:I)-Tabla1[[#This Row],[Kerma en aire acumulada (Gy)]],"")</f>
        <v/>
      </c>
    </row>
    <row r="1002" spans="3:27">
      <c r="C1002" s="147" t="s">
        <v>1088</v>
      </c>
      <c r="D1002" s="134" t="s">
        <v>1719</v>
      </c>
      <c r="E1002" s="134" t="s">
        <v>2169</v>
      </c>
      <c r="F1002" s="134" t="s">
        <v>1238</v>
      </c>
      <c r="G1002" s="134">
        <v>3330257</v>
      </c>
      <c r="H1002" s="135">
        <v>44609</v>
      </c>
      <c r="I1002" s="134">
        <v>9.5339999999999994E-2</v>
      </c>
      <c r="J1002" s="145"/>
      <c r="K1002" s="145"/>
      <c r="L1002" s="145"/>
      <c r="M1002" s="145"/>
      <c r="N1002" s="145"/>
      <c r="O1002" s="145"/>
      <c r="P1002" s="145"/>
      <c r="Q1002" s="145"/>
      <c r="R1002" s="145"/>
      <c r="S1002" s="145"/>
      <c r="T1002" s="135">
        <v>16711</v>
      </c>
      <c r="U1002" s="145"/>
      <c r="V1002" s="134" t="s">
        <v>1643</v>
      </c>
      <c r="W1002" s="92" t="str">
        <f t="shared" si="84"/>
        <v>Sevilla Illiana ,Angel</v>
      </c>
      <c r="X1002" s="95">
        <f t="shared" si="82"/>
        <v>2</v>
      </c>
      <c r="Y1002" s="95">
        <f t="shared" si="83"/>
        <v>2022</v>
      </c>
      <c r="Z1002" s="103" t="s">
        <v>265</v>
      </c>
      <c r="AA1002" t="str">
        <f>IF(Tabla1[[#This Row],[Kerma en aire acumulada (Gy)]]&gt;1,SUMIF(G:G,Tabla1[[#This Row],[SIP]],I:I)-Tabla1[[#This Row],[Kerma en aire acumulada (Gy)]],"")</f>
        <v/>
      </c>
    </row>
    <row r="1003" spans="3:27">
      <c r="C1003" s="147" t="s">
        <v>1088</v>
      </c>
      <c r="D1003" s="134" t="s">
        <v>2170</v>
      </c>
      <c r="E1003" s="134" t="s">
        <v>1837</v>
      </c>
      <c r="F1003" s="134" t="s">
        <v>68</v>
      </c>
      <c r="G1003" s="134">
        <v>2864903</v>
      </c>
      <c r="H1003" s="135">
        <v>44609</v>
      </c>
      <c r="I1003" s="134">
        <v>0.33424999999999999</v>
      </c>
      <c r="J1003" s="145"/>
      <c r="K1003" s="145"/>
      <c r="L1003" s="145"/>
      <c r="M1003" s="145"/>
      <c r="N1003" s="145"/>
      <c r="O1003" s="145"/>
      <c r="P1003" s="145"/>
      <c r="Q1003" s="145"/>
      <c r="R1003" s="145"/>
      <c r="S1003" s="145"/>
      <c r="T1003" s="135">
        <v>17882</v>
      </c>
      <c r="U1003" s="145"/>
      <c r="V1003" s="134" t="s">
        <v>1934</v>
      </c>
      <c r="W1003" s="92" t="str">
        <f t="shared" si="84"/>
        <v>Carrion Rodriguez,Juan</v>
      </c>
      <c r="X1003" s="95">
        <f t="shared" si="82"/>
        <v>2</v>
      </c>
      <c r="Y1003" s="95">
        <f t="shared" si="83"/>
        <v>2022</v>
      </c>
      <c r="Z1003" s="103" t="s">
        <v>265</v>
      </c>
      <c r="AA1003" t="str">
        <f>IF(Tabla1[[#This Row],[Kerma en aire acumulada (Gy)]]&gt;1,SUMIF(G:G,Tabla1[[#This Row],[SIP]],I:I)-Tabla1[[#This Row],[Kerma en aire acumulada (Gy)]],"")</f>
        <v/>
      </c>
    </row>
    <row r="1004" spans="3:27">
      <c r="C1004" s="147" t="s">
        <v>1088</v>
      </c>
      <c r="D1004" s="134" t="s">
        <v>68</v>
      </c>
      <c r="E1004" s="134" t="s">
        <v>2165</v>
      </c>
      <c r="F1004" s="134" t="s">
        <v>1621</v>
      </c>
      <c r="G1004" s="134">
        <v>1863952</v>
      </c>
      <c r="H1004" s="135">
        <v>44610</v>
      </c>
      <c r="I1004" s="134">
        <v>7.1239999999999998E-2</v>
      </c>
      <c r="J1004" s="145"/>
      <c r="K1004" s="145"/>
      <c r="L1004" s="145"/>
      <c r="M1004" s="145"/>
      <c r="N1004" s="145"/>
      <c r="O1004" s="145"/>
      <c r="P1004" s="145"/>
      <c r="Q1004" s="145"/>
      <c r="R1004" s="145"/>
      <c r="S1004" s="145"/>
      <c r="T1004" s="135">
        <v>18207</v>
      </c>
      <c r="U1004" s="145"/>
      <c r="V1004" s="134" t="s">
        <v>1826</v>
      </c>
      <c r="W1004" s="92" t="str">
        <f t="shared" si="84"/>
        <v>Juan Santabalbina,Ramon</v>
      </c>
      <c r="X1004" s="95">
        <f t="shared" si="82"/>
        <v>2</v>
      </c>
      <c r="Y1004" s="95">
        <f t="shared" si="83"/>
        <v>2022</v>
      </c>
      <c r="Z1004" s="103" t="s">
        <v>265</v>
      </c>
      <c r="AA1004" t="str">
        <f>IF(Tabla1[[#This Row],[Kerma en aire acumulada (Gy)]]&gt;1,SUMIF(G:G,Tabla1[[#This Row],[SIP]],I:I)-Tabla1[[#This Row],[Kerma en aire acumulada (Gy)]],"")</f>
        <v/>
      </c>
    </row>
    <row r="1005" spans="3:27">
      <c r="C1005" s="147" t="s">
        <v>1088</v>
      </c>
      <c r="D1005" s="134" t="s">
        <v>68</v>
      </c>
      <c r="E1005" s="134" t="s">
        <v>2165</v>
      </c>
      <c r="F1005" s="134" t="s">
        <v>1621</v>
      </c>
      <c r="G1005" s="134">
        <v>1863952</v>
      </c>
      <c r="H1005" s="135">
        <v>44611</v>
      </c>
      <c r="I1005" s="134">
        <v>3.5700000000000003E-2</v>
      </c>
      <c r="J1005" s="145"/>
      <c r="K1005" s="145"/>
      <c r="L1005" s="145"/>
      <c r="M1005" s="145"/>
      <c r="N1005" s="145"/>
      <c r="O1005" s="145"/>
      <c r="P1005" s="145"/>
      <c r="Q1005" s="145"/>
      <c r="R1005" s="145"/>
      <c r="S1005" s="145"/>
      <c r="T1005" s="135">
        <v>18207</v>
      </c>
      <c r="U1005" s="145"/>
      <c r="V1005" s="134" t="s">
        <v>1643</v>
      </c>
      <c r="W1005" s="92" t="str">
        <f t="shared" si="84"/>
        <v>Juan Santabalbina,Ramon</v>
      </c>
      <c r="X1005" s="95">
        <f t="shared" si="82"/>
        <v>2</v>
      </c>
      <c r="Y1005" s="95">
        <f t="shared" si="83"/>
        <v>2022</v>
      </c>
      <c r="Z1005" s="103" t="s">
        <v>265</v>
      </c>
      <c r="AA1005" t="str">
        <f>IF(Tabla1[[#This Row],[Kerma en aire acumulada (Gy)]]&gt;1,SUMIF(G:G,Tabla1[[#This Row],[SIP]],I:I)-Tabla1[[#This Row],[Kerma en aire acumulada (Gy)]],"")</f>
        <v/>
      </c>
    </row>
    <row r="1006" spans="3:27">
      <c r="C1006" s="147" t="s">
        <v>1088</v>
      </c>
      <c r="D1006" s="134" t="s">
        <v>1009</v>
      </c>
      <c r="E1006" s="134" t="s">
        <v>2151</v>
      </c>
      <c r="F1006" s="134" t="s">
        <v>1867</v>
      </c>
      <c r="G1006" s="134">
        <v>4483372</v>
      </c>
      <c r="H1006" s="135">
        <v>44613</v>
      </c>
      <c r="I1006" s="134">
        <v>0.38662000000000002</v>
      </c>
      <c r="J1006" s="145"/>
      <c r="K1006" s="145"/>
      <c r="L1006" s="145"/>
      <c r="M1006" s="145"/>
      <c r="N1006" s="145"/>
      <c r="O1006" s="145"/>
      <c r="P1006" s="145"/>
      <c r="Q1006" s="145"/>
      <c r="R1006" s="145"/>
      <c r="S1006" s="145"/>
      <c r="T1006" s="135">
        <v>22912</v>
      </c>
      <c r="U1006" s="145"/>
      <c r="V1006" s="134" t="s">
        <v>1203</v>
      </c>
      <c r="W1006" s="92" t="str">
        <f t="shared" si="84"/>
        <v>Fernandez Gavara,Ana M</v>
      </c>
      <c r="X1006" s="95">
        <f t="shared" si="82"/>
        <v>2</v>
      </c>
      <c r="Y1006" s="95">
        <f t="shared" si="83"/>
        <v>2022</v>
      </c>
      <c r="Z1006" s="103" t="s">
        <v>265</v>
      </c>
      <c r="AA1006" t="str">
        <f>IF(Tabla1[[#This Row],[Kerma en aire acumulada (Gy)]]&gt;1,SUMIF(G:G,Tabla1[[#This Row],[SIP]],I:I)-Tabla1[[#This Row],[Kerma en aire acumulada (Gy)]],"")</f>
        <v/>
      </c>
    </row>
    <row r="1007" spans="3:27">
      <c r="C1007" s="147" t="s">
        <v>1088</v>
      </c>
      <c r="D1007" s="134" t="s">
        <v>2152</v>
      </c>
      <c r="E1007" s="134" t="s">
        <v>2153</v>
      </c>
      <c r="F1007" s="134" t="s">
        <v>2154</v>
      </c>
      <c r="G1007" s="134">
        <v>3198291</v>
      </c>
      <c r="H1007" s="135">
        <v>44613</v>
      </c>
      <c r="I1007" s="134">
        <v>6.0499999999999998E-2</v>
      </c>
      <c r="J1007" s="145"/>
      <c r="K1007" s="145"/>
      <c r="L1007" s="145"/>
      <c r="M1007" s="145"/>
      <c r="N1007" s="145"/>
      <c r="O1007" s="145"/>
      <c r="P1007" s="145"/>
      <c r="Q1007" s="145"/>
      <c r="R1007" s="145"/>
      <c r="S1007" s="145"/>
      <c r="T1007" s="135">
        <v>19938</v>
      </c>
      <c r="U1007" s="145"/>
      <c r="V1007" s="134" t="s">
        <v>516</v>
      </c>
      <c r="W1007" s="92" t="str">
        <f t="shared" si="84"/>
        <v>Saiz  Cea ,Angel Ramundo</v>
      </c>
      <c r="X1007" s="95">
        <f t="shared" si="82"/>
        <v>2</v>
      </c>
      <c r="Y1007" s="95">
        <f t="shared" si="83"/>
        <v>2022</v>
      </c>
      <c r="Z1007" s="103" t="s">
        <v>265</v>
      </c>
      <c r="AA1007" t="str">
        <f>IF(Tabla1[[#This Row],[Kerma en aire acumulada (Gy)]]&gt;1,SUMIF(G:G,Tabla1[[#This Row],[SIP]],I:I)-Tabla1[[#This Row],[Kerma en aire acumulada (Gy)]],"")</f>
        <v/>
      </c>
    </row>
    <row r="1008" spans="3:27">
      <c r="C1008" s="147" t="s">
        <v>1088</v>
      </c>
      <c r="D1008" s="134" t="s">
        <v>2161</v>
      </c>
      <c r="E1008" s="134"/>
      <c r="F1008" s="134" t="s">
        <v>2162</v>
      </c>
      <c r="G1008" s="134">
        <v>4812426</v>
      </c>
      <c r="H1008" s="135">
        <v>44613</v>
      </c>
      <c r="I1008" s="134">
        <v>6.3369999999999996E-2</v>
      </c>
      <c r="J1008" s="145"/>
      <c r="K1008" s="145"/>
      <c r="L1008" s="145"/>
      <c r="M1008" s="145"/>
      <c r="N1008" s="145"/>
      <c r="O1008" s="145"/>
      <c r="P1008" s="145"/>
      <c r="Q1008" s="145"/>
      <c r="R1008" s="145"/>
      <c r="S1008" s="145"/>
      <c r="T1008" s="135">
        <v>26848</v>
      </c>
      <c r="U1008" s="145"/>
      <c r="V1008" s="134" t="s">
        <v>1203</v>
      </c>
      <c r="W1008" s="92" t="str">
        <f t="shared" si="84"/>
        <v>El Fahoul ,Abdelouhed</v>
      </c>
      <c r="X1008" s="95">
        <f t="shared" si="82"/>
        <v>2</v>
      </c>
      <c r="Y1008" s="95">
        <f t="shared" si="83"/>
        <v>2022</v>
      </c>
      <c r="Z1008" s="103" t="s">
        <v>265</v>
      </c>
      <c r="AA1008" t="str">
        <f>IF(Tabla1[[#This Row],[Kerma en aire acumulada (Gy)]]&gt;1,SUMIF(G:G,Tabla1[[#This Row],[SIP]],I:I)-Tabla1[[#This Row],[Kerma en aire acumulada (Gy)]],"")</f>
        <v/>
      </c>
    </row>
    <row r="1009" spans="3:27">
      <c r="C1009" s="147" t="s">
        <v>1088</v>
      </c>
      <c r="D1009" s="134" t="s">
        <v>2163</v>
      </c>
      <c r="E1009" s="134" t="s">
        <v>2164</v>
      </c>
      <c r="F1009" s="134" t="s">
        <v>562</v>
      </c>
      <c r="G1009" s="134">
        <v>2806102</v>
      </c>
      <c r="H1009" s="135">
        <v>44613</v>
      </c>
      <c r="I1009" s="134">
        <v>0.37060999999999999</v>
      </c>
      <c r="J1009" s="145"/>
      <c r="K1009" s="145"/>
      <c r="L1009" s="145"/>
      <c r="M1009" s="145"/>
      <c r="N1009" s="145"/>
      <c r="O1009" s="145"/>
      <c r="P1009" s="145"/>
      <c r="Q1009" s="145"/>
      <c r="R1009" s="145"/>
      <c r="S1009" s="145"/>
      <c r="T1009" s="135">
        <v>12220</v>
      </c>
      <c r="U1009" s="145"/>
      <c r="V1009" s="134" t="s">
        <v>1203</v>
      </c>
      <c r="W1009" s="92" t="str">
        <f t="shared" si="84"/>
        <v>Chofre Arago,Rosa</v>
      </c>
      <c r="X1009" s="95">
        <f t="shared" si="82"/>
        <v>2</v>
      </c>
      <c r="Y1009" s="95">
        <f t="shared" si="83"/>
        <v>2022</v>
      </c>
      <c r="Z1009" s="103" t="s">
        <v>265</v>
      </c>
      <c r="AA1009" t="str">
        <f>IF(Tabla1[[#This Row],[Kerma en aire acumulada (Gy)]]&gt;1,SUMIF(G:G,Tabla1[[#This Row],[SIP]],I:I)-Tabla1[[#This Row],[Kerma en aire acumulada (Gy)]],"")</f>
        <v/>
      </c>
    </row>
    <row r="1010" spans="3:27">
      <c r="C1010" s="147" t="s">
        <v>1088</v>
      </c>
      <c r="D1010" s="134" t="s">
        <v>2149</v>
      </c>
      <c r="E1010" s="134" t="s">
        <v>2150</v>
      </c>
      <c r="F1010" s="134" t="s">
        <v>1946</v>
      </c>
      <c r="G1010" s="134">
        <v>2617034</v>
      </c>
      <c r="H1010" s="135">
        <v>44614</v>
      </c>
      <c r="I1010" s="134">
        <v>0.70074999999999998</v>
      </c>
      <c r="J1010" s="145"/>
      <c r="K1010" s="145"/>
      <c r="L1010" s="145"/>
      <c r="M1010" s="145"/>
      <c r="N1010" s="145"/>
      <c r="O1010" s="145"/>
      <c r="P1010" s="145"/>
      <c r="Q1010" s="145"/>
      <c r="R1010" s="145"/>
      <c r="S1010" s="145"/>
      <c r="T1010" s="135">
        <v>15589</v>
      </c>
      <c r="U1010" s="145"/>
      <c r="V1010" s="134" t="s">
        <v>118</v>
      </c>
      <c r="W1010" s="92" t="str">
        <f t="shared" si="84"/>
        <v>Corcoles  Valcarcel,Joaquin</v>
      </c>
      <c r="X1010" s="95">
        <f t="shared" si="82"/>
        <v>2</v>
      </c>
      <c r="Y1010" s="95">
        <f t="shared" si="83"/>
        <v>2022</v>
      </c>
      <c r="Z1010" s="103" t="s">
        <v>265</v>
      </c>
      <c r="AA1010" t="str">
        <f>IF(Tabla1[[#This Row],[Kerma en aire acumulada (Gy)]]&gt;1,SUMIF(G:G,Tabla1[[#This Row],[SIP]],I:I)-Tabla1[[#This Row],[Kerma en aire acumulada (Gy)]],"")</f>
        <v/>
      </c>
    </row>
    <row r="1011" spans="3:27">
      <c r="C1011" s="147" t="s">
        <v>1088</v>
      </c>
      <c r="D1011" s="134" t="s">
        <v>2149</v>
      </c>
      <c r="E1011" s="134" t="s">
        <v>2150</v>
      </c>
      <c r="F1011" s="134" t="s">
        <v>1946</v>
      </c>
      <c r="G1011" s="134">
        <v>2617034</v>
      </c>
      <c r="H1011" s="135">
        <v>44614</v>
      </c>
      <c r="I1011" s="134">
        <v>0.65224000000000004</v>
      </c>
      <c r="J1011" s="145"/>
      <c r="K1011" s="145"/>
      <c r="L1011" s="145"/>
      <c r="M1011" s="145"/>
      <c r="N1011" s="145"/>
      <c r="O1011" s="145"/>
      <c r="P1011" s="145"/>
      <c r="Q1011" s="145"/>
      <c r="R1011" s="145"/>
      <c r="S1011" s="145"/>
      <c r="T1011" s="135">
        <v>15589</v>
      </c>
      <c r="U1011" s="145"/>
      <c r="V1011" s="134" t="s">
        <v>89</v>
      </c>
      <c r="W1011" s="92" t="str">
        <f t="shared" si="84"/>
        <v>Corcoles  Valcarcel,Joaquin</v>
      </c>
      <c r="X1011" s="95">
        <f t="shared" si="82"/>
        <v>2</v>
      </c>
      <c r="Y1011" s="95">
        <f t="shared" si="83"/>
        <v>2022</v>
      </c>
      <c r="Z1011" s="103" t="s">
        <v>265</v>
      </c>
      <c r="AA1011" t="str">
        <f>IF(Tabla1[[#This Row],[Kerma en aire acumulada (Gy)]]&gt;1,SUMIF(G:G,Tabla1[[#This Row],[SIP]],I:I)-Tabla1[[#This Row],[Kerma en aire acumulada (Gy)]],"")</f>
        <v/>
      </c>
    </row>
    <row r="1012" spans="3:27">
      <c r="C1012" s="147" t="s">
        <v>1088</v>
      </c>
      <c r="D1012" s="134" t="s">
        <v>702</v>
      </c>
      <c r="E1012" s="134" t="s">
        <v>364</v>
      </c>
      <c r="F1012" s="134" t="s">
        <v>2160</v>
      </c>
      <c r="G1012" s="134">
        <v>2961469</v>
      </c>
      <c r="H1012" s="135">
        <v>44614</v>
      </c>
      <c r="I1012" s="134">
        <v>0.40860000000000002</v>
      </c>
      <c r="J1012" s="145"/>
      <c r="K1012" s="145"/>
      <c r="L1012" s="145"/>
      <c r="M1012" s="145"/>
      <c r="N1012" s="145"/>
      <c r="O1012" s="145"/>
      <c r="P1012" s="145"/>
      <c r="Q1012" s="145"/>
      <c r="R1012" s="145"/>
      <c r="S1012" s="145"/>
      <c r="T1012" s="135">
        <v>27643</v>
      </c>
      <c r="U1012" s="145"/>
      <c r="V1012" s="134" t="s">
        <v>173</v>
      </c>
      <c r="W1012" s="92" t="str">
        <f t="shared" si="84"/>
        <v>Guzman Guerrero,Miozzotty Gerardene</v>
      </c>
      <c r="X1012" s="95">
        <f t="shared" si="82"/>
        <v>2</v>
      </c>
      <c r="Y1012" s="95">
        <f t="shared" si="83"/>
        <v>2022</v>
      </c>
      <c r="Z1012" s="103" t="s">
        <v>265</v>
      </c>
      <c r="AA1012" t="str">
        <f>IF(Tabla1[[#This Row],[Kerma en aire acumulada (Gy)]]&gt;1,SUMIF(G:G,Tabla1[[#This Row],[SIP]],I:I)-Tabla1[[#This Row],[Kerma en aire acumulada (Gy)]],"")</f>
        <v/>
      </c>
    </row>
    <row r="1013" spans="3:27">
      <c r="C1013" s="147" t="s">
        <v>1088</v>
      </c>
      <c r="D1013" s="134" t="s">
        <v>1652</v>
      </c>
      <c r="E1013" s="134" t="s">
        <v>520</v>
      </c>
      <c r="F1013" s="134" t="s">
        <v>521</v>
      </c>
      <c r="G1013" s="134">
        <v>221667</v>
      </c>
      <c r="H1013" s="135">
        <v>44614</v>
      </c>
      <c r="I1013" s="134">
        <v>0.64995000000000003</v>
      </c>
      <c r="J1013" s="145"/>
      <c r="K1013" s="145"/>
      <c r="L1013" s="145"/>
      <c r="M1013" s="145"/>
      <c r="N1013" s="145"/>
      <c r="O1013" s="145"/>
      <c r="P1013" s="145"/>
      <c r="Q1013" s="145"/>
      <c r="R1013" s="145"/>
      <c r="S1013" s="145"/>
      <c r="T1013" s="135">
        <v>23078</v>
      </c>
      <c r="U1013" s="145"/>
      <c r="V1013" s="134" t="s">
        <v>180</v>
      </c>
      <c r="W1013" s="92" t="str">
        <f t="shared" si="84"/>
        <v>Ferrando Llorca,Consuelo</v>
      </c>
      <c r="X1013" s="95">
        <f t="shared" si="82"/>
        <v>2</v>
      </c>
      <c r="Y1013" s="95">
        <f t="shared" si="83"/>
        <v>2022</v>
      </c>
      <c r="Z1013" s="103" t="s">
        <v>265</v>
      </c>
      <c r="AA1013" t="str">
        <f>IF(Tabla1[[#This Row],[Kerma en aire acumulada (Gy)]]&gt;1,SUMIF(G:G,Tabla1[[#This Row],[SIP]],I:I)-Tabla1[[#This Row],[Kerma en aire acumulada (Gy)]],"")</f>
        <v/>
      </c>
    </row>
    <row r="1014" spans="3:27">
      <c r="C1014" s="147" t="s">
        <v>1088</v>
      </c>
      <c r="D1014" s="134" t="s">
        <v>1690</v>
      </c>
      <c r="E1014" s="134" t="s">
        <v>1691</v>
      </c>
      <c r="F1014" s="134" t="s">
        <v>1692</v>
      </c>
      <c r="G1014" s="134">
        <v>11805844</v>
      </c>
      <c r="H1014" s="135">
        <v>44614</v>
      </c>
      <c r="I1014" s="134">
        <v>0.13522999999999999</v>
      </c>
      <c r="J1014" s="145"/>
      <c r="K1014" s="145"/>
      <c r="L1014" s="145"/>
      <c r="M1014" s="145"/>
      <c r="N1014" s="145"/>
      <c r="O1014" s="145"/>
      <c r="P1014" s="145"/>
      <c r="Q1014" s="145"/>
      <c r="R1014" s="145"/>
      <c r="S1014" s="145"/>
      <c r="T1014" s="135">
        <v>26621</v>
      </c>
      <c r="U1014" s="145"/>
      <c r="V1014" s="134" t="s">
        <v>173</v>
      </c>
      <c r="W1014" s="92" t="str">
        <f t="shared" si="84"/>
        <v>Mushimi Kanyengwe,Yvette</v>
      </c>
      <c r="X1014" s="95">
        <f t="shared" si="82"/>
        <v>2</v>
      </c>
      <c r="Y1014" s="95">
        <f t="shared" si="83"/>
        <v>2022</v>
      </c>
      <c r="Z1014" s="103" t="s">
        <v>265</v>
      </c>
      <c r="AA1014" t="str">
        <f>IF(Tabla1[[#This Row],[Kerma en aire acumulada (Gy)]]&gt;1,SUMIF(G:G,Tabla1[[#This Row],[SIP]],I:I)-Tabla1[[#This Row],[Kerma en aire acumulada (Gy)]],"")</f>
        <v/>
      </c>
    </row>
    <row r="1015" spans="3:27">
      <c r="C1015" s="147" t="s">
        <v>1088</v>
      </c>
      <c r="D1015" s="134" t="s">
        <v>2145</v>
      </c>
      <c r="E1015" s="134" t="s">
        <v>2146</v>
      </c>
      <c r="F1015" s="134" t="s">
        <v>2147</v>
      </c>
      <c r="G1015" s="134">
        <v>3554561</v>
      </c>
      <c r="H1015" s="135">
        <v>44615</v>
      </c>
      <c r="I1015" s="134">
        <v>1.9599999999999999E-3</v>
      </c>
      <c r="J1015" s="145"/>
      <c r="K1015" s="145"/>
      <c r="L1015" s="145"/>
      <c r="M1015" s="145"/>
      <c r="N1015" s="145"/>
      <c r="O1015" s="145"/>
      <c r="P1015" s="145"/>
      <c r="Q1015" s="145"/>
      <c r="R1015" s="145"/>
      <c r="S1015" s="145"/>
      <c r="T1015" s="135">
        <v>19403</v>
      </c>
      <c r="U1015" s="145"/>
      <c r="V1015" s="134" t="s">
        <v>1929</v>
      </c>
      <c r="W1015" s="92" t="str">
        <f t="shared" si="84"/>
        <v>Magro Bimbara,José Candido</v>
      </c>
      <c r="X1015" s="95">
        <f t="shared" si="82"/>
        <v>2</v>
      </c>
      <c r="Y1015" s="95">
        <f t="shared" si="83"/>
        <v>2022</v>
      </c>
      <c r="Z1015" s="103" t="s">
        <v>265</v>
      </c>
      <c r="AA1015" t="str">
        <f>IF(Tabla1[[#This Row],[Kerma en aire acumulada (Gy)]]&gt;1,SUMIF(G:G,Tabla1[[#This Row],[SIP]],I:I)-Tabla1[[#This Row],[Kerma en aire acumulada (Gy)]],"")</f>
        <v/>
      </c>
    </row>
    <row r="1016" spans="3:27">
      <c r="C1016" s="147" t="s">
        <v>1088</v>
      </c>
      <c r="D1016" s="134" t="s">
        <v>2148</v>
      </c>
      <c r="E1016" s="134" t="s">
        <v>1587</v>
      </c>
      <c r="F1016" s="134" t="s">
        <v>733</v>
      </c>
      <c r="G1016" s="134">
        <v>3369603</v>
      </c>
      <c r="H1016" s="135">
        <v>44615</v>
      </c>
      <c r="I1016" s="134">
        <v>7.2529999999999997E-2</v>
      </c>
      <c r="J1016" s="145"/>
      <c r="K1016" s="145"/>
      <c r="L1016" s="145"/>
      <c r="M1016" s="145"/>
      <c r="N1016" s="145"/>
      <c r="O1016" s="145"/>
      <c r="P1016" s="145"/>
      <c r="Q1016" s="145"/>
      <c r="R1016" s="145"/>
      <c r="S1016" s="145"/>
      <c r="T1016" s="135">
        <v>22320</v>
      </c>
      <c r="U1016" s="145"/>
      <c r="V1016" s="134" t="s">
        <v>1631</v>
      </c>
      <c r="W1016" s="92" t="str">
        <f t="shared" si="84"/>
        <v>Ponce  Jimenez,Marcelino</v>
      </c>
      <c r="X1016" s="95">
        <f t="shared" si="82"/>
        <v>2</v>
      </c>
      <c r="Y1016" s="95">
        <f t="shared" si="83"/>
        <v>2022</v>
      </c>
      <c r="Z1016" s="103" t="s">
        <v>265</v>
      </c>
      <c r="AA1016" t="str">
        <f>IF(Tabla1[[#This Row],[Kerma en aire acumulada (Gy)]]&gt;1,SUMIF(G:G,Tabla1[[#This Row],[SIP]],I:I)-Tabla1[[#This Row],[Kerma en aire acumulada (Gy)]],"")</f>
        <v/>
      </c>
    </row>
    <row r="1017" spans="3:27">
      <c r="C1017" s="147" t="s">
        <v>1088</v>
      </c>
      <c r="D1017" s="134" t="s">
        <v>15</v>
      </c>
      <c r="E1017" s="134" t="s">
        <v>1176</v>
      </c>
      <c r="F1017" s="134" t="s">
        <v>1664</v>
      </c>
      <c r="G1017" s="134">
        <v>3702102</v>
      </c>
      <c r="H1017" s="135">
        <v>44615</v>
      </c>
      <c r="I1017" s="134">
        <v>5.3269999999999998E-2</v>
      </c>
      <c r="J1017" s="145"/>
      <c r="K1017" s="145"/>
      <c r="L1017" s="145"/>
      <c r="M1017" s="145"/>
      <c r="N1017" s="145"/>
      <c r="O1017" s="145"/>
      <c r="P1017" s="145"/>
      <c r="Q1017" s="145"/>
      <c r="R1017" s="145"/>
      <c r="S1017" s="145"/>
      <c r="T1017" s="135">
        <v>14087</v>
      </c>
      <c r="U1017" s="145"/>
      <c r="V1017" s="134" t="s">
        <v>1233</v>
      </c>
      <c r="W1017" s="92" t="str">
        <f t="shared" si="84"/>
        <v>Moreno Peiro,Dolores</v>
      </c>
      <c r="X1017" s="95">
        <f t="shared" si="82"/>
        <v>2</v>
      </c>
      <c r="Y1017" s="95">
        <f t="shared" si="83"/>
        <v>2022</v>
      </c>
      <c r="Z1017" s="103" t="s">
        <v>265</v>
      </c>
      <c r="AA1017" t="str">
        <f>IF(Tabla1[[#This Row],[Kerma en aire acumulada (Gy)]]&gt;1,SUMIF(G:G,Tabla1[[#This Row],[SIP]],I:I)-Tabla1[[#This Row],[Kerma en aire acumulada (Gy)]],"")</f>
        <v/>
      </c>
    </row>
    <row r="1018" spans="3:27">
      <c r="C1018" s="147" t="s">
        <v>1088</v>
      </c>
      <c r="D1018" s="134" t="s">
        <v>1721</v>
      </c>
      <c r="E1018" s="134" t="s">
        <v>1722</v>
      </c>
      <c r="F1018" s="134" t="s">
        <v>1112</v>
      </c>
      <c r="G1018" s="134">
        <v>2247191</v>
      </c>
      <c r="H1018" s="135">
        <v>44615</v>
      </c>
      <c r="I1018" s="134">
        <v>3.4329999999999999E-2</v>
      </c>
      <c r="J1018" s="145"/>
      <c r="K1018" s="145"/>
      <c r="L1018" s="145"/>
      <c r="M1018" s="145"/>
      <c r="N1018" s="145"/>
      <c r="O1018" s="145"/>
      <c r="P1018" s="145"/>
      <c r="Q1018" s="145"/>
      <c r="R1018" s="145"/>
      <c r="S1018" s="145"/>
      <c r="T1018" s="135">
        <v>16952</v>
      </c>
      <c r="U1018" s="145"/>
      <c r="V1018" s="134" t="s">
        <v>503</v>
      </c>
      <c r="W1018" s="92" t="str">
        <f t="shared" si="84"/>
        <v>Requena Centellas,Ascension</v>
      </c>
      <c r="X1018" s="95">
        <f t="shared" si="82"/>
        <v>2</v>
      </c>
      <c r="Y1018" s="95">
        <f t="shared" si="83"/>
        <v>2022</v>
      </c>
      <c r="Z1018" s="103" t="s">
        <v>265</v>
      </c>
      <c r="AA1018" t="str">
        <f>IF(Tabla1[[#This Row],[Kerma en aire acumulada (Gy)]]&gt;1,SUMIF(G:G,Tabla1[[#This Row],[SIP]],I:I)-Tabla1[[#This Row],[Kerma en aire acumulada (Gy)]],"")</f>
        <v/>
      </c>
    </row>
    <row r="1019" spans="3:27">
      <c r="C1019" s="147" t="s">
        <v>1088</v>
      </c>
      <c r="D1019" s="134" t="s">
        <v>497</v>
      </c>
      <c r="E1019" s="134" t="s">
        <v>90</v>
      </c>
      <c r="F1019" s="134" t="s">
        <v>91</v>
      </c>
      <c r="G1019" s="134">
        <v>3130505</v>
      </c>
      <c r="H1019" s="135">
        <v>44615</v>
      </c>
      <c r="I1019" s="134">
        <v>1.26346</v>
      </c>
      <c r="J1019" s="145"/>
      <c r="K1019" s="145"/>
      <c r="L1019" s="145"/>
      <c r="M1019" s="145"/>
      <c r="N1019" s="145"/>
      <c r="O1019" s="145"/>
      <c r="P1019" s="145"/>
      <c r="Q1019" s="145"/>
      <c r="R1019" s="145"/>
      <c r="S1019" s="145"/>
      <c r="T1019" s="135">
        <v>13085</v>
      </c>
      <c r="U1019" s="145"/>
      <c r="V1019" s="134" t="s">
        <v>2159</v>
      </c>
      <c r="W1019" s="92" t="str">
        <f t="shared" si="84"/>
        <v>Patiño Nieto,Donato</v>
      </c>
      <c r="X1019" s="95">
        <f t="shared" si="82"/>
        <v>2</v>
      </c>
      <c r="Y1019" s="95">
        <f t="shared" si="83"/>
        <v>2022</v>
      </c>
      <c r="Z1019" s="103" t="s">
        <v>265</v>
      </c>
      <c r="AA1019">
        <f>IF(Tabla1[[#This Row],[Kerma en aire acumulada (Gy)]]&gt;1,SUMIF(G:G,Tabla1[[#This Row],[SIP]],I:I)-Tabla1[[#This Row],[Kerma en aire acumulada (Gy)]],"")</f>
        <v>3.9177799999999996</v>
      </c>
    </row>
    <row r="1020" spans="3:27">
      <c r="C1020" s="147" t="s">
        <v>1088</v>
      </c>
      <c r="D1020" s="134" t="s">
        <v>1288</v>
      </c>
      <c r="E1020" s="134" t="s">
        <v>891</v>
      </c>
      <c r="F1020" s="134" t="s">
        <v>20</v>
      </c>
      <c r="G1020" s="134">
        <v>3188557</v>
      </c>
      <c r="H1020" s="135">
        <v>44615</v>
      </c>
      <c r="I1020" s="134">
        <v>1.53488</v>
      </c>
      <c r="J1020" s="145"/>
      <c r="K1020" s="145"/>
      <c r="L1020" s="145"/>
      <c r="M1020" s="145"/>
      <c r="N1020" s="145"/>
      <c r="O1020" s="145"/>
      <c r="P1020" s="145"/>
      <c r="Q1020" s="145"/>
      <c r="R1020" s="145"/>
      <c r="S1020" s="145"/>
      <c r="T1020" s="135">
        <v>16006</v>
      </c>
      <c r="U1020" s="145"/>
      <c r="V1020" s="134" t="s">
        <v>1635</v>
      </c>
      <c r="W1020" s="92" t="str">
        <f t="shared" si="84"/>
        <v>Castello Morales,Antonio</v>
      </c>
      <c r="X1020" s="95">
        <f t="shared" si="82"/>
        <v>2</v>
      </c>
      <c r="Y1020" s="95">
        <f t="shared" si="83"/>
        <v>2022</v>
      </c>
      <c r="Z1020" s="103" t="s">
        <v>265</v>
      </c>
      <c r="AA1020">
        <f>IF(Tabla1[[#This Row],[Kerma en aire acumulada (Gy)]]&gt;1,SUMIF(G:G,Tabla1[[#This Row],[SIP]],I:I)-Tabla1[[#This Row],[Kerma en aire acumulada (Gy)]],"")</f>
        <v>0</v>
      </c>
    </row>
    <row r="1021" spans="3:27">
      <c r="C1021" s="147" t="s">
        <v>1088</v>
      </c>
      <c r="D1021" s="134" t="s">
        <v>945</v>
      </c>
      <c r="E1021" s="134" t="s">
        <v>47</v>
      </c>
      <c r="F1021" s="134" t="s">
        <v>733</v>
      </c>
      <c r="G1021" s="134">
        <v>3369603</v>
      </c>
      <c r="H1021" s="135">
        <v>44616</v>
      </c>
      <c r="I1021" s="134">
        <v>2.75E-2</v>
      </c>
      <c r="J1021" s="145"/>
      <c r="K1021" s="145"/>
      <c r="L1021" s="145"/>
      <c r="M1021" s="145"/>
      <c r="N1021" s="145"/>
      <c r="O1021" s="145"/>
      <c r="P1021" s="145"/>
      <c r="Q1021" s="145"/>
      <c r="R1021" s="145"/>
      <c r="S1021" s="145"/>
      <c r="T1021" s="135">
        <v>22320</v>
      </c>
      <c r="U1021" s="145"/>
      <c r="V1021" s="134" t="s">
        <v>2096</v>
      </c>
      <c r="W1021" s="92" t="str">
        <f t="shared" si="84"/>
        <v>Ponce Jiménez,Marcelino</v>
      </c>
      <c r="X1021" s="95">
        <f t="shared" si="82"/>
        <v>2</v>
      </c>
      <c r="Y1021" s="95">
        <f t="shared" si="83"/>
        <v>2022</v>
      </c>
      <c r="Z1021" s="103" t="s">
        <v>265</v>
      </c>
      <c r="AA1021" t="str">
        <f>IF(Tabla1[[#This Row],[Kerma en aire acumulada (Gy)]]&gt;1,SUMIF(G:G,Tabla1[[#This Row],[SIP]],I:I)-Tabla1[[#This Row],[Kerma en aire acumulada (Gy)]],"")</f>
        <v/>
      </c>
    </row>
    <row r="1022" spans="3:27">
      <c r="C1022" s="147" t="s">
        <v>1088</v>
      </c>
      <c r="D1022" s="134" t="s">
        <v>2236</v>
      </c>
      <c r="E1022" s="134" t="s">
        <v>1756</v>
      </c>
      <c r="F1022" s="134" t="s">
        <v>83</v>
      </c>
      <c r="G1022" s="134">
        <v>2345540</v>
      </c>
      <c r="H1022" s="135">
        <v>44616</v>
      </c>
      <c r="I1022" s="134">
        <v>5.3600000000000002E-2</v>
      </c>
      <c r="J1022" s="145"/>
      <c r="K1022" s="145"/>
      <c r="L1022" s="145"/>
      <c r="M1022" s="145"/>
      <c r="N1022" s="145"/>
      <c r="O1022" s="145"/>
      <c r="P1022" s="145"/>
      <c r="Q1022" s="145"/>
      <c r="R1022" s="145"/>
      <c r="S1022" s="145"/>
      <c r="T1022" s="135">
        <v>25165</v>
      </c>
      <c r="U1022" s="145"/>
      <c r="V1022" s="134" t="s">
        <v>552</v>
      </c>
      <c r="W1022" s="92" t="str">
        <f t="shared" si="84"/>
        <v>Arevalo Aguilar,Francisco</v>
      </c>
      <c r="X1022" s="95">
        <f t="shared" si="82"/>
        <v>2</v>
      </c>
      <c r="Y1022" s="95">
        <f t="shared" si="83"/>
        <v>2022</v>
      </c>
      <c r="Z1022" s="103" t="s">
        <v>265</v>
      </c>
      <c r="AA1022" t="str">
        <f>IF(Tabla1[[#This Row],[Kerma en aire acumulada (Gy)]]&gt;1,SUMIF(G:G,Tabla1[[#This Row],[SIP]],I:I)-Tabla1[[#This Row],[Kerma en aire acumulada (Gy)]],"")</f>
        <v/>
      </c>
    </row>
    <row r="1023" spans="3:27">
      <c r="C1023" s="147" t="s">
        <v>1088</v>
      </c>
      <c r="D1023" s="134" t="s">
        <v>93</v>
      </c>
      <c r="E1023" s="134" t="s">
        <v>1001</v>
      </c>
      <c r="F1023" s="134" t="s">
        <v>1238</v>
      </c>
      <c r="G1023" s="134">
        <v>3194477</v>
      </c>
      <c r="H1023" s="135">
        <v>44616</v>
      </c>
      <c r="I1023" s="134">
        <v>7.3299999999999997E-3</v>
      </c>
      <c r="J1023" s="145"/>
      <c r="K1023" s="145"/>
      <c r="L1023" s="145"/>
      <c r="M1023" s="145"/>
      <c r="N1023" s="145"/>
      <c r="O1023" s="145"/>
      <c r="P1023" s="145"/>
      <c r="Q1023" s="145"/>
      <c r="R1023" s="145"/>
      <c r="S1023" s="145"/>
      <c r="T1023" s="135">
        <v>18428</v>
      </c>
      <c r="U1023" s="145"/>
      <c r="V1023" s="134" t="s">
        <v>503</v>
      </c>
      <c r="W1023" s="92" t="str">
        <f t="shared" si="84"/>
        <v>Piorno Perez,Angel</v>
      </c>
      <c r="X1023" s="95">
        <f t="shared" si="82"/>
        <v>2</v>
      </c>
      <c r="Y1023" s="95">
        <f t="shared" si="83"/>
        <v>2022</v>
      </c>
      <c r="Z1023" s="103" t="s">
        <v>265</v>
      </c>
      <c r="AA1023" t="str">
        <f>IF(Tabla1[[#This Row],[Kerma en aire acumulada (Gy)]]&gt;1,SUMIF(G:G,Tabla1[[#This Row],[SIP]],I:I)-Tabla1[[#This Row],[Kerma en aire acumulada (Gy)]],"")</f>
        <v/>
      </c>
    </row>
    <row r="1024" spans="3:27">
      <c r="C1024" s="147" t="s">
        <v>1088</v>
      </c>
      <c r="D1024" s="134" t="s">
        <v>2193</v>
      </c>
      <c r="E1024" s="134" t="s">
        <v>15</v>
      </c>
      <c r="F1024" s="134" t="s">
        <v>71</v>
      </c>
      <c r="G1024" s="134">
        <v>3307148</v>
      </c>
      <c r="H1024" s="135">
        <v>44616</v>
      </c>
      <c r="I1024" s="134">
        <v>9.8199999999999996E-2</v>
      </c>
      <c r="J1024" s="145"/>
      <c r="K1024" s="145"/>
      <c r="L1024" s="145"/>
      <c r="M1024" s="145"/>
      <c r="N1024" s="145"/>
      <c r="O1024" s="145"/>
      <c r="P1024" s="145"/>
      <c r="Q1024" s="145"/>
      <c r="R1024" s="145"/>
      <c r="S1024" s="145"/>
      <c r="T1024" s="135">
        <v>23515</v>
      </c>
      <c r="U1024" s="145"/>
      <c r="V1024" s="134" t="s">
        <v>1233</v>
      </c>
      <c r="W1024" s="92" t="str">
        <f t="shared" si="84"/>
        <v>Calvillo Moreno,Rafael</v>
      </c>
      <c r="X1024" s="95">
        <f t="shared" si="82"/>
        <v>2</v>
      </c>
      <c r="Y1024" s="95">
        <f t="shared" si="83"/>
        <v>2022</v>
      </c>
      <c r="Z1024" s="103" t="s">
        <v>265</v>
      </c>
      <c r="AA1024" t="str">
        <f>IF(Tabla1[[#This Row],[Kerma en aire acumulada (Gy)]]&gt;1,SUMIF(G:G,Tabla1[[#This Row],[SIP]],I:I)-Tabla1[[#This Row],[Kerma en aire acumulada (Gy)]],"")</f>
        <v/>
      </c>
    </row>
    <row r="1025" spans="3:27">
      <c r="C1025" s="147" t="s">
        <v>1088</v>
      </c>
      <c r="D1025" s="134" t="s">
        <v>2244</v>
      </c>
      <c r="E1025" s="134" t="s">
        <v>1968</v>
      </c>
      <c r="F1025" s="134" t="s">
        <v>2245</v>
      </c>
      <c r="G1025" s="134">
        <v>5427111</v>
      </c>
      <c r="H1025" s="135">
        <v>44616</v>
      </c>
      <c r="I1025" s="134">
        <v>2.3949999999999999E-2</v>
      </c>
      <c r="J1025" s="145"/>
      <c r="K1025" s="145"/>
      <c r="L1025" s="145"/>
      <c r="M1025" s="145"/>
      <c r="N1025" s="145"/>
      <c r="O1025" s="145"/>
      <c r="P1025" s="145"/>
      <c r="Q1025" s="145"/>
      <c r="R1025" s="145"/>
      <c r="S1025" s="145"/>
      <c r="T1025" s="135">
        <v>23267</v>
      </c>
      <c r="U1025" s="145"/>
      <c r="V1025" s="134" t="s">
        <v>2237</v>
      </c>
      <c r="W1025" s="92" t="str">
        <f t="shared" si="84"/>
        <v>Ceruti Bermudez,Alfonso Mauricio</v>
      </c>
      <c r="X1025" s="95">
        <f t="shared" si="82"/>
        <v>2</v>
      </c>
      <c r="Y1025" s="95">
        <f t="shared" si="83"/>
        <v>2022</v>
      </c>
      <c r="Z1025" s="136" t="s">
        <v>2238</v>
      </c>
      <c r="AA1025" t="str">
        <f>IF(Tabla1[[#This Row],[Kerma en aire acumulada (Gy)]]&gt;1,SUMIF(G:G,Tabla1[[#This Row],[SIP]],I:I)-Tabla1[[#This Row],[Kerma en aire acumulada (Gy)]],"")</f>
        <v/>
      </c>
    </row>
    <row r="1026" spans="3:27">
      <c r="C1026" s="147" t="s">
        <v>1088</v>
      </c>
      <c r="D1026" s="134" t="s">
        <v>1001</v>
      </c>
      <c r="E1026" s="134" t="s">
        <v>2202</v>
      </c>
      <c r="F1026" s="134" t="s">
        <v>2203</v>
      </c>
      <c r="G1026" s="134">
        <v>7346940</v>
      </c>
      <c r="H1026" s="135">
        <v>44617</v>
      </c>
      <c r="I1026" s="134">
        <v>8.8000000000000003E-4</v>
      </c>
      <c r="J1026" s="145"/>
      <c r="K1026" s="145"/>
      <c r="L1026" s="145"/>
      <c r="M1026" s="145"/>
      <c r="N1026" s="145"/>
      <c r="O1026" s="145"/>
      <c r="P1026" s="145"/>
      <c r="Q1026" s="145"/>
      <c r="R1026" s="145"/>
      <c r="S1026" s="145"/>
      <c r="T1026" s="135">
        <v>35302</v>
      </c>
      <c r="U1026" s="145"/>
      <c r="V1026" s="134" t="s">
        <v>1929</v>
      </c>
      <c r="W1026" s="92" t="str">
        <f t="shared" si="84"/>
        <v>Perez Pestouire,Marina</v>
      </c>
      <c r="X1026" s="95">
        <f t="shared" si="82"/>
        <v>2</v>
      </c>
      <c r="Y1026" s="95">
        <f t="shared" si="83"/>
        <v>2022</v>
      </c>
      <c r="Z1026" s="103" t="s">
        <v>265</v>
      </c>
      <c r="AA1026" t="str">
        <f>IF(Tabla1[[#This Row],[Kerma en aire acumulada (Gy)]]&gt;1,SUMIF(G:G,Tabla1[[#This Row],[SIP]],I:I)-Tabla1[[#This Row],[Kerma en aire acumulada (Gy)]],"")</f>
        <v/>
      </c>
    </row>
    <row r="1027" spans="3:27">
      <c r="C1027" s="147" t="s">
        <v>1088</v>
      </c>
      <c r="D1027" s="134" t="s">
        <v>2233</v>
      </c>
      <c r="E1027" s="134" t="s">
        <v>2232</v>
      </c>
      <c r="F1027" s="134" t="s">
        <v>1664</v>
      </c>
      <c r="G1027" s="134">
        <v>1912468</v>
      </c>
      <c r="H1027" s="135">
        <v>44617</v>
      </c>
      <c r="I1027" s="134">
        <v>0.38107999999999997</v>
      </c>
      <c r="J1027" s="145"/>
      <c r="K1027" s="145"/>
      <c r="L1027" s="145"/>
      <c r="M1027" s="145"/>
      <c r="N1027" s="145"/>
      <c r="O1027" s="145"/>
      <c r="P1027" s="145"/>
      <c r="Q1027" s="145"/>
      <c r="R1027" s="145"/>
      <c r="S1027" s="145"/>
      <c r="T1027" s="135">
        <v>19869</v>
      </c>
      <c r="U1027" s="145"/>
      <c r="V1027" s="134" t="s">
        <v>550</v>
      </c>
      <c r="W1027" s="92" t="str">
        <f t="shared" si="84"/>
        <v>Fernandez  Mestre,Dolores</v>
      </c>
      <c r="X1027" s="95">
        <f t="shared" si="82"/>
        <v>2</v>
      </c>
      <c r="Y1027" s="95">
        <f t="shared" si="83"/>
        <v>2022</v>
      </c>
      <c r="Z1027" s="103" t="s">
        <v>265</v>
      </c>
      <c r="AA1027" t="str">
        <f>IF(Tabla1[[#This Row],[Kerma en aire acumulada (Gy)]]&gt;1,SUMIF(G:G,Tabla1[[#This Row],[SIP]],I:I)-Tabla1[[#This Row],[Kerma en aire acumulada (Gy)]],"")</f>
        <v/>
      </c>
    </row>
    <row r="1028" spans="3:27">
      <c r="C1028" s="147" t="s">
        <v>1088</v>
      </c>
      <c r="D1028" s="134" t="s">
        <v>1012</v>
      </c>
      <c r="E1028" s="134" t="s">
        <v>1009</v>
      </c>
      <c r="F1028" s="134" t="s">
        <v>2234</v>
      </c>
      <c r="G1028" s="134">
        <v>4733146</v>
      </c>
      <c r="H1028" s="135">
        <v>44617</v>
      </c>
      <c r="I1028" s="134">
        <v>1.92659</v>
      </c>
      <c r="J1028" s="145"/>
      <c r="K1028" s="145"/>
      <c r="L1028" s="145"/>
      <c r="M1028" s="145"/>
      <c r="N1028" s="145"/>
      <c r="O1028" s="145"/>
      <c r="P1028" s="145"/>
      <c r="Q1028" s="145"/>
      <c r="R1028" s="145"/>
      <c r="S1028" s="145"/>
      <c r="T1028" s="135">
        <v>23943</v>
      </c>
      <c r="U1028" s="145"/>
      <c r="V1028" s="134" t="s">
        <v>175</v>
      </c>
      <c r="W1028" s="92" t="str">
        <f t="shared" si="84"/>
        <v>Ros Fernandez,Jose Carlos</v>
      </c>
      <c r="X1028" s="95">
        <f t="shared" si="82"/>
        <v>2</v>
      </c>
      <c r="Y1028" s="95">
        <f t="shared" si="83"/>
        <v>2022</v>
      </c>
      <c r="Z1028" s="103" t="s">
        <v>265</v>
      </c>
      <c r="AA1028">
        <f>IF(Tabla1[[#This Row],[Kerma en aire acumulada (Gy)]]&gt;1,SUMIF(G:G,Tabla1[[#This Row],[SIP]],I:I)-Tabla1[[#This Row],[Kerma en aire acumulada (Gy)]],"")</f>
        <v>0</v>
      </c>
    </row>
    <row r="1029" spans="3:27">
      <c r="C1029" s="147" t="s">
        <v>1088</v>
      </c>
      <c r="D1029" s="134" t="s">
        <v>368</v>
      </c>
      <c r="E1029" s="134" t="s">
        <v>2235</v>
      </c>
      <c r="F1029" s="134" t="s">
        <v>818</v>
      </c>
      <c r="G1029" s="134">
        <v>3335665</v>
      </c>
      <c r="H1029" s="135">
        <v>44617</v>
      </c>
      <c r="I1029" s="134">
        <v>6.3800000000000003E-3</v>
      </c>
      <c r="J1029" s="145"/>
      <c r="K1029" s="145"/>
      <c r="L1029" s="145"/>
      <c r="M1029" s="145"/>
      <c r="N1029" s="145"/>
      <c r="O1029" s="145"/>
      <c r="P1029" s="145"/>
      <c r="Q1029" s="145"/>
      <c r="R1029" s="145"/>
      <c r="S1029" s="145"/>
      <c r="T1029" s="135">
        <v>18784</v>
      </c>
      <c r="U1029" s="145"/>
      <c r="V1029" s="134" t="s">
        <v>2079</v>
      </c>
      <c r="W1029" s="92" t="str">
        <f t="shared" si="84"/>
        <v>García Herranz,Luisa</v>
      </c>
      <c r="X1029" s="95">
        <f t="shared" si="82"/>
        <v>2</v>
      </c>
      <c r="Y1029" s="95">
        <f t="shared" si="83"/>
        <v>2022</v>
      </c>
      <c r="Z1029" s="103" t="s">
        <v>265</v>
      </c>
      <c r="AA1029" t="str">
        <f>IF(Tabla1[[#This Row],[Kerma en aire acumulada (Gy)]]&gt;1,SUMIF(G:G,Tabla1[[#This Row],[SIP]],I:I)-Tabla1[[#This Row],[Kerma en aire acumulada (Gy)]],"")</f>
        <v/>
      </c>
    </row>
    <row r="1030" spans="3:27">
      <c r="C1030" s="147" t="s">
        <v>1088</v>
      </c>
      <c r="D1030" s="134" t="s">
        <v>622</v>
      </c>
      <c r="E1030" s="134" t="s">
        <v>631</v>
      </c>
      <c r="F1030" s="134" t="s">
        <v>2243</v>
      </c>
      <c r="G1030" s="134">
        <v>2153654</v>
      </c>
      <c r="H1030" s="135">
        <v>44617</v>
      </c>
      <c r="I1030" s="134">
        <v>6.404E-2</v>
      </c>
      <c r="J1030" s="145"/>
      <c r="K1030" s="145"/>
      <c r="L1030" s="145"/>
      <c r="M1030" s="145"/>
      <c r="N1030" s="145"/>
      <c r="O1030" s="145"/>
      <c r="P1030" s="145"/>
      <c r="Q1030" s="145"/>
      <c r="R1030" s="145"/>
      <c r="S1030" s="145"/>
      <c r="T1030" s="135">
        <v>28482</v>
      </c>
      <c r="U1030" s="145"/>
      <c r="V1030" s="134" t="s">
        <v>2237</v>
      </c>
      <c r="W1030" s="92" t="str">
        <f t="shared" si="84"/>
        <v>Villena Molina,Elihu</v>
      </c>
      <c r="X1030" s="95">
        <f t="shared" si="82"/>
        <v>2</v>
      </c>
      <c r="Y1030" s="95">
        <f t="shared" si="83"/>
        <v>2022</v>
      </c>
      <c r="Z1030" s="136" t="s">
        <v>2238</v>
      </c>
      <c r="AA1030" t="str">
        <f>IF(Tabla1[[#This Row],[Kerma en aire acumulada (Gy)]]&gt;1,SUMIF(G:G,Tabla1[[#This Row],[SIP]],I:I)-Tabla1[[#This Row],[Kerma en aire acumulada (Gy)]],"")</f>
        <v/>
      </c>
    </row>
    <row r="1031" spans="3:27">
      <c r="C1031" s="147" t="s">
        <v>1088</v>
      </c>
      <c r="D1031" s="134" t="s">
        <v>1009</v>
      </c>
      <c r="E1031" s="134" t="s">
        <v>2232</v>
      </c>
      <c r="F1031" s="134" t="s">
        <v>1664</v>
      </c>
      <c r="G1031" s="134">
        <v>1912468</v>
      </c>
      <c r="H1031" s="135">
        <v>44618</v>
      </c>
      <c r="I1031" s="134">
        <v>1.8689999999999998E-2</v>
      </c>
      <c r="J1031" s="145"/>
      <c r="K1031" s="145"/>
      <c r="L1031" s="145"/>
      <c r="M1031" s="145"/>
      <c r="N1031" s="145"/>
      <c r="O1031" s="145"/>
      <c r="P1031" s="145"/>
      <c r="Q1031" s="145"/>
      <c r="R1031" s="145"/>
      <c r="S1031" s="145"/>
      <c r="T1031" s="135">
        <v>19869</v>
      </c>
      <c r="U1031" s="145"/>
      <c r="V1031" s="134" t="s">
        <v>1653</v>
      </c>
      <c r="W1031" s="92" t="str">
        <f t="shared" si="84"/>
        <v>Fernandez Mestre,Dolores</v>
      </c>
      <c r="X1031" s="95">
        <f t="shared" si="82"/>
        <v>2</v>
      </c>
      <c r="Y1031" s="95">
        <f t="shared" si="83"/>
        <v>2022</v>
      </c>
      <c r="Z1031" s="103" t="s">
        <v>265</v>
      </c>
      <c r="AA1031" t="str">
        <f>IF(Tabla1[[#This Row],[Kerma en aire acumulada (Gy)]]&gt;1,SUMIF(G:G,Tabla1[[#This Row],[SIP]],I:I)-Tabla1[[#This Row],[Kerma en aire acumulada (Gy)]],"")</f>
        <v/>
      </c>
    </row>
    <row r="1032" spans="3:27">
      <c r="C1032" s="147" t="s">
        <v>1088</v>
      </c>
      <c r="D1032" s="134" t="s">
        <v>2199</v>
      </c>
      <c r="E1032" s="134" t="s">
        <v>2200</v>
      </c>
      <c r="F1032" s="134" t="s">
        <v>693</v>
      </c>
      <c r="G1032" s="134">
        <v>381347</v>
      </c>
      <c r="H1032" s="135">
        <v>44620</v>
      </c>
      <c r="I1032" s="134">
        <v>0.31526999999999999</v>
      </c>
      <c r="J1032" s="145"/>
      <c r="K1032" s="145"/>
      <c r="L1032" s="145"/>
      <c r="M1032" s="145"/>
      <c r="N1032" s="145"/>
      <c r="O1032" s="145"/>
      <c r="P1032" s="145"/>
      <c r="Q1032" s="145"/>
      <c r="R1032" s="145"/>
      <c r="S1032" s="145"/>
      <c r="T1032" s="135">
        <v>24950</v>
      </c>
      <c r="U1032" s="145"/>
      <c r="V1032" s="134" t="s">
        <v>2201</v>
      </c>
      <c r="W1032" s="92" t="str">
        <f t="shared" si="84"/>
        <v>Galiana Blanes,Silvia</v>
      </c>
      <c r="X1032" s="95">
        <f t="shared" si="82"/>
        <v>2</v>
      </c>
      <c r="Y1032" s="95">
        <f t="shared" si="83"/>
        <v>2022</v>
      </c>
      <c r="Z1032" s="103" t="s">
        <v>265</v>
      </c>
      <c r="AA1032" t="str">
        <f>IF(Tabla1[[#This Row],[Kerma en aire acumulada (Gy)]]&gt;1,SUMIF(G:G,Tabla1[[#This Row],[SIP]],I:I)-Tabla1[[#This Row],[Kerma en aire acumulada (Gy)]],"")</f>
        <v/>
      </c>
    </row>
    <row r="1033" spans="3:27">
      <c r="C1033" s="147" t="s">
        <v>1088</v>
      </c>
      <c r="D1033" s="134" t="s">
        <v>2100</v>
      </c>
      <c r="E1033" s="134" t="s">
        <v>88</v>
      </c>
      <c r="F1033" s="134" t="s">
        <v>20</v>
      </c>
      <c r="G1033" s="134">
        <v>2664111</v>
      </c>
      <c r="H1033" s="135">
        <v>44620</v>
      </c>
      <c r="I1033" s="134">
        <v>0.78620000000000001</v>
      </c>
      <c r="J1033" s="145"/>
      <c r="K1033" s="145"/>
      <c r="L1033" s="145"/>
      <c r="M1033" s="145"/>
      <c r="N1033" s="145"/>
      <c r="O1033" s="145"/>
      <c r="P1033" s="145"/>
      <c r="Q1033" s="145"/>
      <c r="R1033" s="145"/>
      <c r="S1033" s="145"/>
      <c r="T1033" s="135">
        <v>13675</v>
      </c>
      <c r="U1033" s="145"/>
      <c r="V1033" s="134" t="s">
        <v>118</v>
      </c>
      <c r="W1033" s="92" t="str">
        <f t="shared" si="84"/>
        <v>Montesinos Vicente,Antonio</v>
      </c>
      <c r="X1033" s="95">
        <f t="shared" si="82"/>
        <v>2</v>
      </c>
      <c r="Y1033" s="95">
        <f t="shared" si="83"/>
        <v>2022</v>
      </c>
      <c r="Z1033" s="103" t="s">
        <v>265</v>
      </c>
      <c r="AA1033" t="str">
        <f>IF(Tabla1[[#This Row],[Kerma en aire acumulada (Gy)]]&gt;1,SUMIF(G:G,Tabla1[[#This Row],[SIP]],I:I)-Tabla1[[#This Row],[Kerma en aire acumulada (Gy)]],"")</f>
        <v/>
      </c>
    </row>
    <row r="1034" spans="3:27">
      <c r="C1034" s="147" t="s">
        <v>1088</v>
      </c>
      <c r="D1034" s="134" t="s">
        <v>2100</v>
      </c>
      <c r="E1034" s="134" t="s">
        <v>88</v>
      </c>
      <c r="F1034" s="134" t="s">
        <v>20</v>
      </c>
      <c r="G1034" s="134">
        <v>2664111</v>
      </c>
      <c r="H1034" s="135">
        <v>44620</v>
      </c>
      <c r="I1034" s="134">
        <v>0.89471000000000001</v>
      </c>
      <c r="J1034" s="145"/>
      <c r="K1034" s="145"/>
      <c r="L1034" s="145"/>
      <c r="M1034" s="145"/>
      <c r="N1034" s="145"/>
      <c r="O1034" s="145"/>
      <c r="P1034" s="145"/>
      <c r="Q1034" s="145"/>
      <c r="R1034" s="145"/>
      <c r="S1034" s="145"/>
      <c r="T1034" s="135">
        <v>13675</v>
      </c>
      <c r="U1034" s="145"/>
      <c r="V1034" s="134" t="s">
        <v>1132</v>
      </c>
      <c r="W1034" s="92" t="str">
        <f t="shared" si="84"/>
        <v>Montesinos Vicente,Antonio</v>
      </c>
      <c r="X1034" s="95">
        <f t="shared" si="82"/>
        <v>2</v>
      </c>
      <c r="Y1034" s="95">
        <f t="shared" si="83"/>
        <v>2022</v>
      </c>
      <c r="Z1034" s="103" t="s">
        <v>265</v>
      </c>
      <c r="AA1034" t="str">
        <f>IF(Tabla1[[#This Row],[Kerma en aire acumulada (Gy)]]&gt;1,SUMIF(G:G,Tabla1[[#This Row],[SIP]],I:I)-Tabla1[[#This Row],[Kerma en aire acumulada (Gy)]],"")</f>
        <v/>
      </c>
    </row>
    <row r="1035" spans="3:27">
      <c r="C1035" s="147" t="s">
        <v>1088</v>
      </c>
      <c r="D1035" s="134" t="s">
        <v>2228</v>
      </c>
      <c r="E1035" s="134"/>
      <c r="F1035" s="134" t="s">
        <v>2229</v>
      </c>
      <c r="G1035" s="134">
        <v>6090910</v>
      </c>
      <c r="H1035" s="135">
        <v>44620</v>
      </c>
      <c r="I1035" s="134">
        <v>0.17019000000000001</v>
      </c>
      <c r="J1035" s="145"/>
      <c r="K1035" s="145"/>
      <c r="L1035" s="145"/>
      <c r="M1035" s="145"/>
      <c r="N1035" s="145"/>
      <c r="O1035" s="145"/>
      <c r="P1035" s="145"/>
      <c r="Q1035" s="145"/>
      <c r="R1035" s="145"/>
      <c r="S1035" s="145"/>
      <c r="T1035" s="135">
        <v>30677</v>
      </c>
      <c r="U1035" s="145"/>
      <c r="V1035" s="134" t="s">
        <v>107</v>
      </c>
      <c r="W1035" s="92" t="str">
        <f t="shared" si="84"/>
        <v>Geonete ,Stefania</v>
      </c>
      <c r="X1035" s="95">
        <f t="shared" si="82"/>
        <v>2</v>
      </c>
      <c r="Y1035" s="95">
        <f t="shared" si="83"/>
        <v>2022</v>
      </c>
      <c r="Z1035" s="103" t="s">
        <v>265</v>
      </c>
      <c r="AA1035" t="str">
        <f>IF(Tabla1[[#This Row],[Kerma en aire acumulada (Gy)]]&gt;1,SUMIF(G:G,Tabla1[[#This Row],[SIP]],I:I)-Tabla1[[#This Row],[Kerma en aire acumulada (Gy)]],"")</f>
        <v/>
      </c>
    </row>
    <row r="1036" spans="3:27">
      <c r="C1036" s="147" t="s">
        <v>1088</v>
      </c>
      <c r="D1036" s="134" t="s">
        <v>2171</v>
      </c>
      <c r="E1036" s="134" t="s">
        <v>2230</v>
      </c>
      <c r="F1036" s="134" t="s">
        <v>2231</v>
      </c>
      <c r="G1036" s="134">
        <v>3279314</v>
      </c>
      <c r="H1036" s="135">
        <v>44620</v>
      </c>
      <c r="I1036" s="134">
        <v>6.8339999999999998E-2</v>
      </c>
      <c r="J1036" s="145"/>
      <c r="K1036" s="145"/>
      <c r="L1036" s="145"/>
      <c r="M1036" s="145"/>
      <c r="N1036" s="145"/>
      <c r="O1036" s="145"/>
      <c r="P1036" s="145"/>
      <c r="Q1036" s="145"/>
      <c r="R1036" s="145"/>
      <c r="S1036" s="145"/>
      <c r="T1036" s="135">
        <v>26971</v>
      </c>
      <c r="U1036" s="145"/>
      <c r="V1036" s="134" t="s">
        <v>2201</v>
      </c>
      <c r="W1036" s="92" t="str">
        <f t="shared" si="84"/>
        <v>Suarez Lago,Lorena</v>
      </c>
      <c r="X1036" s="95">
        <f t="shared" si="82"/>
        <v>2</v>
      </c>
      <c r="Y1036" s="95">
        <f t="shared" si="83"/>
        <v>2022</v>
      </c>
      <c r="Z1036" s="103" t="s">
        <v>265</v>
      </c>
      <c r="AA1036" t="str">
        <f>IF(Tabla1[[#This Row],[Kerma en aire acumulada (Gy)]]&gt;1,SUMIF(G:G,Tabla1[[#This Row],[SIP]],I:I)-Tabla1[[#This Row],[Kerma en aire acumulada (Gy)]],"")</f>
        <v/>
      </c>
    </row>
    <row r="1037" spans="3:27">
      <c r="C1037" s="147" t="s">
        <v>1088</v>
      </c>
      <c r="D1037" s="134" t="s">
        <v>960</v>
      </c>
      <c r="E1037" s="134" t="s">
        <v>2242</v>
      </c>
      <c r="F1037" s="134" t="s">
        <v>28</v>
      </c>
      <c r="G1037" s="134">
        <v>2180527</v>
      </c>
      <c r="H1037" s="135">
        <v>44620</v>
      </c>
      <c r="I1037" s="134">
        <v>2.4160000000000001E-2</v>
      </c>
      <c r="J1037" s="145"/>
      <c r="K1037" s="145"/>
      <c r="L1037" s="145"/>
      <c r="M1037" s="145"/>
      <c r="N1037" s="145"/>
      <c r="O1037" s="145"/>
      <c r="P1037" s="145"/>
      <c r="Q1037" s="145"/>
      <c r="R1037" s="145"/>
      <c r="S1037" s="145"/>
      <c r="T1037" s="135">
        <v>13861</v>
      </c>
      <c r="U1037" s="145"/>
      <c r="V1037" s="134" t="s">
        <v>2241</v>
      </c>
      <c r="W1037" s="92" t="str">
        <f t="shared" si="84"/>
        <v>Lopez De la Camara,Josefa</v>
      </c>
      <c r="X1037" s="95">
        <f t="shared" si="82"/>
        <v>2</v>
      </c>
      <c r="Y1037" s="95">
        <f t="shared" si="83"/>
        <v>2022</v>
      </c>
      <c r="Z1037" s="136" t="s">
        <v>2238</v>
      </c>
      <c r="AA1037" t="str">
        <f>IF(Tabla1[[#This Row],[Kerma en aire acumulada (Gy)]]&gt;1,SUMIF(G:G,Tabla1[[#This Row],[SIP]],I:I)-Tabla1[[#This Row],[Kerma en aire acumulada (Gy)]],"")</f>
        <v/>
      </c>
    </row>
    <row r="1038" spans="3:27">
      <c r="C1038" s="147" t="s">
        <v>1088</v>
      </c>
      <c r="D1038" s="134" t="s">
        <v>1138</v>
      </c>
      <c r="E1038" s="134" t="s">
        <v>2198</v>
      </c>
      <c r="F1038" s="134" t="s">
        <v>1139</v>
      </c>
      <c r="G1038" s="134">
        <v>3018034</v>
      </c>
      <c r="H1038" s="135">
        <v>44621</v>
      </c>
      <c r="I1038" s="134">
        <v>8.0110000000000001E-2</v>
      </c>
      <c r="J1038" s="145"/>
      <c r="K1038" s="145"/>
      <c r="L1038" s="145"/>
      <c r="M1038" s="145"/>
      <c r="N1038" s="145"/>
      <c r="O1038" s="145"/>
      <c r="P1038" s="145"/>
      <c r="Q1038" s="145"/>
      <c r="R1038" s="145"/>
      <c r="S1038" s="145"/>
      <c r="T1038" s="135">
        <v>21588</v>
      </c>
      <c r="U1038" s="145"/>
      <c r="V1038" s="134" t="s">
        <v>1312</v>
      </c>
      <c r="W1038" s="92" t="str">
        <f t="shared" si="84"/>
        <v>Nebot BLasco,Jose Vicente</v>
      </c>
      <c r="X1038" s="95">
        <f t="shared" si="82"/>
        <v>3</v>
      </c>
      <c r="Y1038" s="95">
        <f t="shared" si="83"/>
        <v>2022</v>
      </c>
      <c r="Z1038" s="103" t="s">
        <v>265</v>
      </c>
      <c r="AA1038" t="str">
        <f>IF(Tabla1[[#This Row],[Kerma en aire acumulada (Gy)]]&gt;1,SUMIF(G:G,Tabla1[[#This Row],[SIP]],I:I)-Tabla1[[#This Row],[Kerma en aire acumulada (Gy)]],"")</f>
        <v/>
      </c>
    </row>
    <row r="1039" spans="3:27">
      <c r="C1039" s="147" t="s">
        <v>1088</v>
      </c>
      <c r="D1039" s="134" t="s">
        <v>948</v>
      </c>
      <c r="E1039" s="134" t="s">
        <v>962</v>
      </c>
      <c r="F1039" s="134" t="s">
        <v>71</v>
      </c>
      <c r="G1039" s="134">
        <v>2931232</v>
      </c>
      <c r="H1039" s="135">
        <v>44621</v>
      </c>
      <c r="I1039" s="134">
        <v>0.12962000000000001</v>
      </c>
      <c r="J1039" s="145"/>
      <c r="K1039" s="145"/>
      <c r="L1039" s="145"/>
      <c r="M1039" s="145"/>
      <c r="N1039" s="145"/>
      <c r="O1039" s="145"/>
      <c r="P1039" s="145"/>
      <c r="Q1039" s="145"/>
      <c r="R1039" s="145"/>
      <c r="S1039" s="145"/>
      <c r="T1039" s="135">
        <v>21623</v>
      </c>
      <c r="U1039" s="145"/>
      <c r="V1039" s="134" t="s">
        <v>1643</v>
      </c>
      <c r="W1039" s="92" t="str">
        <f t="shared" si="84"/>
        <v>Martinez Garcia,Rafael</v>
      </c>
      <c r="X1039" s="95">
        <f t="shared" si="82"/>
        <v>3</v>
      </c>
      <c r="Y1039" s="95">
        <f t="shared" si="83"/>
        <v>2022</v>
      </c>
      <c r="Z1039" s="103" t="s">
        <v>265</v>
      </c>
      <c r="AA1039" t="str">
        <f>IF(Tabla1[[#This Row],[Kerma en aire acumulada (Gy)]]&gt;1,SUMIF(G:G,Tabla1[[#This Row],[SIP]],I:I)-Tabla1[[#This Row],[Kerma en aire acumulada (Gy)]],"")</f>
        <v/>
      </c>
    </row>
    <row r="1040" spans="3:27">
      <c r="C1040" s="147" t="s">
        <v>1088</v>
      </c>
      <c r="D1040" s="134" t="s">
        <v>787</v>
      </c>
      <c r="E1040" s="134" t="s">
        <v>2089</v>
      </c>
      <c r="F1040" s="134" t="s">
        <v>2225</v>
      </c>
      <c r="G1040" s="134">
        <v>2531319</v>
      </c>
      <c r="H1040" s="135">
        <v>44621</v>
      </c>
      <c r="I1040" s="134">
        <v>0.23119000000000001</v>
      </c>
      <c r="J1040" s="145"/>
      <c r="K1040" s="145"/>
      <c r="L1040" s="145"/>
      <c r="M1040" s="145"/>
      <c r="N1040" s="145"/>
      <c r="O1040" s="145"/>
      <c r="P1040" s="145"/>
      <c r="Q1040" s="145"/>
      <c r="R1040" s="145"/>
      <c r="S1040" s="145"/>
      <c r="T1040" s="135">
        <v>23057</v>
      </c>
      <c r="U1040" s="145"/>
      <c r="V1040" s="134" t="s">
        <v>1312</v>
      </c>
      <c r="W1040" s="92" t="str">
        <f t="shared" si="84"/>
        <v>Bosch Fornas,Eduardo Jose</v>
      </c>
      <c r="X1040" s="95">
        <f t="shared" si="82"/>
        <v>3</v>
      </c>
      <c r="Y1040" s="95">
        <f t="shared" si="83"/>
        <v>2022</v>
      </c>
      <c r="Z1040" s="103" t="s">
        <v>265</v>
      </c>
      <c r="AA1040" t="str">
        <f>IF(Tabla1[[#This Row],[Kerma en aire acumulada (Gy)]]&gt;1,SUMIF(G:G,Tabla1[[#This Row],[SIP]],I:I)-Tabla1[[#This Row],[Kerma en aire acumulada (Gy)]],"")</f>
        <v/>
      </c>
    </row>
    <row r="1041" spans="3:27">
      <c r="C1041" s="147" t="s">
        <v>1088</v>
      </c>
      <c r="D1041" s="134" t="s">
        <v>1001</v>
      </c>
      <c r="E1041" s="134" t="s">
        <v>1001</v>
      </c>
      <c r="F1041" s="134" t="s">
        <v>2226</v>
      </c>
      <c r="G1041" s="134">
        <v>10947430</v>
      </c>
      <c r="H1041" s="135">
        <v>44621</v>
      </c>
      <c r="I1041" s="134">
        <v>1.821E-2</v>
      </c>
      <c r="J1041" s="145"/>
      <c r="K1041" s="145"/>
      <c r="L1041" s="145"/>
      <c r="M1041" s="145"/>
      <c r="N1041" s="145"/>
      <c r="O1041" s="145"/>
      <c r="P1041" s="145"/>
      <c r="Q1041" s="145"/>
      <c r="R1041" s="145"/>
      <c r="S1041" s="145"/>
      <c r="T1041" s="135">
        <v>23218</v>
      </c>
      <c r="U1041" s="145"/>
      <c r="V1041" s="134" t="s">
        <v>2227</v>
      </c>
      <c r="W1041" s="92" t="str">
        <f t="shared" si="84"/>
        <v>Perez Perez,Jose Abel</v>
      </c>
      <c r="X1041" s="95">
        <f t="shared" si="82"/>
        <v>3</v>
      </c>
      <c r="Y1041" s="95">
        <f t="shared" si="83"/>
        <v>2022</v>
      </c>
      <c r="Z1041" s="103" t="s">
        <v>265</v>
      </c>
      <c r="AA1041" t="str">
        <f>IF(Tabla1[[#This Row],[Kerma en aire acumulada (Gy)]]&gt;1,SUMIF(G:G,Tabla1[[#This Row],[SIP]],I:I)-Tabla1[[#This Row],[Kerma en aire acumulada (Gy)]],"")</f>
        <v/>
      </c>
    </row>
    <row r="1042" spans="3:27">
      <c r="C1042" s="147" t="s">
        <v>1088</v>
      </c>
      <c r="D1042" s="134" t="s">
        <v>17</v>
      </c>
      <c r="E1042" s="134" t="s">
        <v>148</v>
      </c>
      <c r="F1042" s="134" t="s">
        <v>2240</v>
      </c>
      <c r="G1042" s="134">
        <v>3188847</v>
      </c>
      <c r="H1042" s="135">
        <v>44621</v>
      </c>
      <c r="I1042" s="134">
        <v>4.3899999999999998E-3</v>
      </c>
      <c r="J1042" s="145"/>
      <c r="K1042" s="145"/>
      <c r="L1042" s="145"/>
      <c r="M1042" s="145"/>
      <c r="N1042" s="145"/>
      <c r="O1042" s="145"/>
      <c r="P1042" s="145"/>
      <c r="Q1042" s="145"/>
      <c r="R1042" s="145"/>
      <c r="S1042" s="145"/>
      <c r="T1042" s="135">
        <v>16576</v>
      </c>
      <c r="U1042" s="145"/>
      <c r="V1042" s="134" t="s">
        <v>2241</v>
      </c>
      <c r="W1042" s="92" t="str">
        <f t="shared" si="84"/>
        <v>Vicent Andreu,Ernesto</v>
      </c>
      <c r="X1042" s="95">
        <f t="shared" si="82"/>
        <v>3</v>
      </c>
      <c r="Y1042" s="95">
        <f t="shared" si="83"/>
        <v>2022</v>
      </c>
      <c r="Z1042" s="136" t="s">
        <v>2238</v>
      </c>
      <c r="AA1042" t="str">
        <f>IF(Tabla1[[#This Row],[Kerma en aire acumulada (Gy)]]&gt;1,SUMIF(G:G,Tabla1[[#This Row],[SIP]],I:I)-Tabla1[[#This Row],[Kerma en aire acumulada (Gy)]],"")</f>
        <v/>
      </c>
    </row>
    <row r="1043" spans="3:27">
      <c r="C1043" s="147" t="s">
        <v>1088</v>
      </c>
      <c r="D1043" s="134" t="s">
        <v>2194</v>
      </c>
      <c r="E1043" s="134" t="s">
        <v>15</v>
      </c>
      <c r="F1043" s="134" t="s">
        <v>2195</v>
      </c>
      <c r="G1043" s="134">
        <v>2180214</v>
      </c>
      <c r="H1043" s="135">
        <v>44622</v>
      </c>
      <c r="I1043" s="134">
        <v>2.0184299999999999</v>
      </c>
      <c r="J1043" s="145"/>
      <c r="K1043" s="145"/>
      <c r="L1043" s="145"/>
      <c r="M1043" s="145"/>
      <c r="N1043" s="145"/>
      <c r="O1043" s="145"/>
      <c r="P1043" s="145"/>
      <c r="Q1043" s="145"/>
      <c r="R1043" s="145"/>
      <c r="S1043" s="145"/>
      <c r="T1043" s="135">
        <v>17225</v>
      </c>
      <c r="U1043" s="145"/>
      <c r="V1043" s="134" t="s">
        <v>1711</v>
      </c>
      <c r="W1043" s="92" t="str">
        <f t="shared" si="84"/>
        <v>Matamoros Moreno,Eleuterio</v>
      </c>
      <c r="X1043" s="95">
        <f t="shared" si="82"/>
        <v>3</v>
      </c>
      <c r="Y1043" s="95">
        <f t="shared" si="83"/>
        <v>2022</v>
      </c>
      <c r="Z1043" s="103" t="s">
        <v>265</v>
      </c>
      <c r="AA1043">
        <f>IF(Tabla1[[#This Row],[Kerma en aire acumulada (Gy)]]&gt;1,SUMIF(G:G,Tabla1[[#This Row],[SIP]],I:I)-Tabla1[[#This Row],[Kerma en aire acumulada (Gy)]],"")</f>
        <v>0</v>
      </c>
    </row>
    <row r="1044" spans="3:27">
      <c r="C1044" s="147" t="s">
        <v>1088</v>
      </c>
      <c r="D1044" s="134" t="s">
        <v>320</v>
      </c>
      <c r="E1044" s="134" t="s">
        <v>2196</v>
      </c>
      <c r="F1044" s="134" t="s">
        <v>1946</v>
      </c>
      <c r="G1044" s="134">
        <v>2884982</v>
      </c>
      <c r="H1044" s="135">
        <v>44622</v>
      </c>
      <c r="I1044" s="134">
        <v>3.7249999999999998E-2</v>
      </c>
      <c r="J1044" s="145"/>
      <c r="K1044" s="145"/>
      <c r="L1044" s="145"/>
      <c r="M1044" s="145"/>
      <c r="N1044" s="145"/>
      <c r="O1044" s="145"/>
      <c r="P1044" s="145"/>
      <c r="Q1044" s="145"/>
      <c r="R1044" s="145"/>
      <c r="S1044" s="145"/>
      <c r="T1044" s="135">
        <v>23659</v>
      </c>
      <c r="U1044" s="145"/>
      <c r="V1044" s="134" t="s">
        <v>1922</v>
      </c>
      <c r="W1044" s="92" t="str">
        <f t="shared" si="84"/>
        <v>Cano Bleda,Joaquin</v>
      </c>
      <c r="X1044" s="95">
        <f t="shared" si="82"/>
        <v>3</v>
      </c>
      <c r="Y1044" s="95">
        <f t="shared" si="83"/>
        <v>2022</v>
      </c>
      <c r="Z1044" s="103" t="s">
        <v>265</v>
      </c>
      <c r="AA1044" t="str">
        <f>IF(Tabla1[[#This Row],[Kerma en aire acumulada (Gy)]]&gt;1,SUMIF(G:G,Tabla1[[#This Row],[SIP]],I:I)-Tabla1[[#This Row],[Kerma en aire acumulada (Gy)]],"")</f>
        <v/>
      </c>
    </row>
    <row r="1045" spans="3:27">
      <c r="C1045" s="147" t="s">
        <v>1088</v>
      </c>
      <c r="D1045" s="134" t="s">
        <v>2197</v>
      </c>
      <c r="E1045" s="134" t="s">
        <v>1595</v>
      </c>
      <c r="F1045" s="134" t="s">
        <v>300</v>
      </c>
      <c r="G1045" s="134">
        <v>3650220</v>
      </c>
      <c r="H1045" s="135">
        <v>44622</v>
      </c>
      <c r="I1045" s="134">
        <v>0.10913</v>
      </c>
      <c r="J1045" s="145"/>
      <c r="K1045" s="145"/>
      <c r="L1045" s="145"/>
      <c r="M1045" s="145"/>
      <c r="N1045" s="145"/>
      <c r="O1045" s="145"/>
      <c r="P1045" s="145"/>
      <c r="Q1045" s="145"/>
      <c r="R1045" s="145"/>
      <c r="S1045" s="145"/>
      <c r="T1045" s="135">
        <v>33760</v>
      </c>
      <c r="U1045" s="145"/>
      <c r="V1045" s="134" t="s">
        <v>516</v>
      </c>
      <c r="W1045" s="92" t="str">
        <f t="shared" si="84"/>
        <v>Madera March,Carlos</v>
      </c>
      <c r="X1045" s="95">
        <f t="shared" ref="X1045:X1108" si="85">MONTH(H1045)</f>
        <v>3</v>
      </c>
      <c r="Y1045" s="95">
        <f t="shared" si="83"/>
        <v>2022</v>
      </c>
      <c r="Z1045" s="103" t="s">
        <v>265</v>
      </c>
      <c r="AA1045" t="str">
        <f>IF(Tabla1[[#This Row],[Kerma en aire acumulada (Gy)]]&gt;1,SUMIF(G:G,Tabla1[[#This Row],[SIP]],I:I)-Tabla1[[#This Row],[Kerma en aire acumulada (Gy)]],"")</f>
        <v/>
      </c>
    </row>
    <row r="1046" spans="3:27">
      <c r="C1046" s="147" t="s">
        <v>1088</v>
      </c>
      <c r="D1046" s="134" t="s">
        <v>337</v>
      </c>
      <c r="E1046" s="134" t="s">
        <v>829</v>
      </c>
      <c r="F1046" s="134" t="s">
        <v>2219</v>
      </c>
      <c r="G1046" s="134">
        <v>4971128</v>
      </c>
      <c r="H1046" s="135">
        <v>44622</v>
      </c>
      <c r="I1046" s="134">
        <v>4.0299999999999997E-3</v>
      </c>
      <c r="J1046" s="145"/>
      <c r="K1046" s="145"/>
      <c r="L1046" s="145"/>
      <c r="M1046" s="145"/>
      <c r="N1046" s="145"/>
      <c r="O1046" s="145"/>
      <c r="P1046" s="145"/>
      <c r="Q1046" s="145"/>
      <c r="R1046" s="145"/>
      <c r="S1046" s="145"/>
      <c r="T1046" s="135">
        <v>37313</v>
      </c>
      <c r="U1046" s="145"/>
      <c r="V1046" s="134" t="s">
        <v>1653</v>
      </c>
      <c r="W1046" s="92" t="str">
        <f t="shared" si="84"/>
        <v>Garrido Díaz,Ainhoa</v>
      </c>
      <c r="X1046" s="95">
        <f t="shared" si="85"/>
        <v>3</v>
      </c>
      <c r="Y1046" s="95">
        <f t="shared" si="83"/>
        <v>2022</v>
      </c>
      <c r="Z1046" s="103" t="s">
        <v>265</v>
      </c>
      <c r="AA1046" t="str">
        <f>IF(Tabla1[[#This Row],[Kerma en aire acumulada (Gy)]]&gt;1,SUMIF(G:G,Tabla1[[#This Row],[SIP]],I:I)-Tabla1[[#This Row],[Kerma en aire acumulada (Gy)]],"")</f>
        <v/>
      </c>
    </row>
    <row r="1047" spans="3:27">
      <c r="C1047" s="147" t="s">
        <v>1088</v>
      </c>
      <c r="D1047" s="134" t="s">
        <v>1082</v>
      </c>
      <c r="E1047" s="134" t="s">
        <v>119</v>
      </c>
      <c r="F1047" s="134" t="s">
        <v>1038</v>
      </c>
      <c r="G1047" s="134">
        <v>6197122</v>
      </c>
      <c r="H1047" s="135">
        <v>44622</v>
      </c>
      <c r="I1047" s="134">
        <v>0.12383</v>
      </c>
      <c r="J1047" s="145"/>
      <c r="K1047" s="145"/>
      <c r="L1047" s="145"/>
      <c r="M1047" s="145"/>
      <c r="N1047" s="145"/>
      <c r="O1047" s="145"/>
      <c r="P1047" s="145"/>
      <c r="Q1047" s="145"/>
      <c r="R1047" s="145"/>
      <c r="S1047" s="145"/>
      <c r="T1047" s="135">
        <v>23425</v>
      </c>
      <c r="U1047" s="145"/>
      <c r="V1047" s="134" t="s">
        <v>552</v>
      </c>
      <c r="W1047" s="92" t="str">
        <f t="shared" si="84"/>
        <v>Benitez Verdejo,Juan Antonio</v>
      </c>
      <c r="X1047" s="95">
        <f t="shared" si="85"/>
        <v>3</v>
      </c>
      <c r="Y1047" s="95">
        <f t="shared" si="83"/>
        <v>2022</v>
      </c>
      <c r="Z1047" s="103" t="s">
        <v>265</v>
      </c>
      <c r="AA1047" t="str">
        <f>IF(Tabla1[[#This Row],[Kerma en aire acumulada (Gy)]]&gt;1,SUMIF(G:G,Tabla1[[#This Row],[SIP]],I:I)-Tabla1[[#This Row],[Kerma en aire acumulada (Gy)]],"")</f>
        <v/>
      </c>
    </row>
    <row r="1048" spans="3:27">
      <c r="C1048" s="147" t="s">
        <v>1088</v>
      </c>
      <c r="D1048" s="134" t="s">
        <v>189</v>
      </c>
      <c r="E1048" s="134" t="s">
        <v>604</v>
      </c>
      <c r="F1048" s="134" t="s">
        <v>333</v>
      </c>
      <c r="G1048" s="134">
        <v>255439</v>
      </c>
      <c r="H1048" s="135">
        <v>44622</v>
      </c>
      <c r="I1048" s="134">
        <v>5.6009999999999997E-2</v>
      </c>
      <c r="J1048" s="145"/>
      <c r="K1048" s="145"/>
      <c r="L1048" s="145"/>
      <c r="M1048" s="145"/>
      <c r="N1048" s="145"/>
      <c r="O1048" s="145"/>
      <c r="P1048" s="145"/>
      <c r="Q1048" s="145"/>
      <c r="R1048" s="145"/>
      <c r="S1048" s="145"/>
      <c r="T1048" s="135">
        <v>14936</v>
      </c>
      <c r="U1048" s="145"/>
      <c r="V1048" s="134" t="s">
        <v>1836</v>
      </c>
      <c r="W1048" s="92" t="str">
        <f t="shared" si="84"/>
        <v>Giner Esteve,Vicenta</v>
      </c>
      <c r="X1048" s="95">
        <f t="shared" si="85"/>
        <v>3</v>
      </c>
      <c r="Y1048" s="95">
        <f t="shared" si="83"/>
        <v>2022</v>
      </c>
      <c r="Z1048" s="103" t="s">
        <v>265</v>
      </c>
      <c r="AA1048" t="str">
        <f>IF(Tabla1[[#This Row],[Kerma en aire acumulada (Gy)]]&gt;1,SUMIF(G:G,Tabla1[[#This Row],[SIP]],I:I)-Tabla1[[#This Row],[Kerma en aire acumulada (Gy)]],"")</f>
        <v/>
      </c>
    </row>
    <row r="1049" spans="3:27">
      <c r="C1049" s="147" t="s">
        <v>1088</v>
      </c>
      <c r="D1049" s="134" t="s">
        <v>2220</v>
      </c>
      <c r="E1049" s="134" t="s">
        <v>82</v>
      </c>
      <c r="F1049" s="134" t="s">
        <v>131</v>
      </c>
      <c r="G1049" s="134">
        <v>2825604</v>
      </c>
      <c r="H1049" s="135">
        <v>44622</v>
      </c>
      <c r="I1049" s="134">
        <v>5.602E-2</v>
      </c>
      <c r="J1049" s="145"/>
      <c r="K1049" s="145"/>
      <c r="L1049" s="145"/>
      <c r="M1049" s="145"/>
      <c r="N1049" s="145"/>
      <c r="O1049" s="145"/>
      <c r="P1049" s="145"/>
      <c r="Q1049" s="145"/>
      <c r="R1049" s="145"/>
      <c r="S1049" s="145"/>
      <c r="T1049" s="135">
        <v>17707</v>
      </c>
      <c r="U1049" s="145"/>
      <c r="V1049" s="134" t="s">
        <v>516</v>
      </c>
      <c r="W1049" s="92" t="str">
        <f t="shared" si="84"/>
        <v>Beneto Pascual,Salvador</v>
      </c>
      <c r="X1049" s="95">
        <f t="shared" si="85"/>
        <v>3</v>
      </c>
      <c r="Y1049" s="95">
        <f t="shared" si="83"/>
        <v>2022</v>
      </c>
      <c r="Z1049" s="103" t="s">
        <v>265</v>
      </c>
      <c r="AA1049" t="str">
        <f>IF(Tabla1[[#This Row],[Kerma en aire acumulada (Gy)]]&gt;1,SUMIF(G:G,Tabla1[[#This Row],[SIP]],I:I)-Tabla1[[#This Row],[Kerma en aire acumulada (Gy)]],"")</f>
        <v/>
      </c>
    </row>
    <row r="1050" spans="3:27">
      <c r="C1050" s="147" t="s">
        <v>1088</v>
      </c>
      <c r="D1050" s="134" t="s">
        <v>2221</v>
      </c>
      <c r="E1050" s="134" t="s">
        <v>694</v>
      </c>
      <c r="F1050" s="134" t="s">
        <v>2222</v>
      </c>
      <c r="G1050" s="134">
        <v>336145</v>
      </c>
      <c r="H1050" s="135">
        <v>44622</v>
      </c>
      <c r="I1050" s="134">
        <v>0.24312</v>
      </c>
      <c r="J1050" s="145"/>
      <c r="K1050" s="145"/>
      <c r="L1050" s="145"/>
      <c r="M1050" s="145"/>
      <c r="N1050" s="145"/>
      <c r="O1050" s="145"/>
      <c r="P1050" s="145"/>
      <c r="Q1050" s="145"/>
      <c r="R1050" s="145"/>
      <c r="S1050" s="145"/>
      <c r="T1050" s="135">
        <v>16311</v>
      </c>
      <c r="U1050" s="145"/>
      <c r="V1050" s="134" t="s">
        <v>2223</v>
      </c>
      <c r="W1050" s="92" t="str">
        <f t="shared" si="84"/>
        <v>Amer Llopis,ana</v>
      </c>
      <c r="X1050" s="95">
        <f t="shared" si="85"/>
        <v>3</v>
      </c>
      <c r="Y1050" s="95">
        <f t="shared" si="83"/>
        <v>2022</v>
      </c>
      <c r="Z1050" s="103" t="s">
        <v>265</v>
      </c>
      <c r="AA1050" t="str">
        <f>IF(Tabla1[[#This Row],[Kerma en aire acumulada (Gy)]]&gt;1,SUMIF(G:G,Tabla1[[#This Row],[SIP]],I:I)-Tabla1[[#This Row],[Kerma en aire acumulada (Gy)]],"")</f>
        <v/>
      </c>
    </row>
    <row r="1051" spans="3:27">
      <c r="C1051" s="147" t="s">
        <v>1088</v>
      </c>
      <c r="D1051" s="134" t="s">
        <v>19</v>
      </c>
      <c r="E1051" s="134" t="s">
        <v>2224</v>
      </c>
      <c r="F1051" s="134" t="s">
        <v>2189</v>
      </c>
      <c r="G1051" s="134">
        <v>3270202</v>
      </c>
      <c r="H1051" s="135">
        <v>44622</v>
      </c>
      <c r="I1051" s="134">
        <v>0.16389000000000001</v>
      </c>
      <c r="J1051" s="145"/>
      <c r="K1051" s="145"/>
      <c r="L1051" s="145"/>
      <c r="M1051" s="145"/>
      <c r="N1051" s="145"/>
      <c r="O1051" s="145"/>
      <c r="P1051" s="145"/>
      <c r="Q1051" s="145"/>
      <c r="R1051" s="145"/>
      <c r="S1051" s="145"/>
      <c r="T1051" s="135">
        <v>20156</v>
      </c>
      <c r="U1051" s="145"/>
      <c r="V1051" s="134" t="s">
        <v>107</v>
      </c>
      <c r="W1051" s="92" t="str">
        <f t="shared" si="84"/>
        <v>Elvira Vilares,Juan Jose</v>
      </c>
      <c r="X1051" s="95">
        <f t="shared" si="85"/>
        <v>3</v>
      </c>
      <c r="Y1051" s="95">
        <f t="shared" si="83"/>
        <v>2022</v>
      </c>
      <c r="Z1051" s="103" t="s">
        <v>265</v>
      </c>
      <c r="AA1051" t="str">
        <f>IF(Tabla1[[#This Row],[Kerma en aire acumulada (Gy)]]&gt;1,SUMIF(G:G,Tabla1[[#This Row],[SIP]],I:I)-Tabla1[[#This Row],[Kerma en aire acumulada (Gy)]],"")</f>
        <v/>
      </c>
    </row>
    <row r="1052" spans="3:27">
      <c r="C1052" s="147" t="s">
        <v>1088</v>
      </c>
      <c r="D1052" s="134" t="s">
        <v>1001</v>
      </c>
      <c r="E1052" s="134" t="s">
        <v>948</v>
      </c>
      <c r="F1052" s="134" t="s">
        <v>1971</v>
      </c>
      <c r="G1052" s="134">
        <v>2367233</v>
      </c>
      <c r="H1052" s="135">
        <v>44623</v>
      </c>
      <c r="I1052" s="134">
        <v>9.7199999999999995E-3</v>
      </c>
      <c r="J1052" s="145"/>
      <c r="K1052" s="145"/>
      <c r="L1052" s="145"/>
      <c r="M1052" s="145"/>
      <c r="N1052" s="145"/>
      <c r="O1052" s="145"/>
      <c r="P1052" s="145"/>
      <c r="Q1052" s="145"/>
      <c r="R1052" s="145"/>
      <c r="S1052" s="145"/>
      <c r="T1052" s="135">
        <v>26208</v>
      </c>
      <c r="U1052" s="145"/>
      <c r="V1052" s="134" t="s">
        <v>503</v>
      </c>
      <c r="W1052" s="92" t="str">
        <f t="shared" si="84"/>
        <v>Perez Martinez,Maria Teresa</v>
      </c>
      <c r="X1052" s="95">
        <f t="shared" si="85"/>
        <v>3</v>
      </c>
      <c r="Y1052" s="95">
        <f t="shared" ref="Y1052:Y1115" si="86">YEAR(H1052)</f>
        <v>2022</v>
      </c>
      <c r="Z1052" s="103" t="s">
        <v>265</v>
      </c>
      <c r="AA1052" t="str">
        <f>IF(Tabla1[[#This Row],[Kerma en aire acumulada (Gy)]]&gt;1,SUMIF(G:G,Tabla1[[#This Row],[SIP]],I:I)-Tabla1[[#This Row],[Kerma en aire acumulada (Gy)]],"")</f>
        <v/>
      </c>
    </row>
    <row r="1053" spans="3:27">
      <c r="C1053" s="147" t="s">
        <v>1088</v>
      </c>
      <c r="D1053" s="134" t="s">
        <v>2193</v>
      </c>
      <c r="E1053" s="134" t="s">
        <v>1003</v>
      </c>
      <c r="F1053" s="134" t="s">
        <v>71</v>
      </c>
      <c r="G1053" s="134">
        <v>3307148</v>
      </c>
      <c r="H1053" s="135">
        <v>44623</v>
      </c>
      <c r="I1053" s="134">
        <v>4.2700000000000004E-3</v>
      </c>
      <c r="J1053" s="145"/>
      <c r="K1053" s="145"/>
      <c r="L1053" s="145"/>
      <c r="M1053" s="145"/>
      <c r="N1053" s="145"/>
      <c r="O1053" s="145"/>
      <c r="P1053" s="145"/>
      <c r="Q1053" s="145"/>
      <c r="R1053" s="145"/>
      <c r="S1053" s="145"/>
      <c r="T1053" s="135">
        <v>23515</v>
      </c>
      <c r="U1053" s="145"/>
      <c r="V1053" s="134" t="s">
        <v>1293</v>
      </c>
      <c r="W1053" s="92" t="str">
        <f t="shared" si="84"/>
        <v>Calvillo Romero,Rafael</v>
      </c>
      <c r="X1053" s="95">
        <f t="shared" si="85"/>
        <v>3</v>
      </c>
      <c r="Y1053" s="95">
        <f t="shared" si="86"/>
        <v>2022</v>
      </c>
      <c r="Z1053" s="103" t="s">
        <v>265</v>
      </c>
      <c r="AA1053" t="str">
        <f>IF(Tabla1[[#This Row],[Kerma en aire acumulada (Gy)]]&gt;1,SUMIF(G:G,Tabla1[[#This Row],[SIP]],I:I)-Tabla1[[#This Row],[Kerma en aire acumulada (Gy)]],"")</f>
        <v/>
      </c>
    </row>
    <row r="1054" spans="3:27">
      <c r="C1054" s="147" t="s">
        <v>1088</v>
      </c>
      <c r="D1054" s="134" t="s">
        <v>497</v>
      </c>
      <c r="E1054" s="134" t="s">
        <v>90</v>
      </c>
      <c r="F1054" s="134" t="s">
        <v>91</v>
      </c>
      <c r="G1054" s="134">
        <v>3130505</v>
      </c>
      <c r="H1054" s="135">
        <v>44623</v>
      </c>
      <c r="I1054" s="134">
        <v>4.9779999999999998E-2</v>
      </c>
      <c r="J1054" s="145"/>
      <c r="K1054" s="145"/>
      <c r="L1054" s="145"/>
      <c r="M1054" s="145"/>
      <c r="N1054" s="145"/>
      <c r="O1054" s="145"/>
      <c r="P1054" s="145"/>
      <c r="Q1054" s="145"/>
      <c r="R1054" s="145"/>
      <c r="S1054" s="145"/>
      <c r="T1054" s="135">
        <v>13085</v>
      </c>
      <c r="U1054" s="145"/>
      <c r="V1054" s="134" t="s">
        <v>1635</v>
      </c>
      <c r="W1054" s="92" t="str">
        <f t="shared" si="84"/>
        <v>Patiño Nieto,Donato</v>
      </c>
      <c r="X1054" s="95">
        <f t="shared" si="85"/>
        <v>3</v>
      </c>
      <c r="Y1054" s="95">
        <f t="shared" si="86"/>
        <v>2022</v>
      </c>
      <c r="Z1054" s="103" t="s">
        <v>265</v>
      </c>
      <c r="AA1054" t="str">
        <f>IF(Tabla1[[#This Row],[Kerma en aire acumulada (Gy)]]&gt;1,SUMIF(G:G,Tabla1[[#This Row],[SIP]],I:I)-Tabla1[[#This Row],[Kerma en aire acumulada (Gy)]],"")</f>
        <v/>
      </c>
    </row>
    <row r="1055" spans="3:27">
      <c r="C1055" s="147" t="s">
        <v>1088</v>
      </c>
      <c r="D1055" s="134" t="s">
        <v>2216</v>
      </c>
      <c r="E1055" s="134" t="s">
        <v>2217</v>
      </c>
      <c r="F1055" s="134" t="s">
        <v>2218</v>
      </c>
      <c r="G1055" s="134">
        <v>3644737</v>
      </c>
      <c r="H1055" s="135">
        <v>44623</v>
      </c>
      <c r="I1055" s="134">
        <v>0.55086000000000002</v>
      </c>
      <c r="J1055" s="145"/>
      <c r="K1055" s="145"/>
      <c r="L1055" s="145"/>
      <c r="M1055" s="145"/>
      <c r="N1055" s="145"/>
      <c r="O1055" s="145"/>
      <c r="P1055" s="145"/>
      <c r="Q1055" s="145"/>
      <c r="R1055" s="145"/>
      <c r="S1055" s="145"/>
      <c r="T1055" s="135">
        <v>18218</v>
      </c>
      <c r="U1055" s="145"/>
      <c r="V1055" s="134" t="s">
        <v>151</v>
      </c>
      <c r="W1055" s="92" t="str">
        <f t="shared" si="84"/>
        <v>Estero Codoñer,Viente</v>
      </c>
      <c r="X1055" s="95">
        <f t="shared" si="85"/>
        <v>3</v>
      </c>
      <c r="Y1055" s="95">
        <f t="shared" si="86"/>
        <v>2022</v>
      </c>
      <c r="Z1055" s="103" t="s">
        <v>265</v>
      </c>
      <c r="AA1055" t="str">
        <f>IF(Tabla1[[#This Row],[Kerma en aire acumulada (Gy)]]&gt;1,SUMIF(G:G,Tabla1[[#This Row],[SIP]],I:I)-Tabla1[[#This Row],[Kerma en aire acumulada (Gy)]],"")</f>
        <v/>
      </c>
    </row>
    <row r="1056" spans="3:27">
      <c r="C1056" s="147" t="s">
        <v>1088</v>
      </c>
      <c r="D1056" s="134" t="s">
        <v>714</v>
      </c>
      <c r="E1056" s="134" t="s">
        <v>82</v>
      </c>
      <c r="F1056" s="134" t="s">
        <v>2239</v>
      </c>
      <c r="G1056" s="134">
        <v>3368092</v>
      </c>
      <c r="H1056" s="135">
        <v>44623</v>
      </c>
      <c r="I1056" s="134">
        <v>7.1480000000000002E-2</v>
      </c>
      <c r="J1056" s="145"/>
      <c r="K1056" s="145"/>
      <c r="L1056" s="145"/>
      <c r="M1056" s="145"/>
      <c r="N1056" s="145"/>
      <c r="O1056" s="145"/>
      <c r="P1056" s="145"/>
      <c r="Q1056" s="145"/>
      <c r="R1056" s="145"/>
      <c r="S1056" s="145"/>
      <c r="T1056" s="135">
        <v>23018</v>
      </c>
      <c r="U1056" s="145"/>
      <c r="V1056" s="134" t="s">
        <v>2237</v>
      </c>
      <c r="W1056" s="92" t="str">
        <f t="shared" si="84"/>
        <v>Boix Pascual,Jose Lorenzo</v>
      </c>
      <c r="X1056" s="95">
        <f t="shared" si="85"/>
        <v>3</v>
      </c>
      <c r="Y1056" s="95">
        <f t="shared" si="86"/>
        <v>2022</v>
      </c>
      <c r="Z1056" s="136" t="s">
        <v>2238</v>
      </c>
      <c r="AA1056" t="str">
        <f>IF(Tabla1[[#This Row],[Kerma en aire acumulada (Gy)]]&gt;1,SUMIF(G:G,Tabla1[[#This Row],[SIP]],I:I)-Tabla1[[#This Row],[Kerma en aire acumulada (Gy)]],"")</f>
        <v/>
      </c>
    </row>
    <row r="1057" spans="3:27">
      <c r="C1057" s="147" t="s">
        <v>1088</v>
      </c>
      <c r="D1057" s="134" t="s">
        <v>2191</v>
      </c>
      <c r="E1057" s="134" t="s">
        <v>1837</v>
      </c>
      <c r="F1057" s="134" t="s">
        <v>2192</v>
      </c>
      <c r="G1057" s="134">
        <v>3297255</v>
      </c>
      <c r="H1057" s="135">
        <v>44624</v>
      </c>
      <c r="I1057" s="134">
        <v>6.8500000000000005E-2</v>
      </c>
      <c r="J1057" s="145"/>
      <c r="K1057" s="145"/>
      <c r="L1057" s="145"/>
      <c r="M1057" s="145"/>
      <c r="N1057" s="145"/>
      <c r="O1057" s="145"/>
      <c r="P1057" s="145"/>
      <c r="Q1057" s="145"/>
      <c r="R1057" s="145"/>
      <c r="S1057" s="145"/>
      <c r="T1057" s="135">
        <v>27184</v>
      </c>
      <c r="U1057" s="145"/>
      <c r="V1057" s="134" t="s">
        <v>1653</v>
      </c>
      <c r="W1057" s="92" t="str">
        <f t="shared" si="84"/>
        <v>Bravo  Rodriguez,Esmeralda</v>
      </c>
      <c r="X1057" s="95">
        <f t="shared" si="85"/>
        <v>3</v>
      </c>
      <c r="Y1057" s="95">
        <f t="shared" si="86"/>
        <v>2022</v>
      </c>
      <c r="Z1057" s="103" t="s">
        <v>265</v>
      </c>
      <c r="AA1057" t="str">
        <f>IF(Tabla1[[#This Row],[Kerma en aire acumulada (Gy)]]&gt;1,SUMIF(G:G,Tabla1[[#This Row],[SIP]],I:I)-Tabla1[[#This Row],[Kerma en aire acumulada (Gy)]],"")</f>
        <v/>
      </c>
    </row>
    <row r="1058" spans="3:27">
      <c r="C1058" s="147" t="s">
        <v>1088</v>
      </c>
      <c r="D1058" s="134" t="s">
        <v>962</v>
      </c>
      <c r="E1058" s="134" t="s">
        <v>353</v>
      </c>
      <c r="F1058" s="134" t="s">
        <v>98</v>
      </c>
      <c r="G1058" s="134">
        <v>4564365</v>
      </c>
      <c r="H1058" s="135">
        <v>44624</v>
      </c>
      <c r="I1058" s="134">
        <v>0.82843</v>
      </c>
      <c r="J1058" s="145"/>
      <c r="K1058" s="145"/>
      <c r="L1058" s="145"/>
      <c r="M1058" s="145"/>
      <c r="N1058" s="145"/>
      <c r="O1058" s="145"/>
      <c r="P1058" s="145"/>
      <c r="Q1058" s="145"/>
      <c r="R1058" s="145"/>
      <c r="S1058" s="145"/>
      <c r="T1058" s="135">
        <v>13719</v>
      </c>
      <c r="U1058" s="145"/>
      <c r="V1058" s="134" t="s">
        <v>1790</v>
      </c>
      <c r="W1058" s="92" t="str">
        <f t="shared" si="84"/>
        <v>Garcia Muñoz,Felipe</v>
      </c>
      <c r="X1058" s="95">
        <f t="shared" si="85"/>
        <v>3</v>
      </c>
      <c r="Y1058" s="95">
        <f t="shared" si="86"/>
        <v>2022</v>
      </c>
      <c r="Z1058" s="103" t="s">
        <v>265</v>
      </c>
      <c r="AA1058" t="str">
        <f>IF(Tabla1[[#This Row],[Kerma en aire acumulada (Gy)]]&gt;1,SUMIF(G:G,Tabla1[[#This Row],[SIP]],I:I)-Tabla1[[#This Row],[Kerma en aire acumulada (Gy)]],"")</f>
        <v/>
      </c>
    </row>
    <row r="1059" spans="3:27">
      <c r="C1059" s="147" t="s">
        <v>1088</v>
      </c>
      <c r="D1059" s="134" t="s">
        <v>2171</v>
      </c>
      <c r="E1059" s="134" t="s">
        <v>2172</v>
      </c>
      <c r="F1059" s="134" t="s">
        <v>2173</v>
      </c>
      <c r="G1059" s="134">
        <v>5466333</v>
      </c>
      <c r="H1059" s="135">
        <v>44624</v>
      </c>
      <c r="I1059" s="134">
        <v>5.5500000000000002E-3</v>
      </c>
      <c r="J1059" s="145"/>
      <c r="K1059" s="145"/>
      <c r="L1059" s="145"/>
      <c r="M1059" s="145"/>
      <c r="N1059" s="145"/>
      <c r="O1059" s="145"/>
      <c r="P1059" s="145"/>
      <c r="Q1059" s="145"/>
      <c r="R1059" s="145"/>
      <c r="S1059" s="145"/>
      <c r="T1059" s="135">
        <v>27294</v>
      </c>
      <c r="U1059" s="145"/>
      <c r="V1059" s="134" t="s">
        <v>2215</v>
      </c>
      <c r="W1059" s="92" t="str">
        <f t="shared" ref="W1059:W1122" si="87">CONCATENATE(D1059,$A$591,E1059,",",F1059)</f>
        <v>Suarez Valdivia,Carmen Rosa</v>
      </c>
      <c r="X1059" s="95">
        <f t="shared" si="85"/>
        <v>3</v>
      </c>
      <c r="Y1059" s="95">
        <f t="shared" si="86"/>
        <v>2022</v>
      </c>
      <c r="Z1059" s="103" t="s">
        <v>265</v>
      </c>
      <c r="AA1059" t="str">
        <f>IF(Tabla1[[#This Row],[Kerma en aire acumulada (Gy)]]&gt;1,SUMIF(G:G,Tabla1[[#This Row],[SIP]],I:I)-Tabla1[[#This Row],[Kerma en aire acumulada (Gy)]],"")</f>
        <v/>
      </c>
    </row>
    <row r="1060" spans="3:27">
      <c r="C1060" s="147" t="s">
        <v>1088</v>
      </c>
      <c r="D1060" s="134" t="s">
        <v>2216</v>
      </c>
      <c r="E1060" s="134" t="s">
        <v>2217</v>
      </c>
      <c r="F1060" s="134" t="s">
        <v>88</v>
      </c>
      <c r="G1060" s="134">
        <v>3644737</v>
      </c>
      <c r="H1060" s="135">
        <v>44624</v>
      </c>
      <c r="I1060" s="134">
        <v>0.66646000000000005</v>
      </c>
      <c r="J1060" s="145"/>
      <c r="K1060" s="145"/>
      <c r="L1060" s="145"/>
      <c r="M1060" s="145"/>
      <c r="N1060" s="145"/>
      <c r="O1060" s="145"/>
      <c r="P1060" s="145"/>
      <c r="Q1060" s="145"/>
      <c r="R1060" s="145"/>
      <c r="S1060" s="145"/>
      <c r="T1060" s="135">
        <v>18218</v>
      </c>
      <c r="U1060" s="145"/>
      <c r="V1060" s="134" t="s">
        <v>151</v>
      </c>
      <c r="W1060" s="92" t="str">
        <f t="shared" si="87"/>
        <v>Estero Codoñer,Vicente</v>
      </c>
      <c r="X1060" s="95">
        <f t="shared" si="85"/>
        <v>3</v>
      </c>
      <c r="Y1060" s="95">
        <f t="shared" si="86"/>
        <v>2022</v>
      </c>
      <c r="Z1060" s="103" t="s">
        <v>265</v>
      </c>
      <c r="AA1060" t="str">
        <f>IF(Tabla1[[#This Row],[Kerma en aire acumulada (Gy)]]&gt;1,SUMIF(G:G,Tabla1[[#This Row],[SIP]],I:I)-Tabla1[[#This Row],[Kerma en aire acumulada (Gy)]],"")</f>
        <v/>
      </c>
    </row>
    <row r="1061" spans="3:27">
      <c r="C1061" s="147" t="s">
        <v>1088</v>
      </c>
      <c r="D1061" s="134" t="s">
        <v>1874</v>
      </c>
      <c r="E1061" s="134" t="s">
        <v>948</v>
      </c>
      <c r="F1061" s="134" t="s">
        <v>1139</v>
      </c>
      <c r="G1061" s="134">
        <v>2873895</v>
      </c>
      <c r="H1061" s="135">
        <v>44624</v>
      </c>
      <c r="I1061" s="134">
        <v>3.4750000000000003E-2</v>
      </c>
      <c r="J1061" s="145"/>
      <c r="K1061" s="145"/>
      <c r="L1061" s="145"/>
      <c r="M1061" s="145"/>
      <c r="N1061" s="145"/>
      <c r="O1061" s="145"/>
      <c r="P1061" s="145"/>
      <c r="Q1061" s="145"/>
      <c r="R1061" s="145"/>
      <c r="S1061" s="145"/>
      <c r="T1061" s="135">
        <v>20842</v>
      </c>
      <c r="U1061" s="145"/>
      <c r="V1061" s="134" t="s">
        <v>2237</v>
      </c>
      <c r="W1061" s="92" t="str">
        <f t="shared" si="87"/>
        <v>Monzonis Martinez,Jose Vicente</v>
      </c>
      <c r="X1061" s="95">
        <f t="shared" si="85"/>
        <v>3</v>
      </c>
      <c r="Y1061" s="95">
        <f t="shared" si="86"/>
        <v>2022</v>
      </c>
      <c r="Z1061" s="136" t="s">
        <v>2238</v>
      </c>
      <c r="AA1061" t="str">
        <f>IF(Tabla1[[#This Row],[Kerma en aire acumulada (Gy)]]&gt;1,SUMIF(G:G,Tabla1[[#This Row],[SIP]],I:I)-Tabla1[[#This Row],[Kerma en aire acumulada (Gy)]],"")</f>
        <v/>
      </c>
    </row>
    <row r="1062" spans="3:27">
      <c r="C1062" s="147" t="s">
        <v>1088</v>
      </c>
      <c r="D1062" s="134" t="s">
        <v>1607</v>
      </c>
      <c r="E1062" s="134" t="s">
        <v>1084</v>
      </c>
      <c r="F1062" s="134" t="s">
        <v>88</v>
      </c>
      <c r="G1062" s="134">
        <v>2905419</v>
      </c>
      <c r="H1062" s="135">
        <v>44626</v>
      </c>
      <c r="I1062" s="134">
        <v>0.48565999999999998</v>
      </c>
      <c r="J1062" s="145"/>
      <c r="K1062" s="145"/>
      <c r="L1062" s="145"/>
      <c r="M1062" s="145"/>
      <c r="N1062" s="145"/>
      <c r="O1062" s="145"/>
      <c r="P1062" s="145"/>
      <c r="Q1062" s="145"/>
      <c r="R1062" s="145"/>
      <c r="S1062" s="145"/>
      <c r="T1062" s="135">
        <v>19105</v>
      </c>
      <c r="U1062" s="145"/>
      <c r="V1062" s="134" t="s">
        <v>2214</v>
      </c>
      <c r="W1062" s="92" t="str">
        <f t="shared" si="87"/>
        <v>Reyes Tudela,Vicente</v>
      </c>
      <c r="X1062" s="95">
        <f t="shared" si="85"/>
        <v>3</v>
      </c>
      <c r="Y1062" s="95">
        <f t="shared" si="86"/>
        <v>2022</v>
      </c>
      <c r="Z1062" s="103" t="s">
        <v>265</v>
      </c>
      <c r="AA1062" t="str">
        <f>IF(Tabla1[[#This Row],[Kerma en aire acumulada (Gy)]]&gt;1,SUMIF(G:G,Tabla1[[#This Row],[SIP]],I:I)-Tabla1[[#This Row],[Kerma en aire acumulada (Gy)]],"")</f>
        <v/>
      </c>
    </row>
    <row r="1063" spans="3:27">
      <c r="C1063" s="147" t="s">
        <v>1088</v>
      </c>
      <c r="D1063" s="134" t="s">
        <v>1968</v>
      </c>
      <c r="E1063" s="134" t="s">
        <v>1969</v>
      </c>
      <c r="F1063" s="134" t="s">
        <v>1104</v>
      </c>
      <c r="G1063" s="134">
        <v>336415</v>
      </c>
      <c r="H1063" s="135">
        <v>44627</v>
      </c>
      <c r="I1063" s="134">
        <v>1.06924</v>
      </c>
      <c r="J1063" s="145"/>
      <c r="K1063" s="145"/>
      <c r="L1063" s="145"/>
      <c r="M1063" s="145"/>
      <c r="N1063" s="145"/>
      <c r="O1063" s="145"/>
      <c r="P1063" s="145"/>
      <c r="Q1063" s="145"/>
      <c r="R1063" s="145"/>
      <c r="S1063" s="145"/>
      <c r="T1063" s="135">
        <v>22831</v>
      </c>
      <c r="U1063" s="145"/>
      <c r="V1063" s="134" t="s">
        <v>89</v>
      </c>
      <c r="W1063" s="92" t="str">
        <f t="shared" si="87"/>
        <v>Bermudez Nogueira,Jose Luis</v>
      </c>
      <c r="X1063" s="95">
        <f t="shared" si="85"/>
        <v>3</v>
      </c>
      <c r="Y1063" s="95">
        <f t="shared" si="86"/>
        <v>2022</v>
      </c>
      <c r="Z1063" s="103" t="s">
        <v>265</v>
      </c>
      <c r="AA1063">
        <f>IF(Tabla1[[#This Row],[Kerma en aire acumulada (Gy)]]&gt;1,SUMIF(G:G,Tabla1[[#This Row],[SIP]],I:I)-Tabla1[[#This Row],[Kerma en aire acumulada (Gy)]],"")</f>
        <v>0.9939699999999998</v>
      </c>
    </row>
    <row r="1064" spans="3:27">
      <c r="C1064" s="147" t="s">
        <v>1088</v>
      </c>
      <c r="D1064" s="134" t="s">
        <v>1902</v>
      </c>
      <c r="E1064" s="134" t="s">
        <v>2188</v>
      </c>
      <c r="F1064" s="134" t="s">
        <v>2189</v>
      </c>
      <c r="G1064" s="134">
        <v>2332845</v>
      </c>
      <c r="H1064" s="135">
        <v>44627</v>
      </c>
      <c r="I1064" s="134">
        <v>0.75485000000000002</v>
      </c>
      <c r="J1064" s="145"/>
      <c r="K1064" s="145"/>
      <c r="L1064" s="145"/>
      <c r="M1064" s="145"/>
      <c r="N1064" s="145"/>
      <c r="O1064" s="145"/>
      <c r="P1064" s="145"/>
      <c r="Q1064" s="145"/>
      <c r="R1064" s="145"/>
      <c r="S1064" s="145"/>
      <c r="T1064" s="135">
        <v>23502</v>
      </c>
      <c r="U1064" s="145"/>
      <c r="V1064" s="134" t="s">
        <v>2190</v>
      </c>
      <c r="W1064" s="92" t="str">
        <f t="shared" si="87"/>
        <v>Roldan Miret,Juan Jose</v>
      </c>
      <c r="X1064" s="95">
        <f t="shared" si="85"/>
        <v>3</v>
      </c>
      <c r="Y1064" s="95">
        <f t="shared" si="86"/>
        <v>2022</v>
      </c>
      <c r="Z1064" s="103" t="s">
        <v>265</v>
      </c>
      <c r="AA1064" t="str">
        <f>IF(Tabla1[[#This Row],[Kerma en aire acumulada (Gy)]]&gt;1,SUMIF(G:G,Tabla1[[#This Row],[SIP]],I:I)-Tabla1[[#This Row],[Kerma en aire acumulada (Gy)]],"")</f>
        <v/>
      </c>
    </row>
    <row r="1065" spans="3:27">
      <c r="C1065" s="147" t="s">
        <v>1088</v>
      </c>
      <c r="D1065" s="134" t="s">
        <v>2208</v>
      </c>
      <c r="E1065" s="134" t="s">
        <v>2209</v>
      </c>
      <c r="F1065" s="134" t="s">
        <v>1976</v>
      </c>
      <c r="G1065" s="134">
        <v>3105160</v>
      </c>
      <c r="H1065" s="135">
        <v>44627</v>
      </c>
      <c r="I1065" s="134">
        <v>0.56691000000000003</v>
      </c>
      <c r="J1065" s="145"/>
      <c r="K1065" s="145"/>
      <c r="L1065" s="145"/>
      <c r="M1065" s="145"/>
      <c r="N1065" s="145"/>
      <c r="O1065" s="145"/>
      <c r="P1065" s="145"/>
      <c r="Q1065" s="145"/>
      <c r="R1065" s="145"/>
      <c r="S1065" s="145"/>
      <c r="T1065" s="135">
        <v>31374</v>
      </c>
      <c r="U1065" s="145"/>
      <c r="V1065" s="134" t="s">
        <v>2210</v>
      </c>
      <c r="W1065" s="92" t="str">
        <f t="shared" si="87"/>
        <v>Correixa Xardo,Sergio</v>
      </c>
      <c r="X1065" s="95">
        <f t="shared" si="85"/>
        <v>3</v>
      </c>
      <c r="Y1065" s="95">
        <f t="shared" si="86"/>
        <v>2022</v>
      </c>
      <c r="Z1065" s="103" t="s">
        <v>265</v>
      </c>
      <c r="AA1065" t="str">
        <f>IF(Tabla1[[#This Row],[Kerma en aire acumulada (Gy)]]&gt;1,SUMIF(G:G,Tabla1[[#This Row],[SIP]],I:I)-Tabla1[[#This Row],[Kerma en aire acumulada (Gy)]],"")</f>
        <v/>
      </c>
    </row>
    <row r="1066" spans="3:27">
      <c r="C1066" s="147" t="s">
        <v>1088</v>
      </c>
      <c r="D1066" s="134" t="s">
        <v>77</v>
      </c>
      <c r="E1066" s="134" t="s">
        <v>2211</v>
      </c>
      <c r="F1066" s="134" t="s">
        <v>2212</v>
      </c>
      <c r="G1066" s="134">
        <v>2983950</v>
      </c>
      <c r="H1066" s="135">
        <v>44627</v>
      </c>
      <c r="I1066" s="134">
        <v>1.907E-2</v>
      </c>
      <c r="J1066" s="145"/>
      <c r="K1066" s="145"/>
      <c r="L1066" s="145"/>
      <c r="M1066" s="145"/>
      <c r="N1066" s="145"/>
      <c r="O1066" s="145"/>
      <c r="P1066" s="145"/>
      <c r="Q1066" s="145"/>
      <c r="R1066" s="145"/>
      <c r="S1066" s="145"/>
      <c r="T1066" s="135">
        <v>12341</v>
      </c>
      <c r="U1066" s="145"/>
      <c r="V1066" s="134" t="s">
        <v>516</v>
      </c>
      <c r="W1066" s="92" t="str">
        <f t="shared" si="87"/>
        <v>Torres Canovas,Baltasar</v>
      </c>
      <c r="X1066" s="95">
        <f t="shared" si="85"/>
        <v>3</v>
      </c>
      <c r="Y1066" s="95">
        <f t="shared" si="86"/>
        <v>2022</v>
      </c>
      <c r="Z1066" s="103" t="s">
        <v>265</v>
      </c>
      <c r="AA1066" t="str">
        <f>IF(Tabla1[[#This Row],[Kerma en aire acumulada (Gy)]]&gt;1,SUMIF(G:G,Tabla1[[#This Row],[SIP]],I:I)-Tabla1[[#This Row],[Kerma en aire acumulada (Gy)]],"")</f>
        <v/>
      </c>
    </row>
    <row r="1067" spans="3:27">
      <c r="C1067" s="147" t="s">
        <v>1088</v>
      </c>
      <c r="D1067" s="134" t="s">
        <v>2171</v>
      </c>
      <c r="E1067" s="134" t="s">
        <v>2213</v>
      </c>
      <c r="F1067" s="134" t="s">
        <v>1074</v>
      </c>
      <c r="G1067" s="134">
        <v>576611</v>
      </c>
      <c r="H1067" s="135">
        <v>44627</v>
      </c>
      <c r="I1067" s="134">
        <v>0.17677000000000001</v>
      </c>
      <c r="J1067" s="145"/>
      <c r="K1067" s="145"/>
      <c r="L1067" s="145"/>
      <c r="M1067" s="145"/>
      <c r="N1067" s="145"/>
      <c r="O1067" s="145"/>
      <c r="P1067" s="145"/>
      <c r="Q1067" s="145"/>
      <c r="R1067" s="145"/>
      <c r="S1067" s="145"/>
      <c r="T1067" s="135">
        <v>25978</v>
      </c>
      <c r="U1067" s="145"/>
      <c r="V1067" s="134" t="s">
        <v>1061</v>
      </c>
      <c r="W1067" s="92" t="str">
        <f t="shared" si="87"/>
        <v>Suarez De la Rosa,Raul</v>
      </c>
      <c r="X1067" s="95">
        <f t="shared" si="85"/>
        <v>3</v>
      </c>
      <c r="Y1067" s="95">
        <f t="shared" si="86"/>
        <v>2022</v>
      </c>
      <c r="Z1067" s="103" t="s">
        <v>265</v>
      </c>
      <c r="AA1067" t="str">
        <f>IF(Tabla1[[#This Row],[Kerma en aire acumulada (Gy)]]&gt;1,SUMIF(G:G,Tabla1[[#This Row],[SIP]],I:I)-Tabla1[[#This Row],[Kerma en aire acumulada (Gy)]],"")</f>
        <v/>
      </c>
    </row>
    <row r="1068" spans="3:27">
      <c r="C1068" s="147" t="s">
        <v>1088</v>
      </c>
      <c r="D1068" s="134" t="s">
        <v>945</v>
      </c>
      <c r="E1068" s="134" t="s">
        <v>960</v>
      </c>
      <c r="F1068" s="134" t="s">
        <v>1155</v>
      </c>
      <c r="G1068" s="134">
        <v>3363546</v>
      </c>
      <c r="H1068" s="135">
        <v>44627</v>
      </c>
      <c r="I1068" s="134">
        <v>5.5799999999999999E-3</v>
      </c>
      <c r="J1068" s="145"/>
      <c r="K1068" s="145"/>
      <c r="L1068" s="145"/>
      <c r="M1068" s="145"/>
      <c r="N1068" s="145"/>
      <c r="O1068" s="145"/>
      <c r="P1068" s="145"/>
      <c r="Q1068" s="145"/>
      <c r="R1068" s="145"/>
      <c r="S1068" s="145"/>
      <c r="T1068" s="135">
        <v>17773</v>
      </c>
      <c r="U1068" s="145"/>
      <c r="V1068" s="134" t="s">
        <v>2237</v>
      </c>
      <c r="W1068" s="92" t="str">
        <f t="shared" si="87"/>
        <v>Ponce Lopez,Maria</v>
      </c>
      <c r="X1068" s="95">
        <f t="shared" si="85"/>
        <v>3</v>
      </c>
      <c r="Y1068" s="95">
        <f t="shared" si="86"/>
        <v>2022</v>
      </c>
      <c r="Z1068" s="136" t="s">
        <v>2238</v>
      </c>
      <c r="AA1068" t="str">
        <f>IF(Tabla1[[#This Row],[Kerma en aire acumulada (Gy)]]&gt;1,SUMIF(G:G,Tabla1[[#This Row],[SIP]],I:I)-Tabla1[[#This Row],[Kerma en aire acumulada (Gy)]],"")</f>
        <v/>
      </c>
    </row>
    <row r="1069" spans="3:27">
      <c r="C1069" s="147" t="s">
        <v>1088</v>
      </c>
      <c r="D1069" s="134" t="s">
        <v>2185</v>
      </c>
      <c r="E1069" s="134" t="s">
        <v>308</v>
      </c>
      <c r="F1069" s="134" t="s">
        <v>2186</v>
      </c>
      <c r="G1069" s="134">
        <v>2336284</v>
      </c>
      <c r="H1069" s="135">
        <v>44628</v>
      </c>
      <c r="I1069" s="134">
        <v>0.34597</v>
      </c>
      <c r="J1069" s="145"/>
      <c r="K1069" s="145"/>
      <c r="L1069" s="145"/>
      <c r="M1069" s="145"/>
      <c r="N1069" s="145"/>
      <c r="O1069" s="145"/>
      <c r="P1069" s="145"/>
      <c r="Q1069" s="145"/>
      <c r="R1069" s="145"/>
      <c r="S1069" s="145"/>
      <c r="T1069" s="135">
        <v>33011</v>
      </c>
      <c r="U1069" s="145"/>
      <c r="V1069" s="134" t="s">
        <v>1203</v>
      </c>
      <c r="W1069" s="92" t="str">
        <f t="shared" si="87"/>
        <v>Claramunt Montañana,Arantxa</v>
      </c>
      <c r="X1069" s="95">
        <f t="shared" si="85"/>
        <v>3</v>
      </c>
      <c r="Y1069" s="95">
        <f t="shared" si="86"/>
        <v>2022</v>
      </c>
      <c r="Z1069" s="103" t="s">
        <v>265</v>
      </c>
      <c r="AA1069" t="str">
        <f>IF(Tabla1[[#This Row],[Kerma en aire acumulada (Gy)]]&gt;1,SUMIF(G:G,Tabla1[[#This Row],[SIP]],I:I)-Tabla1[[#This Row],[Kerma en aire acumulada (Gy)]],"")</f>
        <v/>
      </c>
    </row>
    <row r="1070" spans="3:27">
      <c r="C1070" s="147" t="s">
        <v>1088</v>
      </c>
      <c r="D1070" s="134" t="s">
        <v>1275</v>
      </c>
      <c r="E1070" s="134" t="s">
        <v>2187</v>
      </c>
      <c r="F1070" s="134" t="s">
        <v>803</v>
      </c>
      <c r="G1070" s="134">
        <v>2087502</v>
      </c>
      <c r="H1070" s="135">
        <v>44628</v>
      </c>
      <c r="I1070" s="134">
        <v>4.1450000000000001E-2</v>
      </c>
      <c r="J1070" s="145"/>
      <c r="K1070" s="145"/>
      <c r="L1070" s="145"/>
      <c r="M1070" s="145"/>
      <c r="N1070" s="145"/>
      <c r="O1070" s="145"/>
      <c r="P1070" s="145"/>
      <c r="Q1070" s="145"/>
      <c r="R1070" s="145"/>
      <c r="S1070" s="145"/>
      <c r="T1070" s="135">
        <v>28857</v>
      </c>
      <c r="U1070" s="145"/>
      <c r="V1070" s="134" t="s">
        <v>1203</v>
      </c>
      <c r="W1070" s="92" t="str">
        <f t="shared" si="87"/>
        <v>Ramirez Peñafiel,Inmaculada</v>
      </c>
      <c r="X1070" s="95">
        <f t="shared" si="85"/>
        <v>3</v>
      </c>
      <c r="Y1070" s="95">
        <f t="shared" si="86"/>
        <v>2022</v>
      </c>
      <c r="Z1070" s="103" t="s">
        <v>265</v>
      </c>
      <c r="AA1070" t="str">
        <f>IF(Tabla1[[#This Row],[Kerma en aire acumulada (Gy)]]&gt;1,SUMIF(G:G,Tabla1[[#This Row],[SIP]],I:I)-Tabla1[[#This Row],[Kerma en aire acumulada (Gy)]],"")</f>
        <v/>
      </c>
    </row>
    <row r="1071" spans="3:27">
      <c r="C1071" s="147" t="s">
        <v>1088</v>
      </c>
      <c r="D1071" s="134" t="s">
        <v>156</v>
      </c>
      <c r="E1071" s="134" t="s">
        <v>839</v>
      </c>
      <c r="F1071" s="134" t="s">
        <v>2183</v>
      </c>
      <c r="G1071" s="134">
        <v>4563908</v>
      </c>
      <c r="H1071" s="135">
        <v>44628</v>
      </c>
      <c r="I1071" s="134">
        <v>0.24951000000000001</v>
      </c>
      <c r="J1071" s="145"/>
      <c r="K1071" s="145"/>
      <c r="L1071" s="145"/>
      <c r="M1071" s="145"/>
      <c r="N1071" s="145"/>
      <c r="O1071" s="145"/>
      <c r="P1071" s="145"/>
      <c r="Q1071" s="145"/>
      <c r="R1071" s="145"/>
      <c r="S1071" s="145"/>
      <c r="T1071" s="135">
        <v>19283</v>
      </c>
      <c r="U1071" s="145"/>
      <c r="V1071" s="134" t="s">
        <v>1711</v>
      </c>
      <c r="W1071" s="92" t="str">
        <f t="shared" si="87"/>
        <v>Pastor Ferrer,Agustin</v>
      </c>
      <c r="X1071" s="95">
        <f t="shared" si="85"/>
        <v>3</v>
      </c>
      <c r="Y1071" s="95">
        <f t="shared" si="86"/>
        <v>2022</v>
      </c>
      <c r="Z1071" s="103" t="s">
        <v>265</v>
      </c>
      <c r="AA1071" t="str">
        <f>IF(Tabla1[[#This Row],[Kerma en aire acumulada (Gy)]]&gt;1,SUMIF(G:G,Tabla1[[#This Row],[SIP]],I:I)-Tabla1[[#This Row],[Kerma en aire acumulada (Gy)]],"")</f>
        <v/>
      </c>
    </row>
    <row r="1072" spans="3:27">
      <c r="C1072" s="147" t="s">
        <v>1088</v>
      </c>
      <c r="D1072" s="134" t="s">
        <v>22</v>
      </c>
      <c r="E1072" s="134" t="s">
        <v>1841</v>
      </c>
      <c r="F1072" s="134" t="s">
        <v>802</v>
      </c>
      <c r="G1072" s="134">
        <v>3806186</v>
      </c>
      <c r="H1072" s="135">
        <v>44628</v>
      </c>
      <c r="I1072" s="134">
        <v>1.5890000000000001E-2</v>
      </c>
      <c r="J1072" s="145"/>
      <c r="K1072" s="145"/>
      <c r="L1072" s="145"/>
      <c r="M1072" s="145"/>
      <c r="N1072" s="145"/>
      <c r="O1072" s="145"/>
      <c r="P1072" s="145"/>
      <c r="Q1072" s="145"/>
      <c r="R1072" s="145"/>
      <c r="S1072" s="145"/>
      <c r="T1072" s="135">
        <v>28980</v>
      </c>
      <c r="U1072" s="145"/>
      <c r="V1072" s="134" t="s">
        <v>533</v>
      </c>
      <c r="W1072" s="92" t="str">
        <f t="shared" si="87"/>
        <v>Ruiz Rueda,Noelia</v>
      </c>
      <c r="X1072" s="95">
        <f t="shared" si="85"/>
        <v>3</v>
      </c>
      <c r="Y1072" s="95">
        <f t="shared" si="86"/>
        <v>2022</v>
      </c>
      <c r="Z1072" s="103" t="s">
        <v>265</v>
      </c>
      <c r="AA1072" t="str">
        <f>IF(Tabla1[[#This Row],[Kerma en aire acumulada (Gy)]]&gt;1,SUMIF(G:G,Tabla1[[#This Row],[SIP]],I:I)-Tabla1[[#This Row],[Kerma en aire acumulada (Gy)]],"")</f>
        <v/>
      </c>
    </row>
    <row r="1073" spans="3:27">
      <c r="C1073" s="147" t="s">
        <v>1088</v>
      </c>
      <c r="D1073" s="134" t="s">
        <v>1762</v>
      </c>
      <c r="E1073" s="134" t="s">
        <v>2123</v>
      </c>
      <c r="F1073" s="134" t="s">
        <v>2204</v>
      </c>
      <c r="G1073" s="134">
        <v>3113180</v>
      </c>
      <c r="H1073" s="135">
        <v>44628</v>
      </c>
      <c r="I1073" s="134">
        <v>0.96752000000000005</v>
      </c>
      <c r="J1073" s="145"/>
      <c r="K1073" s="145"/>
      <c r="L1073" s="145"/>
      <c r="M1073" s="145"/>
      <c r="N1073" s="145"/>
      <c r="O1073" s="145"/>
      <c r="P1073" s="145"/>
      <c r="Q1073" s="145"/>
      <c r="R1073" s="145"/>
      <c r="S1073" s="145"/>
      <c r="T1073" s="135">
        <v>17069</v>
      </c>
      <c r="U1073" s="145"/>
      <c r="V1073" s="134" t="s">
        <v>1635</v>
      </c>
      <c r="W1073" s="92" t="str">
        <f t="shared" si="87"/>
        <v>Santos Diez,M Merced</v>
      </c>
      <c r="X1073" s="95">
        <f t="shared" si="85"/>
        <v>3</v>
      </c>
      <c r="Y1073" s="95">
        <f t="shared" si="86"/>
        <v>2022</v>
      </c>
      <c r="Z1073" s="103" t="s">
        <v>265</v>
      </c>
      <c r="AA1073" t="str">
        <f>IF(Tabla1[[#This Row],[Kerma en aire acumulada (Gy)]]&gt;1,SUMIF(G:G,Tabla1[[#This Row],[SIP]],I:I)-Tabla1[[#This Row],[Kerma en aire acumulada (Gy)]],"")</f>
        <v/>
      </c>
    </row>
    <row r="1074" spans="3:27">
      <c r="C1074" s="147" t="s">
        <v>1088</v>
      </c>
      <c r="D1074" s="134" t="s">
        <v>43</v>
      </c>
      <c r="E1074" s="134" t="s">
        <v>2205</v>
      </c>
      <c r="F1074" s="134" t="s">
        <v>2206</v>
      </c>
      <c r="G1074" s="134">
        <v>3252439</v>
      </c>
      <c r="H1074" s="135">
        <v>44628</v>
      </c>
      <c r="I1074" s="134">
        <v>1.7809999999999999E-2</v>
      </c>
      <c r="J1074" s="145"/>
      <c r="K1074" s="145"/>
      <c r="L1074" s="145"/>
      <c r="M1074" s="145"/>
      <c r="N1074" s="145"/>
      <c r="O1074" s="145"/>
      <c r="P1074" s="145"/>
      <c r="Q1074" s="145"/>
      <c r="R1074" s="145"/>
      <c r="S1074" s="145"/>
      <c r="T1074" s="135">
        <v>33033</v>
      </c>
      <c r="U1074" s="145"/>
      <c r="V1074" s="134" t="s">
        <v>2207</v>
      </c>
      <c r="W1074" s="92" t="str">
        <f t="shared" si="87"/>
        <v>Cuenca Quiros,Miguel Enrique</v>
      </c>
      <c r="X1074" s="95">
        <f t="shared" si="85"/>
        <v>3</v>
      </c>
      <c r="Y1074" s="95">
        <f t="shared" si="86"/>
        <v>2022</v>
      </c>
      <c r="Z1074" s="103" t="s">
        <v>265</v>
      </c>
      <c r="AA1074" t="str">
        <f>IF(Tabla1[[#This Row],[Kerma en aire acumulada (Gy)]]&gt;1,SUMIF(G:G,Tabla1[[#This Row],[SIP]],I:I)-Tabla1[[#This Row],[Kerma en aire acumulada (Gy)]],"")</f>
        <v/>
      </c>
    </row>
    <row r="1075" spans="3:27">
      <c r="C1075" s="147" t="s">
        <v>1088</v>
      </c>
      <c r="D1075" s="134" t="s">
        <v>948</v>
      </c>
      <c r="E1075" s="134" t="s">
        <v>1587</v>
      </c>
      <c r="F1075" s="134" t="s">
        <v>2257</v>
      </c>
      <c r="G1075" s="134">
        <v>2821878</v>
      </c>
      <c r="H1075" s="135">
        <v>44629</v>
      </c>
      <c r="I1075" s="134">
        <v>4.9599999999999998E-2</v>
      </c>
      <c r="J1075" s="145"/>
      <c r="K1075" s="145"/>
      <c r="L1075" s="145"/>
      <c r="M1075" s="145"/>
      <c r="N1075" s="145"/>
      <c r="O1075" s="145"/>
      <c r="P1075" s="145"/>
      <c r="Q1075" s="145"/>
      <c r="R1075" s="145"/>
      <c r="S1075" s="145"/>
      <c r="T1075" s="135">
        <v>24334</v>
      </c>
      <c r="U1075" s="145"/>
      <c r="V1075" s="134" t="s">
        <v>950</v>
      </c>
      <c r="W1075" s="92" t="str">
        <f t="shared" si="87"/>
        <v>Martinez Jimenez,Antolin</v>
      </c>
      <c r="X1075" s="95">
        <f t="shared" si="85"/>
        <v>3</v>
      </c>
      <c r="Y1075" s="95">
        <f t="shared" si="86"/>
        <v>2022</v>
      </c>
      <c r="Z1075" s="103" t="s">
        <v>265</v>
      </c>
      <c r="AA1075" t="str">
        <f>IF(Tabla1[[#This Row],[Kerma en aire acumulada (Gy)]]&gt;1,SUMIF(G:G,Tabla1[[#This Row],[SIP]],I:I)-Tabla1[[#This Row],[Kerma en aire acumulada (Gy)]],"")</f>
        <v/>
      </c>
    </row>
    <row r="1076" spans="3:27">
      <c r="C1076" s="147" t="s">
        <v>1088</v>
      </c>
      <c r="D1076" s="134" t="s">
        <v>1950</v>
      </c>
      <c r="E1076" s="134" t="s">
        <v>1951</v>
      </c>
      <c r="F1076" s="134" t="s">
        <v>1952</v>
      </c>
      <c r="G1076" s="134">
        <v>2922192</v>
      </c>
      <c r="H1076" s="135">
        <v>44629</v>
      </c>
      <c r="I1076" s="134">
        <v>0.11813</v>
      </c>
      <c r="J1076" s="145"/>
      <c r="K1076" s="145"/>
      <c r="L1076" s="145"/>
      <c r="M1076" s="145"/>
      <c r="N1076" s="145"/>
      <c r="O1076" s="145"/>
      <c r="P1076" s="145"/>
      <c r="Q1076" s="145"/>
      <c r="R1076" s="145"/>
      <c r="S1076" s="145"/>
      <c r="T1076" s="135">
        <v>22472</v>
      </c>
      <c r="U1076" s="145"/>
      <c r="V1076" s="134" t="s">
        <v>1061</v>
      </c>
      <c r="W1076" s="92" t="str">
        <f t="shared" si="87"/>
        <v>Adame Cerrada,Carlos Alfonso</v>
      </c>
      <c r="X1076" s="95">
        <f t="shared" si="85"/>
        <v>3</v>
      </c>
      <c r="Y1076" s="95">
        <f t="shared" si="86"/>
        <v>2022</v>
      </c>
      <c r="Z1076" s="103" t="s">
        <v>265</v>
      </c>
      <c r="AA1076" t="str">
        <f>IF(Tabla1[[#This Row],[Kerma en aire acumulada (Gy)]]&gt;1,SUMIF(G:G,Tabla1[[#This Row],[SIP]],I:I)-Tabla1[[#This Row],[Kerma en aire acumulada (Gy)]],"")</f>
        <v/>
      </c>
    </row>
    <row r="1077" spans="3:27">
      <c r="C1077" s="147" t="s">
        <v>1088</v>
      </c>
      <c r="D1077" s="134" t="s">
        <v>2258</v>
      </c>
      <c r="E1077" s="134" t="s">
        <v>2259</v>
      </c>
      <c r="F1077" s="134" t="s">
        <v>1238</v>
      </c>
      <c r="G1077" s="134">
        <v>2284441</v>
      </c>
      <c r="H1077" s="135">
        <v>44629</v>
      </c>
      <c r="I1077" s="134">
        <v>3.5699999999999998E-3</v>
      </c>
      <c r="J1077" s="145"/>
      <c r="K1077" s="145"/>
      <c r="L1077" s="145"/>
      <c r="M1077" s="145"/>
      <c r="N1077" s="145"/>
      <c r="O1077" s="145"/>
      <c r="P1077" s="145"/>
      <c r="Q1077" s="145"/>
      <c r="R1077" s="145"/>
      <c r="S1077" s="145"/>
      <c r="T1077" s="135">
        <v>28671</v>
      </c>
      <c r="U1077" s="145"/>
      <c r="V1077" s="134" t="s">
        <v>1274</v>
      </c>
      <c r="W1077" s="92" t="str">
        <f t="shared" si="87"/>
        <v>Carreras Devis,Angel</v>
      </c>
      <c r="X1077" s="95">
        <f t="shared" si="85"/>
        <v>3</v>
      </c>
      <c r="Y1077" s="95">
        <f t="shared" si="86"/>
        <v>2022</v>
      </c>
      <c r="Z1077" s="103" t="s">
        <v>265</v>
      </c>
      <c r="AA1077" t="str">
        <f>IF(Tabla1[[#This Row],[Kerma en aire acumulada (Gy)]]&gt;1,SUMIF(G:G,Tabla1[[#This Row],[SIP]],I:I)-Tabla1[[#This Row],[Kerma en aire acumulada (Gy)]],"")</f>
        <v/>
      </c>
    </row>
    <row r="1078" spans="3:27">
      <c r="C1078" s="147" t="s">
        <v>1088</v>
      </c>
      <c r="D1078" s="134" t="s">
        <v>337</v>
      </c>
      <c r="E1078" s="134" t="s">
        <v>1262</v>
      </c>
      <c r="F1078" s="134" t="s">
        <v>2219</v>
      </c>
      <c r="G1078" s="134">
        <v>4971128</v>
      </c>
      <c r="H1078" s="135">
        <v>44629</v>
      </c>
      <c r="I1078" s="134">
        <v>2.3000000000000001E-4</v>
      </c>
      <c r="J1078" s="145"/>
      <c r="K1078" s="145"/>
      <c r="L1078" s="145"/>
      <c r="M1078" s="145"/>
      <c r="N1078" s="145"/>
      <c r="O1078" s="145"/>
      <c r="P1078" s="145"/>
      <c r="Q1078" s="145"/>
      <c r="R1078" s="145"/>
      <c r="S1078" s="145"/>
      <c r="T1078" s="135">
        <v>37313</v>
      </c>
      <c r="U1078" s="145"/>
      <c r="V1078" s="134" t="s">
        <v>1929</v>
      </c>
      <c r="W1078" s="92" t="str">
        <f t="shared" si="87"/>
        <v>Garrido Diaz,Ainhoa</v>
      </c>
      <c r="X1078" s="95">
        <f t="shared" si="85"/>
        <v>3</v>
      </c>
      <c r="Y1078" s="95">
        <f t="shared" si="86"/>
        <v>2022</v>
      </c>
      <c r="Z1078" s="103" t="s">
        <v>265</v>
      </c>
      <c r="AA1078" t="str">
        <f>IF(Tabla1[[#This Row],[Kerma en aire acumulada (Gy)]]&gt;1,SUMIF(G:G,Tabla1[[#This Row],[SIP]],I:I)-Tabla1[[#This Row],[Kerma en aire acumulada (Gy)]],"")</f>
        <v/>
      </c>
    </row>
    <row r="1079" spans="3:27">
      <c r="C1079" s="147" t="s">
        <v>1088</v>
      </c>
      <c r="D1079" s="134" t="s">
        <v>2220</v>
      </c>
      <c r="E1079" s="134" t="s">
        <v>82</v>
      </c>
      <c r="F1079" s="134" t="s">
        <v>131</v>
      </c>
      <c r="G1079" s="134">
        <v>2825604</v>
      </c>
      <c r="H1079" s="135">
        <v>44629</v>
      </c>
      <c r="I1079" s="134">
        <v>4.9970000000000001E-2</v>
      </c>
      <c r="J1079" s="145"/>
      <c r="K1079" s="145"/>
      <c r="L1079" s="145"/>
      <c r="M1079" s="145"/>
      <c r="N1079" s="145"/>
      <c r="O1079" s="145"/>
      <c r="P1079" s="145"/>
      <c r="Q1079" s="145"/>
      <c r="R1079" s="145"/>
      <c r="S1079" s="145"/>
      <c r="T1079" s="135">
        <v>17707</v>
      </c>
      <c r="U1079" s="145"/>
      <c r="V1079" s="134" t="s">
        <v>516</v>
      </c>
      <c r="W1079" s="92" t="str">
        <f t="shared" si="87"/>
        <v>Beneto Pascual,Salvador</v>
      </c>
      <c r="X1079" s="95">
        <f t="shared" si="85"/>
        <v>3</v>
      </c>
      <c r="Y1079" s="95">
        <f t="shared" si="86"/>
        <v>2022</v>
      </c>
      <c r="Z1079" s="103" t="s">
        <v>265</v>
      </c>
      <c r="AA1079" t="str">
        <f>IF(Tabla1[[#This Row],[Kerma en aire acumulada (Gy)]]&gt;1,SUMIF(G:G,Tabla1[[#This Row],[SIP]],I:I)-Tabla1[[#This Row],[Kerma en aire acumulada (Gy)]],"")</f>
        <v/>
      </c>
    </row>
    <row r="1080" spans="3:27">
      <c r="C1080" s="147" t="s">
        <v>1088</v>
      </c>
      <c r="D1080" s="134" t="s">
        <v>288</v>
      </c>
      <c r="E1080" s="134" t="s">
        <v>948</v>
      </c>
      <c r="F1080" s="134" t="s">
        <v>546</v>
      </c>
      <c r="G1080" s="134">
        <v>4250017</v>
      </c>
      <c r="H1080" s="135">
        <v>44629</v>
      </c>
      <c r="I1080" s="134">
        <v>1.05688</v>
      </c>
      <c r="J1080" s="145"/>
      <c r="K1080" s="145"/>
      <c r="L1080" s="145"/>
      <c r="M1080" s="145"/>
      <c r="N1080" s="145"/>
      <c r="O1080" s="145"/>
      <c r="P1080" s="145"/>
      <c r="Q1080" s="145"/>
      <c r="R1080" s="145"/>
      <c r="S1080" s="145"/>
      <c r="T1080" s="135">
        <v>24500</v>
      </c>
      <c r="U1080" s="145"/>
      <c r="V1080" s="134" t="s">
        <v>151</v>
      </c>
      <c r="W1080" s="92" t="str">
        <f t="shared" si="87"/>
        <v>Ortiz Martinez,Luis</v>
      </c>
      <c r="X1080" s="95">
        <f t="shared" si="85"/>
        <v>3</v>
      </c>
      <c r="Y1080" s="95">
        <f t="shared" si="86"/>
        <v>2022</v>
      </c>
      <c r="Z1080" s="103" t="s">
        <v>265</v>
      </c>
      <c r="AA1080">
        <f>IF(Tabla1[[#This Row],[Kerma en aire acumulada (Gy)]]&gt;1,SUMIF(G:G,Tabla1[[#This Row],[SIP]],I:I)-Tabla1[[#This Row],[Kerma en aire acumulada (Gy)]],"")</f>
        <v>0</v>
      </c>
    </row>
    <row r="1081" spans="3:27">
      <c r="C1081" s="147" t="s">
        <v>1088</v>
      </c>
      <c r="D1081" s="134" t="s">
        <v>43</v>
      </c>
      <c r="E1081" s="134" t="s">
        <v>2205</v>
      </c>
      <c r="F1081" s="134" t="s">
        <v>2206</v>
      </c>
      <c r="G1081" s="134">
        <v>3252439</v>
      </c>
      <c r="H1081" s="135">
        <v>44629</v>
      </c>
      <c r="I1081" s="134">
        <v>9.75E-3</v>
      </c>
      <c r="J1081" s="145"/>
      <c r="K1081" s="145"/>
      <c r="L1081" s="145"/>
      <c r="M1081" s="145"/>
      <c r="N1081" s="145"/>
      <c r="O1081" s="145"/>
      <c r="P1081" s="145"/>
      <c r="Q1081" s="145"/>
      <c r="R1081" s="145"/>
      <c r="S1081" s="145"/>
      <c r="T1081" s="135">
        <v>33186</v>
      </c>
      <c r="U1081" s="145"/>
      <c r="V1081" s="134" t="s">
        <v>1922</v>
      </c>
      <c r="W1081" s="92" t="str">
        <f t="shared" si="87"/>
        <v>Cuenca Quiros,Miguel Enrique</v>
      </c>
      <c r="X1081" s="95">
        <f t="shared" si="85"/>
        <v>3</v>
      </c>
      <c r="Y1081" s="95">
        <f t="shared" si="86"/>
        <v>2022</v>
      </c>
      <c r="Z1081" s="103" t="s">
        <v>265</v>
      </c>
      <c r="AA1081" t="str">
        <f>IF(Tabla1[[#This Row],[Kerma en aire acumulada (Gy)]]&gt;1,SUMIF(G:G,Tabla1[[#This Row],[SIP]],I:I)-Tabla1[[#This Row],[Kerma en aire acumulada (Gy)]],"")</f>
        <v/>
      </c>
    </row>
    <row r="1082" spans="3:27">
      <c r="C1082" s="147" t="s">
        <v>1088</v>
      </c>
      <c r="D1082" s="134" t="s">
        <v>2284</v>
      </c>
      <c r="E1082" s="134" t="s">
        <v>2285</v>
      </c>
      <c r="F1082" s="134" t="s">
        <v>2286</v>
      </c>
      <c r="G1082" s="134">
        <v>2323595</v>
      </c>
      <c r="H1082" s="135">
        <v>44629</v>
      </c>
      <c r="I1082" s="134">
        <v>0.18493000000000001</v>
      </c>
      <c r="J1082" s="145"/>
      <c r="K1082" s="145"/>
      <c r="L1082" s="145"/>
      <c r="M1082" s="145"/>
      <c r="N1082" s="145"/>
      <c r="O1082" s="145"/>
      <c r="P1082" s="145"/>
      <c r="Q1082" s="145"/>
      <c r="R1082" s="145"/>
      <c r="S1082" s="145"/>
      <c r="T1082" s="135">
        <v>18227</v>
      </c>
      <c r="U1082" s="145"/>
      <c r="V1082" s="134" t="s">
        <v>128</v>
      </c>
      <c r="W1082" s="92" t="str">
        <f t="shared" si="87"/>
        <v>Araya Alarcon,Eladia de la Cruz</v>
      </c>
      <c r="X1082" s="95">
        <f t="shared" si="85"/>
        <v>3</v>
      </c>
      <c r="Y1082" s="95">
        <f t="shared" si="86"/>
        <v>2022</v>
      </c>
      <c r="Z1082" s="103" t="s">
        <v>265</v>
      </c>
      <c r="AA1082" t="str">
        <f>IF(Tabla1[[#This Row],[Kerma en aire acumulada (Gy)]]&gt;1,SUMIF(G:G,Tabla1[[#This Row],[SIP]],I:I)-Tabla1[[#This Row],[Kerma en aire acumulada (Gy)]],"")</f>
        <v/>
      </c>
    </row>
    <row r="1083" spans="3:27">
      <c r="C1083" s="147" t="s">
        <v>1088</v>
      </c>
      <c r="D1083" s="134" t="s">
        <v>2279</v>
      </c>
      <c r="E1083" s="134" t="s">
        <v>2280</v>
      </c>
      <c r="F1083" s="134" t="s">
        <v>2281</v>
      </c>
      <c r="G1083" s="134">
        <v>4800950</v>
      </c>
      <c r="H1083" s="135">
        <v>44630</v>
      </c>
      <c r="I1083" s="134">
        <v>7.8600000000000007E-3</v>
      </c>
      <c r="J1083" s="145"/>
      <c r="K1083" s="145"/>
      <c r="L1083" s="145"/>
      <c r="M1083" s="145"/>
      <c r="N1083" s="145"/>
      <c r="O1083" s="145"/>
      <c r="P1083" s="145"/>
      <c r="Q1083" s="145"/>
      <c r="R1083" s="145"/>
      <c r="S1083" s="145"/>
      <c r="T1083" s="135">
        <v>36059</v>
      </c>
      <c r="U1083" s="145"/>
      <c r="V1083" s="134" t="s">
        <v>950</v>
      </c>
      <c r="W1083" s="92" t="str">
        <f t="shared" si="87"/>
        <v>Perreira Carrio,Miriam</v>
      </c>
      <c r="X1083" s="95">
        <f t="shared" si="85"/>
        <v>3</v>
      </c>
      <c r="Y1083" s="95">
        <f t="shared" si="86"/>
        <v>2022</v>
      </c>
      <c r="Z1083" s="103" t="s">
        <v>265</v>
      </c>
      <c r="AA1083" t="str">
        <f>IF(Tabla1[[#This Row],[Kerma en aire acumulada (Gy)]]&gt;1,SUMIF(G:G,Tabla1[[#This Row],[SIP]],I:I)-Tabla1[[#This Row],[Kerma en aire acumulada (Gy)]],"")</f>
        <v/>
      </c>
    </row>
    <row r="1084" spans="3:27">
      <c r="C1084" s="147" t="s">
        <v>1088</v>
      </c>
      <c r="D1084" s="134" t="s">
        <v>1178</v>
      </c>
      <c r="E1084" s="134" t="s">
        <v>88</v>
      </c>
      <c r="F1084" s="134" t="s">
        <v>82</v>
      </c>
      <c r="G1084" s="134">
        <v>2288618</v>
      </c>
      <c r="H1084" s="135">
        <v>44630</v>
      </c>
      <c r="I1084" s="134">
        <v>2.9899999999999999E-2</v>
      </c>
      <c r="J1084" s="145"/>
      <c r="K1084" s="145"/>
      <c r="L1084" s="145"/>
      <c r="M1084" s="145"/>
      <c r="N1084" s="145"/>
      <c r="O1084" s="145"/>
      <c r="P1084" s="145"/>
      <c r="Q1084" s="145"/>
      <c r="R1084" s="145"/>
      <c r="S1084" s="145"/>
      <c r="T1084" s="135">
        <v>20931</v>
      </c>
      <c r="U1084" s="145"/>
      <c r="V1084" s="134" t="s">
        <v>1767</v>
      </c>
      <c r="W1084" s="92" t="str">
        <f t="shared" si="87"/>
        <v>Montes Vicente,Pascual</v>
      </c>
      <c r="X1084" s="95">
        <f t="shared" si="85"/>
        <v>3</v>
      </c>
      <c r="Y1084" s="95">
        <f t="shared" si="86"/>
        <v>2022</v>
      </c>
      <c r="Z1084" s="103" t="s">
        <v>265</v>
      </c>
      <c r="AA1084" t="str">
        <f>IF(Tabla1[[#This Row],[Kerma en aire acumulada (Gy)]]&gt;1,SUMIF(G:G,Tabla1[[#This Row],[SIP]],I:I)-Tabla1[[#This Row],[Kerma en aire acumulada (Gy)]],"")</f>
        <v/>
      </c>
    </row>
    <row r="1085" spans="3:27">
      <c r="C1085" s="147" t="s">
        <v>1088</v>
      </c>
      <c r="D1085" s="134" t="s">
        <v>156</v>
      </c>
      <c r="E1085" s="134" t="s">
        <v>2282</v>
      </c>
      <c r="F1085" s="134" t="s">
        <v>1804</v>
      </c>
      <c r="G1085" s="134">
        <v>3578548</v>
      </c>
      <c r="H1085" s="135">
        <v>44630</v>
      </c>
      <c r="I1085" s="134">
        <v>0.19744999999999999</v>
      </c>
      <c r="J1085" s="145"/>
      <c r="K1085" s="145"/>
      <c r="L1085" s="145"/>
      <c r="M1085" s="145"/>
      <c r="N1085" s="145"/>
      <c r="O1085" s="145"/>
      <c r="P1085" s="145"/>
      <c r="Q1085" s="145"/>
      <c r="R1085" s="145"/>
      <c r="S1085" s="145"/>
      <c r="T1085" s="135">
        <v>27117</v>
      </c>
      <c r="U1085" s="145"/>
      <c r="V1085" s="134" t="s">
        <v>128</v>
      </c>
      <c r="W1085" s="92" t="str">
        <f t="shared" si="87"/>
        <v>Pastor Mira,Jose Miguel</v>
      </c>
      <c r="X1085" s="95">
        <f t="shared" si="85"/>
        <v>3</v>
      </c>
      <c r="Y1085" s="95">
        <f t="shared" si="86"/>
        <v>2022</v>
      </c>
      <c r="Z1085" s="103" t="s">
        <v>265</v>
      </c>
      <c r="AA1085" t="str">
        <f>IF(Tabla1[[#This Row],[Kerma en aire acumulada (Gy)]]&gt;1,SUMIF(G:G,Tabla1[[#This Row],[SIP]],I:I)-Tabla1[[#This Row],[Kerma en aire acumulada (Gy)]],"")</f>
        <v/>
      </c>
    </row>
    <row r="1086" spans="3:27">
      <c r="C1086" s="147" t="s">
        <v>1088</v>
      </c>
      <c r="D1086" s="134" t="s">
        <v>159</v>
      </c>
      <c r="E1086" s="134" t="s">
        <v>1262</v>
      </c>
      <c r="F1086" s="134" t="s">
        <v>2283</v>
      </c>
      <c r="G1086" s="134">
        <v>2149040</v>
      </c>
      <c r="H1086" s="135">
        <v>44630</v>
      </c>
      <c r="I1086" s="134">
        <v>3.7299999999999998E-3</v>
      </c>
      <c r="J1086" s="145"/>
      <c r="K1086" s="145"/>
      <c r="L1086" s="145"/>
      <c r="M1086" s="145"/>
      <c r="N1086" s="145"/>
      <c r="O1086" s="145"/>
      <c r="P1086" s="145"/>
      <c r="Q1086" s="145"/>
      <c r="R1086" s="145"/>
      <c r="S1086" s="145"/>
      <c r="T1086" s="135">
        <v>20221</v>
      </c>
      <c r="U1086" s="145"/>
      <c r="V1086" s="134" t="s">
        <v>516</v>
      </c>
      <c r="W1086" s="92" t="str">
        <f t="shared" si="87"/>
        <v>Villar Diaz,Domitila</v>
      </c>
      <c r="X1086" s="95">
        <f t="shared" si="85"/>
        <v>3</v>
      </c>
      <c r="Y1086" s="95">
        <f t="shared" si="86"/>
        <v>2022</v>
      </c>
      <c r="Z1086" s="103" t="s">
        <v>265</v>
      </c>
      <c r="AA1086" t="str">
        <f>IF(Tabla1[[#This Row],[Kerma en aire acumulada (Gy)]]&gt;1,SUMIF(G:G,Tabla1[[#This Row],[SIP]],I:I)-Tabla1[[#This Row],[Kerma en aire acumulada (Gy)]],"")</f>
        <v/>
      </c>
    </row>
    <row r="1087" spans="3:27">
      <c r="C1087" s="147" t="s">
        <v>1088</v>
      </c>
      <c r="D1087" s="134" t="s">
        <v>105</v>
      </c>
      <c r="E1087" s="134" t="s">
        <v>960</v>
      </c>
      <c r="F1087" s="134" t="s">
        <v>75</v>
      </c>
      <c r="G1087" s="134">
        <v>1353262</v>
      </c>
      <c r="H1087" s="135">
        <v>44630</v>
      </c>
      <c r="I1087" s="134">
        <v>1.9400000000000001E-3</v>
      </c>
      <c r="J1087" s="145"/>
      <c r="K1087" s="145"/>
      <c r="L1087" s="145"/>
      <c r="M1087" s="145"/>
      <c r="N1087" s="145"/>
      <c r="O1087" s="145"/>
      <c r="P1087" s="145"/>
      <c r="Q1087" s="145"/>
      <c r="R1087" s="145"/>
      <c r="S1087" s="145"/>
      <c r="T1087" s="135">
        <v>28822</v>
      </c>
      <c r="U1087" s="145"/>
      <c r="V1087" s="134" t="s">
        <v>2237</v>
      </c>
      <c r="W1087" s="92" t="str">
        <f t="shared" si="87"/>
        <v>Soriano Lopez,Javier</v>
      </c>
      <c r="X1087" s="95">
        <f t="shared" si="85"/>
        <v>3</v>
      </c>
      <c r="Y1087" s="95">
        <f t="shared" si="86"/>
        <v>2022</v>
      </c>
      <c r="Z1087" s="103" t="s">
        <v>2238</v>
      </c>
      <c r="AA1087" t="str">
        <f>IF(Tabla1[[#This Row],[Kerma en aire acumulada (Gy)]]&gt;1,SUMIF(G:G,Tabla1[[#This Row],[SIP]],I:I)-Tabla1[[#This Row],[Kerma en aire acumulada (Gy)]],"")</f>
        <v/>
      </c>
    </row>
    <row r="1088" spans="3:27">
      <c r="C1088" s="147" t="s">
        <v>1088</v>
      </c>
      <c r="D1088" s="134" t="s">
        <v>2328</v>
      </c>
      <c r="E1088" s="134" t="s">
        <v>2329</v>
      </c>
      <c r="F1088" s="134" t="s">
        <v>2330</v>
      </c>
      <c r="G1088" s="134">
        <v>5288923</v>
      </c>
      <c r="H1088" s="135">
        <v>44630</v>
      </c>
      <c r="I1088" s="134">
        <v>0.37231999999999998</v>
      </c>
      <c r="J1088" s="145"/>
      <c r="K1088" s="145"/>
      <c r="L1088" s="145"/>
      <c r="M1088" s="145"/>
      <c r="N1088" s="145"/>
      <c r="O1088" s="145"/>
      <c r="P1088" s="145"/>
      <c r="Q1088" s="145"/>
      <c r="R1088" s="145"/>
      <c r="S1088" s="145"/>
      <c r="T1088" s="135">
        <v>25827</v>
      </c>
      <c r="U1088" s="145"/>
      <c r="V1088" s="134" t="s">
        <v>2241</v>
      </c>
      <c r="W1088" s="92" t="str">
        <f t="shared" si="87"/>
        <v>Delgadillo Panozo,Eufemia altagracia</v>
      </c>
      <c r="X1088" s="95">
        <f t="shared" si="85"/>
        <v>3</v>
      </c>
      <c r="Y1088" s="95">
        <f t="shared" si="86"/>
        <v>2022</v>
      </c>
      <c r="Z1088" s="103" t="s">
        <v>2238</v>
      </c>
      <c r="AA1088" t="str">
        <f>IF(Tabla1[[#This Row],[Kerma en aire acumulada (Gy)]]&gt;1,SUMIF(G:G,Tabla1[[#This Row],[SIP]],I:I)-Tabla1[[#This Row],[Kerma en aire acumulada (Gy)]],"")</f>
        <v/>
      </c>
    </row>
    <row r="1089" spans="3:27">
      <c r="C1089" s="147" t="s">
        <v>1088</v>
      </c>
      <c r="D1089" s="134" t="s">
        <v>2331</v>
      </c>
      <c r="E1089" s="134" t="s">
        <v>66</v>
      </c>
      <c r="F1089" s="134" t="s">
        <v>83</v>
      </c>
      <c r="G1089" s="134">
        <v>1860522</v>
      </c>
      <c r="H1089" s="135">
        <v>44630</v>
      </c>
      <c r="I1089" s="134">
        <v>8.2419999999999993E-2</v>
      </c>
      <c r="J1089" s="145"/>
      <c r="K1089" s="145"/>
      <c r="L1089" s="145"/>
      <c r="M1089" s="145"/>
      <c r="N1089" s="145"/>
      <c r="O1089" s="145"/>
      <c r="P1089" s="145"/>
      <c r="Q1089" s="145"/>
      <c r="R1089" s="145"/>
      <c r="S1089" s="145"/>
      <c r="T1089" s="135">
        <v>22209</v>
      </c>
      <c r="U1089" s="145"/>
      <c r="V1089" s="134" t="s">
        <v>2237</v>
      </c>
      <c r="W1089" s="92" t="str">
        <f t="shared" si="87"/>
        <v>Sampere Navarro,Francisco</v>
      </c>
      <c r="X1089" s="95">
        <f t="shared" si="85"/>
        <v>3</v>
      </c>
      <c r="Y1089" s="95">
        <f t="shared" si="86"/>
        <v>2022</v>
      </c>
      <c r="Z1089" s="103" t="s">
        <v>2238</v>
      </c>
      <c r="AA1089" t="str">
        <f>IF(Tabla1[[#This Row],[Kerma en aire acumulada (Gy)]]&gt;1,SUMIF(G:G,Tabla1[[#This Row],[SIP]],I:I)-Tabla1[[#This Row],[Kerma en aire acumulada (Gy)]],"")</f>
        <v/>
      </c>
    </row>
    <row r="1090" spans="3:27">
      <c r="C1090" s="147" t="s">
        <v>1088</v>
      </c>
      <c r="D1090" s="134" t="s">
        <v>2275</v>
      </c>
      <c r="E1090" s="134" t="s">
        <v>944</v>
      </c>
      <c r="F1090" s="134" t="s">
        <v>1139</v>
      </c>
      <c r="G1090" s="134">
        <v>2033370</v>
      </c>
      <c r="H1090" s="135">
        <v>44631</v>
      </c>
      <c r="I1090" s="134">
        <v>4.7469999999999998E-2</v>
      </c>
      <c r="J1090" s="145"/>
      <c r="K1090" s="145"/>
      <c r="L1090" s="145"/>
      <c r="M1090" s="145"/>
      <c r="N1090" s="145"/>
      <c r="O1090" s="145"/>
      <c r="P1090" s="145"/>
      <c r="Q1090" s="145"/>
      <c r="R1090" s="145"/>
      <c r="S1090" s="145"/>
      <c r="T1090" s="135">
        <v>25741</v>
      </c>
      <c r="U1090" s="145"/>
      <c r="V1090" s="134" t="s">
        <v>2079</v>
      </c>
      <c r="W1090" s="92" t="str">
        <f t="shared" si="87"/>
        <v>Simeon  Peris,Jose Vicente</v>
      </c>
      <c r="X1090" s="95">
        <f t="shared" si="85"/>
        <v>3</v>
      </c>
      <c r="Y1090" s="95">
        <f t="shared" si="86"/>
        <v>2022</v>
      </c>
      <c r="Z1090" s="103" t="s">
        <v>265</v>
      </c>
      <c r="AA1090" t="str">
        <f>IF(Tabla1[[#This Row],[Kerma en aire acumulada (Gy)]]&gt;1,SUMIF(G:G,Tabla1[[#This Row],[SIP]],I:I)-Tabla1[[#This Row],[Kerma en aire acumulada (Gy)]],"")</f>
        <v/>
      </c>
    </row>
    <row r="1091" spans="3:27">
      <c r="C1091" s="147" t="s">
        <v>1088</v>
      </c>
      <c r="D1091" s="134" t="s">
        <v>2276</v>
      </c>
      <c r="E1091" s="134" t="s">
        <v>2277</v>
      </c>
      <c r="F1091" s="134" t="s">
        <v>2278</v>
      </c>
      <c r="G1091" s="134">
        <v>2251149</v>
      </c>
      <c r="H1091" s="135">
        <v>44631</v>
      </c>
      <c r="I1091" s="134">
        <v>4.2180000000000002E-2</v>
      </c>
      <c r="J1091" s="145"/>
      <c r="K1091" s="145"/>
      <c r="L1091" s="145"/>
      <c r="M1091" s="145"/>
      <c r="N1091" s="145"/>
      <c r="O1091" s="145"/>
      <c r="P1091" s="145"/>
      <c r="Q1091" s="145"/>
      <c r="R1091" s="145"/>
      <c r="S1091" s="145"/>
      <c r="T1091" s="135">
        <v>13824</v>
      </c>
      <c r="U1091" s="145"/>
      <c r="V1091" s="134" t="s">
        <v>503</v>
      </c>
      <c r="W1091" s="92" t="str">
        <f t="shared" si="87"/>
        <v>Acebedo Romacho,Francsico</v>
      </c>
      <c r="X1091" s="95">
        <f t="shared" si="85"/>
        <v>3</v>
      </c>
      <c r="Y1091" s="95">
        <f t="shared" si="86"/>
        <v>2022</v>
      </c>
      <c r="Z1091" s="103" t="s">
        <v>265</v>
      </c>
      <c r="AA1091" t="str">
        <f>IF(Tabla1[[#This Row],[Kerma en aire acumulada (Gy)]]&gt;1,SUMIF(G:G,Tabla1[[#This Row],[SIP]],I:I)-Tabla1[[#This Row],[Kerma en aire acumulada (Gy)]],"")</f>
        <v/>
      </c>
    </row>
    <row r="1092" spans="3:27">
      <c r="C1092" s="147" t="s">
        <v>1088</v>
      </c>
      <c r="D1092" s="134" t="s">
        <v>291</v>
      </c>
      <c r="E1092" s="134" t="s">
        <v>2324</v>
      </c>
      <c r="F1092" s="134" t="s">
        <v>356</v>
      </c>
      <c r="G1092" s="134">
        <v>1781471</v>
      </c>
      <c r="H1092" s="135">
        <v>44631</v>
      </c>
      <c r="I1092" s="134">
        <v>0.148673</v>
      </c>
      <c r="J1092" s="145"/>
      <c r="K1092" s="145"/>
      <c r="L1092" s="145"/>
      <c r="M1092" s="145"/>
      <c r="N1092" s="145"/>
      <c r="O1092" s="145"/>
      <c r="P1092" s="145"/>
      <c r="Q1092" s="145"/>
      <c r="R1092" s="145"/>
      <c r="S1092" s="145"/>
      <c r="T1092" s="135">
        <v>14802</v>
      </c>
      <c r="U1092" s="145"/>
      <c r="V1092" s="134" t="s">
        <v>2237</v>
      </c>
      <c r="W1092" s="92" t="str">
        <f t="shared" si="87"/>
        <v>Gomis Dupla,Manuel</v>
      </c>
      <c r="X1092" s="95">
        <f t="shared" si="85"/>
        <v>3</v>
      </c>
      <c r="Y1092" s="95">
        <f t="shared" si="86"/>
        <v>2022</v>
      </c>
      <c r="Z1092" s="103" t="s">
        <v>2238</v>
      </c>
      <c r="AA1092" t="str">
        <f>IF(Tabla1[[#This Row],[Kerma en aire acumulada (Gy)]]&gt;1,SUMIF(G:G,Tabla1[[#This Row],[SIP]],I:I)-Tabla1[[#This Row],[Kerma en aire acumulada (Gy)]],"")</f>
        <v/>
      </c>
    </row>
    <row r="1093" spans="3:27">
      <c r="C1093" s="147" t="s">
        <v>1088</v>
      </c>
      <c r="D1093" s="134" t="s">
        <v>2325</v>
      </c>
      <c r="E1093" s="134" t="s">
        <v>2326</v>
      </c>
      <c r="F1093" s="134" t="s">
        <v>2327</v>
      </c>
      <c r="G1093" s="134">
        <v>1819173</v>
      </c>
      <c r="H1093" s="135">
        <v>44631</v>
      </c>
      <c r="I1093" s="134">
        <v>5.3659999999999999E-2</v>
      </c>
      <c r="J1093" s="145"/>
      <c r="K1093" s="145"/>
      <c r="L1093" s="145"/>
      <c r="M1093" s="145"/>
      <c r="N1093" s="145"/>
      <c r="O1093" s="145"/>
      <c r="P1093" s="145"/>
      <c r="Q1093" s="145"/>
      <c r="R1093" s="145"/>
      <c r="S1093" s="145"/>
      <c r="T1093" s="135">
        <v>17504</v>
      </c>
      <c r="U1093" s="145"/>
      <c r="V1093" s="134" t="s">
        <v>2237</v>
      </c>
      <c r="W1093" s="92" t="str">
        <f t="shared" si="87"/>
        <v>Lapuerta Vallejo,Agapito</v>
      </c>
      <c r="X1093" s="95">
        <f t="shared" si="85"/>
        <v>3</v>
      </c>
      <c r="Y1093" s="95">
        <f t="shared" si="86"/>
        <v>2022</v>
      </c>
      <c r="Z1093" s="103" t="s">
        <v>2238</v>
      </c>
      <c r="AA1093" t="str">
        <f>IF(Tabla1[[#This Row],[Kerma en aire acumulada (Gy)]]&gt;1,SUMIF(G:G,Tabla1[[#This Row],[SIP]],I:I)-Tabla1[[#This Row],[Kerma en aire acumulada (Gy)]],"")</f>
        <v/>
      </c>
    </row>
    <row r="1094" spans="3:27">
      <c r="C1094" s="147" t="s">
        <v>1088</v>
      </c>
      <c r="D1094" s="134" t="s">
        <v>319</v>
      </c>
      <c r="E1094" s="134" t="s">
        <v>1685</v>
      </c>
      <c r="F1094" s="134" t="s">
        <v>57</v>
      </c>
      <c r="G1094" s="134">
        <v>304503</v>
      </c>
      <c r="H1094" s="135">
        <v>44632</v>
      </c>
      <c r="I1094" s="134">
        <v>0.1545</v>
      </c>
      <c r="J1094" s="145"/>
      <c r="K1094" s="145"/>
      <c r="L1094" s="145"/>
      <c r="M1094" s="145"/>
      <c r="N1094" s="145"/>
      <c r="O1094" s="145"/>
      <c r="P1094" s="145"/>
      <c r="Q1094" s="145"/>
      <c r="R1094" s="145"/>
      <c r="S1094" s="145"/>
      <c r="T1094" s="135">
        <v>15358</v>
      </c>
      <c r="U1094" s="145"/>
      <c r="V1094" s="134" t="s">
        <v>1653</v>
      </c>
      <c r="W1094" s="92" t="str">
        <f t="shared" si="87"/>
        <v>Gonzalez Talens,Miguel</v>
      </c>
      <c r="X1094" s="95">
        <f t="shared" si="85"/>
        <v>3</v>
      </c>
      <c r="Y1094" s="95">
        <f t="shared" si="86"/>
        <v>2022</v>
      </c>
      <c r="Z1094" s="103" t="s">
        <v>265</v>
      </c>
      <c r="AA1094" t="str">
        <f>IF(Tabla1[[#This Row],[Kerma en aire acumulada (Gy)]]&gt;1,SUMIF(G:G,Tabla1[[#This Row],[SIP]],I:I)-Tabla1[[#This Row],[Kerma en aire acumulada (Gy)]],"")</f>
        <v/>
      </c>
    </row>
    <row r="1095" spans="3:27">
      <c r="C1095" s="147" t="s">
        <v>1088</v>
      </c>
      <c r="D1095" s="134" t="s">
        <v>2254</v>
      </c>
      <c r="E1095" s="134" t="s">
        <v>2255</v>
      </c>
      <c r="F1095" s="134" t="s">
        <v>2256</v>
      </c>
      <c r="G1095" s="134">
        <v>2245048</v>
      </c>
      <c r="H1095" s="135">
        <v>44634</v>
      </c>
      <c r="I1095" s="134">
        <v>1.5200000000000001E-3</v>
      </c>
      <c r="J1095" s="145"/>
      <c r="K1095" s="145"/>
      <c r="L1095" s="145"/>
      <c r="M1095" s="145"/>
      <c r="N1095" s="145"/>
      <c r="O1095" s="145"/>
      <c r="P1095" s="145"/>
      <c r="Q1095" s="145"/>
      <c r="R1095" s="145"/>
      <c r="S1095" s="145"/>
      <c r="T1095" s="135">
        <v>16921</v>
      </c>
      <c r="U1095" s="145"/>
      <c r="V1095" s="134" t="s">
        <v>1274</v>
      </c>
      <c r="W1095" s="92" t="str">
        <f t="shared" si="87"/>
        <v>Revert Cabo,Domigno Vicente</v>
      </c>
      <c r="X1095" s="95">
        <f t="shared" si="85"/>
        <v>3</v>
      </c>
      <c r="Y1095" s="95">
        <f t="shared" si="86"/>
        <v>2022</v>
      </c>
      <c r="Z1095" s="103" t="s">
        <v>265</v>
      </c>
      <c r="AA1095" t="str">
        <f>IF(Tabla1[[#This Row],[Kerma en aire acumulada (Gy)]]&gt;1,SUMIF(G:G,Tabla1[[#This Row],[SIP]],I:I)-Tabla1[[#This Row],[Kerma en aire acumulada (Gy)]],"")</f>
        <v/>
      </c>
    </row>
    <row r="1096" spans="3:27">
      <c r="C1096" s="147" t="s">
        <v>1088</v>
      </c>
      <c r="D1096" s="134" t="s">
        <v>2271</v>
      </c>
      <c r="E1096" s="134" t="s">
        <v>2272</v>
      </c>
      <c r="F1096" s="134" t="s">
        <v>2273</v>
      </c>
      <c r="G1096" s="134">
        <v>2631139</v>
      </c>
      <c r="H1096" s="135">
        <v>44634</v>
      </c>
      <c r="I1096" s="134">
        <v>0.34075</v>
      </c>
      <c r="J1096" s="145"/>
      <c r="K1096" s="145"/>
      <c r="L1096" s="145"/>
      <c r="M1096" s="145"/>
      <c r="N1096" s="145"/>
      <c r="O1096" s="145"/>
      <c r="P1096" s="145"/>
      <c r="Q1096" s="145"/>
      <c r="R1096" s="145"/>
      <c r="S1096" s="145"/>
      <c r="T1096" s="135">
        <v>33222</v>
      </c>
      <c r="U1096" s="145"/>
      <c r="V1096" s="134" t="s">
        <v>107</v>
      </c>
      <c r="W1096" s="92" t="str">
        <f t="shared" si="87"/>
        <v>Puentes alegre,Victor</v>
      </c>
      <c r="X1096" s="95">
        <f t="shared" si="85"/>
        <v>3</v>
      </c>
      <c r="Y1096" s="95">
        <f t="shared" si="86"/>
        <v>2022</v>
      </c>
      <c r="Z1096" s="103" t="s">
        <v>265</v>
      </c>
      <c r="AA1096" t="str">
        <f>IF(Tabla1[[#This Row],[Kerma en aire acumulada (Gy)]]&gt;1,SUMIF(G:G,Tabla1[[#This Row],[SIP]],I:I)-Tabla1[[#This Row],[Kerma en aire acumulada (Gy)]],"")</f>
        <v/>
      </c>
    </row>
    <row r="1097" spans="3:27">
      <c r="C1097" s="147" t="s">
        <v>1088</v>
      </c>
      <c r="D1097" s="134" t="s">
        <v>1662</v>
      </c>
      <c r="E1097" s="134" t="s">
        <v>1648</v>
      </c>
      <c r="F1097" s="134" t="s">
        <v>2274</v>
      </c>
      <c r="G1097" s="134">
        <v>13055785</v>
      </c>
      <c r="H1097" s="135">
        <v>44634</v>
      </c>
      <c r="I1097" s="134">
        <v>0.10525</v>
      </c>
      <c r="J1097" s="145"/>
      <c r="K1097" s="145"/>
      <c r="L1097" s="145"/>
      <c r="M1097" s="145"/>
      <c r="N1097" s="145"/>
      <c r="O1097" s="145"/>
      <c r="P1097" s="145"/>
      <c r="Q1097" s="145"/>
      <c r="R1097" s="145"/>
      <c r="S1097" s="145"/>
      <c r="T1097" s="135">
        <v>32270</v>
      </c>
      <c r="U1097" s="145"/>
      <c r="V1097" s="134" t="s">
        <v>107</v>
      </c>
      <c r="W1097" s="92" t="str">
        <f t="shared" si="87"/>
        <v>Vazquez Rojas,Jair</v>
      </c>
      <c r="X1097" s="95">
        <f t="shared" si="85"/>
        <v>3</v>
      </c>
      <c r="Y1097" s="95">
        <f t="shared" si="86"/>
        <v>2022</v>
      </c>
      <c r="Z1097" s="103" t="s">
        <v>265</v>
      </c>
      <c r="AA1097" t="str">
        <f>IF(Tabla1[[#This Row],[Kerma en aire acumulada (Gy)]]&gt;1,SUMIF(G:G,Tabla1[[#This Row],[SIP]],I:I)-Tabla1[[#This Row],[Kerma en aire acumulada (Gy)]],"")</f>
        <v/>
      </c>
    </row>
    <row r="1098" spans="3:27">
      <c r="C1098" s="147" t="s">
        <v>1088</v>
      </c>
      <c r="D1098" s="134" t="s">
        <v>2306</v>
      </c>
      <c r="E1098" s="134" t="s">
        <v>2042</v>
      </c>
      <c r="F1098" s="134" t="s">
        <v>83</v>
      </c>
      <c r="G1098" s="134">
        <v>3376112</v>
      </c>
      <c r="H1098" s="135">
        <v>44634</v>
      </c>
      <c r="I1098" s="134">
        <v>0.18189</v>
      </c>
      <c r="J1098" s="145"/>
      <c r="K1098" s="145"/>
      <c r="L1098" s="145"/>
      <c r="M1098" s="145"/>
      <c r="N1098" s="145"/>
      <c r="O1098" s="145"/>
      <c r="P1098" s="145"/>
      <c r="Q1098" s="145"/>
      <c r="R1098" s="145"/>
      <c r="S1098" s="145"/>
      <c r="T1098" s="135">
        <v>16851</v>
      </c>
      <c r="U1098" s="145"/>
      <c r="V1098" s="134" t="s">
        <v>563</v>
      </c>
      <c r="W1098" s="92" t="str">
        <f t="shared" si="87"/>
        <v>Bayona Lara,Francisco</v>
      </c>
      <c r="X1098" s="95">
        <f t="shared" si="85"/>
        <v>3</v>
      </c>
      <c r="Y1098" s="95">
        <f t="shared" si="86"/>
        <v>2022</v>
      </c>
      <c r="Z1098" s="136" t="s">
        <v>266</v>
      </c>
      <c r="AA1098" t="str">
        <f>IF(Tabla1[[#This Row],[Kerma en aire acumulada (Gy)]]&gt;1,SUMIF(G:G,Tabla1[[#This Row],[SIP]],I:I)-Tabla1[[#This Row],[Kerma en aire acumulada (Gy)]],"")</f>
        <v/>
      </c>
    </row>
    <row r="1099" spans="3:27">
      <c r="C1099" s="147" t="s">
        <v>1088</v>
      </c>
      <c r="D1099" s="134" t="s">
        <v>2307</v>
      </c>
      <c r="E1099" s="134" t="s">
        <v>930</v>
      </c>
      <c r="F1099" s="134" t="s">
        <v>972</v>
      </c>
      <c r="G1099" s="134">
        <v>5377144</v>
      </c>
      <c r="H1099" s="135">
        <v>44634</v>
      </c>
      <c r="I1099" s="134">
        <v>0.37630999999999998</v>
      </c>
      <c r="J1099" s="145"/>
      <c r="K1099" s="145"/>
      <c r="L1099" s="145"/>
      <c r="M1099" s="145"/>
      <c r="N1099" s="145"/>
      <c r="O1099" s="145"/>
      <c r="P1099" s="145"/>
      <c r="Q1099" s="145"/>
      <c r="R1099" s="145"/>
      <c r="S1099" s="145"/>
      <c r="T1099" s="135">
        <v>15411</v>
      </c>
      <c r="U1099" s="145"/>
      <c r="V1099" s="134" t="s">
        <v>563</v>
      </c>
      <c r="W1099" s="92" t="str">
        <f t="shared" si="87"/>
        <v>Cortijo Escudero,Josefina</v>
      </c>
      <c r="X1099" s="95">
        <f t="shared" si="85"/>
        <v>3</v>
      </c>
      <c r="Y1099" s="95">
        <f t="shared" si="86"/>
        <v>2022</v>
      </c>
      <c r="Z1099" s="136" t="s">
        <v>266</v>
      </c>
      <c r="AA1099" t="str">
        <f>IF(Tabla1[[#This Row],[Kerma en aire acumulada (Gy)]]&gt;1,SUMIF(G:G,Tabla1[[#This Row],[SIP]],I:I)-Tabla1[[#This Row],[Kerma en aire acumulada (Gy)]],"")</f>
        <v/>
      </c>
    </row>
    <row r="1100" spans="3:27">
      <c r="C1100" s="147" t="s">
        <v>1088</v>
      </c>
      <c r="D1100" s="134" t="s">
        <v>2323</v>
      </c>
      <c r="E1100" s="134" t="s">
        <v>1001</v>
      </c>
      <c r="F1100" s="134" t="s">
        <v>83</v>
      </c>
      <c r="G1100" s="134">
        <v>4687368</v>
      </c>
      <c r="H1100" s="135">
        <v>44634</v>
      </c>
      <c r="I1100" s="150">
        <v>0.13500999999999999</v>
      </c>
      <c r="J1100" s="145"/>
      <c r="K1100" s="145"/>
      <c r="L1100" s="145"/>
      <c r="M1100" s="145"/>
      <c r="N1100" s="145"/>
      <c r="O1100" s="145"/>
      <c r="P1100" s="145"/>
      <c r="Q1100" s="145"/>
      <c r="R1100" s="145"/>
      <c r="S1100" s="145"/>
      <c r="T1100" s="135">
        <v>13279</v>
      </c>
      <c r="U1100" s="145"/>
      <c r="V1100" s="134" t="s">
        <v>2241</v>
      </c>
      <c r="W1100" s="92" t="str">
        <f t="shared" si="87"/>
        <v>Moret Perez,Francisco</v>
      </c>
      <c r="X1100" s="95">
        <f t="shared" si="85"/>
        <v>3</v>
      </c>
      <c r="Y1100" s="95">
        <f t="shared" si="86"/>
        <v>2022</v>
      </c>
      <c r="Z1100" s="103" t="s">
        <v>2238</v>
      </c>
      <c r="AA1100" t="str">
        <f>IF(Tabla1[[#This Row],[Kerma en aire acumulada (Gy)]]&gt;1,SUMIF(G:G,Tabla1[[#This Row],[SIP]],I:I)-Tabla1[[#This Row],[Kerma en aire acumulada (Gy)]],"")</f>
        <v/>
      </c>
    </row>
    <row r="1101" spans="3:27">
      <c r="C1101" s="147" t="s">
        <v>1088</v>
      </c>
      <c r="D1101" s="134" t="s">
        <v>1726</v>
      </c>
      <c r="E1101" s="134" t="s">
        <v>1727</v>
      </c>
      <c r="F1101" s="134" t="s">
        <v>20</v>
      </c>
      <c r="G1101" s="134">
        <v>2849264</v>
      </c>
      <c r="H1101" s="135">
        <v>44635</v>
      </c>
      <c r="I1101" s="134">
        <v>6.6309999999999994E-2</v>
      </c>
      <c r="J1101" s="145"/>
      <c r="K1101" s="145"/>
      <c r="L1101" s="145"/>
      <c r="M1101" s="145"/>
      <c r="N1101" s="145"/>
      <c r="O1101" s="145"/>
      <c r="P1101" s="145"/>
      <c r="Q1101" s="145"/>
      <c r="R1101" s="145"/>
      <c r="S1101" s="145"/>
      <c r="T1101" s="135">
        <v>18587</v>
      </c>
      <c r="U1101" s="145"/>
      <c r="V1101" s="134" t="s">
        <v>1203</v>
      </c>
      <c r="W1101" s="92" t="str">
        <f t="shared" si="87"/>
        <v>Rus Mompo,Antonio</v>
      </c>
      <c r="X1101" s="95">
        <f t="shared" si="85"/>
        <v>3</v>
      </c>
      <c r="Y1101" s="95">
        <f t="shared" si="86"/>
        <v>2022</v>
      </c>
      <c r="Z1101" s="103" t="s">
        <v>265</v>
      </c>
      <c r="AA1101" t="str">
        <f>IF(Tabla1[[#This Row],[Kerma en aire acumulada (Gy)]]&gt;1,SUMIF(G:G,Tabla1[[#This Row],[SIP]],I:I)-Tabla1[[#This Row],[Kerma en aire acumulada (Gy)]],"")</f>
        <v/>
      </c>
    </row>
    <row r="1102" spans="3:27">
      <c r="C1102" s="147" t="s">
        <v>1088</v>
      </c>
      <c r="D1102" s="134" t="s">
        <v>1726</v>
      </c>
      <c r="E1102" s="134" t="s">
        <v>1727</v>
      </c>
      <c r="F1102" s="134" t="s">
        <v>20</v>
      </c>
      <c r="G1102" s="134">
        <v>2849264</v>
      </c>
      <c r="H1102" s="135">
        <v>44635</v>
      </c>
      <c r="I1102" s="134">
        <v>2.581E-2</v>
      </c>
      <c r="J1102" s="145"/>
      <c r="K1102" s="145"/>
      <c r="L1102" s="145"/>
      <c r="M1102" s="145"/>
      <c r="N1102" s="145"/>
      <c r="O1102" s="145"/>
      <c r="P1102" s="145"/>
      <c r="Q1102" s="145"/>
      <c r="R1102" s="145"/>
      <c r="S1102" s="145"/>
      <c r="T1102" s="135">
        <v>18587</v>
      </c>
      <c r="U1102" s="145"/>
      <c r="V1102" s="134" t="s">
        <v>2253</v>
      </c>
      <c r="W1102" s="92" t="str">
        <f t="shared" si="87"/>
        <v>Rus Mompo,Antonio</v>
      </c>
      <c r="X1102" s="95">
        <f t="shared" si="85"/>
        <v>3</v>
      </c>
      <c r="Y1102" s="95">
        <f t="shared" si="86"/>
        <v>2022</v>
      </c>
      <c r="Z1102" s="103" t="s">
        <v>265</v>
      </c>
      <c r="AA1102" t="str">
        <f>IF(Tabla1[[#This Row],[Kerma en aire acumulada (Gy)]]&gt;1,SUMIF(G:G,Tabla1[[#This Row],[SIP]],I:I)-Tabla1[[#This Row],[Kerma en aire acumulada (Gy)]],"")</f>
        <v/>
      </c>
    </row>
    <row r="1103" spans="3:27">
      <c r="C1103" s="147" t="s">
        <v>1088</v>
      </c>
      <c r="D1103" s="134" t="s">
        <v>1060</v>
      </c>
      <c r="E1103" s="134" t="s">
        <v>2269</v>
      </c>
      <c r="F1103" s="134" t="s">
        <v>83</v>
      </c>
      <c r="G1103" s="134">
        <v>7232970</v>
      </c>
      <c r="H1103" s="135">
        <v>44635</v>
      </c>
      <c r="I1103" s="134">
        <v>2.1718799999999998</v>
      </c>
      <c r="J1103" s="145"/>
      <c r="K1103" s="145"/>
      <c r="L1103" s="145"/>
      <c r="M1103" s="145"/>
      <c r="N1103" s="145"/>
      <c r="O1103" s="145"/>
      <c r="P1103" s="145"/>
      <c r="Q1103" s="145"/>
      <c r="R1103" s="145"/>
      <c r="S1103" s="145"/>
      <c r="T1103" s="135">
        <v>14625</v>
      </c>
      <c r="U1103" s="145"/>
      <c r="V1103" s="134" t="s">
        <v>89</v>
      </c>
      <c r="W1103" s="92" t="str">
        <f t="shared" si="87"/>
        <v>Rubio Engra,Francisco</v>
      </c>
      <c r="X1103" s="95">
        <f t="shared" si="85"/>
        <v>3</v>
      </c>
      <c r="Y1103" s="95">
        <f t="shared" si="86"/>
        <v>2022</v>
      </c>
      <c r="Z1103" s="103" t="s">
        <v>265</v>
      </c>
      <c r="AA1103">
        <f>IF(Tabla1[[#This Row],[Kerma en aire acumulada (Gy)]]&gt;1,SUMIF(G:G,Tabla1[[#This Row],[SIP]],I:I)-Tabla1[[#This Row],[Kerma en aire acumulada (Gy)]],"")</f>
        <v>0</v>
      </c>
    </row>
    <row r="1104" spans="3:27">
      <c r="C1104" s="147" t="s">
        <v>1088</v>
      </c>
      <c r="D1104" s="134" t="s">
        <v>2270</v>
      </c>
      <c r="E1104" s="134" t="s">
        <v>534</v>
      </c>
      <c r="F1104" s="134" t="s">
        <v>7</v>
      </c>
      <c r="G1104" s="134">
        <v>2091916</v>
      </c>
      <c r="H1104" s="135">
        <v>44635</v>
      </c>
      <c r="I1104" s="134">
        <v>2.972E-2</v>
      </c>
      <c r="J1104" s="145"/>
      <c r="K1104" s="145"/>
      <c r="L1104" s="145"/>
      <c r="M1104" s="145"/>
      <c r="N1104" s="145"/>
      <c r="O1104" s="145"/>
      <c r="P1104" s="145"/>
      <c r="Q1104" s="145"/>
      <c r="R1104" s="145"/>
      <c r="S1104" s="145"/>
      <c r="T1104" s="135">
        <v>18285</v>
      </c>
      <c r="U1104" s="145"/>
      <c r="V1104" s="134" t="s">
        <v>1293</v>
      </c>
      <c r="W1104" s="92" t="str">
        <f t="shared" si="87"/>
        <v>Retamal Hurtado,Francisca</v>
      </c>
      <c r="X1104" s="95">
        <f t="shared" si="85"/>
        <v>3</v>
      </c>
      <c r="Y1104" s="95">
        <f t="shared" si="86"/>
        <v>2022</v>
      </c>
      <c r="Z1104" s="103" t="s">
        <v>265</v>
      </c>
      <c r="AA1104" t="str">
        <f>IF(Tabla1[[#This Row],[Kerma en aire acumulada (Gy)]]&gt;1,SUMIF(G:G,Tabla1[[#This Row],[SIP]],I:I)-Tabla1[[#This Row],[Kerma en aire acumulada (Gy)]],"")</f>
        <v/>
      </c>
    </row>
    <row r="1105" spans="3:27">
      <c r="C1105" s="147" t="s">
        <v>1088</v>
      </c>
      <c r="D1105" s="134" t="s">
        <v>1001</v>
      </c>
      <c r="E1105" s="134" t="s">
        <v>2301</v>
      </c>
      <c r="F1105" s="134" t="s">
        <v>2302</v>
      </c>
      <c r="G1105" s="134">
        <v>5380678</v>
      </c>
      <c r="H1105" s="135">
        <v>44635</v>
      </c>
      <c r="I1105" s="134">
        <v>0.28993999999999998</v>
      </c>
      <c r="J1105" s="145"/>
      <c r="K1105" s="145"/>
      <c r="L1105" s="145"/>
      <c r="M1105" s="145"/>
      <c r="N1105" s="145"/>
      <c r="O1105" s="145"/>
      <c r="P1105" s="145"/>
      <c r="Q1105" s="145"/>
      <c r="R1105" s="145"/>
      <c r="S1105" s="145"/>
      <c r="T1105" s="135">
        <v>24367</v>
      </c>
      <c r="U1105" s="145"/>
      <c r="V1105" s="134" t="s">
        <v>563</v>
      </c>
      <c r="W1105" s="92" t="str">
        <f t="shared" si="87"/>
        <v>Perez Butron,Ismael</v>
      </c>
      <c r="X1105" s="95">
        <f t="shared" si="85"/>
        <v>3</v>
      </c>
      <c r="Y1105" s="95">
        <f t="shared" si="86"/>
        <v>2022</v>
      </c>
      <c r="Z1105" s="136" t="s">
        <v>266</v>
      </c>
      <c r="AA1105" t="str">
        <f>IF(Tabla1[[#This Row],[Kerma en aire acumulada (Gy)]]&gt;1,SUMIF(G:G,Tabla1[[#This Row],[SIP]],I:I)-Tabla1[[#This Row],[Kerma en aire acumulada (Gy)]],"")</f>
        <v/>
      </c>
    </row>
    <row r="1106" spans="3:27">
      <c r="C1106" s="147" t="s">
        <v>1088</v>
      </c>
      <c r="D1106" s="134" t="s">
        <v>2303</v>
      </c>
      <c r="E1106" s="134" t="s">
        <v>772</v>
      </c>
      <c r="F1106" s="134" t="s">
        <v>1763</v>
      </c>
      <c r="G1106" s="134">
        <v>3018906</v>
      </c>
      <c r="H1106" s="135">
        <v>44635</v>
      </c>
      <c r="I1106" s="134">
        <v>0.19685</v>
      </c>
      <c r="J1106" s="145"/>
      <c r="K1106" s="145"/>
      <c r="L1106" s="145"/>
      <c r="M1106" s="145"/>
      <c r="N1106" s="145"/>
      <c r="O1106" s="145"/>
      <c r="P1106" s="145"/>
      <c r="Q1106" s="145"/>
      <c r="R1106" s="145"/>
      <c r="S1106" s="145"/>
      <c r="T1106" s="135">
        <v>21505</v>
      </c>
      <c r="U1106" s="145"/>
      <c r="V1106" s="134" t="s">
        <v>563</v>
      </c>
      <c r="W1106" s="92" t="str">
        <f t="shared" si="87"/>
        <v>Luengo Sanchez,Isidoro</v>
      </c>
      <c r="X1106" s="95">
        <f t="shared" si="85"/>
        <v>3</v>
      </c>
      <c r="Y1106" s="95">
        <f t="shared" si="86"/>
        <v>2022</v>
      </c>
      <c r="Z1106" s="136" t="s">
        <v>266</v>
      </c>
      <c r="AA1106" t="str">
        <f>IF(Tabla1[[#This Row],[Kerma en aire acumulada (Gy)]]&gt;1,SUMIF(G:G,Tabla1[[#This Row],[SIP]],I:I)-Tabla1[[#This Row],[Kerma en aire acumulada (Gy)]],"")</f>
        <v/>
      </c>
    </row>
    <row r="1107" spans="3:27">
      <c r="C1107" s="147" t="s">
        <v>1088</v>
      </c>
      <c r="D1107" s="134" t="s">
        <v>1033</v>
      </c>
      <c r="E1107" s="134" t="s">
        <v>1033</v>
      </c>
      <c r="F1107" s="134" t="s">
        <v>333</v>
      </c>
      <c r="G1107" s="134">
        <v>3598373</v>
      </c>
      <c r="H1107" s="135">
        <v>44635</v>
      </c>
      <c r="I1107" s="134">
        <v>0.19767000000000001</v>
      </c>
      <c r="J1107" s="145"/>
      <c r="K1107" s="145"/>
      <c r="L1107" s="145"/>
      <c r="M1107" s="145"/>
      <c r="N1107" s="145"/>
      <c r="O1107" s="145"/>
      <c r="P1107" s="145"/>
      <c r="Q1107" s="145"/>
      <c r="R1107" s="145"/>
      <c r="S1107" s="145"/>
      <c r="T1107" s="135">
        <v>12899</v>
      </c>
      <c r="U1107" s="145"/>
      <c r="V1107" s="134" t="s">
        <v>563</v>
      </c>
      <c r="W1107" s="92" t="str">
        <f t="shared" si="87"/>
        <v>Ivars Ivars,Vicenta</v>
      </c>
      <c r="X1107" s="95">
        <f t="shared" si="85"/>
        <v>3</v>
      </c>
      <c r="Y1107" s="95">
        <f t="shared" si="86"/>
        <v>2022</v>
      </c>
      <c r="Z1107" s="136" t="s">
        <v>266</v>
      </c>
      <c r="AA1107" t="str">
        <f>IF(Tabla1[[#This Row],[Kerma en aire acumulada (Gy)]]&gt;1,SUMIF(G:G,Tabla1[[#This Row],[SIP]],I:I)-Tabla1[[#This Row],[Kerma en aire acumulada (Gy)]],"")</f>
        <v/>
      </c>
    </row>
    <row r="1108" spans="3:27">
      <c r="C1108" s="147" t="s">
        <v>1088</v>
      </c>
      <c r="D1108" s="134" t="s">
        <v>2304</v>
      </c>
      <c r="E1108" s="134" t="s">
        <v>2305</v>
      </c>
      <c r="F1108" s="134" t="s">
        <v>585</v>
      </c>
      <c r="G1108" s="134">
        <v>3093029</v>
      </c>
      <c r="H1108" s="135">
        <v>44635</v>
      </c>
      <c r="I1108" s="134">
        <v>7.6630000000000004E-2</v>
      </c>
      <c r="J1108" s="145"/>
      <c r="K1108" s="145"/>
      <c r="L1108" s="145"/>
      <c r="M1108" s="145"/>
      <c r="N1108" s="145"/>
      <c r="O1108" s="145"/>
      <c r="P1108" s="145"/>
      <c r="Q1108" s="145"/>
      <c r="R1108" s="145"/>
      <c r="S1108" s="145"/>
      <c r="T1108" s="135">
        <v>20345</v>
      </c>
      <c r="U1108" s="145"/>
      <c r="V1108" s="134" t="s">
        <v>563</v>
      </c>
      <c r="W1108" s="92" t="str">
        <f t="shared" si="87"/>
        <v>Siurana alabau,Ricardo</v>
      </c>
      <c r="X1108" s="95">
        <f t="shared" si="85"/>
        <v>3</v>
      </c>
      <c r="Y1108" s="95">
        <f t="shared" si="86"/>
        <v>2022</v>
      </c>
      <c r="Z1108" s="136" t="s">
        <v>266</v>
      </c>
      <c r="AA1108" t="str">
        <f>IF(Tabla1[[#This Row],[Kerma en aire acumulada (Gy)]]&gt;1,SUMIF(G:G,Tabla1[[#This Row],[SIP]],I:I)-Tabla1[[#This Row],[Kerma en aire acumulada (Gy)]],"")</f>
        <v/>
      </c>
    </row>
    <row r="1109" spans="3:27">
      <c r="C1109" s="147" t="s">
        <v>1088</v>
      </c>
      <c r="D1109" s="134" t="s">
        <v>915</v>
      </c>
      <c r="E1109" s="134" t="s">
        <v>126</v>
      </c>
      <c r="F1109" s="134" t="s">
        <v>2319</v>
      </c>
      <c r="G1109" s="134">
        <v>3203803</v>
      </c>
      <c r="H1109" s="135">
        <v>44635</v>
      </c>
      <c r="I1109" s="134">
        <v>5.2700000000000004E-3</v>
      </c>
      <c r="J1109" s="145"/>
      <c r="K1109" s="145"/>
      <c r="L1109" s="145"/>
      <c r="M1109" s="145"/>
      <c r="N1109" s="145"/>
      <c r="O1109" s="145"/>
      <c r="P1109" s="145"/>
      <c r="Q1109" s="145"/>
      <c r="R1109" s="145"/>
      <c r="S1109" s="145"/>
      <c r="T1109" s="135">
        <v>10312</v>
      </c>
      <c r="U1109" s="145"/>
      <c r="V1109" s="134" t="s">
        <v>2241</v>
      </c>
      <c r="W1109" s="92" t="str">
        <f t="shared" si="87"/>
        <v>Gimenez Domingo,Teodora</v>
      </c>
      <c r="X1109" s="95">
        <f t="shared" ref="X1109:X1172" si="88">MONTH(H1109)</f>
        <v>3</v>
      </c>
      <c r="Y1109" s="95">
        <f t="shared" si="86"/>
        <v>2022</v>
      </c>
      <c r="Z1109" s="103" t="s">
        <v>2238</v>
      </c>
      <c r="AA1109" t="str">
        <f>IF(Tabla1[[#This Row],[Kerma en aire acumulada (Gy)]]&gt;1,SUMIF(G:G,Tabla1[[#This Row],[SIP]],I:I)-Tabla1[[#This Row],[Kerma en aire acumulada (Gy)]],"")</f>
        <v/>
      </c>
    </row>
    <row r="1110" spans="3:27">
      <c r="C1110" s="147" t="s">
        <v>1088</v>
      </c>
      <c r="D1110" s="134" t="s">
        <v>2320</v>
      </c>
      <c r="E1110" s="134" t="s">
        <v>2321</v>
      </c>
      <c r="F1110" s="134" t="s">
        <v>2322</v>
      </c>
      <c r="G1110" s="134">
        <v>1972973</v>
      </c>
      <c r="H1110" s="135">
        <v>44635</v>
      </c>
      <c r="I1110" s="134">
        <v>6.4420000000000005E-2</v>
      </c>
      <c r="J1110" s="145"/>
      <c r="K1110" s="145"/>
      <c r="L1110" s="145"/>
      <c r="M1110" s="145"/>
      <c r="N1110" s="145"/>
      <c r="O1110" s="145"/>
      <c r="P1110" s="145"/>
      <c r="Q1110" s="145"/>
      <c r="R1110" s="145"/>
      <c r="S1110" s="145"/>
      <c r="T1110" s="135">
        <v>19337</v>
      </c>
      <c r="U1110" s="145"/>
      <c r="V1110" s="134" t="s">
        <v>2237</v>
      </c>
      <c r="W1110" s="92" t="str">
        <f t="shared" si="87"/>
        <v>Sabalete Recuero,Pedro Angel</v>
      </c>
      <c r="X1110" s="95">
        <f t="shared" si="88"/>
        <v>3</v>
      </c>
      <c r="Y1110" s="95">
        <f t="shared" si="86"/>
        <v>2022</v>
      </c>
      <c r="Z1110" s="103" t="s">
        <v>2238</v>
      </c>
      <c r="AA1110" t="str">
        <f>IF(Tabla1[[#This Row],[Kerma en aire acumulada (Gy)]]&gt;1,SUMIF(G:G,Tabla1[[#This Row],[SIP]],I:I)-Tabla1[[#This Row],[Kerma en aire acumulada (Gy)]],"")</f>
        <v/>
      </c>
    </row>
    <row r="1111" spans="3:27">
      <c r="C1111" s="147" t="s">
        <v>1108</v>
      </c>
      <c r="D1111" s="134" t="s">
        <v>856</v>
      </c>
      <c r="E1111" s="134" t="s">
        <v>1309</v>
      </c>
      <c r="F1111" s="134" t="s">
        <v>1766</v>
      </c>
      <c r="G1111" s="134">
        <v>5738817</v>
      </c>
      <c r="H1111" s="135">
        <v>44636</v>
      </c>
      <c r="I1111" s="134">
        <v>6.8999999999999997E-4</v>
      </c>
      <c r="J1111" s="145"/>
      <c r="K1111" s="145"/>
      <c r="L1111" s="145"/>
      <c r="M1111" s="145"/>
      <c r="N1111" s="145"/>
      <c r="O1111" s="145"/>
      <c r="P1111" s="145"/>
      <c r="Q1111" s="145"/>
      <c r="R1111" s="145"/>
      <c r="S1111" s="145"/>
      <c r="T1111" s="135">
        <v>38391</v>
      </c>
      <c r="U1111" s="145"/>
      <c r="V1111" s="134" t="s">
        <v>1929</v>
      </c>
      <c r="W1111" s="92" t="str">
        <f t="shared" si="87"/>
        <v>Gomez Gallardo,Gabriel</v>
      </c>
      <c r="X1111" s="95">
        <f t="shared" si="88"/>
        <v>3</v>
      </c>
      <c r="Y1111" s="95">
        <f t="shared" si="86"/>
        <v>2022</v>
      </c>
      <c r="Z1111" s="103" t="s">
        <v>265</v>
      </c>
      <c r="AA1111" t="str">
        <f>IF(Tabla1[[#This Row],[Kerma en aire acumulada (Gy)]]&gt;1,SUMIF(G:G,Tabla1[[#This Row],[SIP]],I:I)-Tabla1[[#This Row],[Kerma en aire acumulada (Gy)]],"")</f>
        <v/>
      </c>
    </row>
    <row r="1112" spans="3:27">
      <c r="C1112" s="147" t="s">
        <v>1088</v>
      </c>
      <c r="D1112" s="134" t="s">
        <v>2263</v>
      </c>
      <c r="E1112" s="134" t="s">
        <v>2264</v>
      </c>
      <c r="F1112" s="134" t="s">
        <v>2265</v>
      </c>
      <c r="G1112" s="134">
        <v>1731798</v>
      </c>
      <c r="H1112" s="135">
        <v>44636</v>
      </c>
      <c r="I1112" s="134">
        <v>1.3469999999999999E-2</v>
      </c>
      <c r="J1112" s="145"/>
      <c r="K1112" s="145"/>
      <c r="L1112" s="145"/>
      <c r="M1112" s="145"/>
      <c r="N1112" s="145"/>
      <c r="O1112" s="145"/>
      <c r="P1112" s="145"/>
      <c r="Q1112" s="145"/>
      <c r="R1112" s="145"/>
      <c r="S1112" s="145"/>
      <c r="T1112" s="135">
        <v>18708</v>
      </c>
      <c r="U1112" s="145"/>
      <c r="V1112" s="134" t="s">
        <v>533</v>
      </c>
      <c r="W1112" s="92" t="str">
        <f t="shared" si="87"/>
        <v>Escrig Aparici,Juan Benito</v>
      </c>
      <c r="X1112" s="95">
        <f t="shared" si="88"/>
        <v>3</v>
      </c>
      <c r="Y1112" s="95">
        <f t="shared" si="86"/>
        <v>2022</v>
      </c>
      <c r="Z1112" s="103" t="s">
        <v>265</v>
      </c>
      <c r="AA1112" t="str">
        <f>IF(Tabla1[[#This Row],[Kerma en aire acumulada (Gy)]]&gt;1,SUMIF(G:G,Tabla1[[#This Row],[SIP]],I:I)-Tabla1[[#This Row],[Kerma en aire acumulada (Gy)]],"")</f>
        <v/>
      </c>
    </row>
    <row r="1113" spans="3:27">
      <c r="C1113" s="147" t="s">
        <v>1088</v>
      </c>
      <c r="D1113" s="134" t="s">
        <v>2266</v>
      </c>
      <c r="E1113" s="134" t="s">
        <v>1167</v>
      </c>
      <c r="F1113" s="134" t="s">
        <v>2267</v>
      </c>
      <c r="G1113" s="134">
        <v>2347222</v>
      </c>
      <c r="H1113" s="135">
        <v>44636</v>
      </c>
      <c r="I1113" s="134">
        <v>0.17368</v>
      </c>
      <c r="J1113" s="145"/>
      <c r="K1113" s="145"/>
      <c r="L1113" s="145"/>
      <c r="M1113" s="145"/>
      <c r="N1113" s="145"/>
      <c r="O1113" s="145"/>
      <c r="P1113" s="145"/>
      <c r="Q1113" s="145"/>
      <c r="R1113" s="145"/>
      <c r="S1113" s="145"/>
      <c r="T1113" s="135">
        <v>24744</v>
      </c>
      <c r="U1113" s="145"/>
      <c r="V1113" s="134" t="s">
        <v>503</v>
      </c>
      <c r="W1113" s="92" t="str">
        <f t="shared" si="87"/>
        <v>Mormeneo Bernat,Maria Elisa</v>
      </c>
      <c r="X1113" s="95">
        <f t="shared" si="88"/>
        <v>3</v>
      </c>
      <c r="Y1113" s="95">
        <f t="shared" si="86"/>
        <v>2022</v>
      </c>
      <c r="Z1113" s="103" t="s">
        <v>265</v>
      </c>
      <c r="AA1113" t="str">
        <f>IF(Tabla1[[#This Row],[Kerma en aire acumulada (Gy)]]&gt;1,SUMIF(G:G,Tabla1[[#This Row],[SIP]],I:I)-Tabla1[[#This Row],[Kerma en aire acumulada (Gy)]],"")</f>
        <v/>
      </c>
    </row>
    <row r="1114" spans="3:27">
      <c r="C1114" s="147" t="s">
        <v>1088</v>
      </c>
      <c r="D1114" s="134" t="s">
        <v>1616</v>
      </c>
      <c r="E1114" s="134" t="s">
        <v>1253</v>
      </c>
      <c r="F1114" s="134" t="s">
        <v>834</v>
      </c>
      <c r="G1114" s="134">
        <v>3336681</v>
      </c>
      <c r="H1114" s="135">
        <v>44636</v>
      </c>
      <c r="I1114" s="134">
        <v>9.6939999999999998E-2</v>
      </c>
      <c r="J1114" s="145"/>
      <c r="K1114" s="145"/>
      <c r="L1114" s="145"/>
      <c r="M1114" s="145"/>
      <c r="N1114" s="145"/>
      <c r="O1114" s="145"/>
      <c r="P1114" s="145"/>
      <c r="Q1114" s="145"/>
      <c r="R1114" s="145"/>
      <c r="S1114" s="145"/>
      <c r="T1114" s="135">
        <v>13640</v>
      </c>
      <c r="U1114" s="145"/>
      <c r="V1114" s="134" t="s">
        <v>1767</v>
      </c>
      <c r="W1114" s="92" t="str">
        <f t="shared" si="87"/>
        <v>Tortajada Anton,Pedro</v>
      </c>
      <c r="X1114" s="95">
        <f t="shared" si="88"/>
        <v>3</v>
      </c>
      <c r="Y1114" s="95">
        <f t="shared" si="86"/>
        <v>2022</v>
      </c>
      <c r="Z1114" s="103" t="s">
        <v>265</v>
      </c>
      <c r="AA1114" t="str">
        <f>IF(Tabla1[[#This Row],[Kerma en aire acumulada (Gy)]]&gt;1,SUMIF(G:G,Tabla1[[#This Row],[SIP]],I:I)-Tabla1[[#This Row],[Kerma en aire acumulada (Gy)]],"")</f>
        <v/>
      </c>
    </row>
    <row r="1115" spans="3:27">
      <c r="C1115" s="147" t="s">
        <v>1088</v>
      </c>
      <c r="D1115" s="134" t="s">
        <v>1003</v>
      </c>
      <c r="E1115" s="134" t="s">
        <v>2268</v>
      </c>
      <c r="F1115" s="134" t="s">
        <v>1155</v>
      </c>
      <c r="G1115" s="134">
        <v>3199808</v>
      </c>
      <c r="H1115" s="135">
        <v>44636</v>
      </c>
      <c r="I1115" s="134">
        <v>1.28487</v>
      </c>
      <c r="J1115" s="145"/>
      <c r="K1115" s="145"/>
      <c r="L1115" s="145"/>
      <c r="M1115" s="145"/>
      <c r="N1115" s="145"/>
      <c r="O1115" s="145"/>
      <c r="P1115" s="145"/>
      <c r="Q1115" s="145"/>
      <c r="R1115" s="145"/>
      <c r="S1115" s="145"/>
      <c r="T1115" s="135">
        <v>19993</v>
      </c>
      <c r="U1115" s="145"/>
      <c r="V1115" s="134" t="s">
        <v>107</v>
      </c>
      <c r="W1115" s="92" t="str">
        <f t="shared" si="87"/>
        <v>Romero ruiz,Maria</v>
      </c>
      <c r="X1115" s="95">
        <f t="shared" si="88"/>
        <v>3</v>
      </c>
      <c r="Y1115" s="95">
        <f t="shared" si="86"/>
        <v>2022</v>
      </c>
      <c r="Z1115" s="103" t="s">
        <v>265</v>
      </c>
      <c r="AA1115">
        <f>IF(Tabla1[[#This Row],[Kerma en aire acumulada (Gy)]]&gt;1,SUMIF(G:G,Tabla1[[#This Row],[SIP]],I:I)-Tabla1[[#This Row],[Kerma en aire acumulada (Gy)]],"")</f>
        <v>1.0387099999999998</v>
      </c>
    </row>
    <row r="1116" spans="3:27">
      <c r="C1116" s="147" t="s">
        <v>1088</v>
      </c>
      <c r="D1116" s="134" t="s">
        <v>2295</v>
      </c>
      <c r="E1116" s="134" t="s">
        <v>2296</v>
      </c>
      <c r="F1116" s="134" t="s">
        <v>68</v>
      </c>
      <c r="G1116" s="134">
        <v>2310674</v>
      </c>
      <c r="H1116" s="135">
        <v>44636</v>
      </c>
      <c r="I1116" s="134">
        <v>0.17785000000000001</v>
      </c>
      <c r="J1116" s="145"/>
      <c r="K1116" s="145"/>
      <c r="L1116" s="145"/>
      <c r="M1116" s="145"/>
      <c r="N1116" s="145"/>
      <c r="O1116" s="145"/>
      <c r="P1116" s="145"/>
      <c r="Q1116" s="145"/>
      <c r="R1116" s="145"/>
      <c r="S1116" s="145"/>
      <c r="T1116" s="135">
        <v>29893</v>
      </c>
      <c r="U1116" s="145"/>
      <c r="V1116" s="134" t="s">
        <v>563</v>
      </c>
      <c r="W1116" s="92" t="str">
        <f t="shared" si="87"/>
        <v>Lllavata Gorriz,Juan</v>
      </c>
      <c r="X1116" s="95">
        <f t="shared" si="88"/>
        <v>3</v>
      </c>
      <c r="Y1116" s="95">
        <f t="shared" ref="Y1116:Y1179" si="89">YEAR(H1116)</f>
        <v>2022</v>
      </c>
      <c r="Z1116" s="136" t="s">
        <v>266</v>
      </c>
      <c r="AA1116" t="str">
        <f>IF(Tabla1[[#This Row],[Kerma en aire acumulada (Gy)]]&gt;1,SUMIF(G:G,Tabla1[[#This Row],[SIP]],I:I)-Tabla1[[#This Row],[Kerma en aire acumulada (Gy)]],"")</f>
        <v/>
      </c>
    </row>
    <row r="1117" spans="3:27">
      <c r="C1117" s="147" t="s">
        <v>1088</v>
      </c>
      <c r="D1117" s="134" t="s">
        <v>2297</v>
      </c>
      <c r="E1117" s="134" t="s">
        <v>2298</v>
      </c>
      <c r="F1117" s="134" t="s">
        <v>2299</v>
      </c>
      <c r="G1117" s="134">
        <v>2033975</v>
      </c>
      <c r="H1117" s="135">
        <v>44636</v>
      </c>
      <c r="I1117" s="134">
        <v>0.43052000000000001</v>
      </c>
      <c r="J1117" s="145"/>
      <c r="K1117" s="145"/>
      <c r="L1117" s="145"/>
      <c r="M1117" s="145"/>
      <c r="N1117" s="145"/>
      <c r="O1117" s="145"/>
      <c r="P1117" s="145"/>
      <c r="Q1117" s="145"/>
      <c r="R1117" s="145"/>
      <c r="S1117" s="145"/>
      <c r="T1117" s="135">
        <v>22409</v>
      </c>
      <c r="U1117" s="145"/>
      <c r="V1117" s="134" t="s">
        <v>563</v>
      </c>
      <c r="W1117" s="92" t="str">
        <f t="shared" si="87"/>
        <v>Leyva Espin,Maria Rosario</v>
      </c>
      <c r="X1117" s="95">
        <f t="shared" si="88"/>
        <v>3</v>
      </c>
      <c r="Y1117" s="95">
        <f t="shared" si="89"/>
        <v>2022</v>
      </c>
      <c r="Z1117" s="136" t="s">
        <v>266</v>
      </c>
      <c r="AA1117" t="str">
        <f>IF(Tabla1[[#This Row],[Kerma en aire acumulada (Gy)]]&gt;1,SUMIF(G:G,Tabla1[[#This Row],[SIP]],I:I)-Tabla1[[#This Row],[Kerma en aire acumulada (Gy)]],"")</f>
        <v/>
      </c>
    </row>
    <row r="1118" spans="3:27">
      <c r="C1118" s="147" t="s">
        <v>1088</v>
      </c>
      <c r="D1118" s="134" t="s">
        <v>126</v>
      </c>
      <c r="E1118" s="134" t="s">
        <v>2155</v>
      </c>
      <c r="F1118" s="134" t="s">
        <v>2300</v>
      </c>
      <c r="G1118" s="134">
        <v>1856760</v>
      </c>
      <c r="H1118" s="135">
        <v>44636</v>
      </c>
      <c r="I1118" s="134">
        <v>0.23888999999999999</v>
      </c>
      <c r="J1118" s="145"/>
      <c r="K1118" s="145"/>
      <c r="L1118" s="145"/>
      <c r="M1118" s="145"/>
      <c r="N1118" s="145"/>
      <c r="O1118" s="145"/>
      <c r="P1118" s="145"/>
      <c r="Q1118" s="145"/>
      <c r="R1118" s="145"/>
      <c r="S1118" s="145"/>
      <c r="T1118" s="135">
        <v>20870</v>
      </c>
      <c r="U1118" s="145"/>
      <c r="V1118" s="134" t="s">
        <v>563</v>
      </c>
      <c r="W1118" s="92" t="str">
        <f t="shared" si="87"/>
        <v>Domingo Milla,rodrigo</v>
      </c>
      <c r="X1118" s="95">
        <f t="shared" si="88"/>
        <v>3</v>
      </c>
      <c r="Y1118" s="95">
        <f t="shared" si="89"/>
        <v>2022</v>
      </c>
      <c r="Z1118" s="136" t="s">
        <v>266</v>
      </c>
      <c r="AA1118" t="str">
        <f>IF(Tabla1[[#This Row],[Kerma en aire acumulada (Gy)]]&gt;1,SUMIF(G:G,Tabla1[[#This Row],[SIP]],I:I)-Tabla1[[#This Row],[Kerma en aire acumulada (Gy)]],"")</f>
        <v/>
      </c>
    </row>
    <row r="1119" spans="3:27">
      <c r="C1119" s="147" t="s">
        <v>1088</v>
      </c>
      <c r="D1119" s="134" t="s">
        <v>105</v>
      </c>
      <c r="E1119" s="134" t="s">
        <v>2314</v>
      </c>
      <c r="F1119" s="134" t="s">
        <v>2315</v>
      </c>
      <c r="G1119" s="134">
        <v>2911715</v>
      </c>
      <c r="H1119" s="135">
        <v>44636</v>
      </c>
      <c r="I1119" s="134">
        <v>5.8930000000000003E-2</v>
      </c>
      <c r="J1119" s="145"/>
      <c r="K1119" s="145"/>
      <c r="L1119" s="145"/>
      <c r="M1119" s="145"/>
      <c r="N1119" s="145"/>
      <c r="O1119" s="145"/>
      <c r="P1119" s="145"/>
      <c r="Q1119" s="145"/>
      <c r="R1119" s="145"/>
      <c r="S1119" s="145"/>
      <c r="T1119" s="135">
        <v>21490</v>
      </c>
      <c r="U1119" s="145"/>
      <c r="V1119" s="134" t="s">
        <v>2316</v>
      </c>
      <c r="W1119" s="92" t="str">
        <f t="shared" si="87"/>
        <v>Soriano Corts,M Dolores</v>
      </c>
      <c r="X1119" s="95">
        <f t="shared" si="88"/>
        <v>3</v>
      </c>
      <c r="Y1119" s="95">
        <f t="shared" si="89"/>
        <v>2022</v>
      </c>
      <c r="Z1119" s="136" t="s">
        <v>2238</v>
      </c>
      <c r="AA1119" t="str">
        <f>IF(Tabla1[[#This Row],[Kerma en aire acumulada (Gy)]]&gt;1,SUMIF(G:G,Tabla1[[#This Row],[SIP]],I:I)-Tabla1[[#This Row],[Kerma en aire acumulada (Gy)]],"")</f>
        <v/>
      </c>
    </row>
    <row r="1120" spans="3:27">
      <c r="C1120" s="147" t="s">
        <v>1088</v>
      </c>
      <c r="D1120" s="134" t="s">
        <v>751</v>
      </c>
      <c r="E1120" s="134" t="s">
        <v>2317</v>
      </c>
      <c r="F1120" s="134" t="s">
        <v>137</v>
      </c>
      <c r="G1120" s="134">
        <v>3193398</v>
      </c>
      <c r="H1120" s="135">
        <v>44636</v>
      </c>
      <c r="I1120" s="134">
        <v>0.34637000000000001</v>
      </c>
      <c r="J1120" s="145"/>
      <c r="K1120" s="145"/>
      <c r="L1120" s="145"/>
      <c r="M1120" s="145"/>
      <c r="N1120" s="145"/>
      <c r="O1120" s="145"/>
      <c r="P1120" s="145"/>
      <c r="Q1120" s="145"/>
      <c r="R1120" s="145"/>
      <c r="S1120" s="145"/>
      <c r="T1120" s="135">
        <v>18029</v>
      </c>
      <c r="U1120" s="145"/>
      <c r="V1120" s="134" t="s">
        <v>2309</v>
      </c>
      <c r="W1120" s="92" t="str">
        <f t="shared" si="87"/>
        <v>Zaragoza Catalan,Adela</v>
      </c>
      <c r="X1120" s="95">
        <f t="shared" si="88"/>
        <v>3</v>
      </c>
      <c r="Y1120" s="95">
        <f t="shared" si="89"/>
        <v>2022</v>
      </c>
      <c r="Z1120" s="136" t="s">
        <v>2238</v>
      </c>
      <c r="AA1120" t="str">
        <f>IF(Tabla1[[#This Row],[Kerma en aire acumulada (Gy)]]&gt;1,SUMIF(G:G,Tabla1[[#This Row],[SIP]],I:I)-Tabla1[[#This Row],[Kerma en aire acumulada (Gy)]],"")</f>
        <v/>
      </c>
    </row>
    <row r="1121" spans="3:27">
      <c r="C1121" s="147" t="s">
        <v>1088</v>
      </c>
      <c r="D1121" s="134" t="s">
        <v>1612</v>
      </c>
      <c r="E1121" s="134" t="s">
        <v>772</v>
      </c>
      <c r="F1121" s="134" t="s">
        <v>2318</v>
      </c>
      <c r="G1121" s="134">
        <v>2636229</v>
      </c>
      <c r="H1121" s="135">
        <v>44636</v>
      </c>
      <c r="I1121" s="134">
        <v>1.9820000000000001E-2</v>
      </c>
      <c r="J1121" s="145"/>
      <c r="K1121" s="145"/>
      <c r="L1121" s="145"/>
      <c r="M1121" s="145"/>
      <c r="N1121" s="145"/>
      <c r="O1121" s="145"/>
      <c r="P1121" s="145"/>
      <c r="Q1121" s="145"/>
      <c r="R1121" s="145"/>
      <c r="S1121" s="145"/>
      <c r="T1121" s="135">
        <v>22001</v>
      </c>
      <c r="U1121" s="145"/>
      <c r="V1121" s="134" t="s">
        <v>2237</v>
      </c>
      <c r="W1121" s="92" t="str">
        <f t="shared" si="87"/>
        <v>Alfaro Sanchez,Isidro</v>
      </c>
      <c r="X1121" s="95">
        <f t="shared" si="88"/>
        <v>3</v>
      </c>
      <c r="Y1121" s="95">
        <f t="shared" si="89"/>
        <v>2022</v>
      </c>
      <c r="Z1121" s="136" t="s">
        <v>2238</v>
      </c>
      <c r="AA1121" t="str">
        <f>IF(Tabla1[[#This Row],[Kerma en aire acumulada (Gy)]]&gt;1,SUMIF(G:G,Tabla1[[#This Row],[SIP]],I:I)-Tabla1[[#This Row],[Kerma en aire acumulada (Gy)]],"")</f>
        <v/>
      </c>
    </row>
    <row r="1122" spans="3:27">
      <c r="C1122" s="147" t="s">
        <v>1088</v>
      </c>
      <c r="D1122" s="134" t="s">
        <v>1133</v>
      </c>
      <c r="E1122" s="134" t="s">
        <v>2251</v>
      </c>
      <c r="F1122" s="134" t="s">
        <v>88</v>
      </c>
      <c r="G1122" s="134">
        <v>2335537</v>
      </c>
      <c r="H1122" s="135">
        <v>44637</v>
      </c>
      <c r="I1122" s="134">
        <v>0.30441000000000001</v>
      </c>
      <c r="J1122" s="145"/>
      <c r="K1122" s="145"/>
      <c r="L1122" s="145"/>
      <c r="M1122" s="145"/>
      <c r="N1122" s="145"/>
      <c r="O1122" s="145"/>
      <c r="P1122" s="145"/>
      <c r="Q1122" s="145"/>
      <c r="R1122" s="145"/>
      <c r="S1122" s="145"/>
      <c r="T1122" s="135">
        <v>23834</v>
      </c>
      <c r="U1122" s="145"/>
      <c r="V1122" s="134" t="s">
        <v>118</v>
      </c>
      <c r="W1122" s="92" t="str">
        <f t="shared" si="87"/>
        <v>Tarin Ors,Vicente</v>
      </c>
      <c r="X1122" s="95">
        <f t="shared" si="88"/>
        <v>3</v>
      </c>
      <c r="Y1122" s="95">
        <f t="shared" si="89"/>
        <v>2022</v>
      </c>
      <c r="Z1122" s="103" t="s">
        <v>265</v>
      </c>
      <c r="AA1122" t="str">
        <f>IF(Tabla1[[#This Row],[Kerma en aire acumulada (Gy)]]&gt;1,SUMIF(G:G,Tabla1[[#This Row],[SIP]],I:I)-Tabla1[[#This Row],[Kerma en aire acumulada (Gy)]],"")</f>
        <v/>
      </c>
    </row>
    <row r="1123" spans="3:27">
      <c r="C1123" s="147" t="s">
        <v>1088</v>
      </c>
      <c r="D1123" s="134" t="s">
        <v>1739</v>
      </c>
      <c r="E1123" s="134" t="s">
        <v>848</v>
      </c>
      <c r="F1123" s="134" t="s">
        <v>1741</v>
      </c>
      <c r="G1123" s="134">
        <v>6180891</v>
      </c>
      <c r="H1123" s="135">
        <v>44637</v>
      </c>
      <c r="I1123" s="134">
        <v>5.2060000000000002E-2</v>
      </c>
      <c r="J1123" s="145"/>
      <c r="K1123" s="145"/>
      <c r="L1123" s="145"/>
      <c r="M1123" s="145"/>
      <c r="N1123" s="145"/>
      <c r="O1123" s="145"/>
      <c r="P1123" s="145"/>
      <c r="Q1123" s="145"/>
      <c r="R1123" s="145"/>
      <c r="S1123" s="145"/>
      <c r="T1123" s="135">
        <v>27263</v>
      </c>
      <c r="U1123" s="145"/>
      <c r="V1123" s="134" t="s">
        <v>2252</v>
      </c>
      <c r="W1123" s="92" t="str">
        <f t="shared" ref="W1123:W1186" si="90">CONCATENATE(D1123,$A$591,E1123,",",F1123)</f>
        <v>Frigols Vilar,Maria Esther</v>
      </c>
      <c r="X1123" s="95">
        <f t="shared" si="88"/>
        <v>3</v>
      </c>
      <c r="Y1123" s="95">
        <f t="shared" si="89"/>
        <v>2022</v>
      </c>
      <c r="Z1123" s="103" t="s">
        <v>265</v>
      </c>
      <c r="AA1123" t="str">
        <f>IF(Tabla1[[#This Row],[Kerma en aire acumulada (Gy)]]&gt;1,SUMIF(G:G,Tabla1[[#This Row],[SIP]],I:I)-Tabla1[[#This Row],[Kerma en aire acumulada (Gy)]],"")</f>
        <v/>
      </c>
    </row>
    <row r="1124" spans="3:27">
      <c r="C1124" s="147" t="s">
        <v>1088</v>
      </c>
      <c r="D1124" s="134" t="s">
        <v>971</v>
      </c>
      <c r="E1124" s="134" t="s">
        <v>2262</v>
      </c>
      <c r="F1124" s="134" t="s">
        <v>972</v>
      </c>
      <c r="G1124" s="134">
        <v>1777454</v>
      </c>
      <c r="H1124" s="135">
        <v>44637</v>
      </c>
      <c r="I1124" s="134">
        <v>0.11942</v>
      </c>
      <c r="J1124" s="145"/>
      <c r="K1124" s="145"/>
      <c r="L1124" s="145"/>
      <c r="M1124" s="145"/>
      <c r="N1124" s="145"/>
      <c r="O1124" s="145"/>
      <c r="P1124" s="145"/>
      <c r="Q1124" s="145"/>
      <c r="R1124" s="145"/>
      <c r="S1124" s="145"/>
      <c r="T1124" s="135">
        <v>21339</v>
      </c>
      <c r="U1124" s="145"/>
      <c r="V1124" s="134" t="s">
        <v>1293</v>
      </c>
      <c r="W1124" s="92" t="str">
        <f t="shared" si="90"/>
        <v>Amber MArtinez,Josefina</v>
      </c>
      <c r="X1124" s="95">
        <f t="shared" si="88"/>
        <v>3</v>
      </c>
      <c r="Y1124" s="95">
        <f t="shared" si="89"/>
        <v>2022</v>
      </c>
      <c r="Z1124" s="103" t="s">
        <v>265</v>
      </c>
      <c r="AA1124" t="str">
        <f>IF(Tabla1[[#This Row],[Kerma en aire acumulada (Gy)]]&gt;1,SUMIF(G:G,Tabla1[[#This Row],[SIP]],I:I)-Tabla1[[#This Row],[Kerma en aire acumulada (Gy)]],"")</f>
        <v/>
      </c>
    </row>
    <row r="1125" spans="3:27">
      <c r="C1125" s="147" t="s">
        <v>1088</v>
      </c>
      <c r="D1125" s="134" t="s">
        <v>337</v>
      </c>
      <c r="E1125" s="134" t="s">
        <v>337</v>
      </c>
      <c r="F1125" s="134" t="s">
        <v>2105</v>
      </c>
      <c r="G1125" s="134">
        <v>3823755</v>
      </c>
      <c r="H1125" s="135">
        <v>44637</v>
      </c>
      <c r="I1125" s="134">
        <v>0.16411999999999999</v>
      </c>
      <c r="J1125" s="145"/>
      <c r="K1125" s="145"/>
      <c r="L1125" s="145"/>
      <c r="M1125" s="145"/>
      <c r="N1125" s="145"/>
      <c r="O1125" s="145"/>
      <c r="P1125" s="145"/>
      <c r="Q1125" s="145"/>
      <c r="R1125" s="145"/>
      <c r="S1125" s="145"/>
      <c r="T1125" s="135">
        <v>24095</v>
      </c>
      <c r="U1125" s="145"/>
      <c r="V1125" s="134" t="s">
        <v>563</v>
      </c>
      <c r="W1125" s="92" t="str">
        <f t="shared" si="90"/>
        <v>Garrido Garrido,Juan Francisco</v>
      </c>
      <c r="X1125" s="95">
        <f t="shared" si="88"/>
        <v>3</v>
      </c>
      <c r="Y1125" s="95">
        <f t="shared" si="89"/>
        <v>2022</v>
      </c>
      <c r="Z1125" s="136" t="s">
        <v>266</v>
      </c>
      <c r="AA1125" t="str">
        <f>IF(Tabla1[[#This Row],[Kerma en aire acumulada (Gy)]]&gt;1,SUMIF(G:G,Tabla1[[#This Row],[SIP]],I:I)-Tabla1[[#This Row],[Kerma en aire acumulada (Gy)]],"")</f>
        <v/>
      </c>
    </row>
    <row r="1126" spans="3:27">
      <c r="C1126" s="147" t="s">
        <v>1088</v>
      </c>
      <c r="D1126" s="134" t="s">
        <v>2292</v>
      </c>
      <c r="E1126" s="134" t="s">
        <v>2084</v>
      </c>
      <c r="F1126" s="134" t="s">
        <v>2293</v>
      </c>
      <c r="G1126" s="134">
        <v>6671279</v>
      </c>
      <c r="H1126" s="135">
        <v>44637</v>
      </c>
      <c r="I1126" s="134">
        <v>2.8309999999999998E-2</v>
      </c>
      <c r="J1126" s="145"/>
      <c r="K1126" s="145"/>
      <c r="L1126" s="145"/>
      <c r="M1126" s="145"/>
      <c r="N1126" s="145"/>
      <c r="O1126" s="145"/>
      <c r="P1126" s="145"/>
      <c r="Q1126" s="145"/>
      <c r="R1126" s="145"/>
      <c r="S1126" s="145"/>
      <c r="T1126" s="135">
        <v>38419</v>
      </c>
      <c r="U1126" s="145"/>
      <c r="V1126" s="134" t="s">
        <v>563</v>
      </c>
      <c r="W1126" s="92" t="str">
        <f t="shared" si="90"/>
        <v>Aguayo Gutierrez,Josue</v>
      </c>
      <c r="X1126" s="95">
        <f t="shared" si="88"/>
        <v>3</v>
      </c>
      <c r="Y1126" s="95">
        <f t="shared" si="89"/>
        <v>2022</v>
      </c>
      <c r="Z1126" s="136" t="s">
        <v>266</v>
      </c>
      <c r="AA1126" t="str">
        <f>IF(Tabla1[[#This Row],[Kerma en aire acumulada (Gy)]]&gt;1,SUMIF(G:G,Tabla1[[#This Row],[SIP]],I:I)-Tabla1[[#This Row],[Kerma en aire acumulada (Gy)]],"")</f>
        <v/>
      </c>
    </row>
    <row r="1127" spans="3:27">
      <c r="C1127" s="147" t="s">
        <v>1088</v>
      </c>
      <c r="D1127" s="134" t="s">
        <v>2294</v>
      </c>
      <c r="E1127" s="134" t="s">
        <v>2143</v>
      </c>
      <c r="F1127" s="134" t="s">
        <v>20</v>
      </c>
      <c r="G1127" s="134">
        <v>2338260</v>
      </c>
      <c r="H1127" s="135">
        <v>44637</v>
      </c>
      <c r="I1127" s="134">
        <v>0.29994999999999999</v>
      </c>
      <c r="J1127" s="145"/>
      <c r="K1127" s="145"/>
      <c r="L1127" s="145"/>
      <c r="M1127" s="145"/>
      <c r="N1127" s="145"/>
      <c r="O1127" s="145"/>
      <c r="P1127" s="145"/>
      <c r="Q1127" s="145"/>
      <c r="R1127" s="145"/>
      <c r="S1127" s="145"/>
      <c r="T1127" s="135">
        <v>19647</v>
      </c>
      <c r="U1127" s="145"/>
      <c r="V1127" s="134" t="s">
        <v>563</v>
      </c>
      <c r="W1127" s="92" t="str">
        <f t="shared" si="90"/>
        <v>Mañas Dominguez,Antonio</v>
      </c>
      <c r="X1127" s="95">
        <f t="shared" si="88"/>
        <v>3</v>
      </c>
      <c r="Y1127" s="95">
        <f t="shared" si="89"/>
        <v>2022</v>
      </c>
      <c r="Z1127" s="136" t="s">
        <v>266</v>
      </c>
      <c r="AA1127" t="str">
        <f>IF(Tabla1[[#This Row],[Kerma en aire acumulada (Gy)]]&gt;1,SUMIF(G:G,Tabla1[[#This Row],[SIP]],I:I)-Tabla1[[#This Row],[Kerma en aire acumulada (Gy)]],"")</f>
        <v/>
      </c>
    </row>
    <row r="1128" spans="3:27">
      <c r="C1128" s="147" t="s">
        <v>1088</v>
      </c>
      <c r="D1128" s="134" t="s">
        <v>1001</v>
      </c>
      <c r="E1128" s="134" t="s">
        <v>2108</v>
      </c>
      <c r="F1128" s="134" t="s">
        <v>1236</v>
      </c>
      <c r="G1128" s="134">
        <v>1851710</v>
      </c>
      <c r="H1128" s="135">
        <v>44637</v>
      </c>
      <c r="I1128" s="134">
        <v>0.15537000000000001</v>
      </c>
      <c r="J1128" s="145"/>
      <c r="K1128" s="145"/>
      <c r="L1128" s="145"/>
      <c r="M1128" s="145"/>
      <c r="N1128" s="145"/>
      <c r="O1128" s="145"/>
      <c r="P1128" s="145"/>
      <c r="Q1128" s="145"/>
      <c r="R1128" s="145"/>
      <c r="S1128" s="145"/>
      <c r="T1128" s="135">
        <v>15991</v>
      </c>
      <c r="U1128" s="145"/>
      <c r="V1128" s="134" t="s">
        <v>563</v>
      </c>
      <c r="W1128" s="92" t="str">
        <f t="shared" si="90"/>
        <v>Perez Fayos,Salvadora</v>
      </c>
      <c r="X1128" s="95">
        <f t="shared" si="88"/>
        <v>3</v>
      </c>
      <c r="Y1128" s="95">
        <f t="shared" si="89"/>
        <v>2022</v>
      </c>
      <c r="Z1128" s="136" t="s">
        <v>266</v>
      </c>
      <c r="AA1128" t="str">
        <f>IF(Tabla1[[#This Row],[Kerma en aire acumulada (Gy)]]&gt;1,SUMIF(G:G,Tabla1[[#This Row],[SIP]],I:I)-Tabla1[[#This Row],[Kerma en aire acumulada (Gy)]],"")</f>
        <v/>
      </c>
    </row>
    <row r="1129" spans="3:27">
      <c r="C1129" s="147" t="s">
        <v>1088</v>
      </c>
      <c r="D1129" s="134" t="s">
        <v>856</v>
      </c>
      <c r="E1129" s="134" t="s">
        <v>2080</v>
      </c>
      <c r="F1129" s="134" t="s">
        <v>1260</v>
      </c>
      <c r="G1129" s="134">
        <v>2185899</v>
      </c>
      <c r="H1129" s="135">
        <v>44637</v>
      </c>
      <c r="I1129" s="134">
        <v>0.17624999999999999</v>
      </c>
      <c r="J1129" s="145"/>
      <c r="K1129" s="145"/>
      <c r="L1129" s="145"/>
      <c r="M1129" s="145"/>
      <c r="N1129" s="145"/>
      <c r="O1129" s="145"/>
      <c r="P1129" s="145"/>
      <c r="Q1129" s="145"/>
      <c r="R1129" s="145"/>
      <c r="S1129" s="145"/>
      <c r="T1129" s="135">
        <v>23925</v>
      </c>
      <c r="U1129" s="145"/>
      <c r="V1129" s="134" t="s">
        <v>563</v>
      </c>
      <c r="W1129" s="92" t="str">
        <f t="shared" si="90"/>
        <v>Gomez Hervas,Cristobal</v>
      </c>
      <c r="X1129" s="95">
        <f t="shared" si="88"/>
        <v>3</v>
      </c>
      <c r="Y1129" s="95">
        <f t="shared" si="89"/>
        <v>2022</v>
      </c>
      <c r="Z1129" s="136" t="s">
        <v>266</v>
      </c>
      <c r="AA1129" t="str">
        <f>IF(Tabla1[[#This Row],[Kerma en aire acumulada (Gy)]]&gt;1,SUMIF(G:G,Tabla1[[#This Row],[SIP]],I:I)-Tabla1[[#This Row],[Kerma en aire acumulada (Gy)]],"")</f>
        <v/>
      </c>
    </row>
    <row r="1130" spans="3:27">
      <c r="C1130" s="147" t="s">
        <v>1088</v>
      </c>
      <c r="D1130" s="134" t="s">
        <v>2310</v>
      </c>
      <c r="E1130" s="134" t="s">
        <v>2311</v>
      </c>
      <c r="F1130" s="134" t="s">
        <v>2312</v>
      </c>
      <c r="G1130" s="134">
        <v>10890838</v>
      </c>
      <c r="H1130" s="135">
        <v>44637</v>
      </c>
      <c r="I1130" s="134">
        <v>1.498E-2</v>
      </c>
      <c r="J1130" s="145"/>
      <c r="K1130" s="145"/>
      <c r="L1130" s="145"/>
      <c r="M1130" s="145"/>
      <c r="N1130" s="145"/>
      <c r="O1130" s="145"/>
      <c r="P1130" s="145"/>
      <c r="Q1130" s="145"/>
      <c r="R1130" s="145"/>
      <c r="S1130" s="145"/>
      <c r="T1130" s="135">
        <v>10492</v>
      </c>
      <c r="U1130" s="145"/>
      <c r="V1130" s="134" t="s">
        <v>2241</v>
      </c>
      <c r="W1130" s="92" t="str">
        <f t="shared" si="90"/>
        <v>Cerisier Dubernoy,Lorna Beatrice</v>
      </c>
      <c r="X1130" s="95">
        <f t="shared" si="88"/>
        <v>3</v>
      </c>
      <c r="Y1130" s="95">
        <f t="shared" si="89"/>
        <v>2022</v>
      </c>
      <c r="Z1130" s="136" t="s">
        <v>2238</v>
      </c>
      <c r="AA1130" t="str">
        <f>IF(Tabla1[[#This Row],[Kerma en aire acumulada (Gy)]]&gt;1,SUMIF(G:G,Tabla1[[#This Row],[SIP]],I:I)-Tabla1[[#This Row],[Kerma en aire acumulada (Gy)]],"")</f>
        <v/>
      </c>
    </row>
    <row r="1131" spans="3:27">
      <c r="C1131" s="147" t="s">
        <v>1088</v>
      </c>
      <c r="D1131" s="134" t="s">
        <v>1001</v>
      </c>
      <c r="E1131" s="134" t="s">
        <v>2301</v>
      </c>
      <c r="F1131" s="134" t="s">
        <v>2302</v>
      </c>
      <c r="G1131" s="134">
        <v>5380678</v>
      </c>
      <c r="H1131" s="135">
        <v>44637</v>
      </c>
      <c r="I1131" s="134">
        <v>7.1400000000000005E-2</v>
      </c>
      <c r="J1131" s="145"/>
      <c r="K1131" s="145"/>
      <c r="L1131" s="145"/>
      <c r="M1131" s="145"/>
      <c r="N1131" s="145"/>
      <c r="O1131" s="145"/>
      <c r="P1131" s="145"/>
      <c r="Q1131" s="145"/>
      <c r="R1131" s="145"/>
      <c r="S1131" s="145"/>
      <c r="T1131" s="135">
        <v>24367</v>
      </c>
      <c r="U1131" s="145"/>
      <c r="V1131" s="134" t="s">
        <v>2241</v>
      </c>
      <c r="W1131" s="92" t="str">
        <f t="shared" si="90"/>
        <v>Perez Butron,Ismael</v>
      </c>
      <c r="X1131" s="95">
        <f t="shared" si="88"/>
        <v>3</v>
      </c>
      <c r="Y1131" s="95">
        <f t="shared" si="89"/>
        <v>2022</v>
      </c>
      <c r="Z1131" s="136" t="s">
        <v>2238</v>
      </c>
      <c r="AA1131" t="str">
        <f>IF(Tabla1[[#This Row],[Kerma en aire acumulada (Gy)]]&gt;1,SUMIF(G:G,Tabla1[[#This Row],[SIP]],I:I)-Tabla1[[#This Row],[Kerma en aire acumulada (Gy)]],"")</f>
        <v/>
      </c>
    </row>
    <row r="1132" spans="3:27">
      <c r="C1132" s="147" t="s">
        <v>1088</v>
      </c>
      <c r="D1132" s="134" t="s">
        <v>680</v>
      </c>
      <c r="E1132" s="134" t="s">
        <v>1662</v>
      </c>
      <c r="F1132" s="134" t="s">
        <v>2313</v>
      </c>
      <c r="G1132" s="134">
        <v>5076841</v>
      </c>
      <c r="H1132" s="135">
        <v>44637</v>
      </c>
      <c r="I1132" s="134">
        <v>2.3800000000000002E-2</v>
      </c>
      <c r="J1132" s="145"/>
      <c r="K1132" s="145"/>
      <c r="L1132" s="145"/>
      <c r="M1132" s="145"/>
      <c r="N1132" s="145"/>
      <c r="O1132" s="145"/>
      <c r="P1132" s="145"/>
      <c r="Q1132" s="145"/>
      <c r="R1132" s="145"/>
      <c r="S1132" s="145"/>
      <c r="T1132" s="135">
        <v>16014</v>
      </c>
      <c r="U1132" s="145"/>
      <c r="V1132" s="134" t="s">
        <v>2241</v>
      </c>
      <c r="W1132" s="92" t="str">
        <f t="shared" si="90"/>
        <v>Rico Vazquez,Amador</v>
      </c>
      <c r="X1132" s="95">
        <f t="shared" si="88"/>
        <v>3</v>
      </c>
      <c r="Y1132" s="95">
        <f t="shared" si="89"/>
        <v>2022</v>
      </c>
      <c r="Z1132" s="136" t="s">
        <v>2238</v>
      </c>
      <c r="AA1132" t="str">
        <f>IF(Tabla1[[#This Row],[Kerma en aire acumulada (Gy)]]&gt;1,SUMIF(G:G,Tabla1[[#This Row],[SIP]],I:I)-Tabla1[[#This Row],[Kerma en aire acumulada (Gy)]],"")</f>
        <v/>
      </c>
    </row>
    <row r="1133" spans="3:27">
      <c r="C1133" s="147" t="s">
        <v>1088</v>
      </c>
      <c r="D1133" s="134" t="s">
        <v>2145</v>
      </c>
      <c r="E1133" s="134" t="s">
        <v>2247</v>
      </c>
      <c r="F1133" s="134" t="s">
        <v>2248</v>
      </c>
      <c r="G1133" s="134">
        <v>3554561</v>
      </c>
      <c r="H1133" s="135">
        <v>44641</v>
      </c>
      <c r="I1133" s="134">
        <v>1.9599999999999999E-3</v>
      </c>
      <c r="J1133" s="145"/>
      <c r="K1133" s="145"/>
      <c r="L1133" s="145"/>
      <c r="M1133" s="145"/>
      <c r="N1133" s="145"/>
      <c r="O1133" s="145"/>
      <c r="P1133" s="145"/>
      <c r="Q1133" s="145"/>
      <c r="R1133" s="145"/>
      <c r="S1133" s="145"/>
      <c r="T1133" s="135">
        <v>19403</v>
      </c>
      <c r="U1133" s="145"/>
      <c r="V1133" s="134" t="s">
        <v>502</v>
      </c>
      <c r="W1133" s="92" t="str">
        <f t="shared" si="90"/>
        <v>Magro Bimbarra,Jose Candido</v>
      </c>
      <c r="X1133" s="95">
        <f t="shared" si="88"/>
        <v>3</v>
      </c>
      <c r="Y1133" s="95">
        <f t="shared" si="89"/>
        <v>2022</v>
      </c>
      <c r="Z1133" s="103" t="s">
        <v>265</v>
      </c>
      <c r="AA1133" t="str">
        <f>IF(Tabla1[[#This Row],[Kerma en aire acumulada (Gy)]]&gt;1,SUMIF(G:G,Tabla1[[#This Row],[SIP]],I:I)-Tabla1[[#This Row],[Kerma en aire acumulada (Gy)]],"")</f>
        <v/>
      </c>
    </row>
    <row r="1134" spans="3:27">
      <c r="C1134" s="147" t="s">
        <v>1088</v>
      </c>
      <c r="D1134" s="134" t="s">
        <v>115</v>
      </c>
      <c r="E1134" s="134" t="s">
        <v>628</v>
      </c>
      <c r="F1134" s="134" t="s">
        <v>2249</v>
      </c>
      <c r="G1134" s="134">
        <v>4652506</v>
      </c>
      <c r="H1134" s="135">
        <v>44641</v>
      </c>
      <c r="I1134" s="134">
        <v>2.5500000000000002E-3</v>
      </c>
      <c r="J1134" s="145"/>
      <c r="K1134" s="145"/>
      <c r="L1134" s="145"/>
      <c r="M1134" s="145"/>
      <c r="N1134" s="145"/>
      <c r="O1134" s="145"/>
      <c r="P1134" s="145"/>
      <c r="Q1134" s="145"/>
      <c r="R1134" s="145"/>
      <c r="S1134" s="145"/>
      <c r="T1134" s="135">
        <v>17433</v>
      </c>
      <c r="U1134" s="145"/>
      <c r="V1134" s="134" t="s">
        <v>1929</v>
      </c>
      <c r="W1134" s="92" t="str">
        <f t="shared" si="90"/>
        <v>Pardo Pons,Nieves</v>
      </c>
      <c r="X1134" s="95">
        <f t="shared" si="88"/>
        <v>3</v>
      </c>
      <c r="Y1134" s="95">
        <f t="shared" si="89"/>
        <v>2022</v>
      </c>
      <c r="Z1134" s="103" t="s">
        <v>265</v>
      </c>
      <c r="AA1134" t="str">
        <f>IF(Tabla1[[#This Row],[Kerma en aire acumulada (Gy)]]&gt;1,SUMIF(G:G,Tabla1[[#This Row],[SIP]],I:I)-Tabla1[[#This Row],[Kerma en aire acumulada (Gy)]],"")</f>
        <v/>
      </c>
    </row>
    <row r="1135" spans="3:27">
      <c r="C1135" s="147" t="s">
        <v>1088</v>
      </c>
      <c r="D1135" s="134" t="s">
        <v>1009</v>
      </c>
      <c r="E1135" s="134" t="s">
        <v>343</v>
      </c>
      <c r="F1135" s="134" t="s">
        <v>664</v>
      </c>
      <c r="G1135" s="134">
        <v>4599006</v>
      </c>
      <c r="H1135" s="135">
        <v>44641</v>
      </c>
      <c r="I1135" s="134">
        <v>0.14344000000000001</v>
      </c>
      <c r="J1135" s="145"/>
      <c r="K1135" s="145"/>
      <c r="L1135" s="145"/>
      <c r="M1135" s="145"/>
      <c r="N1135" s="145"/>
      <c r="O1135" s="145"/>
      <c r="P1135" s="145"/>
      <c r="Q1135" s="145"/>
      <c r="R1135" s="145"/>
      <c r="S1135" s="145"/>
      <c r="T1135" s="135">
        <v>16259</v>
      </c>
      <c r="U1135" s="145"/>
      <c r="V1135" s="134" t="s">
        <v>2250</v>
      </c>
      <c r="W1135" s="92" t="str">
        <f t="shared" si="90"/>
        <v>Fernandez Caballero,Jaime</v>
      </c>
      <c r="X1135" s="95">
        <f t="shared" si="88"/>
        <v>3</v>
      </c>
      <c r="Y1135" s="95">
        <f t="shared" si="89"/>
        <v>2022</v>
      </c>
      <c r="Z1135" s="103" t="s">
        <v>265</v>
      </c>
      <c r="AA1135" t="str">
        <f>IF(Tabla1[[#This Row],[Kerma en aire acumulada (Gy)]]&gt;1,SUMIF(G:G,Tabla1[[#This Row],[SIP]],I:I)-Tabla1[[#This Row],[Kerma en aire acumulada (Gy)]],"")</f>
        <v/>
      </c>
    </row>
    <row r="1136" spans="3:27">
      <c r="C1136" s="147" t="s">
        <v>1088</v>
      </c>
      <c r="D1136" s="134" t="s">
        <v>1968</v>
      </c>
      <c r="E1136" s="134" t="s">
        <v>839</v>
      </c>
      <c r="F1136" s="134" t="s">
        <v>1621</v>
      </c>
      <c r="G1136" s="134">
        <v>3188116</v>
      </c>
      <c r="H1136" s="135">
        <v>44641</v>
      </c>
      <c r="I1136" s="134">
        <v>0.78583000000000003</v>
      </c>
      <c r="J1136" s="145"/>
      <c r="K1136" s="145"/>
      <c r="L1136" s="145"/>
      <c r="M1136" s="145"/>
      <c r="N1136" s="145"/>
      <c r="O1136" s="145"/>
      <c r="P1136" s="145"/>
      <c r="Q1136" s="145"/>
      <c r="R1136" s="145"/>
      <c r="S1136" s="145"/>
      <c r="T1136" s="135">
        <v>15697</v>
      </c>
      <c r="U1136" s="145"/>
      <c r="V1136" s="134" t="s">
        <v>128</v>
      </c>
      <c r="W1136" s="92" t="str">
        <f t="shared" si="90"/>
        <v>Bermudez Ferrer,Ramon</v>
      </c>
      <c r="X1136" s="95">
        <f t="shared" si="88"/>
        <v>3</v>
      </c>
      <c r="Y1136" s="95">
        <f t="shared" si="89"/>
        <v>2022</v>
      </c>
      <c r="Z1136" s="103" t="s">
        <v>265</v>
      </c>
      <c r="AA1136" t="str">
        <f>IF(Tabla1[[#This Row],[Kerma en aire acumulada (Gy)]]&gt;1,SUMIF(G:G,Tabla1[[#This Row],[SIP]],I:I)-Tabla1[[#This Row],[Kerma en aire acumulada (Gy)]],"")</f>
        <v/>
      </c>
    </row>
    <row r="1137" spans="3:27">
      <c r="C1137" s="147" t="s">
        <v>1088</v>
      </c>
      <c r="D1137" s="134" t="s">
        <v>2221</v>
      </c>
      <c r="E1137" s="134" t="s">
        <v>694</v>
      </c>
      <c r="F1137" s="134" t="s">
        <v>798</v>
      </c>
      <c r="G1137" s="134">
        <v>336145</v>
      </c>
      <c r="H1137" s="135">
        <v>44641</v>
      </c>
      <c r="I1137" s="134">
        <v>0.19853999999999999</v>
      </c>
      <c r="J1137" s="145"/>
      <c r="K1137" s="145"/>
      <c r="L1137" s="145"/>
      <c r="M1137" s="145"/>
      <c r="N1137" s="145"/>
      <c r="O1137" s="145"/>
      <c r="P1137" s="145"/>
      <c r="Q1137" s="145"/>
      <c r="R1137" s="145"/>
      <c r="S1137" s="145"/>
      <c r="T1137" s="135">
        <v>16311</v>
      </c>
      <c r="U1137" s="145"/>
      <c r="V1137" s="134" t="s">
        <v>1293</v>
      </c>
      <c r="W1137" s="92" t="str">
        <f t="shared" si="90"/>
        <v>Amer Llopis,Ana</v>
      </c>
      <c r="X1137" s="95">
        <f t="shared" si="88"/>
        <v>3</v>
      </c>
      <c r="Y1137" s="95">
        <f t="shared" si="89"/>
        <v>2022</v>
      </c>
      <c r="Z1137" s="103" t="s">
        <v>265</v>
      </c>
      <c r="AA1137" t="str">
        <f>IF(Tabla1[[#This Row],[Kerma en aire acumulada (Gy)]]&gt;1,SUMIF(G:G,Tabla1[[#This Row],[SIP]],I:I)-Tabla1[[#This Row],[Kerma en aire acumulada (Gy)]],"")</f>
        <v/>
      </c>
    </row>
    <row r="1138" spans="3:27">
      <c r="C1138" s="147" t="s">
        <v>1088</v>
      </c>
      <c r="D1138" s="134" t="s">
        <v>2260</v>
      </c>
      <c r="E1138" s="134" t="s">
        <v>2261</v>
      </c>
      <c r="F1138" s="134" t="s">
        <v>88</v>
      </c>
      <c r="G1138" s="134">
        <v>453606</v>
      </c>
      <c r="H1138" s="135">
        <v>44641</v>
      </c>
      <c r="I1138" s="134">
        <v>0.62190000000000001</v>
      </c>
      <c r="J1138" s="145"/>
      <c r="K1138" s="145"/>
      <c r="L1138" s="145"/>
      <c r="M1138" s="145"/>
      <c r="N1138" s="145"/>
      <c r="O1138" s="145"/>
      <c r="P1138" s="145"/>
      <c r="Q1138" s="145"/>
      <c r="R1138" s="145"/>
      <c r="S1138" s="145"/>
      <c r="T1138" s="135">
        <v>20141</v>
      </c>
      <c r="U1138" s="145"/>
      <c r="V1138" s="134" t="s">
        <v>1289</v>
      </c>
      <c r="W1138" s="92" t="str">
        <f t="shared" si="90"/>
        <v>Cominches Jorda,Vicente</v>
      </c>
      <c r="X1138" s="95">
        <f t="shared" si="88"/>
        <v>3</v>
      </c>
      <c r="Y1138" s="95">
        <f t="shared" si="89"/>
        <v>2022</v>
      </c>
      <c r="Z1138" s="103" t="s">
        <v>265</v>
      </c>
      <c r="AA1138" t="str">
        <f>IF(Tabla1[[#This Row],[Kerma en aire acumulada (Gy)]]&gt;1,SUMIF(G:G,Tabla1[[#This Row],[SIP]],I:I)-Tabla1[[#This Row],[Kerma en aire acumulada (Gy)]],"")</f>
        <v/>
      </c>
    </row>
    <row r="1139" spans="3:27">
      <c r="C1139" s="147" t="s">
        <v>1689</v>
      </c>
      <c r="D1139" s="134" t="s">
        <v>2287</v>
      </c>
      <c r="E1139" s="134" t="s">
        <v>18</v>
      </c>
      <c r="F1139" s="134" t="s">
        <v>300</v>
      </c>
      <c r="G1139" s="134">
        <v>2876839</v>
      </c>
      <c r="H1139" s="135">
        <v>44641</v>
      </c>
      <c r="I1139" s="134">
        <v>0.24467</v>
      </c>
      <c r="J1139" s="145"/>
      <c r="K1139" s="145"/>
      <c r="L1139" s="145"/>
      <c r="M1139" s="145"/>
      <c r="N1139" s="145"/>
      <c r="O1139" s="145"/>
      <c r="P1139" s="145"/>
      <c r="Q1139" s="145"/>
      <c r="R1139" s="145"/>
      <c r="S1139" s="145"/>
      <c r="T1139" s="135">
        <v>21159</v>
      </c>
      <c r="U1139" s="145"/>
      <c r="V1139" s="134" t="s">
        <v>563</v>
      </c>
      <c r="W1139" s="92" t="str">
        <f t="shared" si="90"/>
        <v>Aradias Roig,Carlos</v>
      </c>
      <c r="X1139" s="95">
        <f t="shared" si="88"/>
        <v>3</v>
      </c>
      <c r="Y1139" s="95">
        <f t="shared" si="89"/>
        <v>2022</v>
      </c>
      <c r="Z1139" s="136" t="s">
        <v>266</v>
      </c>
      <c r="AA1139" t="str">
        <f>IF(Tabla1[[#This Row],[Kerma en aire acumulada (Gy)]]&gt;1,SUMIF(G:G,Tabla1[[#This Row],[SIP]],I:I)-Tabla1[[#This Row],[Kerma en aire acumulada (Gy)]],"")</f>
        <v/>
      </c>
    </row>
    <row r="1140" spans="3:27">
      <c r="C1140" s="147" t="s">
        <v>1088</v>
      </c>
      <c r="D1140" s="134" t="s">
        <v>116</v>
      </c>
      <c r="E1140" s="134" t="s">
        <v>2288</v>
      </c>
      <c r="F1140" s="134" t="s">
        <v>831</v>
      </c>
      <c r="G1140" s="134">
        <v>2330187</v>
      </c>
      <c r="H1140" s="135">
        <v>44641</v>
      </c>
      <c r="I1140" s="134">
        <v>1.0728899999999999</v>
      </c>
      <c r="J1140" s="145"/>
      <c r="K1140" s="145"/>
      <c r="L1140" s="145"/>
      <c r="M1140" s="145"/>
      <c r="N1140" s="145"/>
      <c r="O1140" s="145"/>
      <c r="P1140" s="145"/>
      <c r="Q1140" s="145"/>
      <c r="R1140" s="145"/>
      <c r="S1140" s="145"/>
      <c r="T1140" s="135">
        <v>13731</v>
      </c>
      <c r="U1140" s="145"/>
      <c r="V1140" s="134" t="s">
        <v>563</v>
      </c>
      <c r="W1140" s="92" t="str">
        <f t="shared" si="90"/>
        <v>Serrano Antelo,Encarnación</v>
      </c>
      <c r="X1140" s="95">
        <f t="shared" si="88"/>
        <v>3</v>
      </c>
      <c r="Y1140" s="95">
        <f t="shared" si="89"/>
        <v>2022</v>
      </c>
      <c r="Z1140" s="136" t="s">
        <v>266</v>
      </c>
      <c r="AA1140">
        <f>IF(Tabla1[[#This Row],[Kerma en aire acumulada (Gy)]]&gt;1,SUMIF(G:G,Tabla1[[#This Row],[SIP]],I:I)-Tabla1[[#This Row],[Kerma en aire acumulada (Gy)]],"")</f>
        <v>0</v>
      </c>
    </row>
    <row r="1141" spans="3:27">
      <c r="C1141" s="147" t="s">
        <v>1088</v>
      </c>
      <c r="D1141" s="134" t="s">
        <v>1837</v>
      </c>
      <c r="E1141" s="134" t="s">
        <v>960</v>
      </c>
      <c r="F1141" s="134" t="s">
        <v>83</v>
      </c>
      <c r="G1141" s="134">
        <v>2185376</v>
      </c>
      <c r="H1141" s="135">
        <v>44641</v>
      </c>
      <c r="I1141" s="134">
        <v>0.39116000000000001</v>
      </c>
      <c r="J1141" s="145"/>
      <c r="K1141" s="145"/>
      <c r="L1141" s="145"/>
      <c r="M1141" s="145"/>
      <c r="N1141" s="145"/>
      <c r="O1141" s="145"/>
      <c r="P1141" s="145"/>
      <c r="Q1141" s="145"/>
      <c r="R1141" s="145"/>
      <c r="S1141" s="145"/>
      <c r="T1141" s="135">
        <v>16456</v>
      </c>
      <c r="U1141" s="145"/>
      <c r="V1141" s="134" t="s">
        <v>563</v>
      </c>
      <c r="W1141" s="92" t="str">
        <f t="shared" si="90"/>
        <v>Rodriguez Lopez,Francisco</v>
      </c>
      <c r="X1141" s="95">
        <f t="shared" si="88"/>
        <v>3</v>
      </c>
      <c r="Y1141" s="95">
        <f t="shared" si="89"/>
        <v>2022</v>
      </c>
      <c r="Z1141" s="136" t="s">
        <v>266</v>
      </c>
      <c r="AA1141" t="str">
        <f>IF(Tabla1[[#This Row],[Kerma en aire acumulada (Gy)]]&gt;1,SUMIF(G:G,Tabla1[[#This Row],[SIP]],I:I)-Tabla1[[#This Row],[Kerma en aire acumulada (Gy)]],"")</f>
        <v/>
      </c>
    </row>
    <row r="1142" spans="3:27">
      <c r="C1142" s="147" t="s">
        <v>1088</v>
      </c>
      <c r="D1142" s="134" t="s">
        <v>2289</v>
      </c>
      <c r="E1142" s="134" t="s">
        <v>2290</v>
      </c>
      <c r="F1142" s="134" t="s">
        <v>2291</v>
      </c>
      <c r="G1142" s="134">
        <v>2818366</v>
      </c>
      <c r="H1142" s="135">
        <v>44641</v>
      </c>
      <c r="I1142" s="134">
        <v>0.19383</v>
      </c>
      <c r="J1142" s="145"/>
      <c r="K1142" s="145"/>
      <c r="L1142" s="145"/>
      <c r="M1142" s="145"/>
      <c r="N1142" s="145"/>
      <c r="O1142" s="145"/>
      <c r="P1142" s="145"/>
      <c r="Q1142" s="145"/>
      <c r="R1142" s="145"/>
      <c r="S1142" s="145"/>
      <c r="T1142" s="135">
        <v>21592</v>
      </c>
      <c r="U1142" s="145"/>
      <c r="V1142" s="134" t="s">
        <v>563</v>
      </c>
      <c r="W1142" s="92" t="str">
        <f t="shared" si="90"/>
        <v>Mezquida Monfort,Vicente Francisco</v>
      </c>
      <c r="X1142" s="95">
        <f t="shared" si="88"/>
        <v>3</v>
      </c>
      <c r="Y1142" s="95">
        <f t="shared" si="89"/>
        <v>2022</v>
      </c>
      <c r="Z1142" s="136" t="s">
        <v>266</v>
      </c>
      <c r="AA1142" t="str">
        <f>IF(Tabla1[[#This Row],[Kerma en aire acumulada (Gy)]]&gt;1,SUMIF(G:G,Tabla1[[#This Row],[SIP]],I:I)-Tabla1[[#This Row],[Kerma en aire acumulada (Gy)]],"")</f>
        <v/>
      </c>
    </row>
    <row r="1143" spans="3:27">
      <c r="C1143" s="147" t="s">
        <v>1088</v>
      </c>
      <c r="D1143" s="134" t="s">
        <v>2308</v>
      </c>
      <c r="E1143" s="134" t="s">
        <v>623</v>
      </c>
      <c r="F1143" s="134" t="s">
        <v>57</v>
      </c>
      <c r="G1143" s="134">
        <v>2287631</v>
      </c>
      <c r="H1143" s="135">
        <v>44641</v>
      </c>
      <c r="I1143" s="134">
        <v>0.12418999999999999</v>
      </c>
      <c r="J1143" s="145"/>
      <c r="K1143" s="145"/>
      <c r="L1143" s="145"/>
      <c r="M1143" s="145"/>
      <c r="N1143" s="145"/>
      <c r="O1143" s="145"/>
      <c r="P1143" s="145"/>
      <c r="Q1143" s="145"/>
      <c r="R1143" s="145"/>
      <c r="S1143" s="145"/>
      <c r="T1143" s="135">
        <v>19738</v>
      </c>
      <c r="U1143" s="145"/>
      <c r="V1143" s="134" t="s">
        <v>2309</v>
      </c>
      <c r="W1143" s="92" t="str">
        <f t="shared" si="90"/>
        <v>Rozalen Abadia,Miguel</v>
      </c>
      <c r="X1143" s="95">
        <f t="shared" si="88"/>
        <v>3</v>
      </c>
      <c r="Y1143" s="95">
        <f t="shared" si="89"/>
        <v>2022</v>
      </c>
      <c r="Z1143" s="136" t="s">
        <v>2238</v>
      </c>
      <c r="AA1143" t="str">
        <f>IF(Tabla1[[#This Row],[Kerma en aire acumulada (Gy)]]&gt;1,SUMIF(G:G,Tabla1[[#This Row],[SIP]],I:I)-Tabla1[[#This Row],[Kerma en aire acumulada (Gy)]],"")</f>
        <v/>
      </c>
    </row>
    <row r="1144" spans="3:27">
      <c r="C1144" s="147" t="s">
        <v>1088</v>
      </c>
      <c r="D1144" s="134" t="s">
        <v>2193</v>
      </c>
      <c r="E1144" s="134" t="s">
        <v>15</v>
      </c>
      <c r="F1144" s="134" t="s">
        <v>71</v>
      </c>
      <c r="G1144" s="134">
        <v>3307148</v>
      </c>
      <c r="H1144" s="135">
        <v>44642</v>
      </c>
      <c r="I1144" s="134">
        <v>8.6230000000000001E-2</v>
      </c>
      <c r="J1144" s="145"/>
      <c r="K1144" s="145"/>
      <c r="L1144" s="145"/>
      <c r="M1144" s="145"/>
      <c r="N1144" s="145"/>
      <c r="O1144" s="145"/>
      <c r="P1144" s="145"/>
      <c r="Q1144" s="145"/>
      <c r="R1144" s="145"/>
      <c r="S1144" s="145"/>
      <c r="T1144" s="135">
        <v>23515</v>
      </c>
      <c r="U1144" s="145"/>
      <c r="V1144" s="134" t="s">
        <v>1312</v>
      </c>
      <c r="W1144" s="92" t="str">
        <f t="shared" si="90"/>
        <v>Calvillo Moreno,Rafael</v>
      </c>
      <c r="X1144" s="95">
        <f t="shared" si="88"/>
        <v>3</v>
      </c>
      <c r="Y1144" s="95">
        <f t="shared" si="89"/>
        <v>2022</v>
      </c>
      <c r="Z1144" s="103" t="s">
        <v>265</v>
      </c>
      <c r="AA1144" t="str">
        <f>IF(Tabla1[[#This Row],[Kerma en aire acumulada (Gy)]]&gt;1,SUMIF(G:G,Tabla1[[#This Row],[SIP]],I:I)-Tabla1[[#This Row],[Kerma en aire acumulada (Gy)]],"")</f>
        <v/>
      </c>
    </row>
    <row r="1145" spans="3:27">
      <c r="C1145" s="147" t="s">
        <v>1088</v>
      </c>
      <c r="D1145" s="134" t="s">
        <v>2342</v>
      </c>
      <c r="E1145" s="134" t="s">
        <v>2343</v>
      </c>
      <c r="F1145" s="134" t="s">
        <v>2344</v>
      </c>
      <c r="G1145" s="134">
        <v>2855768</v>
      </c>
      <c r="H1145" s="135">
        <v>44642</v>
      </c>
      <c r="I1145" s="134">
        <v>4.1880000000000001E-2</v>
      </c>
      <c r="J1145" s="145"/>
      <c r="K1145" s="145"/>
      <c r="L1145" s="145"/>
      <c r="M1145" s="145"/>
      <c r="N1145" s="145"/>
      <c r="O1145" s="145"/>
      <c r="P1145" s="145"/>
      <c r="Q1145" s="145"/>
      <c r="R1145" s="145"/>
      <c r="S1145" s="145"/>
      <c r="T1145" s="135">
        <v>25525</v>
      </c>
      <c r="U1145" s="145"/>
      <c r="V1145" s="134" t="s">
        <v>516</v>
      </c>
      <c r="W1145" s="92" t="str">
        <f t="shared" si="90"/>
        <v>Domenech Lleo,Guadalupe</v>
      </c>
      <c r="X1145" s="95">
        <f t="shared" si="88"/>
        <v>3</v>
      </c>
      <c r="Y1145" s="95">
        <f t="shared" si="89"/>
        <v>2022</v>
      </c>
      <c r="Z1145" s="103" t="s">
        <v>265</v>
      </c>
      <c r="AA1145" t="str">
        <f>IF(Tabla1[[#This Row],[Kerma en aire acumulada (Gy)]]&gt;1,SUMIF(G:G,Tabla1[[#This Row],[SIP]],I:I)-Tabla1[[#This Row],[Kerma en aire acumulada (Gy)]],"")</f>
        <v/>
      </c>
    </row>
    <row r="1146" spans="3:27">
      <c r="C1146" s="147" t="s">
        <v>1088</v>
      </c>
      <c r="D1146" s="134" t="s">
        <v>772</v>
      </c>
      <c r="E1146" s="134" t="s">
        <v>2355</v>
      </c>
      <c r="F1146" s="134" t="s">
        <v>71</v>
      </c>
      <c r="G1146" s="134">
        <v>3175500</v>
      </c>
      <c r="H1146" s="135">
        <v>44642</v>
      </c>
      <c r="I1146" s="134">
        <v>0.33698</v>
      </c>
      <c r="J1146" s="145"/>
      <c r="K1146" s="145"/>
      <c r="L1146" s="145"/>
      <c r="M1146" s="145"/>
      <c r="N1146" s="145"/>
      <c r="O1146" s="145"/>
      <c r="P1146" s="145"/>
      <c r="Q1146" s="145"/>
      <c r="R1146" s="145"/>
      <c r="S1146" s="145"/>
      <c r="T1146" s="135">
        <v>14739</v>
      </c>
      <c r="U1146" s="145"/>
      <c r="V1146" s="134" t="s">
        <v>541</v>
      </c>
      <c r="W1146" s="92" t="str">
        <f t="shared" si="90"/>
        <v>Sanchez Gutierez,Rafael</v>
      </c>
      <c r="X1146" s="95">
        <f t="shared" si="88"/>
        <v>3</v>
      </c>
      <c r="Y1146" s="95">
        <f t="shared" si="89"/>
        <v>2022</v>
      </c>
      <c r="Z1146" s="103" t="s">
        <v>265</v>
      </c>
      <c r="AA1146" t="str">
        <f>IF(Tabla1[[#This Row],[Kerma en aire acumulada (Gy)]]&gt;1,SUMIF(G:G,Tabla1[[#This Row],[SIP]],I:I)-Tabla1[[#This Row],[Kerma en aire acumulada (Gy)]],"")</f>
        <v/>
      </c>
    </row>
    <row r="1147" spans="3:27">
      <c r="C1147" s="147" t="s">
        <v>1088</v>
      </c>
      <c r="D1147" s="134" t="s">
        <v>319</v>
      </c>
      <c r="E1147" s="134" t="s">
        <v>2356</v>
      </c>
      <c r="F1147" s="134" t="s">
        <v>991</v>
      </c>
      <c r="G1147" s="134">
        <v>2857745</v>
      </c>
      <c r="H1147" s="135">
        <v>44642</v>
      </c>
      <c r="I1147" s="134">
        <v>4.7980000000000002E-2</v>
      </c>
      <c r="J1147" s="145"/>
      <c r="K1147" s="145"/>
      <c r="L1147" s="145"/>
      <c r="M1147" s="145"/>
      <c r="N1147" s="145"/>
      <c r="O1147" s="145"/>
      <c r="P1147" s="145"/>
      <c r="Q1147" s="145"/>
      <c r="R1147" s="145"/>
      <c r="S1147" s="145"/>
      <c r="T1147" s="135">
        <v>20335</v>
      </c>
      <c r="U1147" s="145"/>
      <c r="V1147" s="134" t="s">
        <v>516</v>
      </c>
      <c r="W1147" s="92" t="str">
        <f t="shared" si="90"/>
        <v>Gonzalez Asensio,Jose</v>
      </c>
      <c r="X1147" s="95">
        <f t="shared" si="88"/>
        <v>3</v>
      </c>
      <c r="Y1147" s="95">
        <f t="shared" si="89"/>
        <v>2022</v>
      </c>
      <c r="Z1147" s="103" t="s">
        <v>265</v>
      </c>
      <c r="AA1147" t="str">
        <f>IF(Tabla1[[#This Row],[Kerma en aire acumulada (Gy)]]&gt;1,SUMIF(G:G,Tabla1[[#This Row],[SIP]],I:I)-Tabla1[[#This Row],[Kerma en aire acumulada (Gy)]],"")</f>
        <v/>
      </c>
    </row>
    <row r="1148" spans="3:27">
      <c r="C1148" s="147" t="s">
        <v>1088</v>
      </c>
      <c r="D1148" s="134" t="s">
        <v>2377</v>
      </c>
      <c r="E1148" s="134" t="s">
        <v>15</v>
      </c>
      <c r="F1148" s="134" t="s">
        <v>2378</v>
      </c>
      <c r="G1148" s="134">
        <v>3380723</v>
      </c>
      <c r="H1148" s="135">
        <v>44642</v>
      </c>
      <c r="I1148" s="134">
        <v>8.0210000000000004E-2</v>
      </c>
      <c r="J1148" s="145"/>
      <c r="K1148" s="145"/>
      <c r="L1148" s="145"/>
      <c r="M1148" s="145"/>
      <c r="N1148" s="145"/>
      <c r="O1148" s="145"/>
      <c r="P1148" s="145"/>
      <c r="Q1148" s="145"/>
      <c r="R1148" s="145"/>
      <c r="S1148" s="145"/>
      <c r="T1148" s="135">
        <v>16130</v>
      </c>
      <c r="U1148" s="145"/>
      <c r="V1148" s="134" t="s">
        <v>563</v>
      </c>
      <c r="W1148" s="92" t="str">
        <f t="shared" si="90"/>
        <v>Valle Moreno,M Natividad</v>
      </c>
      <c r="X1148" s="95">
        <f t="shared" si="88"/>
        <v>3</v>
      </c>
      <c r="Y1148" s="95">
        <f t="shared" si="89"/>
        <v>2022</v>
      </c>
      <c r="Z1148" s="136" t="s">
        <v>266</v>
      </c>
      <c r="AA1148" t="str">
        <f>IF(Tabla1[[#This Row],[Kerma en aire acumulada (Gy)]]&gt;1,SUMIF(G:G,Tabla1[[#This Row],[SIP]],I:I)-Tabla1[[#This Row],[Kerma en aire acumulada (Gy)]],"")</f>
        <v/>
      </c>
    </row>
    <row r="1149" spans="3:27">
      <c r="C1149" s="147" t="s">
        <v>1088</v>
      </c>
      <c r="D1149" s="134" t="s">
        <v>2087</v>
      </c>
      <c r="E1149" s="134" t="s">
        <v>2379</v>
      </c>
      <c r="F1149" s="134" t="s">
        <v>1213</v>
      </c>
      <c r="G1149" s="134">
        <v>2076555</v>
      </c>
      <c r="H1149" s="135">
        <v>44642</v>
      </c>
      <c r="I1149" s="134">
        <v>9.6060000000000006E-2</v>
      </c>
      <c r="J1149" s="145"/>
      <c r="K1149" s="145"/>
      <c r="L1149" s="145"/>
      <c r="M1149" s="145"/>
      <c r="N1149" s="145"/>
      <c r="O1149" s="145"/>
      <c r="P1149" s="145"/>
      <c r="Q1149" s="145"/>
      <c r="R1149" s="145"/>
      <c r="S1149" s="145"/>
      <c r="T1149" s="135">
        <v>26331</v>
      </c>
      <c r="U1149" s="145"/>
      <c r="V1149" s="134" t="s">
        <v>563</v>
      </c>
      <c r="W1149" s="92" t="str">
        <f t="shared" si="90"/>
        <v>Hidalgo Porras,Maria Isabel</v>
      </c>
      <c r="X1149" s="95">
        <f t="shared" si="88"/>
        <v>3</v>
      </c>
      <c r="Y1149" s="95">
        <f t="shared" si="89"/>
        <v>2022</v>
      </c>
      <c r="Z1149" s="136" t="s">
        <v>266</v>
      </c>
      <c r="AA1149" t="str">
        <f>IF(Tabla1[[#This Row],[Kerma en aire acumulada (Gy)]]&gt;1,SUMIF(G:G,Tabla1[[#This Row],[SIP]],I:I)-Tabla1[[#This Row],[Kerma en aire acumulada (Gy)]],"")</f>
        <v/>
      </c>
    </row>
    <row r="1150" spans="3:27">
      <c r="C1150" s="147" t="s">
        <v>1088</v>
      </c>
      <c r="D1150" s="134" t="s">
        <v>2380</v>
      </c>
      <c r="E1150" s="134" t="s">
        <v>1685</v>
      </c>
      <c r="F1150" s="134" t="s">
        <v>1990</v>
      </c>
      <c r="G1150" s="134">
        <v>178922</v>
      </c>
      <c r="H1150" s="135">
        <v>44642</v>
      </c>
      <c r="I1150" s="134">
        <v>0.69750999999999996</v>
      </c>
      <c r="J1150" s="145"/>
      <c r="K1150" s="145"/>
      <c r="L1150" s="145"/>
      <c r="M1150" s="145"/>
      <c r="N1150" s="145"/>
      <c r="O1150" s="145"/>
      <c r="P1150" s="145"/>
      <c r="Q1150" s="145"/>
      <c r="R1150" s="145"/>
      <c r="S1150" s="145"/>
      <c r="T1150" s="135">
        <v>22125</v>
      </c>
      <c r="U1150" s="145"/>
      <c r="V1150" s="134" t="s">
        <v>563</v>
      </c>
      <c r="W1150" s="92" t="str">
        <f t="shared" si="90"/>
        <v>Galian Talens,Jose Ramon</v>
      </c>
      <c r="X1150" s="95">
        <f t="shared" si="88"/>
        <v>3</v>
      </c>
      <c r="Y1150" s="95">
        <f t="shared" si="89"/>
        <v>2022</v>
      </c>
      <c r="Z1150" s="136" t="s">
        <v>266</v>
      </c>
      <c r="AA1150" t="str">
        <f>IF(Tabla1[[#This Row],[Kerma en aire acumulada (Gy)]]&gt;1,SUMIF(G:G,Tabla1[[#This Row],[SIP]],I:I)-Tabla1[[#This Row],[Kerma en aire acumulada (Gy)]],"")</f>
        <v/>
      </c>
    </row>
    <row r="1151" spans="3:27">
      <c r="C1151" s="147" t="s">
        <v>1088</v>
      </c>
      <c r="D1151" s="134" t="s">
        <v>1036</v>
      </c>
      <c r="E1151" s="134" t="s">
        <v>18</v>
      </c>
      <c r="F1151" s="134" t="s">
        <v>2410</v>
      </c>
      <c r="G1151" s="134">
        <v>4686618</v>
      </c>
      <c r="H1151" s="135">
        <v>44642</v>
      </c>
      <c r="I1151" s="134">
        <v>2.2790000000000001E-2</v>
      </c>
      <c r="J1151" s="145"/>
      <c r="K1151" s="145"/>
      <c r="L1151" s="145"/>
      <c r="M1151" s="145"/>
      <c r="N1151" s="145"/>
      <c r="O1151" s="145"/>
      <c r="P1151" s="145"/>
      <c r="Q1151" s="145"/>
      <c r="R1151" s="145"/>
      <c r="S1151" s="145"/>
      <c r="T1151" s="135">
        <v>15533</v>
      </c>
      <c r="U1151" s="145"/>
      <c r="V1151" s="134" t="s">
        <v>2237</v>
      </c>
      <c r="W1151" s="92" t="str">
        <f t="shared" si="90"/>
        <v>Palau Roig,Jose Maria</v>
      </c>
      <c r="X1151" s="95">
        <f t="shared" si="88"/>
        <v>3</v>
      </c>
      <c r="Y1151" s="95">
        <f t="shared" si="89"/>
        <v>2022</v>
      </c>
      <c r="Z1151" s="136" t="s">
        <v>2238</v>
      </c>
      <c r="AA1151" t="str">
        <f>IF(Tabla1[[#This Row],[Kerma en aire acumulada (Gy)]]&gt;1,SUMIF(G:G,Tabla1[[#This Row],[SIP]],I:I)-Tabla1[[#This Row],[Kerma en aire acumulada (Gy)]],"")</f>
        <v/>
      </c>
    </row>
    <row r="1152" spans="3:27">
      <c r="C1152" s="147" t="s">
        <v>1088</v>
      </c>
      <c r="D1152" s="134" t="s">
        <v>2411</v>
      </c>
      <c r="E1152" s="134" t="s">
        <v>2412</v>
      </c>
      <c r="F1152" s="134" t="s">
        <v>131</v>
      </c>
      <c r="G1152" s="134">
        <v>2323672</v>
      </c>
      <c r="H1152" s="135">
        <v>44642</v>
      </c>
      <c r="I1152" s="134">
        <v>0.41404999999999997</v>
      </c>
      <c r="J1152" s="145"/>
      <c r="K1152" s="145"/>
      <c r="L1152" s="145"/>
      <c r="M1152" s="145"/>
      <c r="N1152" s="145"/>
      <c r="O1152" s="145"/>
      <c r="P1152" s="145"/>
      <c r="Q1152" s="145"/>
      <c r="R1152" s="145"/>
      <c r="S1152" s="145"/>
      <c r="T1152" s="135">
        <v>18204</v>
      </c>
      <c r="U1152" s="145"/>
      <c r="V1152" s="134" t="s">
        <v>2237</v>
      </c>
      <c r="W1152" s="92" t="str">
        <f t="shared" si="90"/>
        <v>Asensi Sandiego,Salvador</v>
      </c>
      <c r="X1152" s="95">
        <f t="shared" si="88"/>
        <v>3</v>
      </c>
      <c r="Y1152" s="95">
        <f t="shared" si="89"/>
        <v>2022</v>
      </c>
      <c r="Z1152" s="136" t="s">
        <v>2238</v>
      </c>
      <c r="AA1152" t="str">
        <f>IF(Tabla1[[#This Row],[Kerma en aire acumulada (Gy)]]&gt;1,SUMIF(G:G,Tabla1[[#This Row],[SIP]],I:I)-Tabla1[[#This Row],[Kerma en aire acumulada (Gy)]],"")</f>
        <v/>
      </c>
    </row>
    <row r="1153" spans="3:27">
      <c r="C1153" s="147" t="s">
        <v>1088</v>
      </c>
      <c r="D1153" s="134" t="s">
        <v>962</v>
      </c>
      <c r="E1153" s="134" t="s">
        <v>22</v>
      </c>
      <c r="F1153" s="134" t="s">
        <v>2340</v>
      </c>
      <c r="G1153" s="134">
        <v>2812927</v>
      </c>
      <c r="H1153" s="135">
        <v>44643</v>
      </c>
      <c r="I1153" s="134">
        <v>7.2300000000000003E-3</v>
      </c>
      <c r="J1153" s="145"/>
      <c r="K1153" s="145"/>
      <c r="L1153" s="145"/>
      <c r="M1153" s="145"/>
      <c r="N1153" s="145"/>
      <c r="O1153" s="145"/>
      <c r="P1153" s="145"/>
      <c r="Q1153" s="145"/>
      <c r="R1153" s="145"/>
      <c r="S1153" s="145"/>
      <c r="T1153" s="135">
        <v>19124</v>
      </c>
      <c r="U1153" s="145"/>
      <c r="V1153" s="134" t="s">
        <v>1274</v>
      </c>
      <c r="W1153" s="92" t="str">
        <f t="shared" si="90"/>
        <v>Garcia Ruiz,Miguel Antonio</v>
      </c>
      <c r="X1153" s="95">
        <f t="shared" si="88"/>
        <v>3</v>
      </c>
      <c r="Y1153" s="95">
        <f t="shared" si="89"/>
        <v>2022</v>
      </c>
      <c r="Z1153" s="103" t="s">
        <v>265</v>
      </c>
      <c r="AA1153" t="str">
        <f>IF(Tabla1[[#This Row],[Kerma en aire acumulada (Gy)]]&gt;1,SUMIF(G:G,Tabla1[[#This Row],[SIP]],I:I)-Tabla1[[#This Row],[Kerma en aire acumulada (Gy)]],"")</f>
        <v/>
      </c>
    </row>
    <row r="1154" spans="3:27">
      <c r="C1154" s="147" t="s">
        <v>1088</v>
      </c>
      <c r="D1154" s="134" t="s">
        <v>6</v>
      </c>
      <c r="E1154" s="134" t="s">
        <v>1275</v>
      </c>
      <c r="F1154" s="134" t="s">
        <v>83</v>
      </c>
      <c r="G1154" s="134">
        <v>6908854</v>
      </c>
      <c r="H1154" s="135">
        <v>44643</v>
      </c>
      <c r="I1154" s="134">
        <v>6.5129999999999993E-2</v>
      </c>
      <c r="J1154" s="145"/>
      <c r="K1154" s="145"/>
      <c r="L1154" s="145"/>
      <c r="M1154" s="145"/>
      <c r="N1154" s="145"/>
      <c r="O1154" s="145"/>
      <c r="P1154" s="145"/>
      <c r="Q1154" s="145"/>
      <c r="R1154" s="145"/>
      <c r="S1154" s="145"/>
      <c r="T1154" s="135">
        <v>16312</v>
      </c>
      <c r="U1154" s="145"/>
      <c r="V1154" s="134" t="s">
        <v>1643</v>
      </c>
      <c r="W1154" s="92" t="str">
        <f t="shared" si="90"/>
        <v>Ortega Ramirez,Francisco</v>
      </c>
      <c r="X1154" s="95">
        <f t="shared" si="88"/>
        <v>3</v>
      </c>
      <c r="Y1154" s="95">
        <f t="shared" si="89"/>
        <v>2022</v>
      </c>
      <c r="Z1154" s="103" t="s">
        <v>265</v>
      </c>
      <c r="AA1154" t="str">
        <f>IF(Tabla1[[#This Row],[Kerma en aire acumulada (Gy)]]&gt;1,SUMIF(G:G,Tabla1[[#This Row],[SIP]],I:I)-Tabla1[[#This Row],[Kerma en aire acumulada (Gy)]],"")</f>
        <v/>
      </c>
    </row>
    <row r="1155" spans="3:27">
      <c r="C1155" s="147" t="s">
        <v>1088</v>
      </c>
      <c r="D1155" s="134" t="s">
        <v>1933</v>
      </c>
      <c r="E1155" s="134" t="s">
        <v>126</v>
      </c>
      <c r="F1155" s="134" t="s">
        <v>1023</v>
      </c>
      <c r="G1155" s="134">
        <v>3192324</v>
      </c>
      <c r="H1155" s="135">
        <v>44643</v>
      </c>
      <c r="I1155" s="134">
        <v>8.1629999999999994E-2</v>
      </c>
      <c r="J1155" s="145"/>
      <c r="K1155" s="145"/>
      <c r="L1155" s="145"/>
      <c r="M1155" s="145"/>
      <c r="N1155" s="145"/>
      <c r="O1155" s="145"/>
      <c r="P1155" s="145"/>
      <c r="Q1155" s="145"/>
      <c r="R1155" s="145"/>
      <c r="S1155" s="145"/>
      <c r="T1155" s="135">
        <v>17962</v>
      </c>
      <c r="U1155" s="145"/>
      <c r="V1155" s="134" t="s">
        <v>509</v>
      </c>
      <c r="W1155" s="92" t="str">
        <f t="shared" si="90"/>
        <v>Murillo Domingo,Desamparados</v>
      </c>
      <c r="X1155" s="95">
        <f t="shared" si="88"/>
        <v>3</v>
      </c>
      <c r="Y1155" s="95">
        <f t="shared" si="89"/>
        <v>2022</v>
      </c>
      <c r="Z1155" s="103" t="s">
        <v>265</v>
      </c>
      <c r="AA1155" t="str">
        <f>IF(Tabla1[[#This Row],[Kerma en aire acumulada (Gy)]]&gt;1,SUMIF(G:G,Tabla1[[#This Row],[SIP]],I:I)-Tabla1[[#This Row],[Kerma en aire acumulada (Gy)]],"")</f>
        <v/>
      </c>
    </row>
    <row r="1156" spans="3:27">
      <c r="C1156" s="147" t="s">
        <v>1088</v>
      </c>
      <c r="D1156" s="134" t="s">
        <v>2341</v>
      </c>
      <c r="E1156" s="134" t="s">
        <v>1996</v>
      </c>
      <c r="F1156" s="134" t="s">
        <v>68</v>
      </c>
      <c r="G1156" s="134">
        <v>3202950</v>
      </c>
      <c r="H1156" s="135">
        <v>44643</v>
      </c>
      <c r="I1156" s="134">
        <v>0.27639999999999998</v>
      </c>
      <c r="J1156" s="145"/>
      <c r="K1156" s="145"/>
      <c r="L1156" s="145"/>
      <c r="M1156" s="145"/>
      <c r="N1156" s="145"/>
      <c r="O1156" s="145"/>
      <c r="P1156" s="145"/>
      <c r="Q1156" s="145"/>
      <c r="R1156" s="145"/>
      <c r="S1156" s="145"/>
      <c r="T1156" s="135">
        <v>14943</v>
      </c>
      <c r="U1156" s="145"/>
      <c r="V1156" s="134" t="s">
        <v>128</v>
      </c>
      <c r="W1156" s="92" t="str">
        <f t="shared" si="90"/>
        <v>Carpena Azorin,Juan</v>
      </c>
      <c r="X1156" s="95">
        <f t="shared" si="88"/>
        <v>3</v>
      </c>
      <c r="Y1156" s="95">
        <f t="shared" si="89"/>
        <v>2022</v>
      </c>
      <c r="Z1156" s="103" t="s">
        <v>265</v>
      </c>
      <c r="AA1156" t="str">
        <f>IF(Tabla1[[#This Row],[Kerma en aire acumulada (Gy)]]&gt;1,SUMIF(G:G,Tabla1[[#This Row],[SIP]],I:I)-Tabla1[[#This Row],[Kerma en aire acumulada (Gy)]],"")</f>
        <v/>
      </c>
    </row>
    <row r="1157" spans="3:27">
      <c r="C1157" s="147" t="s">
        <v>1088</v>
      </c>
      <c r="D1157" s="134" t="s">
        <v>1662</v>
      </c>
      <c r="E1157" s="134" t="s">
        <v>663</v>
      </c>
      <c r="F1157" s="134" t="s">
        <v>88</v>
      </c>
      <c r="G1157" s="134">
        <v>2291022</v>
      </c>
      <c r="H1157" s="135">
        <v>44643</v>
      </c>
      <c r="I1157" s="134">
        <v>0.38136999999999999</v>
      </c>
      <c r="J1157" s="145"/>
      <c r="K1157" s="145"/>
      <c r="L1157" s="145"/>
      <c r="M1157" s="145"/>
      <c r="N1157" s="145"/>
      <c r="O1157" s="145"/>
      <c r="P1157" s="145"/>
      <c r="Q1157" s="145"/>
      <c r="R1157" s="145"/>
      <c r="S1157" s="145"/>
      <c r="T1157" s="135">
        <v>20775</v>
      </c>
      <c r="U1157" s="145"/>
      <c r="V1157" s="134" t="s">
        <v>1711</v>
      </c>
      <c r="W1157" s="92" t="str">
        <f t="shared" si="90"/>
        <v>Vazquez Sanchis,Vicente</v>
      </c>
      <c r="X1157" s="95">
        <f t="shared" si="88"/>
        <v>3</v>
      </c>
      <c r="Y1157" s="95">
        <f t="shared" si="89"/>
        <v>2022</v>
      </c>
      <c r="Z1157" s="103" t="s">
        <v>265</v>
      </c>
      <c r="AA1157" t="str">
        <f>IF(Tabla1[[#This Row],[Kerma en aire acumulada (Gy)]]&gt;1,SUMIF(G:G,Tabla1[[#This Row],[SIP]],I:I)-Tabla1[[#This Row],[Kerma en aire acumulada (Gy)]],"")</f>
        <v/>
      </c>
    </row>
    <row r="1158" spans="3:27">
      <c r="C1158" s="147" t="s">
        <v>1088</v>
      </c>
      <c r="D1158" s="134" t="s">
        <v>1739</v>
      </c>
      <c r="E1158" s="134" t="s">
        <v>1740</v>
      </c>
      <c r="F1158" s="134" t="s">
        <v>1741</v>
      </c>
      <c r="G1158" s="134">
        <v>6180891</v>
      </c>
      <c r="H1158" s="135">
        <v>44643</v>
      </c>
      <c r="I1158" s="134">
        <v>7.8170000000000003E-2</v>
      </c>
      <c r="J1158" s="145"/>
      <c r="K1158" s="145"/>
      <c r="L1158" s="145"/>
      <c r="M1158" s="145"/>
      <c r="N1158" s="145"/>
      <c r="O1158" s="145"/>
      <c r="P1158" s="145"/>
      <c r="Q1158" s="145"/>
      <c r="R1158" s="145"/>
      <c r="S1158" s="145"/>
      <c r="T1158" s="135">
        <v>27263</v>
      </c>
      <c r="U1158" s="145"/>
      <c r="V1158" s="134" t="s">
        <v>1742</v>
      </c>
      <c r="W1158" s="92" t="str">
        <f t="shared" si="90"/>
        <v>Frigols Vila,Maria Esther</v>
      </c>
      <c r="X1158" s="95">
        <f t="shared" si="88"/>
        <v>3</v>
      </c>
      <c r="Y1158" s="95">
        <f t="shared" si="89"/>
        <v>2022</v>
      </c>
      <c r="Z1158" s="103" t="s">
        <v>265</v>
      </c>
      <c r="AA1158" t="str">
        <f>IF(Tabla1[[#This Row],[Kerma en aire acumulada (Gy)]]&gt;1,SUMIF(G:G,Tabla1[[#This Row],[SIP]],I:I)-Tabla1[[#This Row],[Kerma en aire acumulada (Gy)]],"")</f>
        <v/>
      </c>
    </row>
    <row r="1159" spans="3:27">
      <c r="C1159" s="147" t="s">
        <v>1088</v>
      </c>
      <c r="D1159" s="134" t="s">
        <v>337</v>
      </c>
      <c r="E1159" s="134" t="s">
        <v>2350</v>
      </c>
      <c r="F1159" s="134" t="s">
        <v>377</v>
      </c>
      <c r="G1159" s="134">
        <v>2315854</v>
      </c>
      <c r="H1159" s="135">
        <v>44643</v>
      </c>
      <c r="I1159" s="134">
        <v>0.57909999999999995</v>
      </c>
      <c r="J1159" s="145"/>
      <c r="K1159" s="145"/>
      <c r="L1159" s="145"/>
      <c r="M1159" s="145"/>
      <c r="N1159" s="145"/>
      <c r="O1159" s="145"/>
      <c r="P1159" s="145"/>
      <c r="Q1159" s="145"/>
      <c r="R1159" s="145"/>
      <c r="S1159" s="145"/>
      <c r="T1159" s="135">
        <v>19412</v>
      </c>
      <c r="U1159" s="145"/>
      <c r="V1159" s="134" t="s">
        <v>563</v>
      </c>
      <c r="W1159" s="92" t="str">
        <f t="shared" si="90"/>
        <v>Garrido Carretero,Pilar</v>
      </c>
      <c r="X1159" s="95">
        <f t="shared" si="88"/>
        <v>3</v>
      </c>
      <c r="Y1159" s="95">
        <f t="shared" si="89"/>
        <v>2022</v>
      </c>
      <c r="Z1159" s="136" t="s">
        <v>266</v>
      </c>
      <c r="AA1159" t="str">
        <f>IF(Tabla1[[#This Row],[Kerma en aire acumulada (Gy)]]&gt;1,SUMIF(G:G,Tabla1[[#This Row],[SIP]],I:I)-Tabla1[[#This Row],[Kerma en aire acumulada (Gy)]],"")</f>
        <v/>
      </c>
    </row>
    <row r="1160" spans="3:27">
      <c r="C1160" s="147" t="s">
        <v>1088</v>
      </c>
      <c r="D1160" s="134" t="s">
        <v>2373</v>
      </c>
      <c r="E1160" s="134"/>
      <c r="F1160" s="134" t="s">
        <v>719</v>
      </c>
      <c r="G1160" s="134">
        <v>12794345</v>
      </c>
      <c r="H1160" s="135">
        <v>44643</v>
      </c>
      <c r="I1160" s="134">
        <v>0.17751</v>
      </c>
      <c r="J1160" s="145"/>
      <c r="K1160" s="145"/>
      <c r="L1160" s="145"/>
      <c r="M1160" s="145"/>
      <c r="N1160" s="145"/>
      <c r="O1160" s="145"/>
      <c r="P1160" s="145"/>
      <c r="Q1160" s="145"/>
      <c r="R1160" s="145"/>
      <c r="S1160" s="145"/>
      <c r="T1160" s="135">
        <v>21743</v>
      </c>
      <c r="U1160" s="145"/>
      <c r="V1160" s="134" t="s">
        <v>563</v>
      </c>
      <c r="W1160" s="92" t="str">
        <f t="shared" si="90"/>
        <v>Aprile ,Claudio</v>
      </c>
      <c r="X1160" s="95">
        <f t="shared" si="88"/>
        <v>3</v>
      </c>
      <c r="Y1160" s="95">
        <f t="shared" si="89"/>
        <v>2022</v>
      </c>
      <c r="Z1160" s="136" t="s">
        <v>266</v>
      </c>
      <c r="AA1160" t="str">
        <f>IF(Tabla1[[#This Row],[Kerma en aire acumulada (Gy)]]&gt;1,SUMIF(G:G,Tabla1[[#This Row],[SIP]],I:I)-Tabla1[[#This Row],[Kerma en aire acumulada (Gy)]],"")</f>
        <v/>
      </c>
    </row>
    <row r="1161" spans="3:27">
      <c r="C1161" s="147" t="s">
        <v>1088</v>
      </c>
      <c r="D1161" s="134" t="s">
        <v>840</v>
      </c>
      <c r="E1161" s="134" t="s">
        <v>1009</v>
      </c>
      <c r="F1161" s="134" t="s">
        <v>20</v>
      </c>
      <c r="G1161" s="134">
        <v>3308707</v>
      </c>
      <c r="H1161" s="135">
        <v>44643</v>
      </c>
      <c r="I1161" s="134">
        <v>0.44022</v>
      </c>
      <c r="J1161" s="145"/>
      <c r="K1161" s="145"/>
      <c r="L1161" s="145"/>
      <c r="M1161" s="145"/>
      <c r="N1161" s="145"/>
      <c r="O1161" s="145"/>
      <c r="P1161" s="145"/>
      <c r="Q1161" s="145"/>
      <c r="R1161" s="145"/>
      <c r="S1161" s="145"/>
      <c r="T1161" s="135">
        <v>17788</v>
      </c>
      <c r="U1161" s="145"/>
      <c r="V1161" s="134" t="s">
        <v>563</v>
      </c>
      <c r="W1161" s="92" t="str">
        <f t="shared" si="90"/>
        <v>Santiago Fernandez,Antonio</v>
      </c>
      <c r="X1161" s="95">
        <f t="shared" si="88"/>
        <v>3</v>
      </c>
      <c r="Y1161" s="95">
        <f t="shared" si="89"/>
        <v>2022</v>
      </c>
      <c r="Z1161" s="136" t="s">
        <v>266</v>
      </c>
      <c r="AA1161" t="str">
        <f>IF(Tabla1[[#This Row],[Kerma en aire acumulada (Gy)]]&gt;1,SUMIF(G:G,Tabla1[[#This Row],[SIP]],I:I)-Tabla1[[#This Row],[Kerma en aire acumulada (Gy)]],"")</f>
        <v/>
      </c>
    </row>
    <row r="1162" spans="3:27">
      <c r="C1162" s="147" t="s">
        <v>1088</v>
      </c>
      <c r="D1162" s="134" t="s">
        <v>2374</v>
      </c>
      <c r="E1162" s="134"/>
      <c r="F1162" s="134" t="s">
        <v>2375</v>
      </c>
      <c r="G1162" s="134">
        <v>7821044</v>
      </c>
      <c r="H1162" s="135">
        <v>44643</v>
      </c>
      <c r="I1162" s="134">
        <v>0.15740999999999999</v>
      </c>
      <c r="J1162" s="145"/>
      <c r="K1162" s="145"/>
      <c r="L1162" s="145"/>
      <c r="M1162" s="145"/>
      <c r="N1162" s="145"/>
      <c r="O1162" s="145"/>
      <c r="P1162" s="145"/>
      <c r="Q1162" s="145"/>
      <c r="R1162" s="145"/>
      <c r="S1162" s="145"/>
      <c r="T1162" s="135">
        <v>18768</v>
      </c>
      <c r="U1162" s="145"/>
      <c r="V1162" s="134" t="s">
        <v>563</v>
      </c>
      <c r="W1162" s="92" t="str">
        <f t="shared" si="90"/>
        <v>Koupliakov ,Vladimir</v>
      </c>
      <c r="X1162" s="95">
        <f t="shared" si="88"/>
        <v>3</v>
      </c>
      <c r="Y1162" s="95">
        <f t="shared" si="89"/>
        <v>2022</v>
      </c>
      <c r="Z1162" s="136" t="s">
        <v>266</v>
      </c>
      <c r="AA1162" t="str">
        <f>IF(Tabla1[[#This Row],[Kerma en aire acumulada (Gy)]]&gt;1,SUMIF(G:G,Tabla1[[#This Row],[SIP]],I:I)-Tabla1[[#This Row],[Kerma en aire acumulada (Gy)]],"")</f>
        <v/>
      </c>
    </row>
    <row r="1163" spans="3:27">
      <c r="C1163" s="147" t="s">
        <v>1088</v>
      </c>
      <c r="D1163" s="134" t="s">
        <v>2376</v>
      </c>
      <c r="E1163" s="134" t="s">
        <v>960</v>
      </c>
      <c r="F1163" s="134" t="s">
        <v>991</v>
      </c>
      <c r="G1163" s="134">
        <v>1857545</v>
      </c>
      <c r="H1163" s="135">
        <v>44643</v>
      </c>
      <c r="I1163" s="134">
        <v>6.0819999999999999E-2</v>
      </c>
      <c r="J1163" s="145"/>
      <c r="K1163" s="145"/>
      <c r="L1163" s="145"/>
      <c r="M1163" s="145"/>
      <c r="N1163" s="145"/>
      <c r="O1163" s="145"/>
      <c r="P1163" s="145"/>
      <c r="Q1163" s="145"/>
      <c r="R1163" s="145"/>
      <c r="S1163" s="145"/>
      <c r="T1163" s="135">
        <v>19501</v>
      </c>
      <c r="U1163" s="145"/>
      <c r="V1163" s="134" t="s">
        <v>563</v>
      </c>
      <c r="W1163" s="92" t="str">
        <f t="shared" si="90"/>
        <v>Ceron Lopez,Jose</v>
      </c>
      <c r="X1163" s="95">
        <f t="shared" si="88"/>
        <v>3</v>
      </c>
      <c r="Y1163" s="95">
        <f t="shared" si="89"/>
        <v>2022</v>
      </c>
      <c r="Z1163" s="136" t="s">
        <v>266</v>
      </c>
      <c r="AA1163" t="str">
        <f>IF(Tabla1[[#This Row],[Kerma en aire acumulada (Gy)]]&gt;1,SUMIF(G:G,Tabla1[[#This Row],[SIP]],I:I)-Tabla1[[#This Row],[Kerma en aire acumulada (Gy)]],"")</f>
        <v/>
      </c>
    </row>
    <row r="1164" spans="3:27">
      <c r="C1164" s="147" t="s">
        <v>1108</v>
      </c>
      <c r="D1164" s="134" t="s">
        <v>2406</v>
      </c>
      <c r="E1164" s="134" t="s">
        <v>2407</v>
      </c>
      <c r="F1164" s="134" t="s">
        <v>300</v>
      </c>
      <c r="G1164" s="134">
        <v>6283074</v>
      </c>
      <c r="H1164" s="135">
        <v>44643</v>
      </c>
      <c r="I1164" s="134">
        <v>2.0000000000000001E-4</v>
      </c>
      <c r="J1164" s="145"/>
      <c r="K1164" s="145"/>
      <c r="L1164" s="145"/>
      <c r="M1164" s="145"/>
      <c r="N1164" s="145"/>
      <c r="O1164" s="145"/>
      <c r="P1164" s="145"/>
      <c r="Q1164" s="145"/>
      <c r="R1164" s="145"/>
      <c r="S1164" s="145"/>
      <c r="T1164" s="135">
        <v>38858</v>
      </c>
      <c r="U1164" s="145"/>
      <c r="V1164" s="134" t="s">
        <v>2408</v>
      </c>
      <c r="W1164" s="92" t="str">
        <f t="shared" si="90"/>
        <v>Garrigos Cordero,Carlos</v>
      </c>
      <c r="X1164" s="95">
        <f t="shared" si="88"/>
        <v>3</v>
      </c>
      <c r="Y1164" s="95">
        <f t="shared" si="89"/>
        <v>2022</v>
      </c>
      <c r="Z1164" s="136" t="s">
        <v>2238</v>
      </c>
      <c r="AA1164" t="str">
        <f>IF(Tabla1[[#This Row],[Kerma en aire acumulada (Gy)]]&gt;1,SUMIF(G:G,Tabla1[[#This Row],[SIP]],I:I)-Tabla1[[#This Row],[Kerma en aire acumulada (Gy)]],"")</f>
        <v/>
      </c>
    </row>
    <row r="1165" spans="3:27">
      <c r="C1165" s="147" t="s">
        <v>1088</v>
      </c>
      <c r="D1165" s="134" t="s">
        <v>856</v>
      </c>
      <c r="E1165" s="134" t="s">
        <v>2409</v>
      </c>
      <c r="F1165" s="134" t="s">
        <v>83</v>
      </c>
      <c r="G1165" s="134">
        <v>2398410</v>
      </c>
      <c r="H1165" s="135">
        <v>44643</v>
      </c>
      <c r="I1165" s="134">
        <v>1.059E-2</v>
      </c>
      <c r="J1165" s="145"/>
      <c r="K1165" s="145"/>
      <c r="L1165" s="145"/>
      <c r="M1165" s="145"/>
      <c r="N1165" s="145"/>
      <c r="O1165" s="145"/>
      <c r="P1165" s="145"/>
      <c r="Q1165" s="145"/>
      <c r="R1165" s="145"/>
      <c r="S1165" s="145"/>
      <c r="T1165" s="135">
        <v>15616</v>
      </c>
      <c r="U1165" s="145"/>
      <c r="V1165" s="134" t="s">
        <v>2237</v>
      </c>
      <c r="W1165" s="92" t="str">
        <f t="shared" si="90"/>
        <v>Gomez Vessesi,Francisco</v>
      </c>
      <c r="X1165" s="95">
        <f t="shared" si="88"/>
        <v>3</v>
      </c>
      <c r="Y1165" s="95">
        <f t="shared" si="89"/>
        <v>2022</v>
      </c>
      <c r="Z1165" s="136" t="s">
        <v>2238</v>
      </c>
      <c r="AA1165" t="str">
        <f>IF(Tabla1[[#This Row],[Kerma en aire acumulada (Gy)]]&gt;1,SUMIF(G:G,Tabla1[[#This Row],[SIP]],I:I)-Tabla1[[#This Row],[Kerma en aire acumulada (Gy)]],"")</f>
        <v/>
      </c>
    </row>
    <row r="1166" spans="3:27">
      <c r="C1166" s="147" t="s">
        <v>1088</v>
      </c>
      <c r="D1166" s="134" t="s">
        <v>1078</v>
      </c>
      <c r="E1166" s="134" t="s">
        <v>353</v>
      </c>
      <c r="F1166" s="134" t="s">
        <v>338</v>
      </c>
      <c r="G1166" s="134">
        <v>255907</v>
      </c>
      <c r="H1166" s="135">
        <v>44644</v>
      </c>
      <c r="I1166" s="134">
        <v>2.5930000000000002E-2</v>
      </c>
      <c r="J1166" s="145"/>
      <c r="K1166" s="145"/>
      <c r="L1166" s="145"/>
      <c r="M1166" s="145"/>
      <c r="N1166" s="145"/>
      <c r="O1166" s="145"/>
      <c r="P1166" s="145"/>
      <c r="Q1166" s="145"/>
      <c r="R1166" s="145"/>
      <c r="S1166" s="145"/>
      <c r="T1166" s="135">
        <v>33884</v>
      </c>
      <c r="U1166" s="145"/>
      <c r="V1166" s="134" t="s">
        <v>1836</v>
      </c>
      <c r="W1166" s="92" t="str">
        <f t="shared" si="90"/>
        <v>Marcos Muñoz,Marta</v>
      </c>
      <c r="X1166" s="95">
        <f t="shared" si="88"/>
        <v>3</v>
      </c>
      <c r="Y1166" s="95">
        <f t="shared" si="89"/>
        <v>2022</v>
      </c>
      <c r="Z1166" s="103" t="s">
        <v>265</v>
      </c>
      <c r="AA1166" t="str">
        <f>IF(Tabla1[[#This Row],[Kerma en aire acumulada (Gy)]]&gt;1,SUMIF(G:G,Tabla1[[#This Row],[SIP]],I:I)-Tabla1[[#This Row],[Kerma en aire acumulada (Gy)]],"")</f>
        <v/>
      </c>
    </row>
    <row r="1167" spans="3:27">
      <c r="C1167" s="147" t="s">
        <v>1088</v>
      </c>
      <c r="D1167" s="134" t="s">
        <v>2336</v>
      </c>
      <c r="E1167" s="134" t="s">
        <v>668</v>
      </c>
      <c r="F1167" s="134" t="s">
        <v>2338</v>
      </c>
      <c r="G1167" s="134">
        <v>2355801</v>
      </c>
      <c r="H1167" s="135">
        <v>44644</v>
      </c>
      <c r="I1167" s="134">
        <v>0.27953</v>
      </c>
      <c r="J1167" s="145"/>
      <c r="K1167" s="145"/>
      <c r="L1167" s="145"/>
      <c r="M1167" s="145"/>
      <c r="N1167" s="145"/>
      <c r="O1167" s="145"/>
      <c r="P1167" s="145"/>
      <c r="Q1167" s="145"/>
      <c r="R1167" s="145"/>
      <c r="S1167" s="145"/>
      <c r="T1167" s="135">
        <v>24919</v>
      </c>
      <c r="U1167" s="145"/>
      <c r="V1167" s="134" t="s">
        <v>2337</v>
      </c>
      <c r="W1167" s="92" t="str">
        <f t="shared" si="90"/>
        <v>Molins Salcedo,Vicente Tomas</v>
      </c>
      <c r="X1167" s="95">
        <f t="shared" si="88"/>
        <v>3</v>
      </c>
      <c r="Y1167" s="95">
        <f t="shared" si="89"/>
        <v>2022</v>
      </c>
      <c r="Z1167" s="103" t="s">
        <v>265</v>
      </c>
      <c r="AA1167" t="str">
        <f>IF(Tabla1[[#This Row],[Kerma en aire acumulada (Gy)]]&gt;1,SUMIF(G:G,Tabla1[[#This Row],[SIP]],I:I)-Tabla1[[#This Row],[Kerma en aire acumulada (Gy)]],"")</f>
        <v/>
      </c>
    </row>
    <row r="1168" spans="3:27">
      <c r="C1168" s="147" t="s">
        <v>1088</v>
      </c>
      <c r="D1168" s="134" t="s">
        <v>2336</v>
      </c>
      <c r="E1168" s="134" t="s">
        <v>668</v>
      </c>
      <c r="F1168" s="134" t="s">
        <v>2338</v>
      </c>
      <c r="G1168" s="134">
        <v>2355801</v>
      </c>
      <c r="H1168" s="135">
        <v>44644</v>
      </c>
      <c r="I1168" s="134">
        <v>0.34099000000000002</v>
      </c>
      <c r="J1168" s="145"/>
      <c r="K1168" s="145"/>
      <c r="L1168" s="145"/>
      <c r="M1168" s="145"/>
      <c r="N1168" s="145"/>
      <c r="O1168" s="145"/>
      <c r="P1168" s="145"/>
      <c r="Q1168" s="145"/>
      <c r="R1168" s="145"/>
      <c r="S1168" s="145"/>
      <c r="T1168" s="135">
        <v>24919</v>
      </c>
      <c r="U1168" s="145"/>
      <c r="V1168" s="134" t="s">
        <v>166</v>
      </c>
      <c r="W1168" s="92" t="str">
        <f t="shared" si="90"/>
        <v>Molins Salcedo,Vicente Tomas</v>
      </c>
      <c r="X1168" s="95">
        <f t="shared" si="88"/>
        <v>3</v>
      </c>
      <c r="Y1168" s="95">
        <f t="shared" si="89"/>
        <v>2022</v>
      </c>
      <c r="Z1168" s="103" t="s">
        <v>265</v>
      </c>
      <c r="AA1168" t="str">
        <f>IF(Tabla1[[#This Row],[Kerma en aire acumulada (Gy)]]&gt;1,SUMIF(G:G,Tabla1[[#This Row],[SIP]],I:I)-Tabla1[[#This Row],[Kerma en aire acumulada (Gy)]],"")</f>
        <v/>
      </c>
    </row>
    <row r="1169" spans="3:27">
      <c r="C1169" s="147" t="s">
        <v>1088</v>
      </c>
      <c r="D1169" s="134" t="s">
        <v>2339</v>
      </c>
      <c r="E1169" s="134" t="s">
        <v>189</v>
      </c>
      <c r="F1169" s="134" t="s">
        <v>71</v>
      </c>
      <c r="G1169" s="134">
        <v>2847352</v>
      </c>
      <c r="H1169" s="135">
        <v>44644</v>
      </c>
      <c r="I1169" s="134">
        <v>4.4659999999999998E-2</v>
      </c>
      <c r="J1169" s="145"/>
      <c r="K1169" s="145"/>
      <c r="L1169" s="145"/>
      <c r="M1169" s="145"/>
      <c r="N1169" s="145"/>
      <c r="O1169" s="145"/>
      <c r="P1169" s="145"/>
      <c r="Q1169" s="145"/>
      <c r="R1169" s="145"/>
      <c r="S1169" s="145"/>
      <c r="T1169" s="135">
        <v>14374</v>
      </c>
      <c r="U1169" s="145"/>
      <c r="V1169" s="134" t="s">
        <v>1293</v>
      </c>
      <c r="W1169" s="92" t="str">
        <f t="shared" si="90"/>
        <v>Simon Giner,Rafael</v>
      </c>
      <c r="X1169" s="95">
        <f t="shared" si="88"/>
        <v>3</v>
      </c>
      <c r="Y1169" s="95">
        <f t="shared" si="89"/>
        <v>2022</v>
      </c>
      <c r="Z1169" s="103" t="s">
        <v>265</v>
      </c>
      <c r="AA1169" t="str">
        <f>IF(Tabla1[[#This Row],[Kerma en aire acumulada (Gy)]]&gt;1,SUMIF(G:G,Tabla1[[#This Row],[SIP]],I:I)-Tabla1[[#This Row],[Kerma en aire acumulada (Gy)]],"")</f>
        <v/>
      </c>
    </row>
    <row r="1170" spans="3:27">
      <c r="C1170" s="147" t="s">
        <v>1088</v>
      </c>
      <c r="D1170" s="134" t="s">
        <v>319</v>
      </c>
      <c r="E1170" s="134" t="s">
        <v>115</v>
      </c>
      <c r="F1170" s="134" t="s">
        <v>1059</v>
      </c>
      <c r="G1170" s="134">
        <v>2932182</v>
      </c>
      <c r="H1170" s="135">
        <v>44644</v>
      </c>
      <c r="I1170" s="134">
        <v>0.25790000000000002</v>
      </c>
      <c r="J1170" s="145"/>
      <c r="K1170" s="145"/>
      <c r="L1170" s="145"/>
      <c r="M1170" s="145"/>
      <c r="N1170" s="145"/>
      <c r="O1170" s="145"/>
      <c r="P1170" s="145"/>
      <c r="Q1170" s="145"/>
      <c r="R1170" s="145"/>
      <c r="S1170" s="145"/>
      <c r="T1170" s="135">
        <v>21086</v>
      </c>
      <c r="U1170" s="145"/>
      <c r="V1170" s="134" t="s">
        <v>509</v>
      </c>
      <c r="W1170" s="92" t="str">
        <f t="shared" si="90"/>
        <v>Gonzalez Pardo,M Desamparados</v>
      </c>
      <c r="X1170" s="95">
        <f t="shared" si="88"/>
        <v>3</v>
      </c>
      <c r="Y1170" s="95">
        <f t="shared" si="89"/>
        <v>2022</v>
      </c>
      <c r="Z1170" s="103" t="s">
        <v>265</v>
      </c>
      <c r="AA1170" t="str">
        <f>IF(Tabla1[[#This Row],[Kerma en aire acumulada (Gy)]]&gt;1,SUMIF(G:G,Tabla1[[#This Row],[SIP]],I:I)-Tabla1[[#This Row],[Kerma en aire acumulada (Gy)]],"")</f>
        <v/>
      </c>
    </row>
    <row r="1171" spans="3:27">
      <c r="C1171" s="147" t="s">
        <v>1088</v>
      </c>
      <c r="D1171" s="134" t="s">
        <v>66</v>
      </c>
      <c r="E1171" s="134" t="s">
        <v>2353</v>
      </c>
      <c r="F1171" s="134" t="s">
        <v>1611</v>
      </c>
      <c r="G1171" s="134">
        <v>2488143</v>
      </c>
      <c r="H1171" s="135">
        <v>44644</v>
      </c>
      <c r="I1171" s="134">
        <v>0.18453</v>
      </c>
      <c r="J1171" s="145"/>
      <c r="K1171" s="145"/>
      <c r="L1171" s="145"/>
      <c r="M1171" s="145"/>
      <c r="N1171" s="145"/>
      <c r="O1171" s="145"/>
      <c r="P1171" s="145"/>
      <c r="Q1171" s="145"/>
      <c r="R1171" s="145"/>
      <c r="S1171" s="145"/>
      <c r="T1171" s="135">
        <v>26626</v>
      </c>
      <c r="U1171" s="145"/>
      <c r="V1171" s="134" t="s">
        <v>1711</v>
      </c>
      <c r="W1171" s="92" t="str">
        <f t="shared" si="90"/>
        <v>Navarro Alcañiz,Concepción</v>
      </c>
      <c r="X1171" s="95">
        <f t="shared" si="88"/>
        <v>3</v>
      </c>
      <c r="Y1171" s="95">
        <f t="shared" si="89"/>
        <v>2022</v>
      </c>
      <c r="Z1171" s="103" t="s">
        <v>265</v>
      </c>
      <c r="AA1171" t="str">
        <f>IF(Tabla1[[#This Row],[Kerma en aire acumulada (Gy)]]&gt;1,SUMIF(G:G,Tabla1[[#This Row],[SIP]],I:I)-Tabla1[[#This Row],[Kerma en aire acumulada (Gy)]],"")</f>
        <v/>
      </c>
    </row>
    <row r="1172" spans="3:27">
      <c r="C1172" s="147" t="s">
        <v>1088</v>
      </c>
      <c r="D1172" s="134" t="s">
        <v>1106</v>
      </c>
      <c r="E1172" s="134" t="s">
        <v>839</v>
      </c>
      <c r="F1172" s="134" t="s">
        <v>88</v>
      </c>
      <c r="G1172" s="134">
        <v>2233884</v>
      </c>
      <c r="H1172" s="135">
        <v>44644</v>
      </c>
      <c r="I1172" s="134">
        <v>0.11035</v>
      </c>
      <c r="J1172" s="145"/>
      <c r="K1172" s="145"/>
      <c r="L1172" s="145"/>
      <c r="M1172" s="145"/>
      <c r="N1172" s="145"/>
      <c r="O1172" s="145"/>
      <c r="P1172" s="145"/>
      <c r="Q1172" s="145"/>
      <c r="R1172" s="145"/>
      <c r="S1172" s="145"/>
      <c r="T1172" s="135">
        <v>14616</v>
      </c>
      <c r="U1172" s="145"/>
      <c r="V1172" s="134" t="s">
        <v>2354</v>
      </c>
      <c r="W1172" s="92" t="str">
        <f t="shared" si="90"/>
        <v>Alemany Ferrer,Vicente</v>
      </c>
      <c r="X1172" s="95">
        <f t="shared" si="88"/>
        <v>3</v>
      </c>
      <c r="Y1172" s="95">
        <f t="shared" si="89"/>
        <v>2022</v>
      </c>
      <c r="Z1172" s="103" t="s">
        <v>265</v>
      </c>
      <c r="AA1172" t="str">
        <f>IF(Tabla1[[#This Row],[Kerma en aire acumulada (Gy)]]&gt;1,SUMIF(G:G,Tabla1[[#This Row],[SIP]],I:I)-Tabla1[[#This Row],[Kerma en aire acumulada (Gy)]],"")</f>
        <v/>
      </c>
    </row>
    <row r="1173" spans="3:27">
      <c r="C1173" s="147" t="s">
        <v>1088</v>
      </c>
      <c r="D1173" s="134" t="s">
        <v>2368</v>
      </c>
      <c r="E1173" s="134" t="s">
        <v>2369</v>
      </c>
      <c r="F1173" s="134" t="s">
        <v>1704</v>
      </c>
      <c r="G1173" s="134">
        <v>2418929</v>
      </c>
      <c r="H1173" s="135">
        <v>44644</v>
      </c>
      <c r="I1173" s="134">
        <v>0.10949</v>
      </c>
      <c r="J1173" s="145"/>
      <c r="K1173" s="145"/>
      <c r="L1173" s="145"/>
      <c r="M1173" s="145"/>
      <c r="N1173" s="145"/>
      <c r="O1173" s="145"/>
      <c r="P1173" s="145"/>
      <c r="Q1173" s="145"/>
      <c r="R1173" s="145"/>
      <c r="S1173" s="145"/>
      <c r="T1173" s="135">
        <v>22786</v>
      </c>
      <c r="U1173" s="145"/>
      <c r="V1173" s="134" t="s">
        <v>563</v>
      </c>
      <c r="W1173" s="92" t="str">
        <f t="shared" si="90"/>
        <v>Barrios Trujillo,Maria Dolores</v>
      </c>
      <c r="X1173" s="95">
        <f t="shared" ref="X1173:X1236" si="91">MONTH(H1173)</f>
        <v>3</v>
      </c>
      <c r="Y1173" s="95">
        <f t="shared" si="89"/>
        <v>2022</v>
      </c>
      <c r="Z1173" s="136" t="s">
        <v>266</v>
      </c>
      <c r="AA1173" t="str">
        <f>IF(Tabla1[[#This Row],[Kerma en aire acumulada (Gy)]]&gt;1,SUMIF(G:G,Tabla1[[#This Row],[SIP]],I:I)-Tabla1[[#This Row],[Kerma en aire acumulada (Gy)]],"")</f>
        <v/>
      </c>
    </row>
    <row r="1174" spans="3:27">
      <c r="C1174" s="147" t="s">
        <v>1088</v>
      </c>
      <c r="D1174" s="134" t="s">
        <v>2370</v>
      </c>
      <c r="E1174" s="134" t="s">
        <v>2371</v>
      </c>
      <c r="F1174" s="134" t="s">
        <v>2168</v>
      </c>
      <c r="G1174" s="134">
        <v>2186988</v>
      </c>
      <c r="H1174" s="135">
        <v>44644</v>
      </c>
      <c r="I1174" s="134">
        <v>0.12157</v>
      </c>
      <c r="J1174" s="145"/>
      <c r="K1174" s="145"/>
      <c r="L1174" s="145"/>
      <c r="M1174" s="145"/>
      <c r="N1174" s="145"/>
      <c r="O1174" s="145"/>
      <c r="P1174" s="145"/>
      <c r="Q1174" s="145"/>
      <c r="R1174" s="145"/>
      <c r="S1174" s="145"/>
      <c r="T1174" s="135">
        <v>11995</v>
      </c>
      <c r="U1174" s="145"/>
      <c r="V1174" s="134" t="s">
        <v>563</v>
      </c>
      <c r="W1174" s="92" t="str">
        <f t="shared" si="90"/>
        <v>Rapado Toro,Leonides</v>
      </c>
      <c r="X1174" s="95">
        <f t="shared" si="91"/>
        <v>3</v>
      </c>
      <c r="Y1174" s="95">
        <f t="shared" si="89"/>
        <v>2022</v>
      </c>
      <c r="Z1174" s="136" t="s">
        <v>266</v>
      </c>
      <c r="AA1174" t="str">
        <f>IF(Tabla1[[#This Row],[Kerma en aire acumulada (Gy)]]&gt;1,SUMIF(G:G,Tabla1[[#This Row],[SIP]],I:I)-Tabla1[[#This Row],[Kerma en aire acumulada (Gy)]],"")</f>
        <v/>
      </c>
    </row>
    <row r="1175" spans="3:27">
      <c r="C1175" s="147" t="s">
        <v>1088</v>
      </c>
      <c r="D1175" s="134" t="s">
        <v>1837</v>
      </c>
      <c r="E1175" s="134" t="s">
        <v>962</v>
      </c>
      <c r="F1175" s="134" t="s">
        <v>1667</v>
      </c>
      <c r="G1175" s="134">
        <v>3384770</v>
      </c>
      <c r="H1175" s="135">
        <v>44644</v>
      </c>
      <c r="I1175" s="134">
        <v>0.29620000000000002</v>
      </c>
      <c r="J1175" s="145"/>
      <c r="K1175" s="145"/>
      <c r="L1175" s="145"/>
      <c r="M1175" s="145"/>
      <c r="N1175" s="145"/>
      <c r="O1175" s="145"/>
      <c r="P1175" s="145"/>
      <c r="Q1175" s="145"/>
      <c r="R1175" s="145"/>
      <c r="S1175" s="145"/>
      <c r="T1175" s="135">
        <v>12177</v>
      </c>
      <c r="U1175" s="145"/>
      <c r="V1175" s="134" t="s">
        <v>563</v>
      </c>
      <c r="W1175" s="92" t="str">
        <f t="shared" si="90"/>
        <v>Rodriguez Garcia,Amalia</v>
      </c>
      <c r="X1175" s="95">
        <f t="shared" si="91"/>
        <v>3</v>
      </c>
      <c r="Y1175" s="95">
        <f t="shared" si="89"/>
        <v>2022</v>
      </c>
      <c r="Z1175" s="136" t="s">
        <v>266</v>
      </c>
      <c r="AA1175" t="str">
        <f>IF(Tabla1[[#This Row],[Kerma en aire acumulada (Gy)]]&gt;1,SUMIF(G:G,Tabla1[[#This Row],[SIP]],I:I)-Tabla1[[#This Row],[Kerma en aire acumulada (Gy)]],"")</f>
        <v/>
      </c>
    </row>
    <row r="1176" spans="3:27">
      <c r="C1176" s="147" t="s">
        <v>1088</v>
      </c>
      <c r="D1176" s="134" t="s">
        <v>1212</v>
      </c>
      <c r="E1176" s="134" t="s">
        <v>1749</v>
      </c>
      <c r="F1176" s="134" t="s">
        <v>2372</v>
      </c>
      <c r="G1176" s="134">
        <v>2423925</v>
      </c>
      <c r="H1176" s="135">
        <v>44644</v>
      </c>
      <c r="I1176" s="134">
        <v>0.47100999999999998</v>
      </c>
      <c r="J1176" s="145"/>
      <c r="K1176" s="145"/>
      <c r="L1176" s="145"/>
      <c r="M1176" s="145"/>
      <c r="N1176" s="145"/>
      <c r="O1176" s="145"/>
      <c r="P1176" s="145"/>
      <c r="Q1176" s="145"/>
      <c r="R1176" s="145"/>
      <c r="S1176" s="145"/>
      <c r="T1176" s="135">
        <v>23712</v>
      </c>
      <c r="U1176" s="145"/>
      <c r="V1176" s="134" t="s">
        <v>563</v>
      </c>
      <c r="W1176" s="92" t="str">
        <f t="shared" si="90"/>
        <v>Latorre Guillem,Carlos Fernando</v>
      </c>
      <c r="X1176" s="95">
        <f t="shared" si="91"/>
        <v>3</v>
      </c>
      <c r="Y1176" s="95">
        <f t="shared" si="89"/>
        <v>2022</v>
      </c>
      <c r="Z1176" s="136" t="s">
        <v>266</v>
      </c>
      <c r="AA1176" t="str">
        <f>IF(Tabla1[[#This Row],[Kerma en aire acumulada (Gy)]]&gt;1,SUMIF(G:G,Tabla1[[#This Row],[SIP]],I:I)-Tabla1[[#This Row],[Kerma en aire acumulada (Gy)]],"")</f>
        <v/>
      </c>
    </row>
    <row r="1177" spans="3:27">
      <c r="C1177" s="147" t="s">
        <v>1088</v>
      </c>
      <c r="D1177" s="134" t="s">
        <v>960</v>
      </c>
      <c r="E1177" s="134" t="s">
        <v>2398</v>
      </c>
      <c r="F1177" s="134" t="s">
        <v>2399</v>
      </c>
      <c r="G1177" s="134">
        <v>7412153</v>
      </c>
      <c r="H1177" s="135">
        <v>44644</v>
      </c>
      <c r="I1177" s="134">
        <v>7.4429999999999996E-2</v>
      </c>
      <c r="J1177" s="145"/>
      <c r="K1177" s="145"/>
      <c r="L1177" s="145"/>
      <c r="M1177" s="145"/>
      <c r="N1177" s="145"/>
      <c r="O1177" s="145"/>
      <c r="P1177" s="145"/>
      <c r="Q1177" s="145"/>
      <c r="R1177" s="145"/>
      <c r="S1177" s="145"/>
      <c r="T1177" s="135">
        <v>22680</v>
      </c>
      <c r="U1177" s="145"/>
      <c r="V1177" s="134" t="s">
        <v>2383</v>
      </c>
      <c r="W1177" s="92" t="str">
        <f t="shared" si="90"/>
        <v>Lopez alfaro,Nicolas Francisco</v>
      </c>
      <c r="X1177" s="95">
        <f t="shared" si="91"/>
        <v>3</v>
      </c>
      <c r="Y1177" s="95">
        <f t="shared" si="89"/>
        <v>2022</v>
      </c>
      <c r="Z1177" s="136" t="s">
        <v>266</v>
      </c>
      <c r="AA1177" t="str">
        <f>IF(Tabla1[[#This Row],[Kerma en aire acumulada (Gy)]]&gt;1,SUMIF(G:G,Tabla1[[#This Row],[SIP]],I:I)-Tabla1[[#This Row],[Kerma en aire acumulada (Gy)]],"")</f>
        <v/>
      </c>
    </row>
    <row r="1178" spans="3:27">
      <c r="C1178" s="147" t="s">
        <v>1088</v>
      </c>
      <c r="D1178" s="134" t="s">
        <v>2400</v>
      </c>
      <c r="E1178" s="134" t="s">
        <v>948</v>
      </c>
      <c r="F1178" s="134" t="s">
        <v>2401</v>
      </c>
      <c r="G1178" s="134">
        <v>1858215</v>
      </c>
      <c r="H1178" s="135">
        <v>44644</v>
      </c>
      <c r="I1178" s="134">
        <v>0.1356</v>
      </c>
      <c r="J1178" s="145"/>
      <c r="K1178" s="145"/>
      <c r="L1178" s="145"/>
      <c r="M1178" s="145"/>
      <c r="N1178" s="145"/>
      <c r="O1178" s="145"/>
      <c r="P1178" s="145"/>
      <c r="Q1178" s="145"/>
      <c r="R1178" s="145"/>
      <c r="S1178" s="145"/>
      <c r="T1178" s="135">
        <v>20199</v>
      </c>
      <c r="U1178" s="145"/>
      <c r="V1178" s="134" t="s">
        <v>2383</v>
      </c>
      <c r="W1178" s="92" t="str">
        <f t="shared" si="90"/>
        <v>Pardal Martinez,Francsico Javier</v>
      </c>
      <c r="X1178" s="95">
        <f t="shared" si="91"/>
        <v>3</v>
      </c>
      <c r="Y1178" s="95">
        <f t="shared" si="89"/>
        <v>2022</v>
      </c>
      <c r="Z1178" s="136" t="s">
        <v>266</v>
      </c>
      <c r="AA1178" t="str">
        <f>IF(Tabla1[[#This Row],[Kerma en aire acumulada (Gy)]]&gt;1,SUMIF(G:G,Tabla1[[#This Row],[SIP]],I:I)-Tabla1[[#This Row],[Kerma en aire acumulada (Gy)]],"")</f>
        <v/>
      </c>
    </row>
    <row r="1179" spans="3:27">
      <c r="C1179" s="147" t="s">
        <v>1088</v>
      </c>
      <c r="D1179" s="134" t="s">
        <v>66</v>
      </c>
      <c r="E1179" s="134" t="s">
        <v>948</v>
      </c>
      <c r="F1179" s="134" t="s">
        <v>991</v>
      </c>
      <c r="G1179" s="134">
        <v>3363111</v>
      </c>
      <c r="H1179" s="135">
        <v>44644</v>
      </c>
      <c r="I1179" s="134">
        <v>7.3260000000000006E-2</v>
      </c>
      <c r="J1179" s="145"/>
      <c r="K1179" s="145"/>
      <c r="L1179" s="145"/>
      <c r="M1179" s="145"/>
      <c r="N1179" s="145"/>
      <c r="O1179" s="145"/>
      <c r="P1179" s="145"/>
      <c r="Q1179" s="145"/>
      <c r="R1179" s="145"/>
      <c r="S1179" s="145"/>
      <c r="T1179" s="135">
        <v>20207</v>
      </c>
      <c r="U1179" s="145"/>
      <c r="V1179" s="134" t="s">
        <v>2383</v>
      </c>
      <c r="W1179" s="92" t="str">
        <f t="shared" si="90"/>
        <v>Navarro Martinez,Jose</v>
      </c>
      <c r="X1179" s="95">
        <f t="shared" si="91"/>
        <v>3</v>
      </c>
      <c r="Y1179" s="95">
        <f t="shared" si="89"/>
        <v>2022</v>
      </c>
      <c r="Z1179" s="136" t="s">
        <v>266</v>
      </c>
      <c r="AA1179" t="str">
        <f>IF(Tabla1[[#This Row],[Kerma en aire acumulada (Gy)]]&gt;1,SUMIF(G:G,Tabla1[[#This Row],[SIP]],I:I)-Tabla1[[#This Row],[Kerma en aire acumulada (Gy)]],"")</f>
        <v/>
      </c>
    </row>
    <row r="1180" spans="3:27">
      <c r="C1180" s="147" t="s">
        <v>1088</v>
      </c>
      <c r="D1180" s="134" t="s">
        <v>846</v>
      </c>
      <c r="E1180" s="134" t="s">
        <v>948</v>
      </c>
      <c r="F1180" s="134" t="s">
        <v>377</v>
      </c>
      <c r="G1180" s="134">
        <v>2452661</v>
      </c>
      <c r="H1180" s="135">
        <v>44644</v>
      </c>
      <c r="I1180" s="134">
        <v>8.6269999999999999E-2</v>
      </c>
      <c r="J1180" s="145"/>
      <c r="K1180" s="145"/>
      <c r="L1180" s="145"/>
      <c r="M1180" s="145"/>
      <c r="N1180" s="145"/>
      <c r="O1180" s="145"/>
      <c r="P1180" s="145"/>
      <c r="Q1180" s="145"/>
      <c r="R1180" s="145"/>
      <c r="S1180" s="145"/>
      <c r="T1180" s="135">
        <v>26783</v>
      </c>
      <c r="U1180" s="145"/>
      <c r="V1180" s="134" t="s">
        <v>2383</v>
      </c>
      <c r="W1180" s="92" t="str">
        <f t="shared" si="90"/>
        <v>Pacheco Martinez,Pilar</v>
      </c>
      <c r="X1180" s="95">
        <f t="shared" si="91"/>
        <v>3</v>
      </c>
      <c r="Y1180" s="95">
        <f t="shared" ref="Y1180:Y1220" si="92">YEAR(H1180)</f>
        <v>2022</v>
      </c>
      <c r="Z1180" s="136" t="s">
        <v>266</v>
      </c>
      <c r="AA1180" t="str">
        <f>IF(Tabla1[[#This Row],[Kerma en aire acumulada (Gy)]]&gt;1,SUMIF(G:G,Tabla1[[#This Row],[SIP]],I:I)-Tabla1[[#This Row],[Kerma en aire acumulada (Gy)]],"")</f>
        <v/>
      </c>
    </row>
    <row r="1181" spans="3:27">
      <c r="C1181" s="147" t="s">
        <v>1088</v>
      </c>
      <c r="D1181" s="134" t="s">
        <v>948</v>
      </c>
      <c r="E1181" s="134" t="s">
        <v>1276</v>
      </c>
      <c r="F1181" s="134" t="s">
        <v>2403</v>
      </c>
      <c r="G1181" s="134">
        <v>3386266</v>
      </c>
      <c r="H1181" s="135">
        <v>44644</v>
      </c>
      <c r="I1181" s="134">
        <v>2.5899999999999999E-3</v>
      </c>
      <c r="J1181" s="145"/>
      <c r="K1181" s="145"/>
      <c r="L1181" s="145"/>
      <c r="M1181" s="145"/>
      <c r="N1181" s="145"/>
      <c r="O1181" s="145"/>
      <c r="P1181" s="145"/>
      <c r="Q1181" s="145"/>
      <c r="R1181" s="145"/>
      <c r="S1181" s="145"/>
      <c r="T1181" s="135">
        <v>20911</v>
      </c>
      <c r="U1181" s="145"/>
      <c r="V1181" s="134" t="s">
        <v>2241</v>
      </c>
      <c r="W1181" s="92" t="str">
        <f t="shared" si="90"/>
        <v>Martinez Alvarez,Dulse</v>
      </c>
      <c r="X1181" s="95">
        <f t="shared" si="91"/>
        <v>3</v>
      </c>
      <c r="Y1181" s="95">
        <f t="shared" si="92"/>
        <v>2022</v>
      </c>
      <c r="Z1181" s="136" t="s">
        <v>2238</v>
      </c>
      <c r="AA1181" t="str">
        <f>IF(Tabla1[[#This Row],[Kerma en aire acumulada (Gy)]]&gt;1,SUMIF(G:G,Tabla1[[#This Row],[SIP]],I:I)-Tabla1[[#This Row],[Kerma en aire acumulada (Gy)]],"")</f>
        <v/>
      </c>
    </row>
    <row r="1182" spans="3:27">
      <c r="C1182" s="147" t="s">
        <v>1088</v>
      </c>
      <c r="D1182" s="134" t="s">
        <v>2404</v>
      </c>
      <c r="E1182" s="134" t="s">
        <v>962</v>
      </c>
      <c r="F1182" s="134" t="s">
        <v>2405</v>
      </c>
      <c r="G1182" s="134">
        <v>5052155</v>
      </c>
      <c r="H1182" s="135">
        <v>44644</v>
      </c>
      <c r="I1182" s="134">
        <v>2.4150000000000001E-2</v>
      </c>
      <c r="J1182" s="145"/>
      <c r="K1182" s="145"/>
      <c r="L1182" s="145"/>
      <c r="M1182" s="145"/>
      <c r="N1182" s="145"/>
      <c r="O1182" s="145"/>
      <c r="P1182" s="145"/>
      <c r="Q1182" s="145"/>
      <c r="R1182" s="145"/>
      <c r="S1182" s="145"/>
      <c r="T1182" s="135">
        <v>17341</v>
      </c>
      <c r="U1182" s="145"/>
      <c r="V1182" s="134" t="s">
        <v>2241</v>
      </c>
      <c r="W1182" s="92" t="str">
        <f t="shared" si="90"/>
        <v>Bas Garcia,Jose Antonio</v>
      </c>
      <c r="X1182" s="95">
        <f t="shared" si="91"/>
        <v>3</v>
      </c>
      <c r="Y1182" s="95">
        <f t="shared" si="92"/>
        <v>2022</v>
      </c>
      <c r="Z1182" s="136" t="s">
        <v>2238</v>
      </c>
      <c r="AA1182" t="str">
        <f>IF(Tabla1[[#This Row],[Kerma en aire acumulada (Gy)]]&gt;1,SUMIF(G:G,Tabla1[[#This Row],[SIP]],I:I)-Tabla1[[#This Row],[Kerma en aire acumulada (Gy)]],"")</f>
        <v/>
      </c>
    </row>
    <row r="1183" spans="3:27">
      <c r="C1183" s="147" t="s">
        <v>1088</v>
      </c>
      <c r="D1183" s="134" t="s">
        <v>856</v>
      </c>
      <c r="E1183" s="134" t="s">
        <v>130</v>
      </c>
      <c r="F1183" s="134" t="s">
        <v>169</v>
      </c>
      <c r="G1183" s="134">
        <v>3124704</v>
      </c>
      <c r="H1183" s="135">
        <v>44644</v>
      </c>
      <c r="I1183" s="134">
        <v>0.10872</v>
      </c>
      <c r="J1183" s="145"/>
      <c r="K1183" s="145"/>
      <c r="L1183" s="145"/>
      <c r="M1183" s="145"/>
      <c r="N1183" s="145"/>
      <c r="O1183" s="145"/>
      <c r="P1183" s="145"/>
      <c r="Q1183" s="145"/>
      <c r="R1183" s="145"/>
      <c r="S1183" s="145"/>
      <c r="T1183" s="135">
        <v>14856</v>
      </c>
      <c r="U1183" s="145"/>
      <c r="V1183" s="134" t="s">
        <v>2241</v>
      </c>
      <c r="W1183" s="92" t="str">
        <f t="shared" si="90"/>
        <v>Gomez Hernández,Valero</v>
      </c>
      <c r="X1183" s="95">
        <f t="shared" si="91"/>
        <v>3</v>
      </c>
      <c r="Y1183" s="95">
        <f t="shared" si="92"/>
        <v>2022</v>
      </c>
      <c r="Z1183" s="136" t="s">
        <v>2238</v>
      </c>
      <c r="AA1183" t="str">
        <f>IF(Tabla1[[#This Row],[Kerma en aire acumulada (Gy)]]&gt;1,SUMIF(G:G,Tabla1[[#This Row],[SIP]],I:I)-Tabla1[[#This Row],[Kerma en aire acumulada (Gy)]],"")</f>
        <v/>
      </c>
    </row>
    <row r="1184" spans="3:27">
      <c r="C1184" s="147" t="s">
        <v>1088</v>
      </c>
      <c r="D1184" s="134" t="s">
        <v>34</v>
      </c>
      <c r="E1184" s="134" t="s">
        <v>313</v>
      </c>
      <c r="F1184" s="134" t="s">
        <v>1155</v>
      </c>
      <c r="G1184" s="134">
        <v>1135133</v>
      </c>
      <c r="H1184" s="135">
        <v>44644</v>
      </c>
      <c r="I1184" s="134">
        <v>2.0719999999999999E-2</v>
      </c>
      <c r="J1184" s="145"/>
      <c r="K1184" s="145"/>
      <c r="L1184" s="145"/>
      <c r="M1184" s="145"/>
      <c r="N1184" s="145"/>
      <c r="O1184" s="145"/>
      <c r="P1184" s="145"/>
      <c r="Q1184" s="145"/>
      <c r="R1184" s="145"/>
      <c r="S1184" s="145"/>
      <c r="T1184" s="135">
        <v>33992</v>
      </c>
      <c r="U1184" s="145"/>
      <c r="V1184" s="134" t="s">
        <v>2237</v>
      </c>
      <c r="W1184" s="92" t="str">
        <f t="shared" si="90"/>
        <v>Jiménez  Fernández,Maria</v>
      </c>
      <c r="X1184" s="95">
        <f t="shared" si="91"/>
        <v>3</v>
      </c>
      <c r="Y1184" s="95">
        <f t="shared" si="92"/>
        <v>2022</v>
      </c>
      <c r="Z1184" s="136" t="s">
        <v>2238</v>
      </c>
      <c r="AA1184" t="str">
        <f>IF(Tabla1[[#This Row],[Kerma en aire acumulada (Gy)]]&gt;1,SUMIF(G:G,Tabla1[[#This Row],[SIP]],I:I)-Tabla1[[#This Row],[Kerma en aire acumulada (Gy)]],"")</f>
        <v/>
      </c>
    </row>
    <row r="1185" spans="3:27">
      <c r="C1185" s="147" t="s">
        <v>1088</v>
      </c>
      <c r="D1185" s="134" t="s">
        <v>2260</v>
      </c>
      <c r="E1185" s="134" t="s">
        <v>2261</v>
      </c>
      <c r="F1185" s="134" t="s">
        <v>88</v>
      </c>
      <c r="G1185" s="134">
        <v>453606</v>
      </c>
      <c r="H1185" s="135">
        <v>44645</v>
      </c>
      <c r="I1185" s="134">
        <v>0.55564999999999998</v>
      </c>
      <c r="J1185" s="145"/>
      <c r="K1185" s="145"/>
      <c r="L1185" s="145"/>
      <c r="M1185" s="145"/>
      <c r="N1185" s="145"/>
      <c r="O1185" s="145"/>
      <c r="P1185" s="145"/>
      <c r="Q1185" s="145"/>
      <c r="R1185" s="145"/>
      <c r="S1185" s="145"/>
      <c r="T1185" s="135">
        <v>20141</v>
      </c>
      <c r="U1185" s="145"/>
      <c r="V1185" s="134" t="s">
        <v>1312</v>
      </c>
      <c r="W1185" s="92" t="str">
        <f t="shared" si="90"/>
        <v>Cominches Jorda,Vicente</v>
      </c>
      <c r="X1185" s="95">
        <f t="shared" si="91"/>
        <v>3</v>
      </c>
      <c r="Y1185" s="95">
        <f t="shared" si="92"/>
        <v>2022</v>
      </c>
      <c r="Z1185" s="103" t="s">
        <v>265</v>
      </c>
      <c r="AA1185" t="str">
        <f>IF(Tabla1[[#This Row],[Kerma en aire acumulada (Gy)]]&gt;1,SUMIF(G:G,Tabla1[[#This Row],[SIP]],I:I)-Tabla1[[#This Row],[Kerma en aire acumulada (Gy)]],"")</f>
        <v/>
      </c>
    </row>
    <row r="1186" spans="3:27">
      <c r="C1186" s="147" t="s">
        <v>1088</v>
      </c>
      <c r="D1186" s="134" t="s">
        <v>634</v>
      </c>
      <c r="E1186" s="134" t="s">
        <v>2334</v>
      </c>
      <c r="F1186" s="134" t="s">
        <v>585</v>
      </c>
      <c r="G1186" s="134">
        <v>4709532</v>
      </c>
      <c r="H1186" s="135">
        <v>44645</v>
      </c>
      <c r="I1186" s="134">
        <v>0.26719999999999999</v>
      </c>
      <c r="J1186" s="145"/>
      <c r="K1186" s="145"/>
      <c r="L1186" s="145"/>
      <c r="M1186" s="145"/>
      <c r="N1186" s="145"/>
      <c r="O1186" s="145"/>
      <c r="P1186" s="145"/>
      <c r="Q1186" s="145"/>
      <c r="R1186" s="145"/>
      <c r="S1186" s="145"/>
      <c r="T1186" s="135">
        <v>21012</v>
      </c>
      <c r="U1186" s="145"/>
      <c r="V1186" s="134" t="s">
        <v>2335</v>
      </c>
      <c r="W1186" s="92" t="str">
        <f t="shared" si="90"/>
        <v>Gil Fabra,Ricardo</v>
      </c>
      <c r="X1186" s="95">
        <f t="shared" si="91"/>
        <v>3</v>
      </c>
      <c r="Y1186" s="95">
        <f t="shared" si="92"/>
        <v>2022</v>
      </c>
      <c r="Z1186" s="103" t="s">
        <v>265</v>
      </c>
      <c r="AA1186" t="str">
        <f>IF(Tabla1[[#This Row],[Kerma en aire acumulada (Gy)]]&gt;1,SUMIF(G:G,Tabla1[[#This Row],[SIP]],I:I)-Tabla1[[#This Row],[Kerma en aire acumulada (Gy)]],"")</f>
        <v/>
      </c>
    </row>
    <row r="1187" spans="3:27">
      <c r="C1187" s="147" t="s">
        <v>1088</v>
      </c>
      <c r="D1187" s="134" t="s">
        <v>1248</v>
      </c>
      <c r="E1187" s="134" t="s">
        <v>1098</v>
      </c>
      <c r="F1187" s="134" t="s">
        <v>1010</v>
      </c>
      <c r="G1187" s="134">
        <v>1857814</v>
      </c>
      <c r="H1187" s="135">
        <v>44645</v>
      </c>
      <c r="I1187" s="134">
        <v>0.34584999999999999</v>
      </c>
      <c r="J1187" s="145"/>
      <c r="K1187" s="145"/>
      <c r="L1187" s="145"/>
      <c r="M1187" s="145"/>
      <c r="N1187" s="145"/>
      <c r="O1187" s="145"/>
      <c r="P1187" s="145"/>
      <c r="Q1187" s="145"/>
      <c r="R1187" s="145"/>
      <c r="S1187" s="145"/>
      <c r="T1187" s="135">
        <v>16837</v>
      </c>
      <c r="U1187" s="145"/>
      <c r="V1187" s="134" t="s">
        <v>1653</v>
      </c>
      <c r="W1187" s="92" t="str">
        <f t="shared" ref="W1187:W1250" si="93">CONCATENATE(D1187,$A$591,E1187,",",F1187)</f>
        <v>Marti Moya,Bautista</v>
      </c>
      <c r="X1187" s="95">
        <f t="shared" si="91"/>
        <v>3</v>
      </c>
      <c r="Y1187" s="95">
        <f t="shared" si="92"/>
        <v>2022</v>
      </c>
      <c r="Z1187" s="103" t="s">
        <v>265</v>
      </c>
      <c r="AA1187" t="str">
        <f>IF(Tabla1[[#This Row],[Kerma en aire acumulada (Gy)]]&gt;1,SUMIF(G:G,Tabla1[[#This Row],[SIP]],I:I)-Tabla1[[#This Row],[Kerma en aire acumulada (Gy)]],"")</f>
        <v/>
      </c>
    </row>
    <row r="1188" spans="3:27">
      <c r="C1188" s="147" t="s">
        <v>1088</v>
      </c>
      <c r="D1188" s="134" t="s">
        <v>2350</v>
      </c>
      <c r="E1188" s="134" t="s">
        <v>365</v>
      </c>
      <c r="F1188" s="134" t="s">
        <v>786</v>
      </c>
      <c r="G1188" s="134">
        <v>1199265</v>
      </c>
      <c r="H1188" s="135">
        <v>44645</v>
      </c>
      <c r="I1188" s="134">
        <v>3.8999999999999998E-3</v>
      </c>
      <c r="J1188" s="145"/>
      <c r="K1188" s="145"/>
      <c r="L1188" s="145"/>
      <c r="M1188" s="145"/>
      <c r="N1188" s="145"/>
      <c r="O1188" s="145"/>
      <c r="P1188" s="145"/>
      <c r="Q1188" s="145"/>
      <c r="R1188" s="145"/>
      <c r="S1188" s="145"/>
      <c r="T1188" s="135">
        <v>21638</v>
      </c>
      <c r="U1188" s="145"/>
      <c r="V1188" s="134" t="s">
        <v>2335</v>
      </c>
      <c r="W1188" s="92" t="str">
        <f t="shared" si="93"/>
        <v>Carretero Collado,Maria Carmen</v>
      </c>
      <c r="X1188" s="95">
        <f t="shared" si="91"/>
        <v>3</v>
      </c>
      <c r="Y1188" s="95">
        <f t="shared" si="92"/>
        <v>2022</v>
      </c>
      <c r="Z1188" s="103" t="s">
        <v>265</v>
      </c>
      <c r="AA1188" t="str">
        <f>IF(Tabla1[[#This Row],[Kerma en aire acumulada (Gy)]]&gt;1,SUMIF(G:G,Tabla1[[#This Row],[SIP]],I:I)-Tabla1[[#This Row],[Kerma en aire acumulada (Gy)]],"")</f>
        <v/>
      </c>
    </row>
    <row r="1189" spans="3:27">
      <c r="C1189" s="147" t="s">
        <v>1088</v>
      </c>
      <c r="D1189" s="134" t="s">
        <v>2351</v>
      </c>
      <c r="E1189" s="134"/>
      <c r="F1189" s="134" t="s">
        <v>2352</v>
      </c>
      <c r="G1189" s="134">
        <v>5551933</v>
      </c>
      <c r="H1189" s="135">
        <v>44645</v>
      </c>
      <c r="I1189" s="134">
        <v>1.6920000000000001E-2</v>
      </c>
      <c r="J1189" s="145"/>
      <c r="K1189" s="145"/>
      <c r="L1189" s="145"/>
      <c r="M1189" s="145"/>
      <c r="N1189" s="145"/>
      <c r="O1189" s="145"/>
      <c r="P1189" s="145"/>
      <c r="Q1189" s="145"/>
      <c r="R1189" s="145"/>
      <c r="S1189" s="145"/>
      <c r="T1189" s="135">
        <v>29121</v>
      </c>
      <c r="U1189" s="145"/>
      <c r="V1189" s="134" t="s">
        <v>2079</v>
      </c>
      <c r="W1189" s="92" t="str">
        <f t="shared" si="93"/>
        <v>Sierchio ,Ronald</v>
      </c>
      <c r="X1189" s="95">
        <f t="shared" si="91"/>
        <v>3</v>
      </c>
      <c r="Y1189" s="95">
        <f t="shared" si="92"/>
        <v>2022</v>
      </c>
      <c r="Z1189" s="103" t="s">
        <v>265</v>
      </c>
      <c r="AA1189" t="str">
        <f>IF(Tabla1[[#This Row],[Kerma en aire acumulada (Gy)]]&gt;1,SUMIF(G:G,Tabla1[[#This Row],[SIP]],I:I)-Tabla1[[#This Row],[Kerma en aire acumulada (Gy)]],"")</f>
        <v/>
      </c>
    </row>
    <row r="1190" spans="3:27">
      <c r="C1190" s="147" t="s">
        <v>1088</v>
      </c>
      <c r="D1190" s="134" t="s">
        <v>130</v>
      </c>
      <c r="E1190" s="134" t="s">
        <v>2363</v>
      </c>
      <c r="F1190" s="134" t="s">
        <v>2364</v>
      </c>
      <c r="G1190" s="134">
        <v>12455085</v>
      </c>
      <c r="H1190" s="135">
        <v>44645</v>
      </c>
      <c r="I1190" s="134">
        <v>9.0870000000000006E-2</v>
      </c>
      <c r="J1190" s="145"/>
      <c r="K1190" s="145"/>
      <c r="L1190" s="145"/>
      <c r="M1190" s="145"/>
      <c r="N1190" s="145"/>
      <c r="O1190" s="145"/>
      <c r="P1190" s="145"/>
      <c r="Q1190" s="145"/>
      <c r="R1190" s="145"/>
      <c r="S1190" s="145"/>
      <c r="T1190" s="135">
        <v>18138</v>
      </c>
      <c r="U1190" s="145"/>
      <c r="V1190" s="134" t="s">
        <v>563</v>
      </c>
      <c r="W1190" s="92" t="str">
        <f t="shared" si="93"/>
        <v>Hernández Venegas,Rosa Bonifacia</v>
      </c>
      <c r="X1190" s="95">
        <f t="shared" si="91"/>
        <v>3</v>
      </c>
      <c r="Y1190" s="95">
        <f t="shared" si="92"/>
        <v>2022</v>
      </c>
      <c r="Z1190" s="136" t="s">
        <v>266</v>
      </c>
      <c r="AA1190" t="str">
        <f>IF(Tabla1[[#This Row],[Kerma en aire acumulada (Gy)]]&gt;1,SUMIF(G:G,Tabla1[[#This Row],[SIP]],I:I)-Tabla1[[#This Row],[Kerma en aire acumulada (Gy)]],"")</f>
        <v/>
      </c>
    </row>
    <row r="1191" spans="3:27">
      <c r="C1191" s="147" t="s">
        <v>1088</v>
      </c>
      <c r="D1191" s="134" t="s">
        <v>1250</v>
      </c>
      <c r="E1191" s="134" t="s">
        <v>2365</v>
      </c>
      <c r="F1191" s="134" t="s">
        <v>715</v>
      </c>
      <c r="G1191" s="134">
        <v>4689580</v>
      </c>
      <c r="H1191" s="135">
        <v>44645</v>
      </c>
      <c r="I1191" s="134">
        <v>0.13824</v>
      </c>
      <c r="J1191" s="145"/>
      <c r="K1191" s="145"/>
      <c r="L1191" s="145"/>
      <c r="M1191" s="145"/>
      <c r="N1191" s="145"/>
      <c r="O1191" s="145"/>
      <c r="P1191" s="145"/>
      <c r="Q1191" s="145"/>
      <c r="R1191" s="145"/>
      <c r="S1191" s="145"/>
      <c r="T1191" s="135">
        <v>13002</v>
      </c>
      <c r="U1191" s="145"/>
      <c r="V1191" s="134" t="s">
        <v>563</v>
      </c>
      <c r="W1191" s="92" t="str">
        <f t="shared" si="93"/>
        <v>Marques Ricos,Amparo</v>
      </c>
      <c r="X1191" s="95">
        <f t="shared" si="91"/>
        <v>3</v>
      </c>
      <c r="Y1191" s="95">
        <f t="shared" si="92"/>
        <v>2022</v>
      </c>
      <c r="Z1191" s="136" t="s">
        <v>266</v>
      </c>
      <c r="AA1191" t="str">
        <f>IF(Tabla1[[#This Row],[Kerma en aire acumulada (Gy)]]&gt;1,SUMIF(G:G,Tabla1[[#This Row],[SIP]],I:I)-Tabla1[[#This Row],[Kerma en aire acumulada (Gy)]],"")</f>
        <v/>
      </c>
    </row>
    <row r="1192" spans="3:27">
      <c r="C1192" s="147" t="s">
        <v>1088</v>
      </c>
      <c r="D1192" s="134" t="s">
        <v>2366</v>
      </c>
      <c r="E1192" s="134" t="s">
        <v>2367</v>
      </c>
      <c r="F1192" s="134" t="s">
        <v>1254</v>
      </c>
      <c r="G1192" s="134">
        <v>1180987</v>
      </c>
      <c r="H1192" s="135">
        <v>44645</v>
      </c>
      <c r="I1192" s="134">
        <v>0.27583999999999997</v>
      </c>
      <c r="J1192" s="145"/>
      <c r="K1192" s="145"/>
      <c r="L1192" s="145"/>
      <c r="M1192" s="145"/>
      <c r="N1192" s="145"/>
      <c r="O1192" s="145"/>
      <c r="P1192" s="145"/>
      <c r="Q1192" s="145"/>
      <c r="R1192" s="145"/>
      <c r="S1192" s="145"/>
      <c r="T1192" s="135">
        <v>20610</v>
      </c>
      <c r="U1192" s="145"/>
      <c r="V1192" s="134" t="s">
        <v>563</v>
      </c>
      <c r="W1192" s="92" t="str">
        <f t="shared" si="93"/>
        <v>Gimeno San Andres,Elena</v>
      </c>
      <c r="X1192" s="95">
        <f t="shared" si="91"/>
        <v>3</v>
      </c>
      <c r="Y1192" s="95">
        <f t="shared" si="92"/>
        <v>2022</v>
      </c>
      <c r="Z1192" s="136" t="s">
        <v>266</v>
      </c>
      <c r="AA1192" t="str">
        <f>IF(Tabla1[[#This Row],[Kerma en aire acumulada (Gy)]]&gt;1,SUMIF(G:G,Tabla1[[#This Row],[SIP]],I:I)-Tabla1[[#This Row],[Kerma en aire acumulada (Gy)]],"")</f>
        <v/>
      </c>
    </row>
    <row r="1193" spans="3:27">
      <c r="C1193" s="147" t="s">
        <v>1088</v>
      </c>
      <c r="D1193" s="134" t="s">
        <v>948</v>
      </c>
      <c r="E1193" s="134" t="s">
        <v>948</v>
      </c>
      <c r="F1193" s="134" t="s">
        <v>2397</v>
      </c>
      <c r="G1193" s="134">
        <v>2484142</v>
      </c>
      <c r="H1193" s="135">
        <v>44645</v>
      </c>
      <c r="I1193" s="134">
        <v>0.84341999999999995</v>
      </c>
      <c r="J1193" s="145"/>
      <c r="K1193" s="145"/>
      <c r="L1193" s="145"/>
      <c r="M1193" s="145"/>
      <c r="N1193" s="145"/>
      <c r="O1193" s="145"/>
      <c r="P1193" s="145"/>
      <c r="Q1193" s="145"/>
      <c r="R1193" s="145"/>
      <c r="S1193" s="145"/>
      <c r="T1193" s="135">
        <v>19644</v>
      </c>
      <c r="U1193" s="145"/>
      <c r="V1193" s="134" t="s">
        <v>2383</v>
      </c>
      <c r="W1193" s="92" t="str">
        <f t="shared" si="93"/>
        <v>Martinez Martinez,Jose Juan</v>
      </c>
      <c r="X1193" s="95">
        <f t="shared" si="91"/>
        <v>3</v>
      </c>
      <c r="Y1193" s="95">
        <f t="shared" si="92"/>
        <v>2022</v>
      </c>
      <c r="Z1193" s="136" t="s">
        <v>266</v>
      </c>
      <c r="AA1193" t="str">
        <f>IF(Tabla1[[#This Row],[Kerma en aire acumulada (Gy)]]&gt;1,SUMIF(G:G,Tabla1[[#This Row],[SIP]],I:I)-Tabla1[[#This Row],[Kerma en aire acumulada (Gy)]],"")</f>
        <v/>
      </c>
    </row>
    <row r="1194" spans="3:27">
      <c r="C1194" s="147" t="s">
        <v>1088</v>
      </c>
      <c r="D1194" s="134" t="s">
        <v>948</v>
      </c>
      <c r="E1194" s="134" t="s">
        <v>2143</v>
      </c>
      <c r="F1194" s="134" t="s">
        <v>83</v>
      </c>
      <c r="G1194" s="134">
        <v>3368167</v>
      </c>
      <c r="H1194" s="135">
        <v>44645</v>
      </c>
      <c r="I1194" s="134">
        <v>4.4466700000000001</v>
      </c>
      <c r="J1194" s="145"/>
      <c r="K1194" s="145"/>
      <c r="L1194" s="145"/>
      <c r="M1194" s="145"/>
      <c r="N1194" s="145"/>
      <c r="O1194" s="145"/>
      <c r="P1194" s="145"/>
      <c r="Q1194" s="145"/>
      <c r="R1194" s="145"/>
      <c r="S1194" s="145"/>
      <c r="T1194" s="135">
        <v>24280</v>
      </c>
      <c r="U1194" s="145"/>
      <c r="V1194" s="134" t="s">
        <v>2383</v>
      </c>
      <c r="W1194" s="92" t="str">
        <f t="shared" si="93"/>
        <v>Martinez Dominguez,Francisco</v>
      </c>
      <c r="X1194" s="95">
        <f t="shared" si="91"/>
        <v>3</v>
      </c>
      <c r="Y1194" s="95">
        <f t="shared" si="92"/>
        <v>2022</v>
      </c>
      <c r="Z1194" s="136" t="s">
        <v>266</v>
      </c>
      <c r="AA1194">
        <f>IF(Tabla1[[#This Row],[Kerma en aire acumulada (Gy)]]&gt;1,SUMIF(G:G,Tabla1[[#This Row],[SIP]],I:I)-Tabla1[[#This Row],[Kerma en aire acumulada (Gy)]],"")</f>
        <v>0</v>
      </c>
    </row>
    <row r="1195" spans="3:27">
      <c r="C1195" s="147" t="s">
        <v>1088</v>
      </c>
      <c r="D1195" s="134" t="s">
        <v>15</v>
      </c>
      <c r="E1195" s="134" t="s">
        <v>2402</v>
      </c>
      <c r="F1195" s="134" t="s">
        <v>131</v>
      </c>
      <c r="G1195" s="134">
        <v>2301796</v>
      </c>
      <c r="H1195" s="135">
        <v>44645</v>
      </c>
      <c r="I1195" s="134">
        <v>2.6981899999999999</v>
      </c>
      <c r="J1195" s="145"/>
      <c r="K1195" s="145"/>
      <c r="L1195" s="145"/>
      <c r="M1195" s="145"/>
      <c r="N1195" s="145"/>
      <c r="O1195" s="145"/>
      <c r="P1195" s="145"/>
      <c r="Q1195" s="145"/>
      <c r="R1195" s="145"/>
      <c r="S1195" s="145"/>
      <c r="T1195" s="135">
        <v>21447</v>
      </c>
      <c r="U1195" s="145"/>
      <c r="V1195" s="134" t="s">
        <v>2383</v>
      </c>
      <c r="W1195" s="92" t="str">
        <f t="shared" si="93"/>
        <v>Moreno Alandes,Salvador</v>
      </c>
      <c r="X1195" s="95">
        <f t="shared" si="91"/>
        <v>3</v>
      </c>
      <c r="Y1195" s="95">
        <f t="shared" si="92"/>
        <v>2022</v>
      </c>
      <c r="Z1195" s="136" t="s">
        <v>266</v>
      </c>
      <c r="AA1195">
        <f>IF(Tabla1[[#This Row],[Kerma en aire acumulada (Gy)]]&gt;1,SUMIF(G:G,Tabla1[[#This Row],[SIP]],I:I)-Tabla1[[#This Row],[Kerma en aire acumulada (Gy)]],"")</f>
        <v>0</v>
      </c>
    </row>
    <row r="1196" spans="3:27">
      <c r="C1196" s="147" t="s">
        <v>1088</v>
      </c>
      <c r="D1196" s="134" t="s">
        <v>1001</v>
      </c>
      <c r="E1196" s="134" t="s">
        <v>129</v>
      </c>
      <c r="F1196" s="134" t="s">
        <v>2349</v>
      </c>
      <c r="G1196" s="134">
        <v>2855318</v>
      </c>
      <c r="H1196" s="135">
        <v>44646</v>
      </c>
      <c r="I1196" s="134">
        <v>5.7389999999999997E-2</v>
      </c>
      <c r="J1196" s="145"/>
      <c r="K1196" s="145"/>
      <c r="L1196" s="145"/>
      <c r="M1196" s="145"/>
      <c r="N1196" s="145"/>
      <c r="O1196" s="145"/>
      <c r="P1196" s="145"/>
      <c r="Q1196" s="145"/>
      <c r="R1196" s="145"/>
      <c r="S1196" s="145"/>
      <c r="T1196" s="135">
        <v>20886</v>
      </c>
      <c r="U1196" s="145"/>
      <c r="V1196" s="134" t="s">
        <v>1653</v>
      </c>
      <c r="W1196" s="92" t="str">
        <f t="shared" si="93"/>
        <v>Perez Gallego,Maximino</v>
      </c>
      <c r="X1196" s="95">
        <f t="shared" si="91"/>
        <v>3</v>
      </c>
      <c r="Y1196" s="95">
        <f t="shared" si="92"/>
        <v>2022</v>
      </c>
      <c r="Z1196" s="103" t="s">
        <v>265</v>
      </c>
      <c r="AA1196" t="str">
        <f>IF(Tabla1[[#This Row],[Kerma en aire acumulada (Gy)]]&gt;1,SUMIF(G:G,Tabla1[[#This Row],[SIP]],I:I)-Tabla1[[#This Row],[Kerma en aire acumulada (Gy)]],"")</f>
        <v/>
      </c>
    </row>
    <row r="1197" spans="3:27">
      <c r="C1197" s="147" t="s">
        <v>1088</v>
      </c>
      <c r="D1197" s="134" t="s">
        <v>915</v>
      </c>
      <c r="E1197" s="134" t="s">
        <v>1060</v>
      </c>
      <c r="F1197" s="134" t="s">
        <v>1104</v>
      </c>
      <c r="G1197" s="134">
        <v>2282465</v>
      </c>
      <c r="H1197" s="135">
        <v>44646</v>
      </c>
      <c r="I1197" s="134">
        <v>0.39363999999999999</v>
      </c>
      <c r="J1197" s="145"/>
      <c r="K1197" s="145"/>
      <c r="L1197" s="145"/>
      <c r="M1197" s="145"/>
      <c r="N1197" s="145"/>
      <c r="O1197" s="145"/>
      <c r="P1197" s="145"/>
      <c r="Q1197" s="145"/>
      <c r="R1197" s="145"/>
      <c r="S1197" s="145"/>
      <c r="T1197" s="135">
        <v>18098</v>
      </c>
      <c r="U1197" s="145"/>
      <c r="V1197" s="134" t="s">
        <v>2383</v>
      </c>
      <c r="W1197" s="92" t="str">
        <f t="shared" si="93"/>
        <v>Gimenez Rubio,Jose Luis</v>
      </c>
      <c r="X1197" s="95">
        <f t="shared" si="91"/>
        <v>3</v>
      </c>
      <c r="Y1197" s="95">
        <f t="shared" si="92"/>
        <v>2022</v>
      </c>
      <c r="Z1197" s="136" t="s">
        <v>266</v>
      </c>
      <c r="AA1197" t="str">
        <f>IF(Tabla1[[#This Row],[Kerma en aire acumulada (Gy)]]&gt;1,SUMIF(G:G,Tabla1[[#This Row],[SIP]],I:I)-Tabla1[[#This Row],[Kerma en aire acumulada (Gy)]],"")</f>
        <v/>
      </c>
    </row>
    <row r="1198" spans="3:27">
      <c r="C1198" s="147" t="s">
        <v>1088</v>
      </c>
      <c r="D1198" s="134" t="s">
        <v>2395</v>
      </c>
      <c r="E1198" s="134" t="s">
        <v>2396</v>
      </c>
      <c r="F1198" s="134" t="s">
        <v>83</v>
      </c>
      <c r="G1198" s="134">
        <v>283654</v>
      </c>
      <c r="H1198" s="135">
        <v>44646</v>
      </c>
      <c r="I1198" s="134">
        <v>0.56613999999999998</v>
      </c>
      <c r="J1198" s="145"/>
      <c r="K1198" s="145"/>
      <c r="L1198" s="145"/>
      <c r="M1198" s="145"/>
      <c r="N1198" s="145"/>
      <c r="O1198" s="145"/>
      <c r="P1198" s="145"/>
      <c r="Q1198" s="145"/>
      <c r="R1198" s="145"/>
      <c r="S1198" s="145"/>
      <c r="T1198" s="135">
        <v>14629</v>
      </c>
      <c r="U1198" s="145"/>
      <c r="V1198" s="134" t="s">
        <v>2383</v>
      </c>
      <c r="W1198" s="92" t="str">
        <f t="shared" si="93"/>
        <v>Ferrairo Signes,Francisco</v>
      </c>
      <c r="X1198" s="95">
        <f t="shared" si="91"/>
        <v>3</v>
      </c>
      <c r="Y1198" s="95">
        <f t="shared" si="92"/>
        <v>2022</v>
      </c>
      <c r="Z1198" s="136" t="s">
        <v>266</v>
      </c>
      <c r="AA1198" t="str">
        <f>IF(Tabla1[[#This Row],[Kerma en aire acumulada (Gy)]]&gt;1,SUMIF(G:G,Tabla1[[#This Row],[SIP]],I:I)-Tabla1[[#This Row],[Kerma en aire acumulada (Gy)]],"")</f>
        <v/>
      </c>
    </row>
    <row r="1199" spans="3:27">
      <c r="C1199" s="147" t="s">
        <v>1088</v>
      </c>
      <c r="D1199" s="134" t="s">
        <v>1220</v>
      </c>
      <c r="E1199" s="134" t="s">
        <v>2347</v>
      </c>
      <c r="F1199" s="134" t="s">
        <v>2348</v>
      </c>
      <c r="G1199" s="134">
        <v>2526874</v>
      </c>
      <c r="H1199" s="135">
        <v>44647</v>
      </c>
      <c r="I1199" s="134">
        <v>1.71343</v>
      </c>
      <c r="J1199" s="145"/>
      <c r="K1199" s="145"/>
      <c r="L1199" s="145"/>
      <c r="M1199" s="145"/>
      <c r="N1199" s="145"/>
      <c r="O1199" s="145"/>
      <c r="P1199" s="145"/>
      <c r="Q1199" s="145"/>
      <c r="R1199" s="145"/>
      <c r="S1199" s="145"/>
      <c r="T1199" s="135">
        <v>19850</v>
      </c>
      <c r="U1199" s="145"/>
      <c r="V1199" s="134" t="s">
        <v>2144</v>
      </c>
      <c r="W1199" s="92" t="str">
        <f t="shared" si="93"/>
        <v>Iglesias Colon,Valentin</v>
      </c>
      <c r="X1199" s="95">
        <f t="shared" si="91"/>
        <v>3</v>
      </c>
      <c r="Y1199" s="95">
        <f t="shared" si="92"/>
        <v>2022</v>
      </c>
      <c r="Z1199" s="103" t="s">
        <v>265</v>
      </c>
      <c r="AA1199">
        <f>IF(Tabla1[[#This Row],[Kerma en aire acumulada (Gy)]]&gt;1,SUMIF(G:G,Tabla1[[#This Row],[SIP]],I:I)-Tabla1[[#This Row],[Kerma en aire acumulada (Gy)]],"")</f>
        <v>0</v>
      </c>
    </row>
    <row r="1200" spans="3:27">
      <c r="C1200" s="147" t="s">
        <v>1088</v>
      </c>
      <c r="D1200" s="134" t="s">
        <v>2391</v>
      </c>
      <c r="E1200" s="134" t="s">
        <v>307</v>
      </c>
      <c r="F1200" s="134" t="s">
        <v>2392</v>
      </c>
      <c r="G1200" s="134">
        <v>174739</v>
      </c>
      <c r="H1200" s="135">
        <v>44647</v>
      </c>
      <c r="I1200" s="134">
        <v>0.18768000000000001</v>
      </c>
      <c r="J1200" s="145"/>
      <c r="K1200" s="145"/>
      <c r="L1200" s="145"/>
      <c r="M1200" s="145"/>
      <c r="N1200" s="145"/>
      <c r="O1200" s="145"/>
      <c r="P1200" s="145"/>
      <c r="Q1200" s="145"/>
      <c r="R1200" s="145"/>
      <c r="S1200" s="145"/>
      <c r="T1200" s="135">
        <v>20344</v>
      </c>
      <c r="U1200" s="145"/>
      <c r="V1200" s="134" t="s">
        <v>2383</v>
      </c>
      <c r="W1200" s="92" t="str">
        <f t="shared" si="93"/>
        <v>Cabanilles Vercher,Juana M</v>
      </c>
      <c r="X1200" s="95">
        <f t="shared" si="91"/>
        <v>3</v>
      </c>
      <c r="Y1200" s="95">
        <f t="shared" si="92"/>
        <v>2022</v>
      </c>
      <c r="Z1200" s="136" t="s">
        <v>266</v>
      </c>
      <c r="AA1200" t="str">
        <f>IF(Tabla1[[#This Row],[Kerma en aire acumulada (Gy)]]&gt;1,SUMIF(G:G,Tabla1[[#This Row],[SIP]],I:I)-Tabla1[[#This Row],[Kerma en aire acumulada (Gy)]],"")</f>
        <v/>
      </c>
    </row>
    <row r="1201" spans="3:27">
      <c r="C1201" s="147" t="s">
        <v>1088</v>
      </c>
      <c r="D1201" s="134" t="s">
        <v>2393</v>
      </c>
      <c r="E1201" s="134" t="s">
        <v>2394</v>
      </c>
      <c r="F1201" s="134" t="s">
        <v>635</v>
      </c>
      <c r="G1201" s="134">
        <v>5184143</v>
      </c>
      <c r="H1201" s="135">
        <v>44647</v>
      </c>
      <c r="I1201" s="134">
        <v>0.33716000000000002</v>
      </c>
      <c r="J1201" s="145"/>
      <c r="K1201" s="145"/>
      <c r="L1201" s="145"/>
      <c r="M1201" s="145"/>
      <c r="N1201" s="145"/>
      <c r="O1201" s="145"/>
      <c r="P1201" s="145"/>
      <c r="Q1201" s="145"/>
      <c r="R1201" s="145"/>
      <c r="S1201" s="145"/>
      <c r="T1201" s="135">
        <v>18155</v>
      </c>
      <c r="U1201" s="145"/>
      <c r="V1201" s="134" t="s">
        <v>2383</v>
      </c>
      <c r="W1201" s="92" t="str">
        <f t="shared" si="93"/>
        <v>Castellanos Varela,Enrique</v>
      </c>
      <c r="X1201" s="95">
        <f t="shared" si="91"/>
        <v>3</v>
      </c>
      <c r="Y1201" s="95">
        <f t="shared" si="92"/>
        <v>2022</v>
      </c>
      <c r="Z1201" s="136" t="s">
        <v>266</v>
      </c>
      <c r="AA1201" t="str">
        <f>IF(Tabla1[[#This Row],[Kerma en aire acumulada (Gy)]]&gt;1,SUMIF(G:G,Tabla1[[#This Row],[SIP]],I:I)-Tabla1[[#This Row],[Kerma en aire acumulada (Gy)]],"")</f>
        <v/>
      </c>
    </row>
    <row r="1202" spans="3:27">
      <c r="C1202" s="147" t="s">
        <v>1088</v>
      </c>
      <c r="D1202" s="134" t="s">
        <v>2332</v>
      </c>
      <c r="E1202" s="134" t="s">
        <v>1294</v>
      </c>
      <c r="F1202" s="134" t="s">
        <v>562</v>
      </c>
      <c r="G1202" s="134">
        <v>3371866</v>
      </c>
      <c r="H1202" s="135">
        <v>44648</v>
      </c>
      <c r="I1202" s="134">
        <v>0.20236000000000001</v>
      </c>
      <c r="J1202" s="145"/>
      <c r="K1202" s="145"/>
      <c r="L1202" s="145"/>
      <c r="M1202" s="145"/>
      <c r="N1202" s="145"/>
      <c r="O1202" s="145"/>
      <c r="P1202" s="145"/>
      <c r="Q1202" s="145"/>
      <c r="R1202" s="145"/>
      <c r="S1202" s="145"/>
      <c r="T1202" s="135">
        <v>16773</v>
      </c>
      <c r="U1202" s="145"/>
      <c r="V1202" s="134" t="s">
        <v>128</v>
      </c>
      <c r="W1202" s="92" t="str">
        <f t="shared" si="93"/>
        <v>Albiach Roca,Rosa</v>
      </c>
      <c r="X1202" s="95">
        <f t="shared" si="91"/>
        <v>3</v>
      </c>
      <c r="Y1202" s="95">
        <f t="shared" si="92"/>
        <v>2022</v>
      </c>
      <c r="Z1202" s="103" t="s">
        <v>265</v>
      </c>
      <c r="AA1202" t="str">
        <f>IF(Tabla1[[#This Row],[Kerma en aire acumulada (Gy)]]&gt;1,SUMIF(G:G,Tabla1[[#This Row],[SIP]],I:I)-Tabla1[[#This Row],[Kerma en aire acumulada (Gy)]],"")</f>
        <v/>
      </c>
    </row>
    <row r="1203" spans="3:27">
      <c r="C1203" s="147" t="s">
        <v>1088</v>
      </c>
      <c r="D1203" s="134" t="s">
        <v>634</v>
      </c>
      <c r="E1203" s="134" t="s">
        <v>944</v>
      </c>
      <c r="F1203" s="134" t="s">
        <v>2333</v>
      </c>
      <c r="G1203" s="134">
        <v>5060114</v>
      </c>
      <c r="H1203" s="135">
        <v>44648</v>
      </c>
      <c r="I1203" s="134">
        <v>3.8760000000000003E-2</v>
      </c>
      <c r="J1203" s="145"/>
      <c r="K1203" s="145"/>
      <c r="L1203" s="145"/>
      <c r="M1203" s="145"/>
      <c r="N1203" s="145"/>
      <c r="O1203" s="145"/>
      <c r="P1203" s="145"/>
      <c r="Q1203" s="145"/>
      <c r="R1203" s="145"/>
      <c r="S1203" s="145"/>
      <c r="T1203" s="135">
        <v>37453</v>
      </c>
      <c r="U1203" s="145"/>
      <c r="V1203" s="134" t="s">
        <v>1643</v>
      </c>
      <c r="W1203" s="92" t="str">
        <f t="shared" si="93"/>
        <v>Gil Peris,Candela</v>
      </c>
      <c r="X1203" s="95">
        <f t="shared" si="91"/>
        <v>3</v>
      </c>
      <c r="Y1203" s="95">
        <f t="shared" si="92"/>
        <v>2022</v>
      </c>
      <c r="Z1203" s="103" t="s">
        <v>265</v>
      </c>
      <c r="AA1203" t="str">
        <f>IF(Tabla1[[#This Row],[Kerma en aire acumulada (Gy)]]&gt;1,SUMIF(G:G,Tabla1[[#This Row],[SIP]],I:I)-Tabla1[[#This Row],[Kerma en aire acumulada (Gy)]],"")</f>
        <v/>
      </c>
    </row>
    <row r="1204" spans="3:27">
      <c r="C1204" s="147" t="s">
        <v>1088</v>
      </c>
      <c r="D1204" s="134" t="s">
        <v>2345</v>
      </c>
      <c r="E1204" s="134" t="s">
        <v>1167</v>
      </c>
      <c r="F1204" s="134" t="s">
        <v>88</v>
      </c>
      <c r="G1204" s="134">
        <v>3168509</v>
      </c>
      <c r="H1204" s="135">
        <v>44648</v>
      </c>
      <c r="I1204" s="134">
        <v>4.4099999999999999E-3</v>
      </c>
      <c r="J1204" s="145"/>
      <c r="K1204" s="145"/>
      <c r="L1204" s="145"/>
      <c r="M1204" s="145"/>
      <c r="N1204" s="145"/>
      <c r="O1204" s="145"/>
      <c r="P1204" s="145"/>
      <c r="Q1204" s="145"/>
      <c r="R1204" s="145"/>
      <c r="S1204" s="145"/>
      <c r="T1204" s="135">
        <v>14047</v>
      </c>
      <c r="U1204" s="145"/>
      <c r="V1204" s="134" t="s">
        <v>1274</v>
      </c>
      <c r="W1204" s="92" t="str">
        <f t="shared" si="93"/>
        <v>Moliner Bernat,Vicente</v>
      </c>
      <c r="X1204" s="95">
        <f t="shared" si="91"/>
        <v>3</v>
      </c>
      <c r="Y1204" s="95">
        <f t="shared" si="92"/>
        <v>2022</v>
      </c>
      <c r="Z1204" s="103" t="s">
        <v>265</v>
      </c>
      <c r="AA1204" t="str">
        <f>IF(Tabla1[[#This Row],[Kerma en aire acumulada (Gy)]]&gt;1,SUMIF(G:G,Tabla1[[#This Row],[SIP]],I:I)-Tabla1[[#This Row],[Kerma en aire acumulada (Gy)]],"")</f>
        <v/>
      </c>
    </row>
    <row r="1205" spans="3:27">
      <c r="C1205" s="147" t="s">
        <v>1088</v>
      </c>
      <c r="D1205" s="134" t="s">
        <v>1186</v>
      </c>
      <c r="E1205" s="134" t="s">
        <v>960</v>
      </c>
      <c r="F1205" s="134" t="s">
        <v>1254</v>
      </c>
      <c r="G1205" s="134">
        <v>3363660</v>
      </c>
      <c r="H1205" s="135">
        <v>44648</v>
      </c>
      <c r="I1205" s="134">
        <v>1.5810000000000001E-2</v>
      </c>
      <c r="J1205" s="145"/>
      <c r="K1205" s="145"/>
      <c r="L1205" s="145"/>
      <c r="M1205" s="145"/>
      <c r="N1205" s="145"/>
      <c r="O1205" s="145"/>
      <c r="P1205" s="145"/>
      <c r="Q1205" s="145"/>
      <c r="R1205" s="145"/>
      <c r="S1205" s="145"/>
      <c r="T1205" s="135">
        <v>16995</v>
      </c>
      <c r="U1205" s="145"/>
      <c r="V1205" s="134" t="s">
        <v>2346</v>
      </c>
      <c r="W1205" s="92" t="str">
        <f t="shared" si="93"/>
        <v>Montero Lopez,Elena</v>
      </c>
      <c r="X1205" s="95">
        <f t="shared" si="91"/>
        <v>3</v>
      </c>
      <c r="Y1205" s="95">
        <f t="shared" si="92"/>
        <v>2022</v>
      </c>
      <c r="Z1205" s="103" t="s">
        <v>265</v>
      </c>
      <c r="AA1205" t="str">
        <f>IF(Tabla1[[#This Row],[Kerma en aire acumulada (Gy)]]&gt;1,SUMIF(G:G,Tabla1[[#This Row],[SIP]],I:I)-Tabla1[[#This Row],[Kerma en aire acumulada (Gy)]],"")</f>
        <v/>
      </c>
    </row>
    <row r="1206" spans="3:27">
      <c r="C1206" s="147" t="s">
        <v>1088</v>
      </c>
      <c r="D1206" s="134" t="s">
        <v>787</v>
      </c>
      <c r="E1206" s="134" t="s">
        <v>2089</v>
      </c>
      <c r="F1206" s="134" t="s">
        <v>2225</v>
      </c>
      <c r="G1206" s="134">
        <v>2531319</v>
      </c>
      <c r="H1206" s="135">
        <v>44648</v>
      </c>
      <c r="I1206" s="134">
        <v>0.60065000000000002</v>
      </c>
      <c r="J1206" s="145"/>
      <c r="K1206" s="145"/>
      <c r="L1206" s="145"/>
      <c r="M1206" s="145"/>
      <c r="N1206" s="145"/>
      <c r="O1206" s="145"/>
      <c r="P1206" s="145"/>
      <c r="Q1206" s="145"/>
      <c r="R1206" s="145"/>
      <c r="S1206" s="145"/>
      <c r="T1206" s="135">
        <v>23057</v>
      </c>
      <c r="U1206" s="145"/>
      <c r="V1206" s="134" t="s">
        <v>1233</v>
      </c>
      <c r="W1206" s="92" t="str">
        <f t="shared" si="93"/>
        <v>Bosch Fornas,Eduardo Jose</v>
      </c>
      <c r="X1206" s="95">
        <f t="shared" si="91"/>
        <v>3</v>
      </c>
      <c r="Y1206" s="95">
        <f t="shared" si="92"/>
        <v>2022</v>
      </c>
      <c r="Z1206" s="103" t="s">
        <v>265</v>
      </c>
      <c r="AA1206" t="str">
        <f>IF(Tabla1[[#This Row],[Kerma en aire acumulada (Gy)]]&gt;1,SUMIF(G:G,Tabla1[[#This Row],[SIP]],I:I)-Tabla1[[#This Row],[Kerma en aire acumulada (Gy)]],"")</f>
        <v/>
      </c>
    </row>
    <row r="1207" spans="3:27">
      <c r="C1207" s="147" t="s">
        <v>1088</v>
      </c>
      <c r="D1207" s="134" t="s">
        <v>2357</v>
      </c>
      <c r="E1207" s="134" t="s">
        <v>2358</v>
      </c>
      <c r="F1207" s="134" t="s">
        <v>1155</v>
      </c>
      <c r="G1207" s="134">
        <v>4667559</v>
      </c>
      <c r="H1207" s="135">
        <v>44648</v>
      </c>
      <c r="I1207" s="134">
        <v>9.0319999999999998E-2</v>
      </c>
      <c r="J1207" s="145"/>
      <c r="K1207" s="145"/>
      <c r="L1207" s="145"/>
      <c r="M1207" s="145"/>
      <c r="N1207" s="145"/>
      <c r="O1207" s="145"/>
      <c r="P1207" s="145"/>
      <c r="Q1207" s="145"/>
      <c r="R1207" s="145"/>
      <c r="S1207" s="145"/>
      <c r="T1207" s="135">
        <v>20859</v>
      </c>
      <c r="U1207" s="145"/>
      <c r="V1207" s="134" t="s">
        <v>563</v>
      </c>
      <c r="W1207" s="92" t="str">
        <f t="shared" si="93"/>
        <v>Garzon Salas,Maria</v>
      </c>
      <c r="X1207" s="95">
        <f t="shared" si="91"/>
        <v>3</v>
      </c>
      <c r="Y1207" s="95">
        <f t="shared" si="92"/>
        <v>2022</v>
      </c>
      <c r="Z1207" s="136" t="s">
        <v>266</v>
      </c>
      <c r="AA1207" t="str">
        <f>IF(Tabla1[[#This Row],[Kerma en aire acumulada (Gy)]]&gt;1,SUMIF(G:G,Tabla1[[#This Row],[SIP]],I:I)-Tabla1[[#This Row],[Kerma en aire acumulada (Gy)]],"")</f>
        <v/>
      </c>
    </row>
    <row r="1208" spans="3:27">
      <c r="C1208" s="147" t="s">
        <v>1088</v>
      </c>
      <c r="D1208" s="134" t="s">
        <v>1001</v>
      </c>
      <c r="E1208" s="134" t="s">
        <v>1968</v>
      </c>
      <c r="F1208" s="134" t="s">
        <v>54</v>
      </c>
      <c r="G1208" s="134">
        <v>7149576</v>
      </c>
      <c r="H1208" s="135">
        <v>44648</v>
      </c>
      <c r="I1208" s="134">
        <v>0.10664</v>
      </c>
      <c r="J1208" s="145"/>
      <c r="K1208" s="145"/>
      <c r="L1208" s="145"/>
      <c r="M1208" s="145"/>
      <c r="N1208" s="145"/>
      <c r="O1208" s="145"/>
      <c r="P1208" s="145"/>
      <c r="Q1208" s="145"/>
      <c r="R1208" s="145"/>
      <c r="S1208" s="145"/>
      <c r="T1208" s="135">
        <v>14730</v>
      </c>
      <c r="U1208" s="145"/>
      <c r="V1208" s="134" t="s">
        <v>563</v>
      </c>
      <c r="W1208" s="92" t="str">
        <f t="shared" si="93"/>
        <v>Perez Bermudez,Isabel</v>
      </c>
      <c r="X1208" s="95">
        <f t="shared" si="91"/>
        <v>3</v>
      </c>
      <c r="Y1208" s="95">
        <f t="shared" si="92"/>
        <v>2022</v>
      </c>
      <c r="Z1208" s="136" t="s">
        <v>266</v>
      </c>
      <c r="AA1208" t="str">
        <f>IF(Tabla1[[#This Row],[Kerma en aire acumulada (Gy)]]&gt;1,SUMIF(G:G,Tabla1[[#This Row],[SIP]],I:I)-Tabla1[[#This Row],[Kerma en aire acumulada (Gy)]],"")</f>
        <v/>
      </c>
    </row>
    <row r="1209" spans="3:27">
      <c r="C1209" s="147" t="s">
        <v>1088</v>
      </c>
      <c r="D1209" s="134" t="s">
        <v>2359</v>
      </c>
      <c r="E1209" s="134" t="s">
        <v>2360</v>
      </c>
      <c r="F1209" s="134" t="s">
        <v>1673</v>
      </c>
      <c r="G1209" s="134">
        <v>3191239</v>
      </c>
      <c r="H1209" s="135">
        <v>44648</v>
      </c>
      <c r="I1209" s="134">
        <v>0.14843000000000001</v>
      </c>
      <c r="J1209" s="145"/>
      <c r="K1209" s="145"/>
      <c r="L1209" s="145"/>
      <c r="M1209" s="145"/>
      <c r="N1209" s="145"/>
      <c r="O1209" s="145"/>
      <c r="P1209" s="145"/>
      <c r="Q1209" s="145"/>
      <c r="R1209" s="145"/>
      <c r="S1209" s="145"/>
      <c r="T1209" s="135">
        <v>17454</v>
      </c>
      <c r="U1209" s="145"/>
      <c r="V1209" s="134" t="s">
        <v>563</v>
      </c>
      <c r="W1209" s="92" t="str">
        <f t="shared" si="93"/>
        <v>Visier Vizarraga,Aurora</v>
      </c>
      <c r="X1209" s="95">
        <f t="shared" si="91"/>
        <v>3</v>
      </c>
      <c r="Y1209" s="95">
        <f t="shared" si="92"/>
        <v>2022</v>
      </c>
      <c r="Z1209" s="136" t="s">
        <v>266</v>
      </c>
      <c r="AA1209" t="str">
        <f>IF(Tabla1[[#This Row],[Kerma en aire acumulada (Gy)]]&gt;1,SUMIF(G:G,Tabla1[[#This Row],[SIP]],I:I)-Tabla1[[#This Row],[Kerma en aire acumulada (Gy)]],"")</f>
        <v/>
      </c>
    </row>
    <row r="1210" spans="3:27">
      <c r="C1210" s="147" t="s">
        <v>1088</v>
      </c>
      <c r="D1210" s="134" t="s">
        <v>1313</v>
      </c>
      <c r="E1210" s="134" t="s">
        <v>116</v>
      </c>
      <c r="F1210" s="134" t="s">
        <v>972</v>
      </c>
      <c r="G1210" s="134">
        <v>464250</v>
      </c>
      <c r="H1210" s="135">
        <v>44648</v>
      </c>
      <c r="I1210" s="134">
        <v>0.20458999999999999</v>
      </c>
      <c r="J1210" s="145"/>
      <c r="K1210" s="145"/>
      <c r="L1210" s="145"/>
      <c r="M1210" s="145"/>
      <c r="N1210" s="145"/>
      <c r="O1210" s="145"/>
      <c r="P1210" s="145"/>
      <c r="Q1210" s="145"/>
      <c r="R1210" s="145"/>
      <c r="S1210" s="145"/>
      <c r="T1210" s="135">
        <v>21277</v>
      </c>
      <c r="U1210" s="145"/>
      <c r="V1210" s="134" t="s">
        <v>563</v>
      </c>
      <c r="W1210" s="92" t="str">
        <f t="shared" si="93"/>
        <v>Belda Serrano,Josefina</v>
      </c>
      <c r="X1210" s="95">
        <f t="shared" si="91"/>
        <v>3</v>
      </c>
      <c r="Y1210" s="95">
        <f t="shared" si="92"/>
        <v>2022</v>
      </c>
      <c r="Z1210" s="136" t="s">
        <v>266</v>
      </c>
      <c r="AA1210" t="str">
        <f>IF(Tabla1[[#This Row],[Kerma en aire acumulada (Gy)]]&gt;1,SUMIF(G:G,Tabla1[[#This Row],[SIP]],I:I)-Tabla1[[#This Row],[Kerma en aire acumulada (Gy)]],"")</f>
        <v/>
      </c>
    </row>
    <row r="1211" spans="3:27">
      <c r="C1211" s="147" t="s">
        <v>1088</v>
      </c>
      <c r="D1211" s="134" t="s">
        <v>2361</v>
      </c>
      <c r="E1211" s="134" t="s">
        <v>677</v>
      </c>
      <c r="F1211" s="134" t="s">
        <v>2362</v>
      </c>
      <c r="G1211" s="134">
        <v>2285767</v>
      </c>
      <c r="H1211" s="135">
        <v>44648</v>
      </c>
      <c r="I1211" s="134">
        <v>9.5990000000000006E-2</v>
      </c>
      <c r="J1211" s="145"/>
      <c r="K1211" s="145"/>
      <c r="L1211" s="145"/>
      <c r="M1211" s="145"/>
      <c r="N1211" s="145"/>
      <c r="O1211" s="145"/>
      <c r="P1211" s="145"/>
      <c r="Q1211" s="145"/>
      <c r="R1211" s="145"/>
      <c r="S1211" s="145"/>
      <c r="T1211" s="135">
        <v>32403</v>
      </c>
      <c r="U1211" s="145"/>
      <c r="V1211" s="134" t="s">
        <v>563</v>
      </c>
      <c r="W1211" s="92" t="str">
        <f t="shared" si="93"/>
        <v>Menchon Aliaga,Manuel Jose</v>
      </c>
      <c r="X1211" s="95">
        <f t="shared" si="91"/>
        <v>3</v>
      </c>
      <c r="Y1211" s="95">
        <f t="shared" si="92"/>
        <v>2022</v>
      </c>
      <c r="Z1211" s="136" t="s">
        <v>266</v>
      </c>
      <c r="AA1211" t="str">
        <f>IF(Tabla1[[#This Row],[Kerma en aire acumulada (Gy)]]&gt;1,SUMIF(G:G,Tabla1[[#This Row],[SIP]],I:I)-Tabla1[[#This Row],[Kerma en aire acumulada (Gy)]],"")</f>
        <v/>
      </c>
    </row>
    <row r="1212" spans="3:27">
      <c r="C1212" s="147" t="s">
        <v>1088</v>
      </c>
      <c r="D1212" s="134" t="s">
        <v>2381</v>
      </c>
      <c r="E1212" s="134" t="s">
        <v>1164</v>
      </c>
      <c r="F1212" s="134" t="s">
        <v>2382</v>
      </c>
      <c r="G1212" s="134">
        <v>137486</v>
      </c>
      <c r="H1212" s="135">
        <v>44648</v>
      </c>
      <c r="I1212" s="134">
        <v>0.27836</v>
      </c>
      <c r="J1212" s="145"/>
      <c r="K1212" s="145"/>
      <c r="L1212" s="145"/>
      <c r="M1212" s="145"/>
      <c r="N1212" s="145"/>
      <c r="O1212" s="145"/>
      <c r="P1212" s="145"/>
      <c r="Q1212" s="145"/>
      <c r="R1212" s="145"/>
      <c r="S1212" s="145"/>
      <c r="T1212" s="135">
        <v>17598</v>
      </c>
      <c r="U1212" s="145"/>
      <c r="V1212" s="134" t="s">
        <v>2383</v>
      </c>
      <c r="W1212" s="92" t="str">
        <f t="shared" si="93"/>
        <v>Granero Olmos,Daniel</v>
      </c>
      <c r="X1212" s="95">
        <f t="shared" si="91"/>
        <v>3</v>
      </c>
      <c r="Y1212" s="95">
        <f t="shared" si="92"/>
        <v>2022</v>
      </c>
      <c r="Z1212" s="136" t="s">
        <v>266</v>
      </c>
      <c r="AA1212" t="str">
        <f>IF(Tabla1[[#This Row],[Kerma en aire acumulada (Gy)]]&gt;1,SUMIF(G:G,Tabla1[[#This Row],[SIP]],I:I)-Tabla1[[#This Row],[Kerma en aire acumulada (Gy)]],"")</f>
        <v/>
      </c>
    </row>
    <row r="1213" spans="3:27">
      <c r="C1213" s="147" t="s">
        <v>1088</v>
      </c>
      <c r="D1213" s="134" t="s">
        <v>1228</v>
      </c>
      <c r="E1213" s="134" t="s">
        <v>2104</v>
      </c>
      <c r="F1213" s="134" t="s">
        <v>20</v>
      </c>
      <c r="G1213" s="134">
        <v>1866692</v>
      </c>
      <c r="H1213" s="135">
        <v>44648</v>
      </c>
      <c r="I1213" s="134">
        <v>0.22828999999999999</v>
      </c>
      <c r="J1213" s="145"/>
      <c r="K1213" s="145"/>
      <c r="L1213" s="145"/>
      <c r="M1213" s="145"/>
      <c r="N1213" s="145"/>
      <c r="O1213" s="145"/>
      <c r="P1213" s="145"/>
      <c r="Q1213" s="145"/>
      <c r="R1213" s="145"/>
      <c r="S1213" s="145"/>
      <c r="T1213" s="135">
        <v>22654</v>
      </c>
      <c r="U1213" s="145"/>
      <c r="V1213" s="134" t="s">
        <v>2383</v>
      </c>
      <c r="W1213" s="92" t="str">
        <f t="shared" si="93"/>
        <v>Guillen Lorente,Antonio</v>
      </c>
      <c r="X1213" s="95">
        <f t="shared" si="91"/>
        <v>3</v>
      </c>
      <c r="Y1213" s="95">
        <f t="shared" si="92"/>
        <v>2022</v>
      </c>
      <c r="Z1213" s="136" t="s">
        <v>266</v>
      </c>
      <c r="AA1213" t="str">
        <f>IF(Tabla1[[#This Row],[Kerma en aire acumulada (Gy)]]&gt;1,SUMIF(G:G,Tabla1[[#This Row],[SIP]],I:I)-Tabla1[[#This Row],[Kerma en aire acumulada (Gy)]],"")</f>
        <v/>
      </c>
    </row>
    <row r="1214" spans="3:27">
      <c r="C1214" s="147" t="s">
        <v>1088</v>
      </c>
      <c r="D1214" s="134" t="s">
        <v>2384</v>
      </c>
      <c r="E1214" s="134" t="s">
        <v>337</v>
      </c>
      <c r="F1214" s="134" t="s">
        <v>2385</v>
      </c>
      <c r="G1214" s="134">
        <v>145095</v>
      </c>
      <c r="H1214" s="135">
        <v>44648</v>
      </c>
      <c r="I1214" s="134">
        <v>0.14901</v>
      </c>
      <c r="J1214" s="145"/>
      <c r="K1214" s="145"/>
      <c r="L1214" s="145"/>
      <c r="M1214" s="145"/>
      <c r="N1214" s="145"/>
      <c r="O1214" s="145"/>
      <c r="P1214" s="145"/>
      <c r="Q1214" s="145"/>
      <c r="R1214" s="145"/>
      <c r="S1214" s="145"/>
      <c r="T1214" s="135">
        <v>23938</v>
      </c>
      <c r="U1214" s="145"/>
      <c r="V1214" s="134" t="s">
        <v>2383</v>
      </c>
      <c r="W1214" s="92" t="str">
        <f t="shared" si="93"/>
        <v>Bataller Garrido,M Jesus</v>
      </c>
      <c r="X1214" s="95">
        <f t="shared" si="91"/>
        <v>3</v>
      </c>
      <c r="Y1214" s="95">
        <f t="shared" si="92"/>
        <v>2022</v>
      </c>
      <c r="Z1214" s="136" t="s">
        <v>266</v>
      </c>
      <c r="AA1214" t="str">
        <f>IF(Tabla1[[#This Row],[Kerma en aire acumulada (Gy)]]&gt;1,SUMIF(G:G,Tabla1[[#This Row],[SIP]],I:I)-Tabla1[[#This Row],[Kerma en aire acumulada (Gy)]],"")</f>
        <v/>
      </c>
    </row>
    <row r="1215" spans="3:27">
      <c r="C1215" s="147" t="s">
        <v>1088</v>
      </c>
      <c r="D1215" s="134" t="s">
        <v>2386</v>
      </c>
      <c r="E1215" s="134"/>
      <c r="F1215" s="134" t="s">
        <v>2387</v>
      </c>
      <c r="G1215" s="134">
        <v>4843995</v>
      </c>
      <c r="H1215" s="135">
        <v>44648</v>
      </c>
      <c r="I1215" s="134">
        <v>0.18756</v>
      </c>
      <c r="J1215" s="145"/>
      <c r="K1215" s="145"/>
      <c r="L1215" s="145"/>
      <c r="M1215" s="145"/>
      <c r="N1215" s="145"/>
      <c r="O1215" s="145"/>
      <c r="P1215" s="145"/>
      <c r="Q1215" s="145"/>
      <c r="R1215" s="145"/>
      <c r="S1215" s="145"/>
      <c r="T1215" s="135">
        <v>22038</v>
      </c>
      <c r="U1215" s="145"/>
      <c r="V1215" s="134" t="s">
        <v>2383</v>
      </c>
      <c r="W1215" s="92" t="str">
        <f t="shared" si="93"/>
        <v>Aslikyan ,Ararat</v>
      </c>
      <c r="X1215" s="95">
        <f t="shared" si="91"/>
        <v>3</v>
      </c>
      <c r="Y1215" s="95">
        <f t="shared" si="92"/>
        <v>2022</v>
      </c>
      <c r="Z1215" s="136" t="s">
        <v>266</v>
      </c>
      <c r="AA1215" t="str">
        <f>IF(Tabla1[[#This Row],[Kerma en aire acumulada (Gy)]]&gt;1,SUMIF(G:G,Tabla1[[#This Row],[SIP]],I:I)-Tabla1[[#This Row],[Kerma en aire acumulada (Gy)]],"")</f>
        <v/>
      </c>
    </row>
    <row r="1216" spans="3:27">
      <c r="C1216" s="147" t="s">
        <v>1088</v>
      </c>
      <c r="D1216" s="134" t="s">
        <v>2388</v>
      </c>
      <c r="E1216" s="134" t="s">
        <v>1109</v>
      </c>
      <c r="F1216" s="134" t="s">
        <v>57</v>
      </c>
      <c r="G1216" s="134">
        <v>3195034</v>
      </c>
      <c r="H1216" s="135">
        <v>44648</v>
      </c>
      <c r="I1216" s="134">
        <v>0.10496</v>
      </c>
      <c r="J1216" s="145"/>
      <c r="K1216" s="145"/>
      <c r="L1216" s="145"/>
      <c r="M1216" s="145"/>
      <c r="N1216" s="145"/>
      <c r="O1216" s="145"/>
      <c r="P1216" s="145"/>
      <c r="Q1216" s="145"/>
      <c r="R1216" s="145"/>
      <c r="S1216" s="145"/>
      <c r="T1216" s="135">
        <v>19055</v>
      </c>
      <c r="U1216" s="145"/>
      <c r="V1216" s="134" t="s">
        <v>2383</v>
      </c>
      <c r="W1216" s="92" t="str">
        <f t="shared" si="93"/>
        <v>almendros Gonzales,Miguel</v>
      </c>
      <c r="X1216" s="95">
        <f t="shared" si="91"/>
        <v>3</v>
      </c>
      <c r="Y1216" s="95">
        <f t="shared" si="92"/>
        <v>2022</v>
      </c>
      <c r="Z1216" s="136" t="s">
        <v>266</v>
      </c>
      <c r="AA1216" t="str">
        <f>IF(Tabla1[[#This Row],[Kerma en aire acumulada (Gy)]]&gt;1,SUMIF(G:G,Tabla1[[#This Row],[SIP]],I:I)-Tabla1[[#This Row],[Kerma en aire acumulada (Gy)]],"")</f>
        <v/>
      </c>
    </row>
    <row r="1217" spans="3:27">
      <c r="C1217" s="147" t="s">
        <v>1088</v>
      </c>
      <c r="D1217" s="134" t="s">
        <v>2389</v>
      </c>
      <c r="E1217" s="134"/>
      <c r="F1217" s="134" t="s">
        <v>2390</v>
      </c>
      <c r="G1217" s="134">
        <v>9648508</v>
      </c>
      <c r="H1217" s="135">
        <v>44648</v>
      </c>
      <c r="I1217" s="134">
        <v>0.46661000000000002</v>
      </c>
      <c r="J1217" s="145"/>
      <c r="K1217" s="145"/>
      <c r="L1217" s="145"/>
      <c r="M1217" s="145"/>
      <c r="N1217" s="145"/>
      <c r="O1217" s="145"/>
      <c r="P1217" s="145"/>
      <c r="Q1217" s="145"/>
      <c r="R1217" s="145"/>
      <c r="S1217" s="145"/>
      <c r="T1217" s="135">
        <v>24148</v>
      </c>
      <c r="U1217" s="145"/>
      <c r="V1217" s="134" t="s">
        <v>2383</v>
      </c>
      <c r="W1217" s="92" t="str">
        <f t="shared" si="93"/>
        <v>Jabeen ,Zohra</v>
      </c>
      <c r="X1217" s="95">
        <f t="shared" si="91"/>
        <v>3</v>
      </c>
      <c r="Y1217" s="95">
        <f t="shared" si="92"/>
        <v>2022</v>
      </c>
      <c r="Z1217" s="136" t="s">
        <v>266</v>
      </c>
      <c r="AA1217" t="str">
        <f>IF(Tabla1[[#This Row],[Kerma en aire acumulada (Gy)]]&gt;1,SUMIF(G:G,Tabla1[[#This Row],[SIP]],I:I)-Tabla1[[#This Row],[Kerma en aire acumulada (Gy)]],"")</f>
        <v/>
      </c>
    </row>
    <row r="1218" spans="3:27">
      <c r="C1218" s="147" t="s">
        <v>1088</v>
      </c>
      <c r="D1218" s="134" t="s">
        <v>34</v>
      </c>
      <c r="E1218" s="134" t="s">
        <v>1623</v>
      </c>
      <c r="F1218" s="134" t="s">
        <v>2141</v>
      </c>
      <c r="G1218" s="134">
        <v>2926503</v>
      </c>
      <c r="H1218" s="135">
        <v>44649</v>
      </c>
      <c r="I1218" s="134">
        <v>2.1721599999999999</v>
      </c>
      <c r="J1218" s="145"/>
      <c r="K1218" s="145"/>
      <c r="L1218" s="145"/>
      <c r="M1218" s="145"/>
      <c r="N1218" s="145"/>
      <c r="O1218" s="145"/>
      <c r="P1218" s="145"/>
      <c r="Q1218" s="145"/>
      <c r="R1218" s="145"/>
      <c r="S1218" s="145"/>
      <c r="T1218" s="135">
        <v>23820</v>
      </c>
      <c r="U1218" s="145"/>
      <c r="V1218" s="134" t="s">
        <v>2144</v>
      </c>
      <c r="W1218" s="92" t="str">
        <f t="shared" si="93"/>
        <v>Jiménez  Aguado,Jesus</v>
      </c>
      <c r="X1218" s="95">
        <f t="shared" si="91"/>
        <v>3</v>
      </c>
      <c r="Y1218" s="95">
        <f t="shared" si="92"/>
        <v>2022</v>
      </c>
      <c r="Z1218" s="103" t="s">
        <v>265</v>
      </c>
      <c r="AA1218">
        <f>IF(Tabla1[[#This Row],[Kerma en aire acumulada (Gy)]]&gt;1,SUMIF(G:G,Tabla1[[#This Row],[SIP]],I:I)-Tabla1[[#This Row],[Kerma en aire acumulada (Gy)]],"")</f>
        <v>0</v>
      </c>
    </row>
    <row r="1219" spans="3:27">
      <c r="C1219" s="147" t="s">
        <v>1088</v>
      </c>
      <c r="D1219" s="134" t="s">
        <v>320</v>
      </c>
      <c r="E1219" s="134" t="s">
        <v>1587</v>
      </c>
      <c r="F1219" s="134" t="s">
        <v>991</v>
      </c>
      <c r="G1219" s="134">
        <v>11781720</v>
      </c>
      <c r="H1219" s="135">
        <v>44649</v>
      </c>
      <c r="I1219" s="134">
        <v>1.7023999999999999</v>
      </c>
      <c r="J1219" s="145"/>
      <c r="K1219" s="145"/>
      <c r="L1219" s="145"/>
      <c r="M1219" s="145"/>
      <c r="N1219" s="145"/>
      <c r="O1219" s="145"/>
      <c r="P1219" s="145"/>
      <c r="Q1219" s="145"/>
      <c r="R1219" s="145"/>
      <c r="S1219" s="145"/>
      <c r="T1219" s="135">
        <v>23696</v>
      </c>
      <c r="U1219" s="145"/>
      <c r="V1219" s="134" t="s">
        <v>2440</v>
      </c>
      <c r="W1219" s="92" t="str">
        <f t="shared" si="93"/>
        <v>Cano Jimenez,Jose</v>
      </c>
      <c r="X1219" s="95">
        <f t="shared" si="91"/>
        <v>3</v>
      </c>
      <c r="Y1219" s="95">
        <f t="shared" si="92"/>
        <v>2022</v>
      </c>
      <c r="Z1219" s="103" t="s">
        <v>265</v>
      </c>
      <c r="AA1219">
        <f>IF(Tabla1[[#This Row],[Kerma en aire acumulada (Gy)]]&gt;1,SUMIF(G:G,Tabla1[[#This Row],[SIP]],I:I)-Tabla1[[#This Row],[Kerma en aire acumulada (Gy)]],"")</f>
        <v>1.3491999999999997</v>
      </c>
    </row>
    <row r="1220" spans="3:27">
      <c r="C1220" s="147" t="s">
        <v>1088</v>
      </c>
      <c r="D1220" s="134" t="s">
        <v>1003</v>
      </c>
      <c r="E1220" s="134" t="s">
        <v>22</v>
      </c>
      <c r="F1220" s="134" t="s">
        <v>1155</v>
      </c>
      <c r="G1220" s="134">
        <v>3199808</v>
      </c>
      <c r="H1220" s="135">
        <v>44649</v>
      </c>
      <c r="I1220" s="134">
        <v>1.03871</v>
      </c>
      <c r="J1220" s="145"/>
      <c r="K1220" s="145"/>
      <c r="L1220" s="145"/>
      <c r="M1220" s="145"/>
      <c r="N1220" s="145"/>
      <c r="O1220" s="145"/>
      <c r="P1220" s="145"/>
      <c r="Q1220" s="145"/>
      <c r="R1220" s="145"/>
      <c r="S1220" s="145"/>
      <c r="T1220" s="135">
        <v>19993</v>
      </c>
      <c r="U1220" s="145"/>
      <c r="V1220" s="134" t="s">
        <v>128</v>
      </c>
      <c r="W1220" s="92" t="str">
        <f t="shared" si="93"/>
        <v>Romero Ruiz,Maria</v>
      </c>
      <c r="X1220" s="95">
        <f t="shared" si="91"/>
        <v>3</v>
      </c>
      <c r="Y1220" s="95">
        <f t="shared" si="92"/>
        <v>2022</v>
      </c>
      <c r="Z1220" s="103" t="s">
        <v>265</v>
      </c>
      <c r="AA1220">
        <f>IF(Tabla1[[#This Row],[Kerma en aire acumulada (Gy)]]&gt;1,SUMIF(G:G,Tabla1[[#This Row],[SIP]],I:I)-Tabla1[[#This Row],[Kerma en aire acumulada (Gy)]],"")</f>
        <v>1.2848699999999997</v>
      </c>
    </row>
    <row r="1221" spans="3:27">
      <c r="C1221" s="147" t="s">
        <v>1088</v>
      </c>
      <c r="D1221" s="134" t="s">
        <v>2366</v>
      </c>
      <c r="E1221" s="134" t="s">
        <v>2476</v>
      </c>
      <c r="F1221" s="134" t="s">
        <v>333</v>
      </c>
      <c r="G1221" s="134">
        <v>2244249</v>
      </c>
      <c r="H1221" s="135">
        <v>44649</v>
      </c>
      <c r="I1221" s="134">
        <v>1.37557</v>
      </c>
      <c r="J1221" s="145"/>
      <c r="K1221" s="145"/>
      <c r="L1221" s="145"/>
      <c r="M1221" s="145"/>
      <c r="N1221" s="145"/>
      <c r="O1221" s="145"/>
      <c r="P1221" s="145"/>
      <c r="Q1221" s="145"/>
      <c r="R1221" s="145"/>
      <c r="S1221" s="145"/>
      <c r="T1221" s="135">
        <v>17550</v>
      </c>
      <c r="U1221" s="145"/>
      <c r="V1221" s="134" t="s">
        <v>563</v>
      </c>
      <c r="W1221" s="92" t="str">
        <f t="shared" si="93"/>
        <v>Gimeno Latre,Vicenta</v>
      </c>
      <c r="X1221" s="95">
        <f t="shared" si="91"/>
        <v>3</v>
      </c>
      <c r="Y1221" s="134"/>
      <c r="Z1221" s="136" t="s">
        <v>266</v>
      </c>
      <c r="AA1221">
        <f>IF(Tabla1[[#This Row],[Kerma en aire acumulada (Gy)]]&gt;1,SUMIF(G:G,Tabla1[[#This Row],[SIP]],I:I)-Tabla1[[#This Row],[Kerma en aire acumulada (Gy)]],"")</f>
        <v>0</v>
      </c>
    </row>
    <row r="1222" spans="3:27">
      <c r="C1222" s="147" t="s">
        <v>1088</v>
      </c>
      <c r="D1222" s="134" t="s">
        <v>981</v>
      </c>
      <c r="E1222" s="134" t="s">
        <v>962</v>
      </c>
      <c r="F1222" s="134" t="s">
        <v>106</v>
      </c>
      <c r="G1222" s="134">
        <v>2371196</v>
      </c>
      <c r="H1222" s="135">
        <v>44649</v>
      </c>
      <c r="I1222" s="134">
        <v>1.4747600000000001</v>
      </c>
      <c r="J1222" s="145"/>
      <c r="K1222" s="145"/>
      <c r="L1222" s="145"/>
      <c r="M1222" s="145"/>
      <c r="N1222" s="145"/>
      <c r="O1222" s="145"/>
      <c r="P1222" s="145"/>
      <c r="Q1222" s="145"/>
      <c r="R1222" s="145"/>
      <c r="S1222" s="145"/>
      <c r="T1222" s="135">
        <v>13456</v>
      </c>
      <c r="U1222" s="145"/>
      <c r="V1222" s="134" t="s">
        <v>563</v>
      </c>
      <c r="W1222" s="92" t="str">
        <f t="shared" si="93"/>
        <v>Herraiz Garcia,Carmen</v>
      </c>
      <c r="X1222" s="95">
        <f t="shared" si="91"/>
        <v>3</v>
      </c>
      <c r="Y1222" s="134"/>
      <c r="Z1222" s="136" t="s">
        <v>266</v>
      </c>
      <c r="AA1222">
        <f>IF(Tabla1[[#This Row],[Kerma en aire acumulada (Gy)]]&gt;1,SUMIF(G:G,Tabla1[[#This Row],[SIP]],I:I)-Tabla1[[#This Row],[Kerma en aire acumulada (Gy)]],"")</f>
        <v>0</v>
      </c>
    </row>
    <row r="1223" spans="3:27">
      <c r="C1223" s="147" t="s">
        <v>1088</v>
      </c>
      <c r="D1223" s="134" t="s">
        <v>948</v>
      </c>
      <c r="E1223" s="134" t="s">
        <v>2502</v>
      </c>
      <c r="F1223" s="134" t="s">
        <v>635</v>
      </c>
      <c r="G1223" s="134">
        <v>73534</v>
      </c>
      <c r="H1223" s="135">
        <v>44649</v>
      </c>
      <c r="I1223" s="134">
        <v>0.90610999999999997</v>
      </c>
      <c r="J1223" s="145"/>
      <c r="K1223" s="145"/>
      <c r="L1223" s="145"/>
      <c r="M1223" s="145"/>
      <c r="N1223" s="145"/>
      <c r="O1223" s="145"/>
      <c r="P1223" s="145"/>
      <c r="Q1223" s="145"/>
      <c r="R1223" s="145"/>
      <c r="S1223" s="145"/>
      <c r="T1223" s="135">
        <v>19000</v>
      </c>
      <c r="U1223" s="145"/>
      <c r="V1223" s="134" t="s">
        <v>563</v>
      </c>
      <c r="W1223" s="92" t="str">
        <f t="shared" si="93"/>
        <v>Martinez Escriva,Enrique</v>
      </c>
      <c r="X1223" s="95">
        <f t="shared" si="91"/>
        <v>3</v>
      </c>
      <c r="Y1223" s="134"/>
      <c r="Z1223" s="136" t="s">
        <v>266</v>
      </c>
      <c r="AA1223" t="str">
        <f>IF(Tabla1[[#This Row],[Kerma en aire acumulada (Gy)]]&gt;1,SUMIF(G:G,Tabla1[[#This Row],[SIP]],I:I)-Tabla1[[#This Row],[Kerma en aire acumulada (Gy)]],"")</f>
        <v/>
      </c>
    </row>
    <row r="1224" spans="3:27">
      <c r="C1224" s="147" t="s">
        <v>1088</v>
      </c>
      <c r="D1224" s="134" t="s">
        <v>684</v>
      </c>
      <c r="E1224" s="134" t="s">
        <v>796</v>
      </c>
      <c r="F1224" s="134" t="s">
        <v>774</v>
      </c>
      <c r="G1224" s="134">
        <v>2263937</v>
      </c>
      <c r="H1224" s="135">
        <v>44649</v>
      </c>
      <c r="I1224" s="134">
        <v>8.7419999999999998E-2</v>
      </c>
      <c r="J1224" s="145"/>
      <c r="K1224" s="145"/>
      <c r="L1224" s="145"/>
      <c r="M1224" s="145"/>
      <c r="N1224" s="145"/>
      <c r="O1224" s="145"/>
      <c r="P1224" s="145"/>
      <c r="Q1224" s="145"/>
      <c r="R1224" s="145"/>
      <c r="S1224" s="145"/>
      <c r="T1224" s="135">
        <v>17242</v>
      </c>
      <c r="U1224" s="145"/>
      <c r="V1224" s="134" t="s">
        <v>563</v>
      </c>
      <c r="W1224" s="92" t="str">
        <f t="shared" si="93"/>
        <v>Peña Quesada,Antonia</v>
      </c>
      <c r="X1224" s="95">
        <f t="shared" si="91"/>
        <v>3</v>
      </c>
      <c r="Y1224" s="134"/>
      <c r="Z1224" s="136" t="s">
        <v>266</v>
      </c>
      <c r="AA1224" t="str">
        <f>IF(Tabla1[[#This Row],[Kerma en aire acumulada (Gy)]]&gt;1,SUMIF(G:G,Tabla1[[#This Row],[SIP]],I:I)-Tabla1[[#This Row],[Kerma en aire acumulada (Gy)]],"")</f>
        <v/>
      </c>
    </row>
    <row r="1225" spans="3:27">
      <c r="C1225" s="147" t="s">
        <v>1088</v>
      </c>
      <c r="D1225" s="134" t="s">
        <v>839</v>
      </c>
      <c r="E1225" s="134" t="s">
        <v>66</v>
      </c>
      <c r="F1225" s="134" t="s">
        <v>1139</v>
      </c>
      <c r="G1225" s="134">
        <v>3831253</v>
      </c>
      <c r="H1225" s="135">
        <v>44649</v>
      </c>
      <c r="I1225" s="134">
        <v>0.15135000000000001</v>
      </c>
      <c r="J1225" s="145"/>
      <c r="K1225" s="145"/>
      <c r="L1225" s="145"/>
      <c r="M1225" s="145"/>
      <c r="N1225" s="145"/>
      <c r="O1225" s="145"/>
      <c r="P1225" s="145"/>
      <c r="Q1225" s="145"/>
      <c r="R1225" s="145"/>
      <c r="S1225" s="145"/>
      <c r="T1225" s="135">
        <v>18153</v>
      </c>
      <c r="U1225" s="145"/>
      <c r="V1225" s="134" t="s">
        <v>2512</v>
      </c>
      <c r="W1225" s="92" t="str">
        <f t="shared" si="93"/>
        <v>Ferrer Navarro,Jose Vicente</v>
      </c>
      <c r="X1225" s="95">
        <f t="shared" si="91"/>
        <v>3</v>
      </c>
      <c r="Y1225" s="95">
        <f t="shared" ref="Y1225:Y1231" si="94">YEAR(H1225)</f>
        <v>2022</v>
      </c>
      <c r="Z1225" s="136" t="s">
        <v>2238</v>
      </c>
      <c r="AA1225" t="str">
        <f>IF(Tabla1[[#This Row],[Kerma en aire acumulada (Gy)]]&gt;1,SUMIF(G:G,Tabla1[[#This Row],[SIP]],I:I)-Tabla1[[#This Row],[Kerma en aire acumulada (Gy)]],"")</f>
        <v/>
      </c>
    </row>
    <row r="1226" spans="3:27">
      <c r="C1226" s="147" t="s">
        <v>1088</v>
      </c>
      <c r="D1226" s="134" t="s">
        <v>784</v>
      </c>
      <c r="E1226" s="134" t="s">
        <v>723</v>
      </c>
      <c r="F1226" s="134" t="s">
        <v>1104</v>
      </c>
      <c r="G1226" s="134">
        <v>2268610</v>
      </c>
      <c r="H1226" s="135">
        <v>44650</v>
      </c>
      <c r="I1226" s="134">
        <v>1.33327</v>
      </c>
      <c r="J1226" s="145"/>
      <c r="K1226" s="145"/>
      <c r="L1226" s="145"/>
      <c r="M1226" s="145"/>
      <c r="N1226" s="145"/>
      <c r="O1226" s="145"/>
      <c r="P1226" s="145"/>
      <c r="Q1226" s="145"/>
      <c r="R1226" s="145"/>
      <c r="S1226" s="145"/>
      <c r="T1226" s="135">
        <v>19062</v>
      </c>
      <c r="U1226" s="145"/>
      <c r="V1226" s="134" t="s">
        <v>1921</v>
      </c>
      <c r="W1226" s="92" t="str">
        <f t="shared" si="93"/>
        <v>Coll Moscardo,Jose Luis</v>
      </c>
      <c r="X1226" s="95">
        <f t="shared" si="91"/>
        <v>3</v>
      </c>
      <c r="Y1226" s="95">
        <f t="shared" si="94"/>
        <v>2022</v>
      </c>
      <c r="Z1226" s="103" t="s">
        <v>265</v>
      </c>
      <c r="AA1226">
        <f>IF(Tabla1[[#This Row],[Kerma en aire acumulada (Gy)]]&gt;1,SUMIF(G:G,Tabla1[[#This Row],[SIP]],I:I)-Tabla1[[#This Row],[Kerma en aire acumulada (Gy)]],"")</f>
        <v>0.43200000000000016</v>
      </c>
    </row>
    <row r="1227" spans="3:27">
      <c r="C1227" s="147" t="s">
        <v>1088</v>
      </c>
      <c r="D1227" s="134" t="s">
        <v>1779</v>
      </c>
      <c r="E1227" s="134" t="s">
        <v>2342</v>
      </c>
      <c r="F1227" s="134" t="s">
        <v>300</v>
      </c>
      <c r="G1227" s="134">
        <v>4276516</v>
      </c>
      <c r="H1227" s="135">
        <v>44650</v>
      </c>
      <c r="I1227" s="134"/>
      <c r="J1227" s="145"/>
      <c r="K1227" s="145"/>
      <c r="L1227" s="145"/>
      <c r="M1227" s="145"/>
      <c r="N1227" s="145"/>
      <c r="O1227" s="145"/>
      <c r="P1227" s="145"/>
      <c r="Q1227" s="145"/>
      <c r="R1227" s="145"/>
      <c r="S1227" s="145"/>
      <c r="T1227" s="135">
        <v>28070</v>
      </c>
      <c r="U1227" s="145"/>
      <c r="V1227" s="134" t="s">
        <v>509</v>
      </c>
      <c r="W1227" s="92" t="str">
        <f t="shared" si="93"/>
        <v>Trinidad Domenech,Carlos</v>
      </c>
      <c r="X1227" s="95">
        <f t="shared" si="91"/>
        <v>3</v>
      </c>
      <c r="Y1227" s="95">
        <f t="shared" si="94"/>
        <v>2022</v>
      </c>
      <c r="Z1227" s="103" t="s">
        <v>265</v>
      </c>
      <c r="AA1227" t="str">
        <f>IF(Tabla1[[#This Row],[Kerma en aire acumulada (Gy)]]&gt;1,SUMIF(G:G,Tabla1[[#This Row],[SIP]],I:I)-Tabla1[[#This Row],[Kerma en aire acumulada (Gy)]],"")</f>
        <v/>
      </c>
    </row>
    <row r="1228" spans="3:27">
      <c r="C1228" s="147" t="s">
        <v>1088</v>
      </c>
      <c r="D1228" s="134" t="s">
        <v>337</v>
      </c>
      <c r="E1228" s="134" t="s">
        <v>1701</v>
      </c>
      <c r="F1228" s="134" t="s">
        <v>2438</v>
      </c>
      <c r="G1228" s="134">
        <v>3172787</v>
      </c>
      <c r="H1228" s="135">
        <v>44650</v>
      </c>
      <c r="I1228" s="134">
        <v>0.11761000000000001</v>
      </c>
      <c r="J1228" s="145"/>
      <c r="K1228" s="145"/>
      <c r="L1228" s="145"/>
      <c r="M1228" s="145"/>
      <c r="N1228" s="145"/>
      <c r="O1228" s="145"/>
      <c r="P1228" s="145"/>
      <c r="Q1228" s="145"/>
      <c r="R1228" s="145"/>
      <c r="S1228" s="145"/>
      <c r="T1228" s="135">
        <v>14069</v>
      </c>
      <c r="U1228" s="145"/>
      <c r="V1228" s="134" t="s">
        <v>502</v>
      </c>
      <c r="W1228" s="92" t="str">
        <f t="shared" si="93"/>
        <v>Garrido Villodre,Anastasio</v>
      </c>
      <c r="X1228" s="95">
        <f t="shared" si="91"/>
        <v>3</v>
      </c>
      <c r="Y1228" s="95">
        <f t="shared" si="94"/>
        <v>2022</v>
      </c>
      <c r="Z1228" s="103" t="s">
        <v>265</v>
      </c>
      <c r="AA1228" t="str">
        <f>IF(Tabla1[[#This Row],[Kerma en aire acumulada (Gy)]]&gt;1,SUMIF(G:G,Tabla1[[#This Row],[SIP]],I:I)-Tabla1[[#This Row],[Kerma en aire acumulada (Gy)]],"")</f>
        <v/>
      </c>
    </row>
    <row r="1229" spans="3:27">
      <c r="C1229" s="147" t="s">
        <v>1088</v>
      </c>
      <c r="D1229" s="134" t="s">
        <v>962</v>
      </c>
      <c r="E1229" s="134" t="s">
        <v>1288</v>
      </c>
      <c r="F1229" s="134" t="s">
        <v>2141</v>
      </c>
      <c r="G1229" s="134">
        <v>391857</v>
      </c>
      <c r="H1229" s="135">
        <v>44650</v>
      </c>
      <c r="I1229" s="134">
        <v>0.52317000000000002</v>
      </c>
      <c r="J1229" s="145"/>
      <c r="K1229" s="145"/>
      <c r="L1229" s="145"/>
      <c r="M1229" s="145"/>
      <c r="N1229" s="145"/>
      <c r="O1229" s="145"/>
      <c r="P1229" s="145"/>
      <c r="Q1229" s="145"/>
      <c r="R1229" s="145"/>
      <c r="S1229" s="145"/>
      <c r="T1229" s="135">
        <v>17726</v>
      </c>
      <c r="U1229" s="145"/>
      <c r="V1229" s="134" t="s">
        <v>552</v>
      </c>
      <c r="W1229" s="92" t="str">
        <f t="shared" si="93"/>
        <v>Garcia Castello,Jesus</v>
      </c>
      <c r="X1229" s="95">
        <f t="shared" si="91"/>
        <v>3</v>
      </c>
      <c r="Y1229" s="95">
        <f t="shared" si="94"/>
        <v>2022</v>
      </c>
      <c r="Z1229" s="103" t="s">
        <v>265</v>
      </c>
      <c r="AA1229" t="str">
        <f>IF(Tabla1[[#This Row],[Kerma en aire acumulada (Gy)]]&gt;1,SUMIF(G:G,Tabla1[[#This Row],[SIP]],I:I)-Tabla1[[#This Row],[Kerma en aire acumulada (Gy)]],"")</f>
        <v/>
      </c>
    </row>
    <row r="1230" spans="3:27">
      <c r="C1230" s="147" t="s">
        <v>1088</v>
      </c>
      <c r="D1230" s="134" t="s">
        <v>19</v>
      </c>
      <c r="E1230" s="134" t="s">
        <v>2439</v>
      </c>
      <c r="F1230" s="134" t="s">
        <v>2189</v>
      </c>
      <c r="G1230" s="134">
        <v>3270202</v>
      </c>
      <c r="H1230" s="135">
        <v>44650</v>
      </c>
      <c r="I1230" s="134">
        <v>0.44420999999999999</v>
      </c>
      <c r="J1230" s="145"/>
      <c r="K1230" s="145"/>
      <c r="L1230" s="145"/>
      <c r="M1230" s="145"/>
      <c r="N1230" s="145"/>
      <c r="O1230" s="145"/>
      <c r="P1230" s="145"/>
      <c r="Q1230" s="145"/>
      <c r="R1230" s="145"/>
      <c r="S1230" s="145"/>
      <c r="T1230" s="135">
        <v>20156</v>
      </c>
      <c r="U1230" s="145"/>
      <c r="V1230" s="134" t="s">
        <v>1635</v>
      </c>
      <c r="W1230" s="92" t="str">
        <f t="shared" si="93"/>
        <v>Elvira Villares,Juan Jose</v>
      </c>
      <c r="X1230" s="95">
        <f t="shared" si="91"/>
        <v>3</v>
      </c>
      <c r="Y1230" s="95">
        <f t="shared" si="94"/>
        <v>2022</v>
      </c>
      <c r="Z1230" s="103" t="s">
        <v>265</v>
      </c>
      <c r="AA1230" t="str">
        <f>IF(Tabla1[[#This Row],[Kerma en aire acumulada (Gy)]]&gt;1,SUMIF(G:G,Tabla1[[#This Row],[SIP]],I:I)-Tabla1[[#This Row],[Kerma en aire acumulada (Gy)]],"")</f>
        <v/>
      </c>
    </row>
    <row r="1231" spans="3:27">
      <c r="C1231" s="147" t="s">
        <v>1088</v>
      </c>
      <c r="D1231" s="134" t="s">
        <v>962</v>
      </c>
      <c r="E1231" s="134" t="s">
        <v>2475</v>
      </c>
      <c r="F1231" s="134" t="s">
        <v>1976</v>
      </c>
      <c r="G1231" s="134">
        <v>1979506</v>
      </c>
      <c r="H1231" s="135">
        <v>44650</v>
      </c>
      <c r="I1231" s="134">
        <v>0.44161</v>
      </c>
      <c r="J1231" s="145"/>
      <c r="K1231" s="145"/>
      <c r="L1231" s="145"/>
      <c r="M1231" s="145"/>
      <c r="N1231" s="145"/>
      <c r="O1231" s="145"/>
      <c r="P1231" s="145"/>
      <c r="Q1231" s="145"/>
      <c r="R1231" s="145"/>
      <c r="S1231" s="145"/>
      <c r="T1231" s="135">
        <v>24963</v>
      </c>
      <c r="U1231" s="145"/>
      <c r="V1231" s="134" t="s">
        <v>563</v>
      </c>
      <c r="W1231" s="92" t="str">
        <f t="shared" si="93"/>
        <v>Garcia Alon,Sergio</v>
      </c>
      <c r="X1231" s="95">
        <f t="shared" si="91"/>
        <v>3</v>
      </c>
      <c r="Y1231" s="95">
        <f t="shared" si="94"/>
        <v>2022</v>
      </c>
      <c r="Z1231" s="136" t="s">
        <v>266</v>
      </c>
      <c r="AA1231" t="str">
        <f>IF(Tabla1[[#This Row],[Kerma en aire acumulada (Gy)]]&gt;1,SUMIF(G:G,Tabla1[[#This Row],[SIP]],I:I)-Tabla1[[#This Row],[Kerma en aire acumulada (Gy)]],"")</f>
        <v/>
      </c>
    </row>
    <row r="1232" spans="3:27">
      <c r="C1232" s="147" t="s">
        <v>1088</v>
      </c>
      <c r="D1232" s="134" t="s">
        <v>68</v>
      </c>
      <c r="E1232" s="134" t="s">
        <v>788</v>
      </c>
      <c r="F1232" s="134" t="s">
        <v>635</v>
      </c>
      <c r="G1232" s="134">
        <v>1866759</v>
      </c>
      <c r="H1232" s="135">
        <v>44650</v>
      </c>
      <c r="I1232" s="134">
        <v>0.29359000000000002</v>
      </c>
      <c r="J1232" s="145"/>
      <c r="K1232" s="145"/>
      <c r="L1232" s="145"/>
      <c r="M1232" s="145"/>
      <c r="N1232" s="145"/>
      <c r="O1232" s="145"/>
      <c r="P1232" s="145"/>
      <c r="Q1232" s="145"/>
      <c r="R1232" s="145"/>
      <c r="S1232" s="145"/>
      <c r="T1232" s="135">
        <v>22796</v>
      </c>
      <c r="U1232" s="145"/>
      <c r="V1232" s="134" t="s">
        <v>563</v>
      </c>
      <c r="W1232" s="92" t="str">
        <f t="shared" si="93"/>
        <v>Juan Bueno,Enrique</v>
      </c>
      <c r="X1232" s="95">
        <f t="shared" si="91"/>
        <v>3</v>
      </c>
      <c r="Y1232" s="134"/>
      <c r="Z1232" s="136" t="s">
        <v>266</v>
      </c>
      <c r="AA1232" t="str">
        <f>IF(Tabla1[[#This Row],[Kerma en aire acumulada (Gy)]]&gt;1,SUMIF(G:G,Tabla1[[#This Row],[SIP]],I:I)-Tabla1[[#This Row],[Kerma en aire acumulada (Gy)]],"")</f>
        <v/>
      </c>
    </row>
    <row r="1233" spans="3:27">
      <c r="C1233" s="147" t="s">
        <v>1088</v>
      </c>
      <c r="D1233" s="134" t="s">
        <v>77</v>
      </c>
      <c r="E1233" s="134" t="s">
        <v>634</v>
      </c>
      <c r="F1233" s="134" t="s">
        <v>131</v>
      </c>
      <c r="G1233" s="134">
        <v>2923516</v>
      </c>
      <c r="H1233" s="135">
        <v>44650</v>
      </c>
      <c r="I1233" s="134">
        <v>0.72919</v>
      </c>
      <c r="J1233" s="145"/>
      <c r="K1233" s="145"/>
      <c r="L1233" s="145"/>
      <c r="M1233" s="145"/>
      <c r="N1233" s="145"/>
      <c r="O1233" s="145"/>
      <c r="P1233" s="145"/>
      <c r="Q1233" s="145"/>
      <c r="R1233" s="145"/>
      <c r="S1233" s="145"/>
      <c r="T1233" s="135">
        <v>22168</v>
      </c>
      <c r="U1233" s="145"/>
      <c r="V1233" s="134" t="s">
        <v>563</v>
      </c>
      <c r="W1233" s="92" t="str">
        <f t="shared" si="93"/>
        <v>Torres Gil,Salvador</v>
      </c>
      <c r="X1233" s="95">
        <f t="shared" si="91"/>
        <v>3</v>
      </c>
      <c r="Y1233" s="134"/>
      <c r="Z1233" s="136" t="s">
        <v>266</v>
      </c>
      <c r="AA1233" t="str">
        <f>IF(Tabla1[[#This Row],[Kerma en aire acumulada (Gy)]]&gt;1,SUMIF(G:G,Tabla1[[#This Row],[SIP]],I:I)-Tabla1[[#This Row],[Kerma en aire acumulada (Gy)]],"")</f>
        <v/>
      </c>
    </row>
    <row r="1234" spans="3:27">
      <c r="C1234" s="147" t="s">
        <v>1088</v>
      </c>
      <c r="D1234" s="134" t="s">
        <v>962</v>
      </c>
      <c r="E1234" s="134" t="s">
        <v>1076</v>
      </c>
      <c r="F1234" s="134" t="s">
        <v>2498</v>
      </c>
      <c r="G1234" s="134">
        <v>2288525</v>
      </c>
      <c r="H1234" s="135">
        <v>44650</v>
      </c>
      <c r="I1234" s="134">
        <v>9.4189999999999996E-2</v>
      </c>
      <c r="J1234" s="145"/>
      <c r="K1234" s="145"/>
      <c r="L1234" s="145"/>
      <c r="M1234" s="145"/>
      <c r="N1234" s="145"/>
      <c r="O1234" s="145"/>
      <c r="P1234" s="145"/>
      <c r="Q1234" s="145"/>
      <c r="R1234" s="145"/>
      <c r="S1234" s="145"/>
      <c r="T1234" s="135">
        <v>21972</v>
      </c>
      <c r="U1234" s="145"/>
      <c r="V1234" s="134" t="s">
        <v>563</v>
      </c>
      <c r="W1234" s="92" t="str">
        <f t="shared" si="93"/>
        <v>Garcia Arias,Felicitacion</v>
      </c>
      <c r="X1234" s="95">
        <f t="shared" si="91"/>
        <v>3</v>
      </c>
      <c r="Y1234" s="134"/>
      <c r="Z1234" s="136" t="s">
        <v>266</v>
      </c>
      <c r="AA1234" t="str">
        <f>IF(Tabla1[[#This Row],[Kerma en aire acumulada (Gy)]]&gt;1,SUMIF(G:G,Tabla1[[#This Row],[SIP]],I:I)-Tabla1[[#This Row],[Kerma en aire acumulada (Gy)]],"")</f>
        <v/>
      </c>
    </row>
    <row r="1235" spans="3:27">
      <c r="C1235" s="147" t="s">
        <v>1088</v>
      </c>
      <c r="D1235" s="134" t="s">
        <v>1587</v>
      </c>
      <c r="E1235" s="134" t="s">
        <v>2499</v>
      </c>
      <c r="F1235" s="134" t="s">
        <v>83</v>
      </c>
      <c r="G1235" s="134">
        <v>297110</v>
      </c>
      <c r="H1235" s="135">
        <v>44650</v>
      </c>
      <c r="I1235" s="134">
        <v>0.13042000000000001</v>
      </c>
      <c r="J1235" s="145"/>
      <c r="K1235" s="145"/>
      <c r="L1235" s="145"/>
      <c r="M1235" s="145"/>
      <c r="N1235" s="145"/>
      <c r="O1235" s="145"/>
      <c r="P1235" s="145"/>
      <c r="Q1235" s="145"/>
      <c r="R1235" s="145"/>
      <c r="S1235" s="145"/>
      <c r="T1235" s="135">
        <v>25391</v>
      </c>
      <c r="U1235" s="145"/>
      <c r="V1235" s="134" t="s">
        <v>563</v>
      </c>
      <c r="W1235" s="92" t="str">
        <f t="shared" si="93"/>
        <v>Jimenez Cardenas,Francisco</v>
      </c>
      <c r="X1235" s="95">
        <f t="shared" si="91"/>
        <v>3</v>
      </c>
      <c r="Y1235" s="134"/>
      <c r="Z1235" s="136" t="s">
        <v>266</v>
      </c>
      <c r="AA1235" t="str">
        <f>IF(Tabla1[[#This Row],[Kerma en aire acumulada (Gy)]]&gt;1,SUMIF(G:G,Tabla1[[#This Row],[SIP]],I:I)-Tabla1[[#This Row],[Kerma en aire acumulada (Gy)]],"")</f>
        <v/>
      </c>
    </row>
    <row r="1236" spans="3:27">
      <c r="C1236" s="147" t="s">
        <v>1088</v>
      </c>
      <c r="D1236" s="134" t="s">
        <v>2500</v>
      </c>
      <c r="E1236" s="134" t="s">
        <v>962</v>
      </c>
      <c r="F1236" s="134" t="s">
        <v>1697</v>
      </c>
      <c r="G1236" s="134">
        <v>2813443</v>
      </c>
      <c r="H1236" s="135">
        <v>44650</v>
      </c>
      <c r="I1236" s="134">
        <v>4.3118499999999997</v>
      </c>
      <c r="J1236" s="145"/>
      <c r="K1236" s="145"/>
      <c r="L1236" s="145"/>
      <c r="M1236" s="145"/>
      <c r="N1236" s="145"/>
      <c r="O1236" s="145"/>
      <c r="P1236" s="145"/>
      <c r="Q1236" s="145"/>
      <c r="R1236" s="145"/>
      <c r="S1236" s="145"/>
      <c r="T1236" s="135">
        <v>19495</v>
      </c>
      <c r="U1236" s="145"/>
      <c r="V1236" s="134" t="s">
        <v>563</v>
      </c>
      <c r="W1236" s="92" t="str">
        <f t="shared" si="93"/>
        <v>Sandroma Garcia,Emilio</v>
      </c>
      <c r="X1236" s="95">
        <f t="shared" si="91"/>
        <v>3</v>
      </c>
      <c r="Y1236" s="134"/>
      <c r="Z1236" s="136" t="s">
        <v>266</v>
      </c>
      <c r="AA1236">
        <f>IF(Tabla1[[#This Row],[Kerma en aire acumulada (Gy)]]&gt;1,SUMIF(G:G,Tabla1[[#This Row],[SIP]],I:I)-Tabla1[[#This Row],[Kerma en aire acumulada (Gy)]],"")</f>
        <v>0</v>
      </c>
    </row>
    <row r="1237" spans="3:27">
      <c r="C1237" s="147" t="s">
        <v>1088</v>
      </c>
      <c r="D1237" s="134" t="s">
        <v>2501</v>
      </c>
      <c r="E1237" s="134" t="s">
        <v>153</v>
      </c>
      <c r="F1237" s="134" t="s">
        <v>1139</v>
      </c>
      <c r="G1237" s="134">
        <v>147735</v>
      </c>
      <c r="H1237" s="135">
        <v>44650</v>
      </c>
      <c r="I1237" s="134">
        <v>0.52529999999999999</v>
      </c>
      <c r="J1237" s="145"/>
      <c r="K1237" s="145"/>
      <c r="L1237" s="145"/>
      <c r="M1237" s="145"/>
      <c r="N1237" s="145"/>
      <c r="O1237" s="145"/>
      <c r="P1237" s="145"/>
      <c r="Q1237" s="145"/>
      <c r="R1237" s="145"/>
      <c r="S1237" s="145"/>
      <c r="T1237" s="135">
        <v>25725</v>
      </c>
      <c r="U1237" s="145"/>
      <c r="V1237" s="134" t="s">
        <v>563</v>
      </c>
      <c r="W1237" s="92" t="str">
        <f t="shared" si="93"/>
        <v>Paya Morant,Jose Vicente</v>
      </c>
      <c r="X1237" s="95">
        <f t="shared" ref="X1237:X1300" si="95">MONTH(H1237)</f>
        <v>3</v>
      </c>
      <c r="Y1237" s="134"/>
      <c r="Z1237" s="136" t="s">
        <v>266</v>
      </c>
      <c r="AA1237" t="str">
        <f>IF(Tabla1[[#This Row],[Kerma en aire acumulada (Gy)]]&gt;1,SUMIF(G:G,Tabla1[[#This Row],[SIP]],I:I)-Tabla1[[#This Row],[Kerma en aire acumulada (Gy)]],"")</f>
        <v/>
      </c>
    </row>
    <row r="1238" spans="3:27">
      <c r="C1238" s="147" t="s">
        <v>1088</v>
      </c>
      <c r="D1238" s="134" t="s">
        <v>2511</v>
      </c>
      <c r="E1238" s="134" t="s">
        <v>948</v>
      </c>
      <c r="F1238" s="134" t="s">
        <v>699</v>
      </c>
      <c r="G1238" s="134">
        <v>1566142</v>
      </c>
      <c r="H1238" s="135">
        <v>44650</v>
      </c>
      <c r="I1238" s="134">
        <v>2.8209999999999999E-2</v>
      </c>
      <c r="J1238" s="145"/>
      <c r="K1238" s="145"/>
      <c r="L1238" s="145"/>
      <c r="M1238" s="145"/>
      <c r="N1238" s="145"/>
      <c r="O1238" s="145"/>
      <c r="P1238" s="145"/>
      <c r="Q1238" s="145"/>
      <c r="R1238" s="145"/>
      <c r="S1238" s="145"/>
      <c r="T1238" s="135">
        <v>31697</v>
      </c>
      <c r="U1238" s="145"/>
      <c r="V1238" s="134" t="s">
        <v>2237</v>
      </c>
      <c r="W1238" s="92" t="str">
        <f t="shared" si="93"/>
        <v>Palazon Martinez,Cristina</v>
      </c>
      <c r="X1238" s="95">
        <f t="shared" si="95"/>
        <v>3</v>
      </c>
      <c r="Y1238" s="95">
        <f t="shared" ref="Y1238:Y1252" si="96">YEAR(H1238)</f>
        <v>2022</v>
      </c>
      <c r="Z1238" s="136" t="s">
        <v>2238</v>
      </c>
      <c r="AA1238" t="str">
        <f>IF(Tabla1[[#This Row],[Kerma en aire acumulada (Gy)]]&gt;1,SUMIF(G:G,Tabla1[[#This Row],[SIP]],I:I)-Tabla1[[#This Row],[Kerma en aire acumulada (Gy)]],"")</f>
        <v/>
      </c>
    </row>
    <row r="1239" spans="3:27">
      <c r="C1239" s="147" t="s">
        <v>1088</v>
      </c>
      <c r="D1239" s="134" t="s">
        <v>956</v>
      </c>
      <c r="E1239" s="134" t="s">
        <v>21</v>
      </c>
      <c r="F1239" s="134" t="s">
        <v>75</v>
      </c>
      <c r="G1239" s="134">
        <v>2634637</v>
      </c>
      <c r="H1239" s="135">
        <v>44651</v>
      </c>
      <c r="I1239" s="134">
        <v>0.12993399999999999</v>
      </c>
      <c r="J1239" s="145"/>
      <c r="K1239" s="145"/>
      <c r="L1239" s="145"/>
      <c r="M1239" s="145"/>
      <c r="N1239" s="145"/>
      <c r="O1239" s="145"/>
      <c r="P1239" s="145"/>
      <c r="Q1239" s="145"/>
      <c r="R1239" s="145"/>
      <c r="S1239" s="145"/>
      <c r="T1239" s="135">
        <v>31297</v>
      </c>
      <c r="U1239" s="145"/>
      <c r="V1239" s="134" t="s">
        <v>1934</v>
      </c>
      <c r="W1239" s="92" t="str">
        <f t="shared" si="93"/>
        <v>Alacreu Cervera,Javier</v>
      </c>
      <c r="X1239" s="95">
        <f t="shared" si="95"/>
        <v>3</v>
      </c>
      <c r="Y1239" s="95">
        <f t="shared" si="96"/>
        <v>2022</v>
      </c>
      <c r="Z1239" s="103" t="s">
        <v>265</v>
      </c>
      <c r="AA1239" t="str">
        <f>IF(Tabla1[[#This Row],[Kerma en aire acumulada (Gy)]]&gt;1,SUMIF(G:G,Tabla1[[#This Row],[SIP]],I:I)-Tabla1[[#This Row],[Kerma en aire acumulada (Gy)]],"")</f>
        <v/>
      </c>
    </row>
    <row r="1240" spans="3:27">
      <c r="C1240" s="147" t="s">
        <v>1088</v>
      </c>
      <c r="D1240" s="134" t="s">
        <v>2430</v>
      </c>
      <c r="E1240" s="134" t="s">
        <v>2292</v>
      </c>
      <c r="F1240" s="134" t="s">
        <v>1673</v>
      </c>
      <c r="G1240" s="134">
        <v>2180976</v>
      </c>
      <c r="H1240" s="135">
        <v>44651</v>
      </c>
      <c r="I1240" s="134">
        <v>6.0699999999999999E-3</v>
      </c>
      <c r="J1240" s="145"/>
      <c r="K1240" s="145"/>
      <c r="L1240" s="145"/>
      <c r="M1240" s="145"/>
      <c r="N1240" s="145"/>
      <c r="O1240" s="145"/>
      <c r="P1240" s="145"/>
      <c r="Q1240" s="145"/>
      <c r="R1240" s="145"/>
      <c r="S1240" s="145"/>
      <c r="T1240" s="135">
        <v>22551</v>
      </c>
      <c r="U1240" s="145"/>
      <c r="V1240" s="134" t="s">
        <v>503</v>
      </c>
      <c r="W1240" s="92" t="str">
        <f t="shared" si="93"/>
        <v>Hens  Aguayo,Aurora</v>
      </c>
      <c r="X1240" s="95">
        <f t="shared" si="95"/>
        <v>3</v>
      </c>
      <c r="Y1240" s="95">
        <f t="shared" si="96"/>
        <v>2022</v>
      </c>
      <c r="Z1240" s="103" t="s">
        <v>265</v>
      </c>
      <c r="AA1240" t="str">
        <f>IF(Tabla1[[#This Row],[Kerma en aire acumulada (Gy)]]&gt;1,SUMIF(G:G,Tabla1[[#This Row],[SIP]],I:I)-Tabla1[[#This Row],[Kerma en aire acumulada (Gy)]],"")</f>
        <v/>
      </c>
    </row>
    <row r="1241" spans="3:27">
      <c r="C1241" s="147" t="s">
        <v>1088</v>
      </c>
      <c r="D1241" s="134" t="s">
        <v>2431</v>
      </c>
      <c r="E1241" s="134" t="s">
        <v>2432</v>
      </c>
      <c r="F1241" s="134" t="s">
        <v>2433</v>
      </c>
      <c r="G1241" s="134">
        <v>4559411</v>
      </c>
      <c r="H1241" s="135">
        <v>44651</v>
      </c>
      <c r="I1241" s="134">
        <v>6.3400000000000001E-3</v>
      </c>
      <c r="J1241" s="145"/>
      <c r="K1241" s="145"/>
      <c r="L1241" s="145"/>
      <c r="M1241" s="145"/>
      <c r="N1241" s="145"/>
      <c r="O1241" s="145"/>
      <c r="P1241" s="145"/>
      <c r="Q1241" s="145"/>
      <c r="R1241" s="145"/>
      <c r="S1241" s="145"/>
      <c r="T1241" s="135">
        <v>24774</v>
      </c>
      <c r="U1241" s="145"/>
      <c r="V1241" s="134" t="s">
        <v>2434</v>
      </c>
      <c r="W1241" s="92" t="str">
        <f t="shared" si="93"/>
        <v>Aiteur Rodirguez,Alain</v>
      </c>
      <c r="X1241" s="95">
        <f t="shared" si="95"/>
        <v>3</v>
      </c>
      <c r="Y1241" s="95">
        <f t="shared" si="96"/>
        <v>2022</v>
      </c>
      <c r="Z1241" s="103" t="s">
        <v>265</v>
      </c>
      <c r="AA1241" t="str">
        <f>IF(Tabla1[[#This Row],[Kerma en aire acumulada (Gy)]]&gt;1,SUMIF(G:G,Tabla1[[#This Row],[SIP]],I:I)-Tabla1[[#This Row],[Kerma en aire acumulada (Gy)]],"")</f>
        <v/>
      </c>
    </row>
    <row r="1242" spans="3:27">
      <c r="C1242" s="147" t="s">
        <v>1088</v>
      </c>
      <c r="D1242" s="134" t="s">
        <v>2435</v>
      </c>
      <c r="E1242" s="134" t="s">
        <v>2436</v>
      </c>
      <c r="F1242" s="134" t="s">
        <v>2437</v>
      </c>
      <c r="G1242" s="134">
        <v>3505860</v>
      </c>
      <c r="H1242" s="135">
        <v>44651</v>
      </c>
      <c r="I1242" s="134">
        <v>5.2199999999999998E-3</v>
      </c>
      <c r="J1242" s="145"/>
      <c r="K1242" s="145"/>
      <c r="L1242" s="145"/>
      <c r="M1242" s="145"/>
      <c r="N1242" s="145"/>
      <c r="O1242" s="145"/>
      <c r="P1242" s="145"/>
      <c r="Q1242" s="145"/>
      <c r="R1242" s="145"/>
      <c r="S1242" s="145"/>
      <c r="T1242" s="135">
        <v>28041</v>
      </c>
      <c r="U1242" s="145"/>
      <c r="V1242" s="134" t="s">
        <v>1934</v>
      </c>
      <c r="W1242" s="92" t="str">
        <f t="shared" si="93"/>
        <v>Soto Arnau,Maria Remedios</v>
      </c>
      <c r="X1242" s="95">
        <f t="shared" si="95"/>
        <v>3</v>
      </c>
      <c r="Y1242" s="95">
        <f t="shared" si="96"/>
        <v>2022</v>
      </c>
      <c r="Z1242" s="103" t="s">
        <v>265</v>
      </c>
      <c r="AA1242" t="str">
        <f>IF(Tabla1[[#This Row],[Kerma en aire acumulada (Gy)]]&gt;1,SUMIF(G:G,Tabla1[[#This Row],[SIP]],I:I)-Tabla1[[#This Row],[Kerma en aire acumulada (Gy)]],"")</f>
        <v/>
      </c>
    </row>
    <row r="1243" spans="3:27">
      <c r="C1243" s="147" t="s">
        <v>1088</v>
      </c>
      <c r="D1243" s="134" t="s">
        <v>1779</v>
      </c>
      <c r="E1243" s="134" t="s">
        <v>2342</v>
      </c>
      <c r="F1243" s="134" t="s">
        <v>300</v>
      </c>
      <c r="G1243" s="134">
        <v>4276516</v>
      </c>
      <c r="H1243" s="135">
        <v>44651</v>
      </c>
      <c r="I1243" s="134">
        <v>1.7222900000000001</v>
      </c>
      <c r="J1243" s="145"/>
      <c r="K1243" s="145"/>
      <c r="L1243" s="145"/>
      <c r="M1243" s="145"/>
      <c r="N1243" s="145"/>
      <c r="O1243" s="145"/>
      <c r="P1243" s="145"/>
      <c r="Q1243" s="145"/>
      <c r="R1243" s="145"/>
      <c r="S1243" s="145"/>
      <c r="T1243" s="135">
        <v>28070</v>
      </c>
      <c r="U1243" s="145"/>
      <c r="V1243" s="134" t="s">
        <v>509</v>
      </c>
      <c r="W1243" s="92" t="str">
        <f t="shared" si="93"/>
        <v>Trinidad Domenech,Carlos</v>
      </c>
      <c r="X1243" s="95">
        <f t="shared" si="95"/>
        <v>3</v>
      </c>
      <c r="Y1243" s="95">
        <f t="shared" si="96"/>
        <v>2022</v>
      </c>
      <c r="Z1243" s="103" t="s">
        <v>265</v>
      </c>
      <c r="AA1243">
        <f>IF(Tabla1[[#This Row],[Kerma en aire acumulada (Gy)]]&gt;1,SUMIF(G:G,Tabla1[[#This Row],[SIP]],I:I)-Tabla1[[#This Row],[Kerma en aire acumulada (Gy)]],"")</f>
        <v>0</v>
      </c>
    </row>
    <row r="1244" spans="3:27">
      <c r="C1244" s="147" t="s">
        <v>1088</v>
      </c>
      <c r="D1244" s="134" t="s">
        <v>2469</v>
      </c>
      <c r="E1244" s="134" t="s">
        <v>1001</v>
      </c>
      <c r="F1244" s="134" t="s">
        <v>2470</v>
      </c>
      <c r="G1244" s="134">
        <v>5898330</v>
      </c>
      <c r="H1244" s="135">
        <v>44651</v>
      </c>
      <c r="I1244" s="134">
        <v>3.4070000000000003E-2</v>
      </c>
      <c r="J1244" s="145"/>
      <c r="K1244" s="145"/>
      <c r="L1244" s="145"/>
      <c r="M1244" s="145"/>
      <c r="N1244" s="145"/>
      <c r="O1244" s="145"/>
      <c r="P1244" s="145"/>
      <c r="Q1244" s="145"/>
      <c r="R1244" s="145"/>
      <c r="S1244" s="145"/>
      <c r="T1244" s="135">
        <v>22931</v>
      </c>
      <c r="U1244" s="145"/>
      <c r="V1244" s="134" t="s">
        <v>563</v>
      </c>
      <c r="W1244" s="92" t="str">
        <f t="shared" si="93"/>
        <v>Calderon Perez,Julio Augustin</v>
      </c>
      <c r="X1244" s="95">
        <f t="shared" si="95"/>
        <v>3</v>
      </c>
      <c r="Y1244" s="95">
        <f t="shared" si="96"/>
        <v>2022</v>
      </c>
      <c r="Z1244" s="136" t="s">
        <v>266</v>
      </c>
      <c r="AA1244" t="str">
        <f>IF(Tabla1[[#This Row],[Kerma en aire acumulada (Gy)]]&gt;1,SUMIF(G:G,Tabla1[[#This Row],[SIP]],I:I)-Tabla1[[#This Row],[Kerma en aire acumulada (Gy)]],"")</f>
        <v/>
      </c>
    </row>
    <row r="1245" spans="3:27">
      <c r="C1245" s="147" t="s">
        <v>1088</v>
      </c>
      <c r="D1245" s="134" t="s">
        <v>960</v>
      </c>
      <c r="E1245" s="134" t="s">
        <v>2471</v>
      </c>
      <c r="F1245" s="134" t="s">
        <v>2472</v>
      </c>
      <c r="G1245" s="134">
        <v>3203181</v>
      </c>
      <c r="H1245" s="135">
        <v>44651</v>
      </c>
      <c r="I1245" s="134">
        <v>0.4209</v>
      </c>
      <c r="J1245" s="145"/>
      <c r="K1245" s="145"/>
      <c r="L1245" s="145"/>
      <c r="M1245" s="145"/>
      <c r="N1245" s="145"/>
      <c r="O1245" s="145"/>
      <c r="P1245" s="145"/>
      <c r="Q1245" s="145"/>
      <c r="R1245" s="145"/>
      <c r="S1245" s="145"/>
      <c r="T1245" s="135">
        <v>20242</v>
      </c>
      <c r="U1245" s="145"/>
      <c r="V1245" s="134" t="s">
        <v>563</v>
      </c>
      <c r="W1245" s="92" t="str">
        <f t="shared" si="93"/>
        <v>Lopez Villaplana,Jose Alberto</v>
      </c>
      <c r="X1245" s="95">
        <f t="shared" si="95"/>
        <v>3</v>
      </c>
      <c r="Y1245" s="95">
        <f t="shared" si="96"/>
        <v>2022</v>
      </c>
      <c r="Z1245" s="136" t="s">
        <v>266</v>
      </c>
      <c r="AA1245" t="str">
        <f>IF(Tabla1[[#This Row],[Kerma en aire acumulada (Gy)]]&gt;1,SUMIF(G:G,Tabla1[[#This Row],[SIP]],I:I)-Tabla1[[#This Row],[Kerma en aire acumulada (Gy)]],"")</f>
        <v/>
      </c>
    </row>
    <row r="1246" spans="3:27">
      <c r="C1246" s="147" t="s">
        <v>1088</v>
      </c>
      <c r="D1246" s="134" t="s">
        <v>2473</v>
      </c>
      <c r="E1246" s="134" t="s">
        <v>308</v>
      </c>
      <c r="F1246" s="134" t="s">
        <v>2474</v>
      </c>
      <c r="G1246" s="134">
        <v>5311661</v>
      </c>
      <c r="H1246" s="135">
        <v>44651</v>
      </c>
      <c r="I1246" s="134">
        <v>1.3805700000000001</v>
      </c>
      <c r="J1246" s="145"/>
      <c r="K1246" s="145"/>
      <c r="L1246" s="145"/>
      <c r="M1246" s="145"/>
      <c r="N1246" s="145"/>
      <c r="O1246" s="145"/>
      <c r="P1246" s="145"/>
      <c r="Q1246" s="145"/>
      <c r="R1246" s="145"/>
      <c r="S1246" s="145"/>
      <c r="T1246" s="135">
        <v>20625</v>
      </c>
      <c r="U1246" s="145"/>
      <c r="V1246" s="134" t="s">
        <v>563</v>
      </c>
      <c r="W1246" s="92" t="str">
        <f t="shared" si="93"/>
        <v>Ripull Montañana,Jose Tomas</v>
      </c>
      <c r="X1246" s="95">
        <f t="shared" si="95"/>
        <v>3</v>
      </c>
      <c r="Y1246" s="95">
        <f t="shared" si="96"/>
        <v>2022</v>
      </c>
      <c r="Z1246" s="136" t="s">
        <v>266</v>
      </c>
      <c r="AA1246">
        <f>IF(Tabla1[[#This Row],[Kerma en aire acumulada (Gy)]]&gt;1,SUMIF(G:G,Tabla1[[#This Row],[SIP]],I:I)-Tabla1[[#This Row],[Kerma en aire acumulada (Gy)]],"")</f>
        <v>0</v>
      </c>
    </row>
    <row r="1247" spans="3:27">
      <c r="C1247" s="147" t="s">
        <v>1088</v>
      </c>
      <c r="D1247" s="134" t="s">
        <v>800</v>
      </c>
      <c r="E1247" s="134" t="s">
        <v>801</v>
      </c>
      <c r="F1247" s="134" t="s">
        <v>802</v>
      </c>
      <c r="G1247" s="134">
        <v>1094226</v>
      </c>
      <c r="H1247" s="135">
        <v>44651</v>
      </c>
      <c r="I1247" s="134">
        <v>5.7709999999999997E-2</v>
      </c>
      <c r="J1247" s="145"/>
      <c r="K1247" s="145"/>
      <c r="L1247" s="145"/>
      <c r="M1247" s="145"/>
      <c r="N1247" s="145"/>
      <c r="O1247" s="145"/>
      <c r="P1247" s="145"/>
      <c r="Q1247" s="145"/>
      <c r="R1247" s="145"/>
      <c r="S1247" s="145"/>
      <c r="T1247" s="135">
        <v>27804</v>
      </c>
      <c r="U1247" s="145"/>
      <c r="V1247" s="134" t="s">
        <v>563</v>
      </c>
      <c r="W1247" s="92" t="str">
        <f t="shared" si="93"/>
        <v>Zamora Campillo,Noelia</v>
      </c>
      <c r="X1247" s="95">
        <f t="shared" si="95"/>
        <v>3</v>
      </c>
      <c r="Y1247" s="95">
        <f t="shared" si="96"/>
        <v>2022</v>
      </c>
      <c r="Z1247" s="136" t="s">
        <v>266</v>
      </c>
      <c r="AA1247" t="str">
        <f>IF(Tabla1[[#This Row],[Kerma en aire acumulada (Gy)]]&gt;1,SUMIF(G:G,Tabla1[[#This Row],[SIP]],I:I)-Tabla1[[#This Row],[Kerma en aire acumulada (Gy)]],"")</f>
        <v/>
      </c>
    </row>
    <row r="1248" spans="3:27">
      <c r="C1248" s="147" t="s">
        <v>1088</v>
      </c>
      <c r="D1248" s="134" t="s">
        <v>331</v>
      </c>
      <c r="E1248" s="134" t="s">
        <v>152</v>
      </c>
      <c r="F1248" s="134" t="s">
        <v>585</v>
      </c>
      <c r="G1248" s="134">
        <v>3027744</v>
      </c>
      <c r="H1248" s="135">
        <v>44651</v>
      </c>
      <c r="I1248" s="134">
        <v>0.19400000000000001</v>
      </c>
      <c r="J1248" s="145"/>
      <c r="K1248" s="145"/>
      <c r="L1248" s="145"/>
      <c r="M1248" s="145"/>
      <c r="N1248" s="145"/>
      <c r="O1248" s="145"/>
      <c r="P1248" s="145"/>
      <c r="Q1248" s="145"/>
      <c r="R1248" s="145"/>
      <c r="S1248" s="145"/>
      <c r="T1248" s="135">
        <v>17654</v>
      </c>
      <c r="U1248" s="145"/>
      <c r="V1248" s="134" t="s">
        <v>563</v>
      </c>
      <c r="W1248" s="92" t="str">
        <f t="shared" si="93"/>
        <v>Tormo Vidal,Ricardo</v>
      </c>
      <c r="X1248" s="95">
        <f t="shared" si="95"/>
        <v>3</v>
      </c>
      <c r="Y1248" s="95">
        <f t="shared" si="96"/>
        <v>2022</v>
      </c>
      <c r="Z1248" s="136" t="s">
        <v>266</v>
      </c>
      <c r="AA1248" t="str">
        <f>IF(Tabla1[[#This Row],[Kerma en aire acumulada (Gy)]]&gt;1,SUMIF(G:G,Tabla1[[#This Row],[SIP]],I:I)-Tabla1[[#This Row],[Kerma en aire acumulada (Gy)]],"")</f>
        <v/>
      </c>
    </row>
    <row r="1249" spans="3:27">
      <c r="C1249" s="147" t="s">
        <v>1088</v>
      </c>
      <c r="D1249" s="134" t="s">
        <v>2490</v>
      </c>
      <c r="E1249" s="134" t="s">
        <v>663</v>
      </c>
      <c r="F1249" s="134" t="s">
        <v>786</v>
      </c>
      <c r="G1249" s="134">
        <v>333315</v>
      </c>
      <c r="H1249" s="135">
        <v>44651</v>
      </c>
      <c r="I1249" s="134"/>
      <c r="J1249" s="145"/>
      <c r="K1249" s="145"/>
      <c r="L1249" s="145"/>
      <c r="M1249" s="145"/>
      <c r="N1249" s="145"/>
      <c r="O1249" s="145"/>
      <c r="P1249" s="145"/>
      <c r="Q1249" s="145"/>
      <c r="R1249" s="145"/>
      <c r="S1249" s="145"/>
      <c r="T1249" s="135">
        <v>25079</v>
      </c>
      <c r="U1249" s="145"/>
      <c r="V1249" s="134" t="s">
        <v>563</v>
      </c>
      <c r="W1249" s="92" t="str">
        <f t="shared" si="93"/>
        <v>Coloma Sanchis,Maria Carmen</v>
      </c>
      <c r="X1249" s="95">
        <f t="shared" si="95"/>
        <v>3</v>
      </c>
      <c r="Y1249" s="95">
        <f t="shared" si="96"/>
        <v>2022</v>
      </c>
      <c r="Z1249" s="136" t="s">
        <v>266</v>
      </c>
      <c r="AA1249" t="str">
        <f>IF(Tabla1[[#This Row],[Kerma en aire acumulada (Gy)]]&gt;1,SUMIF(G:G,Tabla1[[#This Row],[SIP]],I:I)-Tabla1[[#This Row],[Kerma en aire acumulada (Gy)]],"")</f>
        <v/>
      </c>
    </row>
    <row r="1250" spans="3:27">
      <c r="C1250" s="147" t="s">
        <v>1088</v>
      </c>
      <c r="D1250" s="134" t="s">
        <v>800</v>
      </c>
      <c r="E1250" s="134" t="s">
        <v>2491</v>
      </c>
      <c r="F1250" s="134" t="s">
        <v>2492</v>
      </c>
      <c r="G1250" s="134">
        <v>5297266</v>
      </c>
      <c r="H1250" s="135">
        <v>44651</v>
      </c>
      <c r="I1250" s="134"/>
      <c r="J1250" s="145"/>
      <c r="K1250" s="145"/>
      <c r="L1250" s="145"/>
      <c r="M1250" s="145"/>
      <c r="N1250" s="145"/>
      <c r="O1250" s="145"/>
      <c r="P1250" s="145"/>
      <c r="Q1250" s="145"/>
      <c r="R1250" s="145"/>
      <c r="S1250" s="145"/>
      <c r="T1250" s="135">
        <v>22477</v>
      </c>
      <c r="U1250" s="145"/>
      <c r="V1250" s="134" t="s">
        <v>563</v>
      </c>
      <c r="W1250" s="92" t="str">
        <f t="shared" si="93"/>
        <v>Zamora Sabadin,Hugo Ricardo</v>
      </c>
      <c r="X1250" s="95">
        <f t="shared" si="95"/>
        <v>3</v>
      </c>
      <c r="Y1250" s="95">
        <f t="shared" si="96"/>
        <v>2022</v>
      </c>
      <c r="Z1250" s="136" t="s">
        <v>266</v>
      </c>
      <c r="AA1250" t="str">
        <f>IF(Tabla1[[#This Row],[Kerma en aire acumulada (Gy)]]&gt;1,SUMIF(G:G,Tabla1[[#This Row],[SIP]],I:I)-Tabla1[[#This Row],[Kerma en aire acumulada (Gy)]],"")</f>
        <v/>
      </c>
    </row>
    <row r="1251" spans="3:27">
      <c r="C1251" s="147" t="s">
        <v>1088</v>
      </c>
      <c r="D1251" s="134" t="s">
        <v>2493</v>
      </c>
      <c r="E1251" s="134" t="s">
        <v>2494</v>
      </c>
      <c r="F1251" s="134" t="s">
        <v>585</v>
      </c>
      <c r="G1251" s="134">
        <v>3549265</v>
      </c>
      <c r="H1251" s="135">
        <v>44651</v>
      </c>
      <c r="I1251" s="134">
        <v>0.26823999999999998</v>
      </c>
      <c r="J1251" s="145"/>
      <c r="K1251" s="145"/>
      <c r="L1251" s="145"/>
      <c r="M1251" s="145"/>
      <c r="N1251" s="145"/>
      <c r="O1251" s="145"/>
      <c r="P1251" s="145"/>
      <c r="Q1251" s="145"/>
      <c r="R1251" s="145"/>
      <c r="S1251" s="145"/>
      <c r="T1251" s="135">
        <v>18168</v>
      </c>
      <c r="U1251" s="145"/>
      <c r="V1251" s="134" t="s">
        <v>563</v>
      </c>
      <c r="W1251" s="92" t="str">
        <f t="shared" ref="W1251:W1316" si="97">CONCATENATE(D1251,$A$591,E1251,",",F1251)</f>
        <v>Cocenpcion De Ajenjo,Ricardo</v>
      </c>
      <c r="X1251" s="95">
        <f t="shared" si="95"/>
        <v>3</v>
      </c>
      <c r="Y1251" s="95">
        <f t="shared" si="96"/>
        <v>2022</v>
      </c>
      <c r="Z1251" s="136" t="s">
        <v>266</v>
      </c>
      <c r="AA1251" t="str">
        <f>IF(Tabla1[[#This Row],[Kerma en aire acumulada (Gy)]]&gt;1,SUMIF(G:G,Tabla1[[#This Row],[SIP]],I:I)-Tabla1[[#This Row],[Kerma en aire acumulada (Gy)]],"")</f>
        <v/>
      </c>
    </row>
    <row r="1252" spans="3:27">
      <c r="C1252" s="147" t="s">
        <v>1088</v>
      </c>
      <c r="D1252" s="134" t="s">
        <v>2495</v>
      </c>
      <c r="E1252" s="134" t="s">
        <v>2496</v>
      </c>
      <c r="F1252" s="134" t="s">
        <v>585</v>
      </c>
      <c r="G1252" s="134">
        <v>3549265</v>
      </c>
      <c r="H1252" s="135">
        <v>44651</v>
      </c>
      <c r="I1252" s="134">
        <v>0.26823999999999998</v>
      </c>
      <c r="J1252" s="145"/>
      <c r="K1252" s="145"/>
      <c r="L1252" s="145"/>
      <c r="M1252" s="145"/>
      <c r="N1252" s="145"/>
      <c r="O1252" s="145"/>
      <c r="P1252" s="145"/>
      <c r="Q1252" s="145"/>
      <c r="R1252" s="145"/>
      <c r="S1252" s="145"/>
      <c r="T1252" s="135">
        <v>14515</v>
      </c>
      <c r="U1252" s="145"/>
      <c r="V1252" s="134" t="s">
        <v>563</v>
      </c>
      <c r="W1252" s="92" t="str">
        <f t="shared" si="97"/>
        <v>Concepción  De Asensio,Ricardo</v>
      </c>
      <c r="X1252" s="95">
        <f t="shared" si="95"/>
        <v>3</v>
      </c>
      <c r="Y1252" s="95">
        <f t="shared" si="96"/>
        <v>2022</v>
      </c>
      <c r="Z1252" s="136" t="s">
        <v>266</v>
      </c>
      <c r="AA1252" t="str">
        <f>IF(Tabla1[[#This Row],[Kerma en aire acumulada (Gy)]]&gt;1,SUMIF(G:G,Tabla1[[#This Row],[SIP]],I:I)-Tabla1[[#This Row],[Kerma en aire acumulada (Gy)]],"")</f>
        <v/>
      </c>
    </row>
    <row r="1253" spans="3:27">
      <c r="C1253" s="147" t="s">
        <v>1088</v>
      </c>
      <c r="D1253" s="134" t="s">
        <v>2099</v>
      </c>
      <c r="E1253" s="134" t="s">
        <v>2497</v>
      </c>
      <c r="F1253" s="134" t="s">
        <v>1664</v>
      </c>
      <c r="G1253" s="134">
        <v>3184447</v>
      </c>
      <c r="H1253" s="135">
        <v>44651</v>
      </c>
      <c r="I1253" s="134">
        <v>0.13447000000000001</v>
      </c>
      <c r="J1253" s="145"/>
      <c r="K1253" s="145"/>
      <c r="L1253" s="145"/>
      <c r="M1253" s="145"/>
      <c r="N1253" s="145"/>
      <c r="O1253" s="145"/>
      <c r="P1253" s="145"/>
      <c r="Q1253" s="145"/>
      <c r="R1253" s="145"/>
      <c r="S1253" s="145"/>
      <c r="T1253" s="135">
        <v>14822</v>
      </c>
      <c r="U1253" s="145"/>
      <c r="V1253" s="134" t="s">
        <v>563</v>
      </c>
      <c r="W1253" s="92" t="str">
        <f t="shared" si="97"/>
        <v>Zanon Marz,Dolores</v>
      </c>
      <c r="X1253" s="95">
        <f t="shared" si="95"/>
        <v>3</v>
      </c>
      <c r="Y1253" s="134"/>
      <c r="Z1253" s="136" t="s">
        <v>266</v>
      </c>
      <c r="AA1253" t="str">
        <f>IF(Tabla1[[#This Row],[Kerma en aire acumulada (Gy)]]&gt;1,SUMIF(G:G,Tabla1[[#This Row],[SIP]],I:I)-Tabla1[[#This Row],[Kerma en aire acumulada (Gy)]],"")</f>
        <v/>
      </c>
    </row>
    <row r="1254" spans="3:27">
      <c r="C1254" s="147" t="s">
        <v>1088</v>
      </c>
      <c r="D1254" s="134" t="s">
        <v>1904</v>
      </c>
      <c r="E1254" s="134" t="s">
        <v>2442</v>
      </c>
      <c r="F1254" s="134" t="s">
        <v>2382</v>
      </c>
      <c r="G1254" s="134">
        <v>4296328</v>
      </c>
      <c r="H1254" s="135">
        <v>44651</v>
      </c>
      <c r="I1254" s="134">
        <v>5.4429999999999999E-2</v>
      </c>
      <c r="J1254" s="145"/>
      <c r="K1254" s="145"/>
      <c r="L1254" s="145"/>
      <c r="M1254" s="145"/>
      <c r="N1254" s="145"/>
      <c r="O1254" s="145"/>
      <c r="P1254" s="145"/>
      <c r="Q1254" s="145"/>
      <c r="R1254" s="145"/>
      <c r="S1254" s="145"/>
      <c r="T1254" s="135">
        <v>36651</v>
      </c>
      <c r="U1254" s="145"/>
      <c r="V1254" s="134" t="s">
        <v>2241</v>
      </c>
      <c r="W1254" s="92" t="str">
        <f t="shared" si="97"/>
        <v>Nuñez Alcantara,Daniel</v>
      </c>
      <c r="X1254" s="95">
        <f t="shared" si="95"/>
        <v>3</v>
      </c>
      <c r="Y1254" s="95">
        <f t="shared" ref="Y1254:Y1285" si="98">YEAR(H1254)</f>
        <v>2022</v>
      </c>
      <c r="Z1254" s="136" t="s">
        <v>2238</v>
      </c>
      <c r="AA1254" t="str">
        <f>IF(Tabla1[[#This Row],[Kerma en aire acumulada (Gy)]]&gt;1,SUMIF(G:G,Tabla1[[#This Row],[SIP]],I:I)-Tabla1[[#This Row],[Kerma en aire acumulada (Gy)]],"")</f>
        <v/>
      </c>
    </row>
    <row r="1255" spans="3:27">
      <c r="C1255" s="147" t="s">
        <v>1088</v>
      </c>
      <c r="D1255" s="134" t="s">
        <v>2509</v>
      </c>
      <c r="E1255" s="134" t="s">
        <v>116</v>
      </c>
      <c r="F1255" s="134" t="s">
        <v>1104</v>
      </c>
      <c r="G1255" s="134">
        <v>2841836</v>
      </c>
      <c r="H1255" s="135">
        <v>44651</v>
      </c>
      <c r="I1255" s="134">
        <v>0.10176</v>
      </c>
      <c r="J1255" s="145"/>
      <c r="K1255" s="145"/>
      <c r="L1255" s="145"/>
      <c r="M1255" s="145"/>
      <c r="N1255" s="145"/>
      <c r="O1255" s="145"/>
      <c r="P1255" s="145"/>
      <c r="Q1255" s="145"/>
      <c r="R1255" s="145"/>
      <c r="S1255" s="145"/>
      <c r="T1255" s="135">
        <v>25799</v>
      </c>
      <c r="U1255" s="145"/>
      <c r="V1255" s="134" t="s">
        <v>2241</v>
      </c>
      <c r="W1255" s="92" t="str">
        <f t="shared" si="97"/>
        <v>Anselmo Serrano,Jose Luis</v>
      </c>
      <c r="X1255" s="95">
        <f t="shared" si="95"/>
        <v>3</v>
      </c>
      <c r="Y1255" s="95">
        <f t="shared" si="98"/>
        <v>2022</v>
      </c>
      <c r="Z1255" s="136" t="s">
        <v>2238</v>
      </c>
      <c r="AA1255" t="str">
        <f>IF(Tabla1[[#This Row],[Kerma en aire acumulada (Gy)]]&gt;1,SUMIF(G:G,Tabla1[[#This Row],[SIP]],I:I)-Tabla1[[#This Row],[Kerma en aire acumulada (Gy)]],"")</f>
        <v/>
      </c>
    </row>
    <row r="1256" spans="3:27">
      <c r="C1256" s="147" t="s">
        <v>1088</v>
      </c>
      <c r="D1256" s="134" t="s">
        <v>2510</v>
      </c>
      <c r="E1256" s="134" t="s">
        <v>183</v>
      </c>
      <c r="F1256" s="134" t="s">
        <v>1050</v>
      </c>
      <c r="G1256" s="134">
        <v>94321</v>
      </c>
      <c r="H1256" s="135">
        <v>44651</v>
      </c>
      <c r="I1256" s="134">
        <v>2.1800000000000001E-3</v>
      </c>
      <c r="J1256" s="145"/>
      <c r="K1256" s="145"/>
      <c r="L1256" s="145"/>
      <c r="M1256" s="145"/>
      <c r="N1256" s="145"/>
      <c r="O1256" s="145"/>
      <c r="P1256" s="145"/>
      <c r="Q1256" s="145"/>
      <c r="R1256" s="145"/>
      <c r="S1256" s="145"/>
      <c r="T1256" s="135">
        <v>20397</v>
      </c>
      <c r="U1256" s="145"/>
      <c r="V1256" s="134" t="s">
        <v>2505</v>
      </c>
      <c r="W1256" s="92" t="str">
        <f t="shared" si="97"/>
        <v>Ripoll Feliu,Francisco Javier</v>
      </c>
      <c r="X1256" s="95">
        <f t="shared" si="95"/>
        <v>3</v>
      </c>
      <c r="Y1256" s="95">
        <f t="shared" si="98"/>
        <v>2022</v>
      </c>
      <c r="Z1256" s="136" t="s">
        <v>2238</v>
      </c>
      <c r="AA1256" t="str">
        <f>IF(Tabla1[[#This Row],[Kerma en aire acumulada (Gy)]]&gt;1,SUMIF(G:G,Tabla1[[#This Row],[SIP]],I:I)-Tabla1[[#This Row],[Kerma en aire acumulada (Gy)]],"")</f>
        <v/>
      </c>
    </row>
    <row r="1257" spans="3:27">
      <c r="C1257" s="147" t="s">
        <v>1088</v>
      </c>
      <c r="D1257" s="134" t="s">
        <v>82</v>
      </c>
      <c r="E1257" s="134" t="s">
        <v>2415</v>
      </c>
      <c r="F1257" s="134" t="s">
        <v>991</v>
      </c>
      <c r="G1257" s="134">
        <v>2484069</v>
      </c>
      <c r="H1257" s="135">
        <v>44652</v>
      </c>
      <c r="I1257" s="134">
        <v>0.11848</v>
      </c>
      <c r="J1257" s="145"/>
      <c r="K1257" s="145"/>
      <c r="L1257" s="145"/>
      <c r="M1257" s="145"/>
      <c r="N1257" s="145"/>
      <c r="O1257" s="145"/>
      <c r="P1257" s="145"/>
      <c r="Q1257" s="145"/>
      <c r="R1257" s="145"/>
      <c r="S1257" s="145"/>
      <c r="T1257" s="135">
        <v>31175</v>
      </c>
      <c r="U1257" s="145"/>
      <c r="V1257" s="134" t="s">
        <v>1653</v>
      </c>
      <c r="W1257" s="92" t="str">
        <f t="shared" si="97"/>
        <v>Pascual Miro,Jose</v>
      </c>
      <c r="X1257" s="95">
        <f t="shared" si="95"/>
        <v>4</v>
      </c>
      <c r="Y1257" s="95">
        <f t="shared" si="98"/>
        <v>2022</v>
      </c>
      <c r="Z1257" s="103" t="s">
        <v>265</v>
      </c>
      <c r="AA1257" t="str">
        <f>IF(Tabla1[[#This Row],[Kerma en aire acumulada (Gy)]]&gt;1,SUMIF(G:G,Tabla1[[#This Row],[SIP]],I:I)-Tabla1[[#This Row],[Kerma en aire acumulada (Gy)]],"")</f>
        <v/>
      </c>
    </row>
    <row r="1258" spans="3:27">
      <c r="C1258" s="147" t="s">
        <v>1088</v>
      </c>
      <c r="D1258" s="134" t="s">
        <v>2416</v>
      </c>
      <c r="E1258" s="134" t="s">
        <v>2417</v>
      </c>
      <c r="F1258" s="134" t="s">
        <v>2418</v>
      </c>
      <c r="G1258" s="134">
        <v>5651833</v>
      </c>
      <c r="H1258" s="135">
        <v>44652</v>
      </c>
      <c r="I1258" s="134">
        <v>9.5299999999999996E-2</v>
      </c>
      <c r="J1258" s="145"/>
      <c r="K1258" s="145"/>
      <c r="L1258" s="145"/>
      <c r="M1258" s="145"/>
      <c r="N1258" s="145"/>
      <c r="O1258" s="145"/>
      <c r="P1258" s="145"/>
      <c r="Q1258" s="145"/>
      <c r="R1258" s="145"/>
      <c r="S1258" s="145"/>
      <c r="T1258" s="135">
        <v>24205</v>
      </c>
      <c r="U1258" s="145"/>
      <c r="V1258" s="134" t="s">
        <v>2253</v>
      </c>
      <c r="W1258" s="92" t="str">
        <f t="shared" si="97"/>
        <v>Rosero Murcia,Luz Marina</v>
      </c>
      <c r="X1258" s="95">
        <f t="shared" si="95"/>
        <v>4</v>
      </c>
      <c r="Y1258" s="95">
        <f t="shared" si="98"/>
        <v>2022</v>
      </c>
      <c r="Z1258" s="103" t="s">
        <v>265</v>
      </c>
      <c r="AA1258" t="str">
        <f>IF(Tabla1[[#This Row],[Kerma en aire acumulada (Gy)]]&gt;1,SUMIF(G:G,Tabla1[[#This Row],[SIP]],I:I)-Tabla1[[#This Row],[Kerma en aire acumulada (Gy)]],"")</f>
        <v/>
      </c>
    </row>
    <row r="1259" spans="3:27">
      <c r="C1259" s="147" t="s">
        <v>1088</v>
      </c>
      <c r="D1259" s="134" t="s">
        <v>2425</v>
      </c>
      <c r="E1259" s="134" t="s">
        <v>772</v>
      </c>
      <c r="F1259" s="134" t="s">
        <v>2426</v>
      </c>
      <c r="G1259" s="134">
        <v>13456116</v>
      </c>
      <c r="H1259" s="135">
        <v>44652</v>
      </c>
      <c r="I1259" s="134">
        <v>0.68398999999999999</v>
      </c>
      <c r="J1259" s="145"/>
      <c r="K1259" s="145"/>
      <c r="L1259" s="145"/>
      <c r="M1259" s="145"/>
      <c r="N1259" s="145"/>
      <c r="O1259" s="145"/>
      <c r="P1259" s="145"/>
      <c r="Q1259" s="145"/>
      <c r="R1259" s="145"/>
      <c r="S1259" s="145"/>
      <c r="T1259" s="135">
        <v>32688</v>
      </c>
      <c r="U1259" s="145"/>
      <c r="V1259" s="134" t="s">
        <v>2253</v>
      </c>
      <c r="W1259" s="92" t="str">
        <f t="shared" si="97"/>
        <v>Vidiella Sanchez,Nereida</v>
      </c>
      <c r="X1259" s="95">
        <f t="shared" si="95"/>
        <v>4</v>
      </c>
      <c r="Y1259" s="95">
        <f t="shared" si="98"/>
        <v>2022</v>
      </c>
      <c r="Z1259" s="103" t="s">
        <v>265</v>
      </c>
      <c r="AA1259" t="str">
        <f>IF(Tabla1[[#This Row],[Kerma en aire acumulada (Gy)]]&gt;1,SUMIF(G:G,Tabla1[[#This Row],[SIP]],I:I)-Tabla1[[#This Row],[Kerma en aire acumulada (Gy)]],"")</f>
        <v/>
      </c>
    </row>
    <row r="1260" spans="3:27">
      <c r="C1260" s="147" t="s">
        <v>1088</v>
      </c>
      <c r="D1260" s="134" t="s">
        <v>2427</v>
      </c>
      <c r="E1260" s="134" t="s">
        <v>663</v>
      </c>
      <c r="F1260" s="134" t="s">
        <v>68</v>
      </c>
      <c r="G1260" s="134">
        <v>5635477</v>
      </c>
      <c r="H1260" s="135">
        <v>44652</v>
      </c>
      <c r="I1260" s="134">
        <v>0.15683</v>
      </c>
      <c r="J1260" s="145"/>
      <c r="K1260" s="145"/>
      <c r="L1260" s="145"/>
      <c r="M1260" s="145"/>
      <c r="N1260" s="145"/>
      <c r="O1260" s="145"/>
      <c r="P1260" s="145"/>
      <c r="Q1260" s="145"/>
      <c r="R1260" s="145"/>
      <c r="S1260" s="145"/>
      <c r="T1260" s="135">
        <v>25660</v>
      </c>
      <c r="U1260" s="145"/>
      <c r="V1260" s="134" t="s">
        <v>1293</v>
      </c>
      <c r="W1260" s="92" t="str">
        <f t="shared" si="97"/>
        <v>Elez-Villarroel Sanchis,Juan</v>
      </c>
      <c r="X1260" s="95">
        <f t="shared" si="95"/>
        <v>4</v>
      </c>
      <c r="Y1260" s="95">
        <f t="shared" si="98"/>
        <v>2022</v>
      </c>
      <c r="Z1260" s="103" t="s">
        <v>265</v>
      </c>
      <c r="AA1260" t="str">
        <f>IF(Tabla1[[#This Row],[Kerma en aire acumulada (Gy)]]&gt;1,SUMIF(G:G,Tabla1[[#This Row],[SIP]],I:I)-Tabla1[[#This Row],[Kerma en aire acumulada (Gy)]],"")</f>
        <v/>
      </c>
    </row>
    <row r="1261" spans="3:27">
      <c r="C1261" s="147" t="s">
        <v>1088</v>
      </c>
      <c r="D1261" s="134" t="s">
        <v>319</v>
      </c>
      <c r="E1261" s="134" t="s">
        <v>2428</v>
      </c>
      <c r="F1261" s="134" t="s">
        <v>2429</v>
      </c>
      <c r="G1261" s="134">
        <v>3064176</v>
      </c>
      <c r="H1261" s="135">
        <v>44652</v>
      </c>
      <c r="I1261" s="134">
        <v>6.28E-3</v>
      </c>
      <c r="J1261" s="145"/>
      <c r="K1261" s="145"/>
      <c r="L1261" s="145"/>
      <c r="M1261" s="145"/>
      <c r="N1261" s="145"/>
      <c r="O1261" s="145"/>
      <c r="P1261" s="145"/>
      <c r="Q1261" s="145"/>
      <c r="R1261" s="145"/>
      <c r="S1261" s="145"/>
      <c r="T1261" s="135">
        <v>22767</v>
      </c>
      <c r="U1261" s="145"/>
      <c r="V1261" s="134" t="s">
        <v>2079</v>
      </c>
      <c r="W1261" s="92" t="str">
        <f t="shared" si="97"/>
        <v>Gonzalez Cubel,Maria Laura</v>
      </c>
      <c r="X1261" s="95">
        <f t="shared" si="95"/>
        <v>4</v>
      </c>
      <c r="Y1261" s="95">
        <f t="shared" si="98"/>
        <v>2022</v>
      </c>
      <c r="Z1261" s="103" t="s">
        <v>265</v>
      </c>
      <c r="AA1261" t="str">
        <f>IF(Tabla1[[#This Row],[Kerma en aire acumulada (Gy)]]&gt;1,SUMIF(G:G,Tabla1[[#This Row],[SIP]],I:I)-Tabla1[[#This Row],[Kerma en aire acumulada (Gy)]],"")</f>
        <v/>
      </c>
    </row>
    <row r="1262" spans="3:27">
      <c r="C1262" s="147" t="s">
        <v>1088</v>
      </c>
      <c r="D1262" s="134" t="s">
        <v>1001</v>
      </c>
      <c r="E1262" s="134" t="s">
        <v>2465</v>
      </c>
      <c r="F1262" s="134" t="s">
        <v>1137</v>
      </c>
      <c r="G1262" s="134">
        <v>2429187</v>
      </c>
      <c r="H1262" s="135">
        <v>44652</v>
      </c>
      <c r="I1262" s="134">
        <v>0.11476</v>
      </c>
      <c r="J1262" s="145"/>
      <c r="K1262" s="145"/>
      <c r="L1262" s="145"/>
      <c r="M1262" s="145"/>
      <c r="N1262" s="145"/>
      <c r="O1262" s="145"/>
      <c r="P1262" s="145"/>
      <c r="Q1262" s="145"/>
      <c r="R1262" s="145"/>
      <c r="S1262" s="145"/>
      <c r="T1262" s="135">
        <v>28107</v>
      </c>
      <c r="U1262" s="145"/>
      <c r="V1262" s="134" t="s">
        <v>563</v>
      </c>
      <c r="W1262" s="92" t="str">
        <f t="shared" si="97"/>
        <v>Perez Miron,Lucia</v>
      </c>
      <c r="X1262" s="95">
        <f t="shared" si="95"/>
        <v>4</v>
      </c>
      <c r="Y1262" s="95">
        <f t="shared" si="98"/>
        <v>2022</v>
      </c>
      <c r="Z1262" s="136" t="s">
        <v>266</v>
      </c>
      <c r="AA1262" t="str">
        <f>IF(Tabla1[[#This Row],[Kerma en aire acumulada (Gy)]]&gt;1,SUMIF(G:G,Tabla1[[#This Row],[SIP]],I:I)-Tabla1[[#This Row],[Kerma en aire acumulada (Gy)]],"")</f>
        <v/>
      </c>
    </row>
    <row r="1263" spans="3:27">
      <c r="C1263" s="147" t="s">
        <v>1088</v>
      </c>
      <c r="D1263" s="134" t="s">
        <v>767</v>
      </c>
      <c r="E1263" s="134" t="s">
        <v>145</v>
      </c>
      <c r="F1263" s="134" t="s">
        <v>2466</v>
      </c>
      <c r="G1263" s="134">
        <v>2323101</v>
      </c>
      <c r="H1263" s="135">
        <v>44652</v>
      </c>
      <c r="I1263" s="134">
        <v>0.28310999999999997</v>
      </c>
      <c r="J1263" s="145"/>
      <c r="K1263" s="145"/>
      <c r="L1263" s="145"/>
      <c r="M1263" s="145"/>
      <c r="N1263" s="145"/>
      <c r="O1263" s="145"/>
      <c r="P1263" s="145"/>
      <c r="Q1263" s="145"/>
      <c r="R1263" s="145"/>
      <c r="S1263" s="145"/>
      <c r="T1263" s="135">
        <v>21056</v>
      </c>
      <c r="U1263" s="145"/>
      <c r="V1263" s="134" t="s">
        <v>563</v>
      </c>
      <c r="W1263" s="92" t="str">
        <f t="shared" si="97"/>
        <v>Segarra Crespo,Vicenta Rosario</v>
      </c>
      <c r="X1263" s="95">
        <f t="shared" si="95"/>
        <v>4</v>
      </c>
      <c r="Y1263" s="95">
        <f t="shared" si="98"/>
        <v>2022</v>
      </c>
      <c r="Z1263" s="136" t="s">
        <v>266</v>
      </c>
      <c r="AA1263" t="str">
        <f>IF(Tabla1[[#This Row],[Kerma en aire acumulada (Gy)]]&gt;1,SUMIF(G:G,Tabla1[[#This Row],[SIP]],I:I)-Tabla1[[#This Row],[Kerma en aire acumulada (Gy)]],"")</f>
        <v/>
      </c>
    </row>
    <row r="1264" spans="3:27">
      <c r="C1264" s="147" t="s">
        <v>1088</v>
      </c>
      <c r="D1264" s="134" t="s">
        <v>2196</v>
      </c>
      <c r="E1264" s="134" t="s">
        <v>948</v>
      </c>
      <c r="F1264" s="134" t="s">
        <v>991</v>
      </c>
      <c r="G1264" s="134">
        <v>334019</v>
      </c>
      <c r="H1264" s="135">
        <v>44652</v>
      </c>
      <c r="I1264" s="134">
        <v>0.58350000000000002</v>
      </c>
      <c r="J1264" s="145"/>
      <c r="K1264" s="145"/>
      <c r="L1264" s="145"/>
      <c r="M1264" s="145"/>
      <c r="N1264" s="145"/>
      <c r="O1264" s="145"/>
      <c r="P1264" s="145"/>
      <c r="Q1264" s="145"/>
      <c r="R1264" s="145"/>
      <c r="S1264" s="145"/>
      <c r="T1264" s="135">
        <v>16854</v>
      </c>
      <c r="U1264" s="145"/>
      <c r="V1264" s="134" t="s">
        <v>563</v>
      </c>
      <c r="W1264" s="92" t="str">
        <f t="shared" si="97"/>
        <v>Bleda Martinez,Jose</v>
      </c>
      <c r="X1264" s="95">
        <f t="shared" si="95"/>
        <v>4</v>
      </c>
      <c r="Y1264" s="95">
        <f t="shared" si="98"/>
        <v>2022</v>
      </c>
      <c r="Z1264" s="136" t="s">
        <v>266</v>
      </c>
      <c r="AA1264" t="str">
        <f>IF(Tabla1[[#This Row],[Kerma en aire acumulada (Gy)]]&gt;1,SUMIF(G:G,Tabla1[[#This Row],[SIP]],I:I)-Tabla1[[#This Row],[Kerma en aire acumulada (Gy)]],"")</f>
        <v/>
      </c>
    </row>
    <row r="1265" spans="3:27">
      <c r="C1265" s="147" t="s">
        <v>1088</v>
      </c>
      <c r="D1265" s="134" t="s">
        <v>2467</v>
      </c>
      <c r="E1265" s="134" t="s">
        <v>2468</v>
      </c>
      <c r="F1265" s="134" t="s">
        <v>83</v>
      </c>
      <c r="G1265" s="134">
        <v>2607441</v>
      </c>
      <c r="H1265" s="135">
        <v>44652</v>
      </c>
      <c r="I1265" s="134">
        <v>0.42057</v>
      </c>
      <c r="J1265" s="145"/>
      <c r="K1265" s="145"/>
      <c r="L1265" s="145"/>
      <c r="M1265" s="145"/>
      <c r="N1265" s="145"/>
      <c r="O1265" s="145"/>
      <c r="P1265" s="145"/>
      <c r="Q1265" s="145"/>
      <c r="R1265" s="145"/>
      <c r="S1265" s="145"/>
      <c r="T1265" s="135">
        <v>25386</v>
      </c>
      <c r="U1265" s="145"/>
      <c r="V1265" s="134" t="s">
        <v>563</v>
      </c>
      <c r="W1265" s="92" t="str">
        <f t="shared" si="97"/>
        <v>Viu Nohales,Francisco</v>
      </c>
      <c r="X1265" s="95">
        <f t="shared" si="95"/>
        <v>4</v>
      </c>
      <c r="Y1265" s="95">
        <f t="shared" si="98"/>
        <v>2022</v>
      </c>
      <c r="Z1265" s="136" t="s">
        <v>266</v>
      </c>
      <c r="AA1265" t="str">
        <f>IF(Tabla1[[#This Row],[Kerma en aire acumulada (Gy)]]&gt;1,SUMIF(G:G,Tabla1[[#This Row],[SIP]],I:I)-Tabla1[[#This Row],[Kerma en aire acumulada (Gy)]],"")</f>
        <v/>
      </c>
    </row>
    <row r="1266" spans="3:27">
      <c r="C1266" s="147" t="s">
        <v>1088</v>
      </c>
      <c r="D1266" s="134" t="s">
        <v>1587</v>
      </c>
      <c r="E1266" s="134" t="s">
        <v>962</v>
      </c>
      <c r="F1266" s="134" t="s">
        <v>1155</v>
      </c>
      <c r="G1266" s="134">
        <v>2241432</v>
      </c>
      <c r="H1266" s="135">
        <v>44652</v>
      </c>
      <c r="I1266" s="134">
        <v>0.25683</v>
      </c>
      <c r="J1266" s="145"/>
      <c r="K1266" s="145"/>
      <c r="L1266" s="145"/>
      <c r="M1266" s="145"/>
      <c r="N1266" s="145"/>
      <c r="O1266" s="145"/>
      <c r="P1266" s="145"/>
      <c r="Q1266" s="145"/>
      <c r="R1266" s="145"/>
      <c r="S1266" s="145"/>
      <c r="T1266" s="135">
        <v>24627</v>
      </c>
      <c r="U1266" s="145"/>
      <c r="V1266" s="134" t="s">
        <v>563</v>
      </c>
      <c r="W1266" s="92" t="str">
        <f t="shared" si="97"/>
        <v>Jimenez Garcia,Maria</v>
      </c>
      <c r="X1266" s="95">
        <f t="shared" si="95"/>
        <v>4</v>
      </c>
      <c r="Y1266" s="95">
        <f t="shared" si="98"/>
        <v>2022</v>
      </c>
      <c r="Z1266" s="136" t="s">
        <v>266</v>
      </c>
      <c r="AA1266" t="str">
        <f>IF(Tabla1[[#This Row],[Kerma en aire acumulada (Gy)]]&gt;1,SUMIF(G:G,Tabla1[[#This Row],[SIP]],I:I)-Tabla1[[#This Row],[Kerma en aire acumulada (Gy)]],"")</f>
        <v/>
      </c>
    </row>
    <row r="1267" spans="3:27">
      <c r="C1267" s="147" t="s">
        <v>1088</v>
      </c>
      <c r="D1267" s="134" t="s">
        <v>126</v>
      </c>
      <c r="E1267" s="134" t="s">
        <v>66</v>
      </c>
      <c r="F1267" s="134" t="s">
        <v>991</v>
      </c>
      <c r="G1267" s="134">
        <v>22644616</v>
      </c>
      <c r="H1267" s="135">
        <v>44652</v>
      </c>
      <c r="I1267" s="134">
        <v>1.2169300000000001</v>
      </c>
      <c r="J1267" s="145"/>
      <c r="K1267" s="145"/>
      <c r="L1267" s="145"/>
      <c r="M1267" s="145"/>
      <c r="N1267" s="145"/>
      <c r="O1267" s="145"/>
      <c r="P1267" s="145"/>
      <c r="Q1267" s="145"/>
      <c r="R1267" s="145"/>
      <c r="S1267" s="145"/>
      <c r="T1267" s="135">
        <v>23307</v>
      </c>
      <c r="U1267" s="145"/>
      <c r="V1267" s="134" t="s">
        <v>563</v>
      </c>
      <c r="W1267" s="92" t="str">
        <f t="shared" si="97"/>
        <v>Domingo Navarro,Jose</v>
      </c>
      <c r="X1267" s="95">
        <f t="shared" si="95"/>
        <v>4</v>
      </c>
      <c r="Y1267" s="95">
        <f t="shared" si="98"/>
        <v>2022</v>
      </c>
      <c r="Z1267" s="136" t="s">
        <v>266</v>
      </c>
      <c r="AA1267">
        <f>IF(Tabla1[[#This Row],[Kerma en aire acumulada (Gy)]]&gt;1,SUMIF(G:G,Tabla1[[#This Row],[SIP]],I:I)-Tabla1[[#This Row],[Kerma en aire acumulada (Gy)]],"")</f>
        <v>0</v>
      </c>
    </row>
    <row r="1268" spans="3:27">
      <c r="C1268" s="147" t="s">
        <v>1088</v>
      </c>
      <c r="D1268" s="134" t="s">
        <v>2489</v>
      </c>
      <c r="E1268" s="134" t="s">
        <v>1103</v>
      </c>
      <c r="F1268" s="134" t="s">
        <v>774</v>
      </c>
      <c r="G1268" s="134">
        <v>2238633</v>
      </c>
      <c r="H1268" s="135">
        <v>44652</v>
      </c>
      <c r="I1268" s="134">
        <v>0.30323</v>
      </c>
      <c r="J1268" s="145"/>
      <c r="K1268" s="145"/>
      <c r="L1268" s="145"/>
      <c r="M1268" s="145"/>
      <c r="N1268" s="145"/>
      <c r="O1268" s="145"/>
      <c r="P1268" s="145"/>
      <c r="Q1268" s="145"/>
      <c r="R1268" s="145"/>
      <c r="S1268" s="145"/>
      <c r="T1268" s="135">
        <v>14492</v>
      </c>
      <c r="U1268" s="145"/>
      <c r="V1268" s="134" t="s">
        <v>563</v>
      </c>
      <c r="W1268" s="92" t="str">
        <f t="shared" si="97"/>
        <v>Barbero Flores,Antonia</v>
      </c>
      <c r="X1268" s="95">
        <f t="shared" si="95"/>
        <v>4</v>
      </c>
      <c r="Y1268" s="95">
        <f t="shared" si="98"/>
        <v>2022</v>
      </c>
      <c r="Z1268" s="136" t="s">
        <v>266</v>
      </c>
      <c r="AA1268" t="str">
        <f>IF(Tabla1[[#This Row],[Kerma en aire acumulada (Gy)]]&gt;1,SUMIF(G:G,Tabla1[[#This Row],[SIP]],I:I)-Tabla1[[#This Row],[Kerma en aire acumulada (Gy)]],"")</f>
        <v/>
      </c>
    </row>
    <row r="1269" spans="3:27">
      <c r="C1269" s="147" t="s">
        <v>1088</v>
      </c>
      <c r="D1269" s="134" t="s">
        <v>35</v>
      </c>
      <c r="E1269" s="134" t="s">
        <v>1261</v>
      </c>
      <c r="F1269" s="134" t="s">
        <v>1251</v>
      </c>
      <c r="G1269" s="134">
        <v>2373854</v>
      </c>
      <c r="H1269" s="135">
        <v>44652</v>
      </c>
      <c r="I1269" s="134">
        <v>0.69182999999999995</v>
      </c>
      <c r="J1269" s="145"/>
      <c r="K1269" s="145"/>
      <c r="L1269" s="145"/>
      <c r="M1269" s="145"/>
      <c r="N1269" s="145"/>
      <c r="O1269" s="145"/>
      <c r="P1269" s="145"/>
      <c r="Q1269" s="145"/>
      <c r="R1269" s="145"/>
      <c r="S1269" s="145"/>
      <c r="T1269" s="135">
        <v>26500</v>
      </c>
      <c r="U1269" s="145"/>
      <c r="V1269" s="134" t="s">
        <v>563</v>
      </c>
      <c r="W1269" s="92" t="str">
        <f t="shared" si="97"/>
        <v>Lozano Hernandez,Jorge</v>
      </c>
      <c r="X1269" s="95">
        <f t="shared" si="95"/>
        <v>4</v>
      </c>
      <c r="Y1269" s="95">
        <f t="shared" si="98"/>
        <v>2022</v>
      </c>
      <c r="Z1269" s="136" t="s">
        <v>266</v>
      </c>
      <c r="AA1269" t="str">
        <f>IF(Tabla1[[#This Row],[Kerma en aire acumulada (Gy)]]&gt;1,SUMIF(G:G,Tabla1[[#This Row],[SIP]],I:I)-Tabla1[[#This Row],[Kerma en aire acumulada (Gy)]],"")</f>
        <v/>
      </c>
    </row>
    <row r="1270" spans="3:27">
      <c r="C1270" s="147" t="s">
        <v>1088</v>
      </c>
      <c r="D1270" s="134" t="s">
        <v>2486</v>
      </c>
      <c r="E1270" s="134" t="s">
        <v>848</v>
      </c>
      <c r="F1270" s="134" t="s">
        <v>2446</v>
      </c>
      <c r="G1270" s="134">
        <v>1871193</v>
      </c>
      <c r="H1270" s="135">
        <v>44653</v>
      </c>
      <c r="I1270" s="134">
        <v>0.45338000000000001</v>
      </c>
      <c r="J1270" s="145"/>
      <c r="K1270" s="145"/>
      <c r="L1270" s="145"/>
      <c r="M1270" s="145"/>
      <c r="N1270" s="145"/>
      <c r="O1270" s="145"/>
      <c r="P1270" s="145"/>
      <c r="Q1270" s="145"/>
      <c r="R1270" s="145"/>
      <c r="S1270" s="145"/>
      <c r="T1270" s="135">
        <v>23115</v>
      </c>
      <c r="U1270" s="145"/>
      <c r="V1270" s="134" t="s">
        <v>563</v>
      </c>
      <c r="W1270" s="92" t="str">
        <f t="shared" si="97"/>
        <v>Turdera Vilar,Arturo</v>
      </c>
      <c r="X1270" s="95">
        <f t="shared" si="95"/>
        <v>4</v>
      </c>
      <c r="Y1270" s="95">
        <f t="shared" si="98"/>
        <v>2022</v>
      </c>
      <c r="Z1270" s="136" t="s">
        <v>266</v>
      </c>
      <c r="AA1270" t="str">
        <f>IF(Tabla1[[#This Row],[Kerma en aire acumulada (Gy)]]&gt;1,SUMIF(G:G,Tabla1[[#This Row],[SIP]],I:I)-Tabla1[[#This Row],[Kerma en aire acumulada (Gy)]],"")</f>
        <v/>
      </c>
    </row>
    <row r="1271" spans="3:27">
      <c r="C1271" s="147" t="s">
        <v>1088</v>
      </c>
      <c r="D1271" s="134" t="s">
        <v>2487</v>
      </c>
      <c r="E1271" s="134" t="s">
        <v>1106</v>
      </c>
      <c r="F1271" s="134" t="s">
        <v>519</v>
      </c>
      <c r="G1271" s="134">
        <v>214802</v>
      </c>
      <c r="H1271" s="135">
        <v>44653</v>
      </c>
      <c r="I1271" s="134">
        <v>0.95001000000000002</v>
      </c>
      <c r="J1271" s="145"/>
      <c r="K1271" s="145"/>
      <c r="L1271" s="145"/>
      <c r="M1271" s="145"/>
      <c r="N1271" s="145"/>
      <c r="O1271" s="145"/>
      <c r="P1271" s="145"/>
      <c r="Q1271" s="145"/>
      <c r="R1271" s="145"/>
      <c r="S1271" s="145"/>
      <c r="T1271" s="135">
        <v>14534</v>
      </c>
      <c r="U1271" s="145"/>
      <c r="V1271" s="134" t="s">
        <v>563</v>
      </c>
      <c r="W1271" s="92" t="str">
        <f t="shared" si="97"/>
        <v>Cuquerella Alemany,Fernando</v>
      </c>
      <c r="X1271" s="95">
        <f t="shared" si="95"/>
        <v>4</v>
      </c>
      <c r="Y1271" s="95">
        <f t="shared" si="98"/>
        <v>2022</v>
      </c>
      <c r="Z1271" s="136" t="s">
        <v>266</v>
      </c>
      <c r="AA1271" t="str">
        <f>IF(Tabla1[[#This Row],[Kerma en aire acumulada (Gy)]]&gt;1,SUMIF(G:G,Tabla1[[#This Row],[SIP]],I:I)-Tabla1[[#This Row],[Kerma en aire acumulada (Gy)]],"")</f>
        <v/>
      </c>
    </row>
    <row r="1272" spans="3:27">
      <c r="C1272" s="147" t="s">
        <v>1088</v>
      </c>
      <c r="D1272" s="134" t="s">
        <v>1009</v>
      </c>
      <c r="E1272" s="134" t="s">
        <v>2488</v>
      </c>
      <c r="F1272" s="134" t="s">
        <v>834</v>
      </c>
      <c r="G1272" s="134">
        <v>227424</v>
      </c>
      <c r="H1272" s="135">
        <v>44653</v>
      </c>
      <c r="I1272" s="134">
        <v>1.2438899999999999</v>
      </c>
      <c r="J1272" s="145"/>
      <c r="K1272" s="145"/>
      <c r="L1272" s="145"/>
      <c r="M1272" s="145"/>
      <c r="N1272" s="145"/>
      <c r="O1272" s="145"/>
      <c r="P1272" s="145"/>
      <c r="Q1272" s="145"/>
      <c r="R1272" s="145"/>
      <c r="S1272" s="145"/>
      <c r="T1272" s="135">
        <v>30518</v>
      </c>
      <c r="U1272" s="145"/>
      <c r="V1272" s="134" t="s">
        <v>563</v>
      </c>
      <c r="W1272" s="92" t="str">
        <f t="shared" si="97"/>
        <v>Fernandez Cortez,Pedro</v>
      </c>
      <c r="X1272" s="95">
        <f t="shared" si="95"/>
        <v>4</v>
      </c>
      <c r="Y1272" s="95">
        <f t="shared" si="98"/>
        <v>2022</v>
      </c>
      <c r="Z1272" s="136" t="s">
        <v>266</v>
      </c>
      <c r="AA1272">
        <f>IF(Tabla1[[#This Row],[Kerma en aire acumulada (Gy)]]&gt;1,SUMIF(G:G,Tabla1[[#This Row],[SIP]],I:I)-Tabla1[[#This Row],[Kerma en aire acumulada (Gy)]],"")</f>
        <v>0</v>
      </c>
    </row>
    <row r="1273" spans="3:27">
      <c r="C1273" s="147" t="s">
        <v>1088</v>
      </c>
      <c r="D1273" s="134" t="s">
        <v>960</v>
      </c>
      <c r="E1273" s="134" t="s">
        <v>1760</v>
      </c>
      <c r="F1273" s="134" t="s">
        <v>20</v>
      </c>
      <c r="G1273" s="151">
        <v>2934308</v>
      </c>
      <c r="H1273" s="135">
        <v>44654</v>
      </c>
      <c r="I1273" s="151">
        <v>0.28278999999999999</v>
      </c>
      <c r="J1273" s="145"/>
      <c r="K1273" s="145"/>
      <c r="L1273" s="145"/>
      <c r="M1273" s="145"/>
      <c r="N1273" s="145"/>
      <c r="O1273" s="145"/>
      <c r="P1273" s="145"/>
      <c r="Q1273" s="145"/>
      <c r="R1273" s="145"/>
      <c r="S1273" s="145"/>
      <c r="T1273" s="135">
        <v>22257</v>
      </c>
      <c r="U1273" s="145"/>
      <c r="V1273" s="134" t="s">
        <v>563</v>
      </c>
      <c r="W1273" s="92" t="str">
        <f t="shared" si="97"/>
        <v>Lopez Exposito,Antonio</v>
      </c>
      <c r="X1273" s="95">
        <f t="shared" si="95"/>
        <v>4</v>
      </c>
      <c r="Y1273" s="95">
        <f t="shared" si="98"/>
        <v>2022</v>
      </c>
      <c r="Z1273" s="136" t="s">
        <v>266</v>
      </c>
      <c r="AA1273" t="str">
        <f>IF(Tabla1[[#This Row],[Kerma en aire acumulada (Gy)]]&gt;1,SUMIF(G:G,Tabla1[[#This Row],[SIP]],I:I)-Tabla1[[#This Row],[Kerma en aire acumulada (Gy)]],"")</f>
        <v/>
      </c>
    </row>
    <row r="1274" spans="3:27">
      <c r="C1274" s="147" t="s">
        <v>1088</v>
      </c>
      <c r="D1274" s="134" t="s">
        <v>36</v>
      </c>
      <c r="E1274" s="134" t="s">
        <v>960</v>
      </c>
      <c r="F1274" s="134" t="s">
        <v>68</v>
      </c>
      <c r="G1274" s="134">
        <v>12562365</v>
      </c>
      <c r="H1274" s="135">
        <v>44655</v>
      </c>
      <c r="I1274" s="134">
        <v>5.9859999999999997E-2</v>
      </c>
      <c r="J1274" s="145"/>
      <c r="K1274" s="145"/>
      <c r="L1274" s="145"/>
      <c r="M1274" s="145"/>
      <c r="N1274" s="145"/>
      <c r="O1274" s="145"/>
      <c r="P1274" s="145"/>
      <c r="Q1274" s="145"/>
      <c r="R1274" s="145"/>
      <c r="S1274" s="145"/>
      <c r="T1274" s="135">
        <v>23867</v>
      </c>
      <c r="U1274" s="145"/>
      <c r="V1274" s="134" t="s">
        <v>819</v>
      </c>
      <c r="W1274" s="92" t="str">
        <f t="shared" si="97"/>
        <v>Ramos Lopez,Juan</v>
      </c>
      <c r="X1274" s="95">
        <f t="shared" si="95"/>
        <v>4</v>
      </c>
      <c r="Y1274" s="95">
        <f t="shared" si="98"/>
        <v>2022</v>
      </c>
      <c r="Z1274" s="103" t="s">
        <v>265</v>
      </c>
      <c r="AA1274" t="str">
        <f>IF(Tabla1[[#This Row],[Kerma en aire acumulada (Gy)]]&gt;1,SUMIF(G:G,Tabla1[[#This Row],[SIP]],I:I)-Tabla1[[#This Row],[Kerma en aire acumulada (Gy)]],"")</f>
        <v/>
      </c>
    </row>
    <row r="1275" spans="3:27">
      <c r="C1275" s="147" t="s">
        <v>1088</v>
      </c>
      <c r="D1275" s="134" t="s">
        <v>1987</v>
      </c>
      <c r="E1275" s="134" t="s">
        <v>839</v>
      </c>
      <c r="F1275" s="134" t="s">
        <v>1196</v>
      </c>
      <c r="G1275" s="134">
        <v>3729647</v>
      </c>
      <c r="H1275" s="135">
        <v>44655</v>
      </c>
      <c r="I1275" s="134">
        <v>0.91749999999999998</v>
      </c>
      <c r="J1275" s="145"/>
      <c r="K1275" s="145"/>
      <c r="L1275" s="145"/>
      <c r="M1275" s="145"/>
      <c r="N1275" s="145"/>
      <c r="O1275" s="145"/>
      <c r="P1275" s="145"/>
      <c r="Q1275" s="145"/>
      <c r="R1275" s="145"/>
      <c r="S1275" s="145"/>
      <c r="T1275" s="135">
        <v>19499</v>
      </c>
      <c r="U1275" s="145"/>
      <c r="V1275" s="134" t="s">
        <v>1711</v>
      </c>
      <c r="W1275" s="92" t="str">
        <f t="shared" si="97"/>
        <v>Nacher Ferrer,Emilia</v>
      </c>
      <c r="X1275" s="95">
        <f t="shared" si="95"/>
        <v>4</v>
      </c>
      <c r="Y1275" s="95">
        <f t="shared" si="98"/>
        <v>2022</v>
      </c>
      <c r="Z1275" s="103" t="s">
        <v>265</v>
      </c>
      <c r="AA1275" t="str">
        <f>IF(Tabla1[[#This Row],[Kerma en aire acumulada (Gy)]]&gt;1,SUMIF(G:G,Tabla1[[#This Row],[SIP]],I:I)-Tabla1[[#This Row],[Kerma en aire acumulada (Gy)]],"")</f>
        <v/>
      </c>
    </row>
    <row r="1276" spans="3:27">
      <c r="C1276" s="147" t="s">
        <v>1088</v>
      </c>
      <c r="D1276" s="134" t="s">
        <v>116</v>
      </c>
      <c r="E1276" s="134" t="s">
        <v>948</v>
      </c>
      <c r="F1276" s="134" t="s">
        <v>294</v>
      </c>
      <c r="G1276" s="134">
        <v>3199750</v>
      </c>
      <c r="H1276" s="135">
        <v>44655</v>
      </c>
      <c r="I1276" s="134">
        <v>0.41299999999999998</v>
      </c>
      <c r="J1276" s="145"/>
      <c r="K1276" s="145"/>
      <c r="L1276" s="145"/>
      <c r="M1276" s="145"/>
      <c r="N1276" s="145"/>
      <c r="O1276" s="145"/>
      <c r="P1276" s="145"/>
      <c r="Q1276" s="145"/>
      <c r="R1276" s="145"/>
      <c r="S1276" s="145"/>
      <c r="T1276" s="135">
        <v>20556</v>
      </c>
      <c r="U1276" s="145"/>
      <c r="V1276" s="134" t="s">
        <v>563</v>
      </c>
      <c r="W1276" s="92" t="str">
        <f t="shared" si="97"/>
        <v>Serrano Martinez,Lorenzo</v>
      </c>
      <c r="X1276" s="95">
        <f t="shared" si="95"/>
        <v>4</v>
      </c>
      <c r="Y1276" s="95">
        <f t="shared" si="98"/>
        <v>2022</v>
      </c>
      <c r="Z1276" s="136" t="s">
        <v>266</v>
      </c>
      <c r="AA1276" t="str">
        <f>IF(Tabla1[[#This Row],[Kerma en aire acumulada (Gy)]]&gt;1,SUMIF(G:G,Tabla1[[#This Row],[SIP]],I:I)-Tabla1[[#This Row],[Kerma en aire acumulada (Gy)]],"")</f>
        <v/>
      </c>
    </row>
    <row r="1277" spans="3:27">
      <c r="C1277" s="147" t="s">
        <v>1088</v>
      </c>
      <c r="D1277" s="134" t="s">
        <v>2235</v>
      </c>
      <c r="E1277" s="134" t="s">
        <v>169</v>
      </c>
      <c r="F1277" s="134" t="s">
        <v>62</v>
      </c>
      <c r="G1277" s="134">
        <v>2809245</v>
      </c>
      <c r="H1277" s="135">
        <v>44655</v>
      </c>
      <c r="I1277" s="134">
        <v>1.08379</v>
      </c>
      <c r="J1277" s="145"/>
      <c r="K1277" s="145"/>
      <c r="L1277" s="145"/>
      <c r="M1277" s="145"/>
      <c r="N1277" s="145"/>
      <c r="O1277" s="145"/>
      <c r="P1277" s="145"/>
      <c r="Q1277" s="145"/>
      <c r="R1277" s="145"/>
      <c r="S1277" s="145"/>
      <c r="T1277" s="135">
        <v>16666</v>
      </c>
      <c r="U1277" s="145"/>
      <c r="V1277" s="134" t="s">
        <v>563</v>
      </c>
      <c r="W1277" s="92" t="str">
        <f t="shared" si="97"/>
        <v>Herranz Valero,Jacinto</v>
      </c>
      <c r="X1277" s="95">
        <f t="shared" si="95"/>
        <v>4</v>
      </c>
      <c r="Y1277" s="95">
        <f t="shared" si="98"/>
        <v>2022</v>
      </c>
      <c r="Z1277" s="136" t="s">
        <v>266</v>
      </c>
      <c r="AA1277">
        <f>IF(Tabla1[[#This Row],[Kerma en aire acumulada (Gy)]]&gt;1,SUMIF(G:G,Tabla1[[#This Row],[SIP]],I:I)-Tabla1[[#This Row],[Kerma en aire acumulada (Gy)]],"")</f>
        <v>0</v>
      </c>
    </row>
    <row r="1278" spans="3:27">
      <c r="C1278" s="147" t="s">
        <v>1088</v>
      </c>
      <c r="D1278" s="134" t="s">
        <v>2462</v>
      </c>
      <c r="E1278" s="134" t="s">
        <v>856</v>
      </c>
      <c r="F1278" s="134" t="s">
        <v>83</v>
      </c>
      <c r="G1278" s="134">
        <v>2309029</v>
      </c>
      <c r="H1278" s="135">
        <v>44655</v>
      </c>
      <c r="I1278" s="134">
        <v>0.30031000000000002</v>
      </c>
      <c r="J1278" s="145"/>
      <c r="K1278" s="145"/>
      <c r="L1278" s="145"/>
      <c r="M1278" s="145"/>
      <c r="N1278" s="145"/>
      <c r="O1278" s="145"/>
      <c r="P1278" s="145"/>
      <c r="Q1278" s="145"/>
      <c r="R1278" s="145"/>
      <c r="S1278" s="145"/>
      <c r="T1278" s="135">
        <v>20961</v>
      </c>
      <c r="U1278" s="145"/>
      <c r="V1278" s="134" t="s">
        <v>563</v>
      </c>
      <c r="W1278" s="92" t="str">
        <f t="shared" si="97"/>
        <v>Yusa Gomez,Francisco</v>
      </c>
      <c r="X1278" s="95">
        <f t="shared" si="95"/>
        <v>4</v>
      </c>
      <c r="Y1278" s="95">
        <f t="shared" si="98"/>
        <v>2022</v>
      </c>
      <c r="Z1278" s="136" t="s">
        <v>266</v>
      </c>
      <c r="AA1278" t="str">
        <f>IF(Tabla1[[#This Row],[Kerma en aire acumulada (Gy)]]&gt;1,SUMIF(G:G,Tabla1[[#This Row],[SIP]],I:I)-Tabla1[[#This Row],[Kerma en aire acumulada (Gy)]],"")</f>
        <v/>
      </c>
    </row>
    <row r="1279" spans="3:27">
      <c r="C1279" s="147" t="s">
        <v>1088</v>
      </c>
      <c r="D1279" s="134" t="s">
        <v>2463</v>
      </c>
      <c r="E1279" s="134"/>
      <c r="F1279" s="134" t="s">
        <v>2464</v>
      </c>
      <c r="G1279" s="134">
        <v>4583961</v>
      </c>
      <c r="H1279" s="135">
        <v>44655</v>
      </c>
      <c r="I1279" s="134">
        <v>0.13757</v>
      </c>
      <c r="J1279" s="145"/>
      <c r="K1279" s="145"/>
      <c r="L1279" s="145"/>
      <c r="M1279" s="145"/>
      <c r="N1279" s="145"/>
      <c r="O1279" s="145"/>
      <c r="P1279" s="145"/>
      <c r="Q1279" s="145"/>
      <c r="R1279" s="145"/>
      <c r="S1279" s="145"/>
      <c r="T1279" s="135">
        <v>26046</v>
      </c>
      <c r="U1279" s="145"/>
      <c r="V1279" s="134" t="s">
        <v>563</v>
      </c>
      <c r="W1279" s="92" t="str">
        <f t="shared" si="97"/>
        <v>Jackson ,Cristopher</v>
      </c>
      <c r="X1279" s="95">
        <f t="shared" si="95"/>
        <v>4</v>
      </c>
      <c r="Y1279" s="95">
        <f t="shared" si="98"/>
        <v>2022</v>
      </c>
      <c r="Z1279" s="136" t="s">
        <v>266</v>
      </c>
      <c r="AA1279" t="str">
        <f>IF(Tabla1[[#This Row],[Kerma en aire acumulada (Gy)]]&gt;1,SUMIF(G:G,Tabla1[[#This Row],[SIP]],I:I)-Tabla1[[#This Row],[Kerma en aire acumulada (Gy)]],"")</f>
        <v/>
      </c>
    </row>
    <row r="1280" spans="3:27">
      <c r="C1280" s="147" t="s">
        <v>1088</v>
      </c>
      <c r="D1280" s="134" t="s">
        <v>66</v>
      </c>
      <c r="E1280" s="134" t="s">
        <v>2485</v>
      </c>
      <c r="F1280" s="134" t="s">
        <v>1759</v>
      </c>
      <c r="G1280" s="134">
        <v>4687375</v>
      </c>
      <c r="H1280" s="135">
        <v>44655</v>
      </c>
      <c r="I1280" s="134">
        <v>0.32507999999999998</v>
      </c>
      <c r="J1280" s="145"/>
      <c r="K1280" s="145"/>
      <c r="L1280" s="145"/>
      <c r="M1280" s="145"/>
      <c r="N1280" s="145"/>
      <c r="O1280" s="145"/>
      <c r="P1280" s="145"/>
      <c r="Q1280" s="145"/>
      <c r="R1280" s="145"/>
      <c r="S1280" s="145"/>
      <c r="T1280" s="135">
        <v>15193</v>
      </c>
      <c r="U1280" s="145"/>
      <c r="V1280" s="134" t="s">
        <v>563</v>
      </c>
      <c r="W1280" s="92" t="str">
        <f t="shared" si="97"/>
        <v>Navarro Romaguera,Martin</v>
      </c>
      <c r="X1280" s="95">
        <f t="shared" si="95"/>
        <v>4</v>
      </c>
      <c r="Y1280" s="95">
        <f t="shared" si="98"/>
        <v>2022</v>
      </c>
      <c r="Z1280" s="136" t="s">
        <v>266</v>
      </c>
      <c r="AA1280" t="str">
        <f>IF(Tabla1[[#This Row],[Kerma en aire acumulada (Gy)]]&gt;1,SUMIF(G:G,Tabla1[[#This Row],[SIP]],I:I)-Tabla1[[#This Row],[Kerma en aire acumulada (Gy)]],"")</f>
        <v/>
      </c>
    </row>
    <row r="1281" spans="3:27">
      <c r="C1281" s="147" t="s">
        <v>1088</v>
      </c>
      <c r="D1281" s="134" t="s">
        <v>2374</v>
      </c>
      <c r="E1281" s="134"/>
      <c r="F1281" s="134" t="s">
        <v>2375</v>
      </c>
      <c r="G1281" s="134">
        <v>7821044</v>
      </c>
      <c r="H1281" s="135">
        <v>44655</v>
      </c>
      <c r="I1281" s="134">
        <v>1.0930299999999999</v>
      </c>
      <c r="J1281" s="145"/>
      <c r="K1281" s="145"/>
      <c r="L1281" s="145"/>
      <c r="M1281" s="145"/>
      <c r="N1281" s="145"/>
      <c r="O1281" s="145"/>
      <c r="P1281" s="145"/>
      <c r="Q1281" s="145"/>
      <c r="R1281" s="145"/>
      <c r="S1281" s="145"/>
      <c r="T1281" s="135">
        <v>20960</v>
      </c>
      <c r="U1281" s="145"/>
      <c r="V1281" s="134" t="s">
        <v>563</v>
      </c>
      <c r="W1281" s="92" t="str">
        <f t="shared" si="97"/>
        <v>Koupliakov ,Vladimir</v>
      </c>
      <c r="X1281" s="95">
        <f t="shared" si="95"/>
        <v>4</v>
      </c>
      <c r="Y1281" s="95">
        <f t="shared" si="98"/>
        <v>2022</v>
      </c>
      <c r="Z1281" s="136" t="s">
        <v>266</v>
      </c>
      <c r="AA1281">
        <f>IF(Tabla1[[#This Row],[Kerma en aire acumulada (Gy)]]&gt;1,SUMIF(G:G,Tabla1[[#This Row],[SIP]],I:I)-Tabla1[[#This Row],[Kerma en aire acumulada (Gy)]],"")</f>
        <v>0.15741000000000005</v>
      </c>
    </row>
    <row r="1282" spans="3:27">
      <c r="C1282" s="147" t="s">
        <v>1088</v>
      </c>
      <c r="D1282" s="134" t="s">
        <v>948</v>
      </c>
      <c r="E1282" s="134" t="s">
        <v>2508</v>
      </c>
      <c r="F1282" s="134" t="s">
        <v>1115</v>
      </c>
      <c r="G1282" s="134">
        <v>2446501</v>
      </c>
      <c r="H1282" s="135">
        <v>44655</v>
      </c>
      <c r="I1282" s="134">
        <v>0.11137</v>
      </c>
      <c r="J1282" s="145"/>
      <c r="K1282" s="145"/>
      <c r="L1282" s="145"/>
      <c r="M1282" s="145"/>
      <c r="N1282" s="145"/>
      <c r="O1282" s="145"/>
      <c r="P1282" s="145"/>
      <c r="Q1282" s="145"/>
      <c r="R1282" s="145"/>
      <c r="S1282" s="145"/>
      <c r="T1282" s="135">
        <v>17039</v>
      </c>
      <c r="U1282" s="145"/>
      <c r="V1282" s="134" t="s">
        <v>2309</v>
      </c>
      <c r="W1282" s="92" t="str">
        <f t="shared" si="97"/>
        <v>Martinez Mayo,Aurelio</v>
      </c>
      <c r="X1282" s="95">
        <f t="shared" si="95"/>
        <v>4</v>
      </c>
      <c r="Y1282" s="95">
        <f t="shared" si="98"/>
        <v>2022</v>
      </c>
      <c r="Z1282" s="136" t="s">
        <v>2238</v>
      </c>
      <c r="AA1282" t="str">
        <f>IF(Tabla1[[#This Row],[Kerma en aire acumulada (Gy)]]&gt;1,SUMIF(G:G,Tabla1[[#This Row],[SIP]],I:I)-Tabla1[[#This Row],[Kerma en aire acumulada (Gy)]],"")</f>
        <v/>
      </c>
    </row>
    <row r="1283" spans="3:27">
      <c r="C1283" s="147" t="s">
        <v>1088</v>
      </c>
      <c r="D1283" s="134" t="s">
        <v>2414</v>
      </c>
      <c r="E1283" s="134" t="s">
        <v>1001</v>
      </c>
      <c r="F1283" s="134" t="s">
        <v>2405</v>
      </c>
      <c r="G1283" s="134">
        <v>1626399</v>
      </c>
      <c r="H1283" s="135">
        <v>44656</v>
      </c>
      <c r="I1283" s="134">
        <v>1.2634700000000001</v>
      </c>
      <c r="J1283" s="145"/>
      <c r="K1283" s="145"/>
      <c r="L1283" s="145"/>
      <c r="M1283" s="145"/>
      <c r="N1283" s="145"/>
      <c r="O1283" s="145"/>
      <c r="P1283" s="145"/>
      <c r="Q1283" s="145"/>
      <c r="R1283" s="145"/>
      <c r="S1283" s="145"/>
      <c r="T1283" s="135">
        <v>19155</v>
      </c>
      <c r="U1283" s="145"/>
      <c r="V1283" s="134" t="s">
        <v>1293</v>
      </c>
      <c r="W1283" s="92" t="str">
        <f t="shared" si="97"/>
        <v>Bernabe Perez,Jose Antonio</v>
      </c>
      <c r="X1283" s="95">
        <f t="shared" si="95"/>
        <v>4</v>
      </c>
      <c r="Y1283" s="95">
        <f t="shared" si="98"/>
        <v>2022</v>
      </c>
      <c r="Z1283" s="103" t="s">
        <v>265</v>
      </c>
      <c r="AA1283">
        <f>IF(Tabla1[[#This Row],[Kerma en aire acumulada (Gy)]]&gt;1,SUMIF(G:G,Tabla1[[#This Row],[SIP]],I:I)-Tabla1[[#This Row],[Kerma en aire acumulada (Gy)]],"")</f>
        <v>7.4510000000000076E-2</v>
      </c>
    </row>
    <row r="1284" spans="3:27">
      <c r="C1284" s="147" t="s">
        <v>1088</v>
      </c>
      <c r="D1284" s="134" t="s">
        <v>156</v>
      </c>
      <c r="E1284" s="134" t="s">
        <v>2422</v>
      </c>
      <c r="F1284" s="134" t="s">
        <v>2423</v>
      </c>
      <c r="G1284" s="134">
        <v>5163862</v>
      </c>
      <c r="H1284" s="135">
        <v>44656</v>
      </c>
      <c r="I1284" s="134">
        <v>5.2900000000000003E-2</v>
      </c>
      <c r="J1284" s="145"/>
      <c r="K1284" s="145"/>
      <c r="L1284" s="145"/>
      <c r="M1284" s="145"/>
      <c r="N1284" s="145"/>
      <c r="O1284" s="145"/>
      <c r="P1284" s="145"/>
      <c r="Q1284" s="145"/>
      <c r="R1284" s="145"/>
      <c r="S1284" s="145"/>
      <c r="T1284" s="135">
        <v>35213</v>
      </c>
      <c r="U1284" s="145"/>
      <c r="V1284" s="134" t="s">
        <v>1643</v>
      </c>
      <c r="W1284" s="92" t="str">
        <f t="shared" si="97"/>
        <v>Pastor Sansaloni,Carla</v>
      </c>
      <c r="X1284" s="95">
        <f t="shared" si="95"/>
        <v>4</v>
      </c>
      <c r="Y1284" s="95">
        <f t="shared" si="98"/>
        <v>2022</v>
      </c>
      <c r="Z1284" s="103" t="s">
        <v>265</v>
      </c>
      <c r="AA1284" t="str">
        <f>IF(Tabla1[[#This Row],[Kerma en aire acumulada (Gy)]]&gt;1,SUMIF(G:G,Tabla1[[#This Row],[SIP]],I:I)-Tabla1[[#This Row],[Kerma en aire acumulada (Gy)]],"")</f>
        <v/>
      </c>
    </row>
    <row r="1285" spans="3:27">
      <c r="C1285" s="147" t="s">
        <v>1088</v>
      </c>
      <c r="D1285" s="134" t="s">
        <v>2285</v>
      </c>
      <c r="E1285" s="134" t="s">
        <v>962</v>
      </c>
      <c r="F1285" s="134" t="s">
        <v>2424</v>
      </c>
      <c r="G1285" s="134">
        <v>5484444</v>
      </c>
      <c r="H1285" s="135">
        <v>44656</v>
      </c>
      <c r="I1285" s="134">
        <v>0.29949999999999999</v>
      </c>
      <c r="J1285" s="145"/>
      <c r="K1285" s="145"/>
      <c r="L1285" s="145"/>
      <c r="M1285" s="145"/>
      <c r="N1285" s="145"/>
      <c r="O1285" s="145"/>
      <c r="P1285" s="145"/>
      <c r="Q1285" s="145"/>
      <c r="R1285" s="145"/>
      <c r="S1285" s="145"/>
      <c r="T1285" s="135">
        <v>28273</v>
      </c>
      <c r="U1285" s="145"/>
      <c r="V1285" s="134" t="s">
        <v>509</v>
      </c>
      <c r="W1285" s="92" t="str">
        <f t="shared" si="97"/>
        <v>Alarcon Garcia,Hortensia Alicia</v>
      </c>
      <c r="X1285" s="95">
        <f t="shared" si="95"/>
        <v>4</v>
      </c>
      <c r="Y1285" s="95">
        <f t="shared" si="98"/>
        <v>2022</v>
      </c>
      <c r="Z1285" s="103" t="s">
        <v>265</v>
      </c>
      <c r="AA1285" t="str">
        <f>IF(Tabla1[[#This Row],[Kerma en aire acumulada (Gy)]]&gt;1,SUMIF(G:G,Tabla1[[#This Row],[SIP]],I:I)-Tabla1[[#This Row],[Kerma en aire acumulada (Gy)]],"")</f>
        <v/>
      </c>
    </row>
    <row r="1286" spans="3:27">
      <c r="C1286" s="147" t="s">
        <v>1088</v>
      </c>
      <c r="D1286" s="134" t="s">
        <v>2453</v>
      </c>
      <c r="E1286" s="134"/>
      <c r="F1286" s="134" t="s">
        <v>2454</v>
      </c>
      <c r="G1286" s="134">
        <v>10466712</v>
      </c>
      <c r="H1286" s="135">
        <v>44656</v>
      </c>
      <c r="I1286" s="134">
        <v>8.8700000000000001E-2</v>
      </c>
      <c r="J1286" s="145"/>
      <c r="K1286" s="145"/>
      <c r="L1286" s="145"/>
      <c r="M1286" s="145"/>
      <c r="N1286" s="145"/>
      <c r="O1286" s="145"/>
      <c r="P1286" s="145"/>
      <c r="Q1286" s="145"/>
      <c r="R1286" s="145"/>
      <c r="S1286" s="145"/>
      <c r="T1286" s="135">
        <v>29084</v>
      </c>
      <c r="U1286" s="145"/>
      <c r="V1286" s="134" t="s">
        <v>563</v>
      </c>
      <c r="W1286" s="92" t="str">
        <f t="shared" si="97"/>
        <v>Neculai ,Anasa</v>
      </c>
      <c r="X1286" s="95">
        <f t="shared" si="95"/>
        <v>4</v>
      </c>
      <c r="Y1286" s="95">
        <f t="shared" ref="Y1286:Y1316" si="99">YEAR(H1286)</f>
        <v>2022</v>
      </c>
      <c r="Z1286" s="136" t="s">
        <v>266</v>
      </c>
      <c r="AA1286" t="str">
        <f>IF(Tabla1[[#This Row],[Kerma en aire acumulada (Gy)]]&gt;1,SUMIF(G:G,Tabla1[[#This Row],[SIP]],I:I)-Tabla1[[#This Row],[Kerma en aire acumulada (Gy)]],"")</f>
        <v/>
      </c>
    </row>
    <row r="1287" spans="3:27">
      <c r="C1287" s="147" t="s">
        <v>1088</v>
      </c>
      <c r="D1287" s="134" t="s">
        <v>966</v>
      </c>
      <c r="E1287" s="134" t="s">
        <v>2455</v>
      </c>
      <c r="F1287" s="134" t="s">
        <v>68</v>
      </c>
      <c r="G1287" s="134">
        <v>3203529</v>
      </c>
      <c r="H1287" s="135">
        <v>44656</v>
      </c>
      <c r="I1287" s="134">
        <v>0.27296999999999999</v>
      </c>
      <c r="J1287" s="145"/>
      <c r="K1287" s="145"/>
      <c r="L1287" s="145"/>
      <c r="M1287" s="145"/>
      <c r="N1287" s="145"/>
      <c r="O1287" s="145"/>
      <c r="P1287" s="145"/>
      <c r="Q1287" s="145"/>
      <c r="R1287" s="145"/>
      <c r="S1287" s="145"/>
      <c r="T1287" s="135">
        <v>16077</v>
      </c>
      <c r="U1287" s="145"/>
      <c r="V1287" s="134" t="s">
        <v>563</v>
      </c>
      <c r="W1287" s="92" t="str">
        <f t="shared" si="97"/>
        <v>Marco Barai,Juan</v>
      </c>
      <c r="X1287" s="95">
        <f t="shared" si="95"/>
        <v>4</v>
      </c>
      <c r="Y1287" s="95">
        <f t="shared" si="99"/>
        <v>2022</v>
      </c>
      <c r="Z1287" s="136" t="s">
        <v>266</v>
      </c>
      <c r="AA1287" t="str">
        <f>IF(Tabla1[[#This Row],[Kerma en aire acumulada (Gy)]]&gt;1,SUMIF(G:G,Tabla1[[#This Row],[SIP]],I:I)-Tabla1[[#This Row],[Kerma en aire acumulada (Gy)]],"")</f>
        <v/>
      </c>
    </row>
    <row r="1288" spans="3:27">
      <c r="C1288" s="147" t="s">
        <v>1088</v>
      </c>
      <c r="D1288" s="134" t="s">
        <v>2456</v>
      </c>
      <c r="E1288" s="134" t="s">
        <v>1275</v>
      </c>
      <c r="F1288" s="134" t="s">
        <v>2273</v>
      </c>
      <c r="G1288" s="134">
        <v>2304537</v>
      </c>
      <c r="H1288" s="135">
        <v>44656</v>
      </c>
      <c r="I1288" s="134">
        <v>0.13755999999999999</v>
      </c>
      <c r="J1288" s="145"/>
      <c r="K1288" s="145"/>
      <c r="L1288" s="145"/>
      <c r="M1288" s="145"/>
      <c r="N1288" s="145"/>
      <c r="O1288" s="145"/>
      <c r="P1288" s="145"/>
      <c r="Q1288" s="145"/>
      <c r="R1288" s="145"/>
      <c r="S1288" s="145"/>
      <c r="T1288" s="135">
        <v>18040</v>
      </c>
      <c r="U1288" s="145"/>
      <c r="V1288" s="134" t="s">
        <v>563</v>
      </c>
      <c r="W1288" s="92" t="str">
        <f t="shared" si="97"/>
        <v>Cabrera Ramirez,Victor</v>
      </c>
      <c r="X1288" s="95">
        <f t="shared" si="95"/>
        <v>4</v>
      </c>
      <c r="Y1288" s="95">
        <f t="shared" si="99"/>
        <v>2022</v>
      </c>
      <c r="Z1288" s="136" t="s">
        <v>266</v>
      </c>
      <c r="AA1288" t="str">
        <f>IF(Tabla1[[#This Row],[Kerma en aire acumulada (Gy)]]&gt;1,SUMIF(G:G,Tabla1[[#This Row],[SIP]],I:I)-Tabla1[[#This Row],[Kerma en aire acumulada (Gy)]],"")</f>
        <v/>
      </c>
    </row>
    <row r="1289" spans="3:27">
      <c r="C1289" s="147" t="s">
        <v>1088</v>
      </c>
      <c r="D1289" s="134" t="s">
        <v>35</v>
      </c>
      <c r="E1289" s="134" t="s">
        <v>1261</v>
      </c>
      <c r="F1289" s="134" t="s">
        <v>1251</v>
      </c>
      <c r="G1289" s="134">
        <v>2373854</v>
      </c>
      <c r="H1289" s="135">
        <v>44656</v>
      </c>
      <c r="I1289" s="134">
        <v>0.98865999999999998</v>
      </c>
      <c r="J1289" s="145"/>
      <c r="K1289" s="145"/>
      <c r="L1289" s="145"/>
      <c r="M1289" s="145"/>
      <c r="N1289" s="145"/>
      <c r="O1289" s="145"/>
      <c r="P1289" s="145"/>
      <c r="Q1289" s="145"/>
      <c r="R1289" s="145"/>
      <c r="S1289" s="145"/>
      <c r="T1289" s="135">
        <v>44762</v>
      </c>
      <c r="U1289" s="145"/>
      <c r="V1289" s="134" t="s">
        <v>563</v>
      </c>
      <c r="W1289" s="92" t="str">
        <f t="shared" si="97"/>
        <v>Lozano Hernandez,Jorge</v>
      </c>
      <c r="X1289" s="95">
        <f t="shared" si="95"/>
        <v>4</v>
      </c>
      <c r="Y1289" s="95">
        <f t="shared" si="99"/>
        <v>2022</v>
      </c>
      <c r="Z1289" s="136" t="s">
        <v>266</v>
      </c>
      <c r="AA1289" t="str">
        <f>IF(Tabla1[[#This Row],[Kerma en aire acumulada (Gy)]]&gt;1,SUMIF(G:G,Tabla1[[#This Row],[SIP]],I:I)-Tabla1[[#This Row],[Kerma en aire acumulada (Gy)]],"")</f>
        <v/>
      </c>
    </row>
    <row r="1290" spans="3:27">
      <c r="C1290" s="147" t="s">
        <v>1088</v>
      </c>
      <c r="D1290" s="134" t="s">
        <v>2457</v>
      </c>
      <c r="E1290" s="134" t="s">
        <v>2458</v>
      </c>
      <c r="F1290" s="134" t="s">
        <v>2459</v>
      </c>
      <c r="G1290" s="134">
        <v>3573472</v>
      </c>
      <c r="H1290" s="135">
        <v>44656</v>
      </c>
      <c r="I1290" s="134">
        <v>0.55074999999999996</v>
      </c>
      <c r="J1290" s="145"/>
      <c r="K1290" s="145"/>
      <c r="L1290" s="145"/>
      <c r="M1290" s="145"/>
      <c r="N1290" s="145"/>
      <c r="O1290" s="145"/>
      <c r="P1290" s="145"/>
      <c r="Q1290" s="145"/>
      <c r="R1290" s="145"/>
      <c r="S1290" s="145"/>
      <c r="T1290" s="135">
        <v>20265</v>
      </c>
      <c r="U1290" s="145"/>
      <c r="V1290" s="134" t="s">
        <v>563</v>
      </c>
      <c r="W1290" s="92" t="str">
        <f t="shared" si="97"/>
        <v>Illueca Rodenas,Joaquin Salvador</v>
      </c>
      <c r="X1290" s="95">
        <f t="shared" si="95"/>
        <v>4</v>
      </c>
      <c r="Y1290" s="95">
        <f t="shared" si="99"/>
        <v>2022</v>
      </c>
      <c r="Z1290" s="136" t="s">
        <v>266</v>
      </c>
      <c r="AA1290" t="str">
        <f>IF(Tabla1[[#This Row],[Kerma en aire acumulada (Gy)]]&gt;1,SUMIF(G:G,Tabla1[[#This Row],[SIP]],I:I)-Tabla1[[#This Row],[Kerma en aire acumulada (Gy)]],"")</f>
        <v/>
      </c>
    </row>
    <row r="1291" spans="3:27">
      <c r="C1291" s="147" t="s">
        <v>1088</v>
      </c>
      <c r="D1291" s="134" t="s">
        <v>2460</v>
      </c>
      <c r="E1291" s="134" t="s">
        <v>1010</v>
      </c>
      <c r="F1291" s="134" t="s">
        <v>2461</v>
      </c>
      <c r="G1291" s="134">
        <v>8013882</v>
      </c>
      <c r="H1291" s="135">
        <v>44656</v>
      </c>
      <c r="I1291" s="134">
        <v>0.24723000000000001</v>
      </c>
      <c r="J1291" s="145"/>
      <c r="K1291" s="145"/>
      <c r="L1291" s="145"/>
      <c r="M1291" s="145"/>
      <c r="N1291" s="145"/>
      <c r="O1291" s="145"/>
      <c r="P1291" s="145"/>
      <c r="Q1291" s="145"/>
      <c r="R1291" s="145"/>
      <c r="S1291" s="145"/>
      <c r="T1291" s="135">
        <v>19771</v>
      </c>
      <c r="U1291" s="145"/>
      <c r="V1291" s="134" t="s">
        <v>563</v>
      </c>
      <c r="W1291" s="92" t="str">
        <f t="shared" si="97"/>
        <v>De la Fuente Bautista,Tiburcio</v>
      </c>
      <c r="X1291" s="95">
        <f t="shared" si="95"/>
        <v>4</v>
      </c>
      <c r="Y1291" s="95">
        <f t="shared" si="99"/>
        <v>2022</v>
      </c>
      <c r="Z1291" s="136" t="s">
        <v>266</v>
      </c>
      <c r="AA1291" t="str">
        <f>IF(Tabla1[[#This Row],[Kerma en aire acumulada (Gy)]]&gt;1,SUMIF(G:G,Tabla1[[#This Row],[SIP]],I:I)-Tabla1[[#This Row],[Kerma en aire acumulada (Gy)]],"")</f>
        <v/>
      </c>
    </row>
    <row r="1292" spans="3:27">
      <c r="C1292" s="147" t="s">
        <v>1088</v>
      </c>
      <c r="D1292" s="134" t="s">
        <v>2482</v>
      </c>
      <c r="E1292" s="134" t="s">
        <v>2406</v>
      </c>
      <c r="F1292" s="134" t="s">
        <v>715</v>
      </c>
      <c r="G1292" s="134">
        <v>4897476</v>
      </c>
      <c r="H1292" s="135">
        <v>44656</v>
      </c>
      <c r="I1292" s="134"/>
      <c r="J1292" s="145"/>
      <c r="K1292" s="145"/>
      <c r="L1292" s="145"/>
      <c r="M1292" s="145"/>
      <c r="N1292" s="145"/>
      <c r="O1292" s="145"/>
      <c r="P1292" s="145"/>
      <c r="Q1292" s="145"/>
      <c r="R1292" s="145"/>
      <c r="S1292" s="145"/>
      <c r="T1292" s="135">
        <v>13860</v>
      </c>
      <c r="U1292" s="145"/>
      <c r="V1292" s="134" t="s">
        <v>563</v>
      </c>
      <c r="W1292" s="92" t="str">
        <f t="shared" si="97"/>
        <v>Aparicio Garrigos,Amparo</v>
      </c>
      <c r="X1292" s="95">
        <f t="shared" si="95"/>
        <v>4</v>
      </c>
      <c r="Y1292" s="95">
        <f t="shared" si="99"/>
        <v>2022</v>
      </c>
      <c r="Z1292" s="136" t="s">
        <v>266</v>
      </c>
      <c r="AA1292" t="str">
        <f>IF(Tabla1[[#This Row],[Kerma en aire acumulada (Gy)]]&gt;1,SUMIF(G:G,Tabla1[[#This Row],[SIP]],I:I)-Tabla1[[#This Row],[Kerma en aire acumulada (Gy)]],"")</f>
        <v/>
      </c>
    </row>
    <row r="1293" spans="3:27">
      <c r="C1293" s="147" t="s">
        <v>1088</v>
      </c>
      <c r="D1293" s="134" t="s">
        <v>1276</v>
      </c>
      <c r="E1293" s="134" t="s">
        <v>2483</v>
      </c>
      <c r="F1293" s="134" t="s">
        <v>1213</v>
      </c>
      <c r="G1293" s="134">
        <v>8431028</v>
      </c>
      <c r="H1293" s="135">
        <v>44656</v>
      </c>
      <c r="I1293" s="134">
        <v>2.0160000000000001E-2</v>
      </c>
      <c r="J1293" s="145"/>
      <c r="K1293" s="145"/>
      <c r="L1293" s="145"/>
      <c r="M1293" s="145"/>
      <c r="N1293" s="145"/>
      <c r="O1293" s="145"/>
      <c r="P1293" s="145"/>
      <c r="Q1293" s="145"/>
      <c r="R1293" s="145"/>
      <c r="S1293" s="145"/>
      <c r="T1293" s="135">
        <v>29342</v>
      </c>
      <c r="U1293" s="145"/>
      <c r="V1293" s="134" t="s">
        <v>563</v>
      </c>
      <c r="W1293" s="92" t="str">
        <f t="shared" si="97"/>
        <v>Alvarez Almarza,Maria Isabel</v>
      </c>
      <c r="X1293" s="95">
        <f t="shared" si="95"/>
        <v>4</v>
      </c>
      <c r="Y1293" s="95">
        <f t="shared" si="99"/>
        <v>2022</v>
      </c>
      <c r="Z1293" s="136" t="s">
        <v>266</v>
      </c>
      <c r="AA1293" t="str">
        <f>IF(Tabla1[[#This Row],[Kerma en aire acumulada (Gy)]]&gt;1,SUMIF(G:G,Tabla1[[#This Row],[SIP]],I:I)-Tabla1[[#This Row],[Kerma en aire acumulada (Gy)]],"")</f>
        <v/>
      </c>
    </row>
    <row r="1294" spans="3:27">
      <c r="C1294" s="147" t="s">
        <v>1088</v>
      </c>
      <c r="D1294" s="134" t="s">
        <v>1003</v>
      </c>
      <c r="E1294" s="134" t="s">
        <v>941</v>
      </c>
      <c r="F1294" s="134" t="s">
        <v>2484</v>
      </c>
      <c r="G1294" s="134">
        <v>3294944</v>
      </c>
      <c r="H1294" s="135">
        <v>44656</v>
      </c>
      <c r="I1294" s="134">
        <v>2.4519799999999998</v>
      </c>
      <c r="J1294" s="145"/>
      <c r="K1294" s="145"/>
      <c r="L1294" s="145"/>
      <c r="M1294" s="145"/>
      <c r="N1294" s="145"/>
      <c r="O1294" s="145"/>
      <c r="P1294" s="145"/>
      <c r="Q1294" s="145"/>
      <c r="R1294" s="145"/>
      <c r="S1294" s="145"/>
      <c r="T1294" s="135">
        <v>18299</v>
      </c>
      <c r="U1294" s="145"/>
      <c r="V1294" s="134" t="s">
        <v>563</v>
      </c>
      <c r="W1294" s="92" t="str">
        <f t="shared" si="97"/>
        <v>Romero Simo,Juan Ramon</v>
      </c>
      <c r="X1294" s="95">
        <f t="shared" si="95"/>
        <v>4</v>
      </c>
      <c r="Y1294" s="95">
        <f t="shared" si="99"/>
        <v>2022</v>
      </c>
      <c r="Z1294" s="136" t="s">
        <v>266</v>
      </c>
      <c r="AA1294">
        <f>IF(Tabla1[[#This Row],[Kerma en aire acumulada (Gy)]]&gt;1,SUMIF(G:G,Tabla1[[#This Row],[SIP]],I:I)-Tabla1[[#This Row],[Kerma en aire acumulada (Gy)]],"")</f>
        <v>0</v>
      </c>
    </row>
    <row r="1295" spans="3:27">
      <c r="C1295" s="147" t="s">
        <v>1088</v>
      </c>
      <c r="D1295" s="134" t="s">
        <v>2506</v>
      </c>
      <c r="E1295" s="134" t="s">
        <v>2507</v>
      </c>
      <c r="F1295" s="134" t="s">
        <v>88</v>
      </c>
      <c r="G1295" s="134">
        <v>2246575</v>
      </c>
      <c r="H1295" s="135">
        <v>44656</v>
      </c>
      <c r="I1295" s="134">
        <v>1.2019999999999999E-2</v>
      </c>
      <c r="J1295" s="145"/>
      <c r="K1295" s="145"/>
      <c r="L1295" s="145"/>
      <c r="M1295" s="145"/>
      <c r="N1295" s="145"/>
      <c r="O1295" s="145"/>
      <c r="P1295" s="145"/>
      <c r="Q1295" s="145"/>
      <c r="R1295" s="145"/>
      <c r="S1295" s="145"/>
      <c r="T1295" s="135">
        <v>15159</v>
      </c>
      <c r="U1295" s="145"/>
      <c r="V1295" s="134" t="s">
        <v>2241</v>
      </c>
      <c r="W1295" s="92" t="str">
        <f t="shared" si="97"/>
        <v>Solaz Alepuz,Vicente</v>
      </c>
      <c r="X1295" s="95">
        <f t="shared" si="95"/>
        <v>4</v>
      </c>
      <c r="Y1295" s="95">
        <f t="shared" si="99"/>
        <v>2022</v>
      </c>
      <c r="Z1295" s="136" t="s">
        <v>2238</v>
      </c>
      <c r="AA1295" t="str">
        <f>IF(Tabla1[[#This Row],[Kerma en aire acumulada (Gy)]]&gt;1,SUMIF(G:G,Tabla1[[#This Row],[SIP]],I:I)-Tabla1[[#This Row],[Kerma en aire acumulada (Gy)]],"")</f>
        <v/>
      </c>
    </row>
    <row r="1296" spans="3:27">
      <c r="C1296" s="147" t="s">
        <v>1088</v>
      </c>
      <c r="D1296" s="134" t="s">
        <v>1249</v>
      </c>
      <c r="E1296" s="134" t="s">
        <v>962</v>
      </c>
      <c r="F1296" s="134" t="s">
        <v>2413</v>
      </c>
      <c r="G1296" s="134">
        <v>2452161</v>
      </c>
      <c r="H1296" s="135">
        <v>44657</v>
      </c>
      <c r="I1296" s="134">
        <v>0.26658999999999999</v>
      </c>
      <c r="J1296" s="145"/>
      <c r="K1296" s="145"/>
      <c r="L1296" s="145"/>
      <c r="M1296" s="145"/>
      <c r="N1296" s="145"/>
      <c r="O1296" s="145"/>
      <c r="P1296" s="145"/>
      <c r="Q1296" s="145"/>
      <c r="R1296" s="145"/>
      <c r="S1296" s="145"/>
      <c r="T1296" s="135">
        <v>26613</v>
      </c>
      <c r="U1296" s="145"/>
      <c r="V1296" s="134" t="s">
        <v>2253</v>
      </c>
      <c r="W1296" s="92" t="str">
        <f t="shared" si="97"/>
        <v>Cortes Garcia,M Jose</v>
      </c>
      <c r="X1296" s="95">
        <f t="shared" si="95"/>
        <v>4</v>
      </c>
      <c r="Y1296" s="95">
        <f t="shared" si="99"/>
        <v>2022</v>
      </c>
      <c r="Z1296" s="103" t="s">
        <v>265</v>
      </c>
      <c r="AA1296" t="str">
        <f>IF(Tabla1[[#This Row],[Kerma en aire acumulada (Gy)]]&gt;1,SUMIF(G:G,Tabla1[[#This Row],[SIP]],I:I)-Tabla1[[#This Row],[Kerma en aire acumulada (Gy)]],"")</f>
        <v/>
      </c>
    </row>
    <row r="1297" spans="3:27">
      <c r="C1297" s="147" t="s">
        <v>1088</v>
      </c>
      <c r="D1297" s="134" t="s">
        <v>948</v>
      </c>
      <c r="E1297" s="134" t="s">
        <v>2419</v>
      </c>
      <c r="F1297" s="134" t="s">
        <v>967</v>
      </c>
      <c r="G1297" s="134">
        <v>3345665</v>
      </c>
      <c r="H1297" s="135">
        <v>44657</v>
      </c>
      <c r="I1297" s="134">
        <v>0.19641</v>
      </c>
      <c r="J1297" s="145"/>
      <c r="K1297" s="145"/>
      <c r="L1297" s="145"/>
      <c r="M1297" s="145"/>
      <c r="N1297" s="145"/>
      <c r="O1297" s="145"/>
      <c r="P1297" s="145"/>
      <c r="Q1297" s="145"/>
      <c r="R1297" s="145"/>
      <c r="S1297" s="145"/>
      <c r="T1297" s="135">
        <v>22382</v>
      </c>
      <c r="U1297" s="145"/>
      <c r="V1297" s="134" t="s">
        <v>2420</v>
      </c>
      <c r="W1297" s="92" t="str">
        <f t="shared" si="97"/>
        <v>Martinez Davia,Jose Manuel</v>
      </c>
      <c r="X1297" s="95">
        <f t="shared" si="95"/>
        <v>4</v>
      </c>
      <c r="Y1297" s="95">
        <f t="shared" si="99"/>
        <v>2022</v>
      </c>
      <c r="Z1297" s="103" t="s">
        <v>265</v>
      </c>
      <c r="AA1297" t="str">
        <f>IF(Tabla1[[#This Row],[Kerma en aire acumulada (Gy)]]&gt;1,SUMIF(G:G,Tabla1[[#This Row],[SIP]],I:I)-Tabla1[[#This Row],[Kerma en aire acumulada (Gy)]],"")</f>
        <v/>
      </c>
    </row>
    <row r="1298" spans="3:27">
      <c r="C1298" s="147" t="s">
        <v>1088</v>
      </c>
      <c r="D1298" s="134" t="s">
        <v>2421</v>
      </c>
      <c r="E1298" s="134" t="s">
        <v>2422</v>
      </c>
      <c r="F1298" s="134" t="s">
        <v>2423</v>
      </c>
      <c r="G1298" s="134">
        <v>5163862</v>
      </c>
      <c r="H1298" s="135">
        <v>44657</v>
      </c>
      <c r="I1298" s="134">
        <v>3.9510000000000003E-2</v>
      </c>
      <c r="J1298" s="145"/>
      <c r="K1298" s="145"/>
      <c r="L1298" s="145"/>
      <c r="M1298" s="145"/>
      <c r="N1298" s="145"/>
      <c r="O1298" s="145"/>
      <c r="P1298" s="145"/>
      <c r="Q1298" s="145"/>
      <c r="R1298" s="145"/>
      <c r="S1298" s="145"/>
      <c r="T1298" s="135">
        <v>31560</v>
      </c>
      <c r="U1298" s="145"/>
      <c r="V1298" s="134" t="s">
        <v>1643</v>
      </c>
      <c r="W1298" s="92" t="str">
        <f t="shared" si="97"/>
        <v>Pastor  Sansaloni,Carla</v>
      </c>
      <c r="X1298" s="95">
        <f t="shared" si="95"/>
        <v>4</v>
      </c>
      <c r="Y1298" s="95">
        <f t="shared" si="99"/>
        <v>2022</v>
      </c>
      <c r="Z1298" s="103" t="s">
        <v>265</v>
      </c>
      <c r="AA1298" t="str">
        <f>IF(Tabla1[[#This Row],[Kerma en aire acumulada (Gy)]]&gt;1,SUMIF(G:G,Tabla1[[#This Row],[SIP]],I:I)-Tabla1[[#This Row],[Kerma en aire acumulada (Gy)]],"")</f>
        <v/>
      </c>
    </row>
    <row r="1299" spans="3:27">
      <c r="C1299" s="147" t="s">
        <v>1088</v>
      </c>
      <c r="D1299" s="134" t="s">
        <v>2294</v>
      </c>
      <c r="E1299" s="134" t="s">
        <v>1009</v>
      </c>
      <c r="F1299" s="134" t="s">
        <v>2410</v>
      </c>
      <c r="G1299" s="134">
        <v>3730882</v>
      </c>
      <c r="H1299" s="135">
        <v>44657</v>
      </c>
      <c r="I1299" s="134">
        <v>1.0811500000000001</v>
      </c>
      <c r="J1299" s="145"/>
      <c r="K1299" s="145"/>
      <c r="L1299" s="145"/>
      <c r="M1299" s="145"/>
      <c r="N1299" s="145"/>
      <c r="O1299" s="145"/>
      <c r="P1299" s="145"/>
      <c r="Q1299" s="145"/>
      <c r="R1299" s="145"/>
      <c r="S1299" s="145"/>
      <c r="T1299" s="135">
        <v>19211</v>
      </c>
      <c r="U1299" s="145"/>
      <c r="V1299" s="134" t="s">
        <v>1635</v>
      </c>
      <c r="W1299" s="92" t="str">
        <f t="shared" si="97"/>
        <v>Mañas Fernandez,Jose Maria</v>
      </c>
      <c r="X1299" s="95">
        <f t="shared" si="95"/>
        <v>4</v>
      </c>
      <c r="Y1299" s="95">
        <f t="shared" si="99"/>
        <v>2022</v>
      </c>
      <c r="Z1299" s="103" t="s">
        <v>265</v>
      </c>
      <c r="AA1299">
        <f>IF(Tabla1[[#This Row],[Kerma en aire acumulada (Gy)]]&gt;1,SUMIF(G:G,Tabla1[[#This Row],[SIP]],I:I)-Tabla1[[#This Row],[Kerma en aire acumulada (Gy)]],"")</f>
        <v>0</v>
      </c>
    </row>
    <row r="1300" spans="3:27">
      <c r="C1300" s="147" t="s">
        <v>1088</v>
      </c>
      <c r="D1300" s="134" t="s">
        <v>2441</v>
      </c>
      <c r="E1300" s="134" t="s">
        <v>2442</v>
      </c>
      <c r="F1300" s="134" t="s">
        <v>562</v>
      </c>
      <c r="G1300" s="134">
        <v>3117008</v>
      </c>
      <c r="H1300" s="135">
        <v>44657</v>
      </c>
      <c r="I1300" s="134">
        <v>0.57523000000000002</v>
      </c>
      <c r="J1300" s="145"/>
      <c r="K1300" s="145"/>
      <c r="L1300" s="145"/>
      <c r="M1300" s="145"/>
      <c r="N1300" s="145"/>
      <c r="O1300" s="145"/>
      <c r="P1300" s="145"/>
      <c r="Q1300" s="145"/>
      <c r="R1300" s="145"/>
      <c r="S1300" s="145"/>
      <c r="T1300" s="135">
        <v>14447</v>
      </c>
      <c r="U1300" s="145"/>
      <c r="V1300" s="134" t="s">
        <v>563</v>
      </c>
      <c r="W1300" s="92" t="str">
        <f t="shared" si="97"/>
        <v>Torrecilla Alcantara,Rosa</v>
      </c>
      <c r="X1300" s="95">
        <f t="shared" si="95"/>
        <v>4</v>
      </c>
      <c r="Y1300" s="95">
        <f t="shared" si="99"/>
        <v>2022</v>
      </c>
      <c r="Z1300" s="136" t="s">
        <v>266</v>
      </c>
      <c r="AA1300" t="str">
        <f>IF(Tabla1[[#This Row],[Kerma en aire acumulada (Gy)]]&gt;1,SUMIF(G:G,Tabla1[[#This Row],[SIP]],I:I)-Tabla1[[#This Row],[Kerma en aire acumulada (Gy)]],"")</f>
        <v/>
      </c>
    </row>
    <row r="1301" spans="3:27">
      <c r="C1301" s="147" t="s">
        <v>1088</v>
      </c>
      <c r="D1301" s="134" t="s">
        <v>1098</v>
      </c>
      <c r="E1301" s="134" t="s">
        <v>2443</v>
      </c>
      <c r="F1301" s="134" t="s">
        <v>2444</v>
      </c>
      <c r="G1301" s="134">
        <v>1869160</v>
      </c>
      <c r="H1301" s="135">
        <v>44657</v>
      </c>
      <c r="I1301" s="134">
        <v>0.17685000000000001</v>
      </c>
      <c r="J1301" s="145"/>
      <c r="K1301" s="145"/>
      <c r="L1301" s="145"/>
      <c r="M1301" s="145"/>
      <c r="N1301" s="145"/>
      <c r="O1301" s="145"/>
      <c r="P1301" s="145"/>
      <c r="Q1301" s="145"/>
      <c r="R1301" s="145"/>
      <c r="S1301" s="145"/>
      <c r="T1301" s="135">
        <v>21827</v>
      </c>
      <c r="U1301" s="145"/>
      <c r="V1301" s="134" t="s">
        <v>563</v>
      </c>
      <c r="W1301" s="92" t="str">
        <f t="shared" si="97"/>
        <v>Moya Dastis,Francisco J</v>
      </c>
      <c r="X1301" s="95">
        <f t="shared" ref="X1301:X1316" si="100">MONTH(H1301)</f>
        <v>4</v>
      </c>
      <c r="Y1301" s="95">
        <f t="shared" si="99"/>
        <v>2022</v>
      </c>
      <c r="Z1301" s="136" t="s">
        <v>266</v>
      </c>
      <c r="AA1301" t="str">
        <f>IF(Tabla1[[#This Row],[Kerma en aire acumulada (Gy)]]&gt;1,SUMIF(G:G,Tabla1[[#This Row],[SIP]],I:I)-Tabla1[[#This Row],[Kerma en aire acumulada (Gy)]],"")</f>
        <v/>
      </c>
    </row>
    <row r="1302" spans="3:27">
      <c r="C1302" s="147" t="s">
        <v>1088</v>
      </c>
      <c r="D1302" s="134" t="s">
        <v>26</v>
      </c>
      <c r="E1302" s="134" t="s">
        <v>787</v>
      </c>
      <c r="F1302" s="134" t="s">
        <v>831</v>
      </c>
      <c r="G1302" s="134">
        <v>2308483</v>
      </c>
      <c r="H1302" s="135">
        <v>44657</v>
      </c>
      <c r="I1302" s="134">
        <v>1.37808</v>
      </c>
      <c r="J1302" s="145"/>
      <c r="K1302" s="145"/>
      <c r="L1302" s="145"/>
      <c r="M1302" s="145"/>
      <c r="N1302" s="145"/>
      <c r="O1302" s="145"/>
      <c r="P1302" s="145"/>
      <c r="Q1302" s="145"/>
      <c r="R1302" s="145"/>
      <c r="S1302" s="145"/>
      <c r="T1302" s="135">
        <v>21021</v>
      </c>
      <c r="U1302" s="145"/>
      <c r="V1302" s="134" t="s">
        <v>563</v>
      </c>
      <c r="W1302" s="92" t="str">
        <f t="shared" si="97"/>
        <v>Blasco  Bosch,Encarnación</v>
      </c>
      <c r="X1302" s="95">
        <f t="shared" si="100"/>
        <v>4</v>
      </c>
      <c r="Y1302" s="95">
        <f t="shared" si="99"/>
        <v>2022</v>
      </c>
      <c r="Z1302" s="136" t="s">
        <v>266</v>
      </c>
      <c r="AA1302">
        <f>IF(Tabla1[[#This Row],[Kerma en aire acumulada (Gy)]]&gt;1,SUMIF(G:G,Tabla1[[#This Row],[SIP]],I:I)-Tabla1[[#This Row],[Kerma en aire acumulada (Gy)]],"")</f>
        <v>0</v>
      </c>
    </row>
    <row r="1303" spans="3:27">
      <c r="C1303" s="147" t="s">
        <v>1088</v>
      </c>
      <c r="D1303" s="134" t="s">
        <v>2445</v>
      </c>
      <c r="E1303" s="134" t="s">
        <v>66</v>
      </c>
      <c r="F1303" s="134" t="s">
        <v>2446</v>
      </c>
      <c r="G1303" s="134">
        <v>1857869</v>
      </c>
      <c r="H1303" s="135">
        <v>44657</v>
      </c>
      <c r="I1303" s="134">
        <v>0.12103999999999999</v>
      </c>
      <c r="J1303" s="145"/>
      <c r="K1303" s="145"/>
      <c r="L1303" s="145"/>
      <c r="M1303" s="145"/>
      <c r="N1303" s="145"/>
      <c r="O1303" s="145"/>
      <c r="P1303" s="145"/>
      <c r="Q1303" s="145"/>
      <c r="R1303" s="145"/>
      <c r="S1303" s="145"/>
      <c r="T1303" s="135">
        <v>18783</v>
      </c>
      <c r="U1303" s="145"/>
      <c r="V1303" s="134" t="s">
        <v>563</v>
      </c>
      <c r="W1303" s="92" t="str">
        <f t="shared" si="97"/>
        <v>Agusti Navarro,Arturo</v>
      </c>
      <c r="X1303" s="95">
        <f t="shared" si="100"/>
        <v>4</v>
      </c>
      <c r="Y1303" s="95">
        <f t="shared" si="99"/>
        <v>2022</v>
      </c>
      <c r="Z1303" s="136" t="s">
        <v>266</v>
      </c>
      <c r="AA1303" t="str">
        <f>IF(Tabla1[[#This Row],[Kerma en aire acumulada (Gy)]]&gt;1,SUMIF(G:G,Tabla1[[#This Row],[SIP]],I:I)-Tabla1[[#This Row],[Kerma en aire acumulada (Gy)]],"")</f>
        <v/>
      </c>
    </row>
    <row r="1304" spans="3:27">
      <c r="C1304" s="147" t="s">
        <v>1088</v>
      </c>
      <c r="D1304" s="134" t="s">
        <v>2447</v>
      </c>
      <c r="E1304" s="134" t="s">
        <v>2448</v>
      </c>
      <c r="F1304" s="134" t="s">
        <v>1155</v>
      </c>
      <c r="G1304" s="134">
        <v>2294733</v>
      </c>
      <c r="H1304" s="135">
        <v>44657</v>
      </c>
      <c r="I1304" s="134">
        <v>5.7700000000000001E-2</v>
      </c>
      <c r="J1304" s="145"/>
      <c r="K1304" s="145"/>
      <c r="L1304" s="145"/>
      <c r="M1304" s="145"/>
      <c r="N1304" s="145"/>
      <c r="O1304" s="145"/>
      <c r="P1304" s="145"/>
      <c r="Q1304" s="145"/>
      <c r="R1304" s="145"/>
      <c r="S1304" s="145"/>
      <c r="T1304" s="135">
        <v>23887</v>
      </c>
      <c r="U1304" s="145"/>
      <c r="V1304" s="134" t="s">
        <v>563</v>
      </c>
      <c r="W1304" s="92" t="str">
        <f t="shared" si="97"/>
        <v>Camarasa Diranzo,Maria</v>
      </c>
      <c r="X1304" s="95">
        <f t="shared" si="100"/>
        <v>4</v>
      </c>
      <c r="Y1304" s="95">
        <f t="shared" si="99"/>
        <v>2022</v>
      </c>
      <c r="Z1304" s="136" t="s">
        <v>266</v>
      </c>
      <c r="AA1304" t="str">
        <f>IF(Tabla1[[#This Row],[Kerma en aire acumulada (Gy)]]&gt;1,SUMIF(G:G,Tabla1[[#This Row],[SIP]],I:I)-Tabla1[[#This Row],[Kerma en aire acumulada (Gy)]],"")</f>
        <v/>
      </c>
    </row>
    <row r="1305" spans="3:27">
      <c r="C1305" s="147" t="s">
        <v>1088</v>
      </c>
      <c r="D1305" s="134" t="s">
        <v>960</v>
      </c>
      <c r="E1305" s="134" t="s">
        <v>2449</v>
      </c>
      <c r="F1305" s="134" t="s">
        <v>2450</v>
      </c>
      <c r="G1305" s="134">
        <v>2164517</v>
      </c>
      <c r="H1305" s="135">
        <v>44657</v>
      </c>
      <c r="I1305" s="134">
        <v>0.30861</v>
      </c>
      <c r="J1305" s="145"/>
      <c r="K1305" s="145"/>
      <c r="L1305" s="145"/>
      <c r="M1305" s="145"/>
      <c r="N1305" s="145"/>
      <c r="O1305" s="145"/>
      <c r="P1305" s="145"/>
      <c r="Q1305" s="145"/>
      <c r="R1305" s="145"/>
      <c r="S1305" s="145"/>
      <c r="T1305" s="135">
        <v>18965</v>
      </c>
      <c r="U1305" s="145"/>
      <c r="V1305" s="134" t="s">
        <v>563</v>
      </c>
      <c r="W1305" s="92" t="str">
        <f t="shared" si="97"/>
        <v>Lopez Bravo,Julian</v>
      </c>
      <c r="X1305" s="95">
        <f t="shared" si="100"/>
        <v>4</v>
      </c>
      <c r="Y1305" s="95">
        <f t="shared" si="99"/>
        <v>2022</v>
      </c>
      <c r="Z1305" s="136" t="s">
        <v>266</v>
      </c>
      <c r="AA1305" t="str">
        <f>IF(Tabla1[[#This Row],[Kerma en aire acumulada (Gy)]]&gt;1,SUMIF(G:G,Tabla1[[#This Row],[SIP]],I:I)-Tabla1[[#This Row],[Kerma en aire acumulada (Gy)]],"")</f>
        <v/>
      </c>
    </row>
    <row r="1306" spans="3:27">
      <c r="C1306" s="147" t="s">
        <v>1088</v>
      </c>
      <c r="D1306" s="134" t="s">
        <v>2451</v>
      </c>
      <c r="E1306" s="134" t="s">
        <v>2452</v>
      </c>
      <c r="F1306" s="134" t="s">
        <v>117</v>
      </c>
      <c r="G1306" s="134">
        <v>4586548</v>
      </c>
      <c r="H1306" s="135">
        <v>44657</v>
      </c>
      <c r="I1306" s="134">
        <v>2.232E-2</v>
      </c>
      <c r="J1306" s="145"/>
      <c r="K1306" s="145"/>
      <c r="L1306" s="145"/>
      <c r="M1306" s="145"/>
      <c r="N1306" s="145"/>
      <c r="O1306" s="145"/>
      <c r="P1306" s="145"/>
      <c r="Q1306" s="145"/>
      <c r="R1306" s="145"/>
      <c r="S1306" s="145"/>
      <c r="T1306" s="135">
        <v>23377</v>
      </c>
      <c r="U1306" s="145"/>
      <c r="V1306" s="134" t="s">
        <v>563</v>
      </c>
      <c r="W1306" s="92" t="str">
        <f t="shared" si="97"/>
        <v>Traves Ribes,M Carmen</v>
      </c>
      <c r="X1306" s="95">
        <f t="shared" si="100"/>
        <v>4</v>
      </c>
      <c r="Y1306" s="95">
        <f t="shared" si="99"/>
        <v>2022</v>
      </c>
      <c r="Z1306" s="136" t="s">
        <v>266</v>
      </c>
      <c r="AA1306" t="str">
        <f>IF(Tabla1[[#This Row],[Kerma en aire acumulada (Gy)]]&gt;1,SUMIF(G:G,Tabla1[[#This Row],[SIP]],I:I)-Tabla1[[#This Row],[Kerma en aire acumulada (Gy)]],"")</f>
        <v/>
      </c>
    </row>
    <row r="1307" spans="3:27">
      <c r="C1307" s="147" t="s">
        <v>1088</v>
      </c>
      <c r="D1307" s="134" t="s">
        <v>2477</v>
      </c>
      <c r="E1307" s="134" t="s">
        <v>368</v>
      </c>
      <c r="F1307" s="134" t="s">
        <v>88</v>
      </c>
      <c r="G1307" s="134">
        <v>222970</v>
      </c>
      <c r="H1307" s="135">
        <v>44657</v>
      </c>
      <c r="I1307" s="134">
        <v>9.9419999999999994E-2</v>
      </c>
      <c r="J1307" s="145"/>
      <c r="K1307" s="145"/>
      <c r="L1307" s="145"/>
      <c r="M1307" s="145"/>
      <c r="N1307" s="145"/>
      <c r="O1307" s="145"/>
      <c r="P1307" s="145"/>
      <c r="Q1307" s="145"/>
      <c r="R1307" s="145"/>
      <c r="S1307" s="145"/>
      <c r="T1307" s="135">
        <v>12673</v>
      </c>
      <c r="U1307" s="145"/>
      <c r="V1307" s="134" t="s">
        <v>563</v>
      </c>
      <c r="W1307" s="92" t="str">
        <f t="shared" si="97"/>
        <v>Rioja García,Vicente</v>
      </c>
      <c r="X1307" s="95">
        <f t="shared" si="100"/>
        <v>4</v>
      </c>
      <c r="Y1307" s="95">
        <f t="shared" si="99"/>
        <v>2022</v>
      </c>
      <c r="Z1307" s="136" t="s">
        <v>266</v>
      </c>
      <c r="AA1307" t="str">
        <f>IF(Tabla1[[#This Row],[Kerma en aire acumulada (Gy)]]&gt;1,SUMIF(G:G,Tabla1[[#This Row],[SIP]],I:I)-Tabla1[[#This Row],[Kerma en aire acumulada (Gy)]],"")</f>
        <v/>
      </c>
    </row>
    <row r="1308" spans="3:27">
      <c r="C1308" s="147" t="s">
        <v>1088</v>
      </c>
      <c r="D1308" s="134" t="s">
        <v>115</v>
      </c>
      <c r="E1308" s="134" t="s">
        <v>2478</v>
      </c>
      <c r="F1308" s="134" t="s">
        <v>1779</v>
      </c>
      <c r="G1308" s="134">
        <v>3144695</v>
      </c>
      <c r="H1308" s="135">
        <v>44657</v>
      </c>
      <c r="I1308" s="134">
        <v>0.22244</v>
      </c>
      <c r="J1308" s="145"/>
      <c r="K1308" s="145"/>
      <c r="L1308" s="145"/>
      <c r="M1308" s="145"/>
      <c r="N1308" s="145"/>
      <c r="O1308" s="145"/>
      <c r="P1308" s="145"/>
      <c r="Q1308" s="145"/>
      <c r="R1308" s="145"/>
      <c r="S1308" s="145"/>
      <c r="T1308" s="135">
        <v>12560</v>
      </c>
      <c r="U1308" s="145"/>
      <c r="V1308" s="134" t="s">
        <v>563</v>
      </c>
      <c r="W1308" s="92" t="str">
        <f t="shared" si="97"/>
        <v>Pardo Teruel,Trinidad</v>
      </c>
      <c r="X1308" s="95">
        <f t="shared" si="100"/>
        <v>4</v>
      </c>
      <c r="Y1308" s="95">
        <f t="shared" si="99"/>
        <v>2022</v>
      </c>
      <c r="Z1308" s="136" t="s">
        <v>266</v>
      </c>
      <c r="AA1308" t="str">
        <f>IF(Tabla1[[#This Row],[Kerma en aire acumulada (Gy)]]&gt;1,SUMIF(G:G,Tabla1[[#This Row],[SIP]],I:I)-Tabla1[[#This Row],[Kerma en aire acumulada (Gy)]],"")</f>
        <v/>
      </c>
    </row>
    <row r="1309" spans="3:27">
      <c r="C1309" s="147" t="s">
        <v>1088</v>
      </c>
      <c r="D1309" s="134" t="s">
        <v>1709</v>
      </c>
      <c r="E1309" s="134" t="s">
        <v>2479</v>
      </c>
      <c r="F1309" s="134" t="s">
        <v>2141</v>
      </c>
      <c r="G1309" s="134">
        <v>2420624</v>
      </c>
      <c r="H1309" s="135">
        <v>44657</v>
      </c>
      <c r="I1309" s="134">
        <v>0.18062</v>
      </c>
      <c r="J1309" s="145"/>
      <c r="K1309" s="145"/>
      <c r="L1309" s="145"/>
      <c r="M1309" s="145"/>
      <c r="N1309" s="145"/>
      <c r="O1309" s="145"/>
      <c r="P1309" s="145"/>
      <c r="Q1309" s="145"/>
      <c r="R1309" s="145"/>
      <c r="S1309" s="145"/>
      <c r="T1309" s="135">
        <v>21787</v>
      </c>
      <c r="U1309" s="145"/>
      <c r="V1309" s="134" t="s">
        <v>563</v>
      </c>
      <c r="W1309" s="92" t="str">
        <f t="shared" si="97"/>
        <v>Mares Tejeda,Jesus</v>
      </c>
      <c r="X1309" s="95">
        <f t="shared" si="100"/>
        <v>4</v>
      </c>
      <c r="Y1309" s="95">
        <f t="shared" si="99"/>
        <v>2022</v>
      </c>
      <c r="Z1309" s="136" t="s">
        <v>266</v>
      </c>
      <c r="AA1309" t="str">
        <f>IF(Tabla1[[#This Row],[Kerma en aire acumulada (Gy)]]&gt;1,SUMIF(G:G,Tabla1[[#This Row],[SIP]],I:I)-Tabla1[[#This Row],[Kerma en aire acumulada (Gy)]],"")</f>
        <v/>
      </c>
    </row>
    <row r="1310" spans="3:27">
      <c r="C1310" s="147" t="s">
        <v>1088</v>
      </c>
      <c r="D1310" s="134" t="s">
        <v>2480</v>
      </c>
      <c r="E1310" s="134" t="s">
        <v>1776</v>
      </c>
      <c r="F1310" s="134" t="s">
        <v>1050</v>
      </c>
      <c r="G1310" s="134">
        <v>2439944</v>
      </c>
      <c r="H1310" s="135">
        <v>44657</v>
      </c>
      <c r="I1310" s="134">
        <v>0.16092000000000001</v>
      </c>
      <c r="J1310" s="145"/>
      <c r="K1310" s="145"/>
      <c r="L1310" s="145"/>
      <c r="M1310" s="145"/>
      <c r="N1310" s="145"/>
      <c r="O1310" s="145"/>
      <c r="P1310" s="145"/>
      <c r="Q1310" s="145"/>
      <c r="R1310" s="145"/>
      <c r="S1310" s="145"/>
      <c r="T1310" s="135">
        <v>27669</v>
      </c>
      <c r="U1310" s="145"/>
      <c r="V1310" s="134" t="s">
        <v>563</v>
      </c>
      <c r="W1310" s="92" t="str">
        <f t="shared" si="97"/>
        <v>Legaz Escribano,Francisco Javier</v>
      </c>
      <c r="X1310" s="95">
        <f t="shared" si="100"/>
        <v>4</v>
      </c>
      <c r="Y1310" s="95">
        <f t="shared" si="99"/>
        <v>2022</v>
      </c>
      <c r="Z1310" s="136" t="s">
        <v>266</v>
      </c>
      <c r="AA1310" t="str">
        <f>IF(Tabla1[[#This Row],[Kerma en aire acumulada (Gy)]]&gt;1,SUMIF(G:G,Tabla1[[#This Row],[SIP]],I:I)-Tabla1[[#This Row],[Kerma en aire acumulada (Gy)]],"")</f>
        <v/>
      </c>
    </row>
    <row r="1311" spans="3:27">
      <c r="C1311" s="147" t="s">
        <v>1088</v>
      </c>
      <c r="D1311" s="134" t="s">
        <v>1931</v>
      </c>
      <c r="E1311" s="134" t="s">
        <v>1106</v>
      </c>
      <c r="F1311" s="134" t="s">
        <v>2481</v>
      </c>
      <c r="G1311" s="134">
        <v>2417976</v>
      </c>
      <c r="H1311" s="135">
        <v>44657</v>
      </c>
      <c r="I1311" s="134">
        <v>0.21412999999999999</v>
      </c>
      <c r="J1311" s="145"/>
      <c r="K1311" s="145"/>
      <c r="L1311" s="145"/>
      <c r="M1311" s="145"/>
      <c r="N1311" s="145"/>
      <c r="O1311" s="145"/>
      <c r="P1311" s="145"/>
      <c r="Q1311" s="145"/>
      <c r="R1311" s="145"/>
      <c r="S1311" s="145"/>
      <c r="T1311" s="135">
        <v>20317</v>
      </c>
      <c r="U1311" s="145"/>
      <c r="V1311" s="134" t="s">
        <v>563</v>
      </c>
      <c r="W1311" s="92" t="str">
        <f t="shared" si="97"/>
        <v>Candel Alemany,Joan Vicent</v>
      </c>
      <c r="X1311" s="95">
        <f t="shared" si="100"/>
        <v>4</v>
      </c>
      <c r="Y1311" s="95">
        <f t="shared" si="99"/>
        <v>2022</v>
      </c>
      <c r="Z1311" s="136" t="s">
        <v>266</v>
      </c>
      <c r="AA1311" t="str">
        <f>IF(Tabla1[[#This Row],[Kerma en aire acumulada (Gy)]]&gt;1,SUMIF(G:G,Tabla1[[#This Row],[SIP]],I:I)-Tabla1[[#This Row],[Kerma en aire acumulada (Gy)]],"")</f>
        <v/>
      </c>
    </row>
    <row r="1312" spans="3:27">
      <c r="C1312" s="147" t="s">
        <v>1088</v>
      </c>
      <c r="D1312" s="134" t="s">
        <v>948</v>
      </c>
      <c r="E1312" s="134" t="s">
        <v>856</v>
      </c>
      <c r="F1312" s="134" t="s">
        <v>377</v>
      </c>
      <c r="G1312" s="134">
        <v>2401036</v>
      </c>
      <c r="H1312" s="135">
        <v>44657</v>
      </c>
      <c r="I1312" s="134">
        <v>0.51407000000000003</v>
      </c>
      <c r="J1312" s="145"/>
      <c r="K1312" s="145"/>
      <c r="L1312" s="145"/>
      <c r="M1312" s="145"/>
      <c r="N1312" s="145"/>
      <c r="O1312" s="145"/>
      <c r="P1312" s="145"/>
      <c r="Q1312" s="145"/>
      <c r="R1312" s="145"/>
      <c r="S1312" s="145"/>
      <c r="T1312" s="135">
        <v>15724</v>
      </c>
      <c r="U1312" s="145"/>
      <c r="V1312" s="134" t="s">
        <v>563</v>
      </c>
      <c r="W1312" s="92" t="str">
        <f t="shared" si="97"/>
        <v>Martinez Gomez,Pilar</v>
      </c>
      <c r="X1312" s="95">
        <f t="shared" si="100"/>
        <v>4</v>
      </c>
      <c r="Y1312" s="95">
        <f t="shared" si="99"/>
        <v>2022</v>
      </c>
      <c r="Z1312" s="136" t="s">
        <v>266</v>
      </c>
      <c r="AA1312" t="str">
        <f>IF(Tabla1[[#This Row],[Kerma en aire acumulada (Gy)]]&gt;1,SUMIF(G:G,Tabla1[[#This Row],[SIP]],I:I)-Tabla1[[#This Row],[Kerma en aire acumulada (Gy)]],"")</f>
        <v/>
      </c>
    </row>
    <row r="1313" spans="3:27">
      <c r="C1313" s="147" t="s">
        <v>1088</v>
      </c>
      <c r="D1313" s="134" t="s">
        <v>2503</v>
      </c>
      <c r="E1313" s="134" t="s">
        <v>2504</v>
      </c>
      <c r="F1313" s="134" t="s">
        <v>2410</v>
      </c>
      <c r="G1313" s="134">
        <v>5411819</v>
      </c>
      <c r="H1313" s="135">
        <v>44657</v>
      </c>
      <c r="I1313" s="134">
        <v>3.3300000000000001E-3</v>
      </c>
      <c r="J1313" s="145"/>
      <c r="K1313" s="145"/>
      <c r="L1313" s="145"/>
      <c r="M1313" s="145"/>
      <c r="N1313" s="145"/>
      <c r="O1313" s="145"/>
      <c r="P1313" s="145"/>
      <c r="Q1313" s="145"/>
      <c r="R1313" s="145"/>
      <c r="S1313" s="145"/>
      <c r="T1313" s="135">
        <v>18768</v>
      </c>
      <c r="U1313" s="145"/>
      <c r="V1313" s="134" t="s">
        <v>2505</v>
      </c>
      <c r="W1313" s="92" t="str">
        <f t="shared" si="97"/>
        <v>Mor Galve,Jose Maria</v>
      </c>
      <c r="X1313" s="95">
        <f t="shared" si="100"/>
        <v>4</v>
      </c>
      <c r="Y1313" s="95">
        <f t="shared" si="99"/>
        <v>2022</v>
      </c>
      <c r="Z1313" s="136" t="s">
        <v>2238</v>
      </c>
      <c r="AA1313" t="str">
        <f>IF(Tabla1[[#This Row],[Kerma en aire acumulada (Gy)]]&gt;1,SUMIF(G:G,Tabla1[[#This Row],[SIP]],I:I)-Tabla1[[#This Row],[Kerma en aire acumulada (Gy)]],"")</f>
        <v/>
      </c>
    </row>
    <row r="1314" spans="3:27">
      <c r="C1314" s="147" t="s">
        <v>1088</v>
      </c>
      <c r="D1314" s="134" t="s">
        <v>2529</v>
      </c>
      <c r="E1314" s="134"/>
      <c r="F1314" s="134" t="s">
        <v>2530</v>
      </c>
      <c r="G1314" s="134">
        <v>12389022</v>
      </c>
      <c r="H1314" s="135">
        <v>44658</v>
      </c>
      <c r="I1314" s="134">
        <v>3.4290000000000001E-2</v>
      </c>
      <c r="J1314" s="145"/>
      <c r="K1314" s="145"/>
      <c r="L1314" s="145"/>
      <c r="M1314" s="145"/>
      <c r="N1314" s="145"/>
      <c r="O1314" s="145"/>
      <c r="P1314" s="145"/>
      <c r="Q1314" s="145"/>
      <c r="R1314" s="145"/>
      <c r="S1314" s="145"/>
      <c r="T1314" s="135">
        <v>18712</v>
      </c>
      <c r="U1314" s="145"/>
      <c r="V1314" s="134" t="s">
        <v>502</v>
      </c>
      <c r="W1314" s="92" t="str">
        <f t="shared" si="97"/>
        <v>Sifontes ,David Antonio</v>
      </c>
      <c r="X1314" s="95">
        <f t="shared" si="100"/>
        <v>4</v>
      </c>
      <c r="Y1314" s="95">
        <f t="shared" si="99"/>
        <v>2022</v>
      </c>
      <c r="Z1314" s="103" t="s">
        <v>265</v>
      </c>
      <c r="AA1314" t="str">
        <f>IF(Tabla1[[#This Row],[Kerma en aire acumulada (Gy)]]&gt;1,SUMIF(G:G,Tabla1[[#This Row],[SIP]],I:I)-Tabla1[[#This Row],[Kerma en aire acumulada (Gy)]],"")</f>
        <v/>
      </c>
    </row>
    <row r="1315" spans="3:27">
      <c r="C1315" s="147" t="s">
        <v>1088</v>
      </c>
      <c r="D1315" s="134" t="s">
        <v>2531</v>
      </c>
      <c r="E1315" s="134" t="s">
        <v>1870</v>
      </c>
      <c r="F1315" s="134" t="s">
        <v>20</v>
      </c>
      <c r="G1315" s="134">
        <v>1863169</v>
      </c>
      <c r="H1315" s="135">
        <v>44658</v>
      </c>
      <c r="I1315" s="134">
        <v>0.17044000000000001</v>
      </c>
      <c r="J1315" s="145"/>
      <c r="K1315" s="145"/>
      <c r="L1315" s="145"/>
      <c r="M1315" s="145"/>
      <c r="N1315" s="145"/>
      <c r="O1315" s="145"/>
      <c r="P1315" s="145"/>
      <c r="Q1315" s="145"/>
      <c r="R1315" s="145"/>
      <c r="S1315" s="145"/>
      <c r="T1315" s="135">
        <v>13772</v>
      </c>
      <c r="U1315" s="145"/>
      <c r="V1315" s="134" t="s">
        <v>107</v>
      </c>
      <c r="W1315" s="92" t="str">
        <f t="shared" si="97"/>
        <v>Selma Bort,Antonio</v>
      </c>
      <c r="X1315" s="95">
        <f t="shared" si="100"/>
        <v>4</v>
      </c>
      <c r="Y1315" s="95">
        <f t="shared" si="99"/>
        <v>2022</v>
      </c>
      <c r="Z1315" s="103" t="s">
        <v>265</v>
      </c>
      <c r="AA1315" t="str">
        <f>IF(Tabla1[[#This Row],[Kerma en aire acumulada (Gy)]]&gt;1,SUMIF(G:G,Tabla1[[#This Row],[SIP]],I:I)-Tabla1[[#This Row],[Kerma en aire acumulada (Gy)]],"")</f>
        <v/>
      </c>
    </row>
    <row r="1316" spans="3:27">
      <c r="C1316" s="147" t="s">
        <v>1088</v>
      </c>
      <c r="D1316" s="134" t="s">
        <v>1749</v>
      </c>
      <c r="E1316" s="134" t="s">
        <v>2532</v>
      </c>
      <c r="F1316" s="134" t="s">
        <v>83</v>
      </c>
      <c r="G1316" s="134">
        <v>4232880</v>
      </c>
      <c r="H1316" s="135">
        <v>44658</v>
      </c>
      <c r="I1316" s="134">
        <v>0.67439000000000004</v>
      </c>
      <c r="J1316" s="145"/>
      <c r="K1316" s="145"/>
      <c r="L1316" s="145"/>
      <c r="M1316" s="145"/>
      <c r="N1316" s="145"/>
      <c r="O1316" s="145"/>
      <c r="P1316" s="145"/>
      <c r="Q1316" s="145"/>
      <c r="R1316" s="145"/>
      <c r="S1316" s="145"/>
      <c r="T1316" s="135">
        <v>18635</v>
      </c>
      <c r="U1316" s="145"/>
      <c r="V1316" s="134" t="s">
        <v>1711</v>
      </c>
      <c r="W1316" s="92" t="str">
        <f t="shared" si="97"/>
        <v>Guillem Estarelles,Francisco</v>
      </c>
      <c r="X1316" s="95">
        <f t="shared" si="100"/>
        <v>4</v>
      </c>
      <c r="Y1316" s="95">
        <f t="shared" si="99"/>
        <v>2022</v>
      </c>
      <c r="Z1316" s="103" t="s">
        <v>265</v>
      </c>
      <c r="AA1316" t="str">
        <f>IF(Tabla1[[#This Row],[Kerma en aire acumulada (Gy)]]&gt;1,SUMIF(G:G,Tabla1[[#This Row],[SIP]],I:I)-Tabla1[[#This Row],[Kerma en aire acumulada (Gy)]],"")</f>
        <v/>
      </c>
    </row>
    <row r="1317" spans="3:27">
      <c r="C1317" s="147" t="s">
        <v>1088</v>
      </c>
      <c r="D1317" s="134" t="s">
        <v>156</v>
      </c>
      <c r="E1317" s="134" t="s">
        <v>2422</v>
      </c>
      <c r="F1317" s="134" t="s">
        <v>2423</v>
      </c>
      <c r="G1317" s="134">
        <v>5163862</v>
      </c>
      <c r="H1317" s="135">
        <v>44658</v>
      </c>
      <c r="I1317" s="134">
        <v>1.085E-2</v>
      </c>
      <c r="J1317" s="145"/>
      <c r="K1317" s="145"/>
      <c r="L1317" s="145"/>
      <c r="M1317" s="145"/>
      <c r="N1317" s="145"/>
      <c r="O1317" s="145"/>
      <c r="P1317" s="145"/>
      <c r="Q1317" s="145"/>
      <c r="R1317" s="145"/>
      <c r="S1317" s="145"/>
      <c r="T1317" s="135">
        <v>35187</v>
      </c>
      <c r="U1317" s="145"/>
      <c r="V1317" s="134" t="s">
        <v>1643</v>
      </c>
      <c r="W1317" s="134"/>
      <c r="X1317" s="134"/>
      <c r="Y1317" s="134"/>
      <c r="Z1317" s="136"/>
      <c r="AA1317" t="str">
        <f>IF(Tabla1[[#This Row],[Kerma en aire acumulada (Gy)]]&gt;1,SUMIF(G:G,Tabla1[[#This Row],[SIP]],I:I)-Tabla1[[#This Row],[Kerma en aire acumulada (Gy)]],"")</f>
        <v/>
      </c>
    </row>
    <row r="1318" spans="3:27">
      <c r="C1318" s="147" t="s">
        <v>1088</v>
      </c>
      <c r="D1318" s="134" t="s">
        <v>2533</v>
      </c>
      <c r="E1318" s="134" t="s">
        <v>1261</v>
      </c>
      <c r="F1318" s="134" t="s">
        <v>2534</v>
      </c>
      <c r="G1318" s="134">
        <v>3142380</v>
      </c>
      <c r="H1318" s="135">
        <v>44658</v>
      </c>
      <c r="I1318" s="134">
        <v>4.4249999999999998E-2</v>
      </c>
      <c r="J1318" s="145"/>
      <c r="K1318" s="145"/>
      <c r="L1318" s="145"/>
      <c r="M1318" s="145"/>
      <c r="N1318" s="145"/>
      <c r="O1318" s="145"/>
      <c r="P1318" s="145"/>
      <c r="Q1318" s="145"/>
      <c r="R1318" s="145"/>
      <c r="S1318" s="145"/>
      <c r="T1318" s="135">
        <v>12452</v>
      </c>
      <c r="U1318" s="145"/>
      <c r="V1318" s="134" t="s">
        <v>1594</v>
      </c>
      <c r="W1318" s="134"/>
      <c r="X1318" s="134"/>
      <c r="Y1318" s="134"/>
      <c r="Z1318" s="136"/>
      <c r="AA1318" t="str">
        <f>IF(Tabla1[[#This Row],[Kerma en aire acumulada (Gy)]]&gt;1,SUMIF(G:G,Tabla1[[#This Row],[SIP]],I:I)-Tabla1[[#This Row],[Kerma en aire acumulada (Gy)]],"")</f>
        <v/>
      </c>
    </row>
    <row r="1319" spans="3:27">
      <c r="C1319" s="147" t="s">
        <v>1088</v>
      </c>
      <c r="D1319" s="134" t="s">
        <v>2550</v>
      </c>
      <c r="E1319" s="134"/>
      <c r="F1319" s="134" t="s">
        <v>2551</v>
      </c>
      <c r="G1319" s="134">
        <v>7272811</v>
      </c>
      <c r="H1319" s="135">
        <v>44658</v>
      </c>
      <c r="I1319" s="134">
        <v>6.6879999999999995E-2</v>
      </c>
      <c r="J1319" s="145"/>
      <c r="K1319" s="145"/>
      <c r="L1319" s="145"/>
      <c r="M1319" s="145"/>
      <c r="N1319" s="145"/>
      <c r="O1319" s="145"/>
      <c r="P1319" s="145"/>
      <c r="Q1319" s="145"/>
      <c r="R1319" s="145"/>
      <c r="S1319" s="145"/>
      <c r="T1319" s="135">
        <v>25706</v>
      </c>
      <c r="U1319" s="145"/>
      <c r="V1319" s="134" t="s">
        <v>819</v>
      </c>
      <c r="W1319" s="134"/>
      <c r="X1319" s="134"/>
      <c r="Y1319" s="134"/>
      <c r="Z1319" s="136"/>
      <c r="AA1319" t="str">
        <f>IF(Tabla1[[#This Row],[Kerma en aire acumulada (Gy)]]&gt;1,SUMIF(G:G,Tabla1[[#This Row],[SIP]],I:I)-Tabla1[[#This Row],[Kerma en aire acumulada (Gy)]],"")</f>
        <v/>
      </c>
    </row>
    <row r="1320" spans="3:27">
      <c r="C1320" s="147" t="s">
        <v>1088</v>
      </c>
      <c r="D1320" s="134" t="s">
        <v>2552</v>
      </c>
      <c r="E1320" s="134" t="s">
        <v>152</v>
      </c>
      <c r="F1320" s="134" t="s">
        <v>2117</v>
      </c>
      <c r="G1320" s="134">
        <v>2934067</v>
      </c>
      <c r="H1320" s="135">
        <v>44658</v>
      </c>
      <c r="I1320" s="134">
        <v>7.1819999999999995E-2</v>
      </c>
      <c r="J1320" s="145"/>
      <c r="K1320" s="145"/>
      <c r="L1320" s="145"/>
      <c r="M1320" s="145"/>
      <c r="N1320" s="145"/>
      <c r="O1320" s="145"/>
      <c r="P1320" s="145"/>
      <c r="Q1320" s="145"/>
      <c r="R1320" s="145"/>
      <c r="S1320" s="145"/>
      <c r="T1320" s="135">
        <v>22014</v>
      </c>
      <c r="U1320" s="145"/>
      <c r="V1320" s="134" t="s">
        <v>2547</v>
      </c>
      <c r="W1320" s="134"/>
      <c r="X1320" s="134"/>
      <c r="Y1320" s="134"/>
      <c r="Z1320" s="136"/>
      <c r="AA1320" t="str">
        <f>IF(Tabla1[[#This Row],[Kerma en aire acumulada (Gy)]]&gt;1,SUMIF(G:G,Tabla1[[#This Row],[SIP]],I:I)-Tabla1[[#This Row],[Kerma en aire acumulada (Gy)]],"")</f>
        <v/>
      </c>
    </row>
    <row r="1321" spans="3:27">
      <c r="C1321" s="147" t="s">
        <v>1088</v>
      </c>
      <c r="D1321" s="134" t="s">
        <v>782</v>
      </c>
      <c r="E1321" s="134" t="s">
        <v>1001</v>
      </c>
      <c r="F1321" s="134" t="s">
        <v>1686</v>
      </c>
      <c r="G1321" s="134">
        <v>3189587</v>
      </c>
      <c r="H1321" s="135">
        <v>44658</v>
      </c>
      <c r="I1321" s="134">
        <v>0.16785</v>
      </c>
      <c r="J1321" s="145"/>
      <c r="K1321" s="145"/>
      <c r="L1321" s="145"/>
      <c r="M1321" s="145"/>
      <c r="N1321" s="145"/>
      <c r="O1321" s="145"/>
      <c r="P1321" s="145"/>
      <c r="Q1321" s="145"/>
      <c r="R1321" s="145"/>
      <c r="S1321" s="145"/>
      <c r="T1321" s="135">
        <v>13498</v>
      </c>
      <c r="U1321" s="145"/>
      <c r="V1321" s="134" t="s">
        <v>2547</v>
      </c>
      <c r="W1321" s="134"/>
      <c r="X1321" s="134"/>
      <c r="Y1321" s="134"/>
      <c r="Z1321" s="136"/>
      <c r="AA1321" t="str">
        <f>IF(Tabla1[[#This Row],[Kerma en aire acumulada (Gy)]]&gt;1,SUMIF(G:G,Tabla1[[#This Row],[SIP]],I:I)-Tabla1[[#This Row],[Kerma en aire acumulada (Gy)]],"")</f>
        <v/>
      </c>
    </row>
    <row r="1322" spans="3:27">
      <c r="C1322" s="147" t="s">
        <v>1088</v>
      </c>
      <c r="D1322" s="134" t="s">
        <v>2572</v>
      </c>
      <c r="E1322" s="134" t="s">
        <v>2573</v>
      </c>
      <c r="F1322" s="134" t="s">
        <v>2574</v>
      </c>
      <c r="G1322" s="134">
        <v>13357159</v>
      </c>
      <c r="H1322" s="135">
        <v>44658</v>
      </c>
      <c r="I1322" s="134">
        <v>1.1184700000000001</v>
      </c>
      <c r="J1322" s="145"/>
      <c r="K1322" s="145"/>
      <c r="L1322" s="145"/>
      <c r="M1322" s="145"/>
      <c r="N1322" s="145"/>
      <c r="O1322" s="145"/>
      <c r="P1322" s="145"/>
      <c r="Q1322" s="145"/>
      <c r="R1322" s="145"/>
      <c r="S1322" s="145"/>
      <c r="T1322" s="135">
        <v>19224</v>
      </c>
      <c r="U1322" s="145"/>
      <c r="V1322" s="134" t="s">
        <v>563</v>
      </c>
      <c r="W1322" s="92" t="str">
        <f t="shared" ref="W1322:W1385" si="101">CONCATENATE(D1322,$A$591,E1322,",",F1322)</f>
        <v>Oviedo De Freire,Beatriz Elena</v>
      </c>
      <c r="X1322" s="95">
        <f t="shared" ref="X1322:X1385" si="102">MONTH(H1322)</f>
        <v>4</v>
      </c>
      <c r="Y1322" s="95">
        <f t="shared" ref="Y1322:Y1385" si="103">YEAR(H1322)</f>
        <v>2022</v>
      </c>
      <c r="Z1322" s="136" t="s">
        <v>266</v>
      </c>
      <c r="AA1322">
        <f>IF(Tabla1[[#This Row],[Kerma en aire acumulada (Gy)]]&gt;1,SUMIF(G:G,Tabla1[[#This Row],[SIP]],I:I)-Tabla1[[#This Row],[Kerma en aire acumulada (Gy)]],"")</f>
        <v>0.69501000000000013</v>
      </c>
    </row>
    <row r="1323" spans="3:27">
      <c r="C1323" s="147" t="s">
        <v>1088</v>
      </c>
      <c r="D1323" s="134" t="s">
        <v>1587</v>
      </c>
      <c r="E1323" s="134" t="s">
        <v>1926</v>
      </c>
      <c r="F1323" s="134" t="s">
        <v>57</v>
      </c>
      <c r="G1323" s="134">
        <v>3618906</v>
      </c>
      <c r="H1323" s="135">
        <v>44658</v>
      </c>
      <c r="I1323" s="134">
        <v>7.689E-2</v>
      </c>
      <c r="J1323" s="145"/>
      <c r="K1323" s="145"/>
      <c r="L1323" s="145"/>
      <c r="M1323" s="145"/>
      <c r="N1323" s="145"/>
      <c r="O1323" s="145"/>
      <c r="P1323" s="145"/>
      <c r="Q1323" s="145"/>
      <c r="R1323" s="145"/>
      <c r="S1323" s="145"/>
      <c r="T1323" s="135">
        <v>21029</v>
      </c>
      <c r="U1323" s="145"/>
      <c r="V1323" s="134" t="s">
        <v>563</v>
      </c>
      <c r="W1323" s="92" t="str">
        <f t="shared" si="101"/>
        <v>Jimenez Lujan,Miguel</v>
      </c>
      <c r="X1323" s="95">
        <f t="shared" si="102"/>
        <v>4</v>
      </c>
      <c r="Y1323" s="95">
        <f t="shared" si="103"/>
        <v>2022</v>
      </c>
      <c r="Z1323" s="136" t="s">
        <v>266</v>
      </c>
      <c r="AA1323" t="str">
        <f>IF(Tabla1[[#This Row],[Kerma en aire acumulada (Gy)]]&gt;1,SUMIF(G:G,Tabla1[[#This Row],[SIP]],I:I)-Tabla1[[#This Row],[Kerma en aire acumulada (Gy)]],"")</f>
        <v/>
      </c>
    </row>
    <row r="1324" spans="3:27">
      <c r="C1324" s="147" t="s">
        <v>1088</v>
      </c>
      <c r="D1324" s="134" t="s">
        <v>2575</v>
      </c>
      <c r="E1324" s="134" t="s">
        <v>2576</v>
      </c>
      <c r="F1324" s="134" t="s">
        <v>2577</v>
      </c>
      <c r="G1324" s="134">
        <v>197786</v>
      </c>
      <c r="H1324" s="135">
        <v>44658</v>
      </c>
      <c r="I1324" s="134"/>
      <c r="J1324" s="145"/>
      <c r="K1324" s="145"/>
      <c r="L1324" s="145"/>
      <c r="M1324" s="145"/>
      <c r="N1324" s="145"/>
      <c r="O1324" s="145"/>
      <c r="P1324" s="145"/>
      <c r="Q1324" s="145"/>
      <c r="R1324" s="145"/>
      <c r="S1324" s="145"/>
      <c r="T1324" s="135">
        <v>17891</v>
      </c>
      <c r="U1324" s="145"/>
      <c r="V1324" s="134" t="s">
        <v>563</v>
      </c>
      <c r="W1324" s="92" t="str">
        <f t="shared" si="101"/>
        <v>Cebolla Alberola,Carlos Jose</v>
      </c>
      <c r="X1324" s="95">
        <f t="shared" si="102"/>
        <v>4</v>
      </c>
      <c r="Y1324" s="95">
        <f t="shared" si="103"/>
        <v>2022</v>
      </c>
      <c r="Z1324" s="136" t="s">
        <v>266</v>
      </c>
      <c r="AA1324" t="str">
        <f>IF(Tabla1[[#This Row],[Kerma en aire acumulada (Gy)]]&gt;1,SUMIF(G:G,Tabla1[[#This Row],[SIP]],I:I)-Tabla1[[#This Row],[Kerma en aire acumulada (Gy)]],"")</f>
        <v/>
      </c>
    </row>
    <row r="1325" spans="3:27">
      <c r="C1325" s="147" t="s">
        <v>1088</v>
      </c>
      <c r="D1325" s="134" t="s">
        <v>948</v>
      </c>
      <c r="E1325" s="134" t="s">
        <v>2622</v>
      </c>
      <c r="F1325" s="134" t="s">
        <v>786</v>
      </c>
      <c r="G1325" s="134">
        <v>1872147</v>
      </c>
      <c r="H1325" s="135">
        <v>44658</v>
      </c>
      <c r="I1325" s="134">
        <v>0.32044</v>
      </c>
      <c r="J1325" s="145"/>
      <c r="K1325" s="145"/>
      <c r="L1325" s="145"/>
      <c r="M1325" s="145"/>
      <c r="N1325" s="145"/>
      <c r="O1325" s="145"/>
      <c r="P1325" s="145"/>
      <c r="Q1325" s="145"/>
      <c r="R1325" s="145"/>
      <c r="S1325" s="145"/>
      <c r="T1325" s="135">
        <v>25586</v>
      </c>
      <c r="U1325" s="145"/>
      <c r="V1325" s="134" t="s">
        <v>563</v>
      </c>
      <c r="W1325" s="92" t="str">
        <f t="shared" si="101"/>
        <v>Martinez Valiente,Maria Carmen</v>
      </c>
      <c r="X1325" s="95">
        <f t="shared" si="102"/>
        <v>4</v>
      </c>
      <c r="Y1325" s="95">
        <f t="shared" si="103"/>
        <v>2022</v>
      </c>
      <c r="Z1325" s="136" t="s">
        <v>266</v>
      </c>
      <c r="AA1325" t="str">
        <f>IF(Tabla1[[#This Row],[Kerma en aire acumulada (Gy)]]&gt;1,SUMIF(G:G,Tabla1[[#This Row],[SIP]],I:I)-Tabla1[[#This Row],[Kerma en aire acumulada (Gy)]],"")</f>
        <v/>
      </c>
    </row>
    <row r="1326" spans="3:27">
      <c r="C1326" s="147" t="s">
        <v>1088</v>
      </c>
      <c r="D1326" s="134" t="s">
        <v>2097</v>
      </c>
      <c r="E1326" s="134" t="s">
        <v>152</v>
      </c>
      <c r="F1326" s="134" t="s">
        <v>88</v>
      </c>
      <c r="G1326" s="134">
        <v>1864903</v>
      </c>
      <c r="H1326" s="135">
        <v>44658</v>
      </c>
      <c r="I1326" s="134">
        <v>0.34797</v>
      </c>
      <c r="J1326" s="145"/>
      <c r="K1326" s="145"/>
      <c r="L1326" s="145"/>
      <c r="M1326" s="145"/>
      <c r="N1326" s="145"/>
      <c r="O1326" s="145"/>
      <c r="P1326" s="145"/>
      <c r="Q1326" s="145"/>
      <c r="R1326" s="145"/>
      <c r="S1326" s="145"/>
      <c r="T1326" s="135">
        <v>17153</v>
      </c>
      <c r="U1326" s="145"/>
      <c r="V1326" s="134" t="s">
        <v>563</v>
      </c>
      <c r="W1326" s="92" t="str">
        <f t="shared" si="101"/>
        <v>Verdeguer Vidal,Vicente</v>
      </c>
      <c r="X1326" s="95">
        <f t="shared" si="102"/>
        <v>4</v>
      </c>
      <c r="Y1326" s="95">
        <f t="shared" si="103"/>
        <v>2022</v>
      </c>
      <c r="Z1326" s="136" t="s">
        <v>266</v>
      </c>
      <c r="AA1326" t="str">
        <f>IF(Tabla1[[#This Row],[Kerma en aire acumulada (Gy)]]&gt;1,SUMIF(G:G,Tabla1[[#This Row],[SIP]],I:I)-Tabla1[[#This Row],[Kerma en aire acumulada (Gy)]],"")</f>
        <v/>
      </c>
    </row>
    <row r="1327" spans="3:27">
      <c r="C1327" s="147" t="s">
        <v>1088</v>
      </c>
      <c r="D1327" s="134" t="s">
        <v>801</v>
      </c>
      <c r="E1327" s="134" t="s">
        <v>2623</v>
      </c>
      <c r="F1327" s="134" t="s">
        <v>831</v>
      </c>
      <c r="G1327" s="134">
        <v>2858619</v>
      </c>
      <c r="H1327" s="135">
        <v>44658</v>
      </c>
      <c r="I1327" s="134">
        <v>0.41664000000000001</v>
      </c>
      <c r="J1327" s="145"/>
      <c r="K1327" s="145"/>
      <c r="L1327" s="145"/>
      <c r="M1327" s="145"/>
      <c r="N1327" s="145"/>
      <c r="O1327" s="145"/>
      <c r="P1327" s="145"/>
      <c r="Q1327" s="145"/>
      <c r="R1327" s="145"/>
      <c r="S1327" s="145"/>
      <c r="T1327" s="135">
        <v>15297</v>
      </c>
      <c r="U1327" s="145"/>
      <c r="V1327" s="134" t="s">
        <v>563</v>
      </c>
      <c r="W1327" s="92" t="str">
        <f t="shared" si="101"/>
        <v>Campillo Araez,Encarnación</v>
      </c>
      <c r="X1327" s="95">
        <f t="shared" si="102"/>
        <v>4</v>
      </c>
      <c r="Y1327" s="95">
        <f t="shared" si="103"/>
        <v>2022</v>
      </c>
      <c r="Z1327" s="136" t="s">
        <v>266</v>
      </c>
      <c r="AA1327" t="str">
        <f>IF(Tabla1[[#This Row],[Kerma en aire acumulada (Gy)]]&gt;1,SUMIF(G:G,Tabla1[[#This Row],[SIP]],I:I)-Tabla1[[#This Row],[Kerma en aire acumulada (Gy)]],"")</f>
        <v/>
      </c>
    </row>
    <row r="1328" spans="3:27">
      <c r="C1328" s="147" t="s">
        <v>1088</v>
      </c>
      <c r="D1328" s="134" t="s">
        <v>968</v>
      </c>
      <c r="E1328" s="134" t="s">
        <v>1040</v>
      </c>
      <c r="F1328" s="134" t="s">
        <v>2624</v>
      </c>
      <c r="G1328" s="134">
        <v>2037286</v>
      </c>
      <c r="H1328" s="135">
        <v>44658</v>
      </c>
      <c r="I1328" s="134">
        <v>0.18446000000000001</v>
      </c>
      <c r="J1328" s="145"/>
      <c r="K1328" s="145"/>
      <c r="L1328" s="145"/>
      <c r="M1328" s="145"/>
      <c r="N1328" s="145"/>
      <c r="O1328" s="145"/>
      <c r="P1328" s="145"/>
      <c r="Q1328" s="145"/>
      <c r="R1328" s="145"/>
      <c r="S1328" s="145"/>
      <c r="T1328" s="135">
        <v>14888</v>
      </c>
      <c r="U1328" s="145"/>
      <c r="V1328" s="134" t="s">
        <v>563</v>
      </c>
      <c r="W1328" s="92" t="str">
        <f t="shared" si="101"/>
        <v>Soria Cuevas,M del Carmen</v>
      </c>
      <c r="X1328" s="95">
        <f t="shared" si="102"/>
        <v>4</v>
      </c>
      <c r="Y1328" s="95">
        <f t="shared" si="103"/>
        <v>2022</v>
      </c>
      <c r="Z1328" s="136" t="s">
        <v>266</v>
      </c>
      <c r="AA1328" t="str">
        <f>IF(Tabla1[[#This Row],[Kerma en aire acumulada (Gy)]]&gt;1,SUMIF(G:G,Tabla1[[#This Row],[SIP]],I:I)-Tabla1[[#This Row],[Kerma en aire acumulada (Gy)]],"")</f>
        <v/>
      </c>
    </row>
    <row r="1329" spans="3:27">
      <c r="C1329" s="147" t="s">
        <v>1088</v>
      </c>
      <c r="D1329" s="134" t="s">
        <v>2469</v>
      </c>
      <c r="E1329" s="134" t="s">
        <v>1001</v>
      </c>
      <c r="F1329" s="134" t="s">
        <v>2632</v>
      </c>
      <c r="G1329" s="134">
        <v>5898330</v>
      </c>
      <c r="H1329" s="135">
        <v>44658</v>
      </c>
      <c r="I1329" s="134">
        <v>3.9960000000000002E-2</v>
      </c>
      <c r="J1329" s="145"/>
      <c r="K1329" s="145"/>
      <c r="L1329" s="145"/>
      <c r="M1329" s="145"/>
      <c r="N1329" s="145"/>
      <c r="O1329" s="145"/>
      <c r="P1329" s="145"/>
      <c r="Q1329" s="145"/>
      <c r="R1329" s="145"/>
      <c r="S1329" s="145"/>
      <c r="T1329" s="135">
        <v>22931</v>
      </c>
      <c r="U1329" s="145"/>
      <c r="V1329" s="134" t="s">
        <v>2241</v>
      </c>
      <c r="W1329" s="92" t="str">
        <f t="shared" si="101"/>
        <v>Calderon Perez,Julio augustin</v>
      </c>
      <c r="X1329" s="95">
        <f t="shared" si="102"/>
        <v>4</v>
      </c>
      <c r="Y1329" s="95">
        <f t="shared" si="103"/>
        <v>2022</v>
      </c>
      <c r="Z1329" s="136" t="s">
        <v>2238</v>
      </c>
      <c r="AA1329" t="str">
        <f>IF(Tabla1[[#This Row],[Kerma en aire acumulada (Gy)]]&gt;1,SUMIF(G:G,Tabla1[[#This Row],[SIP]],I:I)-Tabla1[[#This Row],[Kerma en aire acumulada (Gy)]],"")</f>
        <v/>
      </c>
    </row>
    <row r="1330" spans="3:27">
      <c r="C1330" s="147" t="s">
        <v>1088</v>
      </c>
      <c r="D1330" s="134" t="s">
        <v>2633</v>
      </c>
      <c r="E1330" s="134" t="s">
        <v>2634</v>
      </c>
      <c r="F1330" s="134" t="s">
        <v>966</v>
      </c>
      <c r="G1330" s="134">
        <v>12825976</v>
      </c>
      <c r="H1330" s="135">
        <v>44658</v>
      </c>
      <c r="I1330" s="134">
        <v>2.0000000000000001E-4</v>
      </c>
      <c r="J1330" s="145"/>
      <c r="K1330" s="145"/>
      <c r="L1330" s="145"/>
      <c r="M1330" s="145"/>
      <c r="N1330" s="145"/>
      <c r="O1330" s="145"/>
      <c r="P1330" s="145"/>
      <c r="Q1330" s="145"/>
      <c r="R1330" s="145"/>
      <c r="S1330" s="145"/>
      <c r="T1330" s="135">
        <v>33466</v>
      </c>
      <c r="U1330" s="145"/>
      <c r="V1330" s="134" t="s">
        <v>2309</v>
      </c>
      <c r="W1330" s="92" t="str">
        <f t="shared" si="101"/>
        <v>Sevillano Bouhard,Marco</v>
      </c>
      <c r="X1330" s="95">
        <f t="shared" si="102"/>
        <v>4</v>
      </c>
      <c r="Y1330" s="95">
        <f t="shared" si="103"/>
        <v>2022</v>
      </c>
      <c r="Z1330" s="136" t="s">
        <v>2238</v>
      </c>
      <c r="AA1330" t="str">
        <f>IF(Tabla1[[#This Row],[Kerma en aire acumulada (Gy)]]&gt;1,SUMIF(G:G,Tabla1[[#This Row],[SIP]],I:I)-Tabla1[[#This Row],[Kerma en aire acumulada (Gy)]],"")</f>
        <v/>
      </c>
    </row>
    <row r="1331" spans="3:27">
      <c r="C1331" s="147" t="s">
        <v>1088</v>
      </c>
      <c r="D1331" s="134" t="s">
        <v>2050</v>
      </c>
      <c r="E1331" s="134" t="s">
        <v>1288</v>
      </c>
      <c r="F1331" s="134" t="s">
        <v>1139</v>
      </c>
      <c r="G1331" s="134">
        <v>89812</v>
      </c>
      <c r="H1331" s="135">
        <v>44658</v>
      </c>
      <c r="I1331" s="134">
        <v>1.56E-3</v>
      </c>
      <c r="J1331" s="145"/>
      <c r="K1331" s="145"/>
      <c r="L1331" s="145"/>
      <c r="M1331" s="145"/>
      <c r="N1331" s="145"/>
      <c r="O1331" s="145"/>
      <c r="P1331" s="145"/>
      <c r="Q1331" s="145"/>
      <c r="R1331" s="145"/>
      <c r="S1331" s="145"/>
      <c r="T1331" s="135">
        <v>20270</v>
      </c>
      <c r="U1331" s="145"/>
      <c r="V1331" s="134" t="s">
        <v>2237</v>
      </c>
      <c r="W1331" s="92" t="str">
        <f t="shared" si="101"/>
        <v>Montañes Castello,Jose Vicente</v>
      </c>
      <c r="X1331" s="95">
        <f t="shared" si="102"/>
        <v>4</v>
      </c>
      <c r="Y1331" s="95">
        <f t="shared" si="103"/>
        <v>2022</v>
      </c>
      <c r="Z1331" s="136" t="s">
        <v>2238</v>
      </c>
      <c r="AA1331" t="str">
        <f>IF(Tabla1[[#This Row],[Kerma en aire acumulada (Gy)]]&gt;1,SUMIF(G:G,Tabla1[[#This Row],[SIP]],I:I)-Tabla1[[#This Row],[Kerma en aire acumulada (Gy)]],"")</f>
        <v/>
      </c>
    </row>
    <row r="1332" spans="3:27">
      <c r="C1332" s="147" t="s">
        <v>1088</v>
      </c>
      <c r="D1332" s="134" t="s">
        <v>1010</v>
      </c>
      <c r="E1332" s="134" t="s">
        <v>2525</v>
      </c>
      <c r="F1332" s="134" t="s">
        <v>106</v>
      </c>
      <c r="G1332" s="134">
        <v>2303676</v>
      </c>
      <c r="H1332" s="135">
        <v>44659</v>
      </c>
      <c r="I1332" s="134">
        <v>4.1790000000000001E-2</v>
      </c>
      <c r="J1332" s="145"/>
      <c r="K1332" s="145"/>
      <c r="L1332" s="145"/>
      <c r="M1332" s="145"/>
      <c r="N1332" s="145"/>
      <c r="O1332" s="145"/>
      <c r="P1332" s="145"/>
      <c r="Q1332" s="145"/>
      <c r="R1332" s="145"/>
      <c r="S1332" s="145"/>
      <c r="T1332" s="135">
        <v>22754</v>
      </c>
      <c r="U1332" s="145"/>
      <c r="V1332" s="134" t="s">
        <v>2526</v>
      </c>
      <c r="W1332" s="92" t="str">
        <f t="shared" si="101"/>
        <v>Bautista Peula,Carmen</v>
      </c>
      <c r="X1332" s="95">
        <f t="shared" si="102"/>
        <v>4</v>
      </c>
      <c r="Y1332" s="95">
        <f t="shared" si="103"/>
        <v>2022</v>
      </c>
      <c r="Z1332" s="103" t="s">
        <v>265</v>
      </c>
      <c r="AA1332" t="str">
        <f>IF(Tabla1[[#This Row],[Kerma en aire acumulada (Gy)]]&gt;1,SUMIF(G:G,Tabla1[[#This Row],[SIP]],I:I)-Tabla1[[#This Row],[Kerma en aire acumulada (Gy)]],"")</f>
        <v/>
      </c>
    </row>
    <row r="1333" spans="3:27">
      <c r="C1333" s="147" t="s">
        <v>1088</v>
      </c>
      <c r="D1333" s="134" t="s">
        <v>1837</v>
      </c>
      <c r="E1333" s="134" t="s">
        <v>2527</v>
      </c>
      <c r="F1333" s="134" t="s">
        <v>2528</v>
      </c>
      <c r="G1333" s="134">
        <v>2342639</v>
      </c>
      <c r="H1333" s="135">
        <v>44659</v>
      </c>
      <c r="I1333" s="134">
        <v>8.4570000000000006E-2</v>
      </c>
      <c r="J1333" s="145"/>
      <c r="K1333" s="145"/>
      <c r="L1333" s="145"/>
      <c r="M1333" s="145"/>
      <c r="N1333" s="145"/>
      <c r="O1333" s="145"/>
      <c r="P1333" s="145"/>
      <c r="Q1333" s="145"/>
      <c r="R1333" s="145"/>
      <c r="S1333" s="145"/>
      <c r="T1333" s="135">
        <v>22323</v>
      </c>
      <c r="U1333" s="145"/>
      <c r="V1333" s="134" t="s">
        <v>516</v>
      </c>
      <c r="W1333" s="92" t="str">
        <f t="shared" si="101"/>
        <v>Rodriguez Tarrega,Antonio Jose</v>
      </c>
      <c r="X1333" s="95">
        <f t="shared" si="102"/>
        <v>4</v>
      </c>
      <c r="Y1333" s="95">
        <f t="shared" si="103"/>
        <v>2022</v>
      </c>
      <c r="Z1333" s="103" t="s">
        <v>265</v>
      </c>
      <c r="AA1333" t="str">
        <f>IF(Tabla1[[#This Row],[Kerma en aire acumulada (Gy)]]&gt;1,SUMIF(G:G,Tabla1[[#This Row],[SIP]],I:I)-Tabla1[[#This Row],[Kerma en aire acumulada (Gy)]],"")</f>
        <v/>
      </c>
    </row>
    <row r="1334" spans="3:27">
      <c r="C1334" s="147" t="s">
        <v>1088</v>
      </c>
      <c r="D1334" s="134" t="s">
        <v>1864</v>
      </c>
      <c r="E1334" s="134" t="s">
        <v>2549</v>
      </c>
      <c r="F1334" s="134" t="s">
        <v>2450</v>
      </c>
      <c r="G1334" s="134">
        <v>3171796</v>
      </c>
      <c r="H1334" s="135">
        <v>44659</v>
      </c>
      <c r="I1334" s="134">
        <v>5.11E-2</v>
      </c>
      <c r="J1334" s="145"/>
      <c r="K1334" s="145"/>
      <c r="L1334" s="145"/>
      <c r="M1334" s="145"/>
      <c r="N1334" s="145"/>
      <c r="O1334" s="145"/>
      <c r="P1334" s="145"/>
      <c r="Q1334" s="145"/>
      <c r="R1334" s="145"/>
      <c r="S1334" s="145"/>
      <c r="T1334" s="135">
        <v>14211</v>
      </c>
      <c r="U1334" s="145"/>
      <c r="V1334" s="134" t="s">
        <v>1742</v>
      </c>
      <c r="W1334" s="92" t="str">
        <f t="shared" si="101"/>
        <v>Cebrian Llatas,Julian</v>
      </c>
      <c r="X1334" s="95">
        <f t="shared" si="102"/>
        <v>4</v>
      </c>
      <c r="Y1334" s="95">
        <f t="shared" si="103"/>
        <v>2022</v>
      </c>
      <c r="Z1334" s="103" t="s">
        <v>265</v>
      </c>
      <c r="AA1334" t="str">
        <f>IF(Tabla1[[#This Row],[Kerma en aire acumulada (Gy)]]&gt;1,SUMIF(G:G,Tabla1[[#This Row],[SIP]],I:I)-Tabla1[[#This Row],[Kerma en aire acumulada (Gy)]],"")</f>
        <v/>
      </c>
    </row>
    <row r="1335" spans="3:27">
      <c r="C1335" s="147" t="s">
        <v>1088</v>
      </c>
      <c r="D1335" s="134" t="s">
        <v>962</v>
      </c>
      <c r="E1335" s="134" t="s">
        <v>960</v>
      </c>
      <c r="F1335" s="134" t="s">
        <v>1139</v>
      </c>
      <c r="G1335" s="134">
        <v>1187897</v>
      </c>
      <c r="H1335" s="135">
        <v>44659</v>
      </c>
      <c r="I1335" s="134">
        <v>2.6131099999999998</v>
      </c>
      <c r="J1335" s="145"/>
      <c r="K1335" s="145"/>
      <c r="L1335" s="145"/>
      <c r="M1335" s="145"/>
      <c r="N1335" s="145"/>
      <c r="O1335" s="145"/>
      <c r="P1335" s="145"/>
      <c r="Q1335" s="145"/>
      <c r="R1335" s="145"/>
      <c r="S1335" s="145"/>
      <c r="T1335" s="135">
        <v>19905</v>
      </c>
      <c r="U1335" s="145"/>
      <c r="V1335" s="134" t="s">
        <v>1921</v>
      </c>
      <c r="W1335" s="92" t="str">
        <f t="shared" si="101"/>
        <v>Garcia Lopez,Jose Vicente</v>
      </c>
      <c r="X1335" s="95">
        <f t="shared" si="102"/>
        <v>4</v>
      </c>
      <c r="Y1335" s="95">
        <f t="shared" si="103"/>
        <v>2022</v>
      </c>
      <c r="Z1335" s="103" t="s">
        <v>265</v>
      </c>
      <c r="AA1335">
        <f>IF(Tabla1[[#This Row],[Kerma en aire acumulada (Gy)]]&gt;1,SUMIF(G:G,Tabla1[[#This Row],[SIP]],I:I)-Tabla1[[#This Row],[Kerma en aire acumulada (Gy)]],"")</f>
        <v>0</v>
      </c>
    </row>
    <row r="1336" spans="3:27">
      <c r="C1336" s="147" t="s">
        <v>1088</v>
      </c>
      <c r="D1336" s="134" t="s">
        <v>948</v>
      </c>
      <c r="E1336" s="134" t="s">
        <v>2568</v>
      </c>
      <c r="F1336" s="134" t="s">
        <v>2569</v>
      </c>
      <c r="G1336" s="134">
        <v>3188199</v>
      </c>
      <c r="H1336" s="135">
        <v>44659</v>
      </c>
      <c r="I1336" s="134">
        <v>0.20898</v>
      </c>
      <c r="J1336" s="145"/>
      <c r="K1336" s="145"/>
      <c r="L1336" s="145"/>
      <c r="M1336" s="145"/>
      <c r="N1336" s="145"/>
      <c r="O1336" s="145"/>
      <c r="P1336" s="145"/>
      <c r="Q1336" s="145"/>
      <c r="R1336" s="145"/>
      <c r="S1336" s="145"/>
      <c r="T1336" s="135">
        <v>16818</v>
      </c>
      <c r="U1336" s="145"/>
      <c r="V1336" s="134" t="s">
        <v>563</v>
      </c>
      <c r="W1336" s="92" t="str">
        <f t="shared" si="101"/>
        <v>Martinez Cortina,Fabian</v>
      </c>
      <c r="X1336" s="95">
        <f t="shared" si="102"/>
        <v>4</v>
      </c>
      <c r="Y1336" s="95">
        <f t="shared" si="103"/>
        <v>2022</v>
      </c>
      <c r="Z1336" s="136" t="s">
        <v>266</v>
      </c>
      <c r="AA1336" t="str">
        <f>IF(Tabla1[[#This Row],[Kerma en aire acumulada (Gy)]]&gt;1,SUMIF(G:G,Tabla1[[#This Row],[SIP]],I:I)-Tabla1[[#This Row],[Kerma en aire acumulada (Gy)]],"")</f>
        <v/>
      </c>
    </row>
    <row r="1337" spans="3:27">
      <c r="C1337" s="147" t="s">
        <v>1088</v>
      </c>
      <c r="D1337" s="134" t="s">
        <v>1253</v>
      </c>
      <c r="E1337" s="134" t="s">
        <v>2133</v>
      </c>
      <c r="F1337" s="134" t="s">
        <v>961</v>
      </c>
      <c r="G1337" s="134">
        <v>2292002</v>
      </c>
      <c r="H1337" s="135">
        <v>44659</v>
      </c>
      <c r="I1337" s="134">
        <v>0.13295999999999999</v>
      </c>
      <c r="J1337" s="145"/>
      <c r="K1337" s="145"/>
      <c r="L1337" s="145"/>
      <c r="M1337" s="145"/>
      <c r="N1337" s="145"/>
      <c r="O1337" s="145"/>
      <c r="P1337" s="145"/>
      <c r="Q1337" s="145"/>
      <c r="R1337" s="145"/>
      <c r="S1337" s="145"/>
      <c r="T1337" s="135">
        <v>20586</v>
      </c>
      <c r="U1337" s="145"/>
      <c r="V1337" s="134" t="s">
        <v>563</v>
      </c>
      <c r="W1337" s="92" t="str">
        <f t="shared" si="101"/>
        <v>Anton Robledo,Teresa</v>
      </c>
      <c r="X1337" s="95">
        <f t="shared" si="102"/>
        <v>4</v>
      </c>
      <c r="Y1337" s="95">
        <f t="shared" si="103"/>
        <v>2022</v>
      </c>
      <c r="Z1337" s="136" t="s">
        <v>266</v>
      </c>
      <c r="AA1337" t="str">
        <f>IF(Tabla1[[#This Row],[Kerma en aire acumulada (Gy)]]&gt;1,SUMIF(G:G,Tabla1[[#This Row],[SIP]],I:I)-Tabla1[[#This Row],[Kerma en aire acumulada (Gy)]],"")</f>
        <v/>
      </c>
    </row>
    <row r="1338" spans="3:27">
      <c r="C1338" s="147" t="s">
        <v>1088</v>
      </c>
      <c r="D1338" s="134" t="s">
        <v>2570</v>
      </c>
      <c r="E1338" s="134" t="s">
        <v>663</v>
      </c>
      <c r="F1338" s="134" t="s">
        <v>2571</v>
      </c>
      <c r="G1338" s="134">
        <v>48579</v>
      </c>
      <c r="H1338" s="135">
        <v>44659</v>
      </c>
      <c r="I1338" s="134">
        <v>0.73275999999999997</v>
      </c>
      <c r="J1338" s="145"/>
      <c r="K1338" s="145"/>
      <c r="L1338" s="145"/>
      <c r="M1338" s="145"/>
      <c r="N1338" s="145"/>
      <c r="O1338" s="145"/>
      <c r="P1338" s="145"/>
      <c r="Q1338" s="145"/>
      <c r="R1338" s="145"/>
      <c r="S1338" s="145"/>
      <c r="T1338" s="135">
        <v>24384</v>
      </c>
      <c r="U1338" s="145"/>
      <c r="V1338" s="134" t="s">
        <v>563</v>
      </c>
      <c r="W1338" s="92" t="str">
        <f t="shared" si="101"/>
        <v>Rosell Sanchis,Francisco Jose</v>
      </c>
      <c r="X1338" s="95">
        <f t="shared" si="102"/>
        <v>4</v>
      </c>
      <c r="Y1338" s="95">
        <f t="shared" si="103"/>
        <v>2022</v>
      </c>
      <c r="Z1338" s="136" t="s">
        <v>266</v>
      </c>
      <c r="AA1338" t="str">
        <f>IF(Tabla1[[#This Row],[Kerma en aire acumulada (Gy)]]&gt;1,SUMIF(G:G,Tabla1[[#This Row],[SIP]],I:I)-Tabla1[[#This Row],[Kerma en aire acumulada (Gy)]],"")</f>
        <v/>
      </c>
    </row>
    <row r="1339" spans="3:27">
      <c r="C1339" s="147" t="s">
        <v>1088</v>
      </c>
      <c r="D1339" s="134" t="s">
        <v>946</v>
      </c>
      <c r="E1339" s="134" t="s">
        <v>36</v>
      </c>
      <c r="F1339" s="134" t="s">
        <v>2619</v>
      </c>
      <c r="G1339" s="134">
        <v>3338900</v>
      </c>
      <c r="H1339" s="135">
        <v>44659</v>
      </c>
      <c r="I1339" s="134">
        <v>0.29071999999999998</v>
      </c>
      <c r="J1339" s="145"/>
      <c r="K1339" s="145"/>
      <c r="L1339" s="145"/>
      <c r="M1339" s="145"/>
      <c r="N1339" s="145"/>
      <c r="O1339" s="145"/>
      <c r="P1339" s="145"/>
      <c r="Q1339" s="145"/>
      <c r="R1339" s="145"/>
      <c r="S1339" s="145"/>
      <c r="T1339" s="135">
        <v>28400</v>
      </c>
      <c r="U1339" s="145"/>
      <c r="V1339" s="134" t="s">
        <v>563</v>
      </c>
      <c r="W1339" s="92" t="str">
        <f t="shared" si="101"/>
        <v>Aranda Ramos,Mar</v>
      </c>
      <c r="X1339" s="95">
        <f t="shared" si="102"/>
        <v>4</v>
      </c>
      <c r="Y1339" s="95">
        <f t="shared" si="103"/>
        <v>2022</v>
      </c>
      <c r="Z1339" s="136" t="s">
        <v>266</v>
      </c>
      <c r="AA1339" t="str">
        <f>IF(Tabla1[[#This Row],[Kerma en aire acumulada (Gy)]]&gt;1,SUMIF(G:G,Tabla1[[#This Row],[SIP]],I:I)-Tabla1[[#This Row],[Kerma en aire acumulada (Gy)]],"")</f>
        <v/>
      </c>
    </row>
    <row r="1340" spans="3:27">
      <c r="C1340" s="147" t="s">
        <v>1088</v>
      </c>
      <c r="D1340" s="134" t="s">
        <v>944</v>
      </c>
      <c r="E1340" s="134" t="s">
        <v>2620</v>
      </c>
      <c r="F1340" s="134" t="s">
        <v>1059</v>
      </c>
      <c r="G1340" s="134">
        <v>3177871</v>
      </c>
      <c r="H1340" s="135">
        <v>44659</v>
      </c>
      <c r="I1340" s="134">
        <v>4.0009999999999997E-2</v>
      </c>
      <c r="J1340" s="145"/>
      <c r="K1340" s="145"/>
      <c r="L1340" s="145"/>
      <c r="M1340" s="145"/>
      <c r="N1340" s="145"/>
      <c r="O1340" s="145"/>
      <c r="P1340" s="145"/>
      <c r="Q1340" s="145"/>
      <c r="R1340" s="145"/>
      <c r="S1340" s="145"/>
      <c r="T1340" s="135">
        <v>14815</v>
      </c>
      <c r="U1340" s="145"/>
      <c r="V1340" s="134" t="s">
        <v>563</v>
      </c>
      <c r="W1340" s="92" t="str">
        <f t="shared" si="101"/>
        <v>Peris Orero,M Desamparados</v>
      </c>
      <c r="X1340" s="95">
        <f t="shared" si="102"/>
        <v>4</v>
      </c>
      <c r="Y1340" s="95">
        <f t="shared" si="103"/>
        <v>2022</v>
      </c>
      <c r="Z1340" s="136" t="s">
        <v>266</v>
      </c>
      <c r="AA1340" t="str">
        <f>IF(Tabla1[[#This Row],[Kerma en aire acumulada (Gy)]]&gt;1,SUMIF(G:G,Tabla1[[#This Row],[SIP]],I:I)-Tabla1[[#This Row],[Kerma en aire acumulada (Gy)]],"")</f>
        <v/>
      </c>
    </row>
    <row r="1341" spans="3:27">
      <c r="C1341" s="147" t="s">
        <v>1088</v>
      </c>
      <c r="D1341" s="134" t="s">
        <v>66</v>
      </c>
      <c r="E1341" s="134" t="s">
        <v>66</v>
      </c>
      <c r="F1341" s="134" t="s">
        <v>2621</v>
      </c>
      <c r="G1341" s="134">
        <v>2950102</v>
      </c>
      <c r="H1341" s="135">
        <v>44659</v>
      </c>
      <c r="I1341" s="134">
        <v>4.8070000000000002E-2</v>
      </c>
      <c r="J1341" s="145"/>
      <c r="K1341" s="145"/>
      <c r="L1341" s="145"/>
      <c r="M1341" s="145"/>
      <c r="N1341" s="145"/>
      <c r="O1341" s="145"/>
      <c r="P1341" s="145"/>
      <c r="Q1341" s="145"/>
      <c r="R1341" s="145"/>
      <c r="S1341" s="145"/>
      <c r="T1341" s="135">
        <v>26693</v>
      </c>
      <c r="U1341" s="145"/>
      <c r="V1341" s="134" t="s">
        <v>563</v>
      </c>
      <c r="W1341" s="92" t="str">
        <f t="shared" si="101"/>
        <v>Navarro Navarro,M Mar</v>
      </c>
      <c r="X1341" s="95">
        <f t="shared" si="102"/>
        <v>4</v>
      </c>
      <c r="Y1341" s="95">
        <f t="shared" si="103"/>
        <v>2022</v>
      </c>
      <c r="Z1341" s="136" t="s">
        <v>266</v>
      </c>
      <c r="AA1341" t="str">
        <f>IF(Tabla1[[#This Row],[Kerma en aire acumulada (Gy)]]&gt;1,SUMIF(G:G,Tabla1[[#This Row],[SIP]],I:I)-Tabla1[[#This Row],[Kerma en aire acumulada (Gy)]],"")</f>
        <v/>
      </c>
    </row>
    <row r="1342" spans="3:27">
      <c r="C1342" s="147" t="s">
        <v>1088</v>
      </c>
      <c r="D1342" s="134" t="s">
        <v>43</v>
      </c>
      <c r="E1342" s="134" t="s">
        <v>2143</v>
      </c>
      <c r="F1342" s="134" t="s">
        <v>1771</v>
      </c>
      <c r="G1342" s="134">
        <v>3128984</v>
      </c>
      <c r="H1342" s="135">
        <v>44659</v>
      </c>
      <c r="I1342" s="134">
        <v>0.26526</v>
      </c>
      <c r="J1342" s="145"/>
      <c r="K1342" s="145"/>
      <c r="L1342" s="145"/>
      <c r="M1342" s="145"/>
      <c r="N1342" s="145"/>
      <c r="O1342" s="145"/>
      <c r="P1342" s="145"/>
      <c r="Q1342" s="145"/>
      <c r="R1342" s="145"/>
      <c r="S1342" s="145"/>
      <c r="T1342" s="135">
        <v>15552</v>
      </c>
      <c r="U1342" s="145"/>
      <c r="V1342" s="134" t="s">
        <v>563</v>
      </c>
      <c r="W1342" s="92" t="str">
        <f t="shared" si="101"/>
        <v>Cuenca Dominguez,Tomas</v>
      </c>
      <c r="X1342" s="95">
        <f t="shared" si="102"/>
        <v>4</v>
      </c>
      <c r="Y1342" s="95">
        <f t="shared" si="103"/>
        <v>2022</v>
      </c>
      <c r="Z1342" s="136" t="s">
        <v>266</v>
      </c>
      <c r="AA1342" t="str">
        <f>IF(Tabla1[[#This Row],[Kerma en aire acumulada (Gy)]]&gt;1,SUMIF(G:G,Tabla1[[#This Row],[SIP]],I:I)-Tabla1[[#This Row],[Kerma en aire acumulada (Gy)]],"")</f>
        <v/>
      </c>
    </row>
    <row r="1343" spans="3:27">
      <c r="C1343" s="147" t="s">
        <v>1088</v>
      </c>
      <c r="D1343" s="134" t="s">
        <v>868</v>
      </c>
      <c r="E1343" s="134" t="s">
        <v>159</v>
      </c>
      <c r="F1343" s="134" t="s">
        <v>7</v>
      </c>
      <c r="G1343" s="134">
        <v>3201633</v>
      </c>
      <c r="H1343" s="135">
        <v>44659</v>
      </c>
      <c r="I1343" s="134">
        <v>3.0999999999999999E-3</v>
      </c>
      <c r="J1343" s="145"/>
      <c r="K1343" s="145"/>
      <c r="L1343" s="145"/>
      <c r="M1343" s="145"/>
      <c r="N1343" s="145"/>
      <c r="O1343" s="145"/>
      <c r="P1343" s="145"/>
      <c r="Q1343" s="145"/>
      <c r="R1343" s="145"/>
      <c r="S1343" s="145"/>
      <c r="T1343" s="135">
        <v>15439</v>
      </c>
      <c r="U1343" s="145"/>
      <c r="V1343" s="134" t="s">
        <v>2241</v>
      </c>
      <c r="W1343" s="92" t="str">
        <f t="shared" si="101"/>
        <v>Peñalver Villar,Francisca</v>
      </c>
      <c r="X1343" s="95">
        <f t="shared" si="102"/>
        <v>4</v>
      </c>
      <c r="Y1343" s="95">
        <f t="shared" si="103"/>
        <v>2022</v>
      </c>
      <c r="Z1343" s="136" t="s">
        <v>2238</v>
      </c>
      <c r="AA1343" t="str">
        <f>IF(Tabla1[[#This Row],[Kerma en aire acumulada (Gy)]]&gt;1,SUMIF(G:G,Tabla1[[#This Row],[SIP]],I:I)-Tabla1[[#This Row],[Kerma en aire acumulada (Gy)]],"")</f>
        <v/>
      </c>
    </row>
    <row r="1344" spans="3:27">
      <c r="C1344" s="147" t="s">
        <v>1088</v>
      </c>
      <c r="D1344" s="134" t="s">
        <v>1060</v>
      </c>
      <c r="E1344" s="134" t="s">
        <v>1001</v>
      </c>
      <c r="F1344" s="134" t="s">
        <v>1621</v>
      </c>
      <c r="G1344" s="134">
        <v>3369299</v>
      </c>
      <c r="H1344" s="135">
        <v>44660</v>
      </c>
      <c r="I1344" s="134">
        <v>0.17038</v>
      </c>
      <c r="J1344" s="145"/>
      <c r="K1344" s="145"/>
      <c r="L1344" s="145"/>
      <c r="M1344" s="145"/>
      <c r="N1344" s="145"/>
      <c r="O1344" s="145"/>
      <c r="P1344" s="145"/>
      <c r="Q1344" s="145"/>
      <c r="R1344" s="145"/>
      <c r="S1344" s="145"/>
      <c r="T1344" s="135">
        <v>21460</v>
      </c>
      <c r="U1344" s="145"/>
      <c r="V1344" s="134" t="s">
        <v>563</v>
      </c>
      <c r="W1344" s="92" t="str">
        <f t="shared" si="101"/>
        <v>Rubio Perez,Ramon</v>
      </c>
      <c r="X1344" s="95">
        <f t="shared" si="102"/>
        <v>4</v>
      </c>
      <c r="Y1344" s="95">
        <f t="shared" si="103"/>
        <v>2022</v>
      </c>
      <c r="Z1344" s="136" t="s">
        <v>266</v>
      </c>
      <c r="AA1344" t="str">
        <f>IF(Tabla1[[#This Row],[Kerma en aire acumulada (Gy)]]&gt;1,SUMIF(G:G,Tabla1[[#This Row],[SIP]],I:I)-Tabla1[[#This Row],[Kerma en aire acumulada (Gy)]],"")</f>
        <v/>
      </c>
    </row>
    <row r="1345" spans="3:27">
      <c r="C1345" s="147" t="s">
        <v>1088</v>
      </c>
      <c r="D1345" s="134" t="s">
        <v>2617</v>
      </c>
      <c r="E1345" s="134"/>
      <c r="F1345" s="134" t="s">
        <v>2618</v>
      </c>
      <c r="G1345" s="134">
        <v>13061288</v>
      </c>
      <c r="H1345" s="135">
        <v>44660</v>
      </c>
      <c r="I1345" s="134">
        <v>0.33811000000000002</v>
      </c>
      <c r="J1345" s="145"/>
      <c r="K1345" s="145"/>
      <c r="L1345" s="145"/>
      <c r="M1345" s="145"/>
      <c r="N1345" s="145"/>
      <c r="O1345" s="145"/>
      <c r="P1345" s="145"/>
      <c r="Q1345" s="145"/>
      <c r="R1345" s="145"/>
      <c r="S1345" s="145"/>
      <c r="T1345" s="135">
        <v>35317</v>
      </c>
      <c r="U1345" s="145"/>
      <c r="V1345" s="134" t="s">
        <v>563</v>
      </c>
      <c r="W1345" s="92" t="str">
        <f t="shared" si="101"/>
        <v>Gheorghiu ,Elguja</v>
      </c>
      <c r="X1345" s="95">
        <f t="shared" si="102"/>
        <v>4</v>
      </c>
      <c r="Y1345" s="95">
        <f t="shared" si="103"/>
        <v>2022</v>
      </c>
      <c r="Z1345" s="136" t="s">
        <v>266</v>
      </c>
      <c r="AA1345" t="str">
        <f>IF(Tabla1[[#This Row],[Kerma en aire acumulada (Gy)]]&gt;1,SUMIF(G:G,Tabla1[[#This Row],[SIP]],I:I)-Tabla1[[#This Row],[Kerma en aire acumulada (Gy)]],"")</f>
        <v/>
      </c>
    </row>
    <row r="1346" spans="3:27">
      <c r="C1346" s="147" t="s">
        <v>1088</v>
      </c>
      <c r="D1346" s="134" t="s">
        <v>82</v>
      </c>
      <c r="E1346" s="134" t="s">
        <v>2415</v>
      </c>
      <c r="F1346" s="134" t="s">
        <v>991</v>
      </c>
      <c r="G1346" s="134">
        <v>2484069</v>
      </c>
      <c r="H1346" s="135">
        <v>44661</v>
      </c>
      <c r="I1346" s="134">
        <v>0.23178000000000001</v>
      </c>
      <c r="J1346" s="145"/>
      <c r="K1346" s="145"/>
      <c r="L1346" s="145"/>
      <c r="M1346" s="145"/>
      <c r="N1346" s="145"/>
      <c r="O1346" s="145"/>
      <c r="P1346" s="145"/>
      <c r="Q1346" s="145"/>
      <c r="R1346" s="145"/>
      <c r="S1346" s="145"/>
      <c r="T1346" s="135">
        <v>31175</v>
      </c>
      <c r="U1346" s="145"/>
      <c r="V1346" s="134" t="s">
        <v>1653</v>
      </c>
      <c r="W1346" s="92" t="str">
        <f t="shared" si="101"/>
        <v>Pascual Miro,Jose</v>
      </c>
      <c r="X1346" s="95">
        <f t="shared" si="102"/>
        <v>4</v>
      </c>
      <c r="Y1346" s="95">
        <f t="shared" si="103"/>
        <v>2022</v>
      </c>
      <c r="Z1346" s="103" t="s">
        <v>265</v>
      </c>
      <c r="AA1346" t="str">
        <f>IF(Tabla1[[#This Row],[Kerma en aire acumulada (Gy)]]&gt;1,SUMIF(G:G,Tabla1[[#This Row],[SIP]],I:I)-Tabla1[[#This Row],[Kerma en aire acumulada (Gy)]],"")</f>
        <v/>
      </c>
    </row>
    <row r="1347" spans="3:27">
      <c r="C1347" s="147" t="s">
        <v>1088</v>
      </c>
      <c r="D1347" s="134" t="s">
        <v>35</v>
      </c>
      <c r="E1347" s="134" t="s">
        <v>833</v>
      </c>
      <c r="F1347" s="134" t="s">
        <v>2548</v>
      </c>
      <c r="G1347" s="134">
        <v>1865853</v>
      </c>
      <c r="H1347" s="135">
        <v>44662</v>
      </c>
      <c r="I1347" s="134">
        <v>0.73980000000000001</v>
      </c>
      <c r="J1347" s="145"/>
      <c r="K1347" s="145"/>
      <c r="L1347" s="145"/>
      <c r="M1347" s="145"/>
      <c r="N1347" s="145"/>
      <c r="O1347" s="145"/>
      <c r="P1347" s="145"/>
      <c r="Q1347" s="145"/>
      <c r="R1347" s="145"/>
      <c r="S1347" s="145"/>
      <c r="T1347" s="135">
        <v>20664</v>
      </c>
      <c r="U1347" s="145"/>
      <c r="V1347" s="134" t="s">
        <v>2190</v>
      </c>
      <c r="W1347" s="92" t="str">
        <f t="shared" si="101"/>
        <v>Lozano Redondo,Jose Felix</v>
      </c>
      <c r="X1347" s="95">
        <f t="shared" si="102"/>
        <v>4</v>
      </c>
      <c r="Y1347" s="95">
        <f t="shared" si="103"/>
        <v>2022</v>
      </c>
      <c r="Z1347" s="103" t="s">
        <v>265</v>
      </c>
      <c r="AA1347" t="str">
        <f>IF(Tabla1[[#This Row],[Kerma en aire acumulada (Gy)]]&gt;1,SUMIF(G:G,Tabla1[[#This Row],[SIP]],I:I)-Tabla1[[#This Row],[Kerma en aire acumulada (Gy)]],"")</f>
        <v/>
      </c>
    </row>
    <row r="1348" spans="3:27">
      <c r="C1348" s="147" t="s">
        <v>1088</v>
      </c>
      <c r="D1348" s="134" t="s">
        <v>2503</v>
      </c>
      <c r="E1348" s="134" t="s">
        <v>2504</v>
      </c>
      <c r="F1348" s="134" t="s">
        <v>2410</v>
      </c>
      <c r="G1348" s="134">
        <v>5411819</v>
      </c>
      <c r="H1348" s="135">
        <v>44662</v>
      </c>
      <c r="I1348" s="134">
        <v>0.21099999999999999</v>
      </c>
      <c r="J1348" s="145"/>
      <c r="K1348" s="145"/>
      <c r="L1348" s="145"/>
      <c r="M1348" s="145"/>
      <c r="N1348" s="145"/>
      <c r="O1348" s="145"/>
      <c r="P1348" s="145"/>
      <c r="Q1348" s="145"/>
      <c r="R1348" s="145"/>
      <c r="S1348" s="145"/>
      <c r="T1348" s="135">
        <v>18768</v>
      </c>
      <c r="U1348" s="145"/>
      <c r="V1348" s="134" t="s">
        <v>563</v>
      </c>
      <c r="W1348" s="92" t="str">
        <f t="shared" si="101"/>
        <v>Mor Galve,Jose Maria</v>
      </c>
      <c r="X1348" s="95">
        <f t="shared" si="102"/>
        <v>4</v>
      </c>
      <c r="Y1348" s="95">
        <f t="shared" si="103"/>
        <v>2022</v>
      </c>
      <c r="Z1348" s="136" t="s">
        <v>266</v>
      </c>
      <c r="AA1348" t="str">
        <f>IF(Tabla1[[#This Row],[Kerma en aire acumulada (Gy)]]&gt;1,SUMIF(G:G,Tabla1[[#This Row],[SIP]],I:I)-Tabla1[[#This Row],[Kerma en aire acumulada (Gy)]],"")</f>
        <v/>
      </c>
    </row>
    <row r="1349" spans="3:27">
      <c r="C1349" s="147" t="s">
        <v>1088</v>
      </c>
      <c r="D1349" s="134" t="s">
        <v>2563</v>
      </c>
      <c r="E1349" s="134"/>
      <c r="F1349" s="134" t="s">
        <v>2564</v>
      </c>
      <c r="G1349" s="134">
        <v>7999410</v>
      </c>
      <c r="H1349" s="135">
        <v>44662</v>
      </c>
      <c r="I1349" s="134">
        <v>0.75468999999999997</v>
      </c>
      <c r="J1349" s="145"/>
      <c r="K1349" s="145"/>
      <c r="L1349" s="145"/>
      <c r="M1349" s="145"/>
      <c r="N1349" s="145"/>
      <c r="O1349" s="145"/>
      <c r="P1349" s="145"/>
      <c r="Q1349" s="145"/>
      <c r="R1349" s="145"/>
      <c r="S1349" s="145"/>
      <c r="T1349" s="135">
        <v>25622</v>
      </c>
      <c r="U1349" s="145"/>
      <c r="V1349" s="134" t="s">
        <v>563</v>
      </c>
      <c r="W1349" s="92" t="str">
        <f t="shared" si="101"/>
        <v>Lin ,Jianhui</v>
      </c>
      <c r="X1349" s="95">
        <f t="shared" si="102"/>
        <v>4</v>
      </c>
      <c r="Y1349" s="95">
        <f t="shared" si="103"/>
        <v>2022</v>
      </c>
      <c r="Z1349" s="136" t="s">
        <v>266</v>
      </c>
      <c r="AA1349" t="str">
        <f>IF(Tabla1[[#This Row],[Kerma en aire acumulada (Gy)]]&gt;1,SUMIF(G:G,Tabla1[[#This Row],[SIP]],I:I)-Tabla1[[#This Row],[Kerma en aire acumulada (Gy)]],"")</f>
        <v/>
      </c>
    </row>
    <row r="1350" spans="3:27">
      <c r="C1350" s="147" t="s">
        <v>1088</v>
      </c>
      <c r="D1350" s="134" t="s">
        <v>1621</v>
      </c>
      <c r="E1350" s="134" t="s">
        <v>801</v>
      </c>
      <c r="F1350" s="134" t="s">
        <v>88</v>
      </c>
      <c r="G1350" s="134">
        <v>3468373</v>
      </c>
      <c r="H1350" s="135">
        <v>44662</v>
      </c>
      <c r="I1350" s="134">
        <v>8.3210000000000006E-2</v>
      </c>
      <c r="J1350" s="145"/>
      <c r="K1350" s="145"/>
      <c r="L1350" s="145"/>
      <c r="M1350" s="145"/>
      <c r="N1350" s="145"/>
      <c r="O1350" s="145"/>
      <c r="P1350" s="145"/>
      <c r="Q1350" s="145"/>
      <c r="R1350" s="145"/>
      <c r="S1350" s="145"/>
      <c r="T1350" s="135">
        <v>22451</v>
      </c>
      <c r="U1350" s="145"/>
      <c r="V1350" s="134" t="s">
        <v>563</v>
      </c>
      <c r="W1350" s="92" t="str">
        <f t="shared" si="101"/>
        <v>Ramon Campillo,Vicente</v>
      </c>
      <c r="X1350" s="95">
        <f t="shared" si="102"/>
        <v>4</v>
      </c>
      <c r="Y1350" s="95">
        <f t="shared" si="103"/>
        <v>2022</v>
      </c>
      <c r="Z1350" s="136" t="s">
        <v>266</v>
      </c>
      <c r="AA1350" t="str">
        <f>IF(Tabla1[[#This Row],[Kerma en aire acumulada (Gy)]]&gt;1,SUMIF(G:G,Tabla1[[#This Row],[SIP]],I:I)-Tabla1[[#This Row],[Kerma en aire acumulada (Gy)]],"")</f>
        <v/>
      </c>
    </row>
    <row r="1351" spans="3:27">
      <c r="C1351" s="147" t="s">
        <v>1088</v>
      </c>
      <c r="D1351" s="134" t="s">
        <v>353</v>
      </c>
      <c r="E1351" s="134" t="s">
        <v>2565</v>
      </c>
      <c r="F1351" s="134" t="s">
        <v>2167</v>
      </c>
      <c r="G1351" s="134">
        <v>4730716</v>
      </c>
      <c r="H1351" s="135">
        <v>44662</v>
      </c>
      <c r="I1351" s="134">
        <v>0.42484</v>
      </c>
      <c r="J1351" s="145"/>
      <c r="K1351" s="145"/>
      <c r="L1351" s="145"/>
      <c r="M1351" s="145"/>
      <c r="N1351" s="145"/>
      <c r="O1351" s="145"/>
      <c r="P1351" s="145"/>
      <c r="Q1351" s="145"/>
      <c r="R1351" s="145"/>
      <c r="S1351" s="145"/>
      <c r="T1351" s="135">
        <v>14671</v>
      </c>
      <c r="U1351" s="145"/>
      <c r="V1351" s="134" t="s">
        <v>563</v>
      </c>
      <c r="W1351" s="92" t="str">
        <f t="shared" si="101"/>
        <v>Muñoz Casañ,Barbara</v>
      </c>
      <c r="X1351" s="95">
        <f t="shared" si="102"/>
        <v>4</v>
      </c>
      <c r="Y1351" s="95">
        <f t="shared" si="103"/>
        <v>2022</v>
      </c>
      <c r="Z1351" s="136" t="s">
        <v>266</v>
      </c>
      <c r="AA1351" t="str">
        <f>IF(Tabla1[[#This Row],[Kerma en aire acumulada (Gy)]]&gt;1,SUMIF(G:G,Tabla1[[#This Row],[SIP]],I:I)-Tabla1[[#This Row],[Kerma en aire acumulada (Gy)]],"")</f>
        <v/>
      </c>
    </row>
    <row r="1352" spans="3:27">
      <c r="C1352" s="147" t="s">
        <v>1088</v>
      </c>
      <c r="D1352" s="134" t="s">
        <v>2566</v>
      </c>
      <c r="E1352" s="134" t="s">
        <v>1001</v>
      </c>
      <c r="F1352" s="134" t="s">
        <v>991</v>
      </c>
      <c r="G1352" s="134">
        <v>2456744</v>
      </c>
      <c r="H1352" s="135">
        <v>44662</v>
      </c>
      <c r="I1352" s="134">
        <v>0.14116999999999999</v>
      </c>
      <c r="J1352" s="145"/>
      <c r="K1352" s="145"/>
      <c r="L1352" s="145"/>
      <c r="M1352" s="145"/>
      <c r="N1352" s="145"/>
      <c r="O1352" s="145"/>
      <c r="P1352" s="145"/>
      <c r="Q1352" s="145"/>
      <c r="R1352" s="145"/>
      <c r="S1352" s="145"/>
      <c r="T1352" s="135">
        <v>19870</v>
      </c>
      <c r="U1352" s="145"/>
      <c r="V1352" s="134" t="s">
        <v>563</v>
      </c>
      <c r="W1352" s="92" t="str">
        <f t="shared" si="101"/>
        <v>Sauri Perez,Jose</v>
      </c>
      <c r="X1352" s="95">
        <f t="shared" si="102"/>
        <v>4</v>
      </c>
      <c r="Y1352" s="95">
        <f t="shared" si="103"/>
        <v>2022</v>
      </c>
      <c r="Z1352" s="136" t="s">
        <v>266</v>
      </c>
      <c r="AA1352" t="str">
        <f>IF(Tabla1[[#This Row],[Kerma en aire acumulada (Gy)]]&gt;1,SUMIF(G:G,Tabla1[[#This Row],[SIP]],I:I)-Tabla1[[#This Row],[Kerma en aire acumulada (Gy)]],"")</f>
        <v/>
      </c>
    </row>
    <row r="1353" spans="3:27">
      <c r="C1353" s="147" t="s">
        <v>1088</v>
      </c>
      <c r="D1353" s="134" t="s">
        <v>948</v>
      </c>
      <c r="E1353" s="134" t="s">
        <v>2567</v>
      </c>
      <c r="F1353" s="134" t="s">
        <v>117</v>
      </c>
      <c r="G1353" s="134">
        <v>3341894</v>
      </c>
      <c r="H1353" s="135">
        <v>44662</v>
      </c>
      <c r="I1353" s="134">
        <v>0.35276000000000002</v>
      </c>
      <c r="J1353" s="145"/>
      <c r="K1353" s="145"/>
      <c r="L1353" s="145"/>
      <c r="M1353" s="145"/>
      <c r="N1353" s="145"/>
      <c r="O1353" s="145"/>
      <c r="P1353" s="145"/>
      <c r="Q1353" s="145"/>
      <c r="R1353" s="145"/>
      <c r="S1353" s="145"/>
      <c r="T1353" s="135">
        <v>13913</v>
      </c>
      <c r="U1353" s="145"/>
      <c r="V1353" s="134" t="s">
        <v>563</v>
      </c>
      <c r="W1353" s="92" t="str">
        <f t="shared" si="101"/>
        <v>Martinez Otalo,M Carmen</v>
      </c>
      <c r="X1353" s="95">
        <f t="shared" si="102"/>
        <v>4</v>
      </c>
      <c r="Y1353" s="95">
        <f t="shared" si="103"/>
        <v>2022</v>
      </c>
      <c r="Z1353" s="136" t="s">
        <v>266</v>
      </c>
      <c r="AA1353" t="str">
        <f>IF(Tabla1[[#This Row],[Kerma en aire acumulada (Gy)]]&gt;1,SUMIF(G:G,Tabla1[[#This Row],[SIP]],I:I)-Tabla1[[#This Row],[Kerma en aire acumulada (Gy)]],"")</f>
        <v/>
      </c>
    </row>
    <row r="1354" spans="3:27">
      <c r="C1354" s="147" t="s">
        <v>1088</v>
      </c>
      <c r="D1354" s="134" t="s">
        <v>2613</v>
      </c>
      <c r="E1354" s="134" t="s">
        <v>2199</v>
      </c>
      <c r="F1354" s="134" t="s">
        <v>1192</v>
      </c>
      <c r="G1354" s="134">
        <v>2712284</v>
      </c>
      <c r="H1354" s="135">
        <v>44662</v>
      </c>
      <c r="I1354" s="134"/>
      <c r="J1354" s="145"/>
      <c r="K1354" s="145"/>
      <c r="L1354" s="145"/>
      <c r="M1354" s="145"/>
      <c r="N1354" s="145"/>
      <c r="O1354" s="145"/>
      <c r="P1354" s="145"/>
      <c r="Q1354" s="145"/>
      <c r="R1354" s="145"/>
      <c r="S1354" s="145"/>
      <c r="T1354" s="135">
        <v>13922</v>
      </c>
      <c r="U1354" s="145"/>
      <c r="V1354" s="134" t="s">
        <v>563</v>
      </c>
      <c r="W1354" s="92" t="str">
        <f t="shared" si="101"/>
        <v>Andujar Galiana,M Teresa</v>
      </c>
      <c r="X1354" s="95">
        <f t="shared" si="102"/>
        <v>4</v>
      </c>
      <c r="Y1354" s="95">
        <f t="shared" si="103"/>
        <v>2022</v>
      </c>
      <c r="Z1354" s="136" t="s">
        <v>266</v>
      </c>
      <c r="AA1354" t="str">
        <f>IF(Tabla1[[#This Row],[Kerma en aire acumulada (Gy)]]&gt;1,SUMIF(G:G,Tabla1[[#This Row],[SIP]],I:I)-Tabla1[[#This Row],[Kerma en aire acumulada (Gy)]],"")</f>
        <v/>
      </c>
    </row>
    <row r="1355" spans="3:27">
      <c r="C1355" s="147" t="s">
        <v>1088</v>
      </c>
      <c r="D1355" s="134" t="s">
        <v>634</v>
      </c>
      <c r="E1355" s="134" t="s">
        <v>2255</v>
      </c>
      <c r="F1355" s="134" t="s">
        <v>57</v>
      </c>
      <c r="G1355" s="134">
        <v>3196354</v>
      </c>
      <c r="H1355" s="135">
        <v>44662</v>
      </c>
      <c r="I1355" s="134">
        <v>0.13250000000000001</v>
      </c>
      <c r="J1355" s="145"/>
      <c r="K1355" s="145"/>
      <c r="L1355" s="145"/>
      <c r="M1355" s="145"/>
      <c r="N1355" s="145"/>
      <c r="O1355" s="145"/>
      <c r="P1355" s="145"/>
      <c r="Q1355" s="145"/>
      <c r="R1355" s="145"/>
      <c r="S1355" s="145"/>
      <c r="T1355" s="135">
        <v>19640</v>
      </c>
      <c r="U1355" s="145"/>
      <c r="V1355" s="134" t="s">
        <v>563</v>
      </c>
      <c r="W1355" s="92" t="str">
        <f t="shared" si="101"/>
        <v>Gil Cabo,Miguel</v>
      </c>
      <c r="X1355" s="95">
        <f t="shared" si="102"/>
        <v>4</v>
      </c>
      <c r="Y1355" s="95">
        <f t="shared" si="103"/>
        <v>2022</v>
      </c>
      <c r="Z1355" s="136" t="s">
        <v>266</v>
      </c>
      <c r="AA1355" t="str">
        <f>IF(Tabla1[[#This Row],[Kerma en aire acumulada (Gy)]]&gt;1,SUMIF(G:G,Tabla1[[#This Row],[SIP]],I:I)-Tabla1[[#This Row],[Kerma en aire acumulada (Gy)]],"")</f>
        <v/>
      </c>
    </row>
    <row r="1356" spans="3:27">
      <c r="C1356" s="147" t="s">
        <v>1088</v>
      </c>
      <c r="D1356" s="134" t="s">
        <v>1837</v>
      </c>
      <c r="E1356" s="134" t="s">
        <v>319</v>
      </c>
      <c r="F1356" s="134" t="s">
        <v>733</v>
      </c>
      <c r="G1356" s="134">
        <v>2264751</v>
      </c>
      <c r="H1356" s="135">
        <v>44662</v>
      </c>
      <c r="I1356" s="134">
        <v>7.1220000000000006E-2</v>
      </c>
      <c r="J1356" s="145"/>
      <c r="K1356" s="145"/>
      <c r="L1356" s="145"/>
      <c r="M1356" s="145"/>
      <c r="N1356" s="145"/>
      <c r="O1356" s="145"/>
      <c r="P1356" s="145"/>
      <c r="Q1356" s="145"/>
      <c r="R1356" s="145"/>
      <c r="S1356" s="145"/>
      <c r="T1356" s="135">
        <v>15464</v>
      </c>
      <c r="U1356" s="145"/>
      <c r="V1356" s="134" t="s">
        <v>563</v>
      </c>
      <c r="W1356" s="92" t="str">
        <f t="shared" si="101"/>
        <v>Rodriguez Gonzalez,Marcelino</v>
      </c>
      <c r="X1356" s="95">
        <f t="shared" si="102"/>
        <v>4</v>
      </c>
      <c r="Y1356" s="95">
        <f t="shared" si="103"/>
        <v>2022</v>
      </c>
      <c r="Z1356" s="136" t="s">
        <v>266</v>
      </c>
      <c r="AA1356" t="str">
        <f>IF(Tabla1[[#This Row],[Kerma en aire acumulada (Gy)]]&gt;1,SUMIF(G:G,Tabla1[[#This Row],[SIP]],I:I)-Tabla1[[#This Row],[Kerma en aire acumulada (Gy)]],"")</f>
        <v/>
      </c>
    </row>
    <row r="1357" spans="3:27">
      <c r="C1357" s="147" t="s">
        <v>1088</v>
      </c>
      <c r="D1357" s="134" t="s">
        <v>2452</v>
      </c>
      <c r="E1357" s="134" t="s">
        <v>2614</v>
      </c>
      <c r="F1357" s="134" t="s">
        <v>2382</v>
      </c>
      <c r="G1357" s="134">
        <v>3629338</v>
      </c>
      <c r="H1357" s="135">
        <v>44662</v>
      </c>
      <c r="I1357" s="134"/>
      <c r="J1357" s="145"/>
      <c r="K1357" s="145"/>
      <c r="L1357" s="145"/>
      <c r="M1357" s="145"/>
      <c r="N1357" s="145"/>
      <c r="O1357" s="145"/>
      <c r="P1357" s="145"/>
      <c r="Q1357" s="145"/>
      <c r="R1357" s="145"/>
      <c r="S1357" s="145"/>
      <c r="T1357" s="135">
        <v>25666</v>
      </c>
      <c r="U1357" s="145"/>
      <c r="V1357" s="134" t="s">
        <v>563</v>
      </c>
      <c r="W1357" s="92" t="str">
        <f t="shared" si="101"/>
        <v>Ribes Sampedro,Daniel</v>
      </c>
      <c r="X1357" s="95">
        <f t="shared" si="102"/>
        <v>4</v>
      </c>
      <c r="Y1357" s="95">
        <f t="shared" si="103"/>
        <v>2022</v>
      </c>
      <c r="Z1357" s="136" t="s">
        <v>266</v>
      </c>
      <c r="AA1357" t="str">
        <f>IF(Tabla1[[#This Row],[Kerma en aire acumulada (Gy)]]&gt;1,SUMIF(G:G,Tabla1[[#This Row],[SIP]],I:I)-Tabla1[[#This Row],[Kerma en aire acumulada (Gy)]],"")</f>
        <v/>
      </c>
    </row>
    <row r="1358" spans="3:27">
      <c r="C1358" s="147" t="s">
        <v>1088</v>
      </c>
      <c r="D1358" s="134" t="s">
        <v>43</v>
      </c>
      <c r="E1358" s="134" t="s">
        <v>2615</v>
      </c>
      <c r="F1358" s="134" t="s">
        <v>131</v>
      </c>
      <c r="G1358" s="134">
        <v>3363177</v>
      </c>
      <c r="H1358" s="135">
        <v>44662</v>
      </c>
      <c r="I1358" s="134">
        <v>1.57605</v>
      </c>
      <c r="J1358" s="145"/>
      <c r="K1358" s="145"/>
      <c r="L1358" s="145"/>
      <c r="M1358" s="145"/>
      <c r="N1358" s="145"/>
      <c r="O1358" s="145"/>
      <c r="P1358" s="145"/>
      <c r="Q1358" s="145"/>
      <c r="R1358" s="145"/>
      <c r="S1358" s="145"/>
      <c r="T1358" s="135">
        <v>22409</v>
      </c>
      <c r="U1358" s="145"/>
      <c r="V1358" s="134" t="s">
        <v>563</v>
      </c>
      <c r="W1358" s="92" t="str">
        <f t="shared" si="101"/>
        <v>Cuenca Gabaldun,Salvador</v>
      </c>
      <c r="X1358" s="95">
        <f t="shared" si="102"/>
        <v>4</v>
      </c>
      <c r="Y1358" s="95">
        <f t="shared" si="103"/>
        <v>2022</v>
      </c>
      <c r="Z1358" s="136" t="s">
        <v>266</v>
      </c>
      <c r="AA1358">
        <f>IF(Tabla1[[#This Row],[Kerma en aire acumulada (Gy)]]&gt;1,SUMIF(G:G,Tabla1[[#This Row],[SIP]],I:I)-Tabla1[[#This Row],[Kerma en aire acumulada (Gy)]],"")</f>
        <v>0</v>
      </c>
    </row>
    <row r="1359" spans="3:27">
      <c r="C1359" s="147" t="s">
        <v>1088</v>
      </c>
      <c r="D1359" s="134" t="s">
        <v>2616</v>
      </c>
      <c r="E1359" s="134" t="s">
        <v>181</v>
      </c>
      <c r="F1359" s="134" t="s">
        <v>28</v>
      </c>
      <c r="G1359" s="134">
        <v>2226867</v>
      </c>
      <c r="H1359" s="135">
        <v>44662</v>
      </c>
      <c r="I1359" s="134">
        <v>0.58248999999999995</v>
      </c>
      <c r="J1359" s="145"/>
      <c r="K1359" s="145"/>
      <c r="L1359" s="145"/>
      <c r="M1359" s="145"/>
      <c r="N1359" s="145"/>
      <c r="O1359" s="145"/>
      <c r="P1359" s="145"/>
      <c r="Q1359" s="145"/>
      <c r="R1359" s="145"/>
      <c r="S1359" s="145"/>
      <c r="T1359" s="135">
        <v>13734</v>
      </c>
      <c r="U1359" s="145"/>
      <c r="V1359" s="134" t="s">
        <v>563</v>
      </c>
      <c r="W1359" s="92" t="str">
        <f t="shared" si="101"/>
        <v>Espiago Castillo,Josefa</v>
      </c>
      <c r="X1359" s="95">
        <f t="shared" si="102"/>
        <v>4</v>
      </c>
      <c r="Y1359" s="95">
        <f t="shared" si="103"/>
        <v>2022</v>
      </c>
      <c r="Z1359" s="136" t="s">
        <v>266</v>
      </c>
      <c r="AA1359" t="str">
        <f>IF(Tabla1[[#This Row],[Kerma en aire acumulada (Gy)]]&gt;1,SUMIF(G:G,Tabla1[[#This Row],[SIP]],I:I)-Tabla1[[#This Row],[Kerma en aire acumulada (Gy)]],"")</f>
        <v/>
      </c>
    </row>
    <row r="1360" spans="3:27">
      <c r="C1360" s="147" t="s">
        <v>1088</v>
      </c>
      <c r="D1360" s="134" t="s">
        <v>115</v>
      </c>
      <c r="E1360" s="134" t="s">
        <v>2478</v>
      </c>
      <c r="F1360" s="134" t="s">
        <v>1779</v>
      </c>
      <c r="G1360" s="134">
        <v>3144695</v>
      </c>
      <c r="H1360" s="135">
        <v>44662</v>
      </c>
      <c r="I1360" s="134">
        <v>2.0539999999999999E-2</v>
      </c>
      <c r="J1360" s="145"/>
      <c r="K1360" s="145"/>
      <c r="L1360" s="145"/>
      <c r="M1360" s="145"/>
      <c r="N1360" s="145"/>
      <c r="O1360" s="145"/>
      <c r="P1360" s="145"/>
      <c r="Q1360" s="145"/>
      <c r="R1360" s="145"/>
      <c r="S1360" s="145"/>
      <c r="T1360" s="135">
        <v>12570</v>
      </c>
      <c r="U1360" s="145"/>
      <c r="V1360" s="134" t="s">
        <v>2630</v>
      </c>
      <c r="W1360" s="92" t="str">
        <f t="shared" si="101"/>
        <v>Pardo Teruel,Trinidad</v>
      </c>
      <c r="X1360" s="95">
        <f t="shared" si="102"/>
        <v>4</v>
      </c>
      <c r="Y1360" s="95">
        <f t="shared" si="103"/>
        <v>2022</v>
      </c>
      <c r="Z1360" s="136" t="s">
        <v>2238</v>
      </c>
      <c r="AA1360" t="str">
        <f>IF(Tabla1[[#This Row],[Kerma en aire acumulada (Gy)]]&gt;1,SUMIF(G:G,Tabla1[[#This Row],[SIP]],I:I)-Tabla1[[#This Row],[Kerma en aire acumulada (Gy)]],"")</f>
        <v/>
      </c>
    </row>
    <row r="1361" spans="3:27">
      <c r="C1361" s="147" t="s">
        <v>1088</v>
      </c>
      <c r="D1361" s="134" t="s">
        <v>2631</v>
      </c>
      <c r="E1361" s="134" t="s">
        <v>737</v>
      </c>
      <c r="F1361" s="134" t="s">
        <v>635</v>
      </c>
      <c r="G1361" s="134">
        <v>2428285</v>
      </c>
      <c r="H1361" s="135">
        <v>44662</v>
      </c>
      <c r="I1361" s="134">
        <v>6.8599999999999998E-3</v>
      </c>
      <c r="J1361" s="145"/>
      <c r="K1361" s="145"/>
      <c r="L1361" s="145"/>
      <c r="M1361" s="145"/>
      <c r="N1361" s="145"/>
      <c r="O1361" s="145"/>
      <c r="P1361" s="145"/>
      <c r="Q1361" s="145"/>
      <c r="R1361" s="145"/>
      <c r="S1361" s="145"/>
      <c r="T1361" s="135">
        <v>18091</v>
      </c>
      <c r="U1361" s="145"/>
      <c r="V1361" s="134" t="s">
        <v>2237</v>
      </c>
      <c r="W1361" s="92" t="str">
        <f t="shared" si="101"/>
        <v>Arrue Mora,Enrique</v>
      </c>
      <c r="X1361" s="95">
        <f t="shared" si="102"/>
        <v>4</v>
      </c>
      <c r="Y1361" s="95">
        <f t="shared" si="103"/>
        <v>2022</v>
      </c>
      <c r="Z1361" s="136" t="s">
        <v>2238</v>
      </c>
      <c r="AA1361" t="str">
        <f>IF(Tabla1[[#This Row],[Kerma en aire acumulada (Gy)]]&gt;1,SUMIF(G:G,Tabla1[[#This Row],[SIP]],I:I)-Tabla1[[#This Row],[Kerma en aire acumulada (Gy)]],"")</f>
        <v/>
      </c>
    </row>
    <row r="1362" spans="3:27">
      <c r="C1362" s="147" t="s">
        <v>1088</v>
      </c>
      <c r="D1362" s="134" t="s">
        <v>21</v>
      </c>
      <c r="E1362" s="134" t="s">
        <v>2521</v>
      </c>
      <c r="F1362" s="134" t="s">
        <v>83</v>
      </c>
      <c r="G1362" s="134">
        <v>2344421</v>
      </c>
      <c r="H1362" s="135">
        <v>44663</v>
      </c>
      <c r="I1362" s="134">
        <v>8.5999999999999993E-2</v>
      </c>
      <c r="J1362" s="145"/>
      <c r="K1362" s="145"/>
      <c r="L1362" s="145"/>
      <c r="M1362" s="145"/>
      <c r="N1362" s="145"/>
      <c r="O1362" s="145"/>
      <c r="P1362" s="145"/>
      <c r="Q1362" s="145"/>
      <c r="R1362" s="145"/>
      <c r="S1362" s="145"/>
      <c r="T1362" s="135">
        <v>21680</v>
      </c>
      <c r="U1362" s="145"/>
      <c r="V1362" s="134" t="s">
        <v>1711</v>
      </c>
      <c r="W1362" s="92" t="str">
        <f t="shared" si="101"/>
        <v>Cervera Dura,Francisco</v>
      </c>
      <c r="X1362" s="95">
        <f t="shared" si="102"/>
        <v>4</v>
      </c>
      <c r="Y1362" s="95">
        <f t="shared" si="103"/>
        <v>2022</v>
      </c>
      <c r="Z1362" s="103" t="s">
        <v>265</v>
      </c>
      <c r="AA1362" t="str">
        <f>IF(Tabla1[[#This Row],[Kerma en aire acumulada (Gy)]]&gt;1,SUMIF(G:G,Tabla1[[#This Row],[SIP]],I:I)-Tabla1[[#This Row],[Kerma en aire acumulada (Gy)]],"")</f>
        <v/>
      </c>
    </row>
    <row r="1363" spans="3:27">
      <c r="C1363" s="147" t="s">
        <v>1088</v>
      </c>
      <c r="D1363" s="134" t="s">
        <v>2522</v>
      </c>
      <c r="E1363" s="134" t="s">
        <v>2523</v>
      </c>
      <c r="F1363" s="134" t="s">
        <v>88</v>
      </c>
      <c r="G1363" s="134">
        <v>3559035</v>
      </c>
      <c r="H1363" s="135">
        <v>44663</v>
      </c>
      <c r="I1363" s="134">
        <v>0.28038999999999997</v>
      </c>
      <c r="J1363" s="145"/>
      <c r="K1363" s="145"/>
      <c r="L1363" s="145"/>
      <c r="M1363" s="145"/>
      <c r="N1363" s="145"/>
      <c r="O1363" s="145"/>
      <c r="P1363" s="145"/>
      <c r="Q1363" s="145"/>
      <c r="R1363" s="145"/>
      <c r="S1363" s="145"/>
      <c r="T1363" s="135">
        <v>23746</v>
      </c>
      <c r="U1363" s="145"/>
      <c r="V1363" s="134" t="s">
        <v>1711</v>
      </c>
      <c r="W1363" s="92" t="str">
        <f t="shared" si="101"/>
        <v>Barbancho Mota,Vicente</v>
      </c>
      <c r="X1363" s="95">
        <f t="shared" si="102"/>
        <v>4</v>
      </c>
      <c r="Y1363" s="95">
        <f t="shared" si="103"/>
        <v>2022</v>
      </c>
      <c r="Z1363" s="103" t="s">
        <v>265</v>
      </c>
      <c r="AA1363" t="str">
        <f>IF(Tabla1[[#This Row],[Kerma en aire acumulada (Gy)]]&gt;1,SUMIF(G:G,Tabla1[[#This Row],[SIP]],I:I)-Tabla1[[#This Row],[Kerma en aire acumulada (Gy)]],"")</f>
        <v/>
      </c>
    </row>
    <row r="1364" spans="3:27">
      <c r="C1364" s="147" t="s">
        <v>1088</v>
      </c>
      <c r="D1364" s="134" t="s">
        <v>749</v>
      </c>
      <c r="E1364" s="134" t="s">
        <v>2524</v>
      </c>
      <c r="F1364" s="134" t="s">
        <v>1139</v>
      </c>
      <c r="G1364" s="134">
        <v>3194018</v>
      </c>
      <c r="H1364" s="135">
        <v>44663</v>
      </c>
      <c r="I1364" s="134">
        <v>0.38934999999999997</v>
      </c>
      <c r="J1364" s="145"/>
      <c r="K1364" s="145"/>
      <c r="L1364" s="145"/>
      <c r="M1364" s="145"/>
      <c r="N1364" s="145"/>
      <c r="O1364" s="145"/>
      <c r="P1364" s="145"/>
      <c r="Q1364" s="145"/>
      <c r="R1364" s="145"/>
      <c r="S1364" s="145"/>
      <c r="T1364" s="135">
        <v>17785</v>
      </c>
      <c r="U1364" s="145"/>
      <c r="V1364" s="134" t="s">
        <v>107</v>
      </c>
      <c r="W1364" s="92" t="str">
        <f t="shared" si="101"/>
        <v>Lahuerta Embuena,Jose Vicente</v>
      </c>
      <c r="X1364" s="95">
        <f t="shared" si="102"/>
        <v>4</v>
      </c>
      <c r="Y1364" s="95">
        <f t="shared" si="103"/>
        <v>2022</v>
      </c>
      <c r="Z1364" s="103" t="s">
        <v>265</v>
      </c>
      <c r="AA1364" t="str">
        <f>IF(Tabla1[[#This Row],[Kerma en aire acumulada (Gy)]]&gt;1,SUMIF(G:G,Tabla1[[#This Row],[SIP]],I:I)-Tabla1[[#This Row],[Kerma en aire acumulada (Gy)]],"")</f>
        <v/>
      </c>
    </row>
    <row r="1365" spans="3:27">
      <c r="C1365" s="147" t="s">
        <v>1088</v>
      </c>
      <c r="D1365" s="134" t="s">
        <v>2342</v>
      </c>
      <c r="E1365" s="134" t="s">
        <v>2343</v>
      </c>
      <c r="F1365" s="134" t="s">
        <v>2344</v>
      </c>
      <c r="G1365" s="134">
        <v>2855768</v>
      </c>
      <c r="H1365" s="135">
        <v>44663</v>
      </c>
      <c r="I1365" s="134">
        <v>8.3000000000000001E-4</v>
      </c>
      <c r="J1365" s="145"/>
      <c r="K1365" s="145"/>
      <c r="L1365" s="145"/>
      <c r="M1365" s="145"/>
      <c r="N1365" s="145"/>
      <c r="O1365" s="145"/>
      <c r="P1365" s="145"/>
      <c r="Q1365" s="145"/>
      <c r="R1365" s="145"/>
      <c r="S1365" s="145"/>
      <c r="T1365" s="135">
        <v>25525</v>
      </c>
      <c r="U1365" s="145"/>
      <c r="V1365" s="134" t="s">
        <v>1312</v>
      </c>
      <c r="W1365" s="92" t="str">
        <f t="shared" si="101"/>
        <v>Domenech Lleo,Guadalupe</v>
      </c>
      <c r="X1365" s="95">
        <f t="shared" si="102"/>
        <v>4</v>
      </c>
      <c r="Y1365" s="95">
        <f t="shared" si="103"/>
        <v>2022</v>
      </c>
      <c r="Z1365" s="103" t="s">
        <v>265</v>
      </c>
      <c r="AA1365" t="str">
        <f>IF(Tabla1[[#This Row],[Kerma en aire acumulada (Gy)]]&gt;1,SUMIF(G:G,Tabla1[[#This Row],[SIP]],I:I)-Tabla1[[#This Row],[Kerma en aire acumulada (Gy)]],"")</f>
        <v/>
      </c>
    </row>
    <row r="1366" spans="3:27">
      <c r="C1366" s="147" t="s">
        <v>1088</v>
      </c>
      <c r="D1366" s="134" t="s">
        <v>2541</v>
      </c>
      <c r="E1366" s="134" t="s">
        <v>2542</v>
      </c>
      <c r="F1366" s="134" t="s">
        <v>2543</v>
      </c>
      <c r="G1366" s="134">
        <v>2615026</v>
      </c>
      <c r="H1366" s="135">
        <v>44663</v>
      </c>
      <c r="I1366" s="134">
        <v>5.8369999999999998E-2</v>
      </c>
      <c r="J1366" s="145"/>
      <c r="K1366" s="145"/>
      <c r="L1366" s="145"/>
      <c r="M1366" s="145"/>
      <c r="N1366" s="145"/>
      <c r="O1366" s="145"/>
      <c r="P1366" s="145"/>
      <c r="Q1366" s="145"/>
      <c r="R1366" s="145"/>
      <c r="S1366" s="145"/>
      <c r="T1366" s="135">
        <v>29797</v>
      </c>
      <c r="U1366" s="145"/>
      <c r="V1366" s="134" t="s">
        <v>2544</v>
      </c>
      <c r="W1366" s="92" t="str">
        <f t="shared" si="101"/>
        <v>Ribelles Llobregat,Leticia</v>
      </c>
      <c r="X1366" s="95">
        <f t="shared" si="102"/>
        <v>4</v>
      </c>
      <c r="Y1366" s="95">
        <f t="shared" si="103"/>
        <v>2022</v>
      </c>
      <c r="Z1366" s="103" t="s">
        <v>265</v>
      </c>
      <c r="AA1366" t="str">
        <f>IF(Tabla1[[#This Row],[Kerma en aire acumulada (Gy)]]&gt;1,SUMIF(G:G,Tabla1[[#This Row],[SIP]],I:I)-Tabla1[[#This Row],[Kerma en aire acumulada (Gy)]],"")</f>
        <v/>
      </c>
    </row>
    <row r="1367" spans="3:27">
      <c r="C1367" s="147" t="s">
        <v>1088</v>
      </c>
      <c r="D1367" s="134" t="s">
        <v>2545</v>
      </c>
      <c r="E1367" s="134" t="s">
        <v>2546</v>
      </c>
      <c r="F1367" s="134" t="s">
        <v>2450</v>
      </c>
      <c r="G1367" s="134">
        <v>3151473</v>
      </c>
      <c r="H1367" s="135">
        <v>44663</v>
      </c>
      <c r="I1367" s="134">
        <v>0.48096</v>
      </c>
      <c r="J1367" s="145"/>
      <c r="K1367" s="145"/>
      <c r="L1367" s="145"/>
      <c r="M1367" s="145"/>
      <c r="N1367" s="145"/>
      <c r="O1367" s="145"/>
      <c r="P1367" s="145"/>
      <c r="Q1367" s="145"/>
      <c r="R1367" s="145"/>
      <c r="S1367" s="145"/>
      <c r="T1367" s="135">
        <v>13296</v>
      </c>
      <c r="U1367" s="145"/>
      <c r="V1367" s="134" t="s">
        <v>2547</v>
      </c>
      <c r="W1367" s="92" t="str">
        <f t="shared" si="101"/>
        <v>Sebastian Caudet,Julian</v>
      </c>
      <c r="X1367" s="95">
        <f t="shared" si="102"/>
        <v>4</v>
      </c>
      <c r="Y1367" s="95">
        <f t="shared" si="103"/>
        <v>2022</v>
      </c>
      <c r="Z1367" s="103" t="s">
        <v>265</v>
      </c>
      <c r="AA1367" t="str">
        <f>IF(Tabla1[[#This Row],[Kerma en aire acumulada (Gy)]]&gt;1,SUMIF(G:G,Tabla1[[#This Row],[SIP]],I:I)-Tabla1[[#This Row],[Kerma en aire acumulada (Gy)]],"")</f>
        <v/>
      </c>
    </row>
    <row r="1368" spans="3:27">
      <c r="C1368" s="147" t="s">
        <v>1088</v>
      </c>
      <c r="D1368" s="134" t="s">
        <v>2559</v>
      </c>
      <c r="E1368" s="134" t="s">
        <v>1009</v>
      </c>
      <c r="F1368" s="134" t="s">
        <v>2560</v>
      </c>
      <c r="G1368" s="134">
        <v>3380466</v>
      </c>
      <c r="H1368" s="135">
        <v>44663</v>
      </c>
      <c r="I1368" s="134">
        <v>0.15914</v>
      </c>
      <c r="J1368" s="145"/>
      <c r="K1368" s="145"/>
      <c r="L1368" s="145"/>
      <c r="M1368" s="145"/>
      <c r="N1368" s="145"/>
      <c r="O1368" s="145"/>
      <c r="P1368" s="145"/>
      <c r="Q1368" s="145"/>
      <c r="R1368" s="145"/>
      <c r="S1368" s="145"/>
      <c r="T1368" s="135">
        <v>14970</v>
      </c>
      <c r="U1368" s="145"/>
      <c r="V1368" s="134" t="s">
        <v>563</v>
      </c>
      <c r="W1368" s="92" t="str">
        <f t="shared" si="101"/>
        <v>Rey Fernandez,Natividad J</v>
      </c>
      <c r="X1368" s="95">
        <f t="shared" si="102"/>
        <v>4</v>
      </c>
      <c r="Y1368" s="95">
        <f t="shared" si="103"/>
        <v>2022</v>
      </c>
      <c r="Z1368" s="136" t="s">
        <v>266</v>
      </c>
      <c r="AA1368" t="str">
        <f>IF(Tabla1[[#This Row],[Kerma en aire acumulada (Gy)]]&gt;1,SUMIF(G:G,Tabla1[[#This Row],[SIP]],I:I)-Tabla1[[#This Row],[Kerma en aire acumulada (Gy)]],"")</f>
        <v/>
      </c>
    </row>
    <row r="1369" spans="3:27">
      <c r="C1369" s="147" t="s">
        <v>1088</v>
      </c>
      <c r="D1369" s="134" t="s">
        <v>1001</v>
      </c>
      <c r="E1369" s="134" t="s">
        <v>1956</v>
      </c>
      <c r="F1369" s="134" t="s">
        <v>2561</v>
      </c>
      <c r="G1369" s="134">
        <v>2316417</v>
      </c>
      <c r="H1369" s="135">
        <v>44663</v>
      </c>
      <c r="I1369" s="134">
        <v>0.10846</v>
      </c>
      <c r="J1369" s="145"/>
      <c r="K1369" s="145"/>
      <c r="L1369" s="145"/>
      <c r="M1369" s="145"/>
      <c r="N1369" s="145"/>
      <c r="O1369" s="145"/>
      <c r="P1369" s="145"/>
      <c r="Q1369" s="145"/>
      <c r="R1369" s="145"/>
      <c r="S1369" s="145"/>
      <c r="T1369" s="135">
        <v>16351</v>
      </c>
      <c r="U1369" s="145"/>
      <c r="V1369" s="134" t="s">
        <v>563</v>
      </c>
      <c r="W1369" s="92" t="str">
        <f t="shared" si="101"/>
        <v>Perez Galdon,M Luisa</v>
      </c>
      <c r="X1369" s="95">
        <f t="shared" si="102"/>
        <v>4</v>
      </c>
      <c r="Y1369" s="95">
        <f t="shared" si="103"/>
        <v>2022</v>
      </c>
      <c r="Z1369" s="136" t="s">
        <v>266</v>
      </c>
      <c r="AA1369" t="str">
        <f>IF(Tabla1[[#This Row],[Kerma en aire acumulada (Gy)]]&gt;1,SUMIF(G:G,Tabla1[[#This Row],[SIP]],I:I)-Tabla1[[#This Row],[Kerma en aire acumulada (Gy)]],"")</f>
        <v/>
      </c>
    </row>
    <row r="1370" spans="3:27">
      <c r="C1370" s="147" t="s">
        <v>1088</v>
      </c>
      <c r="D1370" s="134" t="s">
        <v>960</v>
      </c>
      <c r="E1370" s="134" t="s">
        <v>2562</v>
      </c>
      <c r="F1370" s="134" t="s">
        <v>991</v>
      </c>
      <c r="G1370" s="134">
        <v>2341376</v>
      </c>
      <c r="H1370" s="135">
        <v>44663</v>
      </c>
      <c r="I1370" s="134">
        <v>0.45923000000000003</v>
      </c>
      <c r="J1370" s="145"/>
      <c r="K1370" s="145"/>
      <c r="L1370" s="145"/>
      <c r="M1370" s="145"/>
      <c r="N1370" s="145"/>
      <c r="O1370" s="145"/>
      <c r="P1370" s="145"/>
      <c r="Q1370" s="145"/>
      <c r="R1370" s="145"/>
      <c r="S1370" s="145"/>
      <c r="T1370" s="135">
        <v>23947</v>
      </c>
      <c r="U1370" s="145"/>
      <c r="V1370" s="134" t="s">
        <v>563</v>
      </c>
      <c r="W1370" s="92" t="str">
        <f t="shared" si="101"/>
        <v>Lopez Tercero Garcia Muñoz,Jose</v>
      </c>
      <c r="X1370" s="95">
        <f t="shared" si="102"/>
        <v>4</v>
      </c>
      <c r="Y1370" s="95">
        <f t="shared" si="103"/>
        <v>2022</v>
      </c>
      <c r="Z1370" s="136" t="s">
        <v>266</v>
      </c>
      <c r="AA1370" t="str">
        <f>IF(Tabla1[[#This Row],[Kerma en aire acumulada (Gy)]]&gt;1,SUMIF(G:G,Tabla1[[#This Row],[SIP]],I:I)-Tabla1[[#This Row],[Kerma en aire acumulada (Gy)]],"")</f>
        <v/>
      </c>
    </row>
    <row r="1371" spans="3:27">
      <c r="C1371" s="147" t="s">
        <v>1088</v>
      </c>
      <c r="D1371" s="134" t="s">
        <v>1759</v>
      </c>
      <c r="E1371" s="134" t="s">
        <v>29</v>
      </c>
      <c r="F1371" s="134" t="s">
        <v>2609</v>
      </c>
      <c r="G1371" s="134">
        <v>10948634</v>
      </c>
      <c r="H1371" s="135">
        <v>44663</v>
      </c>
      <c r="I1371" s="134">
        <v>0.11864</v>
      </c>
      <c r="J1371" s="145"/>
      <c r="K1371" s="145"/>
      <c r="L1371" s="145"/>
      <c r="M1371" s="145"/>
      <c r="N1371" s="145"/>
      <c r="O1371" s="145"/>
      <c r="P1371" s="145"/>
      <c r="Q1371" s="145"/>
      <c r="R1371" s="145"/>
      <c r="S1371" s="145"/>
      <c r="T1371" s="135">
        <v>31222</v>
      </c>
      <c r="U1371" s="145"/>
      <c r="V1371" s="134" t="s">
        <v>563</v>
      </c>
      <c r="W1371" s="92" t="str">
        <f t="shared" si="101"/>
        <v>Martin Castro,Yon</v>
      </c>
      <c r="X1371" s="95">
        <f t="shared" si="102"/>
        <v>4</v>
      </c>
      <c r="Y1371" s="95">
        <f t="shared" si="103"/>
        <v>2022</v>
      </c>
      <c r="Z1371" s="136" t="s">
        <v>266</v>
      </c>
      <c r="AA1371" t="str">
        <f>IF(Tabla1[[#This Row],[Kerma en aire acumulada (Gy)]]&gt;1,SUMIF(G:G,Tabla1[[#This Row],[SIP]],I:I)-Tabla1[[#This Row],[Kerma en aire acumulada (Gy)]],"")</f>
        <v/>
      </c>
    </row>
    <row r="1372" spans="3:27">
      <c r="C1372" s="147" t="s">
        <v>1088</v>
      </c>
      <c r="D1372" s="134" t="s">
        <v>2610</v>
      </c>
      <c r="E1372" s="134" t="s">
        <v>2404</v>
      </c>
      <c r="F1372" s="134" t="s">
        <v>68</v>
      </c>
      <c r="G1372" s="134">
        <v>2308228</v>
      </c>
      <c r="H1372" s="135">
        <v>44663</v>
      </c>
      <c r="I1372" s="134">
        <v>0.19436</v>
      </c>
      <c r="J1372" s="145"/>
      <c r="K1372" s="145"/>
      <c r="L1372" s="145"/>
      <c r="M1372" s="145"/>
      <c r="N1372" s="145"/>
      <c r="O1372" s="145"/>
      <c r="P1372" s="145"/>
      <c r="Q1372" s="145"/>
      <c r="R1372" s="145"/>
      <c r="S1372" s="145"/>
      <c r="T1372" s="135">
        <v>18897</v>
      </c>
      <c r="U1372" s="145"/>
      <c r="V1372" s="134" t="s">
        <v>563</v>
      </c>
      <c r="W1372" s="92" t="str">
        <f t="shared" si="101"/>
        <v>Monrabal Bas,Juan</v>
      </c>
      <c r="X1372" s="95">
        <f t="shared" si="102"/>
        <v>4</v>
      </c>
      <c r="Y1372" s="95">
        <f t="shared" si="103"/>
        <v>2022</v>
      </c>
      <c r="Z1372" s="136" t="s">
        <v>266</v>
      </c>
      <c r="AA1372" t="str">
        <f>IF(Tabla1[[#This Row],[Kerma en aire acumulada (Gy)]]&gt;1,SUMIF(G:G,Tabla1[[#This Row],[SIP]],I:I)-Tabla1[[#This Row],[Kerma en aire acumulada (Gy)]],"")</f>
        <v/>
      </c>
    </row>
    <row r="1373" spans="3:27">
      <c r="C1373" s="147" t="s">
        <v>1088</v>
      </c>
      <c r="D1373" s="134" t="s">
        <v>2611</v>
      </c>
      <c r="E1373" s="134" t="s">
        <v>2612</v>
      </c>
      <c r="F1373" s="134" t="s">
        <v>1011</v>
      </c>
      <c r="G1373" s="134">
        <v>2451242</v>
      </c>
      <c r="H1373" s="135">
        <v>44663</v>
      </c>
      <c r="I1373" s="134">
        <v>0.25547999999999998</v>
      </c>
      <c r="J1373" s="145"/>
      <c r="K1373" s="145"/>
      <c r="L1373" s="145"/>
      <c r="M1373" s="145"/>
      <c r="N1373" s="145"/>
      <c r="O1373" s="145"/>
      <c r="P1373" s="145"/>
      <c r="Q1373" s="145"/>
      <c r="R1373" s="145"/>
      <c r="S1373" s="145"/>
      <c r="T1373" s="135">
        <v>17718</v>
      </c>
      <c r="U1373" s="145"/>
      <c r="V1373" s="134" t="s">
        <v>563</v>
      </c>
      <c r="W1373" s="92" t="str">
        <f t="shared" si="101"/>
        <v>Otalora Ruiperez,Andres</v>
      </c>
      <c r="X1373" s="95">
        <f t="shared" si="102"/>
        <v>4</v>
      </c>
      <c r="Y1373" s="95">
        <f t="shared" si="103"/>
        <v>2022</v>
      </c>
      <c r="Z1373" s="136" t="s">
        <v>266</v>
      </c>
      <c r="AA1373" t="str">
        <f>IF(Tabla1[[#This Row],[Kerma en aire acumulada (Gy)]]&gt;1,SUMIF(G:G,Tabla1[[#This Row],[SIP]],I:I)-Tabla1[[#This Row],[Kerma en aire acumulada (Gy)]],"")</f>
        <v/>
      </c>
    </row>
    <row r="1374" spans="3:27">
      <c r="C1374" s="147" t="s">
        <v>1088</v>
      </c>
      <c r="D1374" s="134" t="s">
        <v>376</v>
      </c>
      <c r="E1374" s="134" t="s">
        <v>1776</v>
      </c>
      <c r="F1374" s="134" t="s">
        <v>828</v>
      </c>
      <c r="G1374" s="134">
        <v>2812507</v>
      </c>
      <c r="H1374" s="135">
        <v>44663</v>
      </c>
      <c r="I1374" s="134">
        <v>1.55338</v>
      </c>
      <c r="J1374" s="145"/>
      <c r="K1374" s="145"/>
      <c r="L1374" s="145"/>
      <c r="M1374" s="145"/>
      <c r="N1374" s="145"/>
      <c r="O1374" s="145"/>
      <c r="P1374" s="145"/>
      <c r="Q1374" s="145"/>
      <c r="R1374" s="145"/>
      <c r="S1374" s="145"/>
      <c r="T1374" s="135">
        <v>25873</v>
      </c>
      <c r="U1374" s="145"/>
      <c r="V1374" s="134" t="s">
        <v>563</v>
      </c>
      <c r="W1374" s="92" t="str">
        <f t="shared" si="101"/>
        <v>Saiz Escribano,Josep</v>
      </c>
      <c r="X1374" s="95">
        <f t="shared" si="102"/>
        <v>4</v>
      </c>
      <c r="Y1374" s="95">
        <f t="shared" si="103"/>
        <v>2022</v>
      </c>
      <c r="Z1374" s="136" t="s">
        <v>266</v>
      </c>
      <c r="AA1374">
        <f>IF(Tabla1[[#This Row],[Kerma en aire acumulada (Gy)]]&gt;1,SUMIF(G:G,Tabla1[[#This Row],[SIP]],I:I)-Tabla1[[#This Row],[Kerma en aire acumulada (Gy)]],"")</f>
        <v>0</v>
      </c>
    </row>
    <row r="1375" spans="3:27">
      <c r="C1375" s="147" t="s">
        <v>1088</v>
      </c>
      <c r="D1375" s="134" t="s">
        <v>1587</v>
      </c>
      <c r="E1375" s="134" t="s">
        <v>169</v>
      </c>
      <c r="F1375" s="134" t="s">
        <v>991</v>
      </c>
      <c r="G1375" s="134">
        <v>3342931</v>
      </c>
      <c r="H1375" s="135">
        <v>44663</v>
      </c>
      <c r="I1375" s="134">
        <v>0.62104999999999999</v>
      </c>
      <c r="J1375" s="145"/>
      <c r="K1375" s="145"/>
      <c r="L1375" s="145"/>
      <c r="M1375" s="145"/>
      <c r="N1375" s="145"/>
      <c r="O1375" s="145"/>
      <c r="P1375" s="145"/>
      <c r="Q1375" s="145"/>
      <c r="R1375" s="145"/>
      <c r="S1375" s="145"/>
      <c r="T1375" s="135">
        <v>15578</v>
      </c>
      <c r="U1375" s="145"/>
      <c r="V1375" s="134" t="s">
        <v>563</v>
      </c>
      <c r="W1375" s="92" t="str">
        <f t="shared" si="101"/>
        <v>Jimenez Valero,Jose</v>
      </c>
      <c r="X1375" s="95">
        <f t="shared" si="102"/>
        <v>4</v>
      </c>
      <c r="Y1375" s="95">
        <f t="shared" si="103"/>
        <v>2022</v>
      </c>
      <c r="Z1375" s="136" t="s">
        <v>266</v>
      </c>
      <c r="AA1375" t="str">
        <f>IF(Tabla1[[#This Row],[Kerma en aire acumulada (Gy)]]&gt;1,SUMIF(G:G,Tabla1[[#This Row],[SIP]],I:I)-Tabla1[[#This Row],[Kerma en aire acumulada (Gy)]],"")</f>
        <v/>
      </c>
    </row>
    <row r="1376" spans="3:27">
      <c r="C1376" s="147" t="s">
        <v>1088</v>
      </c>
      <c r="D1376" s="134" t="s">
        <v>2626</v>
      </c>
      <c r="E1376" s="134" t="s">
        <v>2627</v>
      </c>
      <c r="F1376" s="134" t="s">
        <v>2628</v>
      </c>
      <c r="G1376" s="134">
        <v>3733434</v>
      </c>
      <c r="H1376" s="135">
        <v>44663</v>
      </c>
      <c r="I1376" s="134">
        <v>1.3500000000000001E-3</v>
      </c>
      <c r="J1376" s="145"/>
      <c r="K1376" s="145"/>
      <c r="L1376" s="145"/>
      <c r="M1376" s="145"/>
      <c r="N1376" s="145"/>
      <c r="O1376" s="145"/>
      <c r="P1376" s="145"/>
      <c r="Q1376" s="145"/>
      <c r="R1376" s="145"/>
      <c r="S1376" s="145"/>
      <c r="T1376" s="135">
        <v>29346</v>
      </c>
      <c r="U1376" s="145"/>
      <c r="V1376" s="134" t="s">
        <v>2237</v>
      </c>
      <c r="W1376" s="92" t="str">
        <f t="shared" si="101"/>
        <v>Barrera Molero,Ana Rosa</v>
      </c>
      <c r="X1376" s="95">
        <f t="shared" si="102"/>
        <v>4</v>
      </c>
      <c r="Y1376" s="95">
        <f t="shared" si="103"/>
        <v>2022</v>
      </c>
      <c r="Z1376" s="136" t="s">
        <v>2238</v>
      </c>
      <c r="AA1376" t="str">
        <f>IF(Tabla1[[#This Row],[Kerma en aire acumulada (Gy)]]&gt;1,SUMIF(G:G,Tabla1[[#This Row],[SIP]],I:I)-Tabla1[[#This Row],[Kerma en aire acumulada (Gy)]],"")</f>
        <v/>
      </c>
    </row>
    <row r="1377" spans="3:27">
      <c r="C1377" s="147" t="s">
        <v>1088</v>
      </c>
      <c r="D1377" s="134" t="s">
        <v>2519</v>
      </c>
      <c r="E1377" s="134" t="s">
        <v>2520</v>
      </c>
      <c r="F1377" s="134" t="s">
        <v>635</v>
      </c>
      <c r="G1377" s="134">
        <v>2328003</v>
      </c>
      <c r="H1377" s="135">
        <v>44664</v>
      </c>
      <c r="I1377" s="134">
        <v>0.22559000000000001</v>
      </c>
      <c r="J1377" s="145"/>
      <c r="K1377" s="145"/>
      <c r="L1377" s="145"/>
      <c r="M1377" s="145"/>
      <c r="N1377" s="145"/>
      <c r="O1377" s="145"/>
      <c r="P1377" s="145"/>
      <c r="Q1377" s="145"/>
      <c r="R1377" s="145"/>
      <c r="S1377" s="145"/>
      <c r="T1377" s="135">
        <v>23118</v>
      </c>
      <c r="U1377" s="145"/>
      <c r="V1377" s="134" t="s">
        <v>2175</v>
      </c>
      <c r="W1377" s="92" t="str">
        <f t="shared" si="101"/>
        <v>Pomer Dus,Enrique</v>
      </c>
      <c r="X1377" s="95">
        <f t="shared" si="102"/>
        <v>4</v>
      </c>
      <c r="Y1377" s="95">
        <f t="shared" si="103"/>
        <v>2022</v>
      </c>
      <c r="Z1377" s="103" t="s">
        <v>265</v>
      </c>
      <c r="AA1377" t="str">
        <f>IF(Tabla1[[#This Row],[Kerma en aire acumulada (Gy)]]&gt;1,SUMIF(G:G,Tabla1[[#This Row],[SIP]],I:I)-Tabla1[[#This Row],[Kerma en aire acumulada (Gy)]],"")</f>
        <v/>
      </c>
    </row>
    <row r="1378" spans="3:27">
      <c r="C1378" s="147" t="s">
        <v>1088</v>
      </c>
      <c r="D1378" s="134" t="s">
        <v>1313</v>
      </c>
      <c r="E1378" s="134" t="s">
        <v>2143</v>
      </c>
      <c r="F1378" s="134" t="s">
        <v>88</v>
      </c>
      <c r="G1378" s="134">
        <v>327516</v>
      </c>
      <c r="H1378" s="135">
        <v>44664</v>
      </c>
      <c r="I1378" s="134">
        <v>0.83362999999999998</v>
      </c>
      <c r="J1378" s="145"/>
      <c r="K1378" s="145"/>
      <c r="L1378" s="145"/>
      <c r="M1378" s="145"/>
      <c r="N1378" s="145"/>
      <c r="O1378" s="145"/>
      <c r="P1378" s="145"/>
      <c r="Q1378" s="145"/>
      <c r="R1378" s="145"/>
      <c r="S1378" s="145"/>
      <c r="T1378" s="135">
        <v>22758</v>
      </c>
      <c r="U1378" s="145"/>
      <c r="V1378" s="134" t="s">
        <v>107</v>
      </c>
      <c r="W1378" s="92" t="str">
        <f t="shared" si="101"/>
        <v>Belda Dominguez,Vicente</v>
      </c>
      <c r="X1378" s="95">
        <f t="shared" si="102"/>
        <v>4</v>
      </c>
      <c r="Y1378" s="95">
        <f t="shared" si="103"/>
        <v>2022</v>
      </c>
      <c r="Z1378" s="103" t="s">
        <v>265</v>
      </c>
      <c r="AA1378" t="str">
        <f>IF(Tabla1[[#This Row],[Kerma en aire acumulada (Gy)]]&gt;1,SUMIF(G:G,Tabla1[[#This Row],[SIP]],I:I)-Tabla1[[#This Row],[Kerma en aire acumulada (Gy)]],"")</f>
        <v/>
      </c>
    </row>
    <row r="1379" spans="3:27">
      <c r="C1379" s="147" t="s">
        <v>1088</v>
      </c>
      <c r="D1379" s="134" t="s">
        <v>2221</v>
      </c>
      <c r="E1379" s="134" t="s">
        <v>694</v>
      </c>
      <c r="F1379" s="134" t="s">
        <v>798</v>
      </c>
      <c r="G1379" s="134">
        <v>336145</v>
      </c>
      <c r="H1379" s="135">
        <v>44664</v>
      </c>
      <c r="I1379" s="134">
        <v>5.47E-3</v>
      </c>
      <c r="J1379" s="145"/>
      <c r="K1379" s="145"/>
      <c r="L1379" s="145"/>
      <c r="M1379" s="145"/>
      <c r="N1379" s="145"/>
      <c r="O1379" s="145"/>
      <c r="P1379" s="145"/>
      <c r="Q1379" s="145"/>
      <c r="R1379" s="145"/>
      <c r="S1379" s="145"/>
      <c r="T1379" s="135">
        <v>16311</v>
      </c>
      <c r="U1379" s="145"/>
      <c r="V1379" s="134" t="s">
        <v>1312</v>
      </c>
      <c r="W1379" s="92" t="str">
        <f t="shared" si="101"/>
        <v>Amer Llopis,Ana</v>
      </c>
      <c r="X1379" s="95">
        <f t="shared" si="102"/>
        <v>4</v>
      </c>
      <c r="Y1379" s="95">
        <f t="shared" si="103"/>
        <v>2022</v>
      </c>
      <c r="Z1379" s="103" t="s">
        <v>265</v>
      </c>
      <c r="AA1379" t="str">
        <f>IF(Tabla1[[#This Row],[Kerma en aire acumulada (Gy)]]&gt;1,SUMIF(G:G,Tabla1[[#This Row],[SIP]],I:I)-Tabla1[[#This Row],[Kerma en aire acumulada (Gy)]],"")</f>
        <v/>
      </c>
    </row>
    <row r="1380" spans="3:27">
      <c r="C1380" s="147" t="s">
        <v>1088</v>
      </c>
      <c r="D1380" s="134" t="s">
        <v>2366</v>
      </c>
      <c r="E1380" s="134" t="s">
        <v>1760</v>
      </c>
      <c r="F1380" s="134" t="s">
        <v>699</v>
      </c>
      <c r="G1380" s="134">
        <v>2082970</v>
      </c>
      <c r="H1380" s="135">
        <v>44664</v>
      </c>
      <c r="I1380" s="134">
        <v>1.685E-2</v>
      </c>
      <c r="J1380" s="145"/>
      <c r="K1380" s="145"/>
      <c r="L1380" s="145"/>
      <c r="M1380" s="145"/>
      <c r="N1380" s="145"/>
      <c r="O1380" s="145"/>
      <c r="P1380" s="145"/>
      <c r="Q1380" s="145"/>
      <c r="R1380" s="145"/>
      <c r="S1380" s="145"/>
      <c r="T1380" s="135">
        <v>25841</v>
      </c>
      <c r="U1380" s="145"/>
      <c r="V1380" s="134" t="s">
        <v>2539</v>
      </c>
      <c r="W1380" s="92" t="str">
        <f t="shared" si="101"/>
        <v>Gimeno Exposito,Cristina</v>
      </c>
      <c r="X1380" s="95">
        <f t="shared" si="102"/>
        <v>4</v>
      </c>
      <c r="Y1380" s="95">
        <f t="shared" si="103"/>
        <v>2022</v>
      </c>
      <c r="Z1380" s="103" t="s">
        <v>265</v>
      </c>
      <c r="AA1380" t="str">
        <f>IF(Tabla1[[#This Row],[Kerma en aire acumulada (Gy)]]&gt;1,SUMIF(G:G,Tabla1[[#This Row],[SIP]],I:I)-Tabla1[[#This Row],[Kerma en aire acumulada (Gy)]],"")</f>
        <v/>
      </c>
    </row>
    <row r="1381" spans="3:27">
      <c r="C1381" s="147" t="s">
        <v>1088</v>
      </c>
      <c r="D1381" s="134" t="s">
        <v>2540</v>
      </c>
      <c r="E1381" s="134" t="s">
        <v>1879</v>
      </c>
      <c r="F1381" s="134" t="s">
        <v>1146</v>
      </c>
      <c r="G1381" s="134">
        <v>4591248</v>
      </c>
      <c r="H1381" s="135">
        <v>44664</v>
      </c>
      <c r="I1381" s="134">
        <v>2.9579999999999999E-2</v>
      </c>
      <c r="J1381" s="145"/>
      <c r="K1381" s="145"/>
      <c r="L1381" s="145"/>
      <c r="M1381" s="145"/>
      <c r="N1381" s="145"/>
      <c r="O1381" s="145"/>
      <c r="P1381" s="145"/>
      <c r="Q1381" s="145"/>
      <c r="R1381" s="145"/>
      <c r="S1381" s="145"/>
      <c r="T1381" s="135">
        <v>30900</v>
      </c>
      <c r="U1381" s="145"/>
      <c r="V1381" s="134" t="s">
        <v>1203</v>
      </c>
      <c r="W1381" s="92" t="str">
        <f t="shared" si="101"/>
        <v>Samet Castellet,Patricia</v>
      </c>
      <c r="X1381" s="95">
        <f t="shared" si="102"/>
        <v>4</v>
      </c>
      <c r="Y1381" s="95">
        <f t="shared" si="103"/>
        <v>2022</v>
      </c>
      <c r="Z1381" s="103" t="s">
        <v>265</v>
      </c>
      <c r="AA1381" t="str">
        <f>IF(Tabla1[[#This Row],[Kerma en aire acumulada (Gy)]]&gt;1,SUMIF(G:G,Tabla1[[#This Row],[SIP]],I:I)-Tabla1[[#This Row],[Kerma en aire acumulada (Gy)]],"")</f>
        <v/>
      </c>
    </row>
    <row r="1382" spans="3:27">
      <c r="C1382" s="147" t="s">
        <v>1088</v>
      </c>
      <c r="D1382" s="134" t="s">
        <v>131</v>
      </c>
      <c r="E1382" s="134" t="s">
        <v>2555</v>
      </c>
      <c r="F1382" s="134" t="s">
        <v>83</v>
      </c>
      <c r="G1382" s="134">
        <v>2250505</v>
      </c>
      <c r="H1382" s="135">
        <v>44664</v>
      </c>
      <c r="I1382" s="134">
        <v>0.16309000000000001</v>
      </c>
      <c r="J1382" s="145"/>
      <c r="K1382" s="145"/>
      <c r="L1382" s="145"/>
      <c r="M1382" s="145"/>
      <c r="N1382" s="145"/>
      <c r="O1382" s="145"/>
      <c r="P1382" s="145"/>
      <c r="Q1382" s="145"/>
      <c r="R1382" s="145"/>
      <c r="S1382" s="145"/>
      <c r="T1382" s="135">
        <v>15434</v>
      </c>
      <c r="U1382" s="145"/>
      <c r="V1382" s="134" t="s">
        <v>563</v>
      </c>
      <c r="W1382" s="92" t="str">
        <f t="shared" si="101"/>
        <v>Salvador Gadalon,Francisco</v>
      </c>
      <c r="X1382" s="95">
        <f t="shared" si="102"/>
        <v>4</v>
      </c>
      <c r="Y1382" s="95">
        <f t="shared" si="103"/>
        <v>2022</v>
      </c>
      <c r="Z1382" s="136" t="s">
        <v>266</v>
      </c>
      <c r="AA1382" t="str">
        <f>IF(Tabla1[[#This Row],[Kerma en aire acumulada (Gy)]]&gt;1,SUMIF(G:G,Tabla1[[#This Row],[SIP]],I:I)-Tabla1[[#This Row],[Kerma en aire acumulada (Gy)]],"")</f>
        <v/>
      </c>
    </row>
    <row r="1383" spans="3:27">
      <c r="C1383" s="147" t="s">
        <v>1088</v>
      </c>
      <c r="D1383" s="134" t="s">
        <v>2556</v>
      </c>
      <c r="E1383" s="134" t="s">
        <v>1762</v>
      </c>
      <c r="F1383" s="134" t="s">
        <v>2557</v>
      </c>
      <c r="G1383" s="134">
        <v>2289359</v>
      </c>
      <c r="H1383" s="135">
        <v>44664</v>
      </c>
      <c r="I1383" s="134">
        <v>1.40232</v>
      </c>
      <c r="J1383" s="145"/>
      <c r="K1383" s="145"/>
      <c r="L1383" s="145"/>
      <c r="M1383" s="145"/>
      <c r="N1383" s="145"/>
      <c r="O1383" s="145"/>
      <c r="P1383" s="145"/>
      <c r="Q1383" s="145"/>
      <c r="R1383" s="145"/>
      <c r="S1383" s="145"/>
      <c r="T1383" s="135">
        <v>20848</v>
      </c>
      <c r="U1383" s="145"/>
      <c r="V1383" s="134" t="s">
        <v>563</v>
      </c>
      <c r="W1383" s="92" t="str">
        <f t="shared" si="101"/>
        <v>Labrada Santos,Cipriano</v>
      </c>
      <c r="X1383" s="95">
        <f t="shared" si="102"/>
        <v>4</v>
      </c>
      <c r="Y1383" s="95">
        <f t="shared" si="103"/>
        <v>2022</v>
      </c>
      <c r="Z1383" s="136" t="s">
        <v>266</v>
      </c>
      <c r="AA1383">
        <f>IF(Tabla1[[#This Row],[Kerma en aire acumulada (Gy)]]&gt;1,SUMIF(G:G,Tabla1[[#This Row],[SIP]],I:I)-Tabla1[[#This Row],[Kerma en aire acumulada (Gy)]],"")</f>
        <v>0</v>
      </c>
    </row>
    <row r="1384" spans="3:27">
      <c r="C1384" s="147" t="s">
        <v>1088</v>
      </c>
      <c r="D1384" s="134" t="s">
        <v>772</v>
      </c>
      <c r="E1384" s="134" t="s">
        <v>2558</v>
      </c>
      <c r="F1384" s="134" t="s">
        <v>1104</v>
      </c>
      <c r="G1384" s="134">
        <v>2407157</v>
      </c>
      <c r="H1384" s="135">
        <v>44664</v>
      </c>
      <c r="I1384" s="134">
        <v>8.8539999999999994E-2</v>
      </c>
      <c r="J1384" s="145"/>
      <c r="K1384" s="145"/>
      <c r="L1384" s="145"/>
      <c r="M1384" s="145"/>
      <c r="N1384" s="145"/>
      <c r="O1384" s="145"/>
      <c r="P1384" s="145"/>
      <c r="Q1384" s="145"/>
      <c r="R1384" s="145"/>
      <c r="S1384" s="145"/>
      <c r="T1384" s="135">
        <v>20537</v>
      </c>
      <c r="U1384" s="145"/>
      <c r="V1384" s="134" t="s">
        <v>563</v>
      </c>
      <c r="W1384" s="92" t="str">
        <f t="shared" si="101"/>
        <v>Sanchez Jover,Jose Luis</v>
      </c>
      <c r="X1384" s="95">
        <f t="shared" si="102"/>
        <v>4</v>
      </c>
      <c r="Y1384" s="95">
        <f t="shared" si="103"/>
        <v>2022</v>
      </c>
      <c r="Z1384" s="136" t="s">
        <v>266</v>
      </c>
      <c r="AA1384" t="str">
        <f>IF(Tabla1[[#This Row],[Kerma en aire acumulada (Gy)]]&gt;1,SUMIF(G:G,Tabla1[[#This Row],[SIP]],I:I)-Tabla1[[#This Row],[Kerma en aire acumulada (Gy)]],"")</f>
        <v/>
      </c>
    </row>
    <row r="1385" spans="3:27">
      <c r="C1385" s="147" t="s">
        <v>1088</v>
      </c>
      <c r="D1385" s="134" t="s">
        <v>2503</v>
      </c>
      <c r="E1385" s="134" t="s">
        <v>2504</v>
      </c>
      <c r="F1385" s="134" t="s">
        <v>2410</v>
      </c>
      <c r="G1385" s="134">
        <v>5411819</v>
      </c>
      <c r="H1385" s="135">
        <v>44664</v>
      </c>
      <c r="I1385" s="134">
        <v>1.60955</v>
      </c>
      <c r="J1385" s="145"/>
      <c r="K1385" s="145"/>
      <c r="L1385" s="145"/>
      <c r="M1385" s="145"/>
      <c r="N1385" s="145"/>
      <c r="O1385" s="145"/>
      <c r="P1385" s="145"/>
      <c r="Q1385" s="145"/>
      <c r="R1385" s="145"/>
      <c r="S1385" s="145"/>
      <c r="T1385" s="135">
        <v>18768</v>
      </c>
      <c r="U1385" s="145"/>
      <c r="V1385" s="134" t="s">
        <v>563</v>
      </c>
      <c r="W1385" s="92" t="str">
        <f t="shared" si="101"/>
        <v>Mor Galve,Jose Maria</v>
      </c>
      <c r="X1385" s="95">
        <f t="shared" si="102"/>
        <v>4</v>
      </c>
      <c r="Y1385" s="95">
        <f t="shared" si="103"/>
        <v>2022</v>
      </c>
      <c r="Z1385" s="136" t="s">
        <v>266</v>
      </c>
      <c r="AA1385">
        <f>IF(Tabla1[[#This Row],[Kerma en aire acumulada (Gy)]]&gt;1,SUMIF(G:G,Tabla1[[#This Row],[SIP]],I:I)-Tabla1[[#This Row],[Kerma en aire acumulada (Gy)]],"")</f>
        <v>0.21432999999999991</v>
      </c>
    </row>
    <row r="1386" spans="3:27">
      <c r="C1386" s="147" t="s">
        <v>1088</v>
      </c>
      <c r="D1386" s="134" t="s">
        <v>948</v>
      </c>
      <c r="E1386" s="134" t="s">
        <v>2604</v>
      </c>
      <c r="F1386" s="134" t="s">
        <v>2605</v>
      </c>
      <c r="G1386" s="134">
        <v>4741591</v>
      </c>
      <c r="H1386" s="135">
        <v>44664</v>
      </c>
      <c r="I1386" s="134"/>
      <c r="J1386" s="145"/>
      <c r="K1386" s="145"/>
      <c r="L1386" s="145"/>
      <c r="M1386" s="145"/>
      <c r="N1386" s="145"/>
      <c r="O1386" s="145"/>
      <c r="P1386" s="145"/>
      <c r="Q1386" s="145"/>
      <c r="R1386" s="145"/>
      <c r="S1386" s="145"/>
      <c r="T1386" s="135">
        <v>18768</v>
      </c>
      <c r="U1386" s="145"/>
      <c r="V1386" s="134" t="s">
        <v>563</v>
      </c>
      <c r="W1386" s="92" t="str">
        <f t="shared" ref="W1386:W1449" si="104">CONCATENATE(D1386,$A$591,E1386,",",F1386)</f>
        <v>Martinez Zapata,Ana Belen</v>
      </c>
      <c r="X1386" s="95">
        <f t="shared" ref="X1386:X1449" si="105">MONTH(H1386)</f>
        <v>4</v>
      </c>
      <c r="Y1386" s="95">
        <f t="shared" ref="Y1386:Y1449" si="106">YEAR(H1386)</f>
        <v>2022</v>
      </c>
      <c r="Z1386" s="136" t="s">
        <v>266</v>
      </c>
      <c r="AA1386" t="str">
        <f>IF(Tabla1[[#This Row],[Kerma en aire acumulada (Gy)]]&gt;1,SUMIF(G:G,Tabla1[[#This Row],[SIP]],I:I)-Tabla1[[#This Row],[Kerma en aire acumulada (Gy)]],"")</f>
        <v/>
      </c>
    </row>
    <row r="1387" spans="3:27">
      <c r="C1387" s="147" t="s">
        <v>1088</v>
      </c>
      <c r="D1387" s="134" t="s">
        <v>2606</v>
      </c>
      <c r="E1387" s="134" t="s">
        <v>2607</v>
      </c>
      <c r="F1387" s="134" t="s">
        <v>2608</v>
      </c>
      <c r="G1387" s="134">
        <v>1866776</v>
      </c>
      <c r="H1387" s="135">
        <v>44664</v>
      </c>
      <c r="I1387" s="134">
        <v>0.19126000000000001</v>
      </c>
      <c r="J1387" s="145"/>
      <c r="K1387" s="145"/>
      <c r="L1387" s="145"/>
      <c r="M1387" s="145"/>
      <c r="N1387" s="145"/>
      <c r="O1387" s="145"/>
      <c r="P1387" s="145"/>
      <c r="Q1387" s="145"/>
      <c r="R1387" s="145"/>
      <c r="S1387" s="145"/>
      <c r="T1387" s="135">
        <v>27461</v>
      </c>
      <c r="U1387" s="145"/>
      <c r="V1387" s="134" t="s">
        <v>563</v>
      </c>
      <c r="W1387" s="92" t="str">
        <f t="shared" si="104"/>
        <v>Luz Del Saz,Carlos Javier</v>
      </c>
      <c r="X1387" s="95">
        <f t="shared" si="105"/>
        <v>4</v>
      </c>
      <c r="Y1387" s="95">
        <f t="shared" si="106"/>
        <v>2022</v>
      </c>
      <c r="Z1387" s="136" t="s">
        <v>266</v>
      </c>
      <c r="AA1387" t="str">
        <f>IF(Tabla1[[#This Row],[Kerma en aire acumulada (Gy)]]&gt;1,SUMIF(G:G,Tabla1[[#This Row],[SIP]],I:I)-Tabla1[[#This Row],[Kerma en aire acumulada (Gy)]],"")</f>
        <v/>
      </c>
    </row>
    <row r="1388" spans="3:27">
      <c r="C1388" s="147" t="s">
        <v>1088</v>
      </c>
      <c r="D1388" s="134" t="s">
        <v>2626</v>
      </c>
      <c r="E1388" s="134" t="s">
        <v>2627</v>
      </c>
      <c r="F1388" s="134" t="s">
        <v>2628</v>
      </c>
      <c r="G1388" s="134">
        <v>3733434</v>
      </c>
      <c r="H1388" s="135">
        <v>44664</v>
      </c>
      <c r="I1388" s="134">
        <v>2.504E-2</v>
      </c>
      <c r="J1388" s="145"/>
      <c r="K1388" s="145"/>
      <c r="L1388" s="145"/>
      <c r="M1388" s="145"/>
      <c r="N1388" s="145"/>
      <c r="O1388" s="145"/>
      <c r="P1388" s="145"/>
      <c r="Q1388" s="145"/>
      <c r="R1388" s="145"/>
      <c r="S1388" s="145"/>
      <c r="T1388" s="135">
        <v>30076</v>
      </c>
      <c r="U1388" s="145"/>
      <c r="V1388" s="134" t="s">
        <v>2241</v>
      </c>
      <c r="W1388" s="92" t="str">
        <f t="shared" si="104"/>
        <v>Barrera Molero,Ana Rosa</v>
      </c>
      <c r="X1388" s="95">
        <f t="shared" si="105"/>
        <v>4</v>
      </c>
      <c r="Y1388" s="95">
        <f t="shared" si="106"/>
        <v>2022</v>
      </c>
      <c r="Z1388" s="136" t="s">
        <v>2238</v>
      </c>
      <c r="AA1388" t="str">
        <f>IF(Tabla1[[#This Row],[Kerma en aire acumulada (Gy)]]&gt;1,SUMIF(G:G,Tabla1[[#This Row],[SIP]],I:I)-Tabla1[[#This Row],[Kerma en aire acumulada (Gy)]],"")</f>
        <v/>
      </c>
    </row>
    <row r="1389" spans="3:27">
      <c r="C1389" s="147" t="s">
        <v>1088</v>
      </c>
      <c r="D1389" s="134" t="s">
        <v>2629</v>
      </c>
      <c r="E1389" s="134" t="s">
        <v>948</v>
      </c>
      <c r="F1389" s="134" t="s">
        <v>294</v>
      </c>
      <c r="G1389" s="134">
        <v>3199750</v>
      </c>
      <c r="H1389" s="135">
        <v>44664</v>
      </c>
      <c r="I1389" s="134">
        <v>5.1909999999999998E-2</v>
      </c>
      <c r="J1389" s="145"/>
      <c r="K1389" s="145"/>
      <c r="L1389" s="145"/>
      <c r="M1389" s="145"/>
      <c r="N1389" s="145"/>
      <c r="O1389" s="145"/>
      <c r="P1389" s="145"/>
      <c r="Q1389" s="145"/>
      <c r="R1389" s="145"/>
      <c r="S1389" s="145"/>
      <c r="T1389" s="135">
        <v>20556</v>
      </c>
      <c r="U1389" s="145"/>
      <c r="V1389" s="134" t="s">
        <v>2408</v>
      </c>
      <c r="W1389" s="92" t="str">
        <f t="shared" si="104"/>
        <v>Serrano  Martinez,Lorenzo</v>
      </c>
      <c r="X1389" s="95">
        <f t="shared" si="105"/>
        <v>4</v>
      </c>
      <c r="Y1389" s="95">
        <f t="shared" si="106"/>
        <v>2022</v>
      </c>
      <c r="Z1389" s="136" t="s">
        <v>2238</v>
      </c>
      <c r="AA1389" t="str">
        <f>IF(Tabla1[[#This Row],[Kerma en aire acumulada (Gy)]]&gt;1,SUMIF(G:G,Tabla1[[#This Row],[SIP]],I:I)-Tabla1[[#This Row],[Kerma en aire acumulada (Gy)]],"")</f>
        <v/>
      </c>
    </row>
    <row r="1390" spans="3:27">
      <c r="C1390" s="147" t="s">
        <v>1088</v>
      </c>
      <c r="D1390" s="134" t="s">
        <v>1198</v>
      </c>
      <c r="E1390" s="134" t="s">
        <v>77</v>
      </c>
      <c r="F1390" s="134" t="s">
        <v>2600</v>
      </c>
      <c r="G1390" s="134">
        <v>3208501</v>
      </c>
      <c r="H1390" s="135">
        <v>44665</v>
      </c>
      <c r="I1390" s="134"/>
      <c r="J1390" s="145"/>
      <c r="K1390" s="145"/>
      <c r="L1390" s="145"/>
      <c r="M1390" s="145"/>
      <c r="N1390" s="145"/>
      <c r="O1390" s="145"/>
      <c r="P1390" s="145"/>
      <c r="Q1390" s="145"/>
      <c r="R1390" s="145"/>
      <c r="S1390" s="145"/>
      <c r="T1390" s="135">
        <v>16402</v>
      </c>
      <c r="U1390" s="145"/>
      <c r="V1390" s="134" t="s">
        <v>563</v>
      </c>
      <c r="W1390" s="92" t="str">
        <f t="shared" si="104"/>
        <v>Arnal Torres,augustin</v>
      </c>
      <c r="X1390" s="95">
        <f t="shared" si="105"/>
        <v>4</v>
      </c>
      <c r="Y1390" s="95">
        <f t="shared" si="106"/>
        <v>2022</v>
      </c>
      <c r="Z1390" s="136" t="s">
        <v>266</v>
      </c>
      <c r="AA1390" t="str">
        <f>IF(Tabla1[[#This Row],[Kerma en aire acumulada (Gy)]]&gt;1,SUMIF(G:G,Tabla1[[#This Row],[SIP]],I:I)-Tabla1[[#This Row],[Kerma en aire acumulada (Gy)]],"")</f>
        <v/>
      </c>
    </row>
    <row r="1391" spans="3:27">
      <c r="C1391" s="147" t="s">
        <v>1088</v>
      </c>
      <c r="D1391" s="134" t="s">
        <v>2601</v>
      </c>
      <c r="E1391" s="134" t="s">
        <v>2602</v>
      </c>
      <c r="F1391" s="134" t="s">
        <v>2603</v>
      </c>
      <c r="G1391" s="134">
        <v>6163590</v>
      </c>
      <c r="H1391" s="135">
        <v>44665</v>
      </c>
      <c r="I1391" s="134">
        <v>0.55861000000000005</v>
      </c>
      <c r="J1391" s="145"/>
      <c r="K1391" s="145"/>
      <c r="L1391" s="145"/>
      <c r="M1391" s="145"/>
      <c r="N1391" s="145"/>
      <c r="O1391" s="145"/>
      <c r="P1391" s="145"/>
      <c r="Q1391" s="145"/>
      <c r="R1391" s="145"/>
      <c r="S1391" s="145"/>
      <c r="T1391" s="135">
        <v>23550</v>
      </c>
      <c r="U1391" s="145"/>
      <c r="V1391" s="134" t="s">
        <v>563</v>
      </c>
      <c r="W1391" s="92" t="str">
        <f t="shared" si="104"/>
        <v>Kostapinov Georgiev,Parashkev</v>
      </c>
      <c r="X1391" s="95">
        <f t="shared" si="105"/>
        <v>4</v>
      </c>
      <c r="Y1391" s="95">
        <f t="shared" si="106"/>
        <v>2022</v>
      </c>
      <c r="Z1391" s="136" t="s">
        <v>266</v>
      </c>
      <c r="AA1391" t="str">
        <f>IF(Tabla1[[#This Row],[Kerma en aire acumulada (Gy)]]&gt;1,SUMIF(G:G,Tabla1[[#This Row],[SIP]],I:I)-Tabla1[[#This Row],[Kerma en aire acumulada (Gy)]],"")</f>
        <v/>
      </c>
    </row>
    <row r="1392" spans="3:27">
      <c r="C1392" s="147" t="s">
        <v>1088</v>
      </c>
      <c r="D1392" s="134" t="s">
        <v>2595</v>
      </c>
      <c r="E1392" s="134" t="s">
        <v>2596</v>
      </c>
      <c r="F1392" s="134" t="s">
        <v>1990</v>
      </c>
      <c r="G1392" s="134">
        <v>120967</v>
      </c>
      <c r="H1392" s="135">
        <v>44666</v>
      </c>
      <c r="I1392" s="134">
        <v>1.02006</v>
      </c>
      <c r="J1392" s="145"/>
      <c r="K1392" s="145"/>
      <c r="L1392" s="145"/>
      <c r="M1392" s="145"/>
      <c r="N1392" s="145"/>
      <c r="O1392" s="145"/>
      <c r="P1392" s="145"/>
      <c r="Q1392" s="145"/>
      <c r="R1392" s="145"/>
      <c r="S1392" s="145"/>
      <c r="T1392" s="135">
        <v>21325</v>
      </c>
      <c r="U1392" s="145"/>
      <c r="V1392" s="134" t="s">
        <v>563</v>
      </c>
      <c r="W1392" s="92" t="str">
        <f t="shared" si="104"/>
        <v>Duan Mangraner,Jose Ramon</v>
      </c>
      <c r="X1392" s="95">
        <f t="shared" si="105"/>
        <v>4</v>
      </c>
      <c r="Y1392" s="95">
        <f t="shared" si="106"/>
        <v>2022</v>
      </c>
      <c r="Z1392" s="136" t="s">
        <v>266</v>
      </c>
      <c r="AA1392">
        <f>IF(Tabla1[[#This Row],[Kerma en aire acumulada (Gy)]]&gt;1,SUMIF(G:G,Tabla1[[#This Row],[SIP]],I:I)-Tabla1[[#This Row],[Kerma en aire acumulada (Gy)]],"")</f>
        <v>0</v>
      </c>
    </row>
    <row r="1393" spans="3:27">
      <c r="C1393" s="147" t="s">
        <v>1088</v>
      </c>
      <c r="D1393" s="134" t="s">
        <v>2597</v>
      </c>
      <c r="E1393" s="134" t="s">
        <v>2598</v>
      </c>
      <c r="F1393" s="134" t="s">
        <v>2599</v>
      </c>
      <c r="G1393" s="134">
        <v>13473199</v>
      </c>
      <c r="H1393" s="135">
        <v>44666</v>
      </c>
      <c r="I1393" s="134">
        <v>0.18024999999999999</v>
      </c>
      <c r="J1393" s="145"/>
      <c r="K1393" s="145"/>
      <c r="L1393" s="145"/>
      <c r="M1393" s="145"/>
      <c r="N1393" s="145"/>
      <c r="O1393" s="145"/>
      <c r="P1393" s="145"/>
      <c r="Q1393" s="145"/>
      <c r="R1393" s="145"/>
      <c r="S1393" s="145"/>
      <c r="T1393" s="135">
        <v>27114</v>
      </c>
      <c r="U1393" s="145"/>
      <c r="V1393" s="134" t="s">
        <v>563</v>
      </c>
      <c r="W1393" s="92" t="str">
        <f t="shared" si="104"/>
        <v>Osorio Daurte Dias,Carlos Alberto</v>
      </c>
      <c r="X1393" s="95">
        <f t="shared" si="105"/>
        <v>4</v>
      </c>
      <c r="Y1393" s="95">
        <f t="shared" si="106"/>
        <v>2022</v>
      </c>
      <c r="Z1393" s="136" t="s">
        <v>266</v>
      </c>
      <c r="AA1393" t="str">
        <f>IF(Tabla1[[#This Row],[Kerma en aire acumulada (Gy)]]&gt;1,SUMIF(G:G,Tabla1[[#This Row],[SIP]],I:I)-Tabla1[[#This Row],[Kerma en aire acumulada (Gy)]],"")</f>
        <v/>
      </c>
    </row>
    <row r="1394" spans="3:27">
      <c r="C1394" s="147" t="s">
        <v>1088</v>
      </c>
      <c r="D1394" s="134" t="s">
        <v>2537</v>
      </c>
      <c r="E1394" s="134" t="s">
        <v>948</v>
      </c>
      <c r="F1394" s="134" t="s">
        <v>2538</v>
      </c>
      <c r="G1394" s="134">
        <v>2187229</v>
      </c>
      <c r="H1394" s="135">
        <v>44667</v>
      </c>
      <c r="I1394" s="134">
        <v>0.34444999999999998</v>
      </c>
      <c r="J1394" s="145"/>
      <c r="K1394" s="145"/>
      <c r="L1394" s="145"/>
      <c r="M1394" s="145"/>
      <c r="N1394" s="145"/>
      <c r="O1394" s="145"/>
      <c r="P1394" s="145"/>
      <c r="Q1394" s="145"/>
      <c r="R1394" s="145"/>
      <c r="S1394" s="145"/>
      <c r="T1394" s="135">
        <v>11501</v>
      </c>
      <c r="U1394" s="145"/>
      <c r="V1394" s="134" t="s">
        <v>107</v>
      </c>
      <c r="W1394" s="92" t="str">
        <f t="shared" si="104"/>
        <v>Aranega Martinez,Herminia</v>
      </c>
      <c r="X1394" s="95">
        <f t="shared" si="105"/>
        <v>4</v>
      </c>
      <c r="Y1394" s="95">
        <f t="shared" si="106"/>
        <v>2022</v>
      </c>
      <c r="Z1394" s="103" t="s">
        <v>265</v>
      </c>
      <c r="AA1394" t="str">
        <f>IF(Tabla1[[#This Row],[Kerma en aire acumulada (Gy)]]&gt;1,SUMIF(G:G,Tabla1[[#This Row],[SIP]],I:I)-Tabla1[[#This Row],[Kerma en aire acumulada (Gy)]],"")</f>
        <v/>
      </c>
    </row>
    <row r="1395" spans="3:27">
      <c r="C1395" s="147" t="s">
        <v>1088</v>
      </c>
      <c r="D1395" s="134" t="s">
        <v>144</v>
      </c>
      <c r="E1395" s="134" t="s">
        <v>948</v>
      </c>
      <c r="F1395" s="134" t="s">
        <v>1687</v>
      </c>
      <c r="G1395" s="134">
        <v>450015</v>
      </c>
      <c r="H1395" s="135">
        <v>44667</v>
      </c>
      <c r="I1395" s="134">
        <v>0.71243999999999996</v>
      </c>
      <c r="J1395" s="145"/>
      <c r="K1395" s="145"/>
      <c r="L1395" s="145"/>
      <c r="M1395" s="145"/>
      <c r="N1395" s="145"/>
      <c r="O1395" s="145"/>
      <c r="P1395" s="145"/>
      <c r="Q1395" s="145"/>
      <c r="R1395" s="145"/>
      <c r="S1395" s="145"/>
      <c r="T1395" s="135">
        <v>22715</v>
      </c>
      <c r="U1395" s="145"/>
      <c r="V1395" s="134" t="s">
        <v>563</v>
      </c>
      <c r="W1395" s="92" t="str">
        <f t="shared" si="104"/>
        <v>Botella Martinez,Jose Ignacio</v>
      </c>
      <c r="X1395" s="95">
        <f t="shared" si="105"/>
        <v>4</v>
      </c>
      <c r="Y1395" s="95">
        <f t="shared" si="106"/>
        <v>2022</v>
      </c>
      <c r="Z1395" s="136" t="s">
        <v>266</v>
      </c>
      <c r="AA1395" t="str">
        <f>IF(Tabla1[[#This Row],[Kerma en aire acumulada (Gy)]]&gt;1,SUMIF(G:G,Tabla1[[#This Row],[SIP]],I:I)-Tabla1[[#This Row],[Kerma en aire acumulada (Gy)]],"")</f>
        <v/>
      </c>
    </row>
    <row r="1396" spans="3:27">
      <c r="C1396" s="147" t="s">
        <v>1088</v>
      </c>
      <c r="D1396" s="134" t="s">
        <v>6</v>
      </c>
      <c r="E1396" s="134" t="s">
        <v>2594</v>
      </c>
      <c r="F1396" s="134" t="s">
        <v>2189</v>
      </c>
      <c r="G1396" s="134">
        <v>2219729</v>
      </c>
      <c r="H1396" s="135">
        <v>44667</v>
      </c>
      <c r="I1396" s="134"/>
      <c r="J1396" s="145"/>
      <c r="K1396" s="145"/>
      <c r="L1396" s="145"/>
      <c r="M1396" s="145"/>
      <c r="N1396" s="145"/>
      <c r="O1396" s="145"/>
      <c r="P1396" s="145"/>
      <c r="Q1396" s="145"/>
      <c r="R1396" s="145"/>
      <c r="S1396" s="145"/>
      <c r="T1396" s="135">
        <v>13565</v>
      </c>
      <c r="U1396" s="145"/>
      <c r="V1396" s="134" t="s">
        <v>563</v>
      </c>
      <c r="W1396" s="92" t="str">
        <f t="shared" si="104"/>
        <v>Ortega Espinosa,Juan Jose</v>
      </c>
      <c r="X1396" s="95">
        <f t="shared" si="105"/>
        <v>4</v>
      </c>
      <c r="Y1396" s="95">
        <f t="shared" si="106"/>
        <v>2022</v>
      </c>
      <c r="Z1396" s="136" t="s">
        <v>266</v>
      </c>
      <c r="AA1396" t="str">
        <f>IF(Tabla1[[#This Row],[Kerma en aire acumulada (Gy)]]&gt;1,SUMIF(G:G,Tabla1[[#This Row],[SIP]],I:I)-Tabla1[[#This Row],[Kerma en aire acumulada (Gy)]],"")</f>
        <v/>
      </c>
    </row>
    <row r="1397" spans="3:27">
      <c r="C1397" s="147" t="s">
        <v>1088</v>
      </c>
      <c r="D1397" s="134" t="s">
        <v>1945</v>
      </c>
      <c r="E1397" s="134" t="s">
        <v>1009</v>
      </c>
      <c r="F1397" s="134" t="s">
        <v>19</v>
      </c>
      <c r="G1397" s="134">
        <v>3173625</v>
      </c>
      <c r="H1397" s="135">
        <v>44668</v>
      </c>
      <c r="I1397" s="134">
        <v>0.58892999999999995</v>
      </c>
      <c r="J1397" s="145"/>
      <c r="K1397" s="145"/>
      <c r="L1397" s="145"/>
      <c r="M1397" s="145"/>
      <c r="N1397" s="145"/>
      <c r="O1397" s="145"/>
      <c r="P1397" s="145"/>
      <c r="Q1397" s="145"/>
      <c r="R1397" s="145"/>
      <c r="S1397" s="145"/>
      <c r="T1397" s="135">
        <v>11314</v>
      </c>
      <c r="U1397" s="145"/>
      <c r="V1397" s="134" t="s">
        <v>563</v>
      </c>
      <c r="W1397" s="92" t="str">
        <f t="shared" si="104"/>
        <v>Jorques Fernandez,Elvira</v>
      </c>
      <c r="X1397" s="95">
        <f t="shared" si="105"/>
        <v>4</v>
      </c>
      <c r="Y1397" s="95">
        <f t="shared" si="106"/>
        <v>2022</v>
      </c>
      <c r="Z1397" s="136" t="s">
        <v>266</v>
      </c>
      <c r="AA1397" t="str">
        <f>IF(Tabla1[[#This Row],[Kerma en aire acumulada (Gy)]]&gt;1,SUMIF(G:G,Tabla1[[#This Row],[SIP]],I:I)-Tabla1[[#This Row],[Kerma en aire acumulada (Gy)]],"")</f>
        <v/>
      </c>
    </row>
    <row r="1398" spans="3:27">
      <c r="C1398" s="147" t="s">
        <v>1088</v>
      </c>
      <c r="D1398" s="134" t="s">
        <v>2587</v>
      </c>
      <c r="E1398" s="134" t="s">
        <v>2588</v>
      </c>
      <c r="F1398" s="134" t="s">
        <v>2589</v>
      </c>
      <c r="G1398" s="134">
        <v>2963902</v>
      </c>
      <c r="H1398" s="135">
        <v>44668</v>
      </c>
      <c r="I1398" s="134">
        <v>0.39473999999999998</v>
      </c>
      <c r="J1398" s="145"/>
      <c r="K1398" s="145"/>
      <c r="L1398" s="145"/>
      <c r="M1398" s="145"/>
      <c r="N1398" s="145"/>
      <c r="O1398" s="145"/>
      <c r="P1398" s="145"/>
      <c r="Q1398" s="145"/>
      <c r="R1398" s="145"/>
      <c r="S1398" s="145"/>
      <c r="T1398" s="135">
        <v>23689</v>
      </c>
      <c r="U1398" s="145"/>
      <c r="V1398" s="134" t="s">
        <v>563</v>
      </c>
      <c r="W1398" s="92" t="str">
        <f t="shared" si="104"/>
        <v>Luque Rivert,Manuel Antonio</v>
      </c>
      <c r="X1398" s="95">
        <f t="shared" si="105"/>
        <v>4</v>
      </c>
      <c r="Y1398" s="95">
        <f t="shared" si="106"/>
        <v>2022</v>
      </c>
      <c r="Z1398" s="136" t="s">
        <v>266</v>
      </c>
      <c r="AA1398" t="str">
        <f>IF(Tabla1[[#This Row],[Kerma en aire acumulada (Gy)]]&gt;1,SUMIF(G:G,Tabla1[[#This Row],[SIP]],I:I)-Tabla1[[#This Row],[Kerma en aire acumulada (Gy)]],"")</f>
        <v/>
      </c>
    </row>
    <row r="1399" spans="3:27">
      <c r="C1399" s="147" t="s">
        <v>1088</v>
      </c>
      <c r="D1399" s="134" t="s">
        <v>2590</v>
      </c>
      <c r="E1399" s="134" t="s">
        <v>319</v>
      </c>
      <c r="F1399" s="134" t="s">
        <v>2591</v>
      </c>
      <c r="G1399" s="134">
        <v>2971625</v>
      </c>
      <c r="H1399" s="135">
        <v>44668</v>
      </c>
      <c r="I1399" s="134">
        <v>0.21997</v>
      </c>
      <c r="J1399" s="145"/>
      <c r="K1399" s="145"/>
      <c r="L1399" s="145"/>
      <c r="M1399" s="145"/>
      <c r="N1399" s="145"/>
      <c r="O1399" s="145"/>
      <c r="P1399" s="145"/>
      <c r="Q1399" s="145"/>
      <c r="R1399" s="145"/>
      <c r="S1399" s="145"/>
      <c r="T1399" s="135">
        <v>24735</v>
      </c>
      <c r="U1399" s="145"/>
      <c r="V1399" s="134" t="s">
        <v>563</v>
      </c>
      <c r="W1399" s="92" t="str">
        <f t="shared" si="104"/>
        <v>Sanso Gonzalez,Juan Jesus</v>
      </c>
      <c r="X1399" s="95">
        <f t="shared" si="105"/>
        <v>4</v>
      </c>
      <c r="Y1399" s="95">
        <f t="shared" si="106"/>
        <v>2022</v>
      </c>
      <c r="Z1399" s="136" t="s">
        <v>266</v>
      </c>
      <c r="AA1399" t="str">
        <f>IF(Tabla1[[#This Row],[Kerma en aire acumulada (Gy)]]&gt;1,SUMIF(G:G,Tabla1[[#This Row],[SIP]],I:I)-Tabla1[[#This Row],[Kerma en aire acumulada (Gy)]],"")</f>
        <v/>
      </c>
    </row>
    <row r="1400" spans="3:27">
      <c r="C1400" s="147" t="s">
        <v>1088</v>
      </c>
      <c r="D1400" s="134" t="s">
        <v>2583</v>
      </c>
      <c r="E1400" s="134" t="s">
        <v>2584</v>
      </c>
      <c r="F1400" s="134" t="s">
        <v>267</v>
      </c>
      <c r="G1400" s="134">
        <v>158920</v>
      </c>
      <c r="H1400" s="135">
        <v>44669</v>
      </c>
      <c r="I1400" s="134">
        <v>0.32569999999999999</v>
      </c>
      <c r="J1400" s="145"/>
      <c r="K1400" s="145"/>
      <c r="L1400" s="145"/>
      <c r="M1400" s="145"/>
      <c r="N1400" s="145"/>
      <c r="O1400" s="145"/>
      <c r="P1400" s="145"/>
      <c r="Q1400" s="145"/>
      <c r="R1400" s="145"/>
      <c r="S1400" s="145"/>
      <c r="T1400" s="135">
        <v>44669</v>
      </c>
      <c r="U1400" s="145"/>
      <c r="V1400" s="134" t="s">
        <v>563</v>
      </c>
      <c r="W1400" s="92" t="str">
        <f t="shared" si="104"/>
        <v>Sancasto Colecha,Felix</v>
      </c>
      <c r="X1400" s="95">
        <f t="shared" si="105"/>
        <v>4</v>
      </c>
      <c r="Y1400" s="95">
        <f t="shared" si="106"/>
        <v>2022</v>
      </c>
      <c r="Z1400" s="136" t="s">
        <v>266</v>
      </c>
      <c r="AA1400" t="str">
        <f>IF(Tabla1[[#This Row],[Kerma en aire acumulada (Gy)]]&gt;1,SUMIF(G:G,Tabla1[[#This Row],[SIP]],I:I)-Tabla1[[#This Row],[Kerma en aire acumulada (Gy)]],"")</f>
        <v/>
      </c>
    </row>
    <row r="1401" spans="3:27">
      <c r="C1401" s="147" t="s">
        <v>1088</v>
      </c>
      <c r="D1401" s="134" t="s">
        <v>772</v>
      </c>
      <c r="E1401" s="134" t="s">
        <v>2585</v>
      </c>
      <c r="F1401" s="134" t="s">
        <v>83</v>
      </c>
      <c r="G1401" s="134">
        <v>50748</v>
      </c>
      <c r="H1401" s="135">
        <v>44669</v>
      </c>
      <c r="I1401" s="134">
        <v>0.13286000000000001</v>
      </c>
      <c r="J1401" s="145"/>
      <c r="K1401" s="145"/>
      <c r="L1401" s="145"/>
      <c r="M1401" s="145"/>
      <c r="N1401" s="145"/>
      <c r="O1401" s="145"/>
      <c r="P1401" s="145"/>
      <c r="Q1401" s="145"/>
      <c r="R1401" s="145"/>
      <c r="S1401" s="145"/>
      <c r="T1401" s="135">
        <v>23400</v>
      </c>
      <c r="U1401" s="145"/>
      <c r="V1401" s="134" t="s">
        <v>563</v>
      </c>
      <c r="W1401" s="92" t="str">
        <f t="shared" si="104"/>
        <v>Sanchez Navalon,Francisco</v>
      </c>
      <c r="X1401" s="95">
        <f t="shared" si="105"/>
        <v>4</v>
      </c>
      <c r="Y1401" s="95">
        <f t="shared" si="106"/>
        <v>2022</v>
      </c>
      <c r="Z1401" s="136" t="s">
        <v>266</v>
      </c>
      <c r="AA1401" t="str">
        <f>IF(Tabla1[[#This Row],[Kerma en aire acumulada (Gy)]]&gt;1,SUMIF(G:G,Tabla1[[#This Row],[SIP]],I:I)-Tabla1[[#This Row],[Kerma en aire acumulada (Gy)]],"")</f>
        <v/>
      </c>
    </row>
    <row r="1402" spans="3:27">
      <c r="C1402" s="147" t="s">
        <v>1088</v>
      </c>
      <c r="D1402" s="134" t="s">
        <v>353</v>
      </c>
      <c r="E1402" s="134" t="s">
        <v>1001</v>
      </c>
      <c r="F1402" s="134" t="s">
        <v>2586</v>
      </c>
      <c r="G1402" s="134">
        <v>10091337</v>
      </c>
      <c r="H1402" s="135">
        <v>44669</v>
      </c>
      <c r="I1402" s="134">
        <v>0.21526000000000001</v>
      </c>
      <c r="J1402" s="145"/>
      <c r="K1402" s="145"/>
      <c r="L1402" s="145"/>
      <c r="M1402" s="145"/>
      <c r="N1402" s="145"/>
      <c r="O1402" s="145"/>
      <c r="P1402" s="145"/>
      <c r="Q1402" s="145"/>
      <c r="R1402" s="145"/>
      <c r="S1402" s="145"/>
      <c r="T1402" s="135">
        <v>18756</v>
      </c>
      <c r="U1402" s="145"/>
      <c r="V1402" s="134" t="s">
        <v>563</v>
      </c>
      <c r="W1402" s="92" t="str">
        <f t="shared" si="104"/>
        <v>Muñoz Perez,Maria del Pilar</v>
      </c>
      <c r="X1402" s="95">
        <f t="shared" si="105"/>
        <v>4</v>
      </c>
      <c r="Y1402" s="95">
        <f t="shared" si="106"/>
        <v>2022</v>
      </c>
      <c r="Z1402" s="136" t="s">
        <v>266</v>
      </c>
      <c r="AA1402" t="str">
        <f>IF(Tabla1[[#This Row],[Kerma en aire acumulada (Gy)]]&gt;1,SUMIF(G:G,Tabla1[[#This Row],[SIP]],I:I)-Tabla1[[#This Row],[Kerma en aire acumulada (Gy)]],"")</f>
        <v/>
      </c>
    </row>
    <row r="1403" spans="3:27">
      <c r="C1403" s="147" t="s">
        <v>1088</v>
      </c>
      <c r="D1403" s="134" t="s">
        <v>2516</v>
      </c>
      <c r="E1403" s="134" t="s">
        <v>2092</v>
      </c>
      <c r="F1403" s="134" t="s">
        <v>831</v>
      </c>
      <c r="G1403" s="134">
        <v>2407977</v>
      </c>
      <c r="H1403" s="135">
        <v>44670</v>
      </c>
      <c r="I1403" s="134">
        <v>8.3400000000000002E-3</v>
      </c>
      <c r="J1403" s="145"/>
      <c r="K1403" s="145"/>
      <c r="L1403" s="145"/>
      <c r="M1403" s="145"/>
      <c r="N1403" s="145"/>
      <c r="O1403" s="145"/>
      <c r="P1403" s="145"/>
      <c r="Q1403" s="145"/>
      <c r="R1403" s="145"/>
      <c r="S1403" s="145"/>
      <c r="T1403" s="135">
        <v>23120</v>
      </c>
      <c r="U1403" s="145"/>
      <c r="V1403" s="134" t="s">
        <v>1312</v>
      </c>
      <c r="W1403" s="92" t="str">
        <f t="shared" si="104"/>
        <v>Ibar Franco,Encarnación</v>
      </c>
      <c r="X1403" s="95">
        <f t="shared" si="105"/>
        <v>4</v>
      </c>
      <c r="Y1403" s="95">
        <f t="shared" si="106"/>
        <v>2022</v>
      </c>
      <c r="Z1403" s="103" t="s">
        <v>265</v>
      </c>
      <c r="AA1403" t="str">
        <f>IF(Tabla1[[#This Row],[Kerma en aire acumulada (Gy)]]&gt;1,SUMIF(G:G,Tabla1[[#This Row],[SIP]],I:I)-Tabla1[[#This Row],[Kerma en aire acumulada (Gy)]],"")</f>
        <v/>
      </c>
    </row>
    <row r="1404" spans="3:27">
      <c r="C1404" s="147" t="s">
        <v>1088</v>
      </c>
      <c r="D1404" s="134" t="s">
        <v>353</v>
      </c>
      <c r="E1404" s="134" t="s">
        <v>2517</v>
      </c>
      <c r="F1404" s="134" t="s">
        <v>2518</v>
      </c>
      <c r="G1404" s="134">
        <v>2406339</v>
      </c>
      <c r="H1404" s="135">
        <v>44670</v>
      </c>
      <c r="I1404" s="134">
        <v>2.0119999999999999E-2</v>
      </c>
      <c r="J1404" s="145"/>
      <c r="K1404" s="145"/>
      <c r="L1404" s="145"/>
      <c r="M1404" s="145"/>
      <c r="N1404" s="145"/>
      <c r="O1404" s="145"/>
      <c r="P1404" s="145"/>
      <c r="Q1404" s="145"/>
      <c r="R1404" s="145"/>
      <c r="S1404" s="145"/>
      <c r="T1404" s="135">
        <v>16705</v>
      </c>
      <c r="U1404" s="145"/>
      <c r="V1404" s="134" t="s">
        <v>1304</v>
      </c>
      <c r="W1404" s="92" t="str">
        <f t="shared" si="104"/>
        <v>Muñoz Gaulia,Amelia Maria</v>
      </c>
      <c r="X1404" s="95">
        <f t="shared" si="105"/>
        <v>4</v>
      </c>
      <c r="Y1404" s="95">
        <f t="shared" si="106"/>
        <v>2022</v>
      </c>
      <c r="Z1404" s="103" t="s">
        <v>265</v>
      </c>
      <c r="AA1404" t="str">
        <f>IF(Tabla1[[#This Row],[Kerma en aire acumulada (Gy)]]&gt;1,SUMIF(G:G,Tabla1[[#This Row],[SIP]],I:I)-Tabla1[[#This Row],[Kerma en aire acumulada (Gy)]],"")</f>
        <v/>
      </c>
    </row>
    <row r="1405" spans="3:27">
      <c r="C1405" s="147" t="s">
        <v>1088</v>
      </c>
      <c r="D1405" s="134" t="s">
        <v>1287</v>
      </c>
      <c r="E1405" s="134" t="s">
        <v>1288</v>
      </c>
      <c r="F1405" s="134" t="s">
        <v>82</v>
      </c>
      <c r="G1405" s="134">
        <v>2849235</v>
      </c>
      <c r="H1405" s="135">
        <v>44670</v>
      </c>
      <c r="I1405" s="134">
        <v>0.127</v>
      </c>
      <c r="J1405" s="145"/>
      <c r="K1405" s="145"/>
      <c r="L1405" s="145"/>
      <c r="M1405" s="145"/>
      <c r="N1405" s="145"/>
      <c r="O1405" s="145"/>
      <c r="P1405" s="145"/>
      <c r="Q1405" s="145"/>
      <c r="R1405" s="145"/>
      <c r="S1405" s="145"/>
      <c r="T1405" s="135">
        <v>19135</v>
      </c>
      <c r="U1405" s="145"/>
      <c r="V1405" s="134" t="s">
        <v>541</v>
      </c>
      <c r="W1405" s="92" t="str">
        <f t="shared" si="104"/>
        <v>Huesca Castello,Pascual</v>
      </c>
      <c r="X1405" s="95">
        <f t="shared" si="105"/>
        <v>4</v>
      </c>
      <c r="Y1405" s="95">
        <f t="shared" si="106"/>
        <v>2022</v>
      </c>
      <c r="Z1405" s="103" t="s">
        <v>265</v>
      </c>
      <c r="AA1405" t="str">
        <f>IF(Tabla1[[#This Row],[Kerma en aire acumulada (Gy)]]&gt;1,SUMIF(G:G,Tabla1[[#This Row],[SIP]],I:I)-Tabla1[[#This Row],[Kerma en aire acumulada (Gy)]],"")</f>
        <v/>
      </c>
    </row>
    <row r="1406" spans="3:27">
      <c r="C1406" s="147" t="s">
        <v>1088</v>
      </c>
      <c r="D1406" s="134" t="s">
        <v>2533</v>
      </c>
      <c r="E1406" s="134" t="s">
        <v>1261</v>
      </c>
      <c r="F1406" s="134" t="s">
        <v>2534</v>
      </c>
      <c r="G1406" s="134">
        <v>3142380</v>
      </c>
      <c r="H1406" s="135">
        <v>44670</v>
      </c>
      <c r="I1406" s="134">
        <v>0.83021999999999996</v>
      </c>
      <c r="J1406" s="145"/>
      <c r="K1406" s="145"/>
      <c r="L1406" s="145"/>
      <c r="M1406" s="145"/>
      <c r="N1406" s="145"/>
      <c r="O1406" s="145"/>
      <c r="P1406" s="145"/>
      <c r="Q1406" s="145"/>
      <c r="R1406" s="145"/>
      <c r="S1406" s="145"/>
      <c r="T1406" s="135">
        <v>12452</v>
      </c>
      <c r="U1406" s="145"/>
      <c r="V1406" s="134" t="s">
        <v>1233</v>
      </c>
      <c r="W1406" s="92" t="str">
        <f t="shared" si="104"/>
        <v>Dobon Hernandez,Purificación</v>
      </c>
      <c r="X1406" s="95">
        <f t="shared" si="105"/>
        <v>4</v>
      </c>
      <c r="Y1406" s="95">
        <f t="shared" si="106"/>
        <v>2022</v>
      </c>
      <c r="Z1406" s="103" t="s">
        <v>265</v>
      </c>
      <c r="AA1406" t="str">
        <f>IF(Tabla1[[#This Row],[Kerma en aire acumulada (Gy)]]&gt;1,SUMIF(G:G,Tabla1[[#This Row],[SIP]],I:I)-Tabla1[[#This Row],[Kerma en aire acumulada (Gy)]],"")</f>
        <v/>
      </c>
    </row>
    <row r="1407" spans="3:27">
      <c r="C1407" s="147" t="s">
        <v>1088</v>
      </c>
      <c r="D1407" s="134" t="s">
        <v>985</v>
      </c>
      <c r="E1407" s="134" t="s">
        <v>2535</v>
      </c>
      <c r="F1407" s="134" t="s">
        <v>2536</v>
      </c>
      <c r="G1407" s="134">
        <v>2984880</v>
      </c>
      <c r="H1407" s="135">
        <v>44670</v>
      </c>
      <c r="I1407" s="134">
        <v>0.34605000000000002</v>
      </c>
      <c r="J1407" s="145"/>
      <c r="K1407" s="145"/>
      <c r="L1407" s="145"/>
      <c r="M1407" s="145"/>
      <c r="N1407" s="145"/>
      <c r="O1407" s="145"/>
      <c r="P1407" s="145"/>
      <c r="Q1407" s="145"/>
      <c r="R1407" s="145"/>
      <c r="S1407" s="145"/>
      <c r="T1407" s="135">
        <v>21262</v>
      </c>
      <c r="U1407" s="145"/>
      <c r="V1407" s="134" t="s">
        <v>1293</v>
      </c>
      <c r="W1407" s="92" t="str">
        <f t="shared" si="104"/>
        <v>Plaza Ramal,Guillermina</v>
      </c>
      <c r="X1407" s="95">
        <f t="shared" si="105"/>
        <v>4</v>
      </c>
      <c r="Y1407" s="95">
        <f t="shared" si="106"/>
        <v>2022</v>
      </c>
      <c r="Z1407" s="103" t="s">
        <v>265</v>
      </c>
      <c r="AA1407" t="str">
        <f>IF(Tabla1[[#This Row],[Kerma en aire acumulada (Gy)]]&gt;1,SUMIF(G:G,Tabla1[[#This Row],[SIP]],I:I)-Tabla1[[#This Row],[Kerma en aire acumulada (Gy)]],"")</f>
        <v/>
      </c>
    </row>
    <row r="1408" spans="3:27">
      <c r="C1408" s="147" t="s">
        <v>1088</v>
      </c>
      <c r="D1408" s="134" t="s">
        <v>856</v>
      </c>
      <c r="E1408" s="134" t="s">
        <v>2554</v>
      </c>
      <c r="F1408" s="134" t="s">
        <v>991</v>
      </c>
      <c r="G1408" s="134">
        <v>3292299</v>
      </c>
      <c r="H1408" s="135">
        <v>44670</v>
      </c>
      <c r="I1408" s="134"/>
      <c r="J1408" s="145"/>
      <c r="K1408" s="145"/>
      <c r="L1408" s="145"/>
      <c r="M1408" s="145"/>
      <c r="N1408" s="145"/>
      <c r="O1408" s="145"/>
      <c r="P1408" s="145"/>
      <c r="Q1408" s="145"/>
      <c r="R1408" s="145"/>
      <c r="S1408" s="145"/>
      <c r="T1408" s="135">
        <v>15542</v>
      </c>
      <c r="U1408" s="145"/>
      <c r="V1408" s="134" t="s">
        <v>563</v>
      </c>
      <c r="W1408" s="92" t="str">
        <f t="shared" si="104"/>
        <v>Gomez Ciborro,Jose</v>
      </c>
      <c r="X1408" s="95">
        <f t="shared" si="105"/>
        <v>4</v>
      </c>
      <c r="Y1408" s="95">
        <f t="shared" si="106"/>
        <v>2022</v>
      </c>
      <c r="Z1408" s="136" t="s">
        <v>266</v>
      </c>
      <c r="AA1408" t="str">
        <f>IF(Tabla1[[#This Row],[Kerma en aire acumulada (Gy)]]&gt;1,SUMIF(G:G,Tabla1[[#This Row],[SIP]],I:I)-Tabla1[[#This Row],[Kerma en aire acumulada (Gy)]],"")</f>
        <v/>
      </c>
    </row>
    <row r="1409" spans="3:27">
      <c r="C1409" s="147" t="s">
        <v>1088</v>
      </c>
      <c r="D1409" s="134" t="s">
        <v>2579</v>
      </c>
      <c r="E1409" s="134" t="s">
        <v>2579</v>
      </c>
      <c r="F1409" s="134" t="s">
        <v>131</v>
      </c>
      <c r="G1409" s="134">
        <v>2215474</v>
      </c>
      <c r="H1409" s="135">
        <v>44670</v>
      </c>
      <c r="I1409" s="134">
        <v>0.16106000000000001</v>
      </c>
      <c r="J1409" s="145"/>
      <c r="K1409" s="145"/>
      <c r="L1409" s="145"/>
      <c r="M1409" s="145"/>
      <c r="N1409" s="145"/>
      <c r="O1409" s="145"/>
      <c r="P1409" s="145"/>
      <c r="Q1409" s="145"/>
      <c r="R1409" s="145"/>
      <c r="S1409" s="145"/>
      <c r="T1409" s="135">
        <v>14627</v>
      </c>
      <c r="U1409" s="145"/>
      <c r="V1409" s="134" t="s">
        <v>563</v>
      </c>
      <c r="W1409" s="92" t="str">
        <f t="shared" si="104"/>
        <v>Millet Millet,Salvador</v>
      </c>
      <c r="X1409" s="95">
        <f t="shared" si="105"/>
        <v>4</v>
      </c>
      <c r="Y1409" s="95">
        <f t="shared" si="106"/>
        <v>2022</v>
      </c>
      <c r="Z1409" s="136" t="s">
        <v>266</v>
      </c>
      <c r="AA1409" t="str">
        <f>IF(Tabla1[[#This Row],[Kerma en aire acumulada (Gy)]]&gt;1,SUMIF(G:G,Tabla1[[#This Row],[SIP]],I:I)-Tabla1[[#This Row],[Kerma en aire acumulada (Gy)]],"")</f>
        <v/>
      </c>
    </row>
    <row r="1410" spans="3:27">
      <c r="C1410" s="147" t="s">
        <v>1088</v>
      </c>
      <c r="D1410" s="134" t="s">
        <v>336</v>
      </c>
      <c r="E1410" s="134" t="s">
        <v>1060</v>
      </c>
      <c r="F1410" s="134" t="s">
        <v>20</v>
      </c>
      <c r="G1410" s="134">
        <v>2605676</v>
      </c>
      <c r="H1410" s="135">
        <v>44670</v>
      </c>
      <c r="I1410" s="134"/>
      <c r="J1410" s="145"/>
      <c r="K1410" s="145"/>
      <c r="L1410" s="145"/>
      <c r="M1410" s="145"/>
      <c r="N1410" s="145"/>
      <c r="O1410" s="145"/>
      <c r="P1410" s="145"/>
      <c r="Q1410" s="145"/>
      <c r="R1410" s="145"/>
      <c r="S1410" s="145"/>
      <c r="T1410" s="135">
        <v>25175</v>
      </c>
      <c r="U1410" s="145"/>
      <c r="V1410" s="134" t="s">
        <v>563</v>
      </c>
      <c r="W1410" s="92" t="str">
        <f t="shared" si="104"/>
        <v>Mata Rubio,Antonio</v>
      </c>
      <c r="X1410" s="95">
        <f t="shared" si="105"/>
        <v>4</v>
      </c>
      <c r="Y1410" s="95">
        <f t="shared" si="106"/>
        <v>2022</v>
      </c>
      <c r="Z1410" s="136" t="s">
        <v>266</v>
      </c>
      <c r="AA1410" t="str">
        <f>IF(Tabla1[[#This Row],[Kerma en aire acumulada (Gy)]]&gt;1,SUMIF(G:G,Tabla1[[#This Row],[SIP]],I:I)-Tabla1[[#This Row],[Kerma en aire acumulada (Gy)]],"")</f>
        <v/>
      </c>
    </row>
    <row r="1411" spans="3:27">
      <c r="C1411" s="147" t="s">
        <v>1088</v>
      </c>
      <c r="D1411" s="134" t="s">
        <v>2580</v>
      </c>
      <c r="E1411" s="134" t="s">
        <v>948</v>
      </c>
      <c r="F1411" s="134" t="s">
        <v>2581</v>
      </c>
      <c r="G1411" s="134">
        <v>13472224</v>
      </c>
      <c r="H1411" s="135">
        <v>44670</v>
      </c>
      <c r="I1411" s="134"/>
      <c r="J1411" s="145"/>
      <c r="K1411" s="145"/>
      <c r="L1411" s="145"/>
      <c r="M1411" s="145"/>
      <c r="N1411" s="145"/>
      <c r="O1411" s="145"/>
      <c r="P1411" s="145"/>
      <c r="Q1411" s="145"/>
      <c r="R1411" s="145"/>
      <c r="S1411" s="145"/>
      <c r="T1411" s="135">
        <v>25788</v>
      </c>
      <c r="U1411" s="145"/>
      <c r="V1411" s="134" t="s">
        <v>563</v>
      </c>
      <c r="W1411" s="92" t="str">
        <f t="shared" si="104"/>
        <v>Chamarro Martinez,Jhony</v>
      </c>
      <c r="X1411" s="95">
        <f t="shared" si="105"/>
        <v>4</v>
      </c>
      <c r="Y1411" s="95">
        <f t="shared" si="106"/>
        <v>2022</v>
      </c>
      <c r="Z1411" s="136" t="s">
        <v>266</v>
      </c>
      <c r="AA1411" t="str">
        <f>IF(Tabla1[[#This Row],[Kerma en aire acumulada (Gy)]]&gt;1,SUMIF(G:G,Tabla1[[#This Row],[SIP]],I:I)-Tabla1[[#This Row],[Kerma en aire acumulada (Gy)]],"")</f>
        <v/>
      </c>
    </row>
    <row r="1412" spans="3:27">
      <c r="C1412" s="147" t="s">
        <v>1088</v>
      </c>
      <c r="D1412" s="134" t="s">
        <v>131</v>
      </c>
      <c r="E1412" s="134" t="s">
        <v>2582</v>
      </c>
      <c r="F1412" s="134" t="s">
        <v>83</v>
      </c>
      <c r="G1412" s="134">
        <v>2250505</v>
      </c>
      <c r="H1412" s="135">
        <v>44670</v>
      </c>
      <c r="I1412" s="150">
        <v>1.7011700000000001</v>
      </c>
      <c r="J1412" s="145"/>
      <c r="K1412" s="145"/>
      <c r="L1412" s="145"/>
      <c r="M1412" s="145"/>
      <c r="N1412" s="145"/>
      <c r="O1412" s="145"/>
      <c r="P1412" s="145"/>
      <c r="Q1412" s="145"/>
      <c r="R1412" s="145"/>
      <c r="S1412" s="145"/>
      <c r="T1412" s="135">
        <v>25661</v>
      </c>
      <c r="U1412" s="145"/>
      <c r="V1412" s="134" t="s">
        <v>563</v>
      </c>
      <c r="W1412" s="92" t="str">
        <f t="shared" si="104"/>
        <v>Salvador Gabaldon,Francisco</v>
      </c>
      <c r="X1412" s="95">
        <f t="shared" si="105"/>
        <v>4</v>
      </c>
      <c r="Y1412" s="95">
        <f t="shared" si="106"/>
        <v>2022</v>
      </c>
      <c r="Z1412" s="136" t="s">
        <v>266</v>
      </c>
      <c r="AA1412">
        <f>IF(Tabla1[[#This Row],[Kerma en aire acumulada (Gy)]]&gt;1,SUMIF(G:G,Tabla1[[#This Row],[SIP]],I:I)-Tabla1[[#This Row],[Kerma en aire acumulada (Gy)]],"")</f>
        <v>0.16308999999999996</v>
      </c>
    </row>
    <row r="1413" spans="3:27">
      <c r="C1413" s="147" t="s">
        <v>1088</v>
      </c>
      <c r="D1413" s="134" t="s">
        <v>148</v>
      </c>
      <c r="E1413" s="134" t="s">
        <v>1248</v>
      </c>
      <c r="F1413" s="134" t="s">
        <v>831</v>
      </c>
      <c r="G1413" s="134">
        <v>3168629</v>
      </c>
      <c r="H1413" s="135">
        <v>44670</v>
      </c>
      <c r="I1413" s="134">
        <v>1.9300000000000001E-3</v>
      </c>
      <c r="J1413" s="145"/>
      <c r="K1413" s="145"/>
      <c r="L1413" s="145"/>
      <c r="M1413" s="145"/>
      <c r="N1413" s="145"/>
      <c r="O1413" s="145"/>
      <c r="P1413" s="145"/>
      <c r="Q1413" s="145"/>
      <c r="R1413" s="145"/>
      <c r="S1413" s="145"/>
      <c r="T1413" s="135">
        <v>13338</v>
      </c>
      <c r="U1413" s="145"/>
      <c r="V1413" s="134" t="s">
        <v>2241</v>
      </c>
      <c r="W1413" s="92" t="str">
        <f t="shared" si="104"/>
        <v>Andreu Marti,Encarnación</v>
      </c>
      <c r="X1413" s="95">
        <f t="shared" si="105"/>
        <v>4</v>
      </c>
      <c r="Y1413" s="95">
        <f t="shared" si="106"/>
        <v>2022</v>
      </c>
      <c r="Z1413" s="136" t="s">
        <v>2238</v>
      </c>
      <c r="AA1413" t="str">
        <f>IF(Tabla1[[#This Row],[Kerma en aire acumulada (Gy)]]&gt;1,SUMIF(G:G,Tabla1[[#This Row],[SIP]],I:I)-Tabla1[[#This Row],[Kerma en aire acumulada (Gy)]],"")</f>
        <v/>
      </c>
    </row>
    <row r="1414" spans="3:27">
      <c r="C1414" s="147" t="s">
        <v>1088</v>
      </c>
      <c r="D1414" s="134" t="s">
        <v>1238</v>
      </c>
      <c r="E1414" s="134" t="s">
        <v>1001</v>
      </c>
      <c r="F1414" s="134" t="s">
        <v>2513</v>
      </c>
      <c r="G1414" s="134">
        <v>239932</v>
      </c>
      <c r="H1414" s="135">
        <v>44671</v>
      </c>
      <c r="I1414" s="134">
        <v>1.7700000000000001E-3</v>
      </c>
      <c r="J1414" s="145"/>
      <c r="K1414" s="145"/>
      <c r="L1414" s="145"/>
      <c r="M1414" s="145"/>
      <c r="N1414" s="145"/>
      <c r="O1414" s="145"/>
      <c r="P1414" s="145"/>
      <c r="Q1414" s="145"/>
      <c r="R1414" s="145"/>
      <c r="S1414" s="145"/>
      <c r="T1414" s="135">
        <v>29131</v>
      </c>
      <c r="U1414" s="145"/>
      <c r="V1414" s="134" t="s">
        <v>1312</v>
      </c>
      <c r="W1414" s="92" t="str">
        <f t="shared" si="104"/>
        <v>Angel Perez,Vanessa</v>
      </c>
      <c r="X1414" s="95">
        <f t="shared" si="105"/>
        <v>4</v>
      </c>
      <c r="Y1414" s="95">
        <f t="shared" si="106"/>
        <v>2022</v>
      </c>
      <c r="Z1414" s="103" t="s">
        <v>265</v>
      </c>
      <c r="AA1414" t="str">
        <f>IF(Tabla1[[#This Row],[Kerma en aire acumulada (Gy)]]&gt;1,SUMIF(G:G,Tabla1[[#This Row],[SIP]],I:I)-Tabla1[[#This Row],[Kerma en aire acumulada (Gy)]],"")</f>
        <v/>
      </c>
    </row>
    <row r="1415" spans="3:27">
      <c r="C1415" s="147" t="s">
        <v>1088</v>
      </c>
      <c r="D1415" s="134" t="s">
        <v>2514</v>
      </c>
      <c r="E1415" s="134"/>
      <c r="F1415" s="134" t="s">
        <v>2515</v>
      </c>
      <c r="G1415" s="134">
        <v>12223366</v>
      </c>
      <c r="H1415" s="135">
        <v>44671</v>
      </c>
      <c r="I1415" s="150">
        <v>6.8000000000000005E-4</v>
      </c>
      <c r="J1415" s="145"/>
      <c r="K1415" s="145"/>
      <c r="L1415" s="145"/>
      <c r="M1415" s="145"/>
      <c r="N1415" s="145"/>
      <c r="O1415" s="145"/>
      <c r="P1415" s="145"/>
      <c r="Q1415" s="145"/>
      <c r="R1415" s="145"/>
      <c r="S1415" s="145"/>
      <c r="T1415" s="135">
        <v>33616</v>
      </c>
      <c r="U1415" s="145"/>
      <c r="V1415" s="134" t="s">
        <v>1274</v>
      </c>
      <c r="W1415" s="92" t="str">
        <f t="shared" si="104"/>
        <v>Regalado ,Maria Lourdes</v>
      </c>
      <c r="X1415" s="95">
        <f t="shared" si="105"/>
        <v>4</v>
      </c>
      <c r="Y1415" s="95">
        <f t="shared" si="106"/>
        <v>2022</v>
      </c>
      <c r="Z1415" s="103" t="s">
        <v>265</v>
      </c>
      <c r="AA1415" t="str">
        <f>IF(Tabla1[[#This Row],[Kerma en aire acumulada (Gy)]]&gt;1,SUMIF(G:G,Tabla1[[#This Row],[SIP]],I:I)-Tabla1[[#This Row],[Kerma en aire acumulada (Gy)]],"")</f>
        <v/>
      </c>
    </row>
    <row r="1416" spans="3:27">
      <c r="C1416" s="147" t="s">
        <v>1088</v>
      </c>
      <c r="D1416" s="134" t="s">
        <v>962</v>
      </c>
      <c r="E1416" s="134" t="s">
        <v>2393</v>
      </c>
      <c r="F1416" s="134" t="s">
        <v>2553</v>
      </c>
      <c r="G1416" s="134">
        <v>6711897</v>
      </c>
      <c r="H1416" s="135">
        <v>44671</v>
      </c>
      <c r="I1416" s="134">
        <v>0.10063999999999999</v>
      </c>
      <c r="J1416" s="145"/>
      <c r="K1416" s="145"/>
      <c r="L1416" s="145"/>
      <c r="M1416" s="145"/>
      <c r="N1416" s="145"/>
      <c r="O1416" s="145"/>
      <c r="P1416" s="145"/>
      <c r="Q1416" s="145"/>
      <c r="R1416" s="145"/>
      <c r="S1416" s="145"/>
      <c r="T1416" s="135">
        <v>30276</v>
      </c>
      <c r="U1416" s="145"/>
      <c r="V1416" s="134" t="s">
        <v>563</v>
      </c>
      <c r="W1416" s="92" t="str">
        <f t="shared" si="104"/>
        <v>Garcia Castellanos,Wendy Yandira</v>
      </c>
      <c r="X1416" s="95">
        <f t="shared" si="105"/>
        <v>4</v>
      </c>
      <c r="Y1416" s="95">
        <f t="shared" si="106"/>
        <v>2022</v>
      </c>
      <c r="Z1416" s="136" t="s">
        <v>266</v>
      </c>
      <c r="AA1416" t="str">
        <f>IF(Tabla1[[#This Row],[Kerma en aire acumulada (Gy)]]&gt;1,SUMIF(G:G,Tabla1[[#This Row],[SIP]],I:I)-Tabla1[[#This Row],[Kerma en aire acumulada (Gy)]],"")</f>
        <v/>
      </c>
    </row>
    <row r="1417" spans="3:27">
      <c r="C1417" s="147" t="s">
        <v>1088</v>
      </c>
      <c r="D1417" s="134" t="s">
        <v>35</v>
      </c>
      <c r="E1417" s="134" t="s">
        <v>129</v>
      </c>
      <c r="F1417" s="134" t="s">
        <v>356</v>
      </c>
      <c r="G1417" s="134">
        <v>2419379</v>
      </c>
      <c r="H1417" s="135">
        <v>44671</v>
      </c>
      <c r="I1417" s="134">
        <v>0.99582000000000004</v>
      </c>
      <c r="J1417" s="145"/>
      <c r="K1417" s="145"/>
      <c r="L1417" s="145"/>
      <c r="M1417" s="145"/>
      <c r="N1417" s="145"/>
      <c r="O1417" s="145"/>
      <c r="P1417" s="145"/>
      <c r="Q1417" s="145"/>
      <c r="R1417" s="145"/>
      <c r="S1417" s="145"/>
      <c r="T1417" s="135">
        <v>19719</v>
      </c>
      <c r="U1417" s="145"/>
      <c r="V1417" s="134" t="s">
        <v>563</v>
      </c>
      <c r="W1417" s="92" t="str">
        <f t="shared" si="104"/>
        <v>Lozano Gallego,Manuel</v>
      </c>
      <c r="X1417" s="95">
        <f t="shared" si="105"/>
        <v>4</v>
      </c>
      <c r="Y1417" s="95">
        <f t="shared" si="106"/>
        <v>2022</v>
      </c>
      <c r="Z1417" s="136" t="s">
        <v>266</v>
      </c>
      <c r="AA1417" t="str">
        <f>IF(Tabla1[[#This Row],[Kerma en aire acumulada (Gy)]]&gt;1,SUMIF(G:G,Tabla1[[#This Row],[SIP]],I:I)-Tabla1[[#This Row],[Kerma en aire acumulada (Gy)]],"")</f>
        <v/>
      </c>
    </row>
    <row r="1418" spans="3:27">
      <c r="C1418" s="147" t="s">
        <v>1088</v>
      </c>
      <c r="D1418" s="134" t="s">
        <v>1721</v>
      </c>
      <c r="E1418" s="134" t="s">
        <v>1009</v>
      </c>
      <c r="F1418" s="134" t="s">
        <v>83</v>
      </c>
      <c r="G1418" s="134">
        <v>2484940</v>
      </c>
      <c r="H1418" s="135">
        <v>44671</v>
      </c>
      <c r="I1418" s="134">
        <v>0.27994999999999998</v>
      </c>
      <c r="J1418" s="145"/>
      <c r="K1418" s="145"/>
      <c r="L1418" s="145"/>
      <c r="M1418" s="145"/>
      <c r="N1418" s="145"/>
      <c r="O1418" s="145"/>
      <c r="P1418" s="145"/>
      <c r="Q1418" s="145"/>
      <c r="R1418" s="145"/>
      <c r="S1418" s="145"/>
      <c r="T1418" s="135">
        <v>12590</v>
      </c>
      <c r="U1418" s="145"/>
      <c r="V1418" s="134" t="s">
        <v>563</v>
      </c>
      <c r="W1418" s="92" t="str">
        <f t="shared" si="104"/>
        <v>Requena Fernandez,Francisco</v>
      </c>
      <c r="X1418" s="95">
        <f t="shared" si="105"/>
        <v>4</v>
      </c>
      <c r="Y1418" s="95">
        <f t="shared" si="106"/>
        <v>2022</v>
      </c>
      <c r="Z1418" s="136" t="s">
        <v>266</v>
      </c>
      <c r="AA1418" t="str">
        <f>IF(Tabla1[[#This Row],[Kerma en aire acumulada (Gy)]]&gt;1,SUMIF(G:G,Tabla1[[#This Row],[SIP]],I:I)-Tabla1[[#This Row],[Kerma en aire acumulada (Gy)]],"")</f>
        <v/>
      </c>
    </row>
    <row r="1419" spans="3:27">
      <c r="C1419" s="147" t="s">
        <v>1088</v>
      </c>
      <c r="D1419" s="134" t="s">
        <v>2087</v>
      </c>
      <c r="E1419" s="134" t="s">
        <v>2379</v>
      </c>
      <c r="F1419" s="134" t="s">
        <v>1213</v>
      </c>
      <c r="G1419" s="134">
        <v>2076555</v>
      </c>
      <c r="H1419" s="135">
        <v>44671</v>
      </c>
      <c r="I1419" s="134">
        <v>1.0109999999999999E-2</v>
      </c>
      <c r="J1419" s="145"/>
      <c r="K1419" s="145"/>
      <c r="L1419" s="145"/>
      <c r="M1419" s="145"/>
      <c r="N1419" s="145"/>
      <c r="O1419" s="145"/>
      <c r="P1419" s="145"/>
      <c r="Q1419" s="145"/>
      <c r="R1419" s="145"/>
      <c r="S1419" s="145"/>
      <c r="T1419" s="135">
        <v>26331</v>
      </c>
      <c r="U1419" s="145"/>
      <c r="V1419" s="134" t="s">
        <v>563</v>
      </c>
      <c r="W1419" s="92" t="str">
        <f t="shared" si="104"/>
        <v>Hidalgo Porras,Maria Isabel</v>
      </c>
      <c r="X1419" s="95">
        <f t="shared" si="105"/>
        <v>4</v>
      </c>
      <c r="Y1419" s="95">
        <f t="shared" si="106"/>
        <v>2022</v>
      </c>
      <c r="Z1419" s="136" t="s">
        <v>266</v>
      </c>
      <c r="AA1419" t="str">
        <f>IF(Tabla1[[#This Row],[Kerma en aire acumulada (Gy)]]&gt;1,SUMIF(G:G,Tabla1[[#This Row],[SIP]],I:I)-Tabla1[[#This Row],[Kerma en aire acumulada (Gy)]],"")</f>
        <v/>
      </c>
    </row>
    <row r="1420" spans="3:27">
      <c r="C1420" s="147" t="s">
        <v>1088</v>
      </c>
      <c r="D1420" s="134" t="s">
        <v>1930</v>
      </c>
      <c r="E1420" s="134" t="s">
        <v>1261</v>
      </c>
      <c r="F1420" s="134" t="s">
        <v>2578</v>
      </c>
      <c r="G1420" s="134">
        <v>8259161</v>
      </c>
      <c r="H1420" s="135">
        <v>44671</v>
      </c>
      <c r="I1420" s="134">
        <v>0.35914000000000001</v>
      </c>
      <c r="J1420" s="145"/>
      <c r="K1420" s="145"/>
      <c r="L1420" s="145"/>
      <c r="M1420" s="145"/>
      <c r="N1420" s="145"/>
      <c r="O1420" s="145"/>
      <c r="P1420" s="145"/>
      <c r="Q1420" s="145"/>
      <c r="R1420" s="145"/>
      <c r="S1420" s="145"/>
      <c r="T1420" s="135">
        <v>28469</v>
      </c>
      <c r="U1420" s="145"/>
      <c r="V1420" s="134" t="s">
        <v>563</v>
      </c>
      <c r="W1420" s="92" t="str">
        <f t="shared" si="104"/>
        <v>Medina Hernandez,Yorgui</v>
      </c>
      <c r="X1420" s="95">
        <f t="shared" si="105"/>
        <v>4</v>
      </c>
      <c r="Y1420" s="95">
        <f t="shared" si="106"/>
        <v>2022</v>
      </c>
      <c r="Z1420" s="136" t="s">
        <v>266</v>
      </c>
      <c r="AA1420" t="str">
        <f>IF(Tabla1[[#This Row],[Kerma en aire acumulada (Gy)]]&gt;1,SUMIF(G:G,Tabla1[[#This Row],[SIP]],I:I)-Tabla1[[#This Row],[Kerma en aire acumulada (Gy)]],"")</f>
        <v/>
      </c>
    </row>
    <row r="1421" spans="3:27">
      <c r="C1421" s="147" t="s">
        <v>1088</v>
      </c>
      <c r="D1421" s="134" t="s">
        <v>966</v>
      </c>
      <c r="E1421" s="134" t="s">
        <v>2625</v>
      </c>
      <c r="F1421" s="134" t="s">
        <v>68</v>
      </c>
      <c r="G1421" s="134">
        <v>3203529</v>
      </c>
      <c r="H1421" s="135">
        <v>44671</v>
      </c>
      <c r="I1421" s="134">
        <v>8.4640000000000007E-2</v>
      </c>
      <c r="J1421" s="145"/>
      <c r="K1421" s="145"/>
      <c r="L1421" s="145"/>
      <c r="M1421" s="145"/>
      <c r="N1421" s="145"/>
      <c r="O1421" s="145"/>
      <c r="P1421" s="145"/>
      <c r="Q1421" s="145"/>
      <c r="R1421" s="145"/>
      <c r="S1421" s="145"/>
      <c r="T1421" s="135">
        <v>16077</v>
      </c>
      <c r="U1421" s="145"/>
      <c r="V1421" s="134" t="s">
        <v>2241</v>
      </c>
      <c r="W1421" s="92" t="str">
        <f t="shared" si="104"/>
        <v>Marco Barat,Juan</v>
      </c>
      <c r="X1421" s="95">
        <f t="shared" si="105"/>
        <v>4</v>
      </c>
      <c r="Y1421" s="95">
        <f t="shared" si="106"/>
        <v>2022</v>
      </c>
      <c r="Z1421" s="136" t="s">
        <v>2238</v>
      </c>
      <c r="AA1421" t="str">
        <f>IF(Tabla1[[#This Row],[Kerma en aire acumulada (Gy)]]&gt;1,SUMIF(G:G,Tabla1[[#This Row],[SIP]],I:I)-Tabla1[[#This Row],[Kerma en aire acumulada (Gy)]],"")</f>
        <v/>
      </c>
    </row>
    <row r="1422" spans="3:27">
      <c r="C1422" s="147" t="s">
        <v>1088</v>
      </c>
      <c r="D1422" s="134" t="s">
        <v>937</v>
      </c>
      <c r="E1422" s="134" t="s">
        <v>1017</v>
      </c>
      <c r="F1422" s="134" t="s">
        <v>131</v>
      </c>
      <c r="G1422" s="134">
        <v>2363451</v>
      </c>
      <c r="H1422" s="135">
        <v>44671</v>
      </c>
      <c r="I1422" s="134">
        <v>0.44447999999999999</v>
      </c>
      <c r="J1422" s="145"/>
      <c r="K1422" s="145"/>
      <c r="L1422" s="145"/>
      <c r="M1422" s="145"/>
      <c r="N1422" s="145"/>
      <c r="O1422" s="145"/>
      <c r="P1422" s="145"/>
      <c r="Q1422" s="145"/>
      <c r="R1422" s="145"/>
      <c r="S1422" s="145"/>
      <c r="T1422" s="135">
        <v>26895</v>
      </c>
      <c r="U1422" s="145"/>
      <c r="V1422" s="134" t="s">
        <v>2241</v>
      </c>
      <c r="W1422" s="92" t="str">
        <f t="shared" si="104"/>
        <v>Sales Clemente,Salvador</v>
      </c>
      <c r="X1422" s="95">
        <f t="shared" si="105"/>
        <v>4</v>
      </c>
      <c r="Y1422" s="95">
        <f t="shared" si="106"/>
        <v>2022</v>
      </c>
      <c r="Z1422" s="136" t="s">
        <v>2238</v>
      </c>
      <c r="AA1422" t="str">
        <f>IF(Tabla1[[#This Row],[Kerma en aire acumulada (Gy)]]&gt;1,SUMIF(G:G,Tabla1[[#This Row],[SIP]],I:I)-Tabla1[[#This Row],[Kerma en aire acumulada (Gy)]],"")</f>
        <v/>
      </c>
    </row>
    <row r="1423" spans="3:27">
      <c r="C1423" s="147" t="s">
        <v>1088</v>
      </c>
      <c r="D1423" s="134" t="s">
        <v>1771</v>
      </c>
      <c r="E1423" s="134" t="s">
        <v>2638</v>
      </c>
      <c r="F1423" s="134" t="s">
        <v>2639</v>
      </c>
      <c r="G1423" s="134">
        <v>2299815</v>
      </c>
      <c r="H1423" s="135">
        <v>44672</v>
      </c>
      <c r="I1423" s="134">
        <v>1.6800000000000001E-3</v>
      </c>
      <c r="J1423" s="145"/>
      <c r="K1423" s="145"/>
      <c r="L1423" s="145"/>
      <c r="M1423" s="145"/>
      <c r="N1423" s="145"/>
      <c r="O1423" s="145"/>
      <c r="P1423" s="145"/>
      <c r="Q1423" s="145"/>
      <c r="R1423" s="145"/>
      <c r="S1423" s="145"/>
      <c r="T1423" s="135">
        <v>34975</v>
      </c>
      <c r="U1423" s="145"/>
      <c r="V1423" s="134" t="s">
        <v>1300</v>
      </c>
      <c r="W1423" s="92" t="str">
        <f t="shared" si="104"/>
        <v>Tomas Ureña,Sandra</v>
      </c>
      <c r="X1423" s="95">
        <f t="shared" si="105"/>
        <v>4</v>
      </c>
      <c r="Y1423" s="95">
        <f t="shared" si="106"/>
        <v>2022</v>
      </c>
      <c r="Z1423" s="103" t="s">
        <v>265</v>
      </c>
      <c r="AA1423" t="str">
        <f>IF(Tabla1[[#This Row],[Kerma en aire acumulada (Gy)]]&gt;1,SUMIF(G:G,Tabla1[[#This Row],[SIP]],I:I)-Tabla1[[#This Row],[Kerma en aire acumulada (Gy)]],"")</f>
        <v/>
      </c>
    </row>
    <row r="1424" spans="3:27">
      <c r="C1424" s="147" t="s">
        <v>1088</v>
      </c>
      <c r="D1424" s="134" t="s">
        <v>2640</v>
      </c>
      <c r="E1424" s="134" t="s">
        <v>2641</v>
      </c>
      <c r="F1424" s="134" t="s">
        <v>2642</v>
      </c>
      <c r="G1424" s="134">
        <v>13332680</v>
      </c>
      <c r="H1424" s="135">
        <v>44672</v>
      </c>
      <c r="I1424" s="134">
        <v>0.23891999999999999</v>
      </c>
      <c r="J1424" s="145"/>
      <c r="K1424" s="145"/>
      <c r="L1424" s="145"/>
      <c r="M1424" s="145"/>
      <c r="N1424" s="145"/>
      <c r="O1424" s="145"/>
      <c r="P1424" s="145"/>
      <c r="Q1424" s="145"/>
      <c r="R1424" s="145"/>
      <c r="S1424" s="145"/>
      <c r="T1424" s="135">
        <v>18696</v>
      </c>
      <c r="U1424" s="145"/>
      <c r="V1424" s="134" t="s">
        <v>509</v>
      </c>
      <c r="W1424" s="92" t="str">
        <f t="shared" si="104"/>
        <v>Mejia Donayre de Bartra,Judith Alina</v>
      </c>
      <c r="X1424" s="95">
        <f t="shared" si="105"/>
        <v>4</v>
      </c>
      <c r="Y1424" s="95">
        <f t="shared" si="106"/>
        <v>2022</v>
      </c>
      <c r="Z1424" s="103" t="s">
        <v>265</v>
      </c>
      <c r="AA1424" t="str">
        <f>IF(Tabla1[[#This Row],[Kerma en aire acumulada (Gy)]]&gt;1,SUMIF(G:G,Tabla1[[#This Row],[SIP]],I:I)-Tabla1[[#This Row],[Kerma en aire acumulada (Gy)]],"")</f>
        <v/>
      </c>
    </row>
    <row r="1425" spans="3:27">
      <c r="C1425" s="147" t="s">
        <v>1088</v>
      </c>
      <c r="D1425" s="134" t="s">
        <v>962</v>
      </c>
      <c r="E1425" s="134" t="s">
        <v>1056</v>
      </c>
      <c r="F1425" s="134" t="s">
        <v>1057</v>
      </c>
      <c r="G1425" s="134">
        <v>2862167</v>
      </c>
      <c r="H1425" s="135">
        <v>44672</v>
      </c>
      <c r="I1425" s="134">
        <v>0.26107999999999998</v>
      </c>
      <c r="J1425" s="145"/>
      <c r="K1425" s="145"/>
      <c r="L1425" s="145"/>
      <c r="M1425" s="145"/>
      <c r="N1425" s="145"/>
      <c r="O1425" s="145"/>
      <c r="P1425" s="145"/>
      <c r="Q1425" s="145"/>
      <c r="R1425" s="145"/>
      <c r="S1425" s="145"/>
      <c r="T1425" s="135">
        <v>17478</v>
      </c>
      <c r="U1425" s="145"/>
      <c r="V1425" s="134" t="s">
        <v>107</v>
      </c>
      <c r="W1425" s="92" t="str">
        <f t="shared" si="104"/>
        <v>Garcia Lorenzana,Emilio Ernesto</v>
      </c>
      <c r="X1425" s="95">
        <f t="shared" si="105"/>
        <v>4</v>
      </c>
      <c r="Y1425" s="95">
        <f t="shared" si="106"/>
        <v>2022</v>
      </c>
      <c r="Z1425" s="103" t="s">
        <v>265</v>
      </c>
      <c r="AA1425" t="str">
        <f>IF(Tabla1[[#This Row],[Kerma en aire acumulada (Gy)]]&gt;1,SUMIF(G:G,Tabla1[[#This Row],[SIP]],I:I)-Tabla1[[#This Row],[Kerma en aire acumulada (Gy)]],"")</f>
        <v/>
      </c>
    </row>
    <row r="1426" spans="3:27">
      <c r="C1426" s="147" t="s">
        <v>1088</v>
      </c>
      <c r="D1426" s="134" t="s">
        <v>962</v>
      </c>
      <c r="E1426" s="134" t="s">
        <v>1056</v>
      </c>
      <c r="F1426" s="134" t="s">
        <v>1057</v>
      </c>
      <c r="G1426" s="134">
        <v>2862167</v>
      </c>
      <c r="H1426" s="135">
        <v>44672</v>
      </c>
      <c r="I1426" s="134">
        <v>0.69981000000000004</v>
      </c>
      <c r="J1426" s="145"/>
      <c r="K1426" s="145"/>
      <c r="L1426" s="145"/>
      <c r="M1426" s="145"/>
      <c r="N1426" s="145"/>
      <c r="O1426" s="145"/>
      <c r="P1426" s="145"/>
      <c r="Q1426" s="145"/>
      <c r="R1426" s="145"/>
      <c r="S1426" s="145"/>
      <c r="T1426" s="135">
        <v>17478</v>
      </c>
      <c r="U1426" s="145"/>
      <c r="V1426" s="134" t="s">
        <v>550</v>
      </c>
      <c r="W1426" s="92" t="str">
        <f t="shared" si="104"/>
        <v>Garcia Lorenzana,Emilio Ernesto</v>
      </c>
      <c r="X1426" s="95">
        <f t="shared" si="105"/>
        <v>4</v>
      </c>
      <c r="Y1426" s="95">
        <f t="shared" si="106"/>
        <v>2022</v>
      </c>
      <c r="Z1426" s="103" t="s">
        <v>265</v>
      </c>
      <c r="AA1426" t="str">
        <f>IF(Tabla1[[#This Row],[Kerma en aire acumulada (Gy)]]&gt;1,SUMIF(G:G,Tabla1[[#This Row],[SIP]],I:I)-Tabla1[[#This Row],[Kerma en aire acumulada (Gy)]],"")</f>
        <v/>
      </c>
    </row>
    <row r="1427" spans="3:27">
      <c r="C1427" s="147" t="s">
        <v>1088</v>
      </c>
      <c r="D1427" s="134" t="s">
        <v>1003</v>
      </c>
      <c r="E1427" s="134" t="s">
        <v>772</v>
      </c>
      <c r="F1427" s="134" t="s">
        <v>356</v>
      </c>
      <c r="G1427" s="134">
        <v>2954054</v>
      </c>
      <c r="H1427" s="135">
        <v>44672</v>
      </c>
      <c r="I1427" s="134"/>
      <c r="J1427" s="145"/>
      <c r="K1427" s="145"/>
      <c r="L1427" s="145"/>
      <c r="M1427" s="145"/>
      <c r="N1427" s="145"/>
      <c r="O1427" s="145"/>
      <c r="P1427" s="145"/>
      <c r="Q1427" s="145"/>
      <c r="R1427" s="145"/>
      <c r="S1427" s="145"/>
      <c r="T1427" s="135">
        <v>28202</v>
      </c>
      <c r="U1427" s="145"/>
      <c r="V1427" s="134" t="s">
        <v>563</v>
      </c>
      <c r="W1427" s="92" t="str">
        <f t="shared" si="104"/>
        <v>Romero Sanchez,Manuel</v>
      </c>
      <c r="X1427" s="95">
        <f t="shared" si="105"/>
        <v>4</v>
      </c>
      <c r="Y1427" s="95">
        <f t="shared" si="106"/>
        <v>2022</v>
      </c>
      <c r="Z1427" s="103" t="s">
        <v>265</v>
      </c>
      <c r="AA1427" t="str">
        <f>IF(Tabla1[[#This Row],[Kerma en aire acumulada (Gy)]]&gt;1,SUMIF(G:G,Tabla1[[#This Row],[SIP]],I:I)-Tabla1[[#This Row],[Kerma en aire acumulada (Gy)]],"")</f>
        <v/>
      </c>
    </row>
    <row r="1428" spans="3:27">
      <c r="C1428" s="147" t="s">
        <v>1088</v>
      </c>
      <c r="D1428" s="134" t="s">
        <v>1227</v>
      </c>
      <c r="E1428" s="134" t="s">
        <v>2666</v>
      </c>
      <c r="F1428" s="134" t="s">
        <v>356</v>
      </c>
      <c r="G1428" s="134">
        <v>3522181</v>
      </c>
      <c r="H1428" s="135">
        <v>44672</v>
      </c>
      <c r="I1428" s="134"/>
      <c r="J1428" s="145"/>
      <c r="K1428" s="145"/>
      <c r="L1428" s="145"/>
      <c r="M1428" s="145"/>
      <c r="N1428" s="145"/>
      <c r="O1428" s="145"/>
      <c r="P1428" s="145"/>
      <c r="Q1428" s="145"/>
      <c r="R1428" s="145"/>
      <c r="S1428" s="145"/>
      <c r="T1428" s="135">
        <v>19541</v>
      </c>
      <c r="U1428" s="145"/>
      <c r="V1428" s="134" t="s">
        <v>563</v>
      </c>
      <c r="W1428" s="92" t="str">
        <f t="shared" si="104"/>
        <v>Galvez Pradas,Manuel</v>
      </c>
      <c r="X1428" s="95">
        <f t="shared" si="105"/>
        <v>4</v>
      </c>
      <c r="Y1428" s="95">
        <f t="shared" si="106"/>
        <v>2022</v>
      </c>
      <c r="Z1428" s="103" t="s">
        <v>265</v>
      </c>
      <c r="AA1428" t="str">
        <f>IF(Tabla1[[#This Row],[Kerma en aire acumulada (Gy)]]&gt;1,SUMIF(G:G,Tabla1[[#This Row],[SIP]],I:I)-Tabla1[[#This Row],[Kerma en aire acumulada (Gy)]],"")</f>
        <v/>
      </c>
    </row>
    <row r="1429" spans="3:27">
      <c r="C1429" s="147" t="s">
        <v>1088</v>
      </c>
      <c r="D1429" s="134" t="s">
        <v>2667</v>
      </c>
      <c r="E1429" s="134" t="s">
        <v>2668</v>
      </c>
      <c r="F1429" s="134" t="s">
        <v>2669</v>
      </c>
      <c r="G1429" s="150">
        <v>2700558</v>
      </c>
      <c r="H1429" s="135">
        <v>44672</v>
      </c>
      <c r="I1429" s="134">
        <v>0.17041999999999999</v>
      </c>
      <c r="J1429" s="145"/>
      <c r="K1429" s="145"/>
      <c r="L1429" s="145"/>
      <c r="M1429" s="145"/>
      <c r="N1429" s="145"/>
      <c r="O1429" s="145"/>
      <c r="P1429" s="145"/>
      <c r="Q1429" s="145"/>
      <c r="R1429" s="145"/>
      <c r="S1429" s="145"/>
      <c r="T1429" s="135">
        <v>27825</v>
      </c>
      <c r="U1429" s="145"/>
      <c r="V1429" s="134" t="s">
        <v>563</v>
      </c>
      <c r="W1429" s="92" t="str">
        <f t="shared" si="104"/>
        <v>Inductivo Abuyan,Alvin</v>
      </c>
      <c r="X1429" s="95">
        <f t="shared" si="105"/>
        <v>4</v>
      </c>
      <c r="Y1429" s="95">
        <f t="shared" si="106"/>
        <v>2022</v>
      </c>
      <c r="Z1429" s="103" t="s">
        <v>265</v>
      </c>
      <c r="AA1429" t="str">
        <f>IF(Tabla1[[#This Row],[Kerma en aire acumulada (Gy)]]&gt;1,SUMIF(G:G,Tabla1[[#This Row],[SIP]],I:I)-Tabla1[[#This Row],[Kerma en aire acumulada (Gy)]],"")</f>
        <v/>
      </c>
    </row>
    <row r="1430" spans="3:27">
      <c r="C1430" s="147" t="s">
        <v>1088</v>
      </c>
      <c r="D1430" s="134" t="s">
        <v>856</v>
      </c>
      <c r="E1430" s="134" t="s">
        <v>1271</v>
      </c>
      <c r="F1430" s="134" t="s">
        <v>1254</v>
      </c>
      <c r="G1430" s="134">
        <v>2425790</v>
      </c>
      <c r="H1430" s="135">
        <v>44672</v>
      </c>
      <c r="I1430" s="134">
        <v>0.21659</v>
      </c>
      <c r="J1430" s="145"/>
      <c r="K1430" s="145"/>
      <c r="L1430" s="145"/>
      <c r="M1430" s="145"/>
      <c r="N1430" s="145"/>
      <c r="O1430" s="145"/>
      <c r="P1430" s="145"/>
      <c r="Q1430" s="145"/>
      <c r="R1430" s="145"/>
      <c r="S1430" s="145"/>
      <c r="T1430" s="135">
        <v>30232</v>
      </c>
      <c r="U1430" s="145"/>
      <c r="V1430" s="134" t="s">
        <v>563</v>
      </c>
      <c r="W1430" s="92" t="str">
        <f t="shared" si="104"/>
        <v>Gomez Sierra,Elena</v>
      </c>
      <c r="X1430" s="95">
        <f t="shared" si="105"/>
        <v>4</v>
      </c>
      <c r="Y1430" s="95">
        <f t="shared" si="106"/>
        <v>2022</v>
      </c>
      <c r="Z1430" s="136" t="s">
        <v>266</v>
      </c>
      <c r="AA1430" t="str">
        <f>IF(Tabla1[[#This Row],[Kerma en aire acumulada (Gy)]]&gt;1,SUMIF(G:G,Tabla1[[#This Row],[SIP]],I:I)-Tabla1[[#This Row],[Kerma en aire acumulada (Gy)]],"")</f>
        <v/>
      </c>
    </row>
    <row r="1431" spans="3:27">
      <c r="C1431" s="147" t="s">
        <v>1088</v>
      </c>
      <c r="D1431" s="134" t="s">
        <v>29</v>
      </c>
      <c r="E1431" s="134" t="s">
        <v>1903</v>
      </c>
      <c r="F1431" s="134" t="s">
        <v>126</v>
      </c>
      <c r="G1431" s="134">
        <v>2398550</v>
      </c>
      <c r="H1431" s="135">
        <v>44672</v>
      </c>
      <c r="I1431" s="134">
        <v>0.14033999999999999</v>
      </c>
      <c r="J1431" s="145"/>
      <c r="K1431" s="145"/>
      <c r="L1431" s="145"/>
      <c r="M1431" s="145"/>
      <c r="N1431" s="145"/>
      <c r="O1431" s="145"/>
      <c r="P1431" s="145"/>
      <c r="Q1431" s="145"/>
      <c r="R1431" s="145"/>
      <c r="S1431" s="145"/>
      <c r="T1431" s="135">
        <v>16696</v>
      </c>
      <c r="U1431" s="145"/>
      <c r="V1431" s="134" t="s">
        <v>563</v>
      </c>
      <c r="W1431" s="92" t="str">
        <f t="shared" si="104"/>
        <v>Castro Herrera,Domingo</v>
      </c>
      <c r="X1431" s="95">
        <f t="shared" si="105"/>
        <v>4</v>
      </c>
      <c r="Y1431" s="95">
        <f t="shared" si="106"/>
        <v>2022</v>
      </c>
      <c r="Z1431" s="136" t="s">
        <v>266</v>
      </c>
      <c r="AA1431" t="str">
        <f>IF(Tabla1[[#This Row],[Kerma en aire acumulada (Gy)]]&gt;1,SUMIF(G:G,Tabla1[[#This Row],[SIP]],I:I)-Tabla1[[#This Row],[Kerma en aire acumulada (Gy)]],"")</f>
        <v/>
      </c>
    </row>
    <row r="1432" spans="3:27">
      <c r="C1432" s="147" t="s">
        <v>1088</v>
      </c>
      <c r="D1432" s="134" t="s">
        <v>2686</v>
      </c>
      <c r="E1432" s="134"/>
      <c r="F1432" s="134" t="s">
        <v>1213</v>
      </c>
      <c r="G1432" s="134">
        <v>13102642</v>
      </c>
      <c r="H1432" s="135">
        <v>44672</v>
      </c>
      <c r="I1432" s="134">
        <v>8.1670000000000006E-2</v>
      </c>
      <c r="J1432" s="145"/>
      <c r="K1432" s="145"/>
      <c r="L1432" s="145"/>
      <c r="M1432" s="145"/>
      <c r="N1432" s="145"/>
      <c r="O1432" s="145"/>
      <c r="P1432" s="145"/>
      <c r="Q1432" s="145"/>
      <c r="R1432" s="145"/>
      <c r="S1432" s="145"/>
      <c r="T1432" s="135">
        <v>23457</v>
      </c>
      <c r="U1432" s="145"/>
      <c r="V1432" s="134" t="s">
        <v>563</v>
      </c>
      <c r="W1432" s="92" t="str">
        <f t="shared" si="104"/>
        <v>Rossetti ,Maria Isabel</v>
      </c>
      <c r="X1432" s="95">
        <f t="shared" si="105"/>
        <v>4</v>
      </c>
      <c r="Y1432" s="95">
        <f t="shared" si="106"/>
        <v>2022</v>
      </c>
      <c r="Z1432" s="136" t="s">
        <v>266</v>
      </c>
      <c r="AA1432" t="str">
        <f>IF(Tabla1[[#This Row],[Kerma en aire acumulada (Gy)]]&gt;1,SUMIF(G:G,Tabla1[[#This Row],[SIP]],I:I)-Tabla1[[#This Row],[Kerma en aire acumulada (Gy)]],"")</f>
        <v/>
      </c>
    </row>
    <row r="1433" spans="3:27">
      <c r="C1433" s="147" t="s">
        <v>1088</v>
      </c>
      <c r="D1433" s="134" t="s">
        <v>2687</v>
      </c>
      <c r="E1433" s="134" t="s">
        <v>2688</v>
      </c>
      <c r="F1433" s="134" t="s">
        <v>377</v>
      </c>
      <c r="G1433" s="134">
        <v>3775935</v>
      </c>
      <c r="H1433" s="135">
        <v>44672</v>
      </c>
      <c r="I1433" s="134">
        <v>0.10101</v>
      </c>
      <c r="J1433" s="145"/>
      <c r="K1433" s="145"/>
      <c r="L1433" s="145"/>
      <c r="M1433" s="145"/>
      <c r="N1433" s="145"/>
      <c r="O1433" s="145"/>
      <c r="P1433" s="145"/>
      <c r="Q1433" s="145"/>
      <c r="R1433" s="145"/>
      <c r="S1433" s="145"/>
      <c r="T1433" s="135">
        <v>14691</v>
      </c>
      <c r="U1433" s="145"/>
      <c r="V1433" s="134" t="s">
        <v>563</v>
      </c>
      <c r="W1433" s="92" t="str">
        <f t="shared" si="104"/>
        <v>Toledano Burgos,Pilar</v>
      </c>
      <c r="X1433" s="95">
        <f t="shared" si="105"/>
        <v>4</v>
      </c>
      <c r="Y1433" s="95">
        <f t="shared" si="106"/>
        <v>2022</v>
      </c>
      <c r="Z1433" s="136" t="s">
        <v>266</v>
      </c>
      <c r="AA1433" t="str">
        <f>IF(Tabla1[[#This Row],[Kerma en aire acumulada (Gy)]]&gt;1,SUMIF(G:G,Tabla1[[#This Row],[SIP]],I:I)-Tabla1[[#This Row],[Kerma en aire acumulada (Gy)]],"")</f>
        <v/>
      </c>
    </row>
    <row r="1434" spans="3:27">
      <c r="C1434" s="147" t="s">
        <v>1088</v>
      </c>
      <c r="D1434" s="134" t="s">
        <v>1261</v>
      </c>
      <c r="E1434" s="134" t="s">
        <v>1109</v>
      </c>
      <c r="F1434" s="134" t="s">
        <v>2692</v>
      </c>
      <c r="G1434" s="134">
        <v>3371247</v>
      </c>
      <c r="H1434" s="135">
        <v>44672</v>
      </c>
      <c r="I1434" s="134">
        <v>3.7499999999999999E-3</v>
      </c>
      <c r="J1434" s="145"/>
      <c r="K1434" s="145"/>
      <c r="L1434" s="145"/>
      <c r="M1434" s="145"/>
      <c r="N1434" s="145"/>
      <c r="O1434" s="145"/>
      <c r="P1434" s="145"/>
      <c r="Q1434" s="145"/>
      <c r="R1434" s="145"/>
      <c r="S1434" s="145"/>
      <c r="T1434" s="135">
        <v>17590</v>
      </c>
      <c r="U1434" s="145"/>
      <c r="V1434" s="134" t="s">
        <v>2309</v>
      </c>
      <c r="W1434" s="92" t="str">
        <f t="shared" si="104"/>
        <v>Hernandez Gonzales,Patrocinio</v>
      </c>
      <c r="X1434" s="95">
        <f t="shared" si="105"/>
        <v>4</v>
      </c>
      <c r="Y1434" s="95">
        <f t="shared" si="106"/>
        <v>2022</v>
      </c>
      <c r="Z1434" s="136" t="s">
        <v>2238</v>
      </c>
      <c r="AA1434" t="str">
        <f>IF(Tabla1[[#This Row],[Kerma en aire acumulada (Gy)]]&gt;1,SUMIF(G:G,Tabla1[[#This Row],[SIP]],I:I)-Tabla1[[#This Row],[Kerma en aire acumulada (Gy)]],"")</f>
        <v/>
      </c>
    </row>
    <row r="1435" spans="3:27">
      <c r="C1435" s="147" t="s">
        <v>1088</v>
      </c>
      <c r="D1435" s="134" t="s">
        <v>2693</v>
      </c>
      <c r="E1435" s="134" t="s">
        <v>2694</v>
      </c>
      <c r="F1435" s="134" t="s">
        <v>2695</v>
      </c>
      <c r="G1435" s="134">
        <v>18624110</v>
      </c>
      <c r="H1435" s="135">
        <v>44672</v>
      </c>
      <c r="I1435" s="134">
        <v>2.3470000000000001E-2</v>
      </c>
      <c r="J1435" s="145"/>
      <c r="K1435" s="145"/>
      <c r="L1435" s="145"/>
      <c r="M1435" s="145"/>
      <c r="N1435" s="145"/>
      <c r="O1435" s="145"/>
      <c r="P1435" s="145"/>
      <c r="Q1435" s="145"/>
      <c r="R1435" s="145"/>
      <c r="S1435" s="145"/>
      <c r="T1435" s="135">
        <v>14690</v>
      </c>
      <c r="U1435" s="145"/>
      <c r="V1435" s="134" t="s">
        <v>2696</v>
      </c>
      <c r="W1435" s="92" t="str">
        <f t="shared" si="104"/>
        <v>Cañizares Espejo,Eufemio</v>
      </c>
      <c r="X1435" s="95">
        <f t="shared" si="105"/>
        <v>4</v>
      </c>
      <c r="Y1435" s="95">
        <f t="shared" si="106"/>
        <v>2022</v>
      </c>
      <c r="Z1435" s="136" t="s">
        <v>2238</v>
      </c>
      <c r="AA1435" t="str">
        <f>IF(Tabla1[[#This Row],[Kerma en aire acumulada (Gy)]]&gt;1,SUMIF(G:G,Tabla1[[#This Row],[SIP]],I:I)-Tabla1[[#This Row],[Kerma en aire acumulada (Gy)]],"")</f>
        <v/>
      </c>
    </row>
    <row r="1436" spans="3:27">
      <c r="C1436" s="147" t="s">
        <v>1088</v>
      </c>
      <c r="D1436" s="134" t="s">
        <v>985</v>
      </c>
      <c r="E1436" s="134" t="s">
        <v>2535</v>
      </c>
      <c r="F1436" s="134" t="s">
        <v>2536</v>
      </c>
      <c r="G1436" s="134">
        <v>2984880</v>
      </c>
      <c r="H1436" s="135">
        <v>44673</v>
      </c>
      <c r="I1436" s="134">
        <v>0.37653999999999999</v>
      </c>
      <c r="J1436" s="145"/>
      <c r="K1436" s="145"/>
      <c r="L1436" s="145"/>
      <c r="M1436" s="145"/>
      <c r="N1436" s="145"/>
      <c r="O1436" s="145"/>
      <c r="P1436" s="145"/>
      <c r="Q1436" s="145"/>
      <c r="R1436" s="145"/>
      <c r="S1436" s="145"/>
      <c r="T1436" s="135">
        <v>21262</v>
      </c>
      <c r="U1436" s="145"/>
      <c r="V1436" s="134" t="s">
        <v>1233</v>
      </c>
      <c r="W1436" s="92" t="str">
        <f t="shared" si="104"/>
        <v>Plaza Ramal,Guillermina</v>
      </c>
      <c r="X1436" s="95">
        <f t="shared" si="105"/>
        <v>4</v>
      </c>
      <c r="Y1436" s="95">
        <f t="shared" si="106"/>
        <v>2022</v>
      </c>
      <c r="Z1436" s="103" t="s">
        <v>265</v>
      </c>
      <c r="AA1436" t="str">
        <f>IF(Tabla1[[#This Row],[Kerma en aire acumulada (Gy)]]&gt;1,SUMIF(G:G,Tabla1[[#This Row],[SIP]],I:I)-Tabla1[[#This Row],[Kerma en aire acumulada (Gy)]],"")</f>
        <v/>
      </c>
    </row>
    <row r="1437" spans="3:27">
      <c r="C1437" s="147" t="s">
        <v>1088</v>
      </c>
      <c r="D1437" s="134" t="s">
        <v>2143</v>
      </c>
      <c r="E1437" s="134" t="s">
        <v>2635</v>
      </c>
      <c r="F1437" s="134" t="s">
        <v>2636</v>
      </c>
      <c r="G1437" s="134">
        <v>4485469</v>
      </c>
      <c r="H1437" s="135">
        <v>44673</v>
      </c>
      <c r="I1437" s="134">
        <v>0.37335000000000002</v>
      </c>
      <c r="J1437" s="145"/>
      <c r="K1437" s="145"/>
      <c r="L1437" s="145"/>
      <c r="M1437" s="145"/>
      <c r="N1437" s="145"/>
      <c r="O1437" s="145"/>
      <c r="P1437" s="145"/>
      <c r="Q1437" s="145"/>
      <c r="R1437" s="145"/>
      <c r="S1437" s="145"/>
      <c r="T1437" s="135">
        <v>21141</v>
      </c>
      <c r="U1437" s="145"/>
      <c r="V1437" s="134" t="s">
        <v>1312</v>
      </c>
      <c r="W1437" s="92" t="str">
        <f t="shared" si="104"/>
        <v>Dominguez Arguello,Fernando A</v>
      </c>
      <c r="X1437" s="95">
        <f t="shared" si="105"/>
        <v>4</v>
      </c>
      <c r="Y1437" s="95">
        <f t="shared" si="106"/>
        <v>2022</v>
      </c>
      <c r="Z1437" s="103" t="s">
        <v>265</v>
      </c>
      <c r="AA1437" t="str">
        <f>IF(Tabla1[[#This Row],[Kerma en aire acumulada (Gy)]]&gt;1,SUMIF(G:G,Tabla1[[#This Row],[SIP]],I:I)-Tabla1[[#This Row],[Kerma en aire acumulada (Gy)]],"")</f>
        <v/>
      </c>
    </row>
    <row r="1438" spans="3:27">
      <c r="C1438" s="147" t="s">
        <v>1088</v>
      </c>
      <c r="D1438" s="134" t="s">
        <v>2478</v>
      </c>
      <c r="E1438" s="134" t="s">
        <v>2637</v>
      </c>
      <c r="F1438" s="134" t="s">
        <v>1787</v>
      </c>
      <c r="G1438" s="134">
        <v>2586058</v>
      </c>
      <c r="H1438" s="135">
        <v>44673</v>
      </c>
      <c r="I1438" s="134">
        <v>2.3E-3</v>
      </c>
      <c r="J1438" s="145"/>
      <c r="K1438" s="145"/>
      <c r="L1438" s="145"/>
      <c r="M1438" s="145"/>
      <c r="N1438" s="145"/>
      <c r="O1438" s="145"/>
      <c r="P1438" s="145"/>
      <c r="Q1438" s="145"/>
      <c r="R1438" s="145"/>
      <c r="S1438" s="145"/>
      <c r="T1438" s="135">
        <v>33830</v>
      </c>
      <c r="U1438" s="145"/>
      <c r="V1438" s="134" t="s">
        <v>1653</v>
      </c>
      <c r="W1438" s="92" t="str">
        <f t="shared" si="104"/>
        <v>Teruel Olmedo,Laura</v>
      </c>
      <c r="X1438" s="95">
        <f t="shared" si="105"/>
        <v>4</v>
      </c>
      <c r="Y1438" s="95">
        <f t="shared" si="106"/>
        <v>2022</v>
      </c>
      <c r="Z1438" s="103" t="s">
        <v>265</v>
      </c>
      <c r="AA1438" t="str">
        <f>IF(Tabla1[[#This Row],[Kerma en aire acumulada (Gy)]]&gt;1,SUMIF(G:G,Tabla1[[#This Row],[SIP]],I:I)-Tabla1[[#This Row],[Kerma en aire acumulada (Gy)]],"")</f>
        <v/>
      </c>
    </row>
    <row r="1439" spans="3:27">
      <c r="C1439" s="147" t="s">
        <v>1088</v>
      </c>
      <c r="D1439" s="134" t="s">
        <v>1248</v>
      </c>
      <c r="E1439" s="134" t="s">
        <v>1098</v>
      </c>
      <c r="F1439" s="134" t="s">
        <v>1010</v>
      </c>
      <c r="G1439" s="134">
        <v>1857814</v>
      </c>
      <c r="H1439" s="135">
        <v>44673</v>
      </c>
      <c r="I1439" s="134"/>
      <c r="J1439" s="145"/>
      <c r="K1439" s="145"/>
      <c r="L1439" s="145"/>
      <c r="M1439" s="145"/>
      <c r="N1439" s="145"/>
      <c r="O1439" s="145"/>
      <c r="P1439" s="145"/>
      <c r="Q1439" s="145"/>
      <c r="R1439" s="145"/>
      <c r="S1439" s="145"/>
      <c r="T1439" s="135">
        <v>16837</v>
      </c>
      <c r="U1439" s="145"/>
      <c r="V1439" s="134" t="s">
        <v>2650</v>
      </c>
      <c r="W1439" s="92" t="str">
        <f t="shared" si="104"/>
        <v>Marti Moya,Bautista</v>
      </c>
      <c r="X1439" s="95">
        <f t="shared" si="105"/>
        <v>4</v>
      </c>
      <c r="Y1439" s="95">
        <f t="shared" si="106"/>
        <v>2022</v>
      </c>
      <c r="Z1439" s="103" t="s">
        <v>265</v>
      </c>
      <c r="AA1439" t="str">
        <f>IF(Tabla1[[#This Row],[Kerma en aire acumulada (Gy)]]&gt;1,SUMIF(G:G,Tabla1[[#This Row],[SIP]],I:I)-Tabla1[[#This Row],[Kerma en aire acumulada (Gy)]],"")</f>
        <v/>
      </c>
    </row>
    <row r="1440" spans="3:27">
      <c r="C1440" s="147" t="s">
        <v>1088</v>
      </c>
      <c r="D1440" s="134" t="s">
        <v>1695</v>
      </c>
      <c r="E1440" s="134" t="s">
        <v>2651</v>
      </c>
      <c r="F1440" s="134" t="s">
        <v>1958</v>
      </c>
      <c r="G1440" s="134">
        <v>1955815</v>
      </c>
      <c r="H1440" s="135">
        <v>44673</v>
      </c>
      <c r="I1440" s="134">
        <v>0.20136000000000001</v>
      </c>
      <c r="J1440" s="145"/>
      <c r="K1440" s="145"/>
      <c r="L1440" s="145"/>
      <c r="M1440" s="145"/>
      <c r="N1440" s="145"/>
      <c r="O1440" s="145"/>
      <c r="P1440" s="145"/>
      <c r="Q1440" s="145"/>
      <c r="R1440" s="145"/>
      <c r="S1440" s="145"/>
      <c r="T1440" s="135">
        <v>22641</v>
      </c>
      <c r="U1440" s="145"/>
      <c r="V1440" s="134" t="s">
        <v>541</v>
      </c>
      <c r="W1440" s="92" t="str">
        <f t="shared" si="104"/>
        <v>Portales Llop,Enric</v>
      </c>
      <c r="X1440" s="95">
        <f t="shared" si="105"/>
        <v>4</v>
      </c>
      <c r="Y1440" s="95">
        <f t="shared" si="106"/>
        <v>2022</v>
      </c>
      <c r="Z1440" s="103" t="s">
        <v>265</v>
      </c>
      <c r="AA1440" t="str">
        <f>IF(Tabla1[[#This Row],[Kerma en aire acumulada (Gy)]]&gt;1,SUMIF(G:G,Tabla1[[#This Row],[SIP]],I:I)-Tabla1[[#This Row],[Kerma en aire acumulada (Gy)]],"")</f>
        <v/>
      </c>
    </row>
    <row r="1441" spans="3:27">
      <c r="C1441" s="147" t="s">
        <v>1088</v>
      </c>
      <c r="D1441" s="134" t="s">
        <v>1652</v>
      </c>
      <c r="E1441" s="134" t="s">
        <v>2663</v>
      </c>
      <c r="F1441" s="134" t="s">
        <v>1859</v>
      </c>
      <c r="G1441" s="134">
        <v>1115050</v>
      </c>
      <c r="H1441" s="135">
        <v>44673</v>
      </c>
      <c r="I1441" s="134"/>
      <c r="J1441" s="145"/>
      <c r="K1441" s="145"/>
      <c r="L1441" s="145"/>
      <c r="M1441" s="145"/>
      <c r="N1441" s="145"/>
      <c r="O1441" s="145"/>
      <c r="P1441" s="145"/>
      <c r="Q1441" s="145"/>
      <c r="R1441" s="145"/>
      <c r="S1441" s="145"/>
      <c r="T1441" s="135">
        <v>19167</v>
      </c>
      <c r="U1441" s="145"/>
      <c r="V1441" s="134" t="s">
        <v>563</v>
      </c>
      <c r="W1441" s="92" t="str">
        <f t="shared" si="104"/>
        <v>Ferrando Pallares,Jose Rafael</v>
      </c>
      <c r="X1441" s="95">
        <f t="shared" si="105"/>
        <v>4</v>
      </c>
      <c r="Y1441" s="95">
        <f t="shared" si="106"/>
        <v>2022</v>
      </c>
      <c r="Z1441" s="103" t="s">
        <v>265</v>
      </c>
      <c r="AA1441" t="str">
        <f>IF(Tabla1[[#This Row],[Kerma en aire acumulada (Gy)]]&gt;1,SUMIF(G:G,Tabla1[[#This Row],[SIP]],I:I)-Tabla1[[#This Row],[Kerma en aire acumulada (Gy)]],"")</f>
        <v/>
      </c>
    </row>
    <row r="1442" spans="3:27">
      <c r="C1442" s="147" t="s">
        <v>1088</v>
      </c>
      <c r="D1442" s="134" t="s">
        <v>2590</v>
      </c>
      <c r="E1442" s="134" t="s">
        <v>1109</v>
      </c>
      <c r="F1442" s="134" t="s">
        <v>2591</v>
      </c>
      <c r="G1442" s="134">
        <v>2971625</v>
      </c>
      <c r="H1442" s="135">
        <v>44673</v>
      </c>
      <c r="I1442" s="134">
        <v>0.16070000000000001</v>
      </c>
      <c r="J1442" s="145"/>
      <c r="K1442" s="145"/>
      <c r="L1442" s="145"/>
      <c r="M1442" s="145"/>
      <c r="N1442" s="145"/>
      <c r="O1442" s="145"/>
      <c r="P1442" s="145"/>
      <c r="Q1442" s="145"/>
      <c r="R1442" s="145"/>
      <c r="S1442" s="145"/>
      <c r="T1442" s="135">
        <v>24735</v>
      </c>
      <c r="U1442" s="145"/>
      <c r="V1442" s="134" t="s">
        <v>563</v>
      </c>
      <c r="W1442" s="92" t="str">
        <f t="shared" si="104"/>
        <v>Sanso Gonzales,Juan Jesus</v>
      </c>
      <c r="X1442" s="95">
        <f t="shared" si="105"/>
        <v>4</v>
      </c>
      <c r="Y1442" s="95">
        <f t="shared" si="106"/>
        <v>2022</v>
      </c>
      <c r="Z1442" s="103" t="s">
        <v>265</v>
      </c>
      <c r="AA1442" t="str">
        <f>IF(Tabla1[[#This Row],[Kerma en aire acumulada (Gy)]]&gt;1,SUMIF(G:G,Tabla1[[#This Row],[SIP]],I:I)-Tabla1[[#This Row],[Kerma en aire acumulada (Gy)]],"")</f>
        <v/>
      </c>
    </row>
    <row r="1443" spans="3:27">
      <c r="C1443" s="147" t="s">
        <v>1088</v>
      </c>
      <c r="D1443" s="134" t="s">
        <v>891</v>
      </c>
      <c r="E1443" s="134" t="s">
        <v>856</v>
      </c>
      <c r="F1443" s="134" t="s">
        <v>1725</v>
      </c>
      <c r="G1443" s="134">
        <v>1173367</v>
      </c>
      <c r="H1443" s="135">
        <v>44673</v>
      </c>
      <c r="I1443" s="134">
        <v>0.11699</v>
      </c>
      <c r="J1443" s="145"/>
      <c r="K1443" s="145"/>
      <c r="L1443" s="145"/>
      <c r="M1443" s="145"/>
      <c r="N1443" s="145"/>
      <c r="O1443" s="145"/>
      <c r="P1443" s="145"/>
      <c r="Q1443" s="145"/>
      <c r="R1443" s="145"/>
      <c r="S1443" s="145"/>
      <c r="T1443" s="135">
        <v>17312</v>
      </c>
      <c r="U1443" s="145"/>
      <c r="V1443" s="134" t="s">
        <v>563</v>
      </c>
      <c r="W1443" s="92" t="str">
        <f t="shared" si="104"/>
        <v>Morales Gomez,Ana Maria</v>
      </c>
      <c r="X1443" s="95">
        <f t="shared" si="105"/>
        <v>4</v>
      </c>
      <c r="Y1443" s="95">
        <f t="shared" si="106"/>
        <v>2022</v>
      </c>
      <c r="Z1443" s="103" t="s">
        <v>265</v>
      </c>
      <c r="AA1443" t="str">
        <f>IF(Tabla1[[#This Row],[Kerma en aire acumulada (Gy)]]&gt;1,SUMIF(G:G,Tabla1[[#This Row],[SIP]],I:I)-Tabla1[[#This Row],[Kerma en aire acumulada (Gy)]],"")</f>
        <v/>
      </c>
    </row>
    <row r="1444" spans="3:27">
      <c r="C1444" s="147" t="s">
        <v>1088</v>
      </c>
      <c r="D1444" s="134" t="s">
        <v>2664</v>
      </c>
      <c r="E1444" s="134" t="s">
        <v>81</v>
      </c>
      <c r="F1444" s="134" t="s">
        <v>2665</v>
      </c>
      <c r="G1444" s="134">
        <v>3188256</v>
      </c>
      <c r="H1444" s="135">
        <v>44673</v>
      </c>
      <c r="I1444" s="134">
        <v>0.16641</v>
      </c>
      <c r="J1444" s="145"/>
      <c r="K1444" s="145"/>
      <c r="L1444" s="145"/>
      <c r="M1444" s="145"/>
      <c r="N1444" s="145"/>
      <c r="O1444" s="145"/>
      <c r="P1444" s="145"/>
      <c r="Q1444" s="145"/>
      <c r="R1444" s="145"/>
      <c r="S1444" s="145"/>
      <c r="T1444" s="135">
        <v>23133</v>
      </c>
      <c r="U1444" s="145"/>
      <c r="V1444" s="134" t="s">
        <v>563</v>
      </c>
      <c r="W1444" s="92" t="str">
        <f t="shared" si="104"/>
        <v>Estelles Palanca,Vicente Manuel</v>
      </c>
      <c r="X1444" s="95">
        <f t="shared" si="105"/>
        <v>4</v>
      </c>
      <c r="Y1444" s="95">
        <f t="shared" si="106"/>
        <v>2022</v>
      </c>
      <c r="Z1444" s="103" t="s">
        <v>265</v>
      </c>
      <c r="AA1444" t="str">
        <f>IF(Tabla1[[#This Row],[Kerma en aire acumulada (Gy)]]&gt;1,SUMIF(G:G,Tabla1[[#This Row],[SIP]],I:I)-Tabla1[[#This Row],[Kerma en aire acumulada (Gy)]],"")</f>
        <v/>
      </c>
    </row>
    <row r="1445" spans="3:27">
      <c r="C1445" s="147" t="s">
        <v>1088</v>
      </c>
      <c r="D1445" s="134" t="s">
        <v>2682</v>
      </c>
      <c r="E1445" s="134" t="s">
        <v>2570</v>
      </c>
      <c r="F1445" s="134" t="s">
        <v>2028</v>
      </c>
      <c r="G1445" s="134">
        <v>2247738</v>
      </c>
      <c r="H1445" s="135">
        <v>44673</v>
      </c>
      <c r="I1445" s="134"/>
      <c r="J1445" s="145"/>
      <c r="K1445" s="145"/>
      <c r="L1445" s="145"/>
      <c r="M1445" s="145"/>
      <c r="N1445" s="145"/>
      <c r="O1445" s="145"/>
      <c r="P1445" s="145"/>
      <c r="Q1445" s="145"/>
      <c r="R1445" s="145"/>
      <c r="S1445" s="145"/>
      <c r="T1445" s="135">
        <v>19364</v>
      </c>
      <c r="U1445" s="145"/>
      <c r="V1445" s="134" t="s">
        <v>563</v>
      </c>
      <c r="W1445" s="92" t="str">
        <f t="shared" si="104"/>
        <v>Yelamo Rosell,M Angeles</v>
      </c>
      <c r="X1445" s="95">
        <f t="shared" si="105"/>
        <v>4</v>
      </c>
      <c r="Y1445" s="95">
        <f t="shared" si="106"/>
        <v>2022</v>
      </c>
      <c r="Z1445" s="136" t="s">
        <v>266</v>
      </c>
      <c r="AA1445" t="str">
        <f>IF(Tabla1[[#This Row],[Kerma en aire acumulada (Gy)]]&gt;1,SUMIF(G:G,Tabla1[[#This Row],[SIP]],I:I)-Tabla1[[#This Row],[Kerma en aire acumulada (Gy)]],"")</f>
        <v/>
      </c>
    </row>
    <row r="1446" spans="3:27">
      <c r="C1446" s="147" t="s">
        <v>1088</v>
      </c>
      <c r="D1446" s="134" t="s">
        <v>2683</v>
      </c>
      <c r="E1446" s="134"/>
      <c r="F1446" s="134" t="s">
        <v>20</v>
      </c>
      <c r="G1446" s="134">
        <v>11741652</v>
      </c>
      <c r="H1446" s="135">
        <v>44673</v>
      </c>
      <c r="I1446" s="134"/>
      <c r="J1446" s="145"/>
      <c r="K1446" s="145"/>
      <c r="L1446" s="145"/>
      <c r="M1446" s="145"/>
      <c r="N1446" s="145"/>
      <c r="O1446" s="145"/>
      <c r="P1446" s="145"/>
      <c r="Q1446" s="145"/>
      <c r="R1446" s="145"/>
      <c r="S1446" s="145"/>
      <c r="T1446" s="135">
        <v>17687</v>
      </c>
      <c r="U1446" s="145"/>
      <c r="V1446" s="134" t="s">
        <v>563</v>
      </c>
      <c r="W1446" s="92" t="str">
        <f t="shared" si="104"/>
        <v>Bruccheri ,Antonio</v>
      </c>
      <c r="X1446" s="95">
        <f t="shared" si="105"/>
        <v>4</v>
      </c>
      <c r="Y1446" s="95">
        <f t="shared" si="106"/>
        <v>2022</v>
      </c>
      <c r="Z1446" s="136" t="s">
        <v>266</v>
      </c>
      <c r="AA1446" t="str">
        <f>IF(Tabla1[[#This Row],[Kerma en aire acumulada (Gy)]]&gt;1,SUMIF(G:G,Tabla1[[#This Row],[SIP]],I:I)-Tabla1[[#This Row],[Kerma en aire acumulada (Gy)]],"")</f>
        <v/>
      </c>
    </row>
    <row r="1447" spans="3:27">
      <c r="C1447" s="147" t="s">
        <v>1088</v>
      </c>
      <c r="D1447" s="134" t="s">
        <v>2684</v>
      </c>
      <c r="E1447" s="134" t="s">
        <v>2685</v>
      </c>
      <c r="F1447" s="134" t="s">
        <v>321</v>
      </c>
      <c r="G1447" s="134">
        <v>2859429</v>
      </c>
      <c r="H1447" s="135">
        <v>44673</v>
      </c>
      <c r="I1447" s="134"/>
      <c r="J1447" s="145"/>
      <c r="K1447" s="145"/>
      <c r="L1447" s="145"/>
      <c r="M1447" s="145"/>
      <c r="N1447" s="145"/>
      <c r="O1447" s="145"/>
      <c r="P1447" s="145"/>
      <c r="Q1447" s="145"/>
      <c r="R1447" s="145"/>
      <c r="S1447" s="145"/>
      <c r="T1447" s="135">
        <v>14708</v>
      </c>
      <c r="U1447" s="145"/>
      <c r="V1447" s="134" t="s">
        <v>563</v>
      </c>
      <c r="W1447" s="92" t="str">
        <f t="shared" si="104"/>
        <v>Leiva Molinero,Esteban</v>
      </c>
      <c r="X1447" s="95">
        <f t="shared" si="105"/>
        <v>4</v>
      </c>
      <c r="Y1447" s="95">
        <f t="shared" si="106"/>
        <v>2022</v>
      </c>
      <c r="Z1447" s="136" t="s">
        <v>266</v>
      </c>
      <c r="AA1447" t="str">
        <f>IF(Tabla1[[#This Row],[Kerma en aire acumulada (Gy)]]&gt;1,SUMIF(G:G,Tabla1[[#This Row],[SIP]],I:I)-Tabla1[[#This Row],[Kerma en aire acumulada (Gy)]],"")</f>
        <v/>
      </c>
    </row>
    <row r="1448" spans="3:27">
      <c r="C1448" s="147" t="s">
        <v>1088</v>
      </c>
      <c r="D1448" s="134" t="s">
        <v>1070</v>
      </c>
      <c r="E1448" s="134" t="s">
        <v>2691</v>
      </c>
      <c r="F1448" s="134" t="s">
        <v>20</v>
      </c>
      <c r="G1448" s="134">
        <v>2188402</v>
      </c>
      <c r="H1448" s="135">
        <v>44673</v>
      </c>
      <c r="I1448" s="134">
        <v>0.47105000000000002</v>
      </c>
      <c r="J1448" s="145"/>
      <c r="K1448" s="145"/>
      <c r="L1448" s="145"/>
      <c r="M1448" s="145"/>
      <c r="N1448" s="145"/>
      <c r="O1448" s="145"/>
      <c r="P1448" s="145"/>
      <c r="Q1448" s="145"/>
      <c r="R1448" s="145"/>
      <c r="S1448" s="145"/>
      <c r="T1448" s="135">
        <v>21655</v>
      </c>
      <c r="U1448" s="145"/>
      <c r="V1448" s="134" t="s">
        <v>2237</v>
      </c>
      <c r="W1448" s="92" t="str">
        <f t="shared" si="104"/>
        <v>Cabello Rosi,Antonio</v>
      </c>
      <c r="X1448" s="95">
        <f t="shared" si="105"/>
        <v>4</v>
      </c>
      <c r="Y1448" s="95">
        <f t="shared" si="106"/>
        <v>2022</v>
      </c>
      <c r="Z1448" s="136" t="s">
        <v>2238</v>
      </c>
      <c r="AA1448" t="str">
        <f>IF(Tabla1[[#This Row],[Kerma en aire acumulada (Gy)]]&gt;1,SUMIF(G:G,Tabla1[[#This Row],[SIP]],I:I)-Tabla1[[#This Row],[Kerma en aire acumulada (Gy)]],"")</f>
        <v/>
      </c>
    </row>
    <row r="1449" spans="3:27">
      <c r="C1449" s="147" t="s">
        <v>1088</v>
      </c>
      <c r="D1449" s="134" t="s">
        <v>1607</v>
      </c>
      <c r="E1449" s="134" t="s">
        <v>2648</v>
      </c>
      <c r="F1449" s="134" t="s">
        <v>2072</v>
      </c>
      <c r="G1449" s="134">
        <v>2273875</v>
      </c>
      <c r="H1449" s="135">
        <v>44676</v>
      </c>
      <c r="I1449" s="134">
        <v>0.80874000000000001</v>
      </c>
      <c r="J1449" s="145"/>
      <c r="K1449" s="145"/>
      <c r="L1449" s="145"/>
      <c r="M1449" s="145"/>
      <c r="N1449" s="145"/>
      <c r="O1449" s="145"/>
      <c r="P1449" s="145"/>
      <c r="Q1449" s="145"/>
      <c r="R1449" s="145"/>
      <c r="S1449" s="145"/>
      <c r="T1449" s="135">
        <v>19228</v>
      </c>
      <c r="U1449" s="145"/>
      <c r="V1449" s="134" t="s">
        <v>2649</v>
      </c>
      <c r="W1449" s="92" t="str">
        <f t="shared" si="104"/>
        <v>Reyes Pimienta,M Amparo</v>
      </c>
      <c r="X1449" s="95">
        <f t="shared" si="105"/>
        <v>4</v>
      </c>
      <c r="Y1449" s="95">
        <f t="shared" si="106"/>
        <v>2022</v>
      </c>
      <c r="Z1449" s="103" t="s">
        <v>265</v>
      </c>
      <c r="AA1449" t="str">
        <f>IF(Tabla1[[#This Row],[Kerma en aire acumulada (Gy)]]&gt;1,SUMIF(G:G,Tabla1[[#This Row],[SIP]],I:I)-Tabla1[[#This Row],[Kerma en aire acumulada (Gy)]],"")</f>
        <v/>
      </c>
    </row>
    <row r="1450" spans="3:27">
      <c r="C1450" s="147" t="s">
        <v>1088</v>
      </c>
      <c r="D1450" s="134" t="s">
        <v>2680</v>
      </c>
      <c r="E1450" s="134" t="s">
        <v>288</v>
      </c>
      <c r="F1450" s="134" t="s">
        <v>88</v>
      </c>
      <c r="G1450" s="134">
        <v>1156542</v>
      </c>
      <c r="H1450" s="135">
        <v>44676</v>
      </c>
      <c r="I1450" s="134"/>
      <c r="J1450" s="145"/>
      <c r="K1450" s="145"/>
      <c r="L1450" s="145"/>
      <c r="M1450" s="145"/>
      <c r="N1450" s="145"/>
      <c r="O1450" s="145"/>
      <c r="P1450" s="145"/>
      <c r="Q1450" s="145"/>
      <c r="R1450" s="145"/>
      <c r="S1450" s="145"/>
      <c r="T1450" s="135">
        <v>20401</v>
      </c>
      <c r="U1450" s="145"/>
      <c r="V1450" s="134" t="s">
        <v>563</v>
      </c>
      <c r="W1450" s="92" t="str">
        <f t="shared" ref="W1450:W1513" si="107">CONCATENATE(D1450,$A$591,E1450,",",F1450)</f>
        <v>Sabater Ortiz,Vicente</v>
      </c>
      <c r="X1450" s="95">
        <f t="shared" ref="X1450:X1513" si="108">MONTH(H1450)</f>
        <v>4</v>
      </c>
      <c r="Y1450" s="95">
        <f t="shared" ref="Y1450:Y1513" si="109">YEAR(H1450)</f>
        <v>2022</v>
      </c>
      <c r="Z1450" s="136" t="s">
        <v>266</v>
      </c>
      <c r="AA1450" t="str">
        <f>IF(Tabla1[[#This Row],[Kerma en aire acumulada (Gy)]]&gt;1,SUMIF(G:G,Tabla1[[#This Row],[SIP]],I:I)-Tabla1[[#This Row],[Kerma en aire acumulada (Gy)]],"")</f>
        <v/>
      </c>
    </row>
    <row r="1451" spans="3:27">
      <c r="C1451" s="147" t="s">
        <v>1088</v>
      </c>
      <c r="D1451" s="134" t="s">
        <v>2681</v>
      </c>
      <c r="E1451" s="134" t="s">
        <v>1759</v>
      </c>
      <c r="F1451" s="134" t="s">
        <v>13</v>
      </c>
      <c r="G1451" s="134">
        <v>245834</v>
      </c>
      <c r="H1451" s="135">
        <v>44676</v>
      </c>
      <c r="I1451" s="134"/>
      <c r="J1451" s="145"/>
      <c r="K1451" s="145"/>
      <c r="L1451" s="145"/>
      <c r="M1451" s="145"/>
      <c r="N1451" s="145"/>
      <c r="O1451" s="145"/>
      <c r="P1451" s="145"/>
      <c r="Q1451" s="145"/>
      <c r="R1451" s="145"/>
      <c r="S1451" s="145"/>
      <c r="T1451" s="135">
        <v>17523</v>
      </c>
      <c r="U1451" s="145"/>
      <c r="V1451" s="134" t="s">
        <v>563</v>
      </c>
      <c r="W1451" s="92" t="str">
        <f t="shared" si="107"/>
        <v>Estevez Martin,Manuela</v>
      </c>
      <c r="X1451" s="95">
        <f t="shared" si="108"/>
        <v>4</v>
      </c>
      <c r="Y1451" s="95">
        <f t="shared" si="109"/>
        <v>2022</v>
      </c>
      <c r="Z1451" s="136" t="s">
        <v>266</v>
      </c>
      <c r="AA1451" t="str">
        <f>IF(Tabla1[[#This Row],[Kerma en aire acumulada (Gy)]]&gt;1,SUMIF(G:G,Tabla1[[#This Row],[SIP]],I:I)-Tabla1[[#This Row],[Kerma en aire acumulada (Gy)]],"")</f>
        <v/>
      </c>
    </row>
    <row r="1452" spans="3:27">
      <c r="C1452" s="147" t="s">
        <v>1088</v>
      </c>
      <c r="D1452" s="134" t="s">
        <v>2645</v>
      </c>
      <c r="E1452" s="134" t="s">
        <v>960</v>
      </c>
      <c r="F1452" s="134" t="s">
        <v>71</v>
      </c>
      <c r="G1452" s="134">
        <v>2290124</v>
      </c>
      <c r="H1452" s="135">
        <v>44677</v>
      </c>
      <c r="I1452" s="134">
        <v>0.45241999999999999</v>
      </c>
      <c r="J1452" s="145"/>
      <c r="K1452" s="145"/>
      <c r="L1452" s="145"/>
      <c r="M1452" s="145"/>
      <c r="N1452" s="145"/>
      <c r="O1452" s="145"/>
      <c r="P1452" s="145"/>
      <c r="Q1452" s="145"/>
      <c r="R1452" s="145"/>
      <c r="S1452" s="145"/>
      <c r="T1452" s="135">
        <v>21015</v>
      </c>
      <c r="U1452" s="145"/>
      <c r="V1452" s="134" t="s">
        <v>509</v>
      </c>
      <c r="W1452" s="92" t="str">
        <f t="shared" si="107"/>
        <v>Ariza Lopez,Rafael</v>
      </c>
      <c r="X1452" s="95">
        <f t="shared" si="108"/>
        <v>4</v>
      </c>
      <c r="Y1452" s="95">
        <f t="shared" si="109"/>
        <v>2022</v>
      </c>
      <c r="Z1452" s="103" t="s">
        <v>265</v>
      </c>
      <c r="AA1452" t="str">
        <f>IF(Tabla1[[#This Row],[Kerma en aire acumulada (Gy)]]&gt;1,SUMIF(G:G,Tabla1[[#This Row],[SIP]],I:I)-Tabla1[[#This Row],[Kerma en aire acumulada (Gy)]],"")</f>
        <v/>
      </c>
    </row>
    <row r="1453" spans="3:27">
      <c r="C1453" s="147" t="s">
        <v>1088</v>
      </c>
      <c r="D1453" s="134" t="s">
        <v>124</v>
      </c>
      <c r="E1453" s="134" t="s">
        <v>1792</v>
      </c>
      <c r="F1453" s="134" t="s">
        <v>83</v>
      </c>
      <c r="G1453" s="134">
        <v>3189307</v>
      </c>
      <c r="H1453" s="135">
        <v>44677</v>
      </c>
      <c r="I1453" s="134">
        <v>0.60367000000000004</v>
      </c>
      <c r="J1453" s="145"/>
      <c r="K1453" s="145"/>
      <c r="L1453" s="145"/>
      <c r="M1453" s="145"/>
      <c r="N1453" s="145"/>
      <c r="O1453" s="145"/>
      <c r="P1453" s="145"/>
      <c r="Q1453" s="145"/>
      <c r="R1453" s="145"/>
      <c r="S1453" s="145"/>
      <c r="T1453" s="135">
        <v>15265</v>
      </c>
      <c r="U1453" s="145"/>
      <c r="V1453" s="134" t="s">
        <v>1594</v>
      </c>
      <c r="W1453" s="92" t="str">
        <f t="shared" si="107"/>
        <v>Calero Rodrigo,Francisco</v>
      </c>
      <c r="X1453" s="95">
        <f t="shared" si="108"/>
        <v>4</v>
      </c>
      <c r="Y1453" s="95">
        <f t="shared" si="109"/>
        <v>2022</v>
      </c>
      <c r="Z1453" s="103" t="s">
        <v>265</v>
      </c>
      <c r="AA1453" t="str">
        <f>IF(Tabla1[[#This Row],[Kerma en aire acumulada (Gy)]]&gt;1,SUMIF(G:G,Tabla1[[#This Row],[SIP]],I:I)-Tabla1[[#This Row],[Kerma en aire acumulada (Gy)]],"")</f>
        <v/>
      </c>
    </row>
    <row r="1454" spans="3:27">
      <c r="C1454" s="147" t="s">
        <v>1088</v>
      </c>
      <c r="D1454" s="134" t="s">
        <v>2646</v>
      </c>
      <c r="E1454" s="134" t="s">
        <v>2647</v>
      </c>
      <c r="F1454" s="134" t="s">
        <v>1766</v>
      </c>
      <c r="G1454" s="134">
        <v>2484458</v>
      </c>
      <c r="H1454" s="135">
        <v>44677</v>
      </c>
      <c r="I1454" s="134">
        <v>0.90564999999999996</v>
      </c>
      <c r="J1454" s="145"/>
      <c r="K1454" s="145"/>
      <c r="L1454" s="145"/>
      <c r="M1454" s="145"/>
      <c r="N1454" s="145"/>
      <c r="O1454" s="145"/>
      <c r="P1454" s="145"/>
      <c r="Q1454" s="145"/>
      <c r="R1454" s="145"/>
      <c r="S1454" s="145"/>
      <c r="T1454" s="135">
        <v>11772</v>
      </c>
      <c r="U1454" s="145"/>
      <c r="V1454" s="134" t="s">
        <v>128</v>
      </c>
      <c r="W1454" s="92" t="str">
        <f t="shared" si="107"/>
        <v>Hinarejos Abril,Gabriel</v>
      </c>
      <c r="X1454" s="95">
        <f t="shared" si="108"/>
        <v>4</v>
      </c>
      <c r="Y1454" s="95">
        <f t="shared" si="109"/>
        <v>2022</v>
      </c>
      <c r="Z1454" s="103" t="s">
        <v>265</v>
      </c>
      <c r="AA1454" t="str">
        <f>IF(Tabla1[[#This Row],[Kerma en aire acumulada (Gy)]]&gt;1,SUMIF(G:G,Tabla1[[#This Row],[SIP]],I:I)-Tabla1[[#This Row],[Kerma en aire acumulada (Gy)]],"")</f>
        <v/>
      </c>
    </row>
    <row r="1455" spans="3:27">
      <c r="C1455" s="147" t="s">
        <v>1088</v>
      </c>
      <c r="D1455" s="134" t="s">
        <v>1009</v>
      </c>
      <c r="E1455" s="134" t="s">
        <v>2654</v>
      </c>
      <c r="F1455" s="134" t="s">
        <v>2655</v>
      </c>
      <c r="G1455" s="134">
        <v>184178</v>
      </c>
      <c r="H1455" s="135">
        <v>44677</v>
      </c>
      <c r="I1455" s="134">
        <v>0.13899</v>
      </c>
      <c r="J1455" s="145"/>
      <c r="K1455" s="145"/>
      <c r="L1455" s="145"/>
      <c r="M1455" s="145"/>
      <c r="N1455" s="145"/>
      <c r="O1455" s="145"/>
      <c r="P1455" s="145"/>
      <c r="Q1455" s="145"/>
      <c r="R1455" s="145"/>
      <c r="S1455" s="145"/>
      <c r="T1455" s="135">
        <v>18514</v>
      </c>
      <c r="U1455" s="145"/>
      <c r="V1455" s="134" t="s">
        <v>563</v>
      </c>
      <c r="W1455" s="92" t="str">
        <f t="shared" si="107"/>
        <v>Fernandez Vilela,Consuelo Mercedes</v>
      </c>
      <c r="X1455" s="95">
        <f t="shared" si="108"/>
        <v>4</v>
      </c>
      <c r="Y1455" s="95">
        <f t="shared" si="109"/>
        <v>2022</v>
      </c>
      <c r="Z1455" s="136" t="s">
        <v>266</v>
      </c>
      <c r="AA1455" t="str">
        <f>IF(Tabla1[[#This Row],[Kerma en aire acumulada (Gy)]]&gt;1,SUMIF(G:G,Tabla1[[#This Row],[SIP]],I:I)-Tabla1[[#This Row],[Kerma en aire acumulada (Gy)]],"")</f>
        <v/>
      </c>
    </row>
    <row r="1456" spans="3:27">
      <c r="C1456" s="147" t="s">
        <v>1088</v>
      </c>
      <c r="D1456" s="134" t="s">
        <v>2656</v>
      </c>
      <c r="E1456" s="134" t="s">
        <v>2657</v>
      </c>
      <c r="F1456" s="134" t="s">
        <v>1074</v>
      </c>
      <c r="G1456" s="134">
        <v>4643347</v>
      </c>
      <c r="H1456" s="135">
        <v>44677</v>
      </c>
      <c r="I1456" s="134">
        <v>0.21412999999999999</v>
      </c>
      <c r="J1456" s="145"/>
      <c r="K1456" s="145"/>
      <c r="L1456" s="145"/>
      <c r="M1456" s="145"/>
      <c r="N1456" s="145"/>
      <c r="O1456" s="145"/>
      <c r="P1456" s="145"/>
      <c r="Q1456" s="145"/>
      <c r="R1456" s="145"/>
      <c r="S1456" s="145"/>
      <c r="T1456" s="135">
        <v>29363</v>
      </c>
      <c r="U1456" s="145"/>
      <c r="V1456" s="134" t="s">
        <v>563</v>
      </c>
      <c r="W1456" s="92" t="str">
        <f t="shared" si="107"/>
        <v>Giron Gascon,Raul</v>
      </c>
      <c r="X1456" s="95">
        <f t="shared" si="108"/>
        <v>4</v>
      </c>
      <c r="Y1456" s="95">
        <f t="shared" si="109"/>
        <v>2022</v>
      </c>
      <c r="Z1456" s="136" t="s">
        <v>266</v>
      </c>
      <c r="AA1456" t="str">
        <f>IF(Tabla1[[#This Row],[Kerma en aire acumulada (Gy)]]&gt;1,SUMIF(G:G,Tabla1[[#This Row],[SIP]],I:I)-Tabla1[[#This Row],[Kerma en aire acumulada (Gy)]],"")</f>
        <v/>
      </c>
    </row>
    <row r="1457" spans="3:27">
      <c r="C1457" s="147" t="s">
        <v>1088</v>
      </c>
      <c r="D1457" s="134" t="s">
        <v>2658</v>
      </c>
      <c r="E1457" s="134" t="s">
        <v>1249</v>
      </c>
      <c r="F1457" s="134" t="s">
        <v>1006</v>
      </c>
      <c r="G1457" s="134">
        <v>2589591</v>
      </c>
      <c r="H1457" s="135">
        <v>44677</v>
      </c>
      <c r="I1457" s="134">
        <v>8.7900000000000006E-2</v>
      </c>
      <c r="J1457" s="145"/>
      <c r="K1457" s="145"/>
      <c r="L1457" s="145"/>
      <c r="M1457" s="145"/>
      <c r="N1457" s="145"/>
      <c r="O1457" s="145"/>
      <c r="P1457" s="145"/>
      <c r="Q1457" s="145"/>
      <c r="R1457" s="145"/>
      <c r="S1457" s="145"/>
      <c r="T1457" s="135">
        <v>19923</v>
      </c>
      <c r="U1457" s="145"/>
      <c r="V1457" s="134" t="s">
        <v>563</v>
      </c>
      <c r="W1457" s="92" t="str">
        <f t="shared" si="107"/>
        <v>Fabeiro Cortes,Victoria</v>
      </c>
      <c r="X1457" s="95">
        <f t="shared" si="108"/>
        <v>4</v>
      </c>
      <c r="Y1457" s="95">
        <f t="shared" si="109"/>
        <v>2022</v>
      </c>
      <c r="Z1457" s="136" t="s">
        <v>266</v>
      </c>
      <c r="AA1457" t="str">
        <f>IF(Tabla1[[#This Row],[Kerma en aire acumulada (Gy)]]&gt;1,SUMIF(G:G,Tabla1[[#This Row],[SIP]],I:I)-Tabla1[[#This Row],[Kerma en aire acumulada (Gy)]],"")</f>
        <v/>
      </c>
    </row>
    <row r="1458" spans="3:27">
      <c r="C1458" s="147" t="s">
        <v>1088</v>
      </c>
      <c r="D1458" s="134" t="s">
        <v>1012</v>
      </c>
      <c r="E1458" s="134" t="s">
        <v>1001</v>
      </c>
      <c r="F1458" s="134" t="s">
        <v>2659</v>
      </c>
      <c r="G1458" s="134">
        <v>2206920</v>
      </c>
      <c r="H1458" s="135">
        <v>44677</v>
      </c>
      <c r="I1458" s="134">
        <v>0.20394999999999999</v>
      </c>
      <c r="J1458" s="145"/>
      <c r="K1458" s="145"/>
      <c r="L1458" s="145"/>
      <c r="M1458" s="145"/>
      <c r="N1458" s="145"/>
      <c r="O1458" s="145"/>
      <c r="P1458" s="145"/>
      <c r="Q1458" s="145"/>
      <c r="R1458" s="145"/>
      <c r="S1458" s="145"/>
      <c r="T1458" s="135">
        <v>26000</v>
      </c>
      <c r="U1458" s="145"/>
      <c r="V1458" s="134" t="s">
        <v>563</v>
      </c>
      <c r="W1458" s="92" t="str">
        <f t="shared" si="107"/>
        <v>Ros Perez,Bernardo</v>
      </c>
      <c r="X1458" s="95">
        <f t="shared" si="108"/>
        <v>4</v>
      </c>
      <c r="Y1458" s="95">
        <f t="shared" si="109"/>
        <v>2022</v>
      </c>
      <c r="Z1458" s="136" t="s">
        <v>266</v>
      </c>
      <c r="AA1458" t="str">
        <f>IF(Tabla1[[#This Row],[Kerma en aire acumulada (Gy)]]&gt;1,SUMIF(G:G,Tabla1[[#This Row],[SIP]],I:I)-Tabla1[[#This Row],[Kerma en aire acumulada (Gy)]],"")</f>
        <v/>
      </c>
    </row>
    <row r="1459" spans="3:27">
      <c r="C1459" s="147" t="s">
        <v>1088</v>
      </c>
      <c r="D1459" s="134" t="s">
        <v>35</v>
      </c>
      <c r="E1459" s="134" t="s">
        <v>2660</v>
      </c>
      <c r="F1459" s="134" t="s">
        <v>83</v>
      </c>
      <c r="G1459" s="134">
        <v>3506580</v>
      </c>
      <c r="H1459" s="135">
        <v>44677</v>
      </c>
      <c r="I1459" s="134">
        <v>0.18822</v>
      </c>
      <c r="J1459" s="145"/>
      <c r="K1459" s="145"/>
      <c r="L1459" s="145"/>
      <c r="M1459" s="145"/>
      <c r="N1459" s="145"/>
      <c r="O1459" s="145"/>
      <c r="P1459" s="145"/>
      <c r="Q1459" s="145"/>
      <c r="R1459" s="145"/>
      <c r="S1459" s="145"/>
      <c r="T1459" s="135">
        <v>15131</v>
      </c>
      <c r="U1459" s="145"/>
      <c r="V1459" s="134" t="s">
        <v>563</v>
      </c>
      <c r="W1459" s="92" t="str">
        <f t="shared" si="107"/>
        <v>Lozano Antoñero,Francisco</v>
      </c>
      <c r="X1459" s="95">
        <f t="shared" si="108"/>
        <v>4</v>
      </c>
      <c r="Y1459" s="95">
        <f t="shared" si="109"/>
        <v>2022</v>
      </c>
      <c r="Z1459" s="136" t="s">
        <v>266</v>
      </c>
      <c r="AA1459" t="str">
        <f>IF(Tabla1[[#This Row],[Kerma en aire acumulada (Gy)]]&gt;1,SUMIF(G:G,Tabla1[[#This Row],[SIP]],I:I)-Tabla1[[#This Row],[Kerma en aire acumulada (Gy)]],"")</f>
        <v/>
      </c>
    </row>
    <row r="1460" spans="3:27">
      <c r="C1460" s="147" t="s">
        <v>1088</v>
      </c>
      <c r="D1460" s="134" t="s">
        <v>1740</v>
      </c>
      <c r="E1460" s="134" t="s">
        <v>1248</v>
      </c>
      <c r="F1460" s="134" t="s">
        <v>117</v>
      </c>
      <c r="G1460" s="134">
        <v>2246209</v>
      </c>
      <c r="H1460" s="135">
        <v>44677</v>
      </c>
      <c r="I1460" s="134">
        <v>6.9970000000000004E-2</v>
      </c>
      <c r="J1460" s="145"/>
      <c r="K1460" s="145"/>
      <c r="L1460" s="145"/>
      <c r="M1460" s="145"/>
      <c r="N1460" s="145"/>
      <c r="O1460" s="145"/>
      <c r="P1460" s="145"/>
      <c r="Q1460" s="145"/>
      <c r="R1460" s="145"/>
      <c r="S1460" s="145"/>
      <c r="T1460" s="135">
        <v>17446</v>
      </c>
      <c r="U1460" s="145"/>
      <c r="V1460" s="134" t="s">
        <v>563</v>
      </c>
      <c r="W1460" s="92" t="str">
        <f t="shared" si="107"/>
        <v>Vila Marti,M Carmen</v>
      </c>
      <c r="X1460" s="95">
        <f t="shared" si="108"/>
        <v>4</v>
      </c>
      <c r="Y1460" s="95">
        <f t="shared" si="109"/>
        <v>2022</v>
      </c>
      <c r="Z1460" s="136" t="s">
        <v>266</v>
      </c>
      <c r="AA1460" t="str">
        <f>IF(Tabla1[[#This Row],[Kerma en aire acumulada (Gy)]]&gt;1,SUMIF(G:G,Tabla1[[#This Row],[SIP]],I:I)-Tabla1[[#This Row],[Kerma en aire acumulada (Gy)]],"")</f>
        <v/>
      </c>
    </row>
    <row r="1461" spans="3:27">
      <c r="C1461" s="147" t="s">
        <v>1088</v>
      </c>
      <c r="D1461" s="134" t="s">
        <v>2661</v>
      </c>
      <c r="E1461" s="134" t="s">
        <v>1090</v>
      </c>
      <c r="F1461" s="134" t="s">
        <v>356</v>
      </c>
      <c r="G1461" s="134">
        <v>3599663</v>
      </c>
      <c r="H1461" s="135">
        <v>44677</v>
      </c>
      <c r="I1461" s="134">
        <v>0.53652999999999995</v>
      </c>
      <c r="J1461" s="145"/>
      <c r="K1461" s="145"/>
      <c r="L1461" s="145"/>
      <c r="M1461" s="145"/>
      <c r="N1461" s="145"/>
      <c r="O1461" s="145"/>
      <c r="P1461" s="145"/>
      <c r="Q1461" s="145"/>
      <c r="R1461" s="145"/>
      <c r="S1461" s="145"/>
      <c r="T1461" s="135">
        <v>10687</v>
      </c>
      <c r="U1461" s="145"/>
      <c r="V1461" s="134" t="s">
        <v>563</v>
      </c>
      <c r="W1461" s="92" t="str">
        <f t="shared" si="107"/>
        <v>Fabuel Ibañez,Manuel</v>
      </c>
      <c r="X1461" s="95">
        <f t="shared" si="108"/>
        <v>4</v>
      </c>
      <c r="Y1461" s="95">
        <f t="shared" si="109"/>
        <v>2022</v>
      </c>
      <c r="Z1461" s="136" t="s">
        <v>266</v>
      </c>
      <c r="AA1461" t="str">
        <f>IF(Tabla1[[#This Row],[Kerma en aire acumulada (Gy)]]&gt;1,SUMIF(G:G,Tabla1[[#This Row],[SIP]],I:I)-Tabla1[[#This Row],[Kerma en aire acumulada (Gy)]],"")</f>
        <v/>
      </c>
    </row>
    <row r="1462" spans="3:27">
      <c r="C1462" s="147" t="s">
        <v>1088</v>
      </c>
      <c r="D1462" s="134" t="s">
        <v>2662</v>
      </c>
      <c r="E1462" s="134" t="s">
        <v>856</v>
      </c>
      <c r="F1462" s="134" t="s">
        <v>562</v>
      </c>
      <c r="G1462" s="134">
        <v>2228973</v>
      </c>
      <c r="H1462" s="135">
        <v>44677</v>
      </c>
      <c r="I1462" s="134">
        <v>6.8019999999999997E-2</v>
      </c>
      <c r="J1462" s="145"/>
      <c r="K1462" s="145"/>
      <c r="L1462" s="145"/>
      <c r="M1462" s="145"/>
      <c r="N1462" s="145"/>
      <c r="O1462" s="145"/>
      <c r="P1462" s="145"/>
      <c r="Q1462" s="145"/>
      <c r="R1462" s="145"/>
      <c r="S1462" s="145"/>
      <c r="T1462" s="135">
        <v>18389</v>
      </c>
      <c r="U1462" s="145"/>
      <c r="V1462" s="134" t="s">
        <v>563</v>
      </c>
      <c r="W1462" s="92" t="str">
        <f t="shared" si="107"/>
        <v>Galbach Gomez,Rosa</v>
      </c>
      <c r="X1462" s="95">
        <f t="shared" si="108"/>
        <v>4</v>
      </c>
      <c r="Y1462" s="95">
        <f t="shared" si="109"/>
        <v>2022</v>
      </c>
      <c r="Z1462" s="136" t="s">
        <v>266</v>
      </c>
      <c r="AA1462" t="str">
        <f>IF(Tabla1[[#This Row],[Kerma en aire acumulada (Gy)]]&gt;1,SUMIF(G:G,Tabla1[[#This Row],[SIP]],I:I)-Tabla1[[#This Row],[Kerma en aire acumulada (Gy)]],"")</f>
        <v/>
      </c>
    </row>
    <row r="1463" spans="3:27">
      <c r="C1463" s="147" t="s">
        <v>1088</v>
      </c>
      <c r="D1463" s="134" t="s">
        <v>77</v>
      </c>
      <c r="E1463" s="134" t="s">
        <v>962</v>
      </c>
      <c r="F1463" s="134" t="s">
        <v>1907</v>
      </c>
      <c r="G1463" s="134">
        <v>3027914</v>
      </c>
      <c r="H1463" s="135">
        <v>44677</v>
      </c>
      <c r="I1463" s="134">
        <v>0.85404000000000002</v>
      </c>
      <c r="J1463" s="145"/>
      <c r="K1463" s="145"/>
      <c r="L1463" s="145"/>
      <c r="M1463" s="145"/>
      <c r="N1463" s="145"/>
      <c r="O1463" s="145"/>
      <c r="P1463" s="145"/>
      <c r="Q1463" s="145"/>
      <c r="R1463" s="145"/>
      <c r="S1463" s="145"/>
      <c r="T1463" s="135">
        <v>33937</v>
      </c>
      <c r="U1463" s="145"/>
      <c r="V1463" s="134" t="s">
        <v>563</v>
      </c>
      <c r="W1463" s="92" t="str">
        <f t="shared" si="107"/>
        <v>Torres Garcia,Ivan</v>
      </c>
      <c r="X1463" s="95">
        <f t="shared" si="108"/>
        <v>4</v>
      </c>
      <c r="Y1463" s="95">
        <f t="shared" si="109"/>
        <v>2022</v>
      </c>
      <c r="Z1463" s="136" t="s">
        <v>266</v>
      </c>
      <c r="AA1463" t="str">
        <f>IF(Tabla1[[#This Row],[Kerma en aire acumulada (Gy)]]&gt;1,SUMIF(G:G,Tabla1[[#This Row],[SIP]],I:I)-Tabla1[[#This Row],[Kerma en aire acumulada (Gy)]],"")</f>
        <v/>
      </c>
    </row>
    <row r="1464" spans="3:27">
      <c r="C1464" s="147" t="s">
        <v>1088</v>
      </c>
      <c r="D1464" s="134" t="s">
        <v>868</v>
      </c>
      <c r="E1464" s="134" t="s">
        <v>2674</v>
      </c>
      <c r="F1464" s="134" t="s">
        <v>699</v>
      </c>
      <c r="G1464" s="134">
        <v>4577288</v>
      </c>
      <c r="H1464" s="135">
        <v>44677</v>
      </c>
      <c r="I1464" s="134"/>
      <c r="J1464" s="145"/>
      <c r="K1464" s="145"/>
      <c r="L1464" s="145"/>
      <c r="M1464" s="145"/>
      <c r="N1464" s="145"/>
      <c r="O1464" s="145"/>
      <c r="P1464" s="145"/>
      <c r="Q1464" s="145"/>
      <c r="R1464" s="145"/>
      <c r="S1464" s="145"/>
      <c r="T1464" s="135">
        <v>24351</v>
      </c>
      <c r="U1464" s="145"/>
      <c r="V1464" s="134" t="s">
        <v>563</v>
      </c>
      <c r="W1464" s="92" t="str">
        <f t="shared" si="107"/>
        <v>Peñalver Del rey,Cristina</v>
      </c>
      <c r="X1464" s="95">
        <f t="shared" si="108"/>
        <v>4</v>
      </c>
      <c r="Y1464" s="95">
        <f t="shared" si="109"/>
        <v>2022</v>
      </c>
      <c r="Z1464" s="136" t="s">
        <v>266</v>
      </c>
      <c r="AA1464" t="str">
        <f>IF(Tabla1[[#This Row],[Kerma en aire acumulada (Gy)]]&gt;1,SUMIF(G:G,Tabla1[[#This Row],[SIP]],I:I)-Tabla1[[#This Row],[Kerma en aire acumulada (Gy)]],"")</f>
        <v/>
      </c>
    </row>
    <row r="1465" spans="3:27">
      <c r="C1465" s="147" t="s">
        <v>1088</v>
      </c>
      <c r="D1465" s="134" t="s">
        <v>2675</v>
      </c>
      <c r="E1465" s="134" t="s">
        <v>962</v>
      </c>
      <c r="F1465" s="134" t="s">
        <v>2676</v>
      </c>
      <c r="G1465" s="134">
        <v>2838383</v>
      </c>
      <c r="H1465" s="135">
        <v>44677</v>
      </c>
      <c r="I1465" s="134">
        <v>0.70716000000000001</v>
      </c>
      <c r="J1465" s="145"/>
      <c r="K1465" s="145"/>
      <c r="L1465" s="145"/>
      <c r="M1465" s="145"/>
      <c r="N1465" s="145"/>
      <c r="O1465" s="145"/>
      <c r="P1465" s="145"/>
      <c r="Q1465" s="145"/>
      <c r="R1465" s="145"/>
      <c r="S1465" s="145"/>
      <c r="T1465" s="135">
        <v>16953</v>
      </c>
      <c r="U1465" s="145"/>
      <c r="V1465" s="134" t="s">
        <v>563</v>
      </c>
      <c r="W1465" s="92" t="str">
        <f t="shared" si="107"/>
        <v>Fresneda Garcia,Isisdro</v>
      </c>
      <c r="X1465" s="95">
        <f t="shared" si="108"/>
        <v>4</v>
      </c>
      <c r="Y1465" s="95">
        <f t="shared" si="109"/>
        <v>2022</v>
      </c>
      <c r="Z1465" s="136" t="s">
        <v>266</v>
      </c>
      <c r="AA1465" t="str">
        <f>IF(Tabla1[[#This Row],[Kerma en aire acumulada (Gy)]]&gt;1,SUMIF(G:G,Tabla1[[#This Row],[SIP]],I:I)-Tabla1[[#This Row],[Kerma en aire acumulada (Gy)]],"")</f>
        <v/>
      </c>
    </row>
    <row r="1466" spans="3:27">
      <c r="C1466" s="147" t="s">
        <v>1088</v>
      </c>
      <c r="D1466" s="134" t="s">
        <v>634</v>
      </c>
      <c r="E1466" s="134" t="s">
        <v>2123</v>
      </c>
      <c r="F1466" s="134" t="s">
        <v>2652</v>
      </c>
      <c r="G1466" s="134">
        <v>2988103</v>
      </c>
      <c r="H1466" s="135">
        <v>44677</v>
      </c>
      <c r="I1466" s="134">
        <v>0.13854</v>
      </c>
      <c r="J1466" s="145"/>
      <c r="K1466" s="145"/>
      <c r="L1466" s="145"/>
      <c r="M1466" s="145"/>
      <c r="N1466" s="145"/>
      <c r="O1466" s="145"/>
      <c r="P1466" s="145"/>
      <c r="Q1466" s="145"/>
      <c r="R1466" s="145"/>
      <c r="S1466" s="145"/>
      <c r="T1466" s="135">
        <v>24049</v>
      </c>
      <c r="U1466" s="145"/>
      <c r="V1466" s="134" t="s">
        <v>563</v>
      </c>
      <c r="W1466" s="92" t="str">
        <f t="shared" si="107"/>
        <v>Gil Diez,Vicente Antonio</v>
      </c>
      <c r="X1466" s="95">
        <f t="shared" si="108"/>
        <v>4</v>
      </c>
      <c r="Y1466" s="95">
        <f t="shared" si="109"/>
        <v>2022</v>
      </c>
      <c r="Z1466" s="136" t="s">
        <v>266</v>
      </c>
      <c r="AA1466" t="str">
        <f>IF(Tabla1[[#This Row],[Kerma en aire acumulada (Gy)]]&gt;1,SUMIF(G:G,Tabla1[[#This Row],[SIP]],I:I)-Tabla1[[#This Row],[Kerma en aire acumulada (Gy)]],"")</f>
        <v/>
      </c>
    </row>
    <row r="1467" spans="3:27">
      <c r="C1467" s="147" t="s">
        <v>1088</v>
      </c>
      <c r="D1467" s="134" t="s">
        <v>2677</v>
      </c>
      <c r="E1467" s="134" t="s">
        <v>2678</v>
      </c>
      <c r="F1467" s="134" t="s">
        <v>2679</v>
      </c>
      <c r="G1467" s="134">
        <v>2891268</v>
      </c>
      <c r="H1467" s="135">
        <v>44677</v>
      </c>
      <c r="I1467" s="134">
        <v>4.2590000000000003E-2</v>
      </c>
      <c r="J1467" s="145"/>
      <c r="K1467" s="145"/>
      <c r="L1467" s="145"/>
      <c r="M1467" s="145"/>
      <c r="N1467" s="145"/>
      <c r="O1467" s="145"/>
      <c r="P1467" s="145"/>
      <c r="Q1467" s="145"/>
      <c r="R1467" s="145"/>
      <c r="S1467" s="145"/>
      <c r="T1467" s="135">
        <v>26209</v>
      </c>
      <c r="U1467" s="145"/>
      <c r="V1467" s="134" t="s">
        <v>563</v>
      </c>
      <c r="W1467" s="92" t="str">
        <f t="shared" si="107"/>
        <v>Frodas Cordon,Eva</v>
      </c>
      <c r="X1467" s="95">
        <f t="shared" si="108"/>
        <v>4</v>
      </c>
      <c r="Y1467" s="95">
        <f t="shared" si="109"/>
        <v>2022</v>
      </c>
      <c r="Z1467" s="136" t="s">
        <v>266</v>
      </c>
      <c r="AA1467" t="str">
        <f>IF(Tabla1[[#This Row],[Kerma en aire acumulada (Gy)]]&gt;1,SUMIF(G:G,Tabla1[[#This Row],[SIP]],I:I)-Tabla1[[#This Row],[Kerma en aire acumulada (Gy)]],"")</f>
        <v/>
      </c>
    </row>
    <row r="1468" spans="3:27">
      <c r="C1468" s="147" t="s">
        <v>1088</v>
      </c>
      <c r="D1468" s="134" t="s">
        <v>2288</v>
      </c>
      <c r="E1468" s="134" t="s">
        <v>960</v>
      </c>
      <c r="F1468" s="134" t="s">
        <v>1155</v>
      </c>
      <c r="G1468" s="134">
        <v>2986311</v>
      </c>
      <c r="H1468" s="135">
        <v>44677</v>
      </c>
      <c r="I1468" s="134">
        <v>7.0720000000000005E-2</v>
      </c>
      <c r="J1468" s="145"/>
      <c r="K1468" s="145"/>
      <c r="L1468" s="145"/>
      <c r="M1468" s="145"/>
      <c r="N1468" s="145"/>
      <c r="O1468" s="145"/>
      <c r="P1468" s="145"/>
      <c r="Q1468" s="145"/>
      <c r="R1468" s="145"/>
      <c r="S1468" s="145"/>
      <c r="T1468" s="135">
        <v>18973</v>
      </c>
      <c r="U1468" s="145"/>
      <c r="V1468" s="134" t="s">
        <v>563</v>
      </c>
      <c r="W1468" s="92" t="str">
        <f t="shared" si="107"/>
        <v>Antelo Lopez,Maria</v>
      </c>
      <c r="X1468" s="95">
        <f t="shared" si="108"/>
        <v>4</v>
      </c>
      <c r="Y1468" s="95">
        <f t="shared" si="109"/>
        <v>2022</v>
      </c>
      <c r="Z1468" s="136" t="s">
        <v>266</v>
      </c>
      <c r="AA1468" t="str">
        <f>IF(Tabla1[[#This Row],[Kerma en aire acumulada (Gy)]]&gt;1,SUMIF(G:G,Tabla1[[#This Row],[SIP]],I:I)-Tabla1[[#This Row],[Kerma en aire acumulada (Gy)]],"")</f>
        <v/>
      </c>
    </row>
    <row r="1469" spans="3:27">
      <c r="C1469" s="147" t="s">
        <v>1088</v>
      </c>
      <c r="D1469" s="134" t="s">
        <v>82</v>
      </c>
      <c r="E1469" s="134" t="s">
        <v>960</v>
      </c>
      <c r="F1469" s="134" t="s">
        <v>2141</v>
      </c>
      <c r="G1469" s="134">
        <v>2863065</v>
      </c>
      <c r="H1469" s="135">
        <v>44677</v>
      </c>
      <c r="I1469" s="134">
        <v>0.19575999999999999</v>
      </c>
      <c r="J1469" s="145"/>
      <c r="K1469" s="145"/>
      <c r="L1469" s="145"/>
      <c r="M1469" s="145"/>
      <c r="N1469" s="145"/>
      <c r="O1469" s="145"/>
      <c r="P1469" s="145"/>
      <c r="Q1469" s="145"/>
      <c r="R1469" s="145"/>
      <c r="S1469" s="145"/>
      <c r="T1469" s="135">
        <v>17808</v>
      </c>
      <c r="U1469" s="145"/>
      <c r="V1469" s="134" t="s">
        <v>563</v>
      </c>
      <c r="W1469" s="92" t="str">
        <f t="shared" si="107"/>
        <v>Pascual Lopez,Jesus</v>
      </c>
      <c r="X1469" s="95">
        <f t="shared" si="108"/>
        <v>4</v>
      </c>
      <c r="Y1469" s="95">
        <f t="shared" si="109"/>
        <v>2022</v>
      </c>
      <c r="Z1469" s="136" t="s">
        <v>266</v>
      </c>
      <c r="AA1469" t="str">
        <f>IF(Tabla1[[#This Row],[Kerma en aire acumulada (Gy)]]&gt;1,SUMIF(G:G,Tabla1[[#This Row],[SIP]],I:I)-Tabla1[[#This Row],[Kerma en aire acumulada (Gy)]],"")</f>
        <v/>
      </c>
    </row>
    <row r="1470" spans="3:27">
      <c r="C1470" s="147" t="s">
        <v>1088</v>
      </c>
      <c r="D1470" s="134" t="s">
        <v>2690</v>
      </c>
      <c r="E1470" s="134" t="s">
        <v>856</v>
      </c>
      <c r="F1470" s="134" t="s">
        <v>1766</v>
      </c>
      <c r="G1470" s="134">
        <v>1184097</v>
      </c>
      <c r="H1470" s="135">
        <v>44677</v>
      </c>
      <c r="I1470" s="134">
        <v>5.4400000000000004E-3</v>
      </c>
      <c r="J1470" s="145"/>
      <c r="K1470" s="145"/>
      <c r="L1470" s="145"/>
      <c r="M1470" s="145"/>
      <c r="N1470" s="145"/>
      <c r="O1470" s="145"/>
      <c r="P1470" s="145"/>
      <c r="Q1470" s="145"/>
      <c r="R1470" s="145"/>
      <c r="S1470" s="145"/>
      <c r="T1470" s="135">
        <v>23143</v>
      </c>
      <c r="U1470" s="145"/>
      <c r="V1470" s="134" t="s">
        <v>2309</v>
      </c>
      <c r="W1470" s="92" t="str">
        <f t="shared" si="107"/>
        <v>Botica Gomez,Gabriel</v>
      </c>
      <c r="X1470" s="95">
        <f t="shared" si="108"/>
        <v>4</v>
      </c>
      <c r="Y1470" s="95">
        <f t="shared" si="109"/>
        <v>2022</v>
      </c>
      <c r="Z1470" s="136" t="s">
        <v>2238</v>
      </c>
      <c r="AA1470" t="str">
        <f>IF(Tabla1[[#This Row],[Kerma en aire acumulada (Gy)]]&gt;1,SUMIF(G:G,Tabla1[[#This Row],[SIP]],I:I)-Tabla1[[#This Row],[Kerma en aire acumulada (Gy)]],"")</f>
        <v/>
      </c>
    </row>
    <row r="1471" spans="3:27">
      <c r="C1471" s="147" t="s">
        <v>1088</v>
      </c>
      <c r="D1471" s="134" t="s">
        <v>1065</v>
      </c>
      <c r="E1471" s="134"/>
      <c r="F1471" s="134" t="s">
        <v>1066</v>
      </c>
      <c r="G1471" s="134">
        <v>7133238</v>
      </c>
      <c r="H1471" s="135">
        <v>44677</v>
      </c>
      <c r="I1471" s="134">
        <v>1.299E-2</v>
      </c>
      <c r="J1471" s="145"/>
      <c r="K1471" s="145"/>
      <c r="L1471" s="145"/>
      <c r="M1471" s="145"/>
      <c r="N1471" s="145"/>
      <c r="O1471" s="145"/>
      <c r="P1471" s="145"/>
      <c r="Q1471" s="145"/>
      <c r="R1471" s="145"/>
      <c r="S1471" s="145"/>
      <c r="T1471" s="135">
        <v>14657</v>
      </c>
      <c r="U1471" s="145"/>
      <c r="V1471" s="134" t="s">
        <v>2309</v>
      </c>
      <c r="W1471" s="92" t="str">
        <f t="shared" si="107"/>
        <v>Stoykov ,Viktor Stoynev</v>
      </c>
      <c r="X1471" s="95">
        <f t="shared" si="108"/>
        <v>4</v>
      </c>
      <c r="Y1471" s="95">
        <f t="shared" si="109"/>
        <v>2022</v>
      </c>
      <c r="Z1471" s="136" t="s">
        <v>2238</v>
      </c>
      <c r="AA1471" t="str">
        <f>IF(Tabla1[[#This Row],[Kerma en aire acumulada (Gy)]]&gt;1,SUMIF(G:G,Tabla1[[#This Row],[SIP]],I:I)-Tabla1[[#This Row],[Kerma en aire acumulada (Gy)]],"")</f>
        <v/>
      </c>
    </row>
    <row r="1472" spans="3:27">
      <c r="C1472" s="147" t="s">
        <v>1088</v>
      </c>
      <c r="D1472" s="134" t="s">
        <v>2643</v>
      </c>
      <c r="E1472" s="134" t="s">
        <v>1001</v>
      </c>
      <c r="F1472" s="134" t="s">
        <v>1038</v>
      </c>
      <c r="G1472" s="134">
        <v>2294726</v>
      </c>
      <c r="H1472" s="135">
        <v>44678</v>
      </c>
      <c r="I1472" s="134">
        <v>2.3400000000000001E-2</v>
      </c>
      <c r="J1472" s="145"/>
      <c r="K1472" s="145"/>
      <c r="L1472" s="145"/>
      <c r="M1472" s="145"/>
      <c r="N1472" s="145"/>
      <c r="O1472" s="145"/>
      <c r="P1472" s="145"/>
      <c r="Q1472" s="145"/>
      <c r="R1472" s="145"/>
      <c r="S1472" s="145"/>
      <c r="T1472" s="135">
        <v>21078</v>
      </c>
      <c r="U1472" s="145"/>
      <c r="V1472" s="134" t="s">
        <v>2644</v>
      </c>
      <c r="W1472" s="92" t="str">
        <f t="shared" si="107"/>
        <v>Lechuga Perez,Juan Antonio</v>
      </c>
      <c r="X1472" s="95">
        <f t="shared" si="108"/>
        <v>4</v>
      </c>
      <c r="Y1472" s="95">
        <f t="shared" si="109"/>
        <v>2022</v>
      </c>
      <c r="Z1472" s="103" t="s">
        <v>265</v>
      </c>
      <c r="AA1472" t="str">
        <f>IF(Tabla1[[#This Row],[Kerma en aire acumulada (Gy)]]&gt;1,SUMIF(G:G,Tabla1[[#This Row],[SIP]],I:I)-Tabla1[[#This Row],[Kerma en aire acumulada (Gy)]],"")</f>
        <v/>
      </c>
    </row>
    <row r="1473" spans="3:27">
      <c r="C1473" s="147" t="s">
        <v>1088</v>
      </c>
      <c r="D1473" s="134" t="s">
        <v>1906</v>
      </c>
      <c r="E1473" s="134" t="s">
        <v>954</v>
      </c>
      <c r="F1473" s="134" t="s">
        <v>1907</v>
      </c>
      <c r="G1473" s="134">
        <v>3269247</v>
      </c>
      <c r="H1473" s="135">
        <v>44678</v>
      </c>
      <c r="I1473" s="134">
        <v>3.6940000000000001E-2</v>
      </c>
      <c r="J1473" s="145"/>
      <c r="K1473" s="145"/>
      <c r="L1473" s="145"/>
      <c r="M1473" s="145"/>
      <c r="N1473" s="145"/>
      <c r="O1473" s="145"/>
      <c r="P1473" s="145"/>
      <c r="Q1473" s="145"/>
      <c r="R1473" s="145"/>
      <c r="S1473" s="145"/>
      <c r="T1473" s="135">
        <v>28280</v>
      </c>
      <c r="U1473" s="145"/>
      <c r="V1473" s="134" t="s">
        <v>1653</v>
      </c>
      <c r="W1473" s="92" t="str">
        <f t="shared" si="107"/>
        <v>Copado Carbonell,Ivan</v>
      </c>
      <c r="X1473" s="95">
        <f t="shared" si="108"/>
        <v>4</v>
      </c>
      <c r="Y1473" s="95">
        <f t="shared" si="109"/>
        <v>2022</v>
      </c>
      <c r="Z1473" s="103" t="s">
        <v>265</v>
      </c>
      <c r="AA1473" t="str">
        <f>IF(Tabla1[[#This Row],[Kerma en aire acumulada (Gy)]]&gt;1,SUMIF(G:G,Tabla1[[#This Row],[SIP]],I:I)-Tabla1[[#This Row],[Kerma en aire acumulada (Gy)]],"")</f>
        <v/>
      </c>
    </row>
    <row r="1474" spans="3:27">
      <c r="C1474" s="147" t="s">
        <v>1088</v>
      </c>
      <c r="D1474" s="134" t="s">
        <v>1090</v>
      </c>
      <c r="E1474" s="134" t="s">
        <v>1249</v>
      </c>
      <c r="F1474" s="134" t="s">
        <v>2028</v>
      </c>
      <c r="G1474" s="134">
        <v>2363476</v>
      </c>
      <c r="H1474" s="135">
        <v>44678</v>
      </c>
      <c r="I1474" s="134">
        <v>0.27643000000000001</v>
      </c>
      <c r="J1474" s="145"/>
      <c r="K1474" s="145"/>
      <c r="L1474" s="145"/>
      <c r="M1474" s="145"/>
      <c r="N1474" s="145"/>
      <c r="O1474" s="145"/>
      <c r="P1474" s="145"/>
      <c r="Q1474" s="145"/>
      <c r="R1474" s="145"/>
      <c r="S1474" s="145"/>
      <c r="T1474" s="135">
        <v>26546</v>
      </c>
      <c r="U1474" s="145"/>
      <c r="V1474" s="134" t="s">
        <v>2098</v>
      </c>
      <c r="W1474" s="92" t="str">
        <f t="shared" si="107"/>
        <v>Ibañez Cortes,M Angeles</v>
      </c>
      <c r="X1474" s="95">
        <f t="shared" si="108"/>
        <v>4</v>
      </c>
      <c r="Y1474" s="95">
        <f t="shared" si="109"/>
        <v>2022</v>
      </c>
      <c r="Z1474" s="103" t="s">
        <v>265</v>
      </c>
      <c r="AA1474" t="str">
        <f>IF(Tabla1[[#This Row],[Kerma en aire acumulada (Gy)]]&gt;1,SUMIF(G:G,Tabla1[[#This Row],[SIP]],I:I)-Tabla1[[#This Row],[Kerma en aire acumulada (Gy)]],"")</f>
        <v/>
      </c>
    </row>
    <row r="1475" spans="3:27">
      <c r="C1475" s="147" t="s">
        <v>1088</v>
      </c>
      <c r="D1475" s="134" t="s">
        <v>856</v>
      </c>
      <c r="E1475" s="134" t="s">
        <v>840</v>
      </c>
      <c r="F1475" s="134" t="s">
        <v>68</v>
      </c>
      <c r="G1475" s="134">
        <v>18576</v>
      </c>
      <c r="H1475" s="135">
        <v>44678</v>
      </c>
      <c r="I1475" s="134">
        <v>0.15084</v>
      </c>
      <c r="J1475" s="145"/>
      <c r="K1475" s="145"/>
      <c r="L1475" s="145"/>
      <c r="M1475" s="145"/>
      <c r="N1475" s="145"/>
      <c r="O1475" s="145"/>
      <c r="P1475" s="145"/>
      <c r="Q1475" s="145"/>
      <c r="R1475" s="145"/>
      <c r="S1475" s="145"/>
      <c r="T1475" s="135">
        <v>18298</v>
      </c>
      <c r="U1475" s="145"/>
      <c r="V1475" s="134" t="s">
        <v>563</v>
      </c>
      <c r="W1475" s="92" t="str">
        <f t="shared" si="107"/>
        <v>Gomez Santiago,Juan</v>
      </c>
      <c r="X1475" s="95">
        <f t="shared" si="108"/>
        <v>4</v>
      </c>
      <c r="Y1475" s="95">
        <f t="shared" si="109"/>
        <v>2022</v>
      </c>
      <c r="Z1475" s="136" t="s">
        <v>266</v>
      </c>
      <c r="AA1475" t="str">
        <f>IF(Tabla1[[#This Row],[Kerma en aire acumulada (Gy)]]&gt;1,SUMIF(G:G,Tabla1[[#This Row],[SIP]],I:I)-Tabla1[[#This Row],[Kerma en aire acumulada (Gy)]],"")</f>
        <v/>
      </c>
    </row>
    <row r="1476" spans="3:27">
      <c r="C1476" s="147" t="s">
        <v>1088</v>
      </c>
      <c r="D1476" s="134" t="s">
        <v>634</v>
      </c>
      <c r="E1476" s="134" t="s">
        <v>2123</v>
      </c>
      <c r="F1476" s="134" t="s">
        <v>2652</v>
      </c>
      <c r="G1476" s="134">
        <v>2988103</v>
      </c>
      <c r="H1476" s="135">
        <v>44678</v>
      </c>
      <c r="I1476" s="134">
        <v>2.6295000000000002</v>
      </c>
      <c r="J1476" s="145"/>
      <c r="K1476" s="145"/>
      <c r="L1476" s="145"/>
      <c r="M1476" s="145"/>
      <c r="N1476" s="145"/>
      <c r="O1476" s="145"/>
      <c r="P1476" s="145"/>
      <c r="Q1476" s="145"/>
      <c r="R1476" s="145"/>
      <c r="S1476" s="145"/>
      <c r="T1476" s="135">
        <v>24049</v>
      </c>
      <c r="U1476" s="145"/>
      <c r="V1476" s="134" t="s">
        <v>563</v>
      </c>
      <c r="W1476" s="92" t="str">
        <f t="shared" si="107"/>
        <v>Gil Diez,Vicente Antonio</v>
      </c>
      <c r="X1476" s="95">
        <f t="shared" si="108"/>
        <v>4</v>
      </c>
      <c r="Y1476" s="95">
        <f t="shared" si="109"/>
        <v>2022</v>
      </c>
      <c r="Z1476" s="136" t="s">
        <v>266</v>
      </c>
      <c r="AA1476">
        <f>IF(Tabla1[[#This Row],[Kerma en aire acumulada (Gy)]]&gt;1,SUMIF(G:G,Tabla1[[#This Row],[SIP]],I:I)-Tabla1[[#This Row],[Kerma en aire acumulada (Gy)]],"")</f>
        <v>0.19064999999999976</v>
      </c>
    </row>
    <row r="1477" spans="3:27">
      <c r="C1477" s="147" t="s">
        <v>1088</v>
      </c>
      <c r="D1477" s="134" t="s">
        <v>962</v>
      </c>
      <c r="E1477" s="134" t="s">
        <v>1060</v>
      </c>
      <c r="F1477" s="134" t="s">
        <v>2653</v>
      </c>
      <c r="G1477" s="134">
        <v>2360552</v>
      </c>
      <c r="H1477" s="135">
        <v>44678</v>
      </c>
      <c r="I1477" s="134">
        <v>9.5250000000000001E-2</v>
      </c>
      <c r="J1477" s="145"/>
      <c r="K1477" s="145"/>
      <c r="L1477" s="145"/>
      <c r="M1477" s="145"/>
      <c r="N1477" s="145"/>
      <c r="O1477" s="145"/>
      <c r="P1477" s="145"/>
      <c r="Q1477" s="145"/>
      <c r="R1477" s="145"/>
      <c r="S1477" s="145"/>
      <c r="T1477" s="135">
        <v>23642</v>
      </c>
      <c r="U1477" s="145"/>
      <c r="V1477" s="134" t="s">
        <v>563</v>
      </c>
      <c r="W1477" s="92" t="str">
        <f t="shared" si="107"/>
        <v>Garcia Rubio,Enrique Manuel</v>
      </c>
      <c r="X1477" s="95">
        <f t="shared" si="108"/>
        <v>4</v>
      </c>
      <c r="Y1477" s="95">
        <f t="shared" si="109"/>
        <v>2022</v>
      </c>
      <c r="Z1477" s="136" t="s">
        <v>266</v>
      </c>
      <c r="AA1477" t="str">
        <f>IF(Tabla1[[#This Row],[Kerma en aire acumulada (Gy)]]&gt;1,SUMIF(G:G,Tabla1[[#This Row],[SIP]],I:I)-Tabla1[[#This Row],[Kerma en aire acumulada (Gy)]],"")</f>
        <v/>
      </c>
    </row>
    <row r="1478" spans="3:27">
      <c r="C1478" s="147" t="s">
        <v>1088</v>
      </c>
      <c r="D1478" s="134" t="s">
        <v>169</v>
      </c>
      <c r="E1478" s="134" t="s">
        <v>2614</v>
      </c>
      <c r="F1478" s="134" t="s">
        <v>356</v>
      </c>
      <c r="G1478" s="134">
        <v>2280103</v>
      </c>
      <c r="H1478" s="135">
        <v>44678</v>
      </c>
      <c r="I1478" s="134">
        <v>2.665E-2</v>
      </c>
      <c r="J1478" s="145"/>
      <c r="K1478" s="145"/>
      <c r="L1478" s="145"/>
      <c r="M1478" s="145"/>
      <c r="N1478" s="145"/>
      <c r="O1478" s="145"/>
      <c r="P1478" s="145"/>
      <c r="Q1478" s="145"/>
      <c r="R1478" s="145"/>
      <c r="S1478" s="145"/>
      <c r="T1478" s="135">
        <v>20240</v>
      </c>
      <c r="U1478" s="145"/>
      <c r="V1478" s="134" t="s">
        <v>563</v>
      </c>
      <c r="W1478" s="92" t="str">
        <f t="shared" si="107"/>
        <v>Valero Sampedro,Manuel</v>
      </c>
      <c r="X1478" s="95">
        <f t="shared" si="108"/>
        <v>4</v>
      </c>
      <c r="Y1478" s="95">
        <f t="shared" si="109"/>
        <v>2022</v>
      </c>
      <c r="Z1478" s="136" t="s">
        <v>266</v>
      </c>
      <c r="AA1478" t="str">
        <f>IF(Tabla1[[#This Row],[Kerma en aire acumulada (Gy)]]&gt;1,SUMIF(G:G,Tabla1[[#This Row],[SIP]],I:I)-Tabla1[[#This Row],[Kerma en aire acumulada (Gy)]],"")</f>
        <v/>
      </c>
    </row>
    <row r="1479" spans="3:27">
      <c r="C1479" s="147" t="s">
        <v>1088</v>
      </c>
      <c r="D1479" s="134" t="s">
        <v>319</v>
      </c>
      <c r="E1479" s="134" t="s">
        <v>2670</v>
      </c>
      <c r="F1479" s="134" t="s">
        <v>1155</v>
      </c>
      <c r="G1479" s="134">
        <v>3830633</v>
      </c>
      <c r="H1479" s="135">
        <v>44678</v>
      </c>
      <c r="I1479" s="134">
        <v>0.56462999999999997</v>
      </c>
      <c r="J1479" s="145"/>
      <c r="K1479" s="145"/>
      <c r="L1479" s="145"/>
      <c r="M1479" s="145"/>
      <c r="N1479" s="145"/>
      <c r="O1479" s="145"/>
      <c r="P1479" s="145"/>
      <c r="Q1479" s="145"/>
      <c r="R1479" s="145"/>
      <c r="S1479" s="145"/>
      <c r="T1479" s="135">
        <v>15273</v>
      </c>
      <c r="U1479" s="145"/>
      <c r="V1479" s="134" t="s">
        <v>563</v>
      </c>
      <c r="W1479" s="92" t="str">
        <f t="shared" si="107"/>
        <v>Gonzalez Catala,Maria</v>
      </c>
      <c r="X1479" s="95">
        <f t="shared" si="108"/>
        <v>4</v>
      </c>
      <c r="Y1479" s="95">
        <f t="shared" si="109"/>
        <v>2022</v>
      </c>
      <c r="Z1479" s="136" t="s">
        <v>266</v>
      </c>
      <c r="AA1479" t="str">
        <f>IF(Tabla1[[#This Row],[Kerma en aire acumulada (Gy)]]&gt;1,SUMIF(G:G,Tabla1[[#This Row],[SIP]],I:I)-Tabla1[[#This Row],[Kerma en aire acumulada (Gy)]],"")</f>
        <v/>
      </c>
    </row>
    <row r="1480" spans="3:27">
      <c r="C1480" s="147" t="s">
        <v>1088</v>
      </c>
      <c r="D1480" s="134" t="s">
        <v>2052</v>
      </c>
      <c r="E1480" s="134" t="s">
        <v>2671</v>
      </c>
      <c r="F1480" s="134" t="s">
        <v>2672</v>
      </c>
      <c r="G1480" s="134">
        <v>2228481</v>
      </c>
      <c r="H1480" s="135">
        <v>44678</v>
      </c>
      <c r="I1480" s="134">
        <v>0.26069999999999999</v>
      </c>
      <c r="J1480" s="145"/>
      <c r="K1480" s="145"/>
      <c r="L1480" s="145"/>
      <c r="M1480" s="145"/>
      <c r="N1480" s="145"/>
      <c r="O1480" s="145"/>
      <c r="P1480" s="145"/>
      <c r="Q1480" s="145"/>
      <c r="R1480" s="145"/>
      <c r="S1480" s="145"/>
      <c r="T1480" s="135">
        <v>11059</v>
      </c>
      <c r="U1480" s="145"/>
      <c r="V1480" s="134" t="s">
        <v>563</v>
      </c>
      <c r="W1480" s="92" t="str">
        <f t="shared" si="107"/>
        <v>Sanchiz Perriz,Petra</v>
      </c>
      <c r="X1480" s="95">
        <f t="shared" si="108"/>
        <v>4</v>
      </c>
      <c r="Y1480" s="95">
        <f t="shared" si="109"/>
        <v>2022</v>
      </c>
      <c r="Z1480" s="136" t="s">
        <v>266</v>
      </c>
      <c r="AA1480" t="str">
        <f>IF(Tabla1[[#This Row],[Kerma en aire acumulada (Gy)]]&gt;1,SUMIF(G:G,Tabla1[[#This Row],[SIP]],I:I)-Tabla1[[#This Row],[Kerma en aire acumulada (Gy)]],"")</f>
        <v/>
      </c>
    </row>
    <row r="1481" spans="3:27">
      <c r="C1481" s="147" t="s">
        <v>1088</v>
      </c>
      <c r="D1481" s="134" t="s">
        <v>353</v>
      </c>
      <c r="E1481" s="134" t="s">
        <v>22</v>
      </c>
      <c r="F1481" s="134" t="s">
        <v>2673</v>
      </c>
      <c r="G1481" s="134">
        <v>3742578</v>
      </c>
      <c r="H1481" s="135">
        <v>44678</v>
      </c>
      <c r="I1481" s="134">
        <v>0.12451</v>
      </c>
      <c r="J1481" s="145"/>
      <c r="K1481" s="145"/>
      <c r="L1481" s="145"/>
      <c r="M1481" s="145"/>
      <c r="N1481" s="145"/>
      <c r="O1481" s="145"/>
      <c r="P1481" s="145"/>
      <c r="Q1481" s="145"/>
      <c r="R1481" s="145"/>
      <c r="S1481" s="145"/>
      <c r="T1481" s="135">
        <v>21238</v>
      </c>
      <c r="U1481" s="145"/>
      <c r="V1481" s="134" t="s">
        <v>563</v>
      </c>
      <c r="W1481" s="92" t="str">
        <f t="shared" si="107"/>
        <v>Muñoz Ruiz,Julio</v>
      </c>
      <c r="X1481" s="95">
        <f t="shared" si="108"/>
        <v>4</v>
      </c>
      <c r="Y1481" s="95">
        <f t="shared" si="109"/>
        <v>2022</v>
      </c>
      <c r="Z1481" s="136" t="s">
        <v>266</v>
      </c>
      <c r="AA1481" t="str">
        <f>IF(Tabla1[[#This Row],[Kerma en aire acumulada (Gy)]]&gt;1,SUMIF(G:G,Tabla1[[#This Row],[SIP]],I:I)-Tabla1[[#This Row],[Kerma en aire acumulada (Gy)]],"")</f>
        <v/>
      </c>
    </row>
    <row r="1482" spans="3:27">
      <c r="C1482" s="147" t="s">
        <v>1088</v>
      </c>
      <c r="D1482" s="134" t="s">
        <v>2465</v>
      </c>
      <c r="E1482" s="134" t="s">
        <v>1001</v>
      </c>
      <c r="F1482" s="134" t="s">
        <v>20</v>
      </c>
      <c r="G1482" s="134">
        <v>3167366</v>
      </c>
      <c r="H1482" s="135">
        <v>44678</v>
      </c>
      <c r="I1482" s="134">
        <v>1.41957</v>
      </c>
      <c r="J1482" s="145"/>
      <c r="K1482" s="145"/>
      <c r="L1482" s="145"/>
      <c r="M1482" s="145"/>
      <c r="N1482" s="145"/>
      <c r="O1482" s="145"/>
      <c r="P1482" s="145"/>
      <c r="Q1482" s="145"/>
      <c r="R1482" s="145"/>
      <c r="S1482" s="145"/>
      <c r="T1482" s="135">
        <v>13743</v>
      </c>
      <c r="U1482" s="145"/>
      <c r="V1482" s="134" t="s">
        <v>563</v>
      </c>
      <c r="W1482" s="92" t="str">
        <f t="shared" si="107"/>
        <v>Miron Perez,Antonio</v>
      </c>
      <c r="X1482" s="95">
        <f t="shared" si="108"/>
        <v>4</v>
      </c>
      <c r="Y1482" s="95">
        <f t="shared" si="109"/>
        <v>2022</v>
      </c>
      <c r="Z1482" s="136" t="s">
        <v>266</v>
      </c>
      <c r="AA1482">
        <f>IF(Tabla1[[#This Row],[Kerma en aire acumulada (Gy)]]&gt;1,SUMIF(G:G,Tabla1[[#This Row],[SIP]],I:I)-Tabla1[[#This Row],[Kerma en aire acumulada (Gy)]],"")</f>
        <v>0</v>
      </c>
    </row>
    <row r="1483" spans="3:27">
      <c r="C1483" s="147" t="s">
        <v>1088</v>
      </c>
      <c r="D1483" s="134" t="s">
        <v>868</v>
      </c>
      <c r="E1483" s="134" t="s">
        <v>2689</v>
      </c>
      <c r="F1483" s="134" t="s">
        <v>57</v>
      </c>
      <c r="G1483" s="134">
        <v>3200288</v>
      </c>
      <c r="H1483" s="135">
        <v>44678</v>
      </c>
      <c r="I1483" s="134">
        <v>3.4979999999999997E-2</v>
      </c>
      <c r="J1483" s="145"/>
      <c r="K1483" s="145"/>
      <c r="L1483" s="145"/>
      <c r="M1483" s="145"/>
      <c r="N1483" s="145"/>
      <c r="O1483" s="145"/>
      <c r="P1483" s="145"/>
      <c r="Q1483" s="145"/>
      <c r="R1483" s="145"/>
      <c r="S1483" s="145"/>
      <c r="T1483" s="135">
        <v>15819</v>
      </c>
      <c r="U1483" s="145"/>
      <c r="V1483" s="134" t="s">
        <v>2237</v>
      </c>
      <c r="W1483" s="92" t="str">
        <f t="shared" si="107"/>
        <v>Peñalver Oro,Miguel</v>
      </c>
      <c r="X1483" s="95">
        <f t="shared" si="108"/>
        <v>4</v>
      </c>
      <c r="Y1483" s="95">
        <f t="shared" si="109"/>
        <v>2022</v>
      </c>
      <c r="Z1483" s="136" t="s">
        <v>2238</v>
      </c>
      <c r="AA1483" t="str">
        <f>IF(Tabla1[[#This Row],[Kerma en aire acumulada (Gy)]]&gt;1,SUMIF(G:G,Tabla1[[#This Row],[SIP]],I:I)-Tabla1[[#This Row],[Kerma en aire acumulada (Gy)]],"")</f>
        <v/>
      </c>
    </row>
    <row r="1484" spans="3:27">
      <c r="C1484" s="147" t="s">
        <v>1088</v>
      </c>
      <c r="D1484" s="134" t="s">
        <v>2718</v>
      </c>
      <c r="E1484" s="134" t="s">
        <v>2719</v>
      </c>
      <c r="F1484" s="134" t="s">
        <v>20</v>
      </c>
      <c r="G1484" s="134">
        <v>929450</v>
      </c>
      <c r="H1484" s="135">
        <v>44679</v>
      </c>
      <c r="I1484" s="134">
        <v>4.7879999999999999E-2</v>
      </c>
      <c r="J1484" s="145"/>
      <c r="K1484" s="145"/>
      <c r="L1484" s="145"/>
      <c r="M1484" s="145"/>
      <c r="N1484" s="145"/>
      <c r="O1484" s="145"/>
      <c r="P1484" s="145"/>
      <c r="Q1484" s="145"/>
      <c r="R1484" s="145"/>
      <c r="S1484" s="145"/>
      <c r="T1484" s="135">
        <v>17206</v>
      </c>
      <c r="U1484" s="145"/>
      <c r="V1484" s="134" t="s">
        <v>552</v>
      </c>
      <c r="W1484" s="92" t="str">
        <f t="shared" si="107"/>
        <v>Enriquez Salort,Antonio</v>
      </c>
      <c r="X1484" s="95">
        <f t="shared" si="108"/>
        <v>4</v>
      </c>
      <c r="Y1484" s="95">
        <f t="shared" si="109"/>
        <v>2022</v>
      </c>
      <c r="Z1484" s="103" t="s">
        <v>265</v>
      </c>
      <c r="AA1484" t="str">
        <f>IF(Tabla1[[#This Row],[Kerma en aire acumulada (Gy)]]&gt;1,SUMIF(G:G,Tabla1[[#This Row],[SIP]],I:I)-Tabla1[[#This Row],[Kerma en aire acumulada (Gy)]],"")</f>
        <v/>
      </c>
    </row>
    <row r="1485" spans="3:27">
      <c r="C1485" s="147" t="s">
        <v>1088</v>
      </c>
      <c r="D1485" s="134" t="s">
        <v>2260</v>
      </c>
      <c r="E1485" s="134" t="s">
        <v>2261</v>
      </c>
      <c r="F1485" s="134" t="s">
        <v>88</v>
      </c>
      <c r="G1485" s="134">
        <v>453606</v>
      </c>
      <c r="H1485" s="135">
        <v>44679</v>
      </c>
      <c r="I1485" s="134">
        <v>4.6999999999999999E-4</v>
      </c>
      <c r="J1485" s="145"/>
      <c r="K1485" s="145"/>
      <c r="L1485" s="145"/>
      <c r="M1485" s="145"/>
      <c r="N1485" s="145"/>
      <c r="O1485" s="145"/>
      <c r="P1485" s="145"/>
      <c r="Q1485" s="145"/>
      <c r="R1485" s="145"/>
      <c r="S1485" s="145"/>
      <c r="T1485" s="135">
        <v>20141</v>
      </c>
      <c r="U1485" s="145"/>
      <c r="V1485" s="134" t="s">
        <v>1026</v>
      </c>
      <c r="W1485" s="92" t="str">
        <f t="shared" si="107"/>
        <v>Cominches Jorda,Vicente</v>
      </c>
      <c r="X1485" s="95">
        <f t="shared" si="108"/>
        <v>4</v>
      </c>
      <c r="Y1485" s="95">
        <f t="shared" si="109"/>
        <v>2022</v>
      </c>
      <c r="Z1485" s="103" t="s">
        <v>265</v>
      </c>
      <c r="AA1485" t="str">
        <f>IF(Tabla1[[#This Row],[Kerma en aire acumulada (Gy)]]&gt;1,SUMIF(G:G,Tabla1[[#This Row],[SIP]],I:I)-Tabla1[[#This Row],[Kerma en aire acumulada (Gy)]],"")</f>
        <v/>
      </c>
    </row>
    <row r="1486" spans="3:27">
      <c r="C1486" s="147" t="s">
        <v>1088</v>
      </c>
      <c r="D1486" s="134" t="s">
        <v>1001</v>
      </c>
      <c r="E1486" s="134" t="s">
        <v>1823</v>
      </c>
      <c r="F1486" s="134" t="s">
        <v>685</v>
      </c>
      <c r="G1486" s="134">
        <v>3802895</v>
      </c>
      <c r="H1486" s="135">
        <v>44679</v>
      </c>
      <c r="I1486" s="134">
        <v>9.7729999999999997E-2</v>
      </c>
      <c r="J1486" s="145"/>
      <c r="K1486" s="145"/>
      <c r="L1486" s="145"/>
      <c r="M1486" s="145"/>
      <c r="N1486" s="145"/>
      <c r="O1486" s="145"/>
      <c r="P1486" s="145"/>
      <c r="Q1486" s="145"/>
      <c r="R1486" s="145"/>
      <c r="S1486" s="145"/>
      <c r="T1486" s="135">
        <v>22980</v>
      </c>
      <c r="U1486" s="145"/>
      <c r="V1486" s="134" t="s">
        <v>1767</v>
      </c>
      <c r="W1486" s="92" t="str">
        <f t="shared" si="107"/>
        <v>Perez Icaran,Sara</v>
      </c>
      <c r="X1486" s="95">
        <f t="shared" si="108"/>
        <v>4</v>
      </c>
      <c r="Y1486" s="95">
        <f t="shared" si="109"/>
        <v>2022</v>
      </c>
      <c r="Z1486" s="103" t="s">
        <v>265</v>
      </c>
      <c r="AA1486" t="str">
        <f>IF(Tabla1[[#This Row],[Kerma en aire acumulada (Gy)]]&gt;1,SUMIF(G:G,Tabla1[[#This Row],[SIP]],I:I)-Tabla1[[#This Row],[Kerma en aire acumulada (Gy)]],"")</f>
        <v/>
      </c>
    </row>
    <row r="1487" spans="3:27">
      <c r="C1487" s="147" t="s">
        <v>1088</v>
      </c>
      <c r="D1487" s="134" t="s">
        <v>22</v>
      </c>
      <c r="E1487" s="134" t="s">
        <v>2594</v>
      </c>
      <c r="F1487" s="134" t="s">
        <v>2405</v>
      </c>
      <c r="G1487" s="134">
        <v>2810857</v>
      </c>
      <c r="H1487" s="135">
        <v>44679</v>
      </c>
      <c r="I1487" s="134">
        <v>0.17308000000000001</v>
      </c>
      <c r="J1487" s="145"/>
      <c r="K1487" s="145"/>
      <c r="L1487" s="145"/>
      <c r="M1487" s="145"/>
      <c r="N1487" s="145"/>
      <c r="O1487" s="145"/>
      <c r="P1487" s="145"/>
      <c r="Q1487" s="145"/>
      <c r="R1487" s="145"/>
      <c r="S1487" s="145"/>
      <c r="T1487" s="135">
        <v>17217</v>
      </c>
      <c r="U1487" s="145"/>
      <c r="V1487" s="134" t="s">
        <v>2122</v>
      </c>
      <c r="W1487" s="92" t="str">
        <f t="shared" si="107"/>
        <v>Ruiz Espinosa,Jose Antonio</v>
      </c>
      <c r="X1487" s="95">
        <f t="shared" si="108"/>
        <v>4</v>
      </c>
      <c r="Y1487" s="95">
        <f t="shared" si="109"/>
        <v>2022</v>
      </c>
      <c r="Z1487" s="103" t="s">
        <v>265</v>
      </c>
      <c r="AA1487" t="str">
        <f>IF(Tabla1[[#This Row],[Kerma en aire acumulada (Gy)]]&gt;1,SUMIF(G:G,Tabla1[[#This Row],[SIP]],I:I)-Tabla1[[#This Row],[Kerma en aire acumulada (Gy)]],"")</f>
        <v/>
      </c>
    </row>
    <row r="1488" spans="3:27">
      <c r="C1488" s="147" t="s">
        <v>1088</v>
      </c>
      <c r="D1488" s="134" t="s">
        <v>915</v>
      </c>
      <c r="E1488" s="134" t="s">
        <v>840</v>
      </c>
      <c r="F1488" s="134" t="s">
        <v>2410</v>
      </c>
      <c r="G1488" s="134">
        <v>2290800</v>
      </c>
      <c r="H1488" s="135">
        <v>44679</v>
      </c>
      <c r="I1488" s="134">
        <v>0.27110000000000001</v>
      </c>
      <c r="J1488" s="145"/>
      <c r="K1488" s="145"/>
      <c r="L1488" s="145"/>
      <c r="M1488" s="145"/>
      <c r="N1488" s="145"/>
      <c r="O1488" s="145"/>
      <c r="P1488" s="145"/>
      <c r="Q1488" s="145"/>
      <c r="R1488" s="145"/>
      <c r="S1488" s="145"/>
      <c r="T1488" s="135">
        <v>19672</v>
      </c>
      <c r="U1488" s="145"/>
      <c r="V1488" s="134" t="s">
        <v>563</v>
      </c>
      <c r="W1488" s="92" t="str">
        <f t="shared" si="107"/>
        <v>Gimenez Santiago,Jose Maria</v>
      </c>
      <c r="X1488" s="95">
        <f t="shared" si="108"/>
        <v>4</v>
      </c>
      <c r="Y1488" s="95">
        <f t="shared" si="109"/>
        <v>2022</v>
      </c>
      <c r="Z1488" s="103" t="s">
        <v>265</v>
      </c>
      <c r="AA1488" t="str">
        <f>IF(Tabla1[[#This Row],[Kerma en aire acumulada (Gy)]]&gt;1,SUMIF(G:G,Tabla1[[#This Row],[SIP]],I:I)-Tabla1[[#This Row],[Kerma en aire acumulada (Gy)]],"")</f>
        <v/>
      </c>
    </row>
    <row r="1489" spans="3:27">
      <c r="C1489" s="147" t="s">
        <v>1088</v>
      </c>
      <c r="D1489" s="134" t="s">
        <v>966</v>
      </c>
      <c r="E1489" s="134" t="s">
        <v>1994</v>
      </c>
      <c r="F1489" s="134" t="s">
        <v>7</v>
      </c>
      <c r="G1489" s="134">
        <v>3462403</v>
      </c>
      <c r="H1489" s="135">
        <v>44679</v>
      </c>
      <c r="I1489" s="134">
        <v>9.987E-2</v>
      </c>
      <c r="J1489" s="145"/>
      <c r="K1489" s="145"/>
      <c r="L1489" s="145"/>
      <c r="M1489" s="145"/>
      <c r="N1489" s="145"/>
      <c r="O1489" s="145"/>
      <c r="P1489" s="145"/>
      <c r="Q1489" s="145"/>
      <c r="R1489" s="145"/>
      <c r="S1489" s="145"/>
      <c r="T1489" s="135">
        <v>14368</v>
      </c>
      <c r="U1489" s="145"/>
      <c r="V1489" s="134" t="s">
        <v>563</v>
      </c>
      <c r="W1489" s="92" t="str">
        <f t="shared" si="107"/>
        <v>Marco Chilet,Francisca</v>
      </c>
      <c r="X1489" s="95">
        <f t="shared" si="108"/>
        <v>4</v>
      </c>
      <c r="Y1489" s="95">
        <f t="shared" si="109"/>
        <v>2022</v>
      </c>
      <c r="Z1489" s="103" t="s">
        <v>265</v>
      </c>
      <c r="AA1489" t="str">
        <f>IF(Tabla1[[#This Row],[Kerma en aire acumulada (Gy)]]&gt;1,SUMIF(G:G,Tabla1[[#This Row],[SIP]],I:I)-Tabla1[[#This Row],[Kerma en aire acumulada (Gy)]],"")</f>
        <v/>
      </c>
    </row>
    <row r="1490" spans="3:27">
      <c r="C1490" s="147" t="s">
        <v>1088</v>
      </c>
      <c r="D1490" s="134" t="s">
        <v>948</v>
      </c>
      <c r="E1490" s="134" t="s">
        <v>2738</v>
      </c>
      <c r="F1490" s="134" t="s">
        <v>1835</v>
      </c>
      <c r="G1490" s="134">
        <v>2244595</v>
      </c>
      <c r="H1490" s="135">
        <v>44679</v>
      </c>
      <c r="I1490" s="134">
        <v>0.21947</v>
      </c>
      <c r="J1490" s="145"/>
      <c r="K1490" s="145"/>
      <c r="L1490" s="145"/>
      <c r="M1490" s="145"/>
      <c r="N1490" s="145"/>
      <c r="O1490" s="145"/>
      <c r="P1490" s="145"/>
      <c r="Q1490" s="145"/>
      <c r="R1490" s="145"/>
      <c r="S1490" s="145"/>
      <c r="T1490" s="135">
        <v>12901</v>
      </c>
      <c r="U1490" s="145"/>
      <c r="V1490" s="134" t="s">
        <v>563</v>
      </c>
      <c r="W1490" s="92" t="str">
        <f t="shared" si="107"/>
        <v>Martinez Corcoles,Sagrario</v>
      </c>
      <c r="X1490" s="95">
        <f t="shared" si="108"/>
        <v>4</v>
      </c>
      <c r="Y1490" s="95">
        <f t="shared" si="109"/>
        <v>2022</v>
      </c>
      <c r="Z1490" s="103" t="s">
        <v>265</v>
      </c>
      <c r="AA1490" t="str">
        <f>IF(Tabla1[[#This Row],[Kerma en aire acumulada (Gy)]]&gt;1,SUMIF(G:G,Tabla1[[#This Row],[SIP]],I:I)-Tabla1[[#This Row],[Kerma en aire acumulada (Gy)]],"")</f>
        <v/>
      </c>
    </row>
    <row r="1491" spans="3:27">
      <c r="C1491" s="147" t="s">
        <v>1088</v>
      </c>
      <c r="D1491" s="134" t="s">
        <v>1135</v>
      </c>
      <c r="E1491" s="134" t="s">
        <v>1837</v>
      </c>
      <c r="F1491" s="134" t="s">
        <v>834</v>
      </c>
      <c r="G1491" s="134">
        <v>2255229</v>
      </c>
      <c r="H1491" s="135">
        <v>44679</v>
      </c>
      <c r="I1491" s="134">
        <v>0.30558999999999997</v>
      </c>
      <c r="J1491" s="145"/>
      <c r="K1491" s="145"/>
      <c r="L1491" s="145"/>
      <c r="M1491" s="145"/>
      <c r="N1491" s="145"/>
      <c r="O1491" s="145"/>
      <c r="P1491" s="145"/>
      <c r="Q1491" s="145"/>
      <c r="R1491" s="145"/>
      <c r="S1491" s="145"/>
      <c r="T1491" s="135">
        <v>17931</v>
      </c>
      <c r="U1491" s="145"/>
      <c r="V1491" s="134" t="s">
        <v>563</v>
      </c>
      <c r="W1491" s="92" t="str">
        <f t="shared" si="107"/>
        <v>Moyano Rodriguez,Pedro</v>
      </c>
      <c r="X1491" s="95">
        <f t="shared" si="108"/>
        <v>4</v>
      </c>
      <c r="Y1491" s="95">
        <f t="shared" si="109"/>
        <v>2022</v>
      </c>
      <c r="Z1491" s="103" t="s">
        <v>265</v>
      </c>
      <c r="AA1491" t="str">
        <f>IF(Tabla1[[#This Row],[Kerma en aire acumulada (Gy)]]&gt;1,SUMIF(G:G,Tabla1[[#This Row],[SIP]],I:I)-Tabla1[[#This Row],[Kerma en aire acumulada (Gy)]],"")</f>
        <v/>
      </c>
    </row>
    <row r="1492" spans="3:27">
      <c r="C1492" s="147" t="s">
        <v>1088</v>
      </c>
      <c r="D1492" s="134" t="s">
        <v>2739</v>
      </c>
      <c r="E1492" s="134" t="s">
        <v>628</v>
      </c>
      <c r="F1492" s="134" t="s">
        <v>991</v>
      </c>
      <c r="G1492" s="134">
        <v>2400981</v>
      </c>
      <c r="H1492" s="135">
        <v>44679</v>
      </c>
      <c r="I1492" s="134">
        <v>0.15014</v>
      </c>
      <c r="J1492" s="145"/>
      <c r="K1492" s="145"/>
      <c r="L1492" s="145"/>
      <c r="M1492" s="145"/>
      <c r="N1492" s="145"/>
      <c r="O1492" s="145"/>
      <c r="P1492" s="145"/>
      <c r="Q1492" s="145"/>
      <c r="R1492" s="145"/>
      <c r="S1492" s="145"/>
      <c r="T1492" s="135">
        <v>15409</v>
      </c>
      <c r="U1492" s="145"/>
      <c r="V1492" s="134" t="s">
        <v>563</v>
      </c>
      <c r="W1492" s="92" t="str">
        <f t="shared" si="107"/>
        <v>Garringa Pons,Jose</v>
      </c>
      <c r="X1492" s="95">
        <f t="shared" si="108"/>
        <v>4</v>
      </c>
      <c r="Y1492" s="95">
        <f t="shared" si="109"/>
        <v>2022</v>
      </c>
      <c r="Z1492" s="103" t="s">
        <v>265</v>
      </c>
      <c r="AA1492" t="str">
        <f>IF(Tabla1[[#This Row],[Kerma en aire acumulada (Gy)]]&gt;1,SUMIF(G:G,Tabla1[[#This Row],[SIP]],I:I)-Tabla1[[#This Row],[Kerma en aire acumulada (Gy)]],"")</f>
        <v/>
      </c>
    </row>
    <row r="1493" spans="3:27">
      <c r="C1493" s="147" t="s">
        <v>1088</v>
      </c>
      <c r="D1493" s="134" t="s">
        <v>528</v>
      </c>
      <c r="E1493" s="134"/>
      <c r="F1493" s="134" t="s">
        <v>529</v>
      </c>
      <c r="G1493" s="134">
        <v>6771491</v>
      </c>
      <c r="H1493" s="135">
        <v>44679</v>
      </c>
      <c r="I1493" s="134">
        <v>1.5350000000000001E-2</v>
      </c>
      <c r="J1493" s="145"/>
      <c r="K1493" s="145"/>
      <c r="L1493" s="145"/>
      <c r="M1493" s="145"/>
      <c r="N1493" s="145"/>
      <c r="O1493" s="145"/>
      <c r="P1493" s="145"/>
      <c r="Q1493" s="145"/>
      <c r="R1493" s="145"/>
      <c r="S1493" s="145"/>
      <c r="T1493" s="135">
        <v>26442</v>
      </c>
      <c r="U1493" s="145"/>
      <c r="V1493" s="134" t="s">
        <v>563</v>
      </c>
      <c r="W1493" s="92" t="str">
        <f t="shared" si="107"/>
        <v>Lamallem ,Jamil</v>
      </c>
      <c r="X1493" s="95">
        <f t="shared" si="108"/>
        <v>4</v>
      </c>
      <c r="Y1493" s="95">
        <f t="shared" si="109"/>
        <v>2022</v>
      </c>
      <c r="Z1493" s="103" t="s">
        <v>265</v>
      </c>
      <c r="AA1493" t="str">
        <f>IF(Tabla1[[#This Row],[Kerma en aire acumulada (Gy)]]&gt;1,SUMIF(G:G,Tabla1[[#This Row],[SIP]],I:I)-Tabla1[[#This Row],[Kerma en aire acumulada (Gy)]],"")</f>
        <v/>
      </c>
    </row>
    <row r="1494" spans="3:27">
      <c r="C1494" s="147" t="s">
        <v>1088</v>
      </c>
      <c r="D1494" s="134" t="s">
        <v>539</v>
      </c>
      <c r="E1494" s="134" t="s">
        <v>2740</v>
      </c>
      <c r="F1494" s="134" t="s">
        <v>88</v>
      </c>
      <c r="G1494" s="134">
        <v>2273468</v>
      </c>
      <c r="H1494" s="135">
        <v>44679</v>
      </c>
      <c r="I1494" s="134">
        <v>0.32634000000000002</v>
      </c>
      <c r="J1494" s="145"/>
      <c r="K1494" s="145"/>
      <c r="L1494" s="145"/>
      <c r="M1494" s="145"/>
      <c r="N1494" s="145"/>
      <c r="O1494" s="145"/>
      <c r="P1494" s="145"/>
      <c r="Q1494" s="145"/>
      <c r="R1494" s="145"/>
      <c r="S1494" s="145"/>
      <c r="T1494" s="135">
        <v>19917</v>
      </c>
      <c r="U1494" s="145"/>
      <c r="V1494" s="134" t="s">
        <v>563</v>
      </c>
      <c r="W1494" s="92" t="str">
        <f t="shared" si="107"/>
        <v>Yuste Polz,Vicente</v>
      </c>
      <c r="X1494" s="95">
        <f t="shared" si="108"/>
        <v>4</v>
      </c>
      <c r="Y1494" s="95">
        <f t="shared" si="109"/>
        <v>2022</v>
      </c>
      <c r="Z1494" s="103" t="s">
        <v>265</v>
      </c>
      <c r="AA1494" t="str">
        <f>IF(Tabla1[[#This Row],[Kerma en aire acumulada (Gy)]]&gt;1,SUMIF(G:G,Tabla1[[#This Row],[SIP]],I:I)-Tabla1[[#This Row],[Kerma en aire acumulada (Gy)]],"")</f>
        <v/>
      </c>
    </row>
    <row r="1495" spans="3:27">
      <c r="C1495" s="147" t="s">
        <v>1088</v>
      </c>
      <c r="D1495" s="134" t="s">
        <v>2741</v>
      </c>
      <c r="E1495" s="134" t="s">
        <v>1001</v>
      </c>
      <c r="F1495" s="134" t="s">
        <v>7</v>
      </c>
      <c r="G1495" s="134">
        <v>2302298</v>
      </c>
      <c r="H1495" s="135">
        <v>44679</v>
      </c>
      <c r="I1495" s="134">
        <v>7.1959999999999996E-2</v>
      </c>
      <c r="J1495" s="145"/>
      <c r="K1495" s="145"/>
      <c r="L1495" s="145"/>
      <c r="M1495" s="145"/>
      <c r="N1495" s="145"/>
      <c r="O1495" s="145"/>
      <c r="P1495" s="145"/>
      <c r="Q1495" s="145"/>
      <c r="R1495" s="145"/>
      <c r="S1495" s="145"/>
      <c r="T1495" s="135">
        <v>22075</v>
      </c>
      <c r="U1495" s="145"/>
      <c r="V1495" s="134" t="s">
        <v>563</v>
      </c>
      <c r="W1495" s="92" t="str">
        <f t="shared" si="107"/>
        <v>Motalban Perez,Francisca</v>
      </c>
      <c r="X1495" s="95">
        <f t="shared" si="108"/>
        <v>4</v>
      </c>
      <c r="Y1495" s="95">
        <f t="shared" si="109"/>
        <v>2022</v>
      </c>
      <c r="Z1495" s="103" t="s">
        <v>265</v>
      </c>
      <c r="AA1495" t="str">
        <f>IF(Tabla1[[#This Row],[Kerma en aire acumulada (Gy)]]&gt;1,SUMIF(G:G,Tabla1[[#This Row],[SIP]],I:I)-Tabla1[[#This Row],[Kerma en aire acumulada (Gy)]],"")</f>
        <v/>
      </c>
    </row>
    <row r="1496" spans="3:27">
      <c r="C1496" s="147" t="s">
        <v>1088</v>
      </c>
      <c r="D1496" s="134" t="s">
        <v>2765</v>
      </c>
      <c r="E1496" s="134" t="s">
        <v>2766</v>
      </c>
      <c r="F1496" s="134" t="s">
        <v>83</v>
      </c>
      <c r="G1496" s="134">
        <v>4572504</v>
      </c>
      <c r="H1496" s="135">
        <v>44679</v>
      </c>
      <c r="I1496" s="134">
        <v>0.18984000000000001</v>
      </c>
      <c r="J1496" s="145"/>
      <c r="K1496" s="145"/>
      <c r="L1496" s="145"/>
      <c r="M1496" s="145"/>
      <c r="N1496" s="145"/>
      <c r="O1496" s="145"/>
      <c r="P1496" s="145"/>
      <c r="Q1496" s="145"/>
      <c r="R1496" s="145"/>
      <c r="S1496" s="145"/>
      <c r="T1496" s="135">
        <v>22138</v>
      </c>
      <c r="U1496" s="145"/>
      <c r="V1496" s="134" t="s">
        <v>563</v>
      </c>
      <c r="W1496" s="92" t="str">
        <f t="shared" si="107"/>
        <v>Mensua Calzado,Francisco</v>
      </c>
      <c r="X1496" s="95">
        <f t="shared" si="108"/>
        <v>4</v>
      </c>
      <c r="Y1496" s="95">
        <f t="shared" si="109"/>
        <v>2022</v>
      </c>
      <c r="Z1496" s="103" t="s">
        <v>265</v>
      </c>
      <c r="AA1496" t="str">
        <f>IF(Tabla1[[#This Row],[Kerma en aire acumulada (Gy)]]&gt;1,SUMIF(G:G,Tabla1[[#This Row],[SIP]],I:I)-Tabla1[[#This Row],[Kerma en aire acumulada (Gy)]],"")</f>
        <v/>
      </c>
    </row>
    <row r="1497" spans="3:27">
      <c r="C1497" s="147" t="s">
        <v>1088</v>
      </c>
      <c r="D1497" s="134" t="s">
        <v>353</v>
      </c>
      <c r="E1497" s="134" t="s">
        <v>2767</v>
      </c>
      <c r="F1497" s="134" t="s">
        <v>834</v>
      </c>
      <c r="G1497" s="134">
        <v>4663169</v>
      </c>
      <c r="H1497" s="135">
        <v>44679</v>
      </c>
      <c r="I1497" s="134">
        <v>0.20474999999999999</v>
      </c>
      <c r="J1497" s="145"/>
      <c r="K1497" s="145"/>
      <c r="L1497" s="145"/>
      <c r="M1497" s="145"/>
      <c r="N1497" s="145"/>
      <c r="O1497" s="145"/>
      <c r="P1497" s="145"/>
      <c r="Q1497" s="145"/>
      <c r="R1497" s="145"/>
      <c r="S1497" s="145"/>
      <c r="T1497" s="135">
        <v>22049</v>
      </c>
      <c r="U1497" s="145"/>
      <c r="V1497" s="134" t="s">
        <v>563</v>
      </c>
      <c r="W1497" s="92" t="str">
        <f t="shared" si="107"/>
        <v>Muñoz Rivera,Pedro</v>
      </c>
      <c r="X1497" s="95">
        <f t="shared" si="108"/>
        <v>4</v>
      </c>
      <c r="Y1497" s="95">
        <f t="shared" si="109"/>
        <v>2022</v>
      </c>
      <c r="Z1497" s="103" t="s">
        <v>265</v>
      </c>
      <c r="AA1497" t="str">
        <f>IF(Tabla1[[#This Row],[Kerma en aire acumulada (Gy)]]&gt;1,SUMIF(G:G,Tabla1[[#This Row],[SIP]],I:I)-Tabla1[[#This Row],[Kerma en aire acumulada (Gy)]],"")</f>
        <v/>
      </c>
    </row>
    <row r="1498" spans="3:27">
      <c r="C1498" s="147" t="s">
        <v>1088</v>
      </c>
      <c r="D1498" s="134" t="s">
        <v>2705</v>
      </c>
      <c r="E1498" s="134" t="s">
        <v>2317</v>
      </c>
      <c r="F1498" s="134" t="s">
        <v>2706</v>
      </c>
      <c r="G1498" s="134">
        <v>3717556</v>
      </c>
      <c r="H1498" s="135">
        <v>44680</v>
      </c>
      <c r="I1498" s="134">
        <v>1.15781</v>
      </c>
      <c r="J1498" s="145"/>
      <c r="K1498" s="145"/>
      <c r="L1498" s="145"/>
      <c r="M1498" s="145"/>
      <c r="N1498" s="145"/>
      <c r="O1498" s="145"/>
      <c r="P1498" s="145"/>
      <c r="Q1498" s="145"/>
      <c r="R1498" s="145"/>
      <c r="S1498" s="145"/>
      <c r="T1498" s="135">
        <v>16434</v>
      </c>
      <c r="U1498" s="145"/>
      <c r="V1498" s="134" t="s">
        <v>118</v>
      </c>
      <c r="W1498" s="92" t="str">
        <f t="shared" si="107"/>
        <v>Fortun Catalan,Jesus Pedro</v>
      </c>
      <c r="X1498" s="95">
        <f t="shared" si="108"/>
        <v>4</v>
      </c>
      <c r="Y1498" s="95">
        <f t="shared" si="109"/>
        <v>2022</v>
      </c>
      <c r="Z1498" s="103" t="s">
        <v>265</v>
      </c>
      <c r="AA1498">
        <f>IF(Tabla1[[#This Row],[Kerma en aire acumulada (Gy)]]&gt;1,SUMIF(G:G,Tabla1[[#This Row],[SIP]],I:I)-Tabla1[[#This Row],[Kerma en aire acumulada (Gy)]],"")</f>
        <v>0</v>
      </c>
    </row>
    <row r="1499" spans="3:27">
      <c r="C1499" s="147" t="s">
        <v>1088</v>
      </c>
      <c r="D1499" s="134" t="s">
        <v>960</v>
      </c>
      <c r="E1499" s="134" t="s">
        <v>2716</v>
      </c>
      <c r="F1499" s="134" t="s">
        <v>2717</v>
      </c>
      <c r="G1499" s="134">
        <v>13278541</v>
      </c>
      <c r="H1499" s="135">
        <v>44680</v>
      </c>
      <c r="I1499" s="134">
        <v>0.19633</v>
      </c>
      <c r="J1499" s="145"/>
      <c r="K1499" s="145"/>
      <c r="L1499" s="145"/>
      <c r="M1499" s="145"/>
      <c r="N1499" s="145"/>
      <c r="O1499" s="145"/>
      <c r="P1499" s="145"/>
      <c r="Q1499" s="145"/>
      <c r="R1499" s="145"/>
      <c r="S1499" s="145"/>
      <c r="T1499" s="135">
        <v>31330</v>
      </c>
      <c r="U1499" s="145"/>
      <c r="V1499" s="134" t="s">
        <v>2714</v>
      </c>
      <c r="W1499" s="92" t="str">
        <f t="shared" si="107"/>
        <v>Lopez Araujo,Nicolas Avelino</v>
      </c>
      <c r="X1499" s="95">
        <f t="shared" si="108"/>
        <v>4</v>
      </c>
      <c r="Y1499" s="95">
        <f t="shared" si="109"/>
        <v>2022</v>
      </c>
      <c r="Z1499" s="103" t="s">
        <v>265</v>
      </c>
      <c r="AA1499" t="str">
        <f>IF(Tabla1[[#This Row],[Kerma en aire acumulada (Gy)]]&gt;1,SUMIF(G:G,Tabla1[[#This Row],[SIP]],I:I)-Tabla1[[#This Row],[Kerma en aire acumulada (Gy)]],"")</f>
        <v/>
      </c>
    </row>
    <row r="1500" spans="3:27">
      <c r="C1500" s="147" t="s">
        <v>1088</v>
      </c>
      <c r="D1500" s="134" t="s">
        <v>2260</v>
      </c>
      <c r="E1500" s="134" t="s">
        <v>2261</v>
      </c>
      <c r="F1500" s="134" t="s">
        <v>88</v>
      </c>
      <c r="G1500" s="134">
        <v>453606</v>
      </c>
      <c r="H1500" s="135">
        <v>44680</v>
      </c>
      <c r="I1500" s="134">
        <v>0.23204</v>
      </c>
      <c r="J1500" s="145"/>
      <c r="K1500" s="145"/>
      <c r="L1500" s="145"/>
      <c r="M1500" s="145"/>
      <c r="N1500" s="145"/>
      <c r="O1500" s="145"/>
      <c r="P1500" s="145"/>
      <c r="Q1500" s="145"/>
      <c r="R1500" s="145"/>
      <c r="S1500" s="145"/>
      <c r="T1500" s="135">
        <v>20141</v>
      </c>
      <c r="U1500" s="145"/>
      <c r="V1500" s="134" t="s">
        <v>1289</v>
      </c>
      <c r="W1500" s="92" t="str">
        <f t="shared" si="107"/>
        <v>Cominches Jorda,Vicente</v>
      </c>
      <c r="X1500" s="95">
        <f t="shared" si="108"/>
        <v>4</v>
      </c>
      <c r="Y1500" s="95">
        <f t="shared" si="109"/>
        <v>2022</v>
      </c>
      <c r="Z1500" s="103" t="s">
        <v>265</v>
      </c>
      <c r="AA1500" t="str">
        <f>IF(Tabla1[[#This Row],[Kerma en aire acumulada (Gy)]]&gt;1,SUMIF(G:G,Tabla1[[#This Row],[SIP]],I:I)-Tabla1[[#This Row],[Kerma en aire acumulada (Gy)]],"")</f>
        <v/>
      </c>
    </row>
    <row r="1501" spans="3:27">
      <c r="C1501" s="147" t="s">
        <v>1088</v>
      </c>
      <c r="D1501" s="134" t="s">
        <v>993</v>
      </c>
      <c r="E1501" s="134" t="s">
        <v>68</v>
      </c>
      <c r="F1501" s="134" t="s">
        <v>546</v>
      </c>
      <c r="G1501" s="134">
        <v>3799519</v>
      </c>
      <c r="H1501" s="135">
        <v>44680</v>
      </c>
      <c r="I1501" s="134">
        <v>1.25901</v>
      </c>
      <c r="J1501" s="145"/>
      <c r="K1501" s="145"/>
      <c r="L1501" s="145"/>
      <c r="M1501" s="145"/>
      <c r="N1501" s="145"/>
      <c r="O1501" s="145"/>
      <c r="P1501" s="145"/>
      <c r="Q1501" s="145"/>
      <c r="R1501" s="145"/>
      <c r="S1501" s="145"/>
      <c r="T1501" s="135">
        <v>12713</v>
      </c>
      <c r="U1501" s="145"/>
      <c r="V1501" s="134" t="s">
        <v>563</v>
      </c>
      <c r="W1501" s="92" t="str">
        <f t="shared" si="107"/>
        <v>Blanch Juan,Luis</v>
      </c>
      <c r="X1501" s="95">
        <f t="shared" si="108"/>
        <v>4</v>
      </c>
      <c r="Y1501" s="95">
        <f t="shared" si="109"/>
        <v>2022</v>
      </c>
      <c r="Z1501" s="103" t="s">
        <v>265</v>
      </c>
      <c r="AA1501">
        <f>IF(Tabla1[[#This Row],[Kerma en aire acumulada (Gy)]]&gt;1,SUMIF(G:G,Tabla1[[#This Row],[SIP]],I:I)-Tabla1[[#This Row],[Kerma en aire acumulada (Gy)]],"")</f>
        <v>0</v>
      </c>
    </row>
    <row r="1502" spans="3:27">
      <c r="C1502" s="147" t="s">
        <v>1088</v>
      </c>
      <c r="D1502" s="134" t="s">
        <v>2734</v>
      </c>
      <c r="E1502" s="134" t="s">
        <v>2735</v>
      </c>
      <c r="F1502" s="134" t="s">
        <v>2574</v>
      </c>
      <c r="G1502" s="134">
        <v>13357159</v>
      </c>
      <c r="H1502" s="135">
        <v>44680</v>
      </c>
      <c r="I1502" s="134">
        <v>0.69501000000000002</v>
      </c>
      <c r="J1502" s="145"/>
      <c r="K1502" s="145"/>
      <c r="L1502" s="145"/>
      <c r="M1502" s="145"/>
      <c r="N1502" s="145"/>
      <c r="O1502" s="145"/>
      <c r="P1502" s="145"/>
      <c r="Q1502" s="145"/>
      <c r="R1502" s="145"/>
      <c r="S1502" s="145"/>
      <c r="T1502" s="135">
        <v>19224</v>
      </c>
      <c r="U1502" s="145"/>
      <c r="V1502" s="134" t="s">
        <v>563</v>
      </c>
      <c r="W1502" s="92" t="str">
        <f t="shared" si="107"/>
        <v>Oviedo de Freire,Beatriz Elena</v>
      </c>
      <c r="X1502" s="95">
        <f t="shared" si="108"/>
        <v>4</v>
      </c>
      <c r="Y1502" s="95">
        <f t="shared" si="109"/>
        <v>2022</v>
      </c>
      <c r="Z1502" s="103" t="s">
        <v>265</v>
      </c>
      <c r="AA1502" t="str">
        <f>IF(Tabla1[[#This Row],[Kerma en aire acumulada (Gy)]]&gt;1,SUMIF(G:G,Tabla1[[#This Row],[SIP]],I:I)-Tabla1[[#This Row],[Kerma en aire acumulada (Gy)]],"")</f>
        <v/>
      </c>
    </row>
    <row r="1503" spans="3:27">
      <c r="C1503" s="147" t="s">
        <v>1088</v>
      </c>
      <c r="D1503" s="134" t="s">
        <v>1003</v>
      </c>
      <c r="E1503" s="134" t="s">
        <v>962</v>
      </c>
      <c r="F1503" s="134" t="s">
        <v>521</v>
      </c>
      <c r="G1503" s="134">
        <v>2413155</v>
      </c>
      <c r="H1503" s="135">
        <v>44680</v>
      </c>
      <c r="I1503" s="134">
        <v>0.19869000000000001</v>
      </c>
      <c r="J1503" s="145"/>
      <c r="K1503" s="145"/>
      <c r="L1503" s="145"/>
      <c r="M1503" s="145"/>
      <c r="N1503" s="145"/>
      <c r="O1503" s="145"/>
      <c r="P1503" s="145"/>
      <c r="Q1503" s="145"/>
      <c r="R1503" s="145"/>
      <c r="S1503" s="145"/>
      <c r="T1503" s="135">
        <v>15751</v>
      </c>
      <c r="U1503" s="145"/>
      <c r="V1503" s="134" t="s">
        <v>563</v>
      </c>
      <c r="W1503" s="92" t="str">
        <f t="shared" si="107"/>
        <v>Romero Garcia,Consuelo</v>
      </c>
      <c r="X1503" s="95">
        <f t="shared" si="108"/>
        <v>4</v>
      </c>
      <c r="Y1503" s="95">
        <f t="shared" si="109"/>
        <v>2022</v>
      </c>
      <c r="Z1503" s="103" t="s">
        <v>265</v>
      </c>
      <c r="AA1503" t="str">
        <f>IF(Tabla1[[#This Row],[Kerma en aire acumulada (Gy)]]&gt;1,SUMIF(G:G,Tabla1[[#This Row],[SIP]],I:I)-Tabla1[[#This Row],[Kerma en aire acumulada (Gy)]],"")</f>
        <v/>
      </c>
    </row>
    <row r="1504" spans="3:27">
      <c r="C1504" s="147" t="s">
        <v>1088</v>
      </c>
      <c r="D1504" s="134" t="s">
        <v>2736</v>
      </c>
      <c r="E1504" s="134" t="s">
        <v>2737</v>
      </c>
      <c r="F1504" s="134" t="s">
        <v>83</v>
      </c>
      <c r="G1504" s="134">
        <v>2339336</v>
      </c>
      <c r="H1504" s="135">
        <v>44680</v>
      </c>
      <c r="I1504" s="134">
        <v>0.21947</v>
      </c>
      <c r="J1504" s="145"/>
      <c r="K1504" s="145"/>
      <c r="L1504" s="145"/>
      <c r="M1504" s="145"/>
      <c r="N1504" s="145"/>
      <c r="O1504" s="145"/>
      <c r="P1504" s="145"/>
      <c r="Q1504" s="145"/>
      <c r="R1504" s="145"/>
      <c r="S1504" s="145"/>
      <c r="T1504" s="135">
        <v>23947</v>
      </c>
      <c r="U1504" s="145"/>
      <c r="V1504" s="134" t="s">
        <v>563</v>
      </c>
      <c r="W1504" s="92" t="str">
        <f t="shared" si="107"/>
        <v>Blanquez Parreño,Francisco</v>
      </c>
      <c r="X1504" s="95">
        <f t="shared" si="108"/>
        <v>4</v>
      </c>
      <c r="Y1504" s="95">
        <f t="shared" si="109"/>
        <v>2022</v>
      </c>
      <c r="Z1504" s="103" t="s">
        <v>265</v>
      </c>
      <c r="AA1504" t="str">
        <f>IF(Tabla1[[#This Row],[Kerma en aire acumulada (Gy)]]&gt;1,SUMIF(G:G,Tabla1[[#This Row],[SIP]],I:I)-Tabla1[[#This Row],[Kerma en aire acumulada (Gy)]],"")</f>
        <v/>
      </c>
    </row>
    <row r="1505" spans="3:27">
      <c r="C1505" s="147" t="s">
        <v>1088</v>
      </c>
      <c r="D1505" s="134" t="s">
        <v>962</v>
      </c>
      <c r="E1505" s="134" t="s">
        <v>948</v>
      </c>
      <c r="F1505" s="134" t="s">
        <v>834</v>
      </c>
      <c r="G1505" s="134">
        <v>3198556</v>
      </c>
      <c r="H1505" s="135">
        <v>44680</v>
      </c>
      <c r="I1505" s="134">
        <v>3.3320000000000002E-2</v>
      </c>
      <c r="J1505" s="145"/>
      <c r="K1505" s="145"/>
      <c r="L1505" s="145"/>
      <c r="M1505" s="145"/>
      <c r="N1505" s="145"/>
      <c r="O1505" s="145"/>
      <c r="P1505" s="145"/>
      <c r="Q1505" s="145"/>
      <c r="R1505" s="145"/>
      <c r="S1505" s="145"/>
      <c r="T1505" s="135">
        <v>20139</v>
      </c>
      <c r="U1505" s="145"/>
      <c r="V1505" s="134" t="s">
        <v>2241</v>
      </c>
      <c r="W1505" s="92" t="str">
        <f t="shared" si="107"/>
        <v>Garcia Martinez,Pedro</v>
      </c>
      <c r="X1505" s="95">
        <f t="shared" si="108"/>
        <v>4</v>
      </c>
      <c r="Y1505" s="95">
        <f t="shared" si="109"/>
        <v>2022</v>
      </c>
      <c r="Z1505" s="136" t="s">
        <v>2238</v>
      </c>
      <c r="AA1505" t="str">
        <f>IF(Tabla1[[#This Row],[Kerma en aire acumulada (Gy)]]&gt;1,SUMIF(G:G,Tabla1[[#This Row],[SIP]],I:I)-Tabla1[[#This Row],[Kerma en aire acumulada (Gy)]],"")</f>
        <v/>
      </c>
    </row>
    <row r="1506" spans="3:27">
      <c r="C1506" s="147" t="s">
        <v>1088</v>
      </c>
      <c r="D1506" s="134" t="s">
        <v>804</v>
      </c>
      <c r="E1506" s="134" t="s">
        <v>960</v>
      </c>
      <c r="F1506" s="134" t="s">
        <v>2774</v>
      </c>
      <c r="G1506" s="134">
        <v>4810444</v>
      </c>
      <c r="H1506" s="135">
        <v>44680</v>
      </c>
      <c r="I1506" s="134">
        <v>1.8370000000000001E-2</v>
      </c>
      <c r="J1506" s="145"/>
      <c r="K1506" s="145"/>
      <c r="L1506" s="145"/>
      <c r="M1506" s="145"/>
      <c r="N1506" s="145"/>
      <c r="O1506" s="145"/>
      <c r="P1506" s="145"/>
      <c r="Q1506" s="145"/>
      <c r="R1506" s="145"/>
      <c r="S1506" s="145"/>
      <c r="T1506" s="135">
        <v>22943</v>
      </c>
      <c r="U1506" s="145"/>
      <c r="V1506" s="134" t="s">
        <v>2241</v>
      </c>
      <c r="W1506" s="92" t="str">
        <f t="shared" si="107"/>
        <v>Balaguer Lopez,Antonio Rafael</v>
      </c>
      <c r="X1506" s="95">
        <f t="shared" si="108"/>
        <v>4</v>
      </c>
      <c r="Y1506" s="95">
        <f t="shared" si="109"/>
        <v>2022</v>
      </c>
      <c r="Z1506" s="136" t="s">
        <v>2238</v>
      </c>
      <c r="AA1506" t="str">
        <f>IF(Tabla1[[#This Row],[Kerma en aire acumulada (Gy)]]&gt;1,SUMIF(G:G,Tabla1[[#This Row],[SIP]],I:I)-Tabla1[[#This Row],[Kerma en aire acumulada (Gy)]],"")</f>
        <v/>
      </c>
    </row>
    <row r="1507" spans="3:27">
      <c r="C1507" s="147" t="s">
        <v>1088</v>
      </c>
      <c r="D1507" s="134" t="s">
        <v>742</v>
      </c>
      <c r="E1507" s="134" t="s">
        <v>856</v>
      </c>
      <c r="F1507" s="134" t="s">
        <v>131</v>
      </c>
      <c r="G1507" s="134">
        <v>2893766</v>
      </c>
      <c r="H1507" s="135">
        <v>44681</v>
      </c>
      <c r="I1507" s="134">
        <v>0.61831000000000003</v>
      </c>
      <c r="J1507" s="145"/>
      <c r="K1507" s="145"/>
      <c r="L1507" s="145"/>
      <c r="M1507" s="145"/>
      <c r="N1507" s="145"/>
      <c r="O1507" s="145"/>
      <c r="P1507" s="145"/>
      <c r="Q1507" s="145"/>
      <c r="R1507" s="145"/>
      <c r="S1507" s="145"/>
      <c r="T1507" s="135">
        <v>27308</v>
      </c>
      <c r="U1507" s="145"/>
      <c r="V1507" s="134" t="s">
        <v>563</v>
      </c>
      <c r="W1507" s="92" t="str">
        <f t="shared" si="107"/>
        <v>Lluch Gomez,Salvador</v>
      </c>
      <c r="X1507" s="95">
        <f t="shared" si="108"/>
        <v>4</v>
      </c>
      <c r="Y1507" s="95">
        <f t="shared" si="109"/>
        <v>2022</v>
      </c>
      <c r="Z1507" s="103" t="s">
        <v>265</v>
      </c>
      <c r="AA1507" t="str">
        <f>IF(Tabla1[[#This Row],[Kerma en aire acumulada (Gy)]]&gt;1,SUMIF(G:G,Tabla1[[#This Row],[SIP]],I:I)-Tabla1[[#This Row],[Kerma en aire acumulada (Gy)]],"")</f>
        <v/>
      </c>
    </row>
    <row r="1508" spans="3:27">
      <c r="C1508" s="147" t="s">
        <v>1088</v>
      </c>
      <c r="D1508" s="134" t="s">
        <v>948</v>
      </c>
      <c r="E1508" s="134" t="s">
        <v>2733</v>
      </c>
      <c r="F1508" s="134" t="s">
        <v>1155</v>
      </c>
      <c r="G1508" s="134">
        <v>185316</v>
      </c>
      <c r="H1508" s="135">
        <v>44681</v>
      </c>
      <c r="I1508" s="134">
        <v>0.84889000000000003</v>
      </c>
      <c r="J1508" s="145"/>
      <c r="K1508" s="145"/>
      <c r="L1508" s="145"/>
      <c r="M1508" s="145"/>
      <c r="N1508" s="145"/>
      <c r="O1508" s="145"/>
      <c r="P1508" s="145"/>
      <c r="Q1508" s="145"/>
      <c r="R1508" s="145"/>
      <c r="S1508" s="145"/>
      <c r="T1508" s="135">
        <v>21564</v>
      </c>
      <c r="U1508" s="145"/>
      <c r="V1508" s="134" t="s">
        <v>563</v>
      </c>
      <c r="W1508" s="92" t="str">
        <f t="shared" si="107"/>
        <v>Martinez Mauri,Maria</v>
      </c>
      <c r="X1508" s="95">
        <f t="shared" si="108"/>
        <v>4</v>
      </c>
      <c r="Y1508" s="95">
        <f t="shared" si="109"/>
        <v>2022</v>
      </c>
      <c r="Z1508" s="103" t="s">
        <v>265</v>
      </c>
      <c r="AA1508" t="str">
        <f>IF(Tabla1[[#This Row],[Kerma en aire acumulada (Gy)]]&gt;1,SUMIF(G:G,Tabla1[[#This Row],[SIP]],I:I)-Tabla1[[#This Row],[Kerma en aire acumulada (Gy)]],"")</f>
        <v/>
      </c>
    </row>
    <row r="1509" spans="3:27">
      <c r="C1509" s="147" t="s">
        <v>1088</v>
      </c>
      <c r="D1509" s="134" t="s">
        <v>2730</v>
      </c>
      <c r="E1509" s="134" t="s">
        <v>2731</v>
      </c>
      <c r="F1509" s="134" t="s">
        <v>2732</v>
      </c>
      <c r="G1509" s="134">
        <v>2554325</v>
      </c>
      <c r="H1509" s="135">
        <v>44682</v>
      </c>
      <c r="I1509" s="134">
        <v>0.17644000000000001</v>
      </c>
      <c r="J1509" s="145"/>
      <c r="K1509" s="145"/>
      <c r="L1509" s="145"/>
      <c r="M1509" s="145"/>
      <c r="N1509" s="145"/>
      <c r="O1509" s="145"/>
      <c r="P1509" s="145"/>
      <c r="Q1509" s="145"/>
      <c r="R1509" s="145"/>
      <c r="S1509" s="145"/>
      <c r="T1509" s="135">
        <v>21940</v>
      </c>
      <c r="U1509" s="145"/>
      <c r="V1509" s="134" t="s">
        <v>563</v>
      </c>
      <c r="W1509" s="92" t="str">
        <f t="shared" si="107"/>
        <v>Cozar Pleguezuelos,Abraham</v>
      </c>
      <c r="X1509" s="95">
        <f t="shared" si="108"/>
        <v>5</v>
      </c>
      <c r="Y1509" s="95">
        <f t="shared" si="109"/>
        <v>2022</v>
      </c>
      <c r="Z1509" s="136" t="s">
        <v>266</v>
      </c>
      <c r="AA1509" t="str">
        <f>IF(Tabla1[[#This Row],[Kerma en aire acumulada (Gy)]]&gt;1,SUMIF(G:G,Tabla1[[#This Row],[SIP]],I:I)-Tabla1[[#This Row],[Kerma en aire acumulada (Gy)]],"")</f>
        <v/>
      </c>
    </row>
    <row r="1510" spans="3:27">
      <c r="C1510" s="147" t="s">
        <v>1088</v>
      </c>
      <c r="D1510" s="134" t="s">
        <v>1587</v>
      </c>
      <c r="E1510" s="134" t="s">
        <v>945</v>
      </c>
      <c r="F1510" s="134" t="s">
        <v>88</v>
      </c>
      <c r="G1510" s="134">
        <v>244889</v>
      </c>
      <c r="H1510" s="135">
        <v>44682</v>
      </c>
      <c r="I1510" s="134">
        <v>0.51470000000000005</v>
      </c>
      <c r="J1510" s="145"/>
      <c r="K1510" s="145"/>
      <c r="L1510" s="145"/>
      <c r="M1510" s="145"/>
      <c r="N1510" s="145"/>
      <c r="O1510" s="145"/>
      <c r="P1510" s="145"/>
      <c r="Q1510" s="145"/>
      <c r="R1510" s="145"/>
      <c r="S1510" s="145"/>
      <c r="T1510" s="135">
        <v>19945</v>
      </c>
      <c r="U1510" s="145"/>
      <c r="V1510" s="134" t="s">
        <v>563</v>
      </c>
      <c r="W1510" s="92" t="str">
        <f t="shared" si="107"/>
        <v>Jimenez Ponce,Vicente</v>
      </c>
      <c r="X1510" s="95">
        <f t="shared" si="108"/>
        <v>5</v>
      </c>
      <c r="Y1510" s="95">
        <f t="shared" si="109"/>
        <v>2022</v>
      </c>
      <c r="Z1510" s="136" t="s">
        <v>266</v>
      </c>
      <c r="AA1510" t="str">
        <f>IF(Tabla1[[#This Row],[Kerma en aire acumulada (Gy)]]&gt;1,SUMIF(G:G,Tabla1[[#This Row],[SIP]],I:I)-Tabla1[[#This Row],[Kerma en aire acumulada (Gy)]],"")</f>
        <v/>
      </c>
    </row>
    <row r="1511" spans="3:27">
      <c r="C1511" s="147" t="s">
        <v>1088</v>
      </c>
      <c r="D1511" s="134" t="s">
        <v>1645</v>
      </c>
      <c r="E1511" s="134" t="s">
        <v>1852</v>
      </c>
      <c r="F1511" s="134" t="s">
        <v>88</v>
      </c>
      <c r="G1511" s="134">
        <v>2422295</v>
      </c>
      <c r="H1511" s="135">
        <v>44682</v>
      </c>
      <c r="I1511" s="134">
        <v>0.14249999999999999</v>
      </c>
      <c r="J1511" s="145"/>
      <c r="K1511" s="145"/>
      <c r="L1511" s="145"/>
      <c r="M1511" s="145"/>
      <c r="N1511" s="145"/>
      <c r="O1511" s="145"/>
      <c r="P1511" s="145"/>
      <c r="Q1511" s="145"/>
      <c r="R1511" s="145"/>
      <c r="S1511" s="145"/>
      <c r="T1511" s="135">
        <v>21000</v>
      </c>
      <c r="U1511" s="145"/>
      <c r="V1511" s="134" t="s">
        <v>563</v>
      </c>
      <c r="W1511" s="92" t="str">
        <f t="shared" si="107"/>
        <v>Rubert Cardona,Vicente</v>
      </c>
      <c r="X1511" s="95">
        <f t="shared" si="108"/>
        <v>5</v>
      </c>
      <c r="Y1511" s="95">
        <f t="shared" si="109"/>
        <v>2022</v>
      </c>
      <c r="Z1511" s="136" t="s">
        <v>266</v>
      </c>
      <c r="AA1511" t="str">
        <f>IF(Tabla1[[#This Row],[Kerma en aire acumulada (Gy)]]&gt;1,SUMIF(G:G,Tabla1[[#This Row],[SIP]],I:I)-Tabla1[[#This Row],[Kerma en aire acumulada (Gy)]],"")</f>
        <v/>
      </c>
    </row>
    <row r="1512" spans="3:27">
      <c r="C1512" s="147" t="s">
        <v>1088</v>
      </c>
      <c r="D1512" s="134" t="s">
        <v>2701</v>
      </c>
      <c r="E1512" s="134" t="s">
        <v>1109</v>
      </c>
      <c r="F1512" s="134" t="s">
        <v>356</v>
      </c>
      <c r="G1512" s="134">
        <v>7999207</v>
      </c>
      <c r="H1512" s="135">
        <v>44683</v>
      </c>
      <c r="I1512" s="134">
        <v>2.3120000000000002E-2</v>
      </c>
      <c r="J1512" s="145"/>
      <c r="K1512" s="145"/>
      <c r="L1512" s="145"/>
      <c r="M1512" s="145"/>
      <c r="N1512" s="145"/>
      <c r="O1512" s="145"/>
      <c r="P1512" s="145"/>
      <c r="Q1512" s="145"/>
      <c r="R1512" s="145"/>
      <c r="S1512" s="145"/>
      <c r="T1512" s="135">
        <v>21199</v>
      </c>
      <c r="U1512" s="145"/>
      <c r="V1512" s="134" t="s">
        <v>1203</v>
      </c>
      <c r="W1512" s="92" t="str">
        <f t="shared" si="107"/>
        <v>Peralta Gonzales,Manuel</v>
      </c>
      <c r="X1512" s="95">
        <f t="shared" si="108"/>
        <v>5</v>
      </c>
      <c r="Y1512" s="95">
        <f t="shared" si="109"/>
        <v>2022</v>
      </c>
      <c r="Z1512" s="103" t="s">
        <v>265</v>
      </c>
      <c r="AA1512" t="str">
        <f>IF(Tabla1[[#This Row],[Kerma en aire acumulada (Gy)]]&gt;1,SUMIF(G:G,Tabla1[[#This Row],[SIP]],I:I)-Tabla1[[#This Row],[Kerma en aire acumulada (Gy)]],"")</f>
        <v/>
      </c>
    </row>
    <row r="1513" spans="3:27">
      <c r="C1513" s="147" t="s">
        <v>1088</v>
      </c>
      <c r="D1513" s="134" t="s">
        <v>2702</v>
      </c>
      <c r="E1513" s="134" t="s">
        <v>1275</v>
      </c>
      <c r="F1513" s="134" t="s">
        <v>635</v>
      </c>
      <c r="G1513" s="134">
        <v>2431316</v>
      </c>
      <c r="H1513" s="135">
        <v>44683</v>
      </c>
      <c r="I1513" s="134">
        <v>0.27428999999999998</v>
      </c>
      <c r="J1513" s="145"/>
      <c r="K1513" s="145"/>
      <c r="L1513" s="145"/>
      <c r="M1513" s="145"/>
      <c r="N1513" s="145"/>
      <c r="O1513" s="145"/>
      <c r="P1513" s="145"/>
      <c r="Q1513" s="145"/>
      <c r="R1513" s="145"/>
      <c r="S1513" s="145"/>
      <c r="T1513" s="135">
        <v>26462</v>
      </c>
      <c r="U1513" s="145"/>
      <c r="V1513" s="134" t="s">
        <v>2703</v>
      </c>
      <c r="W1513" s="92" t="str">
        <f t="shared" si="107"/>
        <v>Aparisi Ramirez,Enrique</v>
      </c>
      <c r="X1513" s="95">
        <f t="shared" si="108"/>
        <v>5</v>
      </c>
      <c r="Y1513" s="95">
        <f t="shared" si="109"/>
        <v>2022</v>
      </c>
      <c r="Z1513" s="103" t="s">
        <v>265</v>
      </c>
      <c r="AA1513" t="str">
        <f>IF(Tabla1[[#This Row],[Kerma en aire acumulada (Gy)]]&gt;1,SUMIF(G:G,Tabla1[[#This Row],[SIP]],I:I)-Tabla1[[#This Row],[Kerma en aire acumulada (Gy)]],"")</f>
        <v/>
      </c>
    </row>
    <row r="1514" spans="3:27">
      <c r="C1514" s="147" t="s">
        <v>1088</v>
      </c>
      <c r="D1514" s="134" t="s">
        <v>2702</v>
      </c>
      <c r="E1514" s="134" t="s">
        <v>1837</v>
      </c>
      <c r="F1514" s="134" t="s">
        <v>83</v>
      </c>
      <c r="G1514" s="134">
        <v>2406632</v>
      </c>
      <c r="H1514" s="135">
        <v>44683</v>
      </c>
      <c r="I1514" s="134">
        <v>1.9109999999999999E-2</v>
      </c>
      <c r="J1514" s="145"/>
      <c r="K1514" s="145"/>
      <c r="L1514" s="145"/>
      <c r="M1514" s="145"/>
      <c r="N1514" s="145"/>
      <c r="O1514" s="145"/>
      <c r="P1514" s="145"/>
      <c r="Q1514" s="145"/>
      <c r="R1514" s="145"/>
      <c r="S1514" s="145"/>
      <c r="T1514" s="135">
        <v>20507</v>
      </c>
      <c r="U1514" s="145"/>
      <c r="V1514" s="134" t="s">
        <v>2704</v>
      </c>
      <c r="W1514" s="92" t="str">
        <f t="shared" ref="W1514:W1577" si="110">CONCATENATE(D1514,$A$591,E1514,",",F1514)</f>
        <v>Aparisi Rodriguez,Francisco</v>
      </c>
      <c r="X1514" s="95">
        <f t="shared" ref="X1514:X1577" si="111">MONTH(H1514)</f>
        <v>5</v>
      </c>
      <c r="Y1514" s="95">
        <f t="shared" ref="Y1514:Y1577" si="112">YEAR(H1514)</f>
        <v>2022</v>
      </c>
      <c r="Z1514" s="103" t="s">
        <v>265</v>
      </c>
      <c r="AA1514" t="str">
        <f>IF(Tabla1[[#This Row],[Kerma en aire acumulada (Gy)]]&gt;1,SUMIF(G:G,Tabla1[[#This Row],[SIP]],I:I)-Tabla1[[#This Row],[Kerma en aire acumulada (Gy)]],"")</f>
        <v/>
      </c>
    </row>
    <row r="1515" spans="3:27">
      <c r="C1515" s="147" t="s">
        <v>1088</v>
      </c>
      <c r="D1515" s="134" t="s">
        <v>856</v>
      </c>
      <c r="E1515" s="134" t="s">
        <v>181</v>
      </c>
      <c r="F1515" s="134" t="s">
        <v>2715</v>
      </c>
      <c r="G1515" s="134">
        <v>3533030</v>
      </c>
      <c r="H1515" s="135">
        <v>44683</v>
      </c>
      <c r="I1515" s="134">
        <v>0.20963000000000001</v>
      </c>
      <c r="J1515" s="145"/>
      <c r="K1515" s="145"/>
      <c r="L1515" s="145"/>
      <c r="M1515" s="145"/>
      <c r="N1515" s="145"/>
      <c r="O1515" s="145"/>
      <c r="P1515" s="145"/>
      <c r="Q1515" s="145"/>
      <c r="R1515" s="145"/>
      <c r="S1515" s="145"/>
      <c r="T1515" s="135">
        <v>22604</v>
      </c>
      <c r="U1515" s="145"/>
      <c r="V1515" s="134" t="s">
        <v>550</v>
      </c>
      <c r="W1515" s="92" t="str">
        <f t="shared" si="110"/>
        <v>Gomez Castillo,Hilaria</v>
      </c>
      <c r="X1515" s="95">
        <f t="shared" si="111"/>
        <v>5</v>
      </c>
      <c r="Y1515" s="95">
        <f t="shared" si="112"/>
        <v>2022</v>
      </c>
      <c r="Z1515" s="136" t="s">
        <v>266</v>
      </c>
      <c r="AA1515" t="str">
        <f>IF(Tabla1[[#This Row],[Kerma en aire acumulada (Gy)]]&gt;1,SUMIF(G:G,Tabla1[[#This Row],[SIP]],I:I)-Tabla1[[#This Row],[Kerma en aire acumulada (Gy)]],"")</f>
        <v/>
      </c>
    </row>
    <row r="1516" spans="3:27">
      <c r="C1516" s="147" t="s">
        <v>1088</v>
      </c>
      <c r="D1516" s="134" t="s">
        <v>2729</v>
      </c>
      <c r="E1516" s="134" t="s">
        <v>1187</v>
      </c>
      <c r="F1516" s="134" t="s">
        <v>13</v>
      </c>
      <c r="G1516" s="134">
        <v>2243890</v>
      </c>
      <c r="H1516" s="135">
        <v>44683</v>
      </c>
      <c r="I1516" s="134">
        <v>0.44563999999999998</v>
      </c>
      <c r="J1516" s="145"/>
      <c r="K1516" s="145"/>
      <c r="L1516" s="145"/>
      <c r="M1516" s="145"/>
      <c r="N1516" s="145"/>
      <c r="O1516" s="145"/>
      <c r="P1516" s="145"/>
      <c r="Q1516" s="145"/>
      <c r="R1516" s="145"/>
      <c r="S1516" s="145"/>
      <c r="T1516" s="135">
        <v>13652</v>
      </c>
      <c r="U1516" s="145"/>
      <c r="V1516" s="134" t="s">
        <v>563</v>
      </c>
      <c r="W1516" s="92" t="str">
        <f t="shared" si="110"/>
        <v>Pernias Villanueva,Manuela</v>
      </c>
      <c r="X1516" s="95">
        <f t="shared" si="111"/>
        <v>5</v>
      </c>
      <c r="Y1516" s="95">
        <f t="shared" si="112"/>
        <v>2022</v>
      </c>
      <c r="Z1516" s="136" t="s">
        <v>266</v>
      </c>
      <c r="AA1516" t="str">
        <f>IF(Tabla1[[#This Row],[Kerma en aire acumulada (Gy)]]&gt;1,SUMIF(G:G,Tabla1[[#This Row],[SIP]],I:I)-Tabla1[[#This Row],[Kerma en aire acumulada (Gy)]],"")</f>
        <v/>
      </c>
    </row>
    <row r="1517" spans="3:27">
      <c r="C1517" s="147" t="s">
        <v>1088</v>
      </c>
      <c r="D1517" s="134" t="s">
        <v>1227</v>
      </c>
      <c r="E1517" s="134" t="s">
        <v>2666</v>
      </c>
      <c r="F1517" s="134" t="s">
        <v>356</v>
      </c>
      <c r="G1517" s="134">
        <v>3522181</v>
      </c>
      <c r="H1517" s="135">
        <v>44683</v>
      </c>
      <c r="I1517" s="134">
        <v>0.21847</v>
      </c>
      <c r="J1517" s="145"/>
      <c r="K1517" s="145"/>
      <c r="L1517" s="145"/>
      <c r="M1517" s="145"/>
      <c r="N1517" s="145"/>
      <c r="O1517" s="145"/>
      <c r="P1517" s="145"/>
      <c r="Q1517" s="145"/>
      <c r="R1517" s="145"/>
      <c r="S1517" s="145"/>
      <c r="T1517" s="135">
        <v>19541</v>
      </c>
      <c r="U1517" s="145"/>
      <c r="V1517" s="134" t="s">
        <v>563</v>
      </c>
      <c r="W1517" s="92" t="str">
        <f t="shared" si="110"/>
        <v>Galvez Pradas,Manuel</v>
      </c>
      <c r="X1517" s="95">
        <f t="shared" si="111"/>
        <v>5</v>
      </c>
      <c r="Y1517" s="95">
        <f t="shared" si="112"/>
        <v>2022</v>
      </c>
      <c r="Z1517" s="136" t="s">
        <v>266</v>
      </c>
      <c r="AA1517" t="str">
        <f>IF(Tabla1[[#This Row],[Kerma en aire acumulada (Gy)]]&gt;1,SUMIF(G:G,Tabla1[[#This Row],[SIP]],I:I)-Tabla1[[#This Row],[Kerma en aire acumulada (Gy)]],"")</f>
        <v/>
      </c>
    </row>
    <row r="1518" spans="3:27">
      <c r="C1518" s="147" t="s">
        <v>1088</v>
      </c>
      <c r="D1518" s="134" t="s">
        <v>964</v>
      </c>
      <c r="E1518" s="134" t="s">
        <v>954</v>
      </c>
      <c r="F1518" s="134" t="s">
        <v>2757</v>
      </c>
      <c r="G1518" s="134">
        <v>1858614</v>
      </c>
      <c r="H1518" s="135">
        <v>44683</v>
      </c>
      <c r="I1518" s="134">
        <v>0.29400999999999999</v>
      </c>
      <c r="J1518" s="145"/>
      <c r="K1518" s="145"/>
      <c r="L1518" s="145"/>
      <c r="M1518" s="145"/>
      <c r="N1518" s="145"/>
      <c r="O1518" s="145"/>
      <c r="P1518" s="145"/>
      <c r="Q1518" s="145"/>
      <c r="R1518" s="145"/>
      <c r="S1518" s="145"/>
      <c r="T1518" s="135">
        <v>14280</v>
      </c>
      <c r="U1518" s="145"/>
      <c r="V1518" s="134" t="s">
        <v>563</v>
      </c>
      <c r="W1518" s="92" t="str">
        <f t="shared" si="110"/>
        <v>San Bautista Carbonell,Getulio</v>
      </c>
      <c r="X1518" s="95">
        <f t="shared" si="111"/>
        <v>5</v>
      </c>
      <c r="Y1518" s="95">
        <f t="shared" si="112"/>
        <v>2022</v>
      </c>
      <c r="Z1518" s="103" t="s">
        <v>265</v>
      </c>
      <c r="AA1518" t="str">
        <f>IF(Tabla1[[#This Row],[Kerma en aire acumulada (Gy)]]&gt;1,SUMIF(G:G,Tabla1[[#This Row],[SIP]],I:I)-Tabla1[[#This Row],[Kerma en aire acumulada (Gy)]],"")</f>
        <v/>
      </c>
    </row>
    <row r="1519" spans="3:27">
      <c r="C1519" s="147" t="s">
        <v>1088</v>
      </c>
      <c r="D1519" s="134" t="s">
        <v>2758</v>
      </c>
      <c r="E1519" s="134" t="s">
        <v>2262</v>
      </c>
      <c r="F1519" s="134" t="s">
        <v>991</v>
      </c>
      <c r="G1519" s="134">
        <v>2267364</v>
      </c>
      <c r="H1519" s="135">
        <v>44683</v>
      </c>
      <c r="I1519" s="134">
        <v>0.33451999999999998</v>
      </c>
      <c r="J1519" s="145"/>
      <c r="K1519" s="145"/>
      <c r="L1519" s="145"/>
      <c r="M1519" s="145"/>
      <c r="N1519" s="145"/>
      <c r="O1519" s="145"/>
      <c r="P1519" s="145"/>
      <c r="Q1519" s="145"/>
      <c r="R1519" s="145"/>
      <c r="S1519" s="145"/>
      <c r="T1519" s="135">
        <v>17230</v>
      </c>
      <c r="U1519" s="145"/>
      <c r="V1519" s="134" t="s">
        <v>563</v>
      </c>
      <c r="W1519" s="92" t="str">
        <f t="shared" si="110"/>
        <v>Lleusma MArtinez,Jose</v>
      </c>
      <c r="X1519" s="95">
        <f t="shared" si="111"/>
        <v>5</v>
      </c>
      <c r="Y1519" s="95">
        <f t="shared" si="112"/>
        <v>2022</v>
      </c>
      <c r="Z1519" s="103" t="s">
        <v>265</v>
      </c>
      <c r="AA1519" t="str">
        <f>IF(Tabla1[[#This Row],[Kerma en aire acumulada (Gy)]]&gt;1,SUMIF(G:G,Tabla1[[#This Row],[SIP]],I:I)-Tabla1[[#This Row],[Kerma en aire acumulada (Gy)]],"")</f>
        <v/>
      </c>
    </row>
    <row r="1520" spans="3:27">
      <c r="C1520" s="147" t="s">
        <v>1088</v>
      </c>
      <c r="D1520" s="134" t="s">
        <v>856</v>
      </c>
      <c r="E1520" s="134" t="s">
        <v>2120</v>
      </c>
      <c r="F1520" s="134" t="s">
        <v>959</v>
      </c>
      <c r="G1520" s="134">
        <v>3071753</v>
      </c>
      <c r="H1520" s="135">
        <v>44683</v>
      </c>
      <c r="I1520" s="134">
        <v>0.34034999999999999</v>
      </c>
      <c r="J1520" s="145"/>
      <c r="K1520" s="145"/>
      <c r="L1520" s="145"/>
      <c r="M1520" s="145"/>
      <c r="N1520" s="145"/>
      <c r="O1520" s="145"/>
      <c r="P1520" s="145"/>
      <c r="Q1520" s="145"/>
      <c r="R1520" s="145"/>
      <c r="S1520" s="145"/>
      <c r="T1520" s="135">
        <v>29123</v>
      </c>
      <c r="U1520" s="145"/>
      <c r="V1520" s="134" t="s">
        <v>563</v>
      </c>
      <c r="W1520" s="92" t="str">
        <f t="shared" si="110"/>
        <v>Gomez Amat,Jorge Arturo</v>
      </c>
      <c r="X1520" s="95">
        <f t="shared" si="111"/>
        <v>5</v>
      </c>
      <c r="Y1520" s="95">
        <f t="shared" si="112"/>
        <v>2022</v>
      </c>
      <c r="Z1520" s="103" t="s">
        <v>265</v>
      </c>
      <c r="AA1520" t="str">
        <f>IF(Tabla1[[#This Row],[Kerma en aire acumulada (Gy)]]&gt;1,SUMIF(G:G,Tabla1[[#This Row],[SIP]],I:I)-Tabla1[[#This Row],[Kerma en aire acumulada (Gy)]],"")</f>
        <v/>
      </c>
    </row>
    <row r="1521" spans="3:27">
      <c r="C1521" s="147" t="s">
        <v>1088</v>
      </c>
      <c r="D1521" s="134" t="s">
        <v>2759</v>
      </c>
      <c r="E1521" s="134" t="s">
        <v>962</v>
      </c>
      <c r="F1521" s="134" t="s">
        <v>57</v>
      </c>
      <c r="G1521" s="134">
        <v>3812664</v>
      </c>
      <c r="H1521" s="135">
        <v>44683</v>
      </c>
      <c r="I1521" s="134">
        <v>0.94869000000000003</v>
      </c>
      <c r="J1521" s="145"/>
      <c r="K1521" s="145"/>
      <c r="L1521" s="145"/>
      <c r="M1521" s="145"/>
      <c r="N1521" s="145"/>
      <c r="O1521" s="145"/>
      <c r="P1521" s="145"/>
      <c r="Q1521" s="145"/>
      <c r="R1521" s="145"/>
      <c r="S1521" s="145"/>
      <c r="T1521" s="135">
        <v>24955</v>
      </c>
      <c r="U1521" s="145"/>
      <c r="V1521" s="134" t="s">
        <v>563</v>
      </c>
      <c r="W1521" s="92" t="str">
        <f t="shared" si="110"/>
        <v>Vega Garcia,Miguel</v>
      </c>
      <c r="X1521" s="95">
        <f t="shared" si="111"/>
        <v>5</v>
      </c>
      <c r="Y1521" s="95">
        <f t="shared" si="112"/>
        <v>2022</v>
      </c>
      <c r="Z1521" s="103" t="s">
        <v>265</v>
      </c>
      <c r="AA1521" t="str">
        <f>IF(Tabla1[[#This Row],[Kerma en aire acumulada (Gy)]]&gt;1,SUMIF(G:G,Tabla1[[#This Row],[SIP]],I:I)-Tabla1[[#This Row],[Kerma en aire acumulada (Gy)]],"")</f>
        <v/>
      </c>
    </row>
    <row r="1522" spans="3:27">
      <c r="C1522" s="147" t="s">
        <v>1088</v>
      </c>
      <c r="D1522" s="134" t="s">
        <v>948</v>
      </c>
      <c r="E1522" s="134" t="s">
        <v>1261</v>
      </c>
      <c r="F1522" s="134" t="s">
        <v>2760</v>
      </c>
      <c r="G1522" s="134">
        <v>2437203</v>
      </c>
      <c r="H1522" s="135">
        <v>44683</v>
      </c>
      <c r="I1522" s="134">
        <v>8.251E-2</v>
      </c>
      <c r="J1522" s="145"/>
      <c r="K1522" s="145"/>
      <c r="L1522" s="145"/>
      <c r="M1522" s="145"/>
      <c r="N1522" s="145"/>
      <c r="O1522" s="145"/>
      <c r="P1522" s="145"/>
      <c r="Q1522" s="145"/>
      <c r="R1522" s="145"/>
      <c r="S1522" s="145"/>
      <c r="T1522" s="135">
        <v>19870</v>
      </c>
      <c r="U1522" s="145"/>
      <c r="V1522" s="134" t="s">
        <v>563</v>
      </c>
      <c r="W1522" s="92" t="str">
        <f t="shared" si="110"/>
        <v>Martinez Hernandez,Maria Josefa</v>
      </c>
      <c r="X1522" s="95">
        <f t="shared" si="111"/>
        <v>5</v>
      </c>
      <c r="Y1522" s="95">
        <f t="shared" si="112"/>
        <v>2022</v>
      </c>
      <c r="Z1522" s="103" t="s">
        <v>265</v>
      </c>
      <c r="AA1522" t="str">
        <f>IF(Tabla1[[#This Row],[Kerma en aire acumulada (Gy)]]&gt;1,SUMIF(G:G,Tabla1[[#This Row],[SIP]],I:I)-Tabla1[[#This Row],[Kerma en aire acumulada (Gy)]],"")</f>
        <v/>
      </c>
    </row>
    <row r="1523" spans="3:27">
      <c r="C1523" s="147" t="s">
        <v>1088</v>
      </c>
      <c r="D1523" s="134" t="s">
        <v>2761</v>
      </c>
      <c r="E1523" s="134"/>
      <c r="F1523" s="134" t="s">
        <v>2762</v>
      </c>
      <c r="G1523" s="134">
        <v>13487318</v>
      </c>
      <c r="H1523" s="135">
        <v>44683</v>
      </c>
      <c r="I1523" s="134">
        <v>0.42343999999999998</v>
      </c>
      <c r="J1523" s="145"/>
      <c r="K1523" s="145"/>
      <c r="L1523" s="145"/>
      <c r="M1523" s="145"/>
      <c r="N1523" s="145"/>
      <c r="O1523" s="145"/>
      <c r="P1523" s="145"/>
      <c r="Q1523" s="145"/>
      <c r="R1523" s="145"/>
      <c r="S1523" s="145"/>
      <c r="T1523" s="135">
        <v>22823</v>
      </c>
      <c r="U1523" s="145"/>
      <c r="V1523" s="134" t="s">
        <v>563</v>
      </c>
      <c r="W1523" s="92" t="str">
        <f t="shared" si="110"/>
        <v>Meagher ,Janet Lynn</v>
      </c>
      <c r="X1523" s="95">
        <f t="shared" si="111"/>
        <v>5</v>
      </c>
      <c r="Y1523" s="95">
        <f t="shared" si="112"/>
        <v>2022</v>
      </c>
      <c r="Z1523" s="103" t="s">
        <v>265</v>
      </c>
      <c r="AA1523" t="str">
        <f>IF(Tabla1[[#This Row],[Kerma en aire acumulada (Gy)]]&gt;1,SUMIF(G:G,Tabla1[[#This Row],[SIP]],I:I)-Tabla1[[#This Row],[Kerma en aire acumulada (Gy)]],"")</f>
        <v/>
      </c>
    </row>
    <row r="1524" spans="3:27">
      <c r="C1524" s="147" t="s">
        <v>1088</v>
      </c>
      <c r="D1524" s="134" t="s">
        <v>2763</v>
      </c>
      <c r="E1524" s="134" t="s">
        <v>948</v>
      </c>
      <c r="F1524" s="134" t="s">
        <v>2764</v>
      </c>
      <c r="G1524" s="134">
        <v>2268658</v>
      </c>
      <c r="H1524" s="135">
        <v>44683</v>
      </c>
      <c r="I1524" s="134">
        <v>0.12922</v>
      </c>
      <c r="J1524" s="145"/>
      <c r="K1524" s="145"/>
      <c r="L1524" s="145"/>
      <c r="M1524" s="145"/>
      <c r="N1524" s="145"/>
      <c r="O1524" s="145"/>
      <c r="P1524" s="145"/>
      <c r="Q1524" s="145"/>
      <c r="R1524" s="145"/>
      <c r="S1524" s="145"/>
      <c r="T1524" s="135">
        <v>16578</v>
      </c>
      <c r="U1524" s="145"/>
      <c r="V1524" s="134" t="s">
        <v>563</v>
      </c>
      <c r="W1524" s="92" t="str">
        <f t="shared" si="110"/>
        <v>Picon Martinez,Jose Domingo</v>
      </c>
      <c r="X1524" s="95">
        <f t="shared" si="111"/>
        <v>5</v>
      </c>
      <c r="Y1524" s="95">
        <f t="shared" si="112"/>
        <v>2022</v>
      </c>
      <c r="Z1524" s="103" t="s">
        <v>265</v>
      </c>
      <c r="AA1524" t="str">
        <f>IF(Tabla1[[#This Row],[Kerma en aire acumulada (Gy)]]&gt;1,SUMIF(G:G,Tabla1[[#This Row],[SIP]],I:I)-Tabla1[[#This Row],[Kerma en aire acumulada (Gy)]],"")</f>
        <v/>
      </c>
    </row>
    <row r="1525" spans="3:27">
      <c r="C1525" s="147" t="s">
        <v>1088</v>
      </c>
      <c r="D1525" s="134" t="s">
        <v>985</v>
      </c>
      <c r="E1525" s="134" t="s">
        <v>169</v>
      </c>
      <c r="F1525" s="134" t="s">
        <v>2189</v>
      </c>
      <c r="G1525" s="134">
        <v>5518513</v>
      </c>
      <c r="H1525" s="135">
        <v>44683</v>
      </c>
      <c r="I1525" s="134">
        <v>2.0379999999999999E-2</v>
      </c>
      <c r="J1525" s="145"/>
      <c r="K1525" s="145"/>
      <c r="L1525" s="145"/>
      <c r="M1525" s="145"/>
      <c r="N1525" s="145"/>
      <c r="O1525" s="145"/>
      <c r="P1525" s="145"/>
      <c r="Q1525" s="145"/>
      <c r="R1525" s="145"/>
      <c r="S1525" s="145"/>
      <c r="T1525" s="135">
        <v>13994</v>
      </c>
      <c r="U1525" s="145"/>
      <c r="V1525" s="134" t="s">
        <v>2241</v>
      </c>
      <c r="W1525" s="92" t="str">
        <f t="shared" si="110"/>
        <v>Plaza Valero,Juan Jose</v>
      </c>
      <c r="X1525" s="95">
        <f t="shared" si="111"/>
        <v>5</v>
      </c>
      <c r="Y1525" s="95">
        <f t="shared" si="112"/>
        <v>2022</v>
      </c>
      <c r="Z1525" s="136" t="s">
        <v>2238</v>
      </c>
      <c r="AA1525" t="str">
        <f>IF(Tabla1[[#This Row],[Kerma en aire acumulada (Gy)]]&gt;1,SUMIF(G:G,Tabla1[[#This Row],[SIP]],I:I)-Tabla1[[#This Row],[Kerma en aire acumulada (Gy)]],"")</f>
        <v/>
      </c>
    </row>
    <row r="1526" spans="3:27">
      <c r="C1526" s="147" t="s">
        <v>1088</v>
      </c>
      <c r="D1526" s="134" t="s">
        <v>2773</v>
      </c>
      <c r="E1526" s="134" t="s">
        <v>1950</v>
      </c>
      <c r="F1526" s="134" t="s">
        <v>548</v>
      </c>
      <c r="G1526" s="134">
        <v>2985988</v>
      </c>
      <c r="H1526" s="135">
        <v>44683</v>
      </c>
      <c r="I1526" s="134">
        <v>1.4500000000000001E-2</v>
      </c>
      <c r="J1526" s="145"/>
      <c r="K1526" s="145"/>
      <c r="L1526" s="145"/>
      <c r="M1526" s="145"/>
      <c r="N1526" s="145"/>
      <c r="O1526" s="145"/>
      <c r="P1526" s="145"/>
      <c r="Q1526" s="145"/>
      <c r="R1526" s="145"/>
      <c r="S1526" s="145"/>
      <c r="T1526" s="135">
        <v>17097</v>
      </c>
      <c r="U1526" s="145"/>
      <c r="V1526" s="134" t="s">
        <v>2241</v>
      </c>
      <c r="W1526" s="92" t="str">
        <f t="shared" si="110"/>
        <v>Terriza Adame,Benito</v>
      </c>
      <c r="X1526" s="95">
        <f t="shared" si="111"/>
        <v>5</v>
      </c>
      <c r="Y1526" s="95">
        <f t="shared" si="112"/>
        <v>2022</v>
      </c>
      <c r="Z1526" s="136" t="s">
        <v>2238</v>
      </c>
      <c r="AA1526" t="str">
        <f>IF(Tabla1[[#This Row],[Kerma en aire acumulada (Gy)]]&gt;1,SUMIF(G:G,Tabla1[[#This Row],[SIP]],I:I)-Tabla1[[#This Row],[Kerma en aire acumulada (Gy)]],"")</f>
        <v/>
      </c>
    </row>
    <row r="1527" spans="3:27">
      <c r="C1527" s="147" t="s">
        <v>1088</v>
      </c>
      <c r="D1527" s="134" t="s">
        <v>1695</v>
      </c>
      <c r="E1527" s="134" t="s">
        <v>2651</v>
      </c>
      <c r="F1527" s="134" t="s">
        <v>1958</v>
      </c>
      <c r="G1527" s="134">
        <v>1955815</v>
      </c>
      <c r="H1527" s="135">
        <v>44684</v>
      </c>
      <c r="I1527" s="134">
        <v>2.4289999999999999E-2</v>
      </c>
      <c r="J1527" s="145"/>
      <c r="K1527" s="145"/>
      <c r="L1527" s="145"/>
      <c r="M1527" s="145"/>
      <c r="N1527" s="145"/>
      <c r="O1527" s="145"/>
      <c r="P1527" s="145"/>
      <c r="Q1527" s="145"/>
      <c r="R1527" s="145"/>
      <c r="S1527" s="145"/>
      <c r="T1527" s="135">
        <v>22641</v>
      </c>
      <c r="U1527" s="145"/>
      <c r="V1527" s="134" t="s">
        <v>541</v>
      </c>
      <c r="W1527" s="92" t="str">
        <f t="shared" si="110"/>
        <v>Portales Llop,Enric</v>
      </c>
      <c r="X1527" s="95">
        <f t="shared" si="111"/>
        <v>5</v>
      </c>
      <c r="Y1527" s="95">
        <f t="shared" si="112"/>
        <v>2022</v>
      </c>
      <c r="Z1527" s="103" t="s">
        <v>265</v>
      </c>
      <c r="AA1527" t="str">
        <f>IF(Tabla1[[#This Row],[Kerma en aire acumulada (Gy)]]&gt;1,SUMIF(G:G,Tabla1[[#This Row],[SIP]],I:I)-Tabla1[[#This Row],[Kerma en aire acumulada (Gy)]],"")</f>
        <v/>
      </c>
    </row>
    <row r="1528" spans="3:27">
      <c r="C1528" s="147" t="s">
        <v>1088</v>
      </c>
      <c r="D1528" s="134" t="s">
        <v>2276</v>
      </c>
      <c r="E1528" s="134" t="s">
        <v>2277</v>
      </c>
      <c r="F1528" s="134" t="s">
        <v>83</v>
      </c>
      <c r="G1528" s="134">
        <v>2251149</v>
      </c>
      <c r="H1528" s="135">
        <v>44684</v>
      </c>
      <c r="I1528" s="134">
        <v>2.9760000000000002E-2</v>
      </c>
      <c r="J1528" s="145"/>
      <c r="K1528" s="145"/>
      <c r="L1528" s="145"/>
      <c r="M1528" s="145"/>
      <c r="N1528" s="145"/>
      <c r="O1528" s="145"/>
      <c r="P1528" s="145"/>
      <c r="Q1528" s="145"/>
      <c r="R1528" s="145"/>
      <c r="S1528" s="145"/>
      <c r="T1528" s="135">
        <v>13824</v>
      </c>
      <c r="U1528" s="145"/>
      <c r="V1528" s="134" t="s">
        <v>1742</v>
      </c>
      <c r="W1528" s="92" t="str">
        <f t="shared" si="110"/>
        <v>Acebedo Romacho,Francisco</v>
      </c>
      <c r="X1528" s="95">
        <f t="shared" si="111"/>
        <v>5</v>
      </c>
      <c r="Y1528" s="95">
        <f t="shared" si="112"/>
        <v>2022</v>
      </c>
      <c r="Z1528" s="103" t="s">
        <v>265</v>
      </c>
      <c r="AA1528" t="str">
        <f>IF(Tabla1[[#This Row],[Kerma en aire acumulada (Gy)]]&gt;1,SUMIF(G:G,Tabla1[[#This Row],[SIP]],I:I)-Tabla1[[#This Row],[Kerma en aire acumulada (Gy)]],"")</f>
        <v/>
      </c>
    </row>
    <row r="1529" spans="3:27">
      <c r="C1529" s="147" t="s">
        <v>1088</v>
      </c>
      <c r="D1529" s="134" t="s">
        <v>2702</v>
      </c>
      <c r="E1529" s="134" t="s">
        <v>1275</v>
      </c>
      <c r="F1529" s="134" t="s">
        <v>635</v>
      </c>
      <c r="G1529" s="134">
        <v>2431316</v>
      </c>
      <c r="H1529" s="135">
        <v>44684</v>
      </c>
      <c r="I1529" s="134">
        <v>6.6400000000000001E-2</v>
      </c>
      <c r="J1529" s="145"/>
      <c r="K1529" s="145"/>
      <c r="L1529" s="145"/>
      <c r="M1529" s="145"/>
      <c r="N1529" s="145"/>
      <c r="O1529" s="145"/>
      <c r="P1529" s="145"/>
      <c r="Q1529" s="145"/>
      <c r="R1529" s="145"/>
      <c r="S1529" s="145"/>
      <c r="T1529" s="135">
        <v>26472</v>
      </c>
      <c r="U1529" s="145"/>
      <c r="V1529" s="134" t="s">
        <v>2711</v>
      </c>
      <c r="W1529" s="92" t="str">
        <f t="shared" si="110"/>
        <v>Aparisi Ramirez,Enrique</v>
      </c>
      <c r="X1529" s="95">
        <f t="shared" si="111"/>
        <v>5</v>
      </c>
      <c r="Y1529" s="95">
        <f t="shared" si="112"/>
        <v>2022</v>
      </c>
      <c r="Z1529" s="103" t="s">
        <v>265</v>
      </c>
      <c r="AA1529" t="str">
        <f>IF(Tabla1[[#This Row],[Kerma en aire acumulada (Gy)]]&gt;1,SUMIF(G:G,Tabla1[[#This Row],[SIP]],I:I)-Tabla1[[#This Row],[Kerma en aire acumulada (Gy)]],"")</f>
        <v/>
      </c>
    </row>
    <row r="1530" spans="3:27">
      <c r="C1530" s="147" t="s">
        <v>1088</v>
      </c>
      <c r="D1530" s="134" t="s">
        <v>2143</v>
      </c>
      <c r="E1530" s="134" t="s">
        <v>2635</v>
      </c>
      <c r="F1530" s="134" t="s">
        <v>2636</v>
      </c>
      <c r="G1530" s="134">
        <v>4485469</v>
      </c>
      <c r="H1530" s="135">
        <v>44684</v>
      </c>
      <c r="I1530" s="134">
        <v>2.0029999999999999E-2</v>
      </c>
      <c r="J1530" s="145"/>
      <c r="K1530" s="145"/>
      <c r="L1530" s="145"/>
      <c r="M1530" s="145"/>
      <c r="N1530" s="145"/>
      <c r="O1530" s="145"/>
      <c r="P1530" s="145"/>
      <c r="Q1530" s="145"/>
      <c r="R1530" s="145"/>
      <c r="S1530" s="145"/>
      <c r="T1530" s="135">
        <v>21141</v>
      </c>
      <c r="U1530" s="145"/>
      <c r="V1530" s="134" t="s">
        <v>1312</v>
      </c>
      <c r="W1530" s="92" t="str">
        <f t="shared" si="110"/>
        <v>Dominguez Arguello,Fernando A</v>
      </c>
      <c r="X1530" s="95">
        <f t="shared" si="111"/>
        <v>5</v>
      </c>
      <c r="Y1530" s="95">
        <f t="shared" si="112"/>
        <v>2022</v>
      </c>
      <c r="Z1530" s="103" t="s">
        <v>265</v>
      </c>
      <c r="AA1530" t="str">
        <f>IF(Tabla1[[#This Row],[Kerma en aire acumulada (Gy)]]&gt;1,SUMIF(G:G,Tabla1[[#This Row],[SIP]],I:I)-Tabla1[[#This Row],[Kerma en aire acumulada (Gy)]],"")</f>
        <v/>
      </c>
    </row>
    <row r="1531" spans="3:27">
      <c r="C1531" s="147" t="s">
        <v>1088</v>
      </c>
      <c r="D1531" s="134" t="s">
        <v>1740</v>
      </c>
      <c r="E1531" s="134" t="s">
        <v>77</v>
      </c>
      <c r="F1531" s="134" t="s">
        <v>2712</v>
      </c>
      <c r="G1531" s="134">
        <v>287689</v>
      </c>
      <c r="H1531" s="135">
        <v>44684</v>
      </c>
      <c r="I1531" s="134">
        <v>0.13769000000000001</v>
      </c>
      <c r="J1531" s="145"/>
      <c r="K1531" s="145"/>
      <c r="L1531" s="145"/>
      <c r="M1531" s="145"/>
      <c r="N1531" s="145"/>
      <c r="O1531" s="145"/>
      <c r="P1531" s="145"/>
      <c r="Q1531" s="145"/>
      <c r="R1531" s="145"/>
      <c r="S1531" s="145"/>
      <c r="T1531" s="135">
        <v>30008</v>
      </c>
      <c r="U1531" s="145"/>
      <c r="V1531" s="134" t="s">
        <v>2713</v>
      </c>
      <c r="W1531" s="92" t="str">
        <f t="shared" si="110"/>
        <v>Vila Torres,Vanesa</v>
      </c>
      <c r="X1531" s="95">
        <f t="shared" si="111"/>
        <v>5</v>
      </c>
      <c r="Y1531" s="95">
        <f t="shared" si="112"/>
        <v>2022</v>
      </c>
      <c r="Z1531" s="136" t="s">
        <v>266</v>
      </c>
      <c r="AA1531" t="str">
        <f>IF(Tabla1[[#This Row],[Kerma en aire acumulada (Gy)]]&gt;1,SUMIF(G:G,Tabla1[[#This Row],[SIP]],I:I)-Tabla1[[#This Row],[Kerma en aire acumulada (Gy)]],"")</f>
        <v/>
      </c>
    </row>
    <row r="1532" spans="3:27">
      <c r="C1532" s="147" t="s">
        <v>1088</v>
      </c>
      <c r="D1532" s="134" t="s">
        <v>22</v>
      </c>
      <c r="E1532" s="134" t="s">
        <v>337</v>
      </c>
      <c r="F1532" s="134" t="s">
        <v>831</v>
      </c>
      <c r="G1532" s="134">
        <v>11132037</v>
      </c>
      <c r="H1532" s="135">
        <v>44684</v>
      </c>
      <c r="I1532" s="134">
        <v>5.6959999999999997E-2</v>
      </c>
      <c r="J1532" s="145"/>
      <c r="K1532" s="145"/>
      <c r="L1532" s="145"/>
      <c r="M1532" s="145"/>
      <c r="N1532" s="145"/>
      <c r="O1532" s="145"/>
      <c r="P1532" s="145"/>
      <c r="Q1532" s="145"/>
      <c r="R1532" s="145"/>
      <c r="S1532" s="145"/>
      <c r="T1532" s="135">
        <v>23595</v>
      </c>
      <c r="U1532" s="145"/>
      <c r="V1532" s="134" t="s">
        <v>1293</v>
      </c>
      <c r="W1532" s="92" t="str">
        <f t="shared" si="110"/>
        <v>Ruiz Garrido,Encarnación</v>
      </c>
      <c r="X1532" s="95">
        <f t="shared" si="111"/>
        <v>5</v>
      </c>
      <c r="Y1532" s="95">
        <f t="shared" si="112"/>
        <v>2022</v>
      </c>
      <c r="Z1532" s="136" t="s">
        <v>266</v>
      </c>
      <c r="AA1532" t="str">
        <f>IF(Tabla1[[#This Row],[Kerma en aire acumulada (Gy)]]&gt;1,SUMIF(G:G,Tabla1[[#This Row],[SIP]],I:I)-Tabla1[[#This Row],[Kerma en aire acumulada (Gy)]],"")</f>
        <v/>
      </c>
    </row>
    <row r="1533" spans="3:27">
      <c r="C1533" s="147" t="s">
        <v>1088</v>
      </c>
      <c r="D1533" s="134" t="s">
        <v>30</v>
      </c>
      <c r="E1533" s="134" t="s">
        <v>319</v>
      </c>
      <c r="F1533" s="134" t="s">
        <v>2728</v>
      </c>
      <c r="G1533" s="134">
        <v>3776832</v>
      </c>
      <c r="H1533" s="135">
        <v>44684</v>
      </c>
      <c r="I1533" s="134">
        <v>0.16991999999999999</v>
      </c>
      <c r="J1533" s="145"/>
      <c r="K1533" s="145"/>
      <c r="L1533" s="145"/>
      <c r="M1533" s="145"/>
      <c r="N1533" s="145"/>
      <c r="O1533" s="145"/>
      <c r="P1533" s="145"/>
      <c r="Q1533" s="145"/>
      <c r="R1533" s="145"/>
      <c r="S1533" s="145"/>
      <c r="T1533" s="135">
        <v>26045</v>
      </c>
      <c r="U1533" s="145"/>
      <c r="V1533" s="134" t="s">
        <v>563</v>
      </c>
      <c r="W1533" s="92" t="str">
        <f t="shared" si="110"/>
        <v>Soler Gonzalez,Maria Luisa</v>
      </c>
      <c r="X1533" s="95">
        <f t="shared" si="111"/>
        <v>5</v>
      </c>
      <c r="Y1533" s="95">
        <f t="shared" si="112"/>
        <v>2022</v>
      </c>
      <c r="Z1533" s="136" t="s">
        <v>266</v>
      </c>
      <c r="AA1533" t="str">
        <f>IF(Tabla1[[#This Row],[Kerma en aire acumulada (Gy)]]&gt;1,SUMIF(G:G,Tabla1[[#This Row],[SIP]],I:I)-Tabla1[[#This Row],[Kerma en aire acumulada (Gy)]],"")</f>
        <v/>
      </c>
    </row>
    <row r="1534" spans="3:27">
      <c r="C1534" s="147" t="s">
        <v>1088</v>
      </c>
      <c r="D1534" s="134" t="s">
        <v>2771</v>
      </c>
      <c r="E1534" s="134" t="s">
        <v>2772</v>
      </c>
      <c r="F1534" s="134" t="s">
        <v>1104</v>
      </c>
      <c r="G1534" s="134">
        <v>5273254</v>
      </c>
      <c r="H1534" s="135">
        <v>44684</v>
      </c>
      <c r="I1534" s="134">
        <v>2.094E-2</v>
      </c>
      <c r="J1534" s="145"/>
      <c r="K1534" s="145"/>
      <c r="L1534" s="145"/>
      <c r="M1534" s="145"/>
      <c r="N1534" s="145"/>
      <c r="O1534" s="145"/>
      <c r="P1534" s="145"/>
      <c r="Q1534" s="145"/>
      <c r="R1534" s="145"/>
      <c r="S1534" s="145"/>
      <c r="T1534" s="135">
        <v>23072</v>
      </c>
      <c r="U1534" s="145"/>
      <c r="V1534" s="134" t="s">
        <v>2237</v>
      </c>
      <c r="W1534" s="92" t="str">
        <f t="shared" si="110"/>
        <v>Gerique Alcaraz,Jose Luis</v>
      </c>
      <c r="X1534" s="95">
        <f t="shared" si="111"/>
        <v>5</v>
      </c>
      <c r="Y1534" s="95">
        <f t="shared" si="112"/>
        <v>2022</v>
      </c>
      <c r="Z1534" s="136" t="s">
        <v>2238</v>
      </c>
      <c r="AA1534" t="str">
        <f>IF(Tabla1[[#This Row],[Kerma en aire acumulada (Gy)]]&gt;1,SUMIF(G:G,Tabla1[[#This Row],[SIP]],I:I)-Tabla1[[#This Row],[Kerma en aire acumulada (Gy)]],"")</f>
        <v/>
      </c>
    </row>
    <row r="1535" spans="3:27">
      <c r="C1535" s="147" t="s">
        <v>1088</v>
      </c>
      <c r="D1535" s="134" t="s">
        <v>1740</v>
      </c>
      <c r="E1535" s="134" t="s">
        <v>997</v>
      </c>
      <c r="F1535" s="134" t="s">
        <v>2698</v>
      </c>
      <c r="G1535" s="134">
        <v>6227476</v>
      </c>
      <c r="H1535" s="135">
        <v>44685</v>
      </c>
      <c r="I1535" s="134">
        <v>8.1900000000000001E-2</v>
      </c>
      <c r="J1535" s="145"/>
      <c r="K1535" s="145"/>
      <c r="L1535" s="145"/>
      <c r="M1535" s="145"/>
      <c r="N1535" s="145"/>
      <c r="O1535" s="145"/>
      <c r="P1535" s="145"/>
      <c r="Q1535" s="145"/>
      <c r="R1535" s="145"/>
      <c r="S1535" s="145"/>
      <c r="T1535" s="135">
        <v>29466</v>
      </c>
      <c r="U1535" s="145"/>
      <c r="V1535" s="134" t="s">
        <v>95</v>
      </c>
      <c r="W1535" s="92" t="str">
        <f t="shared" si="110"/>
        <v>Vila Real,Maria Victoria</v>
      </c>
      <c r="X1535" s="95">
        <f t="shared" si="111"/>
        <v>5</v>
      </c>
      <c r="Y1535" s="95">
        <f t="shared" si="112"/>
        <v>2022</v>
      </c>
      <c r="Z1535" s="103" t="s">
        <v>265</v>
      </c>
      <c r="AA1535" t="str">
        <f>IF(Tabla1[[#This Row],[Kerma en aire acumulada (Gy)]]&gt;1,SUMIF(G:G,Tabla1[[#This Row],[SIP]],I:I)-Tabla1[[#This Row],[Kerma en aire acumulada (Gy)]],"")</f>
        <v/>
      </c>
    </row>
    <row r="1536" spans="3:27">
      <c r="C1536" s="147" t="s">
        <v>1088</v>
      </c>
      <c r="D1536" s="134" t="s">
        <v>2699</v>
      </c>
      <c r="E1536" s="134" t="s">
        <v>2700</v>
      </c>
      <c r="F1536" s="134" t="s">
        <v>803</v>
      </c>
      <c r="G1536" s="134">
        <v>3978504</v>
      </c>
      <c r="H1536" s="135">
        <v>44685</v>
      </c>
      <c r="I1536" s="134">
        <v>0.1133</v>
      </c>
      <c r="J1536" s="145"/>
      <c r="K1536" s="145"/>
      <c r="L1536" s="145"/>
      <c r="M1536" s="145"/>
      <c r="N1536" s="145"/>
      <c r="O1536" s="145"/>
      <c r="P1536" s="145"/>
      <c r="Q1536" s="145"/>
      <c r="R1536" s="145"/>
      <c r="S1536" s="145"/>
      <c r="T1536" s="135">
        <v>29450</v>
      </c>
      <c r="U1536" s="145"/>
      <c r="V1536" s="134" t="s">
        <v>95</v>
      </c>
      <c r="W1536" s="92" t="str">
        <f t="shared" si="110"/>
        <v>Berna Lizan,Inmaculada</v>
      </c>
      <c r="X1536" s="95">
        <f t="shared" si="111"/>
        <v>5</v>
      </c>
      <c r="Y1536" s="95">
        <f t="shared" si="112"/>
        <v>2022</v>
      </c>
      <c r="Z1536" s="103" t="s">
        <v>265</v>
      </c>
      <c r="AA1536" t="str">
        <f>IF(Tabla1[[#This Row],[Kerma en aire acumulada (Gy)]]&gt;1,SUMIF(G:G,Tabla1[[#This Row],[SIP]],I:I)-Tabla1[[#This Row],[Kerma en aire acumulada (Gy)]],"")</f>
        <v/>
      </c>
    </row>
    <row r="1537" spans="3:27">
      <c r="C1537" s="147" t="s">
        <v>1088</v>
      </c>
      <c r="D1537" s="134" t="s">
        <v>2708</v>
      </c>
      <c r="E1537" s="134"/>
      <c r="F1537" s="134" t="s">
        <v>2709</v>
      </c>
      <c r="G1537" s="134">
        <v>5153342</v>
      </c>
      <c r="H1537" s="135">
        <v>44685</v>
      </c>
      <c r="I1537" s="134">
        <v>3.227E-2</v>
      </c>
      <c r="J1537" s="145"/>
      <c r="K1537" s="145"/>
      <c r="L1537" s="145"/>
      <c r="M1537" s="145"/>
      <c r="N1537" s="145"/>
      <c r="O1537" s="145"/>
      <c r="P1537" s="145"/>
      <c r="Q1537" s="145"/>
      <c r="R1537" s="145"/>
      <c r="S1537" s="145"/>
      <c r="T1537" s="135">
        <v>23011</v>
      </c>
      <c r="U1537" s="145"/>
      <c r="V1537" s="134" t="s">
        <v>552</v>
      </c>
      <c r="W1537" s="92" t="str">
        <f t="shared" si="110"/>
        <v>Massi ,Flavio</v>
      </c>
      <c r="X1537" s="95">
        <f t="shared" si="111"/>
        <v>5</v>
      </c>
      <c r="Y1537" s="95">
        <f t="shared" si="112"/>
        <v>2022</v>
      </c>
      <c r="Z1537" s="103" t="s">
        <v>265</v>
      </c>
      <c r="AA1537" t="str">
        <f>IF(Tabla1[[#This Row],[Kerma en aire acumulada (Gy)]]&gt;1,SUMIF(G:G,Tabla1[[#This Row],[SIP]],I:I)-Tabla1[[#This Row],[Kerma en aire acumulada (Gy)]],"")</f>
        <v/>
      </c>
    </row>
    <row r="1538" spans="3:27">
      <c r="C1538" s="147" t="s">
        <v>1088</v>
      </c>
      <c r="D1538" s="134" t="s">
        <v>968</v>
      </c>
      <c r="E1538" s="134" t="s">
        <v>169</v>
      </c>
      <c r="F1538" s="134" t="s">
        <v>991</v>
      </c>
      <c r="G1538" s="134">
        <v>2397148</v>
      </c>
      <c r="H1538" s="135">
        <v>44685</v>
      </c>
      <c r="I1538" s="134">
        <v>1.1752199999999999</v>
      </c>
      <c r="J1538" s="145"/>
      <c r="K1538" s="145"/>
      <c r="L1538" s="145"/>
      <c r="M1538" s="145"/>
      <c r="N1538" s="145"/>
      <c r="O1538" s="145"/>
      <c r="P1538" s="145"/>
      <c r="Q1538" s="145"/>
      <c r="R1538" s="145"/>
      <c r="S1538" s="145"/>
      <c r="T1538" s="135">
        <v>15315</v>
      </c>
      <c r="U1538" s="145"/>
      <c r="V1538" s="134" t="s">
        <v>2710</v>
      </c>
      <c r="W1538" s="92" t="str">
        <f t="shared" si="110"/>
        <v>Soria Valero,Jose</v>
      </c>
      <c r="X1538" s="95">
        <f t="shared" si="111"/>
        <v>5</v>
      </c>
      <c r="Y1538" s="95">
        <f t="shared" si="112"/>
        <v>2022</v>
      </c>
      <c r="Z1538" s="103" t="s">
        <v>265</v>
      </c>
      <c r="AA1538">
        <f>IF(Tabla1[[#This Row],[Kerma en aire acumulada (Gy)]]&gt;1,SUMIF(G:G,Tabla1[[#This Row],[SIP]],I:I)-Tabla1[[#This Row],[Kerma en aire acumulada (Gy)]],"")</f>
        <v>0</v>
      </c>
    </row>
    <row r="1539" spans="3:27">
      <c r="C1539" s="147" t="s">
        <v>1088</v>
      </c>
      <c r="D1539" s="134" t="s">
        <v>115</v>
      </c>
      <c r="E1539" s="134" t="s">
        <v>634</v>
      </c>
      <c r="F1539" s="134" t="s">
        <v>88</v>
      </c>
      <c r="G1539" s="134">
        <v>368492</v>
      </c>
      <c r="H1539" s="135">
        <v>44685</v>
      </c>
      <c r="I1539" s="134">
        <v>0.28394999999999998</v>
      </c>
      <c r="J1539" s="145"/>
      <c r="K1539" s="145"/>
      <c r="L1539" s="145"/>
      <c r="M1539" s="145"/>
      <c r="N1539" s="145"/>
      <c r="O1539" s="145"/>
      <c r="P1539" s="145"/>
      <c r="Q1539" s="145"/>
      <c r="R1539" s="145"/>
      <c r="S1539" s="145"/>
      <c r="T1539" s="135">
        <v>22695</v>
      </c>
      <c r="U1539" s="145"/>
      <c r="V1539" s="134" t="s">
        <v>563</v>
      </c>
      <c r="W1539" s="92" t="str">
        <f t="shared" si="110"/>
        <v>Pardo Gil,Vicente</v>
      </c>
      <c r="X1539" s="95">
        <f t="shared" si="111"/>
        <v>5</v>
      </c>
      <c r="Y1539" s="95">
        <f t="shared" si="112"/>
        <v>2022</v>
      </c>
      <c r="Z1539" s="136" t="s">
        <v>266</v>
      </c>
      <c r="AA1539" t="str">
        <f>IF(Tabla1[[#This Row],[Kerma en aire acumulada (Gy)]]&gt;1,SUMIF(G:G,Tabla1[[#This Row],[SIP]],I:I)-Tabla1[[#This Row],[Kerma en aire acumulada (Gy)]],"")</f>
        <v/>
      </c>
    </row>
    <row r="1540" spans="3:27">
      <c r="C1540" s="147" t="s">
        <v>1088</v>
      </c>
      <c r="D1540" s="134" t="s">
        <v>948</v>
      </c>
      <c r="E1540" s="134" t="s">
        <v>2726</v>
      </c>
      <c r="F1540" s="134" t="s">
        <v>1889</v>
      </c>
      <c r="G1540" s="134">
        <v>3245186</v>
      </c>
      <c r="H1540" s="135">
        <v>44685</v>
      </c>
      <c r="I1540" s="134">
        <v>1.22336</v>
      </c>
      <c r="J1540" s="145"/>
      <c r="K1540" s="145"/>
      <c r="L1540" s="145"/>
      <c r="M1540" s="145"/>
      <c r="N1540" s="145"/>
      <c r="O1540" s="145"/>
      <c r="P1540" s="145"/>
      <c r="Q1540" s="145"/>
      <c r="R1540" s="145"/>
      <c r="S1540" s="145"/>
      <c r="T1540" s="135">
        <v>25808</v>
      </c>
      <c r="U1540" s="145"/>
      <c r="V1540" s="134" t="s">
        <v>563</v>
      </c>
      <c r="W1540" s="92" t="str">
        <f t="shared" si="110"/>
        <v>Martinez Acebron,Miguel Angel</v>
      </c>
      <c r="X1540" s="95">
        <f t="shared" si="111"/>
        <v>5</v>
      </c>
      <c r="Y1540" s="95">
        <f t="shared" si="112"/>
        <v>2022</v>
      </c>
      <c r="Z1540" s="136" t="s">
        <v>266</v>
      </c>
      <c r="AA1540">
        <f>IF(Tabla1[[#This Row],[Kerma en aire acumulada (Gy)]]&gt;1,SUMIF(G:G,Tabla1[[#This Row],[SIP]],I:I)-Tabla1[[#This Row],[Kerma en aire acumulada (Gy)]],"")</f>
        <v>0</v>
      </c>
    </row>
    <row r="1541" spans="3:27">
      <c r="C1541" s="147" t="s">
        <v>1088</v>
      </c>
      <c r="D1541" s="134" t="s">
        <v>353</v>
      </c>
      <c r="E1541" s="134" t="s">
        <v>2727</v>
      </c>
      <c r="F1541" s="134" t="s">
        <v>1621</v>
      </c>
      <c r="G1541" s="134">
        <v>3377309</v>
      </c>
      <c r="H1541" s="135">
        <v>44685</v>
      </c>
      <c r="I1541" s="134"/>
      <c r="J1541" s="145"/>
      <c r="K1541" s="145"/>
      <c r="L1541" s="145"/>
      <c r="M1541" s="145"/>
      <c r="N1541" s="145"/>
      <c r="O1541" s="145"/>
      <c r="P1541" s="145"/>
      <c r="Q1541" s="145"/>
      <c r="R1541" s="145"/>
      <c r="S1541" s="145"/>
      <c r="T1541" s="135">
        <v>18152</v>
      </c>
      <c r="U1541" s="145"/>
      <c r="V1541" s="134" t="s">
        <v>563</v>
      </c>
      <c r="W1541" s="92" t="str">
        <f t="shared" si="110"/>
        <v>Muñoz Albal,Ramon</v>
      </c>
      <c r="X1541" s="95">
        <f t="shared" si="111"/>
        <v>5</v>
      </c>
      <c r="Y1541" s="95">
        <f t="shared" si="112"/>
        <v>2022</v>
      </c>
      <c r="Z1541" s="136" t="s">
        <v>266</v>
      </c>
      <c r="AA1541" t="str">
        <f>IF(Tabla1[[#This Row],[Kerma en aire acumulada (Gy)]]&gt;1,SUMIF(G:G,Tabla1[[#This Row],[SIP]],I:I)-Tabla1[[#This Row],[Kerma en aire acumulada (Gy)]],"")</f>
        <v/>
      </c>
    </row>
    <row r="1542" spans="3:27">
      <c r="C1542" s="147" t="s">
        <v>1088</v>
      </c>
      <c r="D1542" s="134" t="s">
        <v>2753</v>
      </c>
      <c r="E1542" s="134" t="s">
        <v>2754</v>
      </c>
      <c r="F1542" s="134" t="s">
        <v>71</v>
      </c>
      <c r="G1542" s="134">
        <v>2712642</v>
      </c>
      <c r="H1542" s="135">
        <v>44685</v>
      </c>
      <c r="I1542" s="134">
        <v>0.23061999999999999</v>
      </c>
      <c r="J1542" s="145"/>
      <c r="K1542" s="145"/>
      <c r="L1542" s="145"/>
      <c r="M1542" s="145"/>
      <c r="N1542" s="145"/>
      <c r="O1542" s="145"/>
      <c r="P1542" s="145"/>
      <c r="Q1542" s="145"/>
      <c r="R1542" s="145"/>
      <c r="S1542" s="145"/>
      <c r="T1542" s="135">
        <v>13365</v>
      </c>
      <c r="U1542" s="145"/>
      <c r="V1542" s="134" t="s">
        <v>563</v>
      </c>
      <c r="W1542" s="92" t="str">
        <f t="shared" si="110"/>
        <v>Bayena Breso,Rafael</v>
      </c>
      <c r="X1542" s="95">
        <f t="shared" si="111"/>
        <v>5</v>
      </c>
      <c r="Y1542" s="95">
        <f t="shared" si="112"/>
        <v>2022</v>
      </c>
      <c r="Z1542" s="136" t="s">
        <v>266</v>
      </c>
      <c r="AA1542" t="str">
        <f>IF(Tabla1[[#This Row],[Kerma en aire acumulada (Gy)]]&gt;1,SUMIF(G:G,Tabla1[[#This Row],[SIP]],I:I)-Tabla1[[#This Row],[Kerma en aire acumulada (Gy)]],"")</f>
        <v/>
      </c>
    </row>
    <row r="1543" spans="3:27">
      <c r="C1543" s="147" t="s">
        <v>1088</v>
      </c>
      <c r="D1543" s="134" t="s">
        <v>2170</v>
      </c>
      <c r="E1543" s="134" t="s">
        <v>680</v>
      </c>
      <c r="F1543" s="134" t="s">
        <v>1155</v>
      </c>
      <c r="G1543" s="134">
        <v>3472746</v>
      </c>
      <c r="H1543" s="135">
        <v>44685</v>
      </c>
      <c r="I1543" s="134">
        <v>0.24253</v>
      </c>
      <c r="J1543" s="145"/>
      <c r="K1543" s="145"/>
      <c r="L1543" s="145"/>
      <c r="M1543" s="145"/>
      <c r="N1543" s="145"/>
      <c r="O1543" s="145"/>
      <c r="P1543" s="145"/>
      <c r="Q1543" s="145"/>
      <c r="R1543" s="145"/>
      <c r="S1543" s="145"/>
      <c r="T1543" s="135">
        <v>13283</v>
      </c>
      <c r="U1543" s="145"/>
      <c r="V1543" s="134" t="s">
        <v>563</v>
      </c>
      <c r="W1543" s="92" t="str">
        <f t="shared" si="110"/>
        <v>Carrion Rico,Maria</v>
      </c>
      <c r="X1543" s="95">
        <f t="shared" si="111"/>
        <v>5</v>
      </c>
      <c r="Y1543" s="95">
        <f t="shared" si="112"/>
        <v>2022</v>
      </c>
      <c r="Z1543" s="103" t="s">
        <v>265</v>
      </c>
      <c r="AA1543" t="str">
        <f>IF(Tabla1[[#This Row],[Kerma en aire acumulada (Gy)]]&gt;1,SUMIF(G:G,Tabla1[[#This Row],[SIP]],I:I)-Tabla1[[#This Row],[Kerma en aire acumulada (Gy)]],"")</f>
        <v/>
      </c>
    </row>
    <row r="1544" spans="3:27">
      <c r="C1544" s="147" t="s">
        <v>1088</v>
      </c>
      <c r="D1544" s="134" t="s">
        <v>948</v>
      </c>
      <c r="E1544" s="134" t="s">
        <v>2755</v>
      </c>
      <c r="F1544" s="134" t="s">
        <v>786</v>
      </c>
      <c r="G1544" s="134">
        <v>1804143</v>
      </c>
      <c r="H1544" s="135">
        <v>44685</v>
      </c>
      <c r="I1544" s="134">
        <v>0.30532999999999999</v>
      </c>
      <c r="J1544" s="145"/>
      <c r="K1544" s="145"/>
      <c r="L1544" s="145"/>
      <c r="M1544" s="145"/>
      <c r="N1544" s="145"/>
      <c r="O1544" s="145"/>
      <c r="P1544" s="145"/>
      <c r="Q1544" s="145"/>
      <c r="R1544" s="145"/>
      <c r="S1544" s="145"/>
      <c r="T1544" s="135">
        <v>18743</v>
      </c>
      <c r="U1544" s="145"/>
      <c r="V1544" s="134" t="s">
        <v>563</v>
      </c>
      <c r="W1544" s="92" t="str">
        <f t="shared" si="110"/>
        <v>Martinez Adsuara,Maria Carmen</v>
      </c>
      <c r="X1544" s="95">
        <f t="shared" si="111"/>
        <v>5</v>
      </c>
      <c r="Y1544" s="95">
        <f t="shared" si="112"/>
        <v>2022</v>
      </c>
      <c r="Z1544" s="103" t="s">
        <v>265</v>
      </c>
      <c r="AA1544" t="str">
        <f>IF(Tabla1[[#This Row],[Kerma en aire acumulada (Gy)]]&gt;1,SUMIF(G:G,Tabla1[[#This Row],[SIP]],I:I)-Tabla1[[#This Row],[Kerma en aire acumulada (Gy)]],"")</f>
        <v/>
      </c>
    </row>
    <row r="1545" spans="3:27">
      <c r="C1545" s="147" t="s">
        <v>1088</v>
      </c>
      <c r="D1545" s="134" t="s">
        <v>1098</v>
      </c>
      <c r="E1545" s="134" t="s">
        <v>1837</v>
      </c>
      <c r="F1545" s="134" t="s">
        <v>834</v>
      </c>
      <c r="G1545" s="134">
        <v>2255229</v>
      </c>
      <c r="H1545" s="135">
        <v>44685</v>
      </c>
      <c r="I1545" s="134">
        <v>0.66959999999999997</v>
      </c>
      <c r="J1545" s="145"/>
      <c r="K1545" s="145"/>
      <c r="L1545" s="145"/>
      <c r="M1545" s="145"/>
      <c r="N1545" s="145"/>
      <c r="O1545" s="145"/>
      <c r="P1545" s="145"/>
      <c r="Q1545" s="145"/>
      <c r="R1545" s="145"/>
      <c r="S1545" s="145"/>
      <c r="T1545" s="135">
        <v>17931</v>
      </c>
      <c r="U1545" s="145"/>
      <c r="V1545" s="134" t="s">
        <v>563</v>
      </c>
      <c r="W1545" s="92" t="str">
        <f t="shared" si="110"/>
        <v>Moya Rodriguez,Pedro</v>
      </c>
      <c r="X1545" s="95">
        <f t="shared" si="111"/>
        <v>5</v>
      </c>
      <c r="Y1545" s="95">
        <f t="shared" si="112"/>
        <v>2022</v>
      </c>
      <c r="Z1545" s="103" t="s">
        <v>265</v>
      </c>
      <c r="AA1545" t="str">
        <f>IF(Tabla1[[#This Row],[Kerma en aire acumulada (Gy)]]&gt;1,SUMIF(G:G,Tabla1[[#This Row],[SIP]],I:I)-Tabla1[[#This Row],[Kerma en aire acumulada (Gy)]],"")</f>
        <v/>
      </c>
    </row>
    <row r="1546" spans="3:27">
      <c r="C1546" s="147" t="s">
        <v>1088</v>
      </c>
      <c r="D1546" s="134" t="s">
        <v>948</v>
      </c>
      <c r="E1546" s="134" t="s">
        <v>960</v>
      </c>
      <c r="F1546" s="134" t="s">
        <v>2756</v>
      </c>
      <c r="G1546" s="134">
        <v>2592160</v>
      </c>
      <c r="H1546" s="135">
        <v>44685</v>
      </c>
      <c r="I1546" s="134">
        <v>0.45434000000000002</v>
      </c>
      <c r="J1546" s="145"/>
      <c r="K1546" s="145"/>
      <c r="L1546" s="145"/>
      <c r="M1546" s="145"/>
      <c r="N1546" s="145"/>
      <c r="O1546" s="145"/>
      <c r="P1546" s="145"/>
      <c r="Q1546" s="145"/>
      <c r="R1546" s="145"/>
      <c r="S1546" s="145"/>
      <c r="T1546" s="135">
        <v>30960</v>
      </c>
      <c r="U1546" s="145"/>
      <c r="V1546" s="134" t="s">
        <v>563</v>
      </c>
      <c r="W1546" s="92" t="str">
        <f t="shared" si="110"/>
        <v>Martinez Lopez,Pablo</v>
      </c>
      <c r="X1546" s="95">
        <f t="shared" si="111"/>
        <v>5</v>
      </c>
      <c r="Y1546" s="95">
        <f t="shared" si="112"/>
        <v>2022</v>
      </c>
      <c r="Z1546" s="103" t="s">
        <v>265</v>
      </c>
      <c r="AA1546" t="str">
        <f>IF(Tabla1[[#This Row],[Kerma en aire acumulada (Gy)]]&gt;1,SUMIF(G:G,Tabla1[[#This Row],[SIP]],I:I)-Tabla1[[#This Row],[Kerma en aire acumulada (Gy)]],"")</f>
        <v/>
      </c>
    </row>
    <row r="1547" spans="3:27">
      <c r="C1547" s="147" t="s">
        <v>1088</v>
      </c>
      <c r="D1547" s="134" t="s">
        <v>772</v>
      </c>
      <c r="E1547" s="134" t="s">
        <v>742</v>
      </c>
      <c r="F1547" s="134" t="s">
        <v>2770</v>
      </c>
      <c r="G1547" s="134">
        <v>2247719</v>
      </c>
      <c r="H1547" s="135">
        <v>44685</v>
      </c>
      <c r="I1547" s="134">
        <v>0.17502000000000001</v>
      </c>
      <c r="J1547" s="145"/>
      <c r="K1547" s="145"/>
      <c r="L1547" s="145"/>
      <c r="M1547" s="145"/>
      <c r="N1547" s="145"/>
      <c r="O1547" s="145"/>
      <c r="P1547" s="145"/>
      <c r="Q1547" s="145"/>
      <c r="R1547" s="145"/>
      <c r="S1547" s="145"/>
      <c r="T1547" s="135">
        <v>29301</v>
      </c>
      <c r="U1547" s="145"/>
      <c r="V1547" s="134" t="s">
        <v>2237</v>
      </c>
      <c r="W1547" s="92" t="str">
        <f t="shared" si="110"/>
        <v>Sanchez Lluch,Juan Gabriel</v>
      </c>
      <c r="X1547" s="95">
        <f t="shared" si="111"/>
        <v>5</v>
      </c>
      <c r="Y1547" s="95">
        <f t="shared" si="112"/>
        <v>2022</v>
      </c>
      <c r="Z1547" s="136" t="s">
        <v>2238</v>
      </c>
      <c r="AA1547" t="str">
        <f>IF(Tabla1[[#This Row],[Kerma en aire acumulada (Gy)]]&gt;1,SUMIF(G:G,Tabla1[[#This Row],[SIP]],I:I)-Tabla1[[#This Row],[Kerma en aire acumulada (Gy)]],"")</f>
        <v/>
      </c>
    </row>
    <row r="1548" spans="3:27">
      <c r="C1548" s="147" t="s">
        <v>1088</v>
      </c>
      <c r="D1548" s="134" t="s">
        <v>945</v>
      </c>
      <c r="E1548" s="134" t="s">
        <v>946</v>
      </c>
      <c r="F1548" s="134" t="s">
        <v>300</v>
      </c>
      <c r="G1548" s="134">
        <v>3552115</v>
      </c>
      <c r="H1548" s="135">
        <v>44686</v>
      </c>
      <c r="I1548" s="134">
        <v>0.96150999999999998</v>
      </c>
      <c r="J1548" s="145"/>
      <c r="K1548" s="145"/>
      <c r="L1548" s="145"/>
      <c r="M1548" s="145"/>
      <c r="N1548" s="145"/>
      <c r="O1548" s="145"/>
      <c r="P1548" s="145"/>
      <c r="Q1548" s="145"/>
      <c r="R1548" s="145"/>
      <c r="S1548" s="145"/>
      <c r="T1548" s="135">
        <v>44675</v>
      </c>
      <c r="U1548" s="145"/>
      <c r="V1548" s="134" t="s">
        <v>550</v>
      </c>
      <c r="W1548" s="92" t="str">
        <f t="shared" si="110"/>
        <v>Ponce Aranda,Carlos</v>
      </c>
      <c r="X1548" s="95">
        <f t="shared" si="111"/>
        <v>5</v>
      </c>
      <c r="Y1548" s="95">
        <f t="shared" si="112"/>
        <v>2022</v>
      </c>
      <c r="Z1548" s="103" t="s">
        <v>265</v>
      </c>
      <c r="AA1548" t="str">
        <f>IF(Tabla1[[#This Row],[Kerma en aire acumulada (Gy)]]&gt;1,SUMIF(G:G,Tabla1[[#This Row],[SIP]],I:I)-Tabla1[[#This Row],[Kerma en aire acumulada (Gy)]],"")</f>
        <v/>
      </c>
    </row>
    <row r="1549" spans="3:27">
      <c r="C1549" s="147" t="s">
        <v>1088</v>
      </c>
      <c r="D1549" s="134" t="s">
        <v>2707</v>
      </c>
      <c r="E1549" s="134" t="s">
        <v>1209</v>
      </c>
      <c r="F1549" s="134" t="s">
        <v>88</v>
      </c>
      <c r="G1549" s="134">
        <v>2585572</v>
      </c>
      <c r="H1549" s="135">
        <v>44686</v>
      </c>
      <c r="I1549" s="134">
        <v>4.2099999999999999E-2</v>
      </c>
      <c r="J1549" s="145"/>
      <c r="K1549" s="145"/>
      <c r="L1549" s="145"/>
      <c r="M1549" s="145"/>
      <c r="N1549" s="145"/>
      <c r="O1549" s="145"/>
      <c r="P1549" s="145"/>
      <c r="Q1549" s="145"/>
      <c r="R1549" s="145"/>
      <c r="S1549" s="145"/>
      <c r="T1549" s="135">
        <v>24307</v>
      </c>
      <c r="U1549" s="145"/>
      <c r="V1549" s="134" t="s">
        <v>586</v>
      </c>
      <c r="W1549" s="92" t="str">
        <f t="shared" si="110"/>
        <v>Ridolles Sanz,Vicente</v>
      </c>
      <c r="X1549" s="95">
        <f t="shared" si="111"/>
        <v>5</v>
      </c>
      <c r="Y1549" s="95">
        <f t="shared" si="112"/>
        <v>2022</v>
      </c>
      <c r="Z1549" s="103" t="s">
        <v>265</v>
      </c>
      <c r="AA1549" t="str">
        <f>IF(Tabla1[[#This Row],[Kerma en aire acumulada (Gy)]]&gt;1,SUMIF(G:G,Tabla1[[#This Row],[SIP]],I:I)-Tabla1[[#This Row],[Kerma en aire acumulada (Gy)]],"")</f>
        <v/>
      </c>
    </row>
    <row r="1550" spans="3:27">
      <c r="C1550" s="147" t="s">
        <v>1088</v>
      </c>
      <c r="D1550" s="134" t="s">
        <v>1248</v>
      </c>
      <c r="E1550" s="134" t="s">
        <v>1098</v>
      </c>
      <c r="F1550" s="134" t="s">
        <v>1010</v>
      </c>
      <c r="G1550" s="134">
        <v>1857814</v>
      </c>
      <c r="H1550" s="135">
        <v>44686</v>
      </c>
      <c r="I1550" s="134">
        <v>2.0080000000000001E-2</v>
      </c>
      <c r="J1550" s="145"/>
      <c r="K1550" s="145"/>
      <c r="L1550" s="145"/>
      <c r="M1550" s="145"/>
      <c r="N1550" s="145"/>
      <c r="O1550" s="145"/>
      <c r="P1550" s="145"/>
      <c r="Q1550" s="145"/>
      <c r="R1550" s="145"/>
      <c r="S1550" s="145"/>
      <c r="T1550" s="135">
        <v>16837</v>
      </c>
      <c r="U1550" s="145"/>
      <c r="V1550" s="134" t="s">
        <v>1233</v>
      </c>
      <c r="W1550" s="92" t="str">
        <f t="shared" si="110"/>
        <v>Marti Moya,Bautista</v>
      </c>
      <c r="X1550" s="95">
        <f t="shared" si="111"/>
        <v>5</v>
      </c>
      <c r="Y1550" s="95">
        <f t="shared" si="112"/>
        <v>2022</v>
      </c>
      <c r="Z1550" s="103" t="s">
        <v>265</v>
      </c>
      <c r="AA1550" t="str">
        <f>IF(Tabla1[[#This Row],[Kerma en aire acumulada (Gy)]]&gt;1,SUMIF(G:G,Tabla1[[#This Row],[SIP]],I:I)-Tabla1[[#This Row],[Kerma en aire acumulada (Gy)]],"")</f>
        <v/>
      </c>
    </row>
    <row r="1551" spans="3:27">
      <c r="C1551" s="147" t="s">
        <v>1088</v>
      </c>
      <c r="D1551" s="134" t="s">
        <v>2260</v>
      </c>
      <c r="E1551" s="134" t="s">
        <v>2261</v>
      </c>
      <c r="F1551" s="134" t="s">
        <v>88</v>
      </c>
      <c r="G1551" s="134">
        <v>453606</v>
      </c>
      <c r="H1551" s="135">
        <v>44686</v>
      </c>
      <c r="I1551" s="134">
        <v>8.652E-2</v>
      </c>
      <c r="J1551" s="145"/>
      <c r="K1551" s="145"/>
      <c r="L1551" s="145"/>
      <c r="M1551" s="145"/>
      <c r="N1551" s="145"/>
      <c r="O1551" s="145"/>
      <c r="P1551" s="145"/>
      <c r="Q1551" s="145"/>
      <c r="R1551" s="145"/>
      <c r="S1551" s="145"/>
      <c r="T1551" s="135">
        <v>20141</v>
      </c>
      <c r="U1551" s="145"/>
      <c r="V1551" s="134" t="s">
        <v>541</v>
      </c>
      <c r="W1551" s="92" t="str">
        <f t="shared" si="110"/>
        <v>Cominches Jorda,Vicente</v>
      </c>
      <c r="X1551" s="95">
        <f t="shared" si="111"/>
        <v>5</v>
      </c>
      <c r="Y1551" s="95">
        <f t="shared" si="112"/>
        <v>2022</v>
      </c>
      <c r="Z1551" s="103" t="s">
        <v>265</v>
      </c>
      <c r="AA1551" t="str">
        <f>IF(Tabla1[[#This Row],[Kerma en aire acumulada (Gy)]]&gt;1,SUMIF(G:G,Tabla1[[#This Row],[SIP]],I:I)-Tabla1[[#This Row],[Kerma en aire acumulada (Gy)]],"")</f>
        <v/>
      </c>
    </row>
    <row r="1552" spans="3:27">
      <c r="C1552" s="147" t="s">
        <v>1088</v>
      </c>
      <c r="D1552" s="134" t="s">
        <v>562</v>
      </c>
      <c r="E1552" s="134" t="s">
        <v>2411</v>
      </c>
      <c r="F1552" s="134" t="s">
        <v>57</v>
      </c>
      <c r="G1552" s="134">
        <v>2226741</v>
      </c>
      <c r="H1552" s="135">
        <v>44686</v>
      </c>
      <c r="I1552" s="134">
        <v>0.43711</v>
      </c>
      <c r="J1552" s="145"/>
      <c r="K1552" s="145"/>
      <c r="L1552" s="145"/>
      <c r="M1552" s="145"/>
      <c r="N1552" s="145"/>
      <c r="O1552" s="145"/>
      <c r="P1552" s="145"/>
      <c r="Q1552" s="145"/>
      <c r="R1552" s="145"/>
      <c r="S1552" s="145"/>
      <c r="T1552" s="135">
        <v>11283</v>
      </c>
      <c r="U1552" s="145"/>
      <c r="V1552" s="134" t="s">
        <v>563</v>
      </c>
      <c r="W1552" s="92" t="str">
        <f t="shared" si="110"/>
        <v>Rosa Asensi,Miguel</v>
      </c>
      <c r="X1552" s="95">
        <f t="shared" si="111"/>
        <v>5</v>
      </c>
      <c r="Y1552" s="95">
        <f t="shared" si="112"/>
        <v>2022</v>
      </c>
      <c r="Z1552" s="136" t="s">
        <v>266</v>
      </c>
      <c r="AA1552" t="str">
        <f>IF(Tabla1[[#This Row],[Kerma en aire acumulada (Gy)]]&gt;1,SUMIF(G:G,Tabla1[[#This Row],[SIP]],I:I)-Tabla1[[#This Row],[Kerma en aire acumulada (Gy)]],"")</f>
        <v/>
      </c>
    </row>
    <row r="1553" spans="3:27">
      <c r="C1553" s="147" t="s">
        <v>1088</v>
      </c>
      <c r="D1553" s="134" t="s">
        <v>2721</v>
      </c>
      <c r="E1553" s="134" t="s">
        <v>948</v>
      </c>
      <c r="F1553" s="134" t="s">
        <v>2722</v>
      </c>
      <c r="G1553" s="134">
        <v>4688954</v>
      </c>
      <c r="H1553" s="135">
        <v>44686</v>
      </c>
      <c r="I1553" s="134">
        <v>5.2310000000000002E-2</v>
      </c>
      <c r="J1553" s="145"/>
      <c r="K1553" s="145"/>
      <c r="L1553" s="145"/>
      <c r="M1553" s="145"/>
      <c r="N1553" s="145"/>
      <c r="O1553" s="145"/>
      <c r="P1553" s="145"/>
      <c r="Q1553" s="145"/>
      <c r="R1553" s="145"/>
      <c r="S1553" s="145"/>
      <c r="T1553" s="135">
        <v>16249</v>
      </c>
      <c r="U1553" s="145"/>
      <c r="V1553" s="134" t="s">
        <v>563</v>
      </c>
      <c r="W1553" s="92" t="str">
        <f t="shared" si="110"/>
        <v>Camarero Martinez,Faustina</v>
      </c>
      <c r="X1553" s="95">
        <f t="shared" si="111"/>
        <v>5</v>
      </c>
      <c r="Y1553" s="95">
        <f t="shared" si="112"/>
        <v>2022</v>
      </c>
      <c r="Z1553" s="136" t="s">
        <v>266</v>
      </c>
      <c r="AA1553" t="str">
        <f>IF(Tabla1[[#This Row],[Kerma en aire acumulada (Gy)]]&gt;1,SUMIF(G:G,Tabla1[[#This Row],[SIP]],I:I)-Tabla1[[#This Row],[Kerma en aire acumulada (Gy)]],"")</f>
        <v/>
      </c>
    </row>
    <row r="1554" spans="3:27">
      <c r="C1554" s="147" t="s">
        <v>1088</v>
      </c>
      <c r="D1554" s="134" t="s">
        <v>176</v>
      </c>
      <c r="E1554" s="134" t="s">
        <v>1612</v>
      </c>
      <c r="F1554" s="134" t="s">
        <v>2723</v>
      </c>
      <c r="G1554" s="134">
        <v>7246348</v>
      </c>
      <c r="H1554" s="135">
        <v>44686</v>
      </c>
      <c r="I1554" s="134">
        <v>5.5789999999999999E-2</v>
      </c>
      <c r="J1554" s="145"/>
      <c r="K1554" s="145"/>
      <c r="L1554" s="145"/>
      <c r="M1554" s="145"/>
      <c r="N1554" s="145"/>
      <c r="O1554" s="145"/>
      <c r="P1554" s="145"/>
      <c r="Q1554" s="145"/>
      <c r="R1554" s="145"/>
      <c r="S1554" s="145"/>
      <c r="T1554" s="135">
        <v>21820</v>
      </c>
      <c r="U1554" s="145"/>
      <c r="V1554" s="134" t="s">
        <v>563</v>
      </c>
      <c r="W1554" s="92" t="str">
        <f t="shared" si="110"/>
        <v>Campos Alfaro,Guido</v>
      </c>
      <c r="X1554" s="95">
        <f t="shared" si="111"/>
        <v>5</v>
      </c>
      <c r="Y1554" s="95">
        <f t="shared" si="112"/>
        <v>2022</v>
      </c>
      <c r="Z1554" s="136" t="s">
        <v>266</v>
      </c>
      <c r="AA1554" t="str">
        <f>IF(Tabla1[[#This Row],[Kerma en aire acumulada (Gy)]]&gt;1,SUMIF(G:G,Tabla1[[#This Row],[SIP]],I:I)-Tabla1[[#This Row],[Kerma en aire acumulada (Gy)]],"")</f>
        <v/>
      </c>
    </row>
    <row r="1555" spans="3:27">
      <c r="C1555" s="147" t="s">
        <v>1088</v>
      </c>
      <c r="D1555" s="134" t="s">
        <v>2724</v>
      </c>
      <c r="E1555" s="134" t="s">
        <v>1740</v>
      </c>
      <c r="F1555" s="134" t="s">
        <v>2725</v>
      </c>
      <c r="G1555" s="134">
        <v>13106849</v>
      </c>
      <c r="H1555" s="135">
        <v>44686</v>
      </c>
      <c r="I1555" s="134">
        <v>0.14496000000000001</v>
      </c>
      <c r="J1555" s="145"/>
      <c r="K1555" s="145"/>
      <c r="L1555" s="145"/>
      <c r="M1555" s="145"/>
      <c r="N1555" s="145"/>
      <c r="O1555" s="145"/>
      <c r="P1555" s="145"/>
      <c r="Q1555" s="145"/>
      <c r="R1555" s="145"/>
      <c r="S1555" s="145"/>
      <c r="T1555" s="135">
        <v>28717</v>
      </c>
      <c r="U1555" s="145"/>
      <c r="V1555" s="134" t="s">
        <v>563</v>
      </c>
      <c r="W1555" s="92" t="str">
        <f t="shared" si="110"/>
        <v>Llanos  Vila,Jose Mauricio</v>
      </c>
      <c r="X1555" s="95">
        <f t="shared" si="111"/>
        <v>5</v>
      </c>
      <c r="Y1555" s="95">
        <f t="shared" si="112"/>
        <v>2022</v>
      </c>
      <c r="Z1555" s="136" t="s">
        <v>266</v>
      </c>
      <c r="AA1555" t="str">
        <f>IF(Tabla1[[#This Row],[Kerma en aire acumulada (Gy)]]&gt;1,SUMIF(G:G,Tabla1[[#This Row],[SIP]],I:I)-Tabla1[[#This Row],[Kerma en aire acumulada (Gy)]],"")</f>
        <v/>
      </c>
    </row>
    <row r="1556" spans="3:27">
      <c r="C1556" s="147" t="s">
        <v>1088</v>
      </c>
      <c r="D1556" s="134" t="s">
        <v>1587</v>
      </c>
      <c r="E1556" s="134" t="s">
        <v>2304</v>
      </c>
      <c r="F1556" s="134" t="s">
        <v>83</v>
      </c>
      <c r="G1556" s="134">
        <v>2875831</v>
      </c>
      <c r="H1556" s="135">
        <v>44686</v>
      </c>
      <c r="I1556" s="134">
        <v>1.05935</v>
      </c>
      <c r="J1556" s="145"/>
      <c r="K1556" s="145"/>
      <c r="L1556" s="145"/>
      <c r="M1556" s="145"/>
      <c r="N1556" s="145"/>
      <c r="O1556" s="145"/>
      <c r="P1556" s="145"/>
      <c r="Q1556" s="145"/>
      <c r="R1556" s="145"/>
      <c r="S1556" s="145"/>
      <c r="T1556" s="135">
        <v>21894</v>
      </c>
      <c r="U1556" s="145"/>
      <c r="V1556" s="134" t="s">
        <v>563</v>
      </c>
      <c r="W1556" s="92" t="str">
        <f t="shared" si="110"/>
        <v>Jimenez Siurana,Francisco</v>
      </c>
      <c r="X1556" s="95">
        <f t="shared" si="111"/>
        <v>5</v>
      </c>
      <c r="Y1556" s="95">
        <f t="shared" si="112"/>
        <v>2022</v>
      </c>
      <c r="Z1556" s="136" t="s">
        <v>266</v>
      </c>
      <c r="AA1556">
        <f>IF(Tabla1[[#This Row],[Kerma en aire acumulada (Gy)]]&gt;1,SUMIF(G:G,Tabla1[[#This Row],[SIP]],I:I)-Tabla1[[#This Row],[Kerma en aire acumulada (Gy)]],"")</f>
        <v>0</v>
      </c>
    </row>
    <row r="1557" spans="3:27">
      <c r="C1557" s="147" t="s">
        <v>1088</v>
      </c>
      <c r="D1557" s="134" t="s">
        <v>772</v>
      </c>
      <c r="E1557" s="134" t="s">
        <v>1060</v>
      </c>
      <c r="F1557" s="134" t="s">
        <v>28</v>
      </c>
      <c r="G1557" s="134">
        <v>175634</v>
      </c>
      <c r="H1557" s="135">
        <v>44686</v>
      </c>
      <c r="I1557" s="134">
        <v>0.67801</v>
      </c>
      <c r="J1557" s="145"/>
      <c r="K1557" s="145"/>
      <c r="L1557" s="145"/>
      <c r="M1557" s="145"/>
      <c r="N1557" s="145"/>
      <c r="O1557" s="145"/>
      <c r="P1557" s="145"/>
      <c r="Q1557" s="145"/>
      <c r="R1557" s="145"/>
      <c r="S1557" s="145"/>
      <c r="T1557" s="135">
        <v>13060</v>
      </c>
      <c r="U1557" s="145"/>
      <c r="V1557" s="134" t="s">
        <v>563</v>
      </c>
      <c r="W1557" s="92" t="str">
        <f t="shared" si="110"/>
        <v>Sanchez Rubio,Josefa</v>
      </c>
      <c r="X1557" s="95">
        <f t="shared" si="111"/>
        <v>5</v>
      </c>
      <c r="Y1557" s="95">
        <f t="shared" si="112"/>
        <v>2022</v>
      </c>
      <c r="Z1557" s="136" t="s">
        <v>266</v>
      </c>
      <c r="AA1557" t="str">
        <f>IF(Tabla1[[#This Row],[Kerma en aire acumulada (Gy)]]&gt;1,SUMIF(G:G,Tabla1[[#This Row],[SIP]],I:I)-Tabla1[[#This Row],[Kerma en aire acumulada (Gy)]],"")</f>
        <v/>
      </c>
    </row>
    <row r="1558" spans="3:27">
      <c r="C1558" s="147" t="s">
        <v>1088</v>
      </c>
      <c r="D1558" s="134" t="s">
        <v>2750</v>
      </c>
      <c r="E1558" s="134" t="s">
        <v>2751</v>
      </c>
      <c r="F1558" s="134" t="s">
        <v>2752</v>
      </c>
      <c r="G1558" s="134">
        <v>3064411</v>
      </c>
      <c r="H1558" s="135">
        <v>44686</v>
      </c>
      <c r="I1558" s="134">
        <v>0.23991999999999999</v>
      </c>
      <c r="J1558" s="145"/>
      <c r="K1558" s="145"/>
      <c r="L1558" s="145"/>
      <c r="M1558" s="145"/>
      <c r="N1558" s="145"/>
      <c r="O1558" s="145"/>
      <c r="P1558" s="145"/>
      <c r="Q1558" s="145"/>
      <c r="R1558" s="145"/>
      <c r="S1558" s="145"/>
      <c r="T1558" s="135">
        <v>17997</v>
      </c>
      <c r="U1558" s="145"/>
      <c r="V1558" s="134" t="s">
        <v>563</v>
      </c>
      <c r="W1558" s="92" t="str">
        <f t="shared" si="110"/>
        <v>Riquelme Valderas,Ginesa</v>
      </c>
      <c r="X1558" s="95">
        <f t="shared" si="111"/>
        <v>5</v>
      </c>
      <c r="Y1558" s="95">
        <f t="shared" si="112"/>
        <v>2022</v>
      </c>
      <c r="Z1558" s="136" t="s">
        <v>266</v>
      </c>
      <c r="AA1558" t="str">
        <f>IF(Tabla1[[#This Row],[Kerma en aire acumulada (Gy)]]&gt;1,SUMIF(G:G,Tabla1[[#This Row],[SIP]],I:I)-Tabla1[[#This Row],[Kerma en aire acumulada (Gy)]],"")</f>
        <v/>
      </c>
    </row>
    <row r="1559" spans="3:27">
      <c r="C1559" s="147" t="s">
        <v>1088</v>
      </c>
      <c r="D1559" s="134" t="s">
        <v>2697</v>
      </c>
      <c r="E1559" s="134" t="s">
        <v>1639</v>
      </c>
      <c r="F1559" s="134" t="s">
        <v>1658</v>
      </c>
      <c r="G1559" s="134">
        <v>2464026</v>
      </c>
      <c r="H1559" s="135">
        <v>44687</v>
      </c>
      <c r="I1559" s="134">
        <v>1.277E-2</v>
      </c>
      <c r="J1559" s="145"/>
      <c r="K1559" s="145"/>
      <c r="L1559" s="145"/>
      <c r="M1559" s="145"/>
      <c r="N1559" s="145"/>
      <c r="O1559" s="145"/>
      <c r="P1559" s="145"/>
      <c r="Q1559" s="145"/>
      <c r="R1559" s="145"/>
      <c r="S1559" s="145"/>
      <c r="T1559" s="135">
        <v>21924</v>
      </c>
      <c r="U1559" s="145"/>
      <c r="V1559" s="134" t="s">
        <v>1274</v>
      </c>
      <c r="W1559" s="92" t="str">
        <f t="shared" si="110"/>
        <v>Tormos Zarzo,Alfredo</v>
      </c>
      <c r="X1559" s="95">
        <f t="shared" si="111"/>
        <v>5</v>
      </c>
      <c r="Y1559" s="95">
        <f t="shared" si="112"/>
        <v>2022</v>
      </c>
      <c r="Z1559" s="103" t="s">
        <v>265</v>
      </c>
      <c r="AA1559" t="str">
        <f>IF(Tabla1[[#This Row],[Kerma en aire acumulada (Gy)]]&gt;1,SUMIF(G:G,Tabla1[[#This Row],[SIP]],I:I)-Tabla1[[#This Row],[Kerma en aire acumulada (Gy)]],"")</f>
        <v/>
      </c>
    </row>
    <row r="1560" spans="3:27">
      <c r="C1560" s="147" t="s">
        <v>1088</v>
      </c>
      <c r="D1560" s="134" t="s">
        <v>124</v>
      </c>
      <c r="E1560" s="134" t="s">
        <v>1792</v>
      </c>
      <c r="F1560" s="134" t="s">
        <v>83</v>
      </c>
      <c r="G1560" s="134">
        <v>3189307</v>
      </c>
      <c r="H1560" s="135">
        <v>44687</v>
      </c>
      <c r="I1560" s="134">
        <v>0.18293000000000001</v>
      </c>
      <c r="J1560" s="145"/>
      <c r="K1560" s="145"/>
      <c r="L1560" s="145"/>
      <c r="M1560" s="145"/>
      <c r="N1560" s="145"/>
      <c r="O1560" s="145"/>
      <c r="P1560" s="145"/>
      <c r="Q1560" s="145"/>
      <c r="R1560" s="145"/>
      <c r="S1560" s="145"/>
      <c r="T1560" s="135">
        <v>15265</v>
      </c>
      <c r="U1560" s="145"/>
      <c r="V1560" s="134" t="s">
        <v>1233</v>
      </c>
      <c r="W1560" s="92" t="str">
        <f t="shared" si="110"/>
        <v>Calero Rodrigo,Francisco</v>
      </c>
      <c r="X1560" s="95">
        <f t="shared" si="111"/>
        <v>5</v>
      </c>
      <c r="Y1560" s="95">
        <f t="shared" si="112"/>
        <v>2022</v>
      </c>
      <c r="Z1560" s="103" t="s">
        <v>265</v>
      </c>
      <c r="AA1560" t="str">
        <f>IF(Tabla1[[#This Row],[Kerma en aire acumulada (Gy)]]&gt;1,SUMIF(G:G,Tabla1[[#This Row],[SIP]],I:I)-Tabla1[[#This Row],[Kerma en aire acumulada (Gy)]],"")</f>
        <v/>
      </c>
    </row>
    <row r="1561" spans="3:27">
      <c r="C1561" s="147" t="s">
        <v>1088</v>
      </c>
      <c r="D1561" s="134" t="s">
        <v>66</v>
      </c>
      <c r="E1561" s="134" t="s">
        <v>2720</v>
      </c>
      <c r="F1561" s="134" t="s">
        <v>88</v>
      </c>
      <c r="G1561" s="134">
        <v>2907160</v>
      </c>
      <c r="H1561" s="135">
        <v>44687</v>
      </c>
      <c r="I1561" s="134">
        <v>0.12512000000000001</v>
      </c>
      <c r="J1561" s="145"/>
      <c r="K1561" s="145"/>
      <c r="L1561" s="145"/>
      <c r="M1561" s="145"/>
      <c r="N1561" s="145"/>
      <c r="O1561" s="145"/>
      <c r="P1561" s="145"/>
      <c r="Q1561" s="145"/>
      <c r="R1561" s="145"/>
      <c r="S1561" s="145"/>
      <c r="T1561" s="135">
        <v>20241</v>
      </c>
      <c r="U1561" s="145"/>
      <c r="V1561" s="134" t="s">
        <v>563</v>
      </c>
      <c r="W1561" s="92" t="str">
        <f t="shared" si="110"/>
        <v>Navarro Caseres,Vicente</v>
      </c>
      <c r="X1561" s="95">
        <f t="shared" si="111"/>
        <v>5</v>
      </c>
      <c r="Y1561" s="95">
        <f t="shared" si="112"/>
        <v>2022</v>
      </c>
      <c r="Z1561" s="136" t="s">
        <v>266</v>
      </c>
      <c r="AA1561" t="str">
        <f>IF(Tabla1[[#This Row],[Kerma en aire acumulada (Gy)]]&gt;1,SUMIF(G:G,Tabla1[[#This Row],[SIP]],I:I)-Tabla1[[#This Row],[Kerma en aire acumulada (Gy)]],"")</f>
        <v/>
      </c>
    </row>
    <row r="1562" spans="3:27">
      <c r="C1562" s="147" t="s">
        <v>1088</v>
      </c>
      <c r="D1562" s="134" t="s">
        <v>2576</v>
      </c>
      <c r="E1562" s="134" t="s">
        <v>2666</v>
      </c>
      <c r="F1562" s="134" t="s">
        <v>71</v>
      </c>
      <c r="G1562" s="134">
        <v>3040106</v>
      </c>
      <c r="H1562" s="135">
        <v>44687</v>
      </c>
      <c r="I1562" s="134">
        <v>0.68098000000000003</v>
      </c>
      <c r="J1562" s="145"/>
      <c r="K1562" s="145"/>
      <c r="L1562" s="145"/>
      <c r="M1562" s="145"/>
      <c r="N1562" s="145"/>
      <c r="O1562" s="145"/>
      <c r="P1562" s="145"/>
      <c r="Q1562" s="145"/>
      <c r="R1562" s="145"/>
      <c r="S1562" s="145"/>
      <c r="T1562" s="135">
        <v>22163</v>
      </c>
      <c r="U1562" s="145"/>
      <c r="V1562" s="134" t="s">
        <v>563</v>
      </c>
      <c r="W1562" s="92" t="str">
        <f t="shared" si="110"/>
        <v>Alberola Pradas,Rafael</v>
      </c>
      <c r="X1562" s="95">
        <f t="shared" si="111"/>
        <v>5</v>
      </c>
      <c r="Y1562" s="95">
        <f t="shared" si="112"/>
        <v>2022</v>
      </c>
      <c r="Z1562" s="136" t="s">
        <v>266</v>
      </c>
      <c r="AA1562" t="str">
        <f>IF(Tabla1[[#This Row],[Kerma en aire acumulada (Gy)]]&gt;1,SUMIF(G:G,Tabla1[[#This Row],[SIP]],I:I)-Tabla1[[#This Row],[Kerma en aire acumulada (Gy)]],"")</f>
        <v/>
      </c>
    </row>
    <row r="1563" spans="3:27">
      <c r="C1563" s="147" t="s">
        <v>1088</v>
      </c>
      <c r="D1563" s="134" t="s">
        <v>948</v>
      </c>
      <c r="E1563" s="134" t="s">
        <v>2747</v>
      </c>
      <c r="F1563" s="134" t="s">
        <v>1658</v>
      </c>
      <c r="G1563" s="134">
        <v>364225</v>
      </c>
      <c r="H1563" s="135">
        <v>44687</v>
      </c>
      <c r="I1563" s="134">
        <v>0.35026000000000002</v>
      </c>
      <c r="J1563" s="145"/>
      <c r="K1563" s="145"/>
      <c r="L1563" s="145"/>
      <c r="M1563" s="145"/>
      <c r="N1563" s="145"/>
      <c r="O1563" s="145"/>
      <c r="P1563" s="145"/>
      <c r="Q1563" s="145"/>
      <c r="R1563" s="145"/>
      <c r="S1563" s="145"/>
      <c r="T1563" s="135">
        <v>21162</v>
      </c>
      <c r="U1563" s="145"/>
      <c r="V1563" s="134" t="s">
        <v>563</v>
      </c>
      <c r="W1563" s="92" t="str">
        <f t="shared" si="110"/>
        <v>Martinez Trotosa,Alfredo</v>
      </c>
      <c r="X1563" s="95">
        <f t="shared" si="111"/>
        <v>5</v>
      </c>
      <c r="Y1563" s="95">
        <f t="shared" si="112"/>
        <v>2022</v>
      </c>
      <c r="Z1563" s="136" t="s">
        <v>266</v>
      </c>
      <c r="AA1563" t="str">
        <f>IF(Tabla1[[#This Row],[Kerma en aire acumulada (Gy)]]&gt;1,SUMIF(G:G,Tabla1[[#This Row],[SIP]],I:I)-Tabla1[[#This Row],[Kerma en aire acumulada (Gy)]],"")</f>
        <v/>
      </c>
    </row>
    <row r="1564" spans="3:27">
      <c r="C1564" s="147" t="s">
        <v>1088</v>
      </c>
      <c r="D1564" s="134" t="s">
        <v>985</v>
      </c>
      <c r="E1564" s="134" t="s">
        <v>767</v>
      </c>
      <c r="F1564" s="134" t="s">
        <v>2748</v>
      </c>
      <c r="G1564" s="134">
        <v>1857202</v>
      </c>
      <c r="H1564" s="135">
        <v>44687</v>
      </c>
      <c r="I1564" s="134">
        <v>0.23143</v>
      </c>
      <c r="J1564" s="145"/>
      <c r="K1564" s="145"/>
      <c r="L1564" s="145"/>
      <c r="M1564" s="145"/>
      <c r="N1564" s="145"/>
      <c r="O1564" s="145"/>
      <c r="P1564" s="145"/>
      <c r="Q1564" s="145"/>
      <c r="R1564" s="145"/>
      <c r="S1564" s="145"/>
      <c r="T1564" s="135">
        <v>44687</v>
      </c>
      <c r="U1564" s="145"/>
      <c r="V1564" s="134" t="s">
        <v>563</v>
      </c>
      <c r="W1564" s="92" t="str">
        <f t="shared" si="110"/>
        <v>Plaza Segarra,Vicenta Matilde</v>
      </c>
      <c r="X1564" s="95">
        <f t="shared" si="111"/>
        <v>5</v>
      </c>
      <c r="Y1564" s="95">
        <f t="shared" si="112"/>
        <v>2022</v>
      </c>
      <c r="Z1564" s="136" t="s">
        <v>266</v>
      </c>
      <c r="AA1564" t="str">
        <f>IF(Tabla1[[#This Row],[Kerma en aire acumulada (Gy)]]&gt;1,SUMIF(G:G,Tabla1[[#This Row],[SIP]],I:I)-Tabla1[[#This Row],[Kerma en aire acumulada (Gy)]],"")</f>
        <v/>
      </c>
    </row>
    <row r="1565" spans="3:27">
      <c r="C1565" s="147" t="s">
        <v>1088</v>
      </c>
      <c r="D1565" s="134" t="s">
        <v>66</v>
      </c>
      <c r="E1565" s="134" t="s">
        <v>78</v>
      </c>
      <c r="F1565" s="134" t="s">
        <v>28</v>
      </c>
      <c r="G1565" s="134">
        <v>3597904</v>
      </c>
      <c r="H1565" s="135">
        <v>44687</v>
      </c>
      <c r="I1565" s="134">
        <v>0.32063999999999998</v>
      </c>
      <c r="J1565" s="145"/>
      <c r="K1565" s="145"/>
      <c r="L1565" s="145"/>
      <c r="M1565" s="145"/>
      <c r="N1565" s="145"/>
      <c r="O1565" s="145"/>
      <c r="P1565" s="145"/>
      <c r="Q1565" s="145"/>
      <c r="R1565" s="145"/>
      <c r="S1565" s="145"/>
      <c r="T1565" s="135">
        <v>16147</v>
      </c>
      <c r="U1565" s="145"/>
      <c r="V1565" s="134" t="s">
        <v>563</v>
      </c>
      <c r="W1565" s="92" t="str">
        <f t="shared" si="110"/>
        <v>Navarro Ballester,Josefa</v>
      </c>
      <c r="X1565" s="95">
        <f t="shared" si="111"/>
        <v>5</v>
      </c>
      <c r="Y1565" s="95">
        <f t="shared" si="112"/>
        <v>2022</v>
      </c>
      <c r="Z1565" s="136" t="s">
        <v>266</v>
      </c>
      <c r="AA1565" t="str">
        <f>IF(Tabla1[[#This Row],[Kerma en aire acumulada (Gy)]]&gt;1,SUMIF(G:G,Tabla1[[#This Row],[SIP]],I:I)-Tabla1[[#This Row],[Kerma en aire acumulada (Gy)]],"")</f>
        <v/>
      </c>
    </row>
    <row r="1566" spans="3:27">
      <c r="C1566" s="147" t="s">
        <v>1088</v>
      </c>
      <c r="D1566" s="134" t="s">
        <v>2084</v>
      </c>
      <c r="E1566" s="134" t="s">
        <v>2572</v>
      </c>
      <c r="F1566" s="134" t="s">
        <v>2749</v>
      </c>
      <c r="G1566" s="134">
        <v>2996422</v>
      </c>
      <c r="H1566" s="135">
        <v>44687</v>
      </c>
      <c r="I1566" s="134">
        <v>0.44307999999999997</v>
      </c>
      <c r="J1566" s="145"/>
      <c r="K1566" s="145"/>
      <c r="L1566" s="145"/>
      <c r="M1566" s="145"/>
      <c r="N1566" s="145"/>
      <c r="O1566" s="145"/>
      <c r="P1566" s="145"/>
      <c r="Q1566" s="145"/>
      <c r="R1566" s="145"/>
      <c r="S1566" s="145"/>
      <c r="T1566" s="135">
        <v>25729</v>
      </c>
      <c r="U1566" s="145"/>
      <c r="V1566" s="134" t="s">
        <v>563</v>
      </c>
      <c r="W1566" s="92" t="str">
        <f t="shared" si="110"/>
        <v>Gutierrez Oviedo,Aristototeles Irineo</v>
      </c>
      <c r="X1566" s="95">
        <f t="shared" si="111"/>
        <v>5</v>
      </c>
      <c r="Y1566" s="95">
        <f t="shared" si="112"/>
        <v>2022</v>
      </c>
      <c r="Z1566" s="136" t="s">
        <v>266</v>
      </c>
      <c r="AA1566" t="str">
        <f>IF(Tabla1[[#This Row],[Kerma en aire acumulada (Gy)]]&gt;1,SUMIF(G:G,Tabla1[[#This Row],[SIP]],I:I)-Tabla1[[#This Row],[Kerma en aire acumulada (Gy)]],"")</f>
        <v/>
      </c>
    </row>
    <row r="1567" spans="3:27">
      <c r="C1567" s="147" t="s">
        <v>1088</v>
      </c>
      <c r="D1567" s="134" t="s">
        <v>2768</v>
      </c>
      <c r="E1567" s="134" t="s">
        <v>2769</v>
      </c>
      <c r="F1567" s="134" t="s">
        <v>585</v>
      </c>
      <c r="G1567" s="134">
        <v>2930400</v>
      </c>
      <c r="H1567" s="135">
        <v>44687</v>
      </c>
      <c r="I1567" s="134">
        <v>4.3400000000000001E-3</v>
      </c>
      <c r="J1567" s="145"/>
      <c r="K1567" s="145"/>
      <c r="L1567" s="145"/>
      <c r="M1567" s="145"/>
      <c r="N1567" s="145"/>
      <c r="O1567" s="145"/>
      <c r="P1567" s="145"/>
      <c r="Q1567" s="145"/>
      <c r="R1567" s="145"/>
      <c r="S1567" s="145"/>
      <c r="T1567" s="135">
        <v>14539</v>
      </c>
      <c r="U1567" s="145"/>
      <c r="V1567" s="134" t="s">
        <v>2241</v>
      </c>
      <c r="W1567" s="92" t="str">
        <f t="shared" si="110"/>
        <v>Baquero Valdelomar,Ricardo</v>
      </c>
      <c r="X1567" s="95">
        <f t="shared" si="111"/>
        <v>5</v>
      </c>
      <c r="Y1567" s="95">
        <f t="shared" si="112"/>
        <v>2022</v>
      </c>
      <c r="Z1567" s="136" t="s">
        <v>2238</v>
      </c>
      <c r="AA1567" t="str">
        <f>IF(Tabla1[[#This Row],[Kerma en aire acumulada (Gy)]]&gt;1,SUMIF(G:G,Tabla1[[#This Row],[SIP]],I:I)-Tabla1[[#This Row],[Kerma en aire acumulada (Gy)]],"")</f>
        <v/>
      </c>
    </row>
    <row r="1568" spans="3:27">
      <c r="C1568" s="147" t="s">
        <v>1088</v>
      </c>
      <c r="D1568" s="134" t="s">
        <v>663</v>
      </c>
      <c r="E1568" s="134" t="s">
        <v>27</v>
      </c>
      <c r="F1568" s="134" t="s">
        <v>356</v>
      </c>
      <c r="G1568" s="134">
        <v>35092736</v>
      </c>
      <c r="H1568" s="135">
        <v>44688</v>
      </c>
      <c r="I1568" s="134">
        <v>0.10402</v>
      </c>
      <c r="J1568" s="145"/>
      <c r="K1568" s="145"/>
      <c r="L1568" s="145"/>
      <c r="M1568" s="145"/>
      <c r="N1568" s="145"/>
      <c r="O1568" s="145"/>
      <c r="P1568" s="145"/>
      <c r="Q1568" s="145"/>
      <c r="R1568" s="145"/>
      <c r="S1568" s="145"/>
      <c r="T1568" s="135">
        <v>18099</v>
      </c>
      <c r="U1568" s="145"/>
      <c r="V1568" s="134" t="s">
        <v>563</v>
      </c>
      <c r="W1568" s="92" t="str">
        <f t="shared" si="110"/>
        <v>Sanchis Calatayud,Manuel</v>
      </c>
      <c r="X1568" s="95">
        <f t="shared" si="111"/>
        <v>5</v>
      </c>
      <c r="Y1568" s="95">
        <f t="shared" si="112"/>
        <v>2022</v>
      </c>
      <c r="Z1568" s="136" t="s">
        <v>266</v>
      </c>
      <c r="AA1568" t="str">
        <f>IF(Tabla1[[#This Row],[Kerma en aire acumulada (Gy)]]&gt;1,SUMIF(G:G,Tabla1[[#This Row],[SIP]],I:I)-Tabla1[[#This Row],[Kerma en aire acumulada (Gy)]],"")</f>
        <v/>
      </c>
    </row>
    <row r="1569" spans="3:27">
      <c r="C1569" s="147" t="s">
        <v>1088</v>
      </c>
      <c r="D1569" s="134" t="s">
        <v>288</v>
      </c>
      <c r="E1569" s="134" t="s">
        <v>856</v>
      </c>
      <c r="F1569" s="134" t="s">
        <v>20</v>
      </c>
      <c r="G1569" s="134">
        <v>2242896</v>
      </c>
      <c r="H1569" s="135">
        <v>44688</v>
      </c>
      <c r="I1569" s="134">
        <v>0.39613999999999999</v>
      </c>
      <c r="J1569" s="145"/>
      <c r="K1569" s="145"/>
      <c r="L1569" s="145"/>
      <c r="M1569" s="145"/>
      <c r="N1569" s="145"/>
      <c r="O1569" s="145"/>
      <c r="P1569" s="145"/>
      <c r="Q1569" s="145"/>
      <c r="R1569" s="145"/>
      <c r="S1569" s="145"/>
      <c r="T1569" s="135">
        <v>15822</v>
      </c>
      <c r="U1569" s="145"/>
      <c r="V1569" s="134" t="s">
        <v>563</v>
      </c>
      <c r="W1569" s="92" t="str">
        <f t="shared" si="110"/>
        <v>Ortiz Gomez,Antonio</v>
      </c>
      <c r="X1569" s="95">
        <f t="shared" si="111"/>
        <v>5</v>
      </c>
      <c r="Y1569" s="95">
        <f t="shared" si="112"/>
        <v>2022</v>
      </c>
      <c r="Z1569" s="136" t="s">
        <v>266</v>
      </c>
      <c r="AA1569" t="str">
        <f>IF(Tabla1[[#This Row],[Kerma en aire acumulada (Gy)]]&gt;1,SUMIF(G:G,Tabla1[[#This Row],[SIP]],I:I)-Tabla1[[#This Row],[Kerma en aire acumulada (Gy)]],"")</f>
        <v/>
      </c>
    </row>
    <row r="1570" spans="3:27">
      <c r="C1570" s="147" t="s">
        <v>1088</v>
      </c>
      <c r="D1570" s="134" t="s">
        <v>2745</v>
      </c>
      <c r="E1570" s="134" t="s">
        <v>962</v>
      </c>
      <c r="F1570" s="134" t="s">
        <v>2746</v>
      </c>
      <c r="G1570" s="134">
        <v>147707</v>
      </c>
      <c r="H1570" s="135">
        <v>44688</v>
      </c>
      <c r="I1570" s="134">
        <v>0.17174</v>
      </c>
      <c r="J1570" s="145"/>
      <c r="K1570" s="145"/>
      <c r="L1570" s="145"/>
      <c r="M1570" s="145"/>
      <c r="N1570" s="145"/>
      <c r="O1570" s="145"/>
      <c r="P1570" s="145"/>
      <c r="Q1570" s="145"/>
      <c r="R1570" s="145"/>
      <c r="S1570" s="145"/>
      <c r="T1570" s="135">
        <v>21232</v>
      </c>
      <c r="U1570" s="145"/>
      <c r="V1570" s="134" t="s">
        <v>563</v>
      </c>
      <c r="W1570" s="92" t="str">
        <f t="shared" si="110"/>
        <v>Lledo  Garcia,Antonio Sebastian</v>
      </c>
      <c r="X1570" s="95">
        <f t="shared" si="111"/>
        <v>5</v>
      </c>
      <c r="Y1570" s="95">
        <f t="shared" si="112"/>
        <v>2022</v>
      </c>
      <c r="Z1570" s="136" t="s">
        <v>266</v>
      </c>
      <c r="AA1570" t="str">
        <f>IF(Tabla1[[#This Row],[Kerma en aire acumulada (Gy)]]&gt;1,SUMIF(G:G,Tabla1[[#This Row],[SIP]],I:I)-Tabla1[[#This Row],[Kerma en aire acumulada (Gy)]],"")</f>
        <v/>
      </c>
    </row>
    <row r="1571" spans="3:27">
      <c r="C1571" s="147" t="s">
        <v>1088</v>
      </c>
      <c r="D1571" s="134" t="s">
        <v>2742</v>
      </c>
      <c r="E1571" s="134" t="s">
        <v>772</v>
      </c>
      <c r="F1571" s="134" t="s">
        <v>2743</v>
      </c>
      <c r="G1571" s="134">
        <v>3300900</v>
      </c>
      <c r="H1571" s="135">
        <v>44689</v>
      </c>
      <c r="I1571" s="134">
        <v>5.7959999999999998E-2</v>
      </c>
      <c r="J1571" s="145"/>
      <c r="K1571" s="145"/>
      <c r="L1571" s="145"/>
      <c r="M1571" s="145"/>
      <c r="N1571" s="145"/>
      <c r="O1571" s="145"/>
      <c r="P1571" s="145"/>
      <c r="Q1571" s="145"/>
      <c r="R1571" s="145"/>
      <c r="S1571" s="145"/>
      <c r="T1571" s="135">
        <v>27863</v>
      </c>
      <c r="U1571" s="145"/>
      <c r="V1571" s="134" t="s">
        <v>563</v>
      </c>
      <c r="W1571" s="92" t="str">
        <f t="shared" si="110"/>
        <v>Funfria Sanchez,Raquel</v>
      </c>
      <c r="X1571" s="95">
        <f t="shared" si="111"/>
        <v>5</v>
      </c>
      <c r="Y1571" s="95">
        <f t="shared" si="112"/>
        <v>2022</v>
      </c>
      <c r="Z1571" s="136" t="s">
        <v>266</v>
      </c>
      <c r="AA1571" t="str">
        <f>IF(Tabla1[[#This Row],[Kerma en aire acumulada (Gy)]]&gt;1,SUMIF(G:G,Tabla1[[#This Row],[SIP]],I:I)-Tabla1[[#This Row],[Kerma en aire acumulada (Gy)]],"")</f>
        <v/>
      </c>
    </row>
    <row r="1572" spans="3:27">
      <c r="C1572" s="147" t="s">
        <v>1088</v>
      </c>
      <c r="D1572" s="134" t="s">
        <v>2744</v>
      </c>
      <c r="E1572" s="134" t="s">
        <v>677</v>
      </c>
      <c r="F1572" s="134" t="s">
        <v>28</v>
      </c>
      <c r="G1572" s="134">
        <v>3267241</v>
      </c>
      <c r="H1572" s="135">
        <v>44689</v>
      </c>
      <c r="I1572" s="134">
        <v>0.12923999999999999</v>
      </c>
      <c r="J1572" s="145"/>
      <c r="K1572" s="145"/>
      <c r="L1572" s="145"/>
      <c r="M1572" s="145"/>
      <c r="N1572" s="145"/>
      <c r="O1572" s="145"/>
      <c r="P1572" s="145"/>
      <c r="Q1572" s="145"/>
      <c r="R1572" s="145"/>
      <c r="S1572" s="145"/>
      <c r="T1572" s="135">
        <v>16292</v>
      </c>
      <c r="U1572" s="145"/>
      <c r="V1572" s="134" t="s">
        <v>563</v>
      </c>
      <c r="W1572" s="92" t="str">
        <f t="shared" si="110"/>
        <v>Trapero Aliaga,Josefa</v>
      </c>
      <c r="X1572" s="95">
        <f t="shared" si="111"/>
        <v>5</v>
      </c>
      <c r="Y1572" s="95">
        <f t="shared" si="112"/>
        <v>2022</v>
      </c>
      <c r="Z1572" s="136" t="s">
        <v>266</v>
      </c>
      <c r="AA1572" t="str">
        <f>IF(Tabla1[[#This Row],[Kerma en aire acumulada (Gy)]]&gt;1,SUMIF(G:G,Tabla1[[#This Row],[SIP]],I:I)-Tabla1[[#This Row],[Kerma en aire acumulada (Gy)]],"")</f>
        <v/>
      </c>
    </row>
    <row r="1573" spans="3:27">
      <c r="C1573" s="147" t="s">
        <v>1088</v>
      </c>
      <c r="D1573" s="134" t="s">
        <v>726</v>
      </c>
      <c r="E1573" s="134" t="s">
        <v>105</v>
      </c>
      <c r="F1573" s="134" t="s">
        <v>1725</v>
      </c>
      <c r="G1573" s="134">
        <v>2582374</v>
      </c>
      <c r="H1573" s="135">
        <v>44689</v>
      </c>
      <c r="I1573" s="134">
        <v>8.5720000000000005E-2</v>
      </c>
      <c r="J1573" s="145"/>
      <c r="K1573" s="145"/>
      <c r="L1573" s="145"/>
      <c r="M1573" s="145"/>
      <c r="N1573" s="145"/>
      <c r="O1573" s="145"/>
      <c r="P1573" s="145"/>
      <c r="Q1573" s="145"/>
      <c r="R1573" s="145"/>
      <c r="S1573" s="145"/>
      <c r="T1573" s="135">
        <v>27820</v>
      </c>
      <c r="U1573" s="145"/>
      <c r="V1573" s="134" t="s">
        <v>563</v>
      </c>
      <c r="W1573" s="92" t="str">
        <f t="shared" si="110"/>
        <v>Ballesteros Soriano,Ana Maria</v>
      </c>
      <c r="X1573" s="95">
        <f t="shared" si="111"/>
        <v>5</v>
      </c>
      <c r="Y1573" s="95">
        <f t="shared" si="112"/>
        <v>2022</v>
      </c>
      <c r="Z1573" s="136" t="s">
        <v>266</v>
      </c>
      <c r="AA1573" t="str">
        <f>IF(Tabla1[[#This Row],[Kerma en aire acumulada (Gy)]]&gt;1,SUMIF(G:G,Tabla1[[#This Row],[SIP]],I:I)-Tabla1[[#This Row],[Kerma en aire acumulada (Gy)]],"")</f>
        <v/>
      </c>
    </row>
    <row r="1574" spans="3:27">
      <c r="C1574" s="147" t="s">
        <v>1088</v>
      </c>
      <c r="D1574" s="134" t="s">
        <v>2781</v>
      </c>
      <c r="E1574" s="134" t="s">
        <v>856</v>
      </c>
      <c r="F1574" s="134" t="s">
        <v>2782</v>
      </c>
      <c r="G1574" s="134">
        <v>2413336</v>
      </c>
      <c r="H1574" s="135">
        <v>44690</v>
      </c>
      <c r="I1574" s="134">
        <v>1.1209999999999999E-2</v>
      </c>
      <c r="J1574" s="145"/>
      <c r="K1574" s="145"/>
      <c r="L1574" s="145"/>
      <c r="M1574" s="145"/>
      <c r="N1574" s="145"/>
      <c r="O1574" s="145"/>
      <c r="P1574" s="145"/>
      <c r="Q1574" s="145"/>
      <c r="R1574" s="145"/>
      <c r="S1574" s="145"/>
      <c r="T1574" s="135">
        <v>17264</v>
      </c>
      <c r="U1574" s="145"/>
      <c r="V1574" s="134" t="s">
        <v>1929</v>
      </c>
      <c r="W1574" s="92" t="str">
        <f t="shared" si="110"/>
        <v>Lafuente Gomez,Jose Joaquin</v>
      </c>
      <c r="X1574" s="95">
        <f t="shared" si="111"/>
        <v>5</v>
      </c>
      <c r="Y1574" s="95">
        <f t="shared" si="112"/>
        <v>2022</v>
      </c>
      <c r="Z1574" s="103" t="s">
        <v>265</v>
      </c>
      <c r="AA1574" t="str">
        <f>IF(Tabla1[[#This Row],[Kerma en aire acumulada (Gy)]]&gt;1,SUMIF(G:G,Tabla1[[#This Row],[SIP]],I:I)-Tabla1[[#This Row],[Kerma en aire acumulada (Gy)]],"")</f>
        <v/>
      </c>
    </row>
    <row r="1575" spans="3:27">
      <c r="C1575" s="147" t="s">
        <v>1088</v>
      </c>
      <c r="D1575" s="134" t="s">
        <v>772</v>
      </c>
      <c r="E1575" s="134" t="s">
        <v>2084</v>
      </c>
      <c r="F1575" s="134" t="s">
        <v>71</v>
      </c>
      <c r="G1575" s="134">
        <v>3175500</v>
      </c>
      <c r="H1575" s="135">
        <v>44690</v>
      </c>
      <c r="I1575" s="134">
        <v>0.28985</v>
      </c>
      <c r="J1575" s="145"/>
      <c r="K1575" s="145"/>
      <c r="L1575" s="145"/>
      <c r="M1575" s="145"/>
      <c r="N1575" s="145"/>
      <c r="O1575" s="145"/>
      <c r="P1575" s="145"/>
      <c r="Q1575" s="145"/>
      <c r="R1575" s="145"/>
      <c r="S1575" s="145"/>
      <c r="T1575" s="135">
        <v>14739</v>
      </c>
      <c r="U1575" s="145"/>
      <c r="V1575" s="134" t="s">
        <v>541</v>
      </c>
      <c r="W1575" s="92" t="str">
        <f t="shared" si="110"/>
        <v>Sanchez Gutierrez,Rafael</v>
      </c>
      <c r="X1575" s="95">
        <f t="shared" si="111"/>
        <v>5</v>
      </c>
      <c r="Y1575" s="95">
        <f t="shared" si="112"/>
        <v>2022</v>
      </c>
      <c r="Z1575" s="103" t="s">
        <v>265</v>
      </c>
      <c r="AA1575" t="str">
        <f>IF(Tabla1[[#This Row],[Kerma en aire acumulada (Gy)]]&gt;1,SUMIF(G:G,Tabla1[[#This Row],[SIP]],I:I)-Tabla1[[#This Row],[Kerma en aire acumulada (Gy)]],"")</f>
        <v/>
      </c>
    </row>
    <row r="1576" spans="3:27">
      <c r="C1576" s="147" t="s">
        <v>1088</v>
      </c>
      <c r="D1576" s="134" t="s">
        <v>2793</v>
      </c>
      <c r="E1576" s="134" t="s">
        <v>2794</v>
      </c>
      <c r="F1576" s="134" t="s">
        <v>798</v>
      </c>
      <c r="G1576" s="134">
        <v>2913437</v>
      </c>
      <c r="H1576" s="135">
        <v>44690</v>
      </c>
      <c r="I1576" s="134">
        <v>0.10872999999999999</v>
      </c>
      <c r="J1576" s="145"/>
      <c r="K1576" s="145"/>
      <c r="L1576" s="145"/>
      <c r="M1576" s="145"/>
      <c r="N1576" s="145"/>
      <c r="O1576" s="145"/>
      <c r="P1576" s="145"/>
      <c r="Q1576" s="145"/>
      <c r="R1576" s="145"/>
      <c r="S1576" s="145"/>
      <c r="T1576" s="135">
        <v>21089</v>
      </c>
      <c r="U1576" s="145"/>
      <c r="V1576" s="134" t="s">
        <v>139</v>
      </c>
      <c r="W1576" s="92" t="str">
        <f t="shared" si="110"/>
        <v>Medrano Atienzar,Ana</v>
      </c>
      <c r="X1576" s="95">
        <f t="shared" si="111"/>
        <v>5</v>
      </c>
      <c r="Y1576" s="95">
        <f t="shared" si="112"/>
        <v>2022</v>
      </c>
      <c r="Z1576" s="103" t="s">
        <v>265</v>
      </c>
      <c r="AA1576" t="str">
        <f>IF(Tabla1[[#This Row],[Kerma en aire acumulada (Gy)]]&gt;1,SUMIF(G:G,Tabla1[[#This Row],[SIP]],I:I)-Tabla1[[#This Row],[Kerma en aire acumulada (Gy)]],"")</f>
        <v/>
      </c>
    </row>
    <row r="1577" spans="3:27">
      <c r="C1577" s="147" t="s">
        <v>1088</v>
      </c>
      <c r="D1577" s="134" t="s">
        <v>2795</v>
      </c>
      <c r="E1577" s="134" t="s">
        <v>663</v>
      </c>
      <c r="F1577" s="134" t="s">
        <v>2410</v>
      </c>
      <c r="G1577" s="134">
        <v>4546408</v>
      </c>
      <c r="H1577" s="135">
        <v>44690</v>
      </c>
      <c r="I1577" s="134">
        <v>1.12598</v>
      </c>
      <c r="J1577" s="145"/>
      <c r="K1577" s="145"/>
      <c r="L1577" s="145"/>
      <c r="M1577" s="145"/>
      <c r="N1577" s="145"/>
      <c r="O1577" s="145"/>
      <c r="P1577" s="145"/>
      <c r="Q1577" s="145"/>
      <c r="R1577" s="145"/>
      <c r="S1577" s="145"/>
      <c r="T1577" s="135">
        <v>21048</v>
      </c>
      <c r="U1577" s="145"/>
      <c r="V1577" s="134" t="s">
        <v>107</v>
      </c>
      <c r="W1577" s="92" t="str">
        <f t="shared" si="110"/>
        <v>Breva Sanchis,Jose Maria</v>
      </c>
      <c r="X1577" s="95">
        <f t="shared" si="111"/>
        <v>5</v>
      </c>
      <c r="Y1577" s="95">
        <f t="shared" si="112"/>
        <v>2022</v>
      </c>
      <c r="Z1577" s="103" t="s">
        <v>265</v>
      </c>
      <c r="AA1577">
        <f>IF(Tabla1[[#This Row],[Kerma en aire acumulada (Gy)]]&gt;1,SUMIF(G:G,Tabla1[[#This Row],[SIP]],I:I)-Tabla1[[#This Row],[Kerma en aire acumulada (Gy)]],"")</f>
        <v>0</v>
      </c>
    </row>
    <row r="1578" spans="3:27">
      <c r="C1578" s="147" t="s">
        <v>1088</v>
      </c>
      <c r="D1578" s="134" t="s">
        <v>2143</v>
      </c>
      <c r="E1578" s="134" t="s">
        <v>1178</v>
      </c>
      <c r="F1578" s="134" t="s">
        <v>68</v>
      </c>
      <c r="G1578" s="134">
        <v>5494444</v>
      </c>
      <c r="H1578" s="135">
        <v>44690</v>
      </c>
      <c r="I1578" s="134">
        <v>0.10677</v>
      </c>
      <c r="J1578" s="145"/>
      <c r="K1578" s="145"/>
      <c r="L1578" s="145"/>
      <c r="M1578" s="145"/>
      <c r="N1578" s="145"/>
      <c r="O1578" s="145"/>
      <c r="P1578" s="145"/>
      <c r="Q1578" s="145"/>
      <c r="R1578" s="145"/>
      <c r="S1578" s="145"/>
      <c r="T1578" s="135">
        <v>38117</v>
      </c>
      <c r="U1578" s="145"/>
      <c r="V1578" s="134" t="s">
        <v>563</v>
      </c>
      <c r="W1578" s="92" t="str">
        <f t="shared" ref="W1578:W1641" si="113">CONCATENATE(D1578,$A$591,E1578,",",F1578)</f>
        <v>Dominguez Montes,Juan</v>
      </c>
      <c r="X1578" s="95">
        <f t="shared" ref="X1578:X1641" si="114">MONTH(H1578)</f>
        <v>5</v>
      </c>
      <c r="Y1578" s="95">
        <f t="shared" ref="Y1578:Y1641" si="115">YEAR(H1578)</f>
        <v>2022</v>
      </c>
      <c r="Z1578" s="136" t="s">
        <v>266</v>
      </c>
      <c r="AA1578" t="str">
        <f>IF(Tabla1[[#This Row],[Kerma en aire acumulada (Gy)]]&gt;1,SUMIF(G:G,Tabla1[[#This Row],[SIP]],I:I)-Tabla1[[#This Row],[Kerma en aire acumulada (Gy)]],"")</f>
        <v/>
      </c>
    </row>
    <row r="1579" spans="3:27">
      <c r="C1579" s="147" t="s">
        <v>1088</v>
      </c>
      <c r="D1579" s="134" t="s">
        <v>169</v>
      </c>
      <c r="E1579" s="134" t="s">
        <v>1001</v>
      </c>
      <c r="F1579" s="134" t="s">
        <v>519</v>
      </c>
      <c r="G1579" s="134">
        <v>2299634</v>
      </c>
      <c r="H1579" s="135">
        <v>44690</v>
      </c>
      <c r="I1579" s="134">
        <v>1.0334300000000001</v>
      </c>
      <c r="J1579" s="145"/>
      <c r="K1579" s="145"/>
      <c r="L1579" s="145"/>
      <c r="M1579" s="145"/>
      <c r="N1579" s="145"/>
      <c r="O1579" s="145"/>
      <c r="P1579" s="145"/>
      <c r="Q1579" s="145"/>
      <c r="R1579" s="145"/>
      <c r="S1579" s="145"/>
      <c r="T1579" s="135">
        <v>19493</v>
      </c>
      <c r="U1579" s="145"/>
      <c r="V1579" s="134" t="s">
        <v>563</v>
      </c>
      <c r="W1579" s="92" t="str">
        <f t="shared" si="113"/>
        <v>Valero Perez,Fernando</v>
      </c>
      <c r="X1579" s="95">
        <f t="shared" si="114"/>
        <v>5</v>
      </c>
      <c r="Y1579" s="95">
        <f t="shared" si="115"/>
        <v>2022</v>
      </c>
      <c r="Z1579" s="136" t="s">
        <v>266</v>
      </c>
      <c r="AA1579">
        <f>IF(Tabla1[[#This Row],[Kerma en aire acumulada (Gy)]]&gt;1,SUMIF(G:G,Tabla1[[#This Row],[SIP]],I:I)-Tabla1[[#This Row],[Kerma en aire acumulada (Gy)]],"")</f>
        <v>0</v>
      </c>
    </row>
    <row r="1580" spans="3:27">
      <c r="C1580" s="147" t="s">
        <v>1088</v>
      </c>
      <c r="D1580" s="134" t="s">
        <v>1881</v>
      </c>
      <c r="E1580" s="134" t="s">
        <v>176</v>
      </c>
      <c r="F1580" s="134" t="s">
        <v>2815</v>
      </c>
      <c r="G1580" s="134">
        <v>2262841</v>
      </c>
      <c r="H1580" s="135">
        <v>44690</v>
      </c>
      <c r="I1580" s="134">
        <v>1.2237199999999999</v>
      </c>
      <c r="J1580" s="145"/>
      <c r="K1580" s="145"/>
      <c r="L1580" s="145"/>
      <c r="M1580" s="145"/>
      <c r="N1580" s="145"/>
      <c r="O1580" s="145"/>
      <c r="P1580" s="145"/>
      <c r="Q1580" s="145"/>
      <c r="R1580" s="145"/>
      <c r="S1580" s="145"/>
      <c r="T1580" s="135">
        <v>17287</v>
      </c>
      <c r="U1580" s="145"/>
      <c r="V1580" s="134" t="s">
        <v>563</v>
      </c>
      <c r="W1580" s="92" t="str">
        <f t="shared" si="113"/>
        <v>Maya Campos,Encarnacion</v>
      </c>
      <c r="X1580" s="95">
        <f t="shared" si="114"/>
        <v>5</v>
      </c>
      <c r="Y1580" s="95">
        <f t="shared" si="115"/>
        <v>2022</v>
      </c>
      <c r="Z1580" s="136" t="s">
        <v>266</v>
      </c>
      <c r="AA1580">
        <f>IF(Tabla1[[#This Row],[Kerma en aire acumulada (Gy)]]&gt;1,SUMIF(G:G,Tabla1[[#This Row],[SIP]],I:I)-Tabla1[[#This Row],[Kerma en aire acumulada (Gy)]],"")</f>
        <v>0</v>
      </c>
    </row>
    <row r="1581" spans="3:27">
      <c r="C1581" s="147" t="s">
        <v>1088</v>
      </c>
      <c r="D1581" s="134" t="s">
        <v>642</v>
      </c>
      <c r="E1581" s="134" t="s">
        <v>2816</v>
      </c>
      <c r="F1581" s="134" t="s">
        <v>1946</v>
      </c>
      <c r="G1581" s="134">
        <v>2290378</v>
      </c>
      <c r="H1581" s="135">
        <v>44690</v>
      </c>
      <c r="I1581" s="134">
        <v>0.26479999999999998</v>
      </c>
      <c r="J1581" s="145"/>
      <c r="K1581" s="145"/>
      <c r="L1581" s="145"/>
      <c r="M1581" s="145"/>
      <c r="N1581" s="145"/>
      <c r="O1581" s="145"/>
      <c r="P1581" s="145"/>
      <c r="Q1581" s="145"/>
      <c r="R1581" s="145"/>
      <c r="S1581" s="145"/>
      <c r="T1581" s="135">
        <v>16341</v>
      </c>
      <c r="U1581" s="145"/>
      <c r="V1581" s="134" t="s">
        <v>563</v>
      </c>
      <c r="W1581" s="92" t="str">
        <f t="shared" si="113"/>
        <v>Alba Cases,Joaquin</v>
      </c>
      <c r="X1581" s="95">
        <f t="shared" si="114"/>
        <v>5</v>
      </c>
      <c r="Y1581" s="95">
        <f t="shared" si="115"/>
        <v>2022</v>
      </c>
      <c r="Z1581" s="136" t="s">
        <v>266</v>
      </c>
      <c r="AA1581" t="str">
        <f>IF(Tabla1[[#This Row],[Kerma en aire acumulada (Gy)]]&gt;1,SUMIF(G:G,Tabla1[[#This Row],[SIP]],I:I)-Tabla1[[#This Row],[Kerma en aire acumulada (Gy)]],"")</f>
        <v/>
      </c>
    </row>
    <row r="1582" spans="3:27">
      <c r="C1582" s="147" t="s">
        <v>1088</v>
      </c>
      <c r="D1582" s="134" t="s">
        <v>2838</v>
      </c>
      <c r="E1582" s="134" t="s">
        <v>2040</v>
      </c>
      <c r="F1582" s="134" t="s">
        <v>967</v>
      </c>
      <c r="G1582" s="134">
        <v>3754139</v>
      </c>
      <c r="H1582" s="135">
        <v>44690</v>
      </c>
      <c r="I1582" s="134">
        <v>0.21687999999999999</v>
      </c>
      <c r="J1582" s="145"/>
      <c r="K1582" s="145"/>
      <c r="L1582" s="145"/>
      <c r="M1582" s="145"/>
      <c r="N1582" s="145"/>
      <c r="O1582" s="145"/>
      <c r="P1582" s="145"/>
      <c r="Q1582" s="145"/>
      <c r="R1582" s="145"/>
      <c r="S1582" s="145"/>
      <c r="T1582" s="135">
        <v>22924</v>
      </c>
      <c r="U1582" s="145"/>
      <c r="V1582" s="134" t="s">
        <v>563</v>
      </c>
      <c r="W1582" s="92" t="str">
        <f t="shared" si="113"/>
        <v>Mocholi Bayuna,Jose Manuel</v>
      </c>
      <c r="X1582" s="95">
        <f t="shared" si="114"/>
        <v>5</v>
      </c>
      <c r="Y1582" s="95">
        <f t="shared" si="115"/>
        <v>2022</v>
      </c>
      <c r="Z1582" s="136" t="s">
        <v>266</v>
      </c>
      <c r="AA1582" t="str">
        <f>IF(Tabla1[[#This Row],[Kerma en aire acumulada (Gy)]]&gt;1,SUMIF(G:G,Tabla1[[#This Row],[SIP]],I:I)-Tabla1[[#This Row],[Kerma en aire acumulada (Gy)]],"")</f>
        <v/>
      </c>
    </row>
    <row r="1583" spans="3:27">
      <c r="C1583" s="147" t="s">
        <v>1088</v>
      </c>
      <c r="D1583" s="134" t="s">
        <v>2839</v>
      </c>
      <c r="E1583" s="134" t="s">
        <v>1940</v>
      </c>
      <c r="F1583" s="134" t="s">
        <v>57</v>
      </c>
      <c r="G1583" s="134">
        <v>2988072</v>
      </c>
      <c r="H1583" s="135">
        <v>44690</v>
      </c>
      <c r="I1583" s="134">
        <v>0.1201</v>
      </c>
      <c r="J1583" s="145"/>
      <c r="K1583" s="145"/>
      <c r="L1583" s="145"/>
      <c r="M1583" s="145"/>
      <c r="N1583" s="145"/>
      <c r="O1583" s="145"/>
      <c r="P1583" s="145"/>
      <c r="Q1583" s="145"/>
      <c r="R1583" s="145"/>
      <c r="S1583" s="145"/>
      <c r="T1583" s="135">
        <v>24361</v>
      </c>
      <c r="U1583" s="145"/>
      <c r="V1583" s="134" t="s">
        <v>563</v>
      </c>
      <c r="W1583" s="92" t="str">
        <f t="shared" si="113"/>
        <v>Renales Marin,Miguel</v>
      </c>
      <c r="X1583" s="95">
        <f t="shared" si="114"/>
        <v>5</v>
      </c>
      <c r="Y1583" s="95">
        <f t="shared" si="115"/>
        <v>2022</v>
      </c>
      <c r="Z1583" s="136" t="s">
        <v>266</v>
      </c>
      <c r="AA1583" t="str">
        <f>IF(Tabla1[[#This Row],[Kerma en aire acumulada (Gy)]]&gt;1,SUMIF(G:G,Tabla1[[#This Row],[SIP]],I:I)-Tabla1[[#This Row],[Kerma en aire acumulada (Gy)]],"")</f>
        <v/>
      </c>
    </row>
    <row r="1584" spans="3:27">
      <c r="C1584" s="147" t="s">
        <v>1088</v>
      </c>
      <c r="D1584" s="134" t="s">
        <v>22</v>
      </c>
      <c r="E1584" s="134" t="s">
        <v>2343</v>
      </c>
      <c r="F1584" s="134" t="s">
        <v>1725</v>
      </c>
      <c r="G1584" s="134">
        <v>1857561</v>
      </c>
      <c r="H1584" s="135">
        <v>44690</v>
      </c>
      <c r="I1584" s="134">
        <v>0.19871</v>
      </c>
      <c r="J1584" s="145"/>
      <c r="K1584" s="145"/>
      <c r="L1584" s="145"/>
      <c r="M1584" s="145"/>
      <c r="N1584" s="145"/>
      <c r="O1584" s="145"/>
      <c r="P1584" s="145"/>
      <c r="Q1584" s="145"/>
      <c r="R1584" s="145"/>
      <c r="S1584" s="145"/>
      <c r="T1584" s="135">
        <v>22193</v>
      </c>
      <c r="U1584" s="145"/>
      <c r="V1584" s="134" t="s">
        <v>563</v>
      </c>
      <c r="W1584" s="92" t="str">
        <f t="shared" si="113"/>
        <v>Ruiz Lleo,Ana Maria</v>
      </c>
      <c r="X1584" s="95">
        <f t="shared" si="114"/>
        <v>5</v>
      </c>
      <c r="Y1584" s="95">
        <f t="shared" si="115"/>
        <v>2022</v>
      </c>
      <c r="Z1584" s="136" t="s">
        <v>266</v>
      </c>
      <c r="AA1584" t="str">
        <f>IF(Tabla1[[#This Row],[Kerma en aire acumulada (Gy)]]&gt;1,SUMIF(G:G,Tabla1[[#This Row],[SIP]],I:I)-Tabla1[[#This Row],[Kerma en aire acumulada (Gy)]],"")</f>
        <v/>
      </c>
    </row>
    <row r="1585" spans="3:27">
      <c r="C1585" s="147" t="s">
        <v>1088</v>
      </c>
      <c r="D1585" s="134" t="s">
        <v>2767</v>
      </c>
      <c r="E1585" s="134" t="s">
        <v>2840</v>
      </c>
      <c r="F1585" s="134" t="s">
        <v>2841</v>
      </c>
      <c r="G1585" s="134">
        <v>4869711</v>
      </c>
      <c r="H1585" s="135">
        <v>44690</v>
      </c>
      <c r="I1585" s="134">
        <v>3.3562099999999999</v>
      </c>
      <c r="J1585" s="145"/>
      <c r="K1585" s="145"/>
      <c r="L1585" s="145"/>
      <c r="M1585" s="145"/>
      <c r="N1585" s="145"/>
      <c r="O1585" s="145"/>
      <c r="P1585" s="145"/>
      <c r="Q1585" s="145"/>
      <c r="R1585" s="145"/>
      <c r="S1585" s="145"/>
      <c r="T1585" s="135">
        <v>15568</v>
      </c>
      <c r="U1585" s="145"/>
      <c r="V1585" s="134" t="s">
        <v>563</v>
      </c>
      <c r="W1585" s="92" t="str">
        <f t="shared" si="113"/>
        <v>Rivera Paricio,Jose Nestor</v>
      </c>
      <c r="X1585" s="95">
        <f t="shared" si="114"/>
        <v>5</v>
      </c>
      <c r="Y1585" s="95">
        <f t="shared" si="115"/>
        <v>2022</v>
      </c>
      <c r="Z1585" s="136" t="s">
        <v>266</v>
      </c>
      <c r="AA1585">
        <f>IF(Tabla1[[#This Row],[Kerma en aire acumulada (Gy)]]&gt;1,SUMIF(G:G,Tabla1[[#This Row],[SIP]],I:I)-Tabla1[[#This Row],[Kerma en aire acumulada (Gy)]],"")</f>
        <v>0</v>
      </c>
    </row>
    <row r="1586" spans="3:27">
      <c r="C1586" s="147" t="s">
        <v>1088</v>
      </c>
      <c r="D1586" s="134" t="s">
        <v>2816</v>
      </c>
      <c r="E1586" s="134" t="s">
        <v>2003</v>
      </c>
      <c r="F1586" s="134" t="s">
        <v>2141</v>
      </c>
      <c r="G1586" s="134">
        <v>2269082</v>
      </c>
      <c r="H1586" s="135">
        <v>44690</v>
      </c>
      <c r="I1586" s="134">
        <v>1.5464899999999999</v>
      </c>
      <c r="J1586" s="145"/>
      <c r="K1586" s="145"/>
      <c r="L1586" s="145"/>
      <c r="M1586" s="145"/>
      <c r="N1586" s="145"/>
      <c r="O1586" s="145"/>
      <c r="P1586" s="145"/>
      <c r="Q1586" s="145"/>
      <c r="R1586" s="145"/>
      <c r="S1586" s="145"/>
      <c r="T1586" s="135">
        <v>27875</v>
      </c>
      <c r="U1586" s="145"/>
      <c r="V1586" s="134" t="s">
        <v>563</v>
      </c>
      <c r="W1586" s="92" t="str">
        <f t="shared" si="113"/>
        <v>Cases Palacios,Jesus</v>
      </c>
      <c r="X1586" s="95">
        <f t="shared" si="114"/>
        <v>5</v>
      </c>
      <c r="Y1586" s="95">
        <f t="shared" si="115"/>
        <v>2022</v>
      </c>
      <c r="Z1586" s="136" t="s">
        <v>266</v>
      </c>
      <c r="AA1586">
        <f>IF(Tabla1[[#This Row],[Kerma en aire acumulada (Gy)]]&gt;1,SUMIF(G:G,Tabla1[[#This Row],[SIP]],I:I)-Tabla1[[#This Row],[Kerma en aire acumulada (Gy)]],"")</f>
        <v>0</v>
      </c>
    </row>
    <row r="1587" spans="3:27">
      <c r="C1587" s="147" t="s">
        <v>1088</v>
      </c>
      <c r="D1587" s="134" t="s">
        <v>2779</v>
      </c>
      <c r="E1587" s="134" t="s">
        <v>2780</v>
      </c>
      <c r="F1587" s="134" t="s">
        <v>2382</v>
      </c>
      <c r="G1587" s="134">
        <v>214738</v>
      </c>
      <c r="H1587" s="135">
        <v>44691</v>
      </c>
      <c r="I1587" s="134">
        <v>0.80223999999999995</v>
      </c>
      <c r="J1587" s="145"/>
      <c r="K1587" s="145"/>
      <c r="L1587" s="145"/>
      <c r="M1587" s="145"/>
      <c r="N1587" s="145"/>
      <c r="O1587" s="145"/>
      <c r="P1587" s="145"/>
      <c r="Q1587" s="145"/>
      <c r="R1587" s="145"/>
      <c r="S1587" s="145"/>
      <c r="T1587" s="135">
        <v>18288</v>
      </c>
      <c r="U1587" s="145"/>
      <c r="V1587" s="134" t="s">
        <v>89</v>
      </c>
      <c r="W1587" s="92" t="str">
        <f t="shared" si="113"/>
        <v>Mulet Balbestre,Daniel</v>
      </c>
      <c r="X1587" s="95">
        <f t="shared" si="114"/>
        <v>5</v>
      </c>
      <c r="Y1587" s="95">
        <f t="shared" si="115"/>
        <v>2022</v>
      </c>
      <c r="Z1587" s="103" t="s">
        <v>265</v>
      </c>
      <c r="AA1587" t="str">
        <f>IF(Tabla1[[#This Row],[Kerma en aire acumulada (Gy)]]&gt;1,SUMIF(G:G,Tabla1[[#This Row],[SIP]],I:I)-Tabla1[[#This Row],[Kerma en aire acumulada (Gy)]],"")</f>
        <v/>
      </c>
    </row>
    <row r="1588" spans="3:27">
      <c r="C1588" s="147" t="s">
        <v>1088</v>
      </c>
      <c r="D1588" s="134" t="s">
        <v>948</v>
      </c>
      <c r="E1588" s="134" t="s">
        <v>2008</v>
      </c>
      <c r="F1588" s="134" t="s">
        <v>861</v>
      </c>
      <c r="G1588" s="134">
        <v>3623437</v>
      </c>
      <c r="H1588" s="135">
        <v>44691</v>
      </c>
      <c r="I1588" s="134">
        <v>0.12947</v>
      </c>
      <c r="J1588" s="145"/>
      <c r="K1588" s="145"/>
      <c r="L1588" s="145"/>
      <c r="M1588" s="145"/>
      <c r="N1588" s="145"/>
      <c r="O1588" s="145"/>
      <c r="P1588" s="145"/>
      <c r="Q1588" s="145"/>
      <c r="R1588" s="145"/>
      <c r="S1588" s="145"/>
      <c r="T1588" s="135">
        <v>25392</v>
      </c>
      <c r="U1588" s="145"/>
      <c r="V1588" s="134" t="s">
        <v>118</v>
      </c>
      <c r="W1588" s="92" t="str">
        <f t="shared" si="113"/>
        <v>Martinez Puchades,Juan Carlos</v>
      </c>
      <c r="X1588" s="95">
        <f t="shared" si="114"/>
        <v>5</v>
      </c>
      <c r="Y1588" s="95">
        <f t="shared" si="115"/>
        <v>2022</v>
      </c>
      <c r="Z1588" s="103" t="s">
        <v>265</v>
      </c>
      <c r="AA1588" t="str">
        <f>IF(Tabla1[[#This Row],[Kerma en aire acumulada (Gy)]]&gt;1,SUMIF(G:G,Tabla1[[#This Row],[SIP]],I:I)-Tabla1[[#This Row],[Kerma en aire acumulada (Gy)]],"")</f>
        <v/>
      </c>
    </row>
    <row r="1589" spans="3:27">
      <c r="C1589" s="147" t="s">
        <v>1088</v>
      </c>
      <c r="D1589" s="134" t="s">
        <v>1672</v>
      </c>
      <c r="E1589" s="134" t="s">
        <v>2792</v>
      </c>
      <c r="F1589" s="134" t="s">
        <v>1139</v>
      </c>
      <c r="G1589" s="134">
        <v>2881069</v>
      </c>
      <c r="H1589" s="135">
        <v>44691</v>
      </c>
      <c r="I1589" s="134">
        <v>4.4920000000000002E-2</v>
      </c>
      <c r="J1589" s="145"/>
      <c r="K1589" s="145"/>
      <c r="L1589" s="145"/>
      <c r="M1589" s="145"/>
      <c r="N1589" s="145"/>
      <c r="O1589" s="145"/>
      <c r="P1589" s="145"/>
      <c r="Q1589" s="145"/>
      <c r="R1589" s="145"/>
      <c r="S1589" s="145"/>
      <c r="T1589" s="135">
        <v>22442</v>
      </c>
      <c r="U1589" s="145"/>
      <c r="V1589" s="134" t="s">
        <v>516</v>
      </c>
      <c r="W1589" s="92" t="str">
        <f t="shared" si="113"/>
        <v>Lazaro Bori,Jose Vicente</v>
      </c>
      <c r="X1589" s="95">
        <f t="shared" si="114"/>
        <v>5</v>
      </c>
      <c r="Y1589" s="95">
        <f t="shared" si="115"/>
        <v>2022</v>
      </c>
      <c r="Z1589" s="103" t="s">
        <v>265</v>
      </c>
      <c r="AA1589" t="str">
        <f>IF(Tabla1[[#This Row],[Kerma en aire acumulada (Gy)]]&gt;1,SUMIF(G:G,Tabla1[[#This Row],[SIP]],I:I)-Tabla1[[#This Row],[Kerma en aire acumulada (Gy)]],"")</f>
        <v/>
      </c>
    </row>
    <row r="1590" spans="3:27">
      <c r="C1590" s="147" t="s">
        <v>1088</v>
      </c>
      <c r="D1590" s="134" t="s">
        <v>2414</v>
      </c>
      <c r="E1590" s="134" t="s">
        <v>1001</v>
      </c>
      <c r="F1590" s="134" t="s">
        <v>2405</v>
      </c>
      <c r="G1590" s="134">
        <v>1626399</v>
      </c>
      <c r="H1590" s="135">
        <v>44691</v>
      </c>
      <c r="I1590" s="134">
        <v>7.3209999999999997E-2</v>
      </c>
      <c r="J1590" s="145"/>
      <c r="K1590" s="145"/>
      <c r="L1590" s="145"/>
      <c r="M1590" s="145"/>
      <c r="N1590" s="145"/>
      <c r="O1590" s="145"/>
      <c r="P1590" s="145"/>
      <c r="Q1590" s="145"/>
      <c r="R1590" s="145"/>
      <c r="S1590" s="145"/>
      <c r="T1590" s="135">
        <v>19155</v>
      </c>
      <c r="U1590" s="145"/>
      <c r="V1590" s="134" t="s">
        <v>541</v>
      </c>
      <c r="W1590" s="92" t="str">
        <f t="shared" si="113"/>
        <v>Bernabe Perez,Jose Antonio</v>
      </c>
      <c r="X1590" s="95">
        <f t="shared" si="114"/>
        <v>5</v>
      </c>
      <c r="Y1590" s="95">
        <f t="shared" si="115"/>
        <v>2022</v>
      </c>
      <c r="Z1590" s="103" t="s">
        <v>265</v>
      </c>
      <c r="AA1590" t="str">
        <f>IF(Tabla1[[#This Row],[Kerma en aire acumulada (Gy)]]&gt;1,SUMIF(G:G,Tabla1[[#This Row],[SIP]],I:I)-Tabla1[[#This Row],[Kerma en aire acumulada (Gy)]],"")</f>
        <v/>
      </c>
    </row>
    <row r="1591" spans="3:27">
      <c r="C1591" s="147" t="s">
        <v>1088</v>
      </c>
      <c r="D1591" s="134" t="s">
        <v>2808</v>
      </c>
      <c r="E1591" s="134"/>
      <c r="F1591" s="134" t="s">
        <v>2809</v>
      </c>
      <c r="G1591" s="134">
        <v>6935978</v>
      </c>
      <c r="H1591" s="135">
        <v>44691</v>
      </c>
      <c r="I1591" s="134">
        <v>0.69006000000000001</v>
      </c>
      <c r="J1591" s="145"/>
      <c r="K1591" s="145"/>
      <c r="L1591" s="145"/>
      <c r="M1591" s="145"/>
      <c r="N1591" s="145"/>
      <c r="O1591" s="145"/>
      <c r="P1591" s="145"/>
      <c r="Q1591" s="145"/>
      <c r="R1591" s="145"/>
      <c r="S1591" s="145"/>
      <c r="T1591" s="135">
        <v>27013</v>
      </c>
      <c r="U1591" s="145"/>
      <c r="V1591" s="134" t="s">
        <v>563</v>
      </c>
      <c r="W1591" s="92" t="str">
        <f t="shared" si="113"/>
        <v>Rehman ,Abdul</v>
      </c>
      <c r="X1591" s="95">
        <f t="shared" si="114"/>
        <v>5</v>
      </c>
      <c r="Y1591" s="95">
        <f t="shared" si="115"/>
        <v>2022</v>
      </c>
      <c r="Z1591" s="136" t="s">
        <v>266</v>
      </c>
      <c r="AA1591" t="str">
        <f>IF(Tabla1[[#This Row],[Kerma en aire acumulada (Gy)]]&gt;1,SUMIF(G:G,Tabla1[[#This Row],[SIP]],I:I)-Tabla1[[#This Row],[Kerma en aire acumulada (Gy)]],"")</f>
        <v/>
      </c>
    </row>
    <row r="1592" spans="3:27">
      <c r="C1592" s="147" t="s">
        <v>1088</v>
      </c>
      <c r="D1592" s="134" t="s">
        <v>2810</v>
      </c>
      <c r="E1592" s="134"/>
      <c r="F1592" s="134" t="s">
        <v>2811</v>
      </c>
      <c r="G1592" s="134">
        <v>7578117</v>
      </c>
      <c r="H1592" s="135">
        <v>44691</v>
      </c>
      <c r="I1592" s="134">
        <v>0.10828</v>
      </c>
      <c r="J1592" s="145"/>
      <c r="K1592" s="145"/>
      <c r="L1592" s="145"/>
      <c r="M1592" s="145"/>
      <c r="N1592" s="145"/>
      <c r="O1592" s="145"/>
      <c r="P1592" s="145"/>
      <c r="Q1592" s="145"/>
      <c r="R1592" s="145"/>
      <c r="S1592" s="145"/>
      <c r="T1592" s="135">
        <v>25895</v>
      </c>
      <c r="U1592" s="145"/>
      <c r="V1592" s="134" t="s">
        <v>563</v>
      </c>
      <c r="W1592" s="92" t="str">
        <f t="shared" si="113"/>
        <v>Chen  ,Xu</v>
      </c>
      <c r="X1592" s="95">
        <f t="shared" si="114"/>
        <v>5</v>
      </c>
      <c r="Y1592" s="95">
        <f t="shared" si="115"/>
        <v>2022</v>
      </c>
      <c r="Z1592" s="136" t="s">
        <v>266</v>
      </c>
      <c r="AA1592" t="str">
        <f>IF(Tabla1[[#This Row],[Kerma en aire acumulada (Gy)]]&gt;1,SUMIF(G:G,Tabla1[[#This Row],[SIP]],I:I)-Tabla1[[#This Row],[Kerma en aire acumulada (Gy)]],"")</f>
        <v/>
      </c>
    </row>
    <row r="1593" spans="3:27">
      <c r="C1593" s="147" t="s">
        <v>1088</v>
      </c>
      <c r="D1593" s="134" t="s">
        <v>2812</v>
      </c>
      <c r="E1593" s="134" t="s">
        <v>2813</v>
      </c>
      <c r="F1593" s="134" t="s">
        <v>2814</v>
      </c>
      <c r="G1593" s="134">
        <v>6076704</v>
      </c>
      <c r="H1593" s="135">
        <v>44691</v>
      </c>
      <c r="I1593" s="134">
        <v>0.32458999999999999</v>
      </c>
      <c r="J1593" s="145"/>
      <c r="K1593" s="145"/>
      <c r="L1593" s="145"/>
      <c r="M1593" s="145"/>
      <c r="N1593" s="145"/>
      <c r="O1593" s="145"/>
      <c r="P1593" s="145"/>
      <c r="Q1593" s="145"/>
      <c r="R1593" s="145"/>
      <c r="S1593" s="145"/>
      <c r="T1593" s="135">
        <v>26528</v>
      </c>
      <c r="U1593" s="145"/>
      <c r="V1593" s="134" t="s">
        <v>563</v>
      </c>
      <c r="W1593" s="92" t="str">
        <f t="shared" si="113"/>
        <v>Hermida Arevalos,Osmar Nicolas</v>
      </c>
      <c r="X1593" s="95">
        <f t="shared" si="114"/>
        <v>5</v>
      </c>
      <c r="Y1593" s="95">
        <f t="shared" si="115"/>
        <v>2022</v>
      </c>
      <c r="Z1593" s="136" t="s">
        <v>266</v>
      </c>
      <c r="AA1593" t="str">
        <f>IF(Tabla1[[#This Row],[Kerma en aire acumulada (Gy)]]&gt;1,SUMIF(G:G,Tabla1[[#This Row],[SIP]],I:I)-Tabla1[[#This Row],[Kerma en aire acumulada (Gy)]],"")</f>
        <v/>
      </c>
    </row>
    <row r="1594" spans="3:27">
      <c r="C1594" s="147" t="s">
        <v>1088</v>
      </c>
      <c r="D1594" s="134" t="s">
        <v>2452</v>
      </c>
      <c r="E1594" s="134" t="s">
        <v>2837</v>
      </c>
      <c r="F1594" s="134" t="s">
        <v>369</v>
      </c>
      <c r="G1594" s="134">
        <v>3198508</v>
      </c>
      <c r="H1594" s="135">
        <v>44691</v>
      </c>
      <c r="I1594" s="134">
        <v>0.131989</v>
      </c>
      <c r="J1594" s="145"/>
      <c r="K1594" s="145"/>
      <c r="L1594" s="145"/>
      <c r="M1594" s="145"/>
      <c r="N1594" s="145"/>
      <c r="O1594" s="145"/>
      <c r="P1594" s="145"/>
      <c r="Q1594" s="145"/>
      <c r="R1594" s="145"/>
      <c r="S1594" s="145"/>
      <c r="T1594" s="135">
        <v>20235</v>
      </c>
      <c r="U1594" s="145"/>
      <c r="V1594" s="134" t="s">
        <v>563</v>
      </c>
      <c r="W1594" s="92" t="str">
        <f t="shared" si="113"/>
        <v>Ribes Sebastia,Alejandro</v>
      </c>
      <c r="X1594" s="95">
        <f t="shared" si="114"/>
        <v>5</v>
      </c>
      <c r="Y1594" s="95">
        <f t="shared" si="115"/>
        <v>2022</v>
      </c>
      <c r="Z1594" s="136" t="s">
        <v>266</v>
      </c>
      <c r="AA1594" t="str">
        <f>IF(Tabla1[[#This Row],[Kerma en aire acumulada (Gy)]]&gt;1,SUMIF(G:G,Tabla1[[#This Row],[SIP]],I:I)-Tabla1[[#This Row],[Kerma en aire acumulada (Gy)]],"")</f>
        <v/>
      </c>
    </row>
    <row r="1595" spans="3:27">
      <c r="C1595" s="147" t="s">
        <v>1088</v>
      </c>
      <c r="D1595" s="134" t="s">
        <v>2854</v>
      </c>
      <c r="E1595" s="134" t="s">
        <v>1261</v>
      </c>
      <c r="F1595" s="134" t="s">
        <v>991</v>
      </c>
      <c r="G1595" s="134">
        <v>3191765</v>
      </c>
      <c r="H1595" s="135">
        <v>44691</v>
      </c>
      <c r="I1595" s="134">
        <v>4.1700000000000001E-2</v>
      </c>
      <c r="J1595" s="145"/>
      <c r="K1595" s="145"/>
      <c r="L1595" s="145"/>
      <c r="M1595" s="145"/>
      <c r="N1595" s="145"/>
      <c r="O1595" s="145"/>
      <c r="P1595" s="145"/>
      <c r="Q1595" s="145"/>
      <c r="R1595" s="145"/>
      <c r="S1595" s="145"/>
      <c r="T1595" s="135">
        <v>17450</v>
      </c>
      <c r="U1595" s="145"/>
      <c r="V1595" s="134" t="s">
        <v>2237</v>
      </c>
      <c r="W1595" s="92" t="str">
        <f t="shared" si="113"/>
        <v>Puche Hernandez,Jose</v>
      </c>
      <c r="X1595" s="95">
        <f t="shared" si="114"/>
        <v>5</v>
      </c>
      <c r="Y1595" s="95">
        <f t="shared" si="115"/>
        <v>2022</v>
      </c>
      <c r="Z1595" s="136" t="s">
        <v>2238</v>
      </c>
      <c r="AA1595" t="str">
        <f>IF(Tabla1[[#This Row],[Kerma en aire acumulada (Gy)]]&gt;1,SUMIF(G:G,Tabla1[[#This Row],[SIP]],I:I)-Tabla1[[#This Row],[Kerma en aire acumulada (Gy)]],"")</f>
        <v/>
      </c>
    </row>
    <row r="1596" spans="3:27">
      <c r="C1596" s="147" t="s">
        <v>1088</v>
      </c>
      <c r="D1596" s="134" t="s">
        <v>772</v>
      </c>
      <c r="E1596" s="134" t="s">
        <v>2308</v>
      </c>
      <c r="F1596" s="134" t="s">
        <v>2777</v>
      </c>
      <c r="G1596" s="134">
        <v>2236766</v>
      </c>
      <c r="H1596" s="135">
        <v>44692</v>
      </c>
      <c r="I1596" s="134">
        <v>5.1399999999999996E-3</v>
      </c>
      <c r="J1596" s="145"/>
      <c r="K1596" s="145"/>
      <c r="L1596" s="145"/>
      <c r="M1596" s="145"/>
      <c r="N1596" s="145"/>
      <c r="O1596" s="145"/>
      <c r="P1596" s="145"/>
      <c r="Q1596" s="145"/>
      <c r="R1596" s="145"/>
      <c r="S1596" s="145"/>
      <c r="T1596" s="135">
        <v>14975</v>
      </c>
      <c r="U1596" s="145"/>
      <c r="V1596" s="134" t="s">
        <v>503</v>
      </c>
      <c r="W1596" s="92" t="str">
        <f t="shared" si="113"/>
        <v>Sanchez Rozalen,Liberto</v>
      </c>
      <c r="X1596" s="95">
        <f t="shared" si="114"/>
        <v>5</v>
      </c>
      <c r="Y1596" s="95">
        <f t="shared" si="115"/>
        <v>2022</v>
      </c>
      <c r="Z1596" s="103" t="s">
        <v>265</v>
      </c>
      <c r="AA1596" t="str">
        <f>IF(Tabla1[[#This Row],[Kerma en aire acumulada (Gy)]]&gt;1,SUMIF(G:G,Tabla1[[#This Row],[SIP]],I:I)-Tabla1[[#This Row],[Kerma en aire acumulada (Gy)]],"")</f>
        <v/>
      </c>
    </row>
    <row r="1597" spans="3:27">
      <c r="C1597" s="147" t="s">
        <v>1088</v>
      </c>
      <c r="D1597" s="134" t="s">
        <v>2414</v>
      </c>
      <c r="E1597" s="134" t="s">
        <v>1001</v>
      </c>
      <c r="F1597" s="134" t="s">
        <v>2405</v>
      </c>
      <c r="G1597" s="134">
        <v>1626399</v>
      </c>
      <c r="H1597" s="135">
        <v>44692</v>
      </c>
      <c r="I1597" s="134">
        <v>1.2999999999999999E-3</v>
      </c>
      <c r="J1597" s="145"/>
      <c r="K1597" s="145"/>
      <c r="L1597" s="145"/>
      <c r="M1597" s="145"/>
      <c r="N1597" s="145"/>
      <c r="O1597" s="145"/>
      <c r="P1597" s="145"/>
      <c r="Q1597" s="145"/>
      <c r="R1597" s="145"/>
      <c r="S1597" s="145"/>
      <c r="T1597" s="135">
        <v>19155</v>
      </c>
      <c r="U1597" s="145"/>
      <c r="V1597" s="134" t="s">
        <v>1312</v>
      </c>
      <c r="W1597" s="92" t="str">
        <f t="shared" si="113"/>
        <v>Bernabe Perez,Jose Antonio</v>
      </c>
      <c r="X1597" s="95">
        <f t="shared" si="114"/>
        <v>5</v>
      </c>
      <c r="Y1597" s="95">
        <f t="shared" si="115"/>
        <v>2022</v>
      </c>
      <c r="Z1597" s="103" t="s">
        <v>265</v>
      </c>
      <c r="AA1597" t="str">
        <f>IF(Tabla1[[#This Row],[Kerma en aire acumulada (Gy)]]&gt;1,SUMIF(G:G,Tabla1[[#This Row],[SIP]],I:I)-Tabla1[[#This Row],[Kerma en aire acumulada (Gy)]],"")</f>
        <v/>
      </c>
    </row>
    <row r="1598" spans="3:27">
      <c r="C1598" s="147" t="s">
        <v>1088</v>
      </c>
      <c r="D1598" s="134" t="s">
        <v>2533</v>
      </c>
      <c r="E1598" s="134" t="s">
        <v>1261</v>
      </c>
      <c r="F1598" s="134" t="s">
        <v>2778</v>
      </c>
      <c r="G1598" s="134">
        <v>3142380</v>
      </c>
      <c r="H1598" s="135">
        <v>44692</v>
      </c>
      <c r="I1598" s="134">
        <v>0.71128000000000002</v>
      </c>
      <c r="J1598" s="145"/>
      <c r="K1598" s="145"/>
      <c r="L1598" s="145"/>
      <c r="M1598" s="145"/>
      <c r="N1598" s="145"/>
      <c r="O1598" s="145"/>
      <c r="P1598" s="145"/>
      <c r="Q1598" s="145"/>
      <c r="R1598" s="145"/>
      <c r="S1598" s="145"/>
      <c r="T1598" s="135">
        <v>12452</v>
      </c>
      <c r="U1598" s="145"/>
      <c r="V1598" s="134" t="s">
        <v>1233</v>
      </c>
      <c r="W1598" s="92" t="str">
        <f t="shared" si="113"/>
        <v>Dobon Hernandez,Purificacion</v>
      </c>
      <c r="X1598" s="95">
        <f t="shared" si="114"/>
        <v>5</v>
      </c>
      <c r="Y1598" s="95">
        <f t="shared" si="115"/>
        <v>2022</v>
      </c>
      <c r="Z1598" s="103" t="s">
        <v>265</v>
      </c>
      <c r="AA1598" t="str">
        <f>IF(Tabla1[[#This Row],[Kerma en aire acumulada (Gy)]]&gt;1,SUMIF(G:G,Tabla1[[#This Row],[SIP]],I:I)-Tabla1[[#This Row],[Kerma en aire acumulada (Gy)]],"")</f>
        <v/>
      </c>
    </row>
    <row r="1599" spans="3:27">
      <c r="C1599" s="147" t="s">
        <v>1088</v>
      </c>
      <c r="D1599" s="134" t="s">
        <v>2606</v>
      </c>
      <c r="E1599" s="134" t="s">
        <v>2790</v>
      </c>
      <c r="F1599" s="134" t="s">
        <v>1621</v>
      </c>
      <c r="G1599" s="134">
        <v>1858314</v>
      </c>
      <c r="H1599" s="135">
        <v>44692</v>
      </c>
      <c r="I1599" s="134">
        <v>5.2339999999999998E-2</v>
      </c>
      <c r="J1599" s="145"/>
      <c r="K1599" s="145"/>
      <c r="L1599" s="145"/>
      <c r="M1599" s="145"/>
      <c r="N1599" s="145"/>
      <c r="O1599" s="145"/>
      <c r="P1599" s="145"/>
      <c r="Q1599" s="145"/>
      <c r="R1599" s="145"/>
      <c r="S1599" s="145"/>
      <c r="T1599" s="135">
        <v>14489</v>
      </c>
      <c r="U1599" s="145"/>
      <c r="V1599" s="134" t="s">
        <v>502</v>
      </c>
      <c r="W1599" s="92" t="str">
        <f t="shared" si="113"/>
        <v>Luz Chanza,Ramon</v>
      </c>
      <c r="X1599" s="95">
        <f t="shared" si="114"/>
        <v>5</v>
      </c>
      <c r="Y1599" s="95">
        <f t="shared" si="115"/>
        <v>2022</v>
      </c>
      <c r="Z1599" s="103" t="s">
        <v>265</v>
      </c>
      <c r="AA1599" t="str">
        <f>IF(Tabla1[[#This Row],[Kerma en aire acumulada (Gy)]]&gt;1,SUMIF(G:G,Tabla1[[#This Row],[SIP]],I:I)-Tabla1[[#This Row],[Kerma en aire acumulada (Gy)]],"")</f>
        <v/>
      </c>
    </row>
    <row r="1600" spans="3:27">
      <c r="C1600" s="147" t="s">
        <v>1088</v>
      </c>
      <c r="D1600" s="134" t="s">
        <v>1760</v>
      </c>
      <c r="E1600" s="134" t="s">
        <v>22</v>
      </c>
      <c r="F1600" s="134" t="s">
        <v>2791</v>
      </c>
      <c r="G1600" s="134">
        <v>2868715</v>
      </c>
      <c r="H1600" s="135">
        <v>44692</v>
      </c>
      <c r="I1600" s="134">
        <v>1.00149</v>
      </c>
      <c r="J1600" s="145"/>
      <c r="K1600" s="145"/>
      <c r="L1600" s="145"/>
      <c r="M1600" s="145"/>
      <c r="N1600" s="145"/>
      <c r="O1600" s="145"/>
      <c r="P1600" s="145"/>
      <c r="Q1600" s="145"/>
      <c r="R1600" s="145"/>
      <c r="S1600" s="145"/>
      <c r="T1600" s="135">
        <v>18181</v>
      </c>
      <c r="U1600" s="145"/>
      <c r="V1600" s="134" t="s">
        <v>173</v>
      </c>
      <c r="W1600" s="92" t="str">
        <f t="shared" si="113"/>
        <v>Exposito Ruiz,M Mercedes</v>
      </c>
      <c r="X1600" s="95">
        <f t="shared" si="114"/>
        <v>5</v>
      </c>
      <c r="Y1600" s="95">
        <f t="shared" si="115"/>
        <v>2022</v>
      </c>
      <c r="Z1600" s="103" t="s">
        <v>265</v>
      </c>
      <c r="AA1600">
        <f>IF(Tabla1[[#This Row],[Kerma en aire acumulada (Gy)]]&gt;1,SUMIF(G:G,Tabla1[[#This Row],[SIP]],I:I)-Tabla1[[#This Row],[Kerma en aire acumulada (Gy)]],"")</f>
        <v>0</v>
      </c>
    </row>
    <row r="1601" spans="3:27">
      <c r="C1601" s="147" t="s">
        <v>1088</v>
      </c>
      <c r="D1601" s="134" t="s">
        <v>2804</v>
      </c>
      <c r="E1601" s="134" t="s">
        <v>840</v>
      </c>
      <c r="F1601" s="134" t="s">
        <v>375</v>
      </c>
      <c r="G1601" s="134">
        <v>3793427</v>
      </c>
      <c r="H1601" s="135">
        <v>44692</v>
      </c>
      <c r="I1601" s="134">
        <v>0.27305000000000001</v>
      </c>
      <c r="J1601" s="145"/>
      <c r="K1601" s="145"/>
      <c r="L1601" s="145"/>
      <c r="M1601" s="145"/>
      <c r="N1601" s="145"/>
      <c r="O1601" s="145"/>
      <c r="P1601" s="145"/>
      <c r="Q1601" s="145"/>
      <c r="R1601" s="145"/>
      <c r="S1601" s="145"/>
      <c r="T1601" s="135">
        <v>22360</v>
      </c>
      <c r="U1601" s="145"/>
      <c r="V1601" s="134" t="s">
        <v>563</v>
      </c>
      <c r="W1601" s="92" t="str">
        <f t="shared" si="113"/>
        <v>Gabarre Santiago,Alberto</v>
      </c>
      <c r="X1601" s="95">
        <f t="shared" si="114"/>
        <v>5</v>
      </c>
      <c r="Y1601" s="95">
        <f t="shared" si="115"/>
        <v>2022</v>
      </c>
      <c r="Z1601" s="136" t="s">
        <v>266</v>
      </c>
      <c r="AA1601" t="str">
        <f>IF(Tabla1[[#This Row],[Kerma en aire acumulada (Gy)]]&gt;1,SUMIF(G:G,Tabla1[[#This Row],[SIP]],I:I)-Tabla1[[#This Row],[Kerma en aire acumulada (Gy)]],"")</f>
        <v/>
      </c>
    </row>
    <row r="1602" spans="3:27">
      <c r="C1602" s="147" t="s">
        <v>1088</v>
      </c>
      <c r="D1602" s="134" t="s">
        <v>6</v>
      </c>
      <c r="E1602" s="134" t="s">
        <v>2805</v>
      </c>
      <c r="F1602" s="134" t="s">
        <v>322</v>
      </c>
      <c r="G1602" s="134">
        <v>2982120</v>
      </c>
      <c r="H1602" s="135">
        <v>44692</v>
      </c>
      <c r="I1602" s="134">
        <v>0.37123</v>
      </c>
      <c r="J1602" s="145"/>
      <c r="K1602" s="145"/>
      <c r="L1602" s="145"/>
      <c r="M1602" s="145"/>
      <c r="N1602" s="145"/>
      <c r="O1602" s="145"/>
      <c r="P1602" s="145"/>
      <c r="Q1602" s="145"/>
      <c r="R1602" s="145"/>
      <c r="S1602" s="145"/>
      <c r="T1602" s="135">
        <v>16357</v>
      </c>
      <c r="U1602" s="145"/>
      <c r="V1602" s="134" t="s">
        <v>563</v>
      </c>
      <c r="W1602" s="92" t="str">
        <f t="shared" si="113"/>
        <v>Ortega Modrego,Juana</v>
      </c>
      <c r="X1602" s="95">
        <f t="shared" si="114"/>
        <v>5</v>
      </c>
      <c r="Y1602" s="95">
        <f t="shared" si="115"/>
        <v>2022</v>
      </c>
      <c r="Z1602" s="136" t="s">
        <v>266</v>
      </c>
      <c r="AA1602" t="str">
        <f>IF(Tabla1[[#This Row],[Kerma en aire acumulada (Gy)]]&gt;1,SUMIF(G:G,Tabla1[[#This Row],[SIP]],I:I)-Tabla1[[#This Row],[Kerma en aire acumulada (Gy)]],"")</f>
        <v/>
      </c>
    </row>
    <row r="1603" spans="3:27">
      <c r="C1603" s="147" t="s">
        <v>1088</v>
      </c>
      <c r="D1603" s="134" t="s">
        <v>2806</v>
      </c>
      <c r="E1603" s="134" t="s">
        <v>2262</v>
      </c>
      <c r="F1603" s="134" t="s">
        <v>2807</v>
      </c>
      <c r="G1603" s="134">
        <v>4993346</v>
      </c>
      <c r="H1603" s="135">
        <v>44692</v>
      </c>
      <c r="I1603" s="134">
        <v>0.35219</v>
      </c>
      <c r="J1603" s="145"/>
      <c r="K1603" s="145"/>
      <c r="L1603" s="145"/>
      <c r="M1603" s="145"/>
      <c r="N1603" s="145"/>
      <c r="O1603" s="145"/>
      <c r="P1603" s="145"/>
      <c r="Q1603" s="145"/>
      <c r="R1603" s="145"/>
      <c r="S1603" s="145"/>
      <c r="T1603" s="135">
        <v>20071</v>
      </c>
      <c r="U1603" s="145"/>
      <c r="V1603" s="134" t="s">
        <v>563</v>
      </c>
      <c r="W1603" s="92" t="str">
        <f t="shared" si="113"/>
        <v>Caldetey MArtinez,Miguel Fernando</v>
      </c>
      <c r="X1603" s="95">
        <f t="shared" si="114"/>
        <v>5</v>
      </c>
      <c r="Y1603" s="95">
        <f t="shared" si="115"/>
        <v>2022</v>
      </c>
      <c r="Z1603" s="136" t="s">
        <v>266</v>
      </c>
      <c r="AA1603" t="str">
        <f>IF(Tabla1[[#This Row],[Kerma en aire acumulada (Gy)]]&gt;1,SUMIF(G:G,Tabla1[[#This Row],[SIP]],I:I)-Tabla1[[#This Row],[Kerma en aire acumulada (Gy)]],"")</f>
        <v/>
      </c>
    </row>
    <row r="1604" spans="3:27">
      <c r="C1604" s="147" t="s">
        <v>1088</v>
      </c>
      <c r="D1604" s="134" t="s">
        <v>1759</v>
      </c>
      <c r="E1604" s="134" t="s">
        <v>2832</v>
      </c>
      <c r="F1604" s="134" t="s">
        <v>377</v>
      </c>
      <c r="G1604" s="134">
        <v>3168212</v>
      </c>
      <c r="H1604" s="135">
        <v>44692</v>
      </c>
      <c r="I1604" s="134">
        <v>0.27923999999999999</v>
      </c>
      <c r="J1604" s="145"/>
      <c r="K1604" s="145"/>
      <c r="L1604" s="145"/>
      <c r="M1604" s="145"/>
      <c r="N1604" s="145"/>
      <c r="O1604" s="145"/>
      <c r="P1604" s="145"/>
      <c r="Q1604" s="145"/>
      <c r="R1604" s="145"/>
      <c r="S1604" s="145"/>
      <c r="T1604" s="135">
        <v>14070</v>
      </c>
      <c r="U1604" s="145"/>
      <c r="V1604" s="134" t="s">
        <v>563</v>
      </c>
      <c r="W1604" s="92" t="str">
        <f t="shared" si="113"/>
        <v>Martin Montorio,Pilar</v>
      </c>
      <c r="X1604" s="95">
        <f t="shared" si="114"/>
        <v>5</v>
      </c>
      <c r="Y1604" s="95">
        <f t="shared" si="115"/>
        <v>2022</v>
      </c>
      <c r="Z1604" s="136" t="s">
        <v>266</v>
      </c>
      <c r="AA1604" t="str">
        <f>IF(Tabla1[[#This Row],[Kerma en aire acumulada (Gy)]]&gt;1,SUMIF(G:G,Tabla1[[#This Row],[SIP]],I:I)-Tabla1[[#This Row],[Kerma en aire acumulada (Gy)]],"")</f>
        <v/>
      </c>
    </row>
    <row r="1605" spans="3:27">
      <c r="C1605" s="147" t="s">
        <v>1088</v>
      </c>
      <c r="D1605" s="134" t="s">
        <v>2833</v>
      </c>
      <c r="E1605" s="134" t="s">
        <v>319</v>
      </c>
      <c r="F1605" s="134" t="s">
        <v>2834</v>
      </c>
      <c r="G1605" s="134">
        <v>2868875</v>
      </c>
      <c r="H1605" s="135">
        <v>44692</v>
      </c>
      <c r="I1605" s="134">
        <v>0.50780999999999998</v>
      </c>
      <c r="J1605" s="145"/>
      <c r="K1605" s="145"/>
      <c r="L1605" s="145"/>
      <c r="M1605" s="145"/>
      <c r="N1605" s="145"/>
      <c r="O1605" s="145"/>
      <c r="P1605" s="145"/>
      <c r="Q1605" s="145"/>
      <c r="R1605" s="145"/>
      <c r="S1605" s="145"/>
      <c r="T1605" s="135">
        <v>19085</v>
      </c>
      <c r="U1605" s="145"/>
      <c r="V1605" s="134" t="s">
        <v>563</v>
      </c>
      <c r="W1605" s="92" t="str">
        <f t="shared" si="113"/>
        <v>Cotillas Gonzalez,J Enrique</v>
      </c>
      <c r="X1605" s="95">
        <f t="shared" si="114"/>
        <v>5</v>
      </c>
      <c r="Y1605" s="95">
        <f t="shared" si="115"/>
        <v>2022</v>
      </c>
      <c r="Z1605" s="136" t="s">
        <v>266</v>
      </c>
      <c r="AA1605" t="str">
        <f>IF(Tabla1[[#This Row],[Kerma en aire acumulada (Gy)]]&gt;1,SUMIF(G:G,Tabla1[[#This Row],[SIP]],I:I)-Tabla1[[#This Row],[Kerma en aire acumulada (Gy)]],"")</f>
        <v/>
      </c>
    </row>
    <row r="1606" spans="3:27">
      <c r="C1606" s="147" t="s">
        <v>1088</v>
      </c>
      <c r="D1606" s="134" t="s">
        <v>2835</v>
      </c>
      <c r="E1606" s="134" t="s">
        <v>1837</v>
      </c>
      <c r="F1606" s="134" t="s">
        <v>2117</v>
      </c>
      <c r="G1606" s="134">
        <v>2902534</v>
      </c>
      <c r="H1606" s="135">
        <v>44692</v>
      </c>
      <c r="I1606" s="134">
        <v>0.13478000000000001</v>
      </c>
      <c r="J1606" s="145"/>
      <c r="K1606" s="145"/>
      <c r="L1606" s="145"/>
      <c r="M1606" s="145"/>
      <c r="N1606" s="145"/>
      <c r="O1606" s="145"/>
      <c r="P1606" s="145"/>
      <c r="Q1606" s="145"/>
      <c r="R1606" s="145"/>
      <c r="S1606" s="145"/>
      <c r="T1606" s="135">
        <v>18467</v>
      </c>
      <c r="U1606" s="145"/>
      <c r="V1606" s="134" t="s">
        <v>563</v>
      </c>
      <c r="W1606" s="92" t="str">
        <f t="shared" si="113"/>
        <v>Bronchal Rodriguez,M Pilar</v>
      </c>
      <c r="X1606" s="95">
        <f t="shared" si="114"/>
        <v>5</v>
      </c>
      <c r="Y1606" s="95">
        <f t="shared" si="115"/>
        <v>2022</v>
      </c>
      <c r="Z1606" s="136" t="s">
        <v>266</v>
      </c>
      <c r="AA1606" t="str">
        <f>IF(Tabla1[[#This Row],[Kerma en aire acumulada (Gy)]]&gt;1,SUMIF(G:G,Tabla1[[#This Row],[SIP]],I:I)-Tabla1[[#This Row],[Kerma en aire acumulada (Gy)]],"")</f>
        <v/>
      </c>
    </row>
    <row r="1607" spans="3:27">
      <c r="C1607" s="147" t="s">
        <v>1088</v>
      </c>
      <c r="D1607" s="134" t="s">
        <v>22</v>
      </c>
      <c r="E1607" s="134" t="s">
        <v>915</v>
      </c>
      <c r="F1607" s="134" t="s">
        <v>2836</v>
      </c>
      <c r="G1607" s="134">
        <v>2409850</v>
      </c>
      <c r="H1607" s="135">
        <v>44692</v>
      </c>
      <c r="I1607" s="134">
        <v>8.2780999999999993E-2</v>
      </c>
      <c r="J1607" s="145"/>
      <c r="K1607" s="145"/>
      <c r="L1607" s="145"/>
      <c r="M1607" s="145"/>
      <c r="N1607" s="145"/>
      <c r="O1607" s="145"/>
      <c r="P1607" s="145"/>
      <c r="Q1607" s="145"/>
      <c r="R1607" s="145"/>
      <c r="S1607" s="145"/>
      <c r="T1607" s="135">
        <v>23415</v>
      </c>
      <c r="U1607" s="145"/>
      <c r="V1607" s="134" t="s">
        <v>563</v>
      </c>
      <c r="W1607" s="92" t="str">
        <f t="shared" si="113"/>
        <v>Ruiz Gimenez,Martina</v>
      </c>
      <c r="X1607" s="95">
        <f t="shared" si="114"/>
        <v>5</v>
      </c>
      <c r="Y1607" s="95">
        <f t="shared" si="115"/>
        <v>2022</v>
      </c>
      <c r="Z1607" s="136" t="s">
        <v>266</v>
      </c>
      <c r="AA1607" t="str">
        <f>IF(Tabla1[[#This Row],[Kerma en aire acumulada (Gy)]]&gt;1,SUMIF(G:G,Tabla1[[#This Row],[SIP]],I:I)-Tabla1[[#This Row],[Kerma en aire acumulada (Gy)]],"")</f>
        <v/>
      </c>
    </row>
    <row r="1608" spans="3:27">
      <c r="C1608" s="147" t="s">
        <v>1088</v>
      </c>
      <c r="D1608" s="134" t="s">
        <v>915</v>
      </c>
      <c r="E1608" s="134" t="s">
        <v>319</v>
      </c>
      <c r="F1608" s="134" t="s">
        <v>356</v>
      </c>
      <c r="G1608" s="134">
        <v>4735959</v>
      </c>
      <c r="H1608" s="135">
        <v>44692</v>
      </c>
      <c r="I1608" s="134">
        <v>1.6108</v>
      </c>
      <c r="J1608" s="145"/>
      <c r="K1608" s="145"/>
      <c r="L1608" s="145"/>
      <c r="M1608" s="145"/>
      <c r="N1608" s="145"/>
      <c r="O1608" s="145"/>
      <c r="P1608" s="145"/>
      <c r="Q1608" s="145"/>
      <c r="R1608" s="145"/>
      <c r="S1608" s="145"/>
      <c r="T1608" s="135">
        <v>20542</v>
      </c>
      <c r="U1608" s="145"/>
      <c r="V1608" s="134" t="s">
        <v>563</v>
      </c>
      <c r="W1608" s="92" t="str">
        <f t="shared" si="113"/>
        <v>Gimenez Gonzalez,Manuel</v>
      </c>
      <c r="X1608" s="95">
        <f t="shared" si="114"/>
        <v>5</v>
      </c>
      <c r="Y1608" s="95">
        <f t="shared" si="115"/>
        <v>2022</v>
      </c>
      <c r="Z1608" s="136" t="s">
        <v>266</v>
      </c>
      <c r="AA1608">
        <f>IF(Tabla1[[#This Row],[Kerma en aire acumulada (Gy)]]&gt;1,SUMIF(G:G,Tabla1[[#This Row],[SIP]],I:I)-Tabla1[[#This Row],[Kerma en aire acumulada (Gy)]],"")</f>
        <v>0</v>
      </c>
    </row>
    <row r="1609" spans="3:27">
      <c r="C1609" s="147" t="s">
        <v>1108</v>
      </c>
      <c r="D1609" s="134" t="s">
        <v>2851</v>
      </c>
      <c r="E1609" s="134" t="s">
        <v>2852</v>
      </c>
      <c r="F1609" s="134" t="s">
        <v>2853</v>
      </c>
      <c r="G1609" s="134">
        <v>7912925</v>
      </c>
      <c r="H1609" s="135">
        <v>44692</v>
      </c>
      <c r="I1609" s="134">
        <v>3.13E-3</v>
      </c>
      <c r="J1609" s="145"/>
      <c r="K1609" s="145"/>
      <c r="L1609" s="145"/>
      <c r="M1609" s="145"/>
      <c r="N1609" s="145"/>
      <c r="O1609" s="145"/>
      <c r="P1609" s="145"/>
      <c r="Q1609" s="145"/>
      <c r="R1609" s="145"/>
      <c r="S1609" s="145"/>
      <c r="T1609" s="135">
        <v>40087</v>
      </c>
      <c r="U1609" s="145"/>
      <c r="V1609" s="134" t="s">
        <v>2237</v>
      </c>
      <c r="W1609" s="92" t="str">
        <f t="shared" si="113"/>
        <v>Miklosi Betrik,Violeta Kristzi</v>
      </c>
      <c r="X1609" s="95">
        <f t="shared" si="114"/>
        <v>5</v>
      </c>
      <c r="Y1609" s="95">
        <f t="shared" si="115"/>
        <v>2022</v>
      </c>
      <c r="Z1609" s="136" t="s">
        <v>2238</v>
      </c>
      <c r="AA1609" t="str">
        <f>IF(Tabla1[[#This Row],[Kerma en aire acumulada (Gy)]]&gt;1,SUMIF(G:G,Tabla1[[#This Row],[SIP]],I:I)-Tabla1[[#This Row],[Kerma en aire acumulada (Gy)]],"")</f>
        <v/>
      </c>
    </row>
    <row r="1610" spans="3:27">
      <c r="C1610" s="147" t="s">
        <v>1088</v>
      </c>
      <c r="D1610" s="134" t="s">
        <v>1721</v>
      </c>
      <c r="E1610" s="134" t="s">
        <v>1722</v>
      </c>
      <c r="F1610" s="134" t="s">
        <v>1112</v>
      </c>
      <c r="G1610" s="134">
        <v>2247191</v>
      </c>
      <c r="H1610" s="135">
        <v>44693</v>
      </c>
      <c r="I1610" s="134">
        <v>5.1560000000000002E-2</v>
      </c>
      <c r="J1610" s="145"/>
      <c r="K1610" s="145"/>
      <c r="L1610" s="145"/>
      <c r="M1610" s="145"/>
      <c r="N1610" s="145"/>
      <c r="O1610" s="145"/>
      <c r="P1610" s="145"/>
      <c r="Q1610" s="145"/>
      <c r="R1610" s="145"/>
      <c r="S1610" s="145"/>
      <c r="T1610" s="135">
        <v>13300</v>
      </c>
      <c r="U1610" s="145"/>
      <c r="V1610" s="134" t="s">
        <v>1921</v>
      </c>
      <c r="W1610" s="92" t="str">
        <f t="shared" si="113"/>
        <v>Requena Centellas,Ascension</v>
      </c>
      <c r="X1610" s="95">
        <f t="shared" si="114"/>
        <v>5</v>
      </c>
      <c r="Y1610" s="95">
        <f t="shared" si="115"/>
        <v>2022</v>
      </c>
      <c r="Z1610" s="103" t="s">
        <v>265</v>
      </c>
      <c r="AA1610" t="str">
        <f>IF(Tabla1[[#This Row],[Kerma en aire acumulada (Gy)]]&gt;1,SUMIF(G:G,Tabla1[[#This Row],[SIP]],I:I)-Tabla1[[#This Row],[Kerma en aire acumulada (Gy)]],"")</f>
        <v/>
      </c>
    </row>
    <row r="1611" spans="3:27">
      <c r="C1611" s="147" t="s">
        <v>1088</v>
      </c>
      <c r="D1611" s="134" t="s">
        <v>2142</v>
      </c>
      <c r="E1611" s="134" t="s">
        <v>116</v>
      </c>
      <c r="F1611" s="134" t="s">
        <v>356</v>
      </c>
      <c r="G1611" s="134">
        <v>3177475</v>
      </c>
      <c r="H1611" s="135">
        <v>44693</v>
      </c>
      <c r="I1611" s="134">
        <v>0.15017</v>
      </c>
      <c r="J1611" s="145"/>
      <c r="K1611" s="145"/>
      <c r="L1611" s="145"/>
      <c r="M1611" s="145"/>
      <c r="N1611" s="145"/>
      <c r="O1611" s="145"/>
      <c r="P1611" s="145"/>
      <c r="Q1611" s="145"/>
      <c r="R1611" s="145"/>
      <c r="S1611" s="145"/>
      <c r="T1611" s="135">
        <v>13024</v>
      </c>
      <c r="U1611" s="145"/>
      <c r="V1611" s="134" t="s">
        <v>107</v>
      </c>
      <c r="W1611" s="92" t="str">
        <f t="shared" si="113"/>
        <v>Andreo Serrano,Manuel</v>
      </c>
      <c r="X1611" s="95">
        <f t="shared" si="114"/>
        <v>5</v>
      </c>
      <c r="Y1611" s="95">
        <f t="shared" si="115"/>
        <v>2022</v>
      </c>
      <c r="Z1611" s="103" t="s">
        <v>265</v>
      </c>
      <c r="AA1611" t="str">
        <f>IF(Tabla1[[#This Row],[Kerma en aire acumulada (Gy)]]&gt;1,SUMIF(G:G,Tabla1[[#This Row],[SIP]],I:I)-Tabla1[[#This Row],[Kerma en aire acumulada (Gy)]],"")</f>
        <v/>
      </c>
    </row>
    <row r="1612" spans="3:27">
      <c r="C1612" s="147" t="s">
        <v>1088</v>
      </c>
      <c r="D1612" s="134" t="s">
        <v>2776</v>
      </c>
      <c r="E1612" s="134" t="s">
        <v>1098</v>
      </c>
      <c r="F1612" s="134" t="s">
        <v>1010</v>
      </c>
      <c r="G1612" s="134">
        <v>1857814</v>
      </c>
      <c r="H1612" s="135">
        <v>44693</v>
      </c>
      <c r="I1612" s="134">
        <v>0.10508000000000001</v>
      </c>
      <c r="J1612" s="145"/>
      <c r="K1612" s="145"/>
      <c r="L1612" s="145"/>
      <c r="M1612" s="145"/>
      <c r="N1612" s="145"/>
      <c r="O1612" s="145"/>
      <c r="P1612" s="145"/>
      <c r="Q1612" s="145"/>
      <c r="R1612" s="145"/>
      <c r="S1612" s="145"/>
      <c r="T1612" s="135">
        <v>16837</v>
      </c>
      <c r="U1612" s="145"/>
      <c r="V1612" s="134" t="s">
        <v>1233</v>
      </c>
      <c r="W1612" s="92" t="str">
        <f t="shared" si="113"/>
        <v>Marti  Moya,Bautista</v>
      </c>
      <c r="X1612" s="95">
        <f t="shared" si="114"/>
        <v>5</v>
      </c>
      <c r="Y1612" s="95">
        <f t="shared" si="115"/>
        <v>2022</v>
      </c>
      <c r="Z1612" s="103" t="s">
        <v>265</v>
      </c>
      <c r="AA1612" t="str">
        <f>IF(Tabla1[[#This Row],[Kerma en aire acumulada (Gy)]]&gt;1,SUMIF(G:G,Tabla1[[#This Row],[SIP]],I:I)-Tabla1[[#This Row],[Kerma en aire acumulada (Gy)]],"")</f>
        <v/>
      </c>
    </row>
    <row r="1613" spans="3:27">
      <c r="C1613" s="147" t="s">
        <v>1088</v>
      </c>
      <c r="D1613" s="134" t="s">
        <v>88</v>
      </c>
      <c r="E1613" s="134" t="s">
        <v>1587</v>
      </c>
      <c r="F1613" s="134" t="s">
        <v>2183</v>
      </c>
      <c r="G1613" s="134">
        <v>5260412</v>
      </c>
      <c r="H1613" s="135">
        <v>44693</v>
      </c>
      <c r="I1613" s="134">
        <v>5.8799999999999998E-2</v>
      </c>
      <c r="J1613" s="145"/>
      <c r="K1613" s="145"/>
      <c r="L1613" s="145"/>
      <c r="M1613" s="145"/>
      <c r="N1613" s="145"/>
      <c r="O1613" s="145"/>
      <c r="P1613" s="145"/>
      <c r="Q1613" s="145"/>
      <c r="R1613" s="145"/>
      <c r="S1613" s="145"/>
      <c r="T1613" s="135">
        <v>31229</v>
      </c>
      <c r="U1613" s="145"/>
      <c r="V1613" s="134" t="s">
        <v>2788</v>
      </c>
      <c r="W1613" s="92" t="str">
        <f t="shared" si="113"/>
        <v>Vicente Jimenez,Agustin</v>
      </c>
      <c r="X1613" s="95">
        <f t="shared" si="114"/>
        <v>5</v>
      </c>
      <c r="Y1613" s="95">
        <f t="shared" si="115"/>
        <v>2022</v>
      </c>
      <c r="Z1613" s="103" t="s">
        <v>265</v>
      </c>
      <c r="AA1613" t="str">
        <f>IF(Tabla1[[#This Row],[Kerma en aire acumulada (Gy)]]&gt;1,SUMIF(G:G,Tabla1[[#This Row],[SIP]],I:I)-Tabla1[[#This Row],[Kerma en aire acumulada (Gy)]],"")</f>
        <v/>
      </c>
    </row>
    <row r="1614" spans="3:27">
      <c r="C1614" s="147" t="s">
        <v>1088</v>
      </c>
      <c r="D1614" s="134" t="s">
        <v>1587</v>
      </c>
      <c r="E1614" s="134" t="s">
        <v>22</v>
      </c>
      <c r="F1614" s="134" t="s">
        <v>1104</v>
      </c>
      <c r="G1614" s="134">
        <v>2458489</v>
      </c>
      <c r="H1614" s="135">
        <v>44693</v>
      </c>
      <c r="I1614" s="134">
        <v>2.5999999999999998E-4</v>
      </c>
      <c r="J1614" s="145"/>
      <c r="K1614" s="145"/>
      <c r="L1614" s="145"/>
      <c r="M1614" s="145"/>
      <c r="N1614" s="145"/>
      <c r="O1614" s="145"/>
      <c r="P1614" s="145"/>
      <c r="Q1614" s="145"/>
      <c r="R1614" s="145"/>
      <c r="S1614" s="145"/>
      <c r="T1614" s="135">
        <v>17350</v>
      </c>
      <c r="U1614" s="145"/>
      <c r="V1614" s="134" t="s">
        <v>1300</v>
      </c>
      <c r="W1614" s="92" t="str">
        <f t="shared" si="113"/>
        <v>Jimenez Ruiz,Jose Luis</v>
      </c>
      <c r="X1614" s="95">
        <f t="shared" si="114"/>
        <v>5</v>
      </c>
      <c r="Y1614" s="95">
        <f t="shared" si="115"/>
        <v>2022</v>
      </c>
      <c r="Z1614" s="103" t="s">
        <v>265</v>
      </c>
      <c r="AA1614" t="str">
        <f>IF(Tabla1[[#This Row],[Kerma en aire acumulada (Gy)]]&gt;1,SUMIF(G:G,Tabla1[[#This Row],[SIP]],I:I)-Tabla1[[#This Row],[Kerma en aire acumulada (Gy)]],"")</f>
        <v/>
      </c>
    </row>
    <row r="1615" spans="3:27">
      <c r="C1615" s="147" t="s">
        <v>1088</v>
      </c>
      <c r="D1615" s="134" t="s">
        <v>82</v>
      </c>
      <c r="E1615" s="134" t="s">
        <v>2415</v>
      </c>
      <c r="F1615" s="134" t="s">
        <v>991</v>
      </c>
      <c r="G1615" s="134">
        <v>2484069</v>
      </c>
      <c r="H1615" s="135">
        <v>44693</v>
      </c>
      <c r="I1615" s="134">
        <v>0.16880999999999999</v>
      </c>
      <c r="J1615" s="145"/>
      <c r="K1615" s="145"/>
      <c r="L1615" s="145"/>
      <c r="M1615" s="145"/>
      <c r="N1615" s="145"/>
      <c r="O1615" s="145"/>
      <c r="P1615" s="145"/>
      <c r="Q1615" s="145"/>
      <c r="R1615" s="145"/>
      <c r="S1615" s="145"/>
      <c r="T1615" s="135">
        <v>31175</v>
      </c>
      <c r="U1615" s="145"/>
      <c r="V1615" s="134" t="s">
        <v>1214</v>
      </c>
      <c r="W1615" s="92" t="str">
        <f t="shared" si="113"/>
        <v>Pascual Miro,Jose</v>
      </c>
      <c r="X1615" s="95">
        <f t="shared" si="114"/>
        <v>5</v>
      </c>
      <c r="Y1615" s="95">
        <f t="shared" si="115"/>
        <v>2022</v>
      </c>
      <c r="Z1615" s="103" t="s">
        <v>265</v>
      </c>
      <c r="AA1615" t="str">
        <f>IF(Tabla1[[#This Row],[Kerma en aire acumulada (Gy)]]&gt;1,SUMIF(G:G,Tabla1[[#This Row],[SIP]],I:I)-Tabla1[[#This Row],[Kerma en aire acumulada (Gy)]],"")</f>
        <v/>
      </c>
    </row>
    <row r="1616" spans="3:27">
      <c r="C1616" s="147" t="s">
        <v>1088</v>
      </c>
      <c r="D1616" s="134" t="s">
        <v>620</v>
      </c>
      <c r="E1616" s="134" t="s">
        <v>1837</v>
      </c>
      <c r="F1616" s="134" t="s">
        <v>106</v>
      </c>
      <c r="G1616" s="134">
        <v>2317731</v>
      </c>
      <c r="H1616" s="135">
        <v>44693</v>
      </c>
      <c r="I1616" s="134">
        <v>1.541E-2</v>
      </c>
      <c r="J1616" s="145"/>
      <c r="K1616" s="145"/>
      <c r="L1616" s="145"/>
      <c r="M1616" s="145"/>
      <c r="N1616" s="145"/>
      <c r="O1616" s="145"/>
      <c r="P1616" s="145"/>
      <c r="Q1616" s="145"/>
      <c r="R1616" s="145"/>
      <c r="S1616" s="145"/>
      <c r="T1616" s="135">
        <v>14062</v>
      </c>
      <c r="U1616" s="145"/>
      <c r="V1616" s="134" t="s">
        <v>2789</v>
      </c>
      <c r="W1616" s="92" t="str">
        <f t="shared" si="113"/>
        <v>Cruz Rodriguez,Carmen</v>
      </c>
      <c r="X1616" s="95">
        <f t="shared" si="114"/>
        <v>5</v>
      </c>
      <c r="Y1616" s="95">
        <f t="shared" si="115"/>
        <v>2022</v>
      </c>
      <c r="Z1616" s="103" t="s">
        <v>265</v>
      </c>
      <c r="AA1616" t="str">
        <f>IF(Tabla1[[#This Row],[Kerma en aire acumulada (Gy)]]&gt;1,SUMIF(G:G,Tabla1[[#This Row],[SIP]],I:I)-Tabla1[[#This Row],[Kerma en aire acumulada (Gy)]],"")</f>
        <v/>
      </c>
    </row>
    <row r="1617" spans="3:27">
      <c r="C1617" s="147" t="s">
        <v>1088</v>
      </c>
      <c r="D1617" s="134" t="s">
        <v>2092</v>
      </c>
      <c r="E1617" s="134" t="s">
        <v>2803</v>
      </c>
      <c r="F1617" s="134" t="s">
        <v>1050</v>
      </c>
      <c r="G1617" s="134">
        <v>5334454</v>
      </c>
      <c r="H1617" s="135">
        <v>44693</v>
      </c>
      <c r="I1617" s="134">
        <v>1.06376</v>
      </c>
      <c r="J1617" s="145"/>
      <c r="K1617" s="145"/>
      <c r="L1617" s="145"/>
      <c r="M1617" s="145"/>
      <c r="N1617" s="145"/>
      <c r="O1617" s="145"/>
      <c r="P1617" s="145"/>
      <c r="Q1617" s="145"/>
      <c r="R1617" s="145"/>
      <c r="S1617" s="145"/>
      <c r="T1617" s="135">
        <v>26852</v>
      </c>
      <c r="U1617" s="145"/>
      <c r="V1617" s="134" t="s">
        <v>563</v>
      </c>
      <c r="W1617" s="92" t="str">
        <f t="shared" si="113"/>
        <v>Franco Invernon,Francisco Javier</v>
      </c>
      <c r="X1617" s="95">
        <f t="shared" si="114"/>
        <v>5</v>
      </c>
      <c r="Y1617" s="95">
        <f t="shared" si="115"/>
        <v>2022</v>
      </c>
      <c r="Z1617" s="136" t="s">
        <v>266</v>
      </c>
      <c r="AA1617">
        <f>IF(Tabla1[[#This Row],[Kerma en aire acumulada (Gy)]]&gt;1,SUMIF(G:G,Tabla1[[#This Row],[SIP]],I:I)-Tabla1[[#This Row],[Kerma en aire acumulada (Gy)]],"")</f>
        <v>0.45630999999999999</v>
      </c>
    </row>
    <row r="1618" spans="3:27">
      <c r="C1618" s="147" t="s">
        <v>1088</v>
      </c>
      <c r="D1618" s="134" t="s">
        <v>986</v>
      </c>
      <c r="E1618" s="134" t="s">
        <v>948</v>
      </c>
      <c r="F1618" s="134" t="s">
        <v>991</v>
      </c>
      <c r="G1618" s="134">
        <v>2267364</v>
      </c>
      <c r="H1618" s="135">
        <v>44693</v>
      </c>
      <c r="I1618" s="134">
        <v>0.76851000000000003</v>
      </c>
      <c r="J1618" s="145"/>
      <c r="K1618" s="145"/>
      <c r="L1618" s="145"/>
      <c r="M1618" s="145"/>
      <c r="N1618" s="145"/>
      <c r="O1618" s="145"/>
      <c r="P1618" s="145"/>
      <c r="Q1618" s="145"/>
      <c r="R1618" s="145"/>
      <c r="S1618" s="145"/>
      <c r="T1618" s="135">
        <v>17230</v>
      </c>
      <c r="U1618" s="145"/>
      <c r="V1618" s="134" t="s">
        <v>563</v>
      </c>
      <c r="W1618" s="92" t="str">
        <f t="shared" si="113"/>
        <v>Lluesma Martinez,Jose</v>
      </c>
      <c r="X1618" s="95">
        <f t="shared" si="114"/>
        <v>5</v>
      </c>
      <c r="Y1618" s="95">
        <f t="shared" si="115"/>
        <v>2022</v>
      </c>
      <c r="Z1618" s="136" t="s">
        <v>266</v>
      </c>
      <c r="AA1618" t="str">
        <f>IF(Tabla1[[#This Row],[Kerma en aire acumulada (Gy)]]&gt;1,SUMIF(G:G,Tabla1[[#This Row],[SIP]],I:I)-Tabla1[[#This Row],[Kerma en aire acumulada (Gy)]],"")</f>
        <v/>
      </c>
    </row>
    <row r="1619" spans="3:27">
      <c r="C1619" s="147" t="s">
        <v>1088</v>
      </c>
      <c r="D1619" s="134" t="s">
        <v>1844</v>
      </c>
      <c r="E1619" s="134" t="s">
        <v>2262</v>
      </c>
      <c r="F1619" s="134" t="s">
        <v>2484</v>
      </c>
      <c r="G1619" s="134">
        <v>2938646</v>
      </c>
      <c r="H1619" s="135">
        <v>44693</v>
      </c>
      <c r="I1619" s="134">
        <v>0.18104999999999999</v>
      </c>
      <c r="J1619" s="145"/>
      <c r="K1619" s="145"/>
      <c r="L1619" s="145"/>
      <c r="M1619" s="145"/>
      <c r="N1619" s="145"/>
      <c r="O1619" s="145"/>
      <c r="P1619" s="145"/>
      <c r="Q1619" s="145"/>
      <c r="R1619" s="145"/>
      <c r="S1619" s="145"/>
      <c r="T1619" s="135">
        <v>23426</v>
      </c>
      <c r="U1619" s="145"/>
      <c r="V1619" s="134" t="s">
        <v>563</v>
      </c>
      <c r="W1619" s="92" t="str">
        <f t="shared" si="113"/>
        <v>Miralles MArtinez,Juan Ramon</v>
      </c>
      <c r="X1619" s="95">
        <f t="shared" si="114"/>
        <v>5</v>
      </c>
      <c r="Y1619" s="95">
        <f t="shared" si="115"/>
        <v>2022</v>
      </c>
      <c r="Z1619" s="136" t="s">
        <v>266</v>
      </c>
      <c r="AA1619" t="str">
        <f>IF(Tabla1[[#This Row],[Kerma en aire acumulada (Gy)]]&gt;1,SUMIF(G:G,Tabla1[[#This Row],[SIP]],I:I)-Tabla1[[#This Row],[Kerma en aire acumulada (Gy)]],"")</f>
        <v/>
      </c>
    </row>
    <row r="1620" spans="3:27">
      <c r="C1620" s="147" t="s">
        <v>1088</v>
      </c>
      <c r="D1620" s="134" t="s">
        <v>2829</v>
      </c>
      <c r="E1620" s="134" t="s">
        <v>2097</v>
      </c>
      <c r="F1620" s="134" t="s">
        <v>28</v>
      </c>
      <c r="G1620" s="134">
        <v>1866555</v>
      </c>
      <c r="H1620" s="135">
        <v>44693</v>
      </c>
      <c r="I1620" s="134">
        <v>0.27198</v>
      </c>
      <c r="J1620" s="145"/>
      <c r="K1620" s="145"/>
      <c r="L1620" s="145"/>
      <c r="M1620" s="145"/>
      <c r="N1620" s="145"/>
      <c r="O1620" s="145"/>
      <c r="P1620" s="145"/>
      <c r="Q1620" s="145"/>
      <c r="R1620" s="145"/>
      <c r="S1620" s="145"/>
      <c r="T1620" s="135">
        <v>14236</v>
      </c>
      <c r="U1620" s="145"/>
      <c r="V1620" s="134" t="s">
        <v>563</v>
      </c>
      <c r="W1620" s="92" t="str">
        <f t="shared" si="113"/>
        <v>Grancha Verdeguer,Josefa</v>
      </c>
      <c r="X1620" s="95">
        <f t="shared" si="114"/>
        <v>5</v>
      </c>
      <c r="Y1620" s="95">
        <f t="shared" si="115"/>
        <v>2022</v>
      </c>
      <c r="Z1620" s="136" t="s">
        <v>266</v>
      </c>
      <c r="AA1620" t="str">
        <f>IF(Tabla1[[#This Row],[Kerma en aire acumulada (Gy)]]&gt;1,SUMIF(G:G,Tabla1[[#This Row],[SIP]],I:I)-Tabla1[[#This Row],[Kerma en aire acumulada (Gy)]],"")</f>
        <v/>
      </c>
    </row>
    <row r="1621" spans="3:27">
      <c r="C1621" s="147" t="s">
        <v>1088</v>
      </c>
      <c r="D1621" s="134" t="s">
        <v>2830</v>
      </c>
      <c r="E1621" s="134" t="s">
        <v>2831</v>
      </c>
      <c r="F1621" s="134" t="s">
        <v>562</v>
      </c>
      <c r="G1621" s="134">
        <v>4217785</v>
      </c>
      <c r="H1621" s="135">
        <v>44693</v>
      </c>
      <c r="I1621" s="134">
        <v>0.49118000000000001</v>
      </c>
      <c r="J1621" s="145"/>
      <c r="K1621" s="145"/>
      <c r="L1621" s="145"/>
      <c r="M1621" s="145"/>
      <c r="N1621" s="145"/>
      <c r="O1621" s="145"/>
      <c r="P1621" s="145"/>
      <c r="Q1621" s="145"/>
      <c r="R1621" s="145"/>
      <c r="S1621" s="145"/>
      <c r="T1621" s="135">
        <v>14233</v>
      </c>
      <c r="U1621" s="145"/>
      <c r="V1621" s="134" t="s">
        <v>563</v>
      </c>
      <c r="W1621" s="92" t="str">
        <f t="shared" si="113"/>
        <v>Alabau Perpiña,Rosa</v>
      </c>
      <c r="X1621" s="95">
        <f t="shared" si="114"/>
        <v>5</v>
      </c>
      <c r="Y1621" s="95">
        <f t="shared" si="115"/>
        <v>2022</v>
      </c>
      <c r="Z1621" s="136" t="s">
        <v>266</v>
      </c>
      <c r="AA1621" t="str">
        <f>IF(Tabla1[[#This Row],[Kerma en aire acumulada (Gy)]]&gt;1,SUMIF(G:G,Tabla1[[#This Row],[SIP]],I:I)-Tabla1[[#This Row],[Kerma en aire acumulada (Gy)]],"")</f>
        <v/>
      </c>
    </row>
    <row r="1622" spans="3:27">
      <c r="C1622" s="147" t="s">
        <v>1088</v>
      </c>
      <c r="D1622" s="134" t="s">
        <v>2845</v>
      </c>
      <c r="E1622" s="134" t="s">
        <v>2846</v>
      </c>
      <c r="F1622" s="134" t="s">
        <v>2847</v>
      </c>
      <c r="G1622" s="134">
        <v>538628</v>
      </c>
      <c r="H1622" s="135">
        <v>44693</v>
      </c>
      <c r="I1622" s="134">
        <v>4.9599999999999998E-2</v>
      </c>
      <c r="J1622" s="145"/>
      <c r="K1622" s="145"/>
      <c r="L1622" s="145"/>
      <c r="M1622" s="145"/>
      <c r="N1622" s="145"/>
      <c r="O1622" s="145"/>
      <c r="P1622" s="145"/>
      <c r="Q1622" s="145"/>
      <c r="R1622" s="145"/>
      <c r="S1622" s="145"/>
      <c r="T1622" s="135">
        <v>28157</v>
      </c>
      <c r="U1622" s="145"/>
      <c r="V1622" s="134" t="s">
        <v>2696</v>
      </c>
      <c r="W1622" s="92" t="str">
        <f t="shared" si="113"/>
        <v>Mondajer Murales,Marco Antonio</v>
      </c>
      <c r="X1622" s="95">
        <f t="shared" si="114"/>
        <v>5</v>
      </c>
      <c r="Y1622" s="95">
        <f t="shared" si="115"/>
        <v>2022</v>
      </c>
      <c r="Z1622" s="136" t="s">
        <v>2238</v>
      </c>
      <c r="AA1622" t="str">
        <f>IF(Tabla1[[#This Row],[Kerma en aire acumulada (Gy)]]&gt;1,SUMIF(G:G,Tabla1[[#This Row],[SIP]],I:I)-Tabla1[[#This Row],[Kerma en aire acumulada (Gy)]],"")</f>
        <v/>
      </c>
    </row>
    <row r="1623" spans="3:27">
      <c r="C1623" s="147" t="s">
        <v>1088</v>
      </c>
      <c r="D1623" s="134" t="s">
        <v>2848</v>
      </c>
      <c r="E1623" s="134" t="s">
        <v>2849</v>
      </c>
      <c r="F1623" s="134" t="s">
        <v>2850</v>
      </c>
      <c r="G1623" s="134">
        <v>4979656</v>
      </c>
      <c r="H1623" s="135">
        <v>44693</v>
      </c>
      <c r="I1623" s="134">
        <v>0.26615</v>
      </c>
      <c r="J1623" s="145"/>
      <c r="K1623" s="145"/>
      <c r="L1623" s="145"/>
      <c r="M1623" s="145"/>
      <c r="N1623" s="145"/>
      <c r="O1623" s="145"/>
      <c r="P1623" s="145"/>
      <c r="Q1623" s="145"/>
      <c r="R1623" s="145"/>
      <c r="S1623" s="145"/>
      <c r="T1623" s="135">
        <v>17168</v>
      </c>
      <c r="U1623" s="145"/>
      <c r="V1623" s="134" t="s">
        <v>2241</v>
      </c>
      <c r="W1623" s="92" t="str">
        <f t="shared" si="113"/>
        <v>Ben  Abdallah,Safia</v>
      </c>
      <c r="X1623" s="95">
        <f t="shared" si="114"/>
        <v>5</v>
      </c>
      <c r="Y1623" s="95">
        <f t="shared" si="115"/>
        <v>2022</v>
      </c>
      <c r="Z1623" s="136" t="s">
        <v>2238</v>
      </c>
      <c r="AA1623" t="str">
        <f>IF(Tabla1[[#This Row],[Kerma en aire acumulada (Gy)]]&gt;1,SUMIF(G:G,Tabla1[[#This Row],[SIP]],I:I)-Tabla1[[#This Row],[Kerma en aire acumulada (Gy)]],"")</f>
        <v/>
      </c>
    </row>
    <row r="1624" spans="3:27">
      <c r="C1624" s="147" t="s">
        <v>1088</v>
      </c>
      <c r="D1624" s="134" t="s">
        <v>2785</v>
      </c>
      <c r="E1624" s="134" t="s">
        <v>2143</v>
      </c>
      <c r="F1624" s="134" t="s">
        <v>2786</v>
      </c>
      <c r="G1624" s="134">
        <v>3334482</v>
      </c>
      <c r="H1624" s="135">
        <v>44694</v>
      </c>
      <c r="I1624" s="134">
        <v>1.323E-2</v>
      </c>
      <c r="J1624" s="145"/>
      <c r="K1624" s="145"/>
      <c r="L1624" s="145"/>
      <c r="M1624" s="145"/>
      <c r="N1624" s="145"/>
      <c r="O1624" s="145"/>
      <c r="P1624" s="145"/>
      <c r="Q1624" s="145"/>
      <c r="R1624" s="145"/>
      <c r="S1624" s="145"/>
      <c r="T1624" s="135">
        <v>28261</v>
      </c>
      <c r="U1624" s="145"/>
      <c r="V1624" s="134" t="s">
        <v>1653</v>
      </c>
      <c r="W1624" s="92" t="str">
        <f t="shared" si="113"/>
        <v>Trull Dominguez,Alejandra</v>
      </c>
      <c r="X1624" s="95">
        <f t="shared" si="114"/>
        <v>5</v>
      </c>
      <c r="Y1624" s="95">
        <f t="shared" si="115"/>
        <v>2022</v>
      </c>
      <c r="Z1624" s="103" t="s">
        <v>265</v>
      </c>
      <c r="AA1624" t="str">
        <f>IF(Tabla1[[#This Row],[Kerma en aire acumulada (Gy)]]&gt;1,SUMIF(G:G,Tabla1[[#This Row],[SIP]],I:I)-Tabla1[[#This Row],[Kerma en aire acumulada (Gy)]],"")</f>
        <v/>
      </c>
    </row>
    <row r="1625" spans="3:27">
      <c r="C1625" s="147" t="s">
        <v>1088</v>
      </c>
      <c r="D1625" s="134" t="s">
        <v>1837</v>
      </c>
      <c r="E1625" s="134" t="s">
        <v>2787</v>
      </c>
      <c r="F1625" s="134" t="s">
        <v>2302</v>
      </c>
      <c r="G1625" s="134">
        <v>3400343</v>
      </c>
      <c r="H1625" s="135">
        <v>44694</v>
      </c>
      <c r="I1625" s="134">
        <v>7.9900000000000006E-3</v>
      </c>
      <c r="J1625" s="145"/>
      <c r="K1625" s="145"/>
      <c r="L1625" s="145"/>
      <c r="M1625" s="145"/>
      <c r="N1625" s="145"/>
      <c r="O1625" s="145"/>
      <c r="P1625" s="145"/>
      <c r="Q1625" s="145"/>
      <c r="R1625" s="145"/>
      <c r="S1625" s="145"/>
      <c r="T1625" s="135">
        <v>35104</v>
      </c>
      <c r="U1625" s="145"/>
      <c r="V1625" s="134" t="s">
        <v>2526</v>
      </c>
      <c r="W1625" s="92" t="str">
        <f t="shared" si="113"/>
        <v>Rodriguez Slimani,Ismael</v>
      </c>
      <c r="X1625" s="95">
        <f t="shared" si="114"/>
        <v>5</v>
      </c>
      <c r="Y1625" s="95">
        <f t="shared" si="115"/>
        <v>2022</v>
      </c>
      <c r="Z1625" s="103" t="s">
        <v>265</v>
      </c>
      <c r="AA1625" t="str">
        <f>IF(Tabla1[[#This Row],[Kerma en aire acumulada (Gy)]]&gt;1,SUMIF(G:G,Tabla1[[#This Row],[SIP]],I:I)-Tabla1[[#This Row],[Kerma en aire acumulada (Gy)]],"")</f>
        <v/>
      </c>
    </row>
    <row r="1626" spans="3:27">
      <c r="C1626" s="147" t="s">
        <v>1088</v>
      </c>
      <c r="D1626" s="134" t="s">
        <v>1001</v>
      </c>
      <c r="E1626" s="134" t="s">
        <v>1262</v>
      </c>
      <c r="F1626" s="134" t="s">
        <v>2799</v>
      </c>
      <c r="G1626" s="134">
        <v>3376059</v>
      </c>
      <c r="H1626" s="135">
        <v>44694</v>
      </c>
      <c r="I1626" s="134">
        <v>1.2175100000000001</v>
      </c>
      <c r="J1626" s="145"/>
      <c r="K1626" s="145"/>
      <c r="L1626" s="145"/>
      <c r="M1626" s="145"/>
      <c r="N1626" s="145"/>
      <c r="O1626" s="145"/>
      <c r="P1626" s="145"/>
      <c r="Q1626" s="145"/>
      <c r="R1626" s="145"/>
      <c r="S1626" s="145"/>
      <c r="T1626" s="135">
        <v>18813</v>
      </c>
      <c r="U1626" s="145"/>
      <c r="V1626" s="134" t="s">
        <v>563</v>
      </c>
      <c r="W1626" s="92" t="str">
        <f t="shared" si="113"/>
        <v>Perez Diaz,M Barbara</v>
      </c>
      <c r="X1626" s="95">
        <f t="shared" si="114"/>
        <v>5</v>
      </c>
      <c r="Y1626" s="95">
        <f t="shared" si="115"/>
        <v>2022</v>
      </c>
      <c r="Z1626" s="136" t="s">
        <v>266</v>
      </c>
      <c r="AA1626">
        <f>IF(Tabla1[[#This Row],[Kerma en aire acumulada (Gy)]]&gt;1,SUMIF(G:G,Tabla1[[#This Row],[SIP]],I:I)-Tabla1[[#This Row],[Kerma en aire acumulada (Gy)]],"")</f>
        <v>0</v>
      </c>
    </row>
    <row r="1627" spans="3:27">
      <c r="C1627" s="147" t="s">
        <v>1088</v>
      </c>
      <c r="D1627" s="134" t="s">
        <v>962</v>
      </c>
      <c r="E1627" s="134" t="s">
        <v>2800</v>
      </c>
      <c r="F1627" s="134" t="s">
        <v>369</v>
      </c>
      <c r="G1627" s="134">
        <v>4524148</v>
      </c>
      <c r="H1627" s="135">
        <v>44694</v>
      </c>
      <c r="I1627" s="134">
        <v>0.2707</v>
      </c>
      <c r="J1627" s="145"/>
      <c r="K1627" s="145"/>
      <c r="L1627" s="145"/>
      <c r="M1627" s="145"/>
      <c r="N1627" s="145"/>
      <c r="O1627" s="145"/>
      <c r="P1627" s="145"/>
      <c r="Q1627" s="145"/>
      <c r="R1627" s="145"/>
      <c r="S1627" s="145"/>
      <c r="T1627" s="135">
        <v>21325</v>
      </c>
      <c r="U1627" s="145"/>
      <c r="V1627" s="134" t="s">
        <v>563</v>
      </c>
      <c r="W1627" s="92" t="str">
        <f t="shared" si="113"/>
        <v>Garcia Caler,Alejandro</v>
      </c>
      <c r="X1627" s="95">
        <f t="shared" si="114"/>
        <v>5</v>
      </c>
      <c r="Y1627" s="95">
        <f t="shared" si="115"/>
        <v>2022</v>
      </c>
      <c r="Z1627" s="136" t="s">
        <v>266</v>
      </c>
      <c r="AA1627" t="str">
        <f>IF(Tabla1[[#This Row],[Kerma en aire acumulada (Gy)]]&gt;1,SUMIF(G:G,Tabla1[[#This Row],[SIP]],I:I)-Tabla1[[#This Row],[Kerma en aire acumulada (Gy)]],"")</f>
        <v/>
      </c>
    </row>
    <row r="1628" spans="3:27">
      <c r="C1628" s="147" t="s">
        <v>1088</v>
      </c>
      <c r="D1628" s="134" t="s">
        <v>1261</v>
      </c>
      <c r="E1628" s="134" t="s">
        <v>2801</v>
      </c>
      <c r="F1628" s="134" t="s">
        <v>88</v>
      </c>
      <c r="G1628" s="134">
        <v>2222048</v>
      </c>
      <c r="H1628" s="135">
        <v>44694</v>
      </c>
      <c r="I1628" s="134">
        <v>0.29652000000000001</v>
      </c>
      <c r="J1628" s="145"/>
      <c r="K1628" s="145"/>
      <c r="L1628" s="145"/>
      <c r="M1628" s="145"/>
      <c r="N1628" s="145"/>
      <c r="O1628" s="145"/>
      <c r="P1628" s="145"/>
      <c r="Q1628" s="145"/>
      <c r="R1628" s="145"/>
      <c r="S1628" s="145"/>
      <c r="T1628" s="135">
        <v>14997</v>
      </c>
      <c r="U1628" s="145"/>
      <c r="V1628" s="134" t="s">
        <v>563</v>
      </c>
      <c r="W1628" s="92" t="str">
        <f t="shared" si="113"/>
        <v>Hernandez Torro,Vicente</v>
      </c>
      <c r="X1628" s="95">
        <f t="shared" si="114"/>
        <v>5</v>
      </c>
      <c r="Y1628" s="95">
        <f t="shared" si="115"/>
        <v>2022</v>
      </c>
      <c r="Z1628" s="136" t="s">
        <v>266</v>
      </c>
      <c r="AA1628" t="str">
        <f>IF(Tabla1[[#This Row],[Kerma en aire acumulada (Gy)]]&gt;1,SUMIF(G:G,Tabla1[[#This Row],[SIP]],I:I)-Tabla1[[#This Row],[Kerma en aire acumulada (Gy)]],"")</f>
        <v/>
      </c>
    </row>
    <row r="1629" spans="3:27">
      <c r="C1629" s="147" t="s">
        <v>1088</v>
      </c>
      <c r="D1629" s="134" t="s">
        <v>2802</v>
      </c>
      <c r="E1629" s="134" t="s">
        <v>2143</v>
      </c>
      <c r="F1629" s="134" t="s">
        <v>106</v>
      </c>
      <c r="G1629" s="134">
        <v>2273881</v>
      </c>
      <c r="H1629" s="135">
        <v>44694</v>
      </c>
      <c r="I1629" s="134">
        <v>0.32496000000000003</v>
      </c>
      <c r="J1629" s="145"/>
      <c r="K1629" s="145"/>
      <c r="L1629" s="145"/>
      <c r="M1629" s="145"/>
      <c r="N1629" s="145"/>
      <c r="O1629" s="145"/>
      <c r="P1629" s="145"/>
      <c r="Q1629" s="145"/>
      <c r="R1629" s="145"/>
      <c r="S1629" s="145"/>
      <c r="T1629" s="135">
        <v>17673</v>
      </c>
      <c r="U1629" s="145"/>
      <c r="V1629" s="134" t="s">
        <v>563</v>
      </c>
      <c r="W1629" s="92" t="str">
        <f t="shared" si="113"/>
        <v>Gosalbez Dominguez,Carmen</v>
      </c>
      <c r="X1629" s="95">
        <f t="shared" si="114"/>
        <v>5</v>
      </c>
      <c r="Y1629" s="95">
        <f t="shared" si="115"/>
        <v>2022</v>
      </c>
      <c r="Z1629" s="136" t="s">
        <v>266</v>
      </c>
      <c r="AA1629" t="str">
        <f>IF(Tabla1[[#This Row],[Kerma en aire acumulada (Gy)]]&gt;1,SUMIF(G:G,Tabla1[[#This Row],[SIP]],I:I)-Tabla1[[#This Row],[Kerma en aire acumulada (Gy)]],"")</f>
        <v/>
      </c>
    </row>
    <row r="1630" spans="3:27">
      <c r="C1630" s="147" t="s">
        <v>1088</v>
      </c>
      <c r="D1630" s="134" t="s">
        <v>2823</v>
      </c>
      <c r="E1630" s="134" t="s">
        <v>15</v>
      </c>
      <c r="F1630" s="134" t="s">
        <v>2571</v>
      </c>
      <c r="G1630" s="134">
        <v>2419819</v>
      </c>
      <c r="H1630" s="135">
        <v>44694</v>
      </c>
      <c r="I1630" s="134">
        <v>0.45393</v>
      </c>
      <c r="J1630" s="145"/>
      <c r="K1630" s="145"/>
      <c r="L1630" s="145"/>
      <c r="M1630" s="145"/>
      <c r="N1630" s="145"/>
      <c r="O1630" s="145"/>
      <c r="P1630" s="145"/>
      <c r="Q1630" s="145"/>
      <c r="R1630" s="145"/>
      <c r="S1630" s="145"/>
      <c r="T1630" s="135">
        <v>21140</v>
      </c>
      <c r="U1630" s="145"/>
      <c r="V1630" s="134" t="s">
        <v>563</v>
      </c>
      <c r="W1630" s="92" t="str">
        <f t="shared" si="113"/>
        <v>Silva Moreno,Francisco Jose</v>
      </c>
      <c r="X1630" s="95">
        <f t="shared" si="114"/>
        <v>5</v>
      </c>
      <c r="Y1630" s="95">
        <f t="shared" si="115"/>
        <v>2022</v>
      </c>
      <c r="Z1630" s="136" t="s">
        <v>266</v>
      </c>
      <c r="AA1630" t="str">
        <f>IF(Tabla1[[#This Row],[Kerma en aire acumulada (Gy)]]&gt;1,SUMIF(G:G,Tabla1[[#This Row],[SIP]],I:I)-Tabla1[[#This Row],[Kerma en aire acumulada (Gy)]],"")</f>
        <v/>
      </c>
    </row>
    <row r="1631" spans="3:27">
      <c r="C1631" s="147" t="s">
        <v>1088</v>
      </c>
      <c r="D1631" s="134" t="s">
        <v>2824</v>
      </c>
      <c r="E1631" s="134" t="s">
        <v>839</v>
      </c>
      <c r="F1631" s="134" t="s">
        <v>356</v>
      </c>
      <c r="G1631" s="134">
        <v>2279801</v>
      </c>
      <c r="H1631" s="135">
        <v>44694</v>
      </c>
      <c r="I1631" s="134">
        <v>0.19275</v>
      </c>
      <c r="J1631" s="145"/>
      <c r="K1631" s="145"/>
      <c r="L1631" s="145"/>
      <c r="M1631" s="145"/>
      <c r="N1631" s="145"/>
      <c r="O1631" s="145"/>
      <c r="P1631" s="145"/>
      <c r="Q1631" s="145"/>
      <c r="R1631" s="145"/>
      <c r="S1631" s="145"/>
      <c r="T1631" s="135">
        <v>17228</v>
      </c>
      <c r="U1631" s="145"/>
      <c r="V1631" s="134" t="s">
        <v>563</v>
      </c>
      <c r="W1631" s="92" t="str">
        <f t="shared" si="113"/>
        <v>Gamez Ferrer,Manuel</v>
      </c>
      <c r="X1631" s="95">
        <f t="shared" si="114"/>
        <v>5</v>
      </c>
      <c r="Y1631" s="95">
        <f t="shared" si="115"/>
        <v>2022</v>
      </c>
      <c r="Z1631" s="136" t="s">
        <v>266</v>
      </c>
      <c r="AA1631" t="str">
        <f>IF(Tabla1[[#This Row],[Kerma en aire acumulada (Gy)]]&gt;1,SUMIF(G:G,Tabla1[[#This Row],[SIP]],I:I)-Tabla1[[#This Row],[Kerma en aire acumulada (Gy)]],"")</f>
        <v/>
      </c>
    </row>
    <row r="1632" spans="3:27">
      <c r="C1632" s="147" t="s">
        <v>1088</v>
      </c>
      <c r="D1632" s="134" t="s">
        <v>2825</v>
      </c>
      <c r="E1632" s="134" t="s">
        <v>2826</v>
      </c>
      <c r="F1632" s="134" t="s">
        <v>2827</v>
      </c>
      <c r="G1632" s="134">
        <v>10267174</v>
      </c>
      <c r="H1632" s="135">
        <v>44694</v>
      </c>
      <c r="I1632" s="134">
        <v>7.3810000000000001E-2</v>
      </c>
      <c r="J1632" s="145"/>
      <c r="K1632" s="145"/>
      <c r="L1632" s="145"/>
      <c r="M1632" s="145"/>
      <c r="N1632" s="145"/>
      <c r="O1632" s="145"/>
      <c r="P1632" s="145"/>
      <c r="Q1632" s="145"/>
      <c r="R1632" s="145"/>
      <c r="S1632" s="145"/>
      <c r="T1632" s="135">
        <v>21870</v>
      </c>
      <c r="U1632" s="145"/>
      <c r="V1632" s="134" t="s">
        <v>563</v>
      </c>
      <c r="W1632" s="92" t="str">
        <f t="shared" si="113"/>
        <v>Arsova Geogieva,Erka</v>
      </c>
      <c r="X1632" s="95">
        <f t="shared" si="114"/>
        <v>5</v>
      </c>
      <c r="Y1632" s="95">
        <f t="shared" si="115"/>
        <v>2022</v>
      </c>
      <c r="Z1632" s="136" t="s">
        <v>266</v>
      </c>
      <c r="AA1632" t="str">
        <f>IF(Tabla1[[#This Row],[Kerma en aire acumulada (Gy)]]&gt;1,SUMIF(G:G,Tabla1[[#This Row],[SIP]],I:I)-Tabla1[[#This Row],[Kerma en aire acumulada (Gy)]],"")</f>
        <v/>
      </c>
    </row>
    <row r="1633" spans="3:27">
      <c r="C1633" s="147" t="s">
        <v>1088</v>
      </c>
      <c r="D1633" s="134" t="s">
        <v>2828</v>
      </c>
      <c r="E1633" s="134" t="s">
        <v>353</v>
      </c>
      <c r="F1633" s="134" t="s">
        <v>803</v>
      </c>
      <c r="G1633" s="134">
        <v>230408</v>
      </c>
      <c r="H1633" s="135">
        <v>44694</v>
      </c>
      <c r="I1633" s="134">
        <v>0.14971999999999999</v>
      </c>
      <c r="J1633" s="145"/>
      <c r="K1633" s="145"/>
      <c r="L1633" s="145"/>
      <c r="M1633" s="145"/>
      <c r="N1633" s="145"/>
      <c r="O1633" s="145"/>
      <c r="P1633" s="145"/>
      <c r="Q1633" s="145"/>
      <c r="R1633" s="145"/>
      <c r="S1633" s="145"/>
      <c r="T1633" s="135">
        <v>26292</v>
      </c>
      <c r="U1633" s="145"/>
      <c r="V1633" s="134" t="s">
        <v>563</v>
      </c>
      <c r="W1633" s="92" t="str">
        <f t="shared" si="113"/>
        <v>Antonja Muñoz,Inmaculada</v>
      </c>
      <c r="X1633" s="95">
        <f t="shared" si="114"/>
        <v>5</v>
      </c>
      <c r="Y1633" s="95">
        <f t="shared" si="115"/>
        <v>2022</v>
      </c>
      <c r="Z1633" s="136" t="s">
        <v>266</v>
      </c>
      <c r="AA1633" t="str">
        <f>IF(Tabla1[[#This Row],[Kerma en aire acumulada (Gy)]]&gt;1,SUMIF(G:G,Tabla1[[#This Row],[SIP]],I:I)-Tabla1[[#This Row],[Kerma en aire acumulada (Gy)]],"")</f>
        <v/>
      </c>
    </row>
    <row r="1634" spans="3:27">
      <c r="C1634" s="147" t="s">
        <v>1088</v>
      </c>
      <c r="D1634" s="134" t="s">
        <v>2843</v>
      </c>
      <c r="E1634" s="134" t="s">
        <v>2844</v>
      </c>
      <c r="F1634" s="134" t="s">
        <v>83</v>
      </c>
      <c r="G1634" s="134">
        <v>6203428</v>
      </c>
      <c r="H1634" s="135">
        <v>44694</v>
      </c>
      <c r="I1634" s="134">
        <v>1.966E-2</v>
      </c>
      <c r="J1634" s="145"/>
      <c r="K1634" s="145"/>
      <c r="L1634" s="145"/>
      <c r="M1634" s="145"/>
      <c r="N1634" s="145"/>
      <c r="O1634" s="145"/>
      <c r="P1634" s="145"/>
      <c r="Q1634" s="145"/>
      <c r="R1634" s="145"/>
      <c r="S1634" s="145"/>
      <c r="T1634" s="135">
        <v>20745</v>
      </c>
      <c r="U1634" s="145"/>
      <c r="V1634" s="134" t="s">
        <v>2696</v>
      </c>
      <c r="W1634" s="92" t="str">
        <f t="shared" si="113"/>
        <v>Estrela Guzalbes,Francisco</v>
      </c>
      <c r="X1634" s="95">
        <f t="shared" si="114"/>
        <v>5</v>
      </c>
      <c r="Y1634" s="95">
        <f t="shared" si="115"/>
        <v>2022</v>
      </c>
      <c r="Z1634" s="136" t="s">
        <v>2238</v>
      </c>
      <c r="AA1634" t="str">
        <f>IF(Tabla1[[#This Row],[Kerma en aire acumulada (Gy)]]&gt;1,SUMIF(G:G,Tabla1[[#This Row],[SIP]],I:I)-Tabla1[[#This Row],[Kerma en aire acumulada (Gy)]],"")</f>
        <v/>
      </c>
    </row>
    <row r="1635" spans="3:27">
      <c r="C1635" s="147" t="s">
        <v>1088</v>
      </c>
      <c r="D1635" s="134" t="s">
        <v>15</v>
      </c>
      <c r="E1635" s="134" t="s">
        <v>1587</v>
      </c>
      <c r="F1635" s="134" t="s">
        <v>2405</v>
      </c>
      <c r="G1635" s="134">
        <v>1210473</v>
      </c>
      <c r="H1635" s="135">
        <v>44695</v>
      </c>
      <c r="I1635" s="134">
        <v>1.3396300000000001</v>
      </c>
      <c r="J1635" s="145"/>
      <c r="K1635" s="145"/>
      <c r="L1635" s="145"/>
      <c r="M1635" s="145"/>
      <c r="N1635" s="145"/>
      <c r="O1635" s="145"/>
      <c r="P1635" s="145"/>
      <c r="Q1635" s="145"/>
      <c r="R1635" s="145"/>
      <c r="S1635" s="145"/>
      <c r="T1635" s="135">
        <v>17446</v>
      </c>
      <c r="U1635" s="145"/>
      <c r="V1635" s="134" t="s">
        <v>2144</v>
      </c>
      <c r="W1635" s="92" t="str">
        <f t="shared" si="113"/>
        <v>Moreno Jimenez,Jose Antonio</v>
      </c>
      <c r="X1635" s="95">
        <f t="shared" si="114"/>
        <v>5</v>
      </c>
      <c r="Y1635" s="95">
        <f t="shared" si="115"/>
        <v>2022</v>
      </c>
      <c r="Z1635" s="103" t="s">
        <v>265</v>
      </c>
      <c r="AA1635">
        <f>IF(Tabla1[[#This Row],[Kerma en aire acumulada (Gy)]]&gt;1,SUMIF(G:G,Tabla1[[#This Row],[SIP]],I:I)-Tabla1[[#This Row],[Kerma en aire acumulada (Gy)]],"")</f>
        <v>0</v>
      </c>
    </row>
    <row r="1636" spans="3:27">
      <c r="C1636" s="147" t="s">
        <v>1088</v>
      </c>
      <c r="D1636" s="134" t="s">
        <v>948</v>
      </c>
      <c r="E1636" s="134" t="s">
        <v>1060</v>
      </c>
      <c r="F1636" s="134" t="s">
        <v>7</v>
      </c>
      <c r="G1636" s="134">
        <v>3336962</v>
      </c>
      <c r="H1636" s="135">
        <v>44696</v>
      </c>
      <c r="I1636" s="134">
        <v>0.35846</v>
      </c>
      <c r="J1636" s="145"/>
      <c r="K1636" s="145"/>
      <c r="L1636" s="145"/>
      <c r="M1636" s="145"/>
      <c r="N1636" s="145"/>
      <c r="O1636" s="145"/>
      <c r="P1636" s="145"/>
      <c r="Q1636" s="145"/>
      <c r="R1636" s="145"/>
      <c r="S1636" s="145"/>
      <c r="T1636" s="135">
        <v>13501</v>
      </c>
      <c r="U1636" s="145"/>
      <c r="V1636" s="134" t="s">
        <v>563</v>
      </c>
      <c r="W1636" s="92" t="str">
        <f t="shared" si="113"/>
        <v>Martinez Rubio,Francisca</v>
      </c>
      <c r="X1636" s="95">
        <f t="shared" si="114"/>
        <v>5</v>
      </c>
      <c r="Y1636" s="95">
        <f t="shared" si="115"/>
        <v>2022</v>
      </c>
      <c r="Z1636" s="136" t="s">
        <v>266</v>
      </c>
      <c r="AA1636" t="str">
        <f>IF(Tabla1[[#This Row],[Kerma en aire acumulada (Gy)]]&gt;1,SUMIF(G:G,Tabla1[[#This Row],[SIP]],I:I)-Tabla1[[#This Row],[Kerma en aire acumulada (Gy)]],"")</f>
        <v/>
      </c>
    </row>
    <row r="1637" spans="3:27">
      <c r="C1637" s="147" t="s">
        <v>1088</v>
      </c>
      <c r="D1637" s="134" t="s">
        <v>2775</v>
      </c>
      <c r="E1637" s="134" t="s">
        <v>1191</v>
      </c>
      <c r="F1637" s="134" t="s">
        <v>321</v>
      </c>
      <c r="G1637" s="134">
        <v>1798421</v>
      </c>
      <c r="H1637" s="135">
        <v>44697</v>
      </c>
      <c r="I1637" s="134">
        <v>2.53776</v>
      </c>
      <c r="J1637" s="145"/>
      <c r="K1637" s="145"/>
      <c r="L1637" s="145"/>
      <c r="M1637" s="145"/>
      <c r="N1637" s="145"/>
      <c r="O1637" s="145"/>
      <c r="P1637" s="145"/>
      <c r="Q1637" s="145"/>
      <c r="R1637" s="145"/>
      <c r="S1637" s="145"/>
      <c r="T1637" s="135">
        <v>19627</v>
      </c>
      <c r="U1637" s="145"/>
      <c r="V1637" s="134" t="s">
        <v>151</v>
      </c>
      <c r="W1637" s="92" t="str">
        <f t="shared" si="113"/>
        <v>Guillamon Beltran,Esteban</v>
      </c>
      <c r="X1637" s="95">
        <f t="shared" si="114"/>
        <v>5</v>
      </c>
      <c r="Y1637" s="95">
        <f t="shared" si="115"/>
        <v>2022</v>
      </c>
      <c r="Z1637" s="103" t="s">
        <v>265</v>
      </c>
      <c r="AA1637">
        <f>IF(Tabla1[[#This Row],[Kerma en aire acumulada (Gy)]]&gt;1,SUMIF(G:G,Tabla1[[#This Row],[SIP]],I:I)-Tabla1[[#This Row],[Kerma en aire acumulada (Gy)]],"")</f>
        <v>0</v>
      </c>
    </row>
    <row r="1638" spans="3:27">
      <c r="C1638" s="147" t="s">
        <v>1088</v>
      </c>
      <c r="D1638" s="134" t="s">
        <v>2783</v>
      </c>
      <c r="E1638" s="134" t="s">
        <v>2262</v>
      </c>
      <c r="F1638" s="134" t="s">
        <v>68</v>
      </c>
      <c r="G1638" s="134">
        <v>1816190</v>
      </c>
      <c r="H1638" s="135">
        <v>44697</v>
      </c>
      <c r="I1638" s="134">
        <v>0.22212000000000001</v>
      </c>
      <c r="J1638" s="145"/>
      <c r="K1638" s="145"/>
      <c r="L1638" s="145"/>
      <c r="M1638" s="145"/>
      <c r="N1638" s="145"/>
      <c r="O1638" s="145"/>
      <c r="P1638" s="145"/>
      <c r="Q1638" s="145"/>
      <c r="R1638" s="145"/>
      <c r="S1638" s="145"/>
      <c r="T1638" s="135">
        <v>20200</v>
      </c>
      <c r="U1638" s="145"/>
      <c r="V1638" s="134" t="s">
        <v>2784</v>
      </c>
      <c r="W1638" s="92" t="str">
        <f t="shared" si="113"/>
        <v>Centelles MArtinez,Juan</v>
      </c>
      <c r="X1638" s="95">
        <f t="shared" si="114"/>
        <v>5</v>
      </c>
      <c r="Y1638" s="95">
        <f t="shared" si="115"/>
        <v>2022</v>
      </c>
      <c r="Z1638" s="103" t="s">
        <v>265</v>
      </c>
      <c r="AA1638" t="str">
        <f>IF(Tabla1[[#This Row],[Kerma en aire acumulada (Gy)]]&gt;1,SUMIF(G:G,Tabla1[[#This Row],[SIP]],I:I)-Tabla1[[#This Row],[Kerma en aire acumulada (Gy)]],"")</f>
        <v/>
      </c>
    </row>
    <row r="1639" spans="3:27">
      <c r="C1639" s="147" t="s">
        <v>1088</v>
      </c>
      <c r="D1639" s="134" t="s">
        <v>1186</v>
      </c>
      <c r="E1639" s="134" t="s">
        <v>2796</v>
      </c>
      <c r="F1639" s="134" t="s">
        <v>2797</v>
      </c>
      <c r="G1639" s="134">
        <v>6733402</v>
      </c>
      <c r="H1639" s="135">
        <v>44697</v>
      </c>
      <c r="I1639" s="134">
        <v>1.2620800000000001</v>
      </c>
      <c r="J1639" s="145"/>
      <c r="K1639" s="145"/>
      <c r="L1639" s="145"/>
      <c r="M1639" s="145"/>
      <c r="N1639" s="145"/>
      <c r="O1639" s="145"/>
      <c r="P1639" s="145"/>
      <c r="Q1639" s="145"/>
      <c r="R1639" s="145"/>
      <c r="S1639" s="145"/>
      <c r="T1639" s="135">
        <v>17960</v>
      </c>
      <c r="U1639" s="145"/>
      <c r="V1639" s="134" t="s">
        <v>563</v>
      </c>
      <c r="W1639" s="92" t="str">
        <f t="shared" si="113"/>
        <v>Montero Cuellar,Percy</v>
      </c>
      <c r="X1639" s="95">
        <f t="shared" si="114"/>
        <v>5</v>
      </c>
      <c r="Y1639" s="95">
        <f t="shared" si="115"/>
        <v>2022</v>
      </c>
      <c r="Z1639" s="136" t="s">
        <v>266</v>
      </c>
      <c r="AA1639">
        <f>IF(Tabla1[[#This Row],[Kerma en aire acumulada (Gy)]]&gt;1,SUMIF(G:G,Tabla1[[#This Row],[SIP]],I:I)-Tabla1[[#This Row],[Kerma en aire acumulada (Gy)]],"")</f>
        <v>1.5819999999999945E-2</v>
      </c>
    </row>
    <row r="1640" spans="3:27">
      <c r="C1640" s="147" t="s">
        <v>1088</v>
      </c>
      <c r="D1640" s="134" t="s">
        <v>968</v>
      </c>
      <c r="E1640" s="134" t="s">
        <v>2798</v>
      </c>
      <c r="F1640" s="134" t="s">
        <v>1771</v>
      </c>
      <c r="G1640" s="134">
        <v>2458734</v>
      </c>
      <c r="H1640" s="135">
        <v>44697</v>
      </c>
      <c r="I1640" s="134">
        <v>0.74216000000000004</v>
      </c>
      <c r="J1640" s="145"/>
      <c r="K1640" s="145"/>
      <c r="L1640" s="145"/>
      <c r="M1640" s="145"/>
      <c r="N1640" s="145"/>
      <c r="O1640" s="145"/>
      <c r="P1640" s="145"/>
      <c r="Q1640" s="145"/>
      <c r="R1640" s="145"/>
      <c r="S1640" s="145"/>
      <c r="T1640" s="135">
        <v>21371</v>
      </c>
      <c r="U1640" s="145"/>
      <c r="V1640" s="134" t="s">
        <v>563</v>
      </c>
      <c r="W1640" s="92" t="str">
        <f t="shared" si="113"/>
        <v>Soria Beyte,Tomas</v>
      </c>
      <c r="X1640" s="95">
        <f t="shared" si="114"/>
        <v>5</v>
      </c>
      <c r="Y1640" s="95">
        <f t="shared" si="115"/>
        <v>2022</v>
      </c>
      <c r="Z1640" s="136" t="s">
        <v>266</v>
      </c>
      <c r="AA1640" t="str">
        <f>IF(Tabla1[[#This Row],[Kerma en aire acumulada (Gy)]]&gt;1,SUMIF(G:G,Tabla1[[#This Row],[SIP]],I:I)-Tabla1[[#This Row],[Kerma en aire acumulada (Gy)]],"")</f>
        <v/>
      </c>
    </row>
    <row r="1641" spans="3:27">
      <c r="C1641" s="147" t="s">
        <v>1088</v>
      </c>
      <c r="D1641" s="134" t="s">
        <v>6</v>
      </c>
      <c r="E1641" s="134" t="s">
        <v>1103</v>
      </c>
      <c r="F1641" s="134" t="s">
        <v>2189</v>
      </c>
      <c r="G1641" s="134">
        <v>7157243</v>
      </c>
      <c r="H1641" s="135">
        <v>44697</v>
      </c>
      <c r="I1641" s="134">
        <v>0.11269999999999999</v>
      </c>
      <c r="J1641" s="145"/>
      <c r="K1641" s="145"/>
      <c r="L1641" s="145"/>
      <c r="M1641" s="145"/>
      <c r="N1641" s="145"/>
      <c r="O1641" s="145"/>
      <c r="P1641" s="145"/>
      <c r="Q1641" s="145"/>
      <c r="R1641" s="145"/>
      <c r="S1641" s="145"/>
      <c r="T1641" s="135">
        <v>23622</v>
      </c>
      <c r="U1641" s="145"/>
      <c r="V1641" s="134" t="s">
        <v>563</v>
      </c>
      <c r="W1641" s="92" t="str">
        <f t="shared" si="113"/>
        <v>Ortega Flores,Juan Jose</v>
      </c>
      <c r="X1641" s="95">
        <f t="shared" si="114"/>
        <v>5</v>
      </c>
      <c r="Y1641" s="95">
        <f t="shared" si="115"/>
        <v>2022</v>
      </c>
      <c r="Z1641" s="136" t="s">
        <v>266</v>
      </c>
      <c r="AA1641" t="str">
        <f>IF(Tabla1[[#This Row],[Kerma en aire acumulada (Gy)]]&gt;1,SUMIF(G:G,Tabla1[[#This Row],[SIP]],I:I)-Tabla1[[#This Row],[Kerma en aire acumulada (Gy)]],"")</f>
        <v/>
      </c>
    </row>
    <row r="1642" spans="3:27">
      <c r="C1642" s="147" t="s">
        <v>1088</v>
      </c>
      <c r="D1642" s="134" t="s">
        <v>960</v>
      </c>
      <c r="E1642" s="134" t="s">
        <v>2817</v>
      </c>
      <c r="F1642" s="134" t="s">
        <v>635</v>
      </c>
      <c r="G1642" s="134">
        <v>3183145</v>
      </c>
      <c r="H1642" s="135">
        <v>44697</v>
      </c>
      <c r="I1642" s="134">
        <v>0.58243999999999996</v>
      </c>
      <c r="J1642" s="145"/>
      <c r="K1642" s="145"/>
      <c r="L1642" s="145"/>
      <c r="M1642" s="145"/>
      <c r="N1642" s="145"/>
      <c r="O1642" s="145"/>
      <c r="P1642" s="145"/>
      <c r="Q1642" s="145"/>
      <c r="R1642" s="145"/>
      <c r="S1642" s="145"/>
      <c r="T1642" s="135">
        <v>15864</v>
      </c>
      <c r="U1642" s="145"/>
      <c r="V1642" s="134" t="s">
        <v>563</v>
      </c>
      <c r="W1642" s="92" t="str">
        <f t="shared" ref="W1642:W1705" si="116">CONCATENATE(D1642,$A$591,E1642,",",F1642)</f>
        <v>Lopez Ordinez,Enrique</v>
      </c>
      <c r="X1642" s="95">
        <f t="shared" ref="X1642:X1705" si="117">MONTH(H1642)</f>
        <v>5</v>
      </c>
      <c r="Y1642" s="95">
        <f t="shared" ref="Y1642:Y1705" si="118">YEAR(H1642)</f>
        <v>2022</v>
      </c>
      <c r="Z1642" s="136" t="s">
        <v>266</v>
      </c>
      <c r="AA1642" t="str">
        <f>IF(Tabla1[[#This Row],[Kerma en aire acumulada (Gy)]]&gt;1,SUMIF(G:G,Tabla1[[#This Row],[SIP]],I:I)-Tabla1[[#This Row],[Kerma en aire acumulada (Gy)]],"")</f>
        <v/>
      </c>
    </row>
    <row r="1643" spans="3:27">
      <c r="C1643" s="147" t="s">
        <v>1088</v>
      </c>
      <c r="D1643" s="134" t="s">
        <v>2818</v>
      </c>
      <c r="E1643" s="134" t="s">
        <v>1662</v>
      </c>
      <c r="F1643" s="134" t="s">
        <v>1990</v>
      </c>
      <c r="G1643" s="134">
        <v>2280231</v>
      </c>
      <c r="H1643" s="135">
        <v>44697</v>
      </c>
      <c r="I1643" s="134">
        <v>0.85568</v>
      </c>
      <c r="J1643" s="145"/>
      <c r="K1643" s="145"/>
      <c r="L1643" s="145"/>
      <c r="M1643" s="145"/>
      <c r="N1643" s="145"/>
      <c r="O1643" s="145"/>
      <c r="P1643" s="145"/>
      <c r="Q1643" s="145"/>
      <c r="R1643" s="145"/>
      <c r="S1643" s="145"/>
      <c r="T1643" s="135">
        <v>19225</v>
      </c>
      <c r="U1643" s="145"/>
      <c r="V1643" s="134" t="s">
        <v>563</v>
      </c>
      <c r="W1643" s="92" t="str">
        <f t="shared" si="116"/>
        <v>Fuentes Vazquez,Jose Ramon</v>
      </c>
      <c r="X1643" s="95">
        <f t="shared" si="117"/>
        <v>5</v>
      </c>
      <c r="Y1643" s="95">
        <f t="shared" si="118"/>
        <v>2022</v>
      </c>
      <c r="Z1643" s="136" t="s">
        <v>266</v>
      </c>
      <c r="AA1643" t="str">
        <f>IF(Tabla1[[#This Row],[Kerma en aire acumulada (Gy)]]&gt;1,SUMIF(G:G,Tabla1[[#This Row],[SIP]],I:I)-Tabla1[[#This Row],[Kerma en aire acumulada (Gy)]],"")</f>
        <v/>
      </c>
    </row>
    <row r="1644" spans="3:27">
      <c r="C1644" s="147" t="s">
        <v>1088</v>
      </c>
      <c r="D1644" s="134" t="s">
        <v>1988</v>
      </c>
      <c r="E1644" s="134" t="s">
        <v>22</v>
      </c>
      <c r="F1644" s="134" t="s">
        <v>57</v>
      </c>
      <c r="G1644" s="134">
        <v>2379738</v>
      </c>
      <c r="H1644" s="135">
        <v>44697</v>
      </c>
      <c r="I1644" s="134">
        <v>0.29653000000000002</v>
      </c>
      <c r="J1644" s="145"/>
      <c r="K1644" s="145"/>
      <c r="L1644" s="145"/>
      <c r="M1644" s="145"/>
      <c r="N1644" s="145"/>
      <c r="O1644" s="145"/>
      <c r="P1644" s="145"/>
      <c r="Q1644" s="145"/>
      <c r="R1644" s="145"/>
      <c r="S1644" s="145"/>
      <c r="T1644" s="135">
        <v>22197</v>
      </c>
      <c r="U1644" s="145"/>
      <c r="V1644" s="134" t="s">
        <v>563</v>
      </c>
      <c r="W1644" s="92" t="str">
        <f t="shared" si="116"/>
        <v>Juarez Ruiz,Miguel</v>
      </c>
      <c r="X1644" s="95">
        <f t="shared" si="117"/>
        <v>5</v>
      </c>
      <c r="Y1644" s="95">
        <f t="shared" si="118"/>
        <v>2022</v>
      </c>
      <c r="Z1644" s="136" t="s">
        <v>266</v>
      </c>
      <c r="AA1644" t="str">
        <f>IF(Tabla1[[#This Row],[Kerma en aire acumulada (Gy)]]&gt;1,SUMIF(G:G,Tabla1[[#This Row],[SIP]],I:I)-Tabla1[[#This Row],[Kerma en aire acumulada (Gy)]],"")</f>
        <v/>
      </c>
    </row>
    <row r="1645" spans="3:27">
      <c r="C1645" s="147" t="s">
        <v>1088</v>
      </c>
      <c r="D1645" s="134" t="s">
        <v>2819</v>
      </c>
      <c r="E1645" s="134" t="s">
        <v>1262</v>
      </c>
      <c r="F1645" s="134" t="s">
        <v>2820</v>
      </c>
      <c r="G1645" s="150">
        <v>2920105</v>
      </c>
      <c r="H1645" s="135">
        <v>44697</v>
      </c>
      <c r="I1645" s="150">
        <v>0.42346</v>
      </c>
      <c r="J1645" s="145"/>
      <c r="K1645" s="145"/>
      <c r="L1645" s="145"/>
      <c r="M1645" s="145"/>
      <c r="N1645" s="145"/>
      <c r="O1645" s="145"/>
      <c r="P1645" s="145"/>
      <c r="Q1645" s="145"/>
      <c r="R1645" s="145"/>
      <c r="S1645" s="145"/>
      <c r="T1645" s="135">
        <v>21157</v>
      </c>
      <c r="U1645" s="145"/>
      <c r="V1645" s="134" t="s">
        <v>563</v>
      </c>
      <c r="W1645" s="92" t="str">
        <f t="shared" si="116"/>
        <v>Dios de  Diaz,Victoriano</v>
      </c>
      <c r="X1645" s="95">
        <f t="shared" si="117"/>
        <v>5</v>
      </c>
      <c r="Y1645" s="95">
        <f t="shared" si="118"/>
        <v>2022</v>
      </c>
      <c r="Z1645" s="136" t="s">
        <v>266</v>
      </c>
      <c r="AA1645" t="str">
        <f>IF(Tabla1[[#This Row],[Kerma en aire acumulada (Gy)]]&gt;1,SUMIF(G:G,Tabla1[[#This Row],[SIP]],I:I)-Tabla1[[#This Row],[Kerma en aire acumulada (Gy)]],"")</f>
        <v/>
      </c>
    </row>
    <row r="1646" spans="3:27">
      <c r="C1646" s="147" t="s">
        <v>1088</v>
      </c>
      <c r="D1646" s="134" t="s">
        <v>346</v>
      </c>
      <c r="E1646" s="134" t="s">
        <v>856</v>
      </c>
      <c r="F1646" s="134" t="s">
        <v>321</v>
      </c>
      <c r="G1646" s="134">
        <v>1863010</v>
      </c>
      <c r="H1646" s="135">
        <v>44697</v>
      </c>
      <c r="I1646" s="134">
        <v>0.22098000000000001</v>
      </c>
      <c r="J1646" s="145"/>
      <c r="K1646" s="145"/>
      <c r="L1646" s="145"/>
      <c r="M1646" s="145"/>
      <c r="N1646" s="145"/>
      <c r="O1646" s="145"/>
      <c r="P1646" s="145"/>
      <c r="Q1646" s="145"/>
      <c r="R1646" s="145"/>
      <c r="S1646" s="145"/>
      <c r="T1646" s="135">
        <v>12781</v>
      </c>
      <c r="U1646" s="145"/>
      <c r="V1646" s="134" t="s">
        <v>563</v>
      </c>
      <c r="W1646" s="92" t="str">
        <f t="shared" si="116"/>
        <v>Fuster Gomez,Esteban</v>
      </c>
      <c r="X1646" s="95">
        <f t="shared" si="117"/>
        <v>5</v>
      </c>
      <c r="Y1646" s="95">
        <f t="shared" si="118"/>
        <v>2022</v>
      </c>
      <c r="Z1646" s="136" t="s">
        <v>266</v>
      </c>
      <c r="AA1646" t="str">
        <f>IF(Tabla1[[#This Row],[Kerma en aire acumulada (Gy)]]&gt;1,SUMIF(G:G,Tabla1[[#This Row],[SIP]],I:I)-Tabla1[[#This Row],[Kerma en aire acumulada (Gy)]],"")</f>
        <v/>
      </c>
    </row>
    <row r="1647" spans="3:27">
      <c r="C1647" s="147" t="s">
        <v>1088</v>
      </c>
      <c r="D1647" s="134" t="s">
        <v>1090</v>
      </c>
      <c r="E1647" s="134" t="s">
        <v>2821</v>
      </c>
      <c r="F1647" s="134" t="s">
        <v>57</v>
      </c>
      <c r="G1647" s="134">
        <v>2353865</v>
      </c>
      <c r="H1647" s="135">
        <v>44697</v>
      </c>
      <c r="I1647" s="134">
        <v>0.43917</v>
      </c>
      <c r="J1647" s="145"/>
      <c r="K1647" s="145"/>
      <c r="L1647" s="145"/>
      <c r="M1647" s="145"/>
      <c r="N1647" s="145"/>
      <c r="O1647" s="145"/>
      <c r="P1647" s="145"/>
      <c r="Q1647" s="145"/>
      <c r="R1647" s="145"/>
      <c r="S1647" s="145"/>
      <c r="T1647" s="135">
        <v>24699</v>
      </c>
      <c r="U1647" s="145"/>
      <c r="V1647" s="134" t="s">
        <v>563</v>
      </c>
      <c r="W1647" s="92" t="str">
        <f t="shared" si="116"/>
        <v>Ibañez Toran,Miguel</v>
      </c>
      <c r="X1647" s="95">
        <f t="shared" si="117"/>
        <v>5</v>
      </c>
      <c r="Y1647" s="95">
        <f t="shared" si="118"/>
        <v>2022</v>
      </c>
      <c r="Z1647" s="136" t="s">
        <v>266</v>
      </c>
      <c r="AA1647" t="str">
        <f>IF(Tabla1[[#This Row],[Kerma en aire acumulada (Gy)]]&gt;1,SUMIF(G:G,Tabla1[[#This Row],[SIP]],I:I)-Tabla1[[#This Row],[Kerma en aire acumulada (Gy)]],"")</f>
        <v/>
      </c>
    </row>
    <row r="1648" spans="3:27">
      <c r="C1648" s="147" t="s">
        <v>1088</v>
      </c>
      <c r="D1648" s="134" t="s">
        <v>2822</v>
      </c>
      <c r="E1648" s="134" t="s">
        <v>22</v>
      </c>
      <c r="F1648" s="134" t="s">
        <v>991</v>
      </c>
      <c r="G1648" s="134">
        <v>1867504</v>
      </c>
      <c r="H1648" s="135">
        <v>44697</v>
      </c>
      <c r="I1648" s="134">
        <v>2.5579999999999999E-2</v>
      </c>
      <c r="J1648" s="145"/>
      <c r="K1648" s="145"/>
      <c r="L1648" s="145"/>
      <c r="M1648" s="145"/>
      <c r="N1648" s="145"/>
      <c r="O1648" s="145"/>
      <c r="P1648" s="145"/>
      <c r="Q1648" s="145"/>
      <c r="R1648" s="145"/>
      <c r="S1648" s="145"/>
      <c r="T1648" s="135">
        <v>19369</v>
      </c>
      <c r="U1648" s="145"/>
      <c r="V1648" s="134" t="s">
        <v>563</v>
      </c>
      <c r="W1648" s="92" t="str">
        <f t="shared" si="116"/>
        <v>Talaverano Ruiz,Jose</v>
      </c>
      <c r="X1648" s="95">
        <f t="shared" si="117"/>
        <v>5</v>
      </c>
      <c r="Y1648" s="95">
        <f t="shared" si="118"/>
        <v>2022</v>
      </c>
      <c r="Z1648" s="136" t="s">
        <v>266</v>
      </c>
      <c r="AA1648" t="str">
        <f>IF(Tabla1[[#This Row],[Kerma en aire acumulada (Gy)]]&gt;1,SUMIF(G:G,Tabla1[[#This Row],[SIP]],I:I)-Tabla1[[#This Row],[Kerma en aire acumulada (Gy)]],"")</f>
        <v/>
      </c>
    </row>
    <row r="1649" spans="3:27">
      <c r="C1649" s="147" t="s">
        <v>1088</v>
      </c>
      <c r="D1649" s="134" t="s">
        <v>1090</v>
      </c>
      <c r="E1649" s="134" t="s">
        <v>2842</v>
      </c>
      <c r="F1649" s="134" t="s">
        <v>2141</v>
      </c>
      <c r="G1649" s="134">
        <v>4515796</v>
      </c>
      <c r="H1649" s="135">
        <v>44697</v>
      </c>
      <c r="I1649" s="134">
        <v>1.7287999999999999</v>
      </c>
      <c r="J1649" s="145"/>
      <c r="K1649" s="145"/>
      <c r="L1649" s="145"/>
      <c r="M1649" s="145"/>
      <c r="N1649" s="145"/>
      <c r="O1649" s="145"/>
      <c r="P1649" s="145"/>
      <c r="Q1649" s="145"/>
      <c r="R1649" s="145"/>
      <c r="S1649" s="145"/>
      <c r="T1649" s="135">
        <v>22757</v>
      </c>
      <c r="U1649" s="145"/>
      <c r="V1649" s="134" t="s">
        <v>2241</v>
      </c>
      <c r="W1649" s="92" t="str">
        <f t="shared" si="116"/>
        <v>Ibañez Buj,Jesus</v>
      </c>
      <c r="X1649" s="95">
        <f t="shared" si="117"/>
        <v>5</v>
      </c>
      <c r="Y1649" s="95">
        <f t="shared" si="118"/>
        <v>2022</v>
      </c>
      <c r="Z1649" s="136" t="s">
        <v>2238</v>
      </c>
      <c r="AA1649">
        <f>IF(Tabla1[[#This Row],[Kerma en aire acumulada (Gy)]]&gt;1,SUMIF(G:G,Tabla1[[#This Row],[SIP]],I:I)-Tabla1[[#This Row],[Kerma en aire acumulada (Gy)]],"")</f>
        <v>0.26527999999999996</v>
      </c>
    </row>
    <row r="1650" spans="3:27">
      <c r="C1650" s="147" t="s">
        <v>1088</v>
      </c>
      <c r="D1650" s="134" t="s">
        <v>2869</v>
      </c>
      <c r="E1650" s="134" t="s">
        <v>2870</v>
      </c>
      <c r="F1650" s="134" t="s">
        <v>57</v>
      </c>
      <c r="G1650" s="134">
        <v>3514951</v>
      </c>
      <c r="H1650" s="135">
        <v>44698</v>
      </c>
      <c r="I1650" s="134">
        <v>0.24787000000000001</v>
      </c>
      <c r="J1650" s="145"/>
      <c r="K1650" s="145"/>
      <c r="L1650" s="145"/>
      <c r="M1650" s="145"/>
      <c r="N1650" s="145"/>
      <c r="O1650" s="145"/>
      <c r="P1650" s="145"/>
      <c r="Q1650" s="145"/>
      <c r="R1650" s="145"/>
      <c r="S1650" s="145"/>
      <c r="T1650" s="135">
        <v>16747</v>
      </c>
      <c r="U1650" s="145"/>
      <c r="V1650" s="134" t="s">
        <v>151</v>
      </c>
      <c r="W1650" s="92" t="str">
        <f t="shared" si="116"/>
        <v>Pasi  Duart,Miguel</v>
      </c>
      <c r="X1650" s="95">
        <f t="shared" si="117"/>
        <v>5</v>
      </c>
      <c r="Y1650" s="95">
        <f t="shared" si="118"/>
        <v>2022</v>
      </c>
      <c r="Z1650" s="103" t="s">
        <v>265</v>
      </c>
      <c r="AA1650" t="str">
        <f>IF(Tabla1[[#This Row],[Kerma en aire acumulada (Gy)]]&gt;1,SUMIF(G:G,Tabla1[[#This Row],[SIP]],I:I)-Tabla1[[#This Row],[Kerma en aire acumulada (Gy)]],"")</f>
        <v/>
      </c>
    </row>
    <row r="1651" spans="3:27">
      <c r="C1651" s="147" t="s">
        <v>1088</v>
      </c>
      <c r="D1651" s="134" t="s">
        <v>1261</v>
      </c>
      <c r="E1651" s="134" t="s">
        <v>945</v>
      </c>
      <c r="F1651" s="134" t="s">
        <v>2871</v>
      </c>
      <c r="G1651" s="134">
        <v>3819792</v>
      </c>
      <c r="H1651" s="135">
        <v>44698</v>
      </c>
      <c r="I1651" s="134">
        <v>0.29372999999999999</v>
      </c>
      <c r="J1651" s="145"/>
      <c r="K1651" s="145"/>
      <c r="L1651" s="145"/>
      <c r="M1651" s="145"/>
      <c r="N1651" s="145"/>
      <c r="O1651" s="145"/>
      <c r="P1651" s="145"/>
      <c r="Q1651" s="145"/>
      <c r="R1651" s="145"/>
      <c r="S1651" s="145"/>
      <c r="T1651" s="135">
        <v>22136</v>
      </c>
      <c r="U1651" s="145"/>
      <c r="V1651" s="134" t="s">
        <v>650</v>
      </c>
      <c r="W1651" s="92" t="str">
        <f t="shared" si="116"/>
        <v>Hernandez Ponce,Juliana</v>
      </c>
      <c r="X1651" s="95">
        <f t="shared" si="117"/>
        <v>5</v>
      </c>
      <c r="Y1651" s="95">
        <f t="shared" si="118"/>
        <v>2022</v>
      </c>
      <c r="Z1651" s="103" t="s">
        <v>265</v>
      </c>
      <c r="AA1651" t="str">
        <f>IF(Tabla1[[#This Row],[Kerma en aire acumulada (Gy)]]&gt;1,SUMIF(G:G,Tabla1[[#This Row],[SIP]],I:I)-Tabla1[[#This Row],[Kerma en aire acumulada (Gy)]],"")</f>
        <v/>
      </c>
    </row>
    <row r="1652" spans="3:27">
      <c r="C1652" s="147" t="s">
        <v>1088</v>
      </c>
      <c r="D1652" s="134" t="s">
        <v>77</v>
      </c>
      <c r="E1652" s="134" t="s">
        <v>2889</v>
      </c>
      <c r="F1652" s="134" t="s">
        <v>2782</v>
      </c>
      <c r="G1652" s="134">
        <v>184007</v>
      </c>
      <c r="H1652" s="135">
        <v>44698</v>
      </c>
      <c r="I1652" s="134">
        <v>0.43867</v>
      </c>
      <c r="J1652" s="145"/>
      <c r="K1652" s="145"/>
      <c r="L1652" s="145"/>
      <c r="M1652" s="145"/>
      <c r="N1652" s="145"/>
      <c r="O1652" s="145"/>
      <c r="P1652" s="145"/>
      <c r="Q1652" s="145"/>
      <c r="R1652" s="145"/>
      <c r="S1652" s="145"/>
      <c r="T1652" s="135">
        <v>25909</v>
      </c>
      <c r="U1652" s="145"/>
      <c r="V1652" s="134" t="s">
        <v>128</v>
      </c>
      <c r="W1652" s="92" t="str">
        <f t="shared" si="116"/>
        <v>Torres Quintana,Jose Joaquin</v>
      </c>
      <c r="X1652" s="95">
        <f t="shared" si="117"/>
        <v>5</v>
      </c>
      <c r="Y1652" s="95">
        <f t="shared" si="118"/>
        <v>2022</v>
      </c>
      <c r="Z1652" s="103" t="s">
        <v>265</v>
      </c>
      <c r="AA1652" t="str">
        <f>IF(Tabla1[[#This Row],[Kerma en aire acumulada (Gy)]]&gt;1,SUMIF(G:G,Tabla1[[#This Row],[SIP]],I:I)-Tabla1[[#This Row],[Kerma en aire acumulada (Gy)]],"")</f>
        <v/>
      </c>
    </row>
    <row r="1653" spans="3:27">
      <c r="C1653" s="147" t="s">
        <v>1088</v>
      </c>
      <c r="D1653" s="134" t="s">
        <v>152</v>
      </c>
      <c r="E1653" s="134" t="s">
        <v>2926</v>
      </c>
      <c r="F1653" s="134" t="s">
        <v>83</v>
      </c>
      <c r="G1653" s="134">
        <v>4826722</v>
      </c>
      <c r="H1653" s="135">
        <v>44698</v>
      </c>
      <c r="I1653" s="134">
        <v>0.60255000000000003</v>
      </c>
      <c r="J1653" s="145"/>
      <c r="K1653" s="145"/>
      <c r="L1653" s="145"/>
      <c r="M1653" s="145"/>
      <c r="N1653" s="145"/>
      <c r="O1653" s="145"/>
      <c r="P1653" s="145"/>
      <c r="Q1653" s="145"/>
      <c r="R1653" s="145"/>
      <c r="S1653" s="145"/>
      <c r="T1653" s="135">
        <v>16956</v>
      </c>
      <c r="U1653" s="145"/>
      <c r="V1653" s="134" t="s">
        <v>563</v>
      </c>
      <c r="W1653" s="92" t="str">
        <f t="shared" si="116"/>
        <v>Vidal Pellicer,Francisco</v>
      </c>
      <c r="X1653" s="95">
        <f t="shared" si="117"/>
        <v>5</v>
      </c>
      <c r="Y1653" s="95">
        <f t="shared" si="118"/>
        <v>2022</v>
      </c>
      <c r="Z1653" s="136" t="s">
        <v>266</v>
      </c>
      <c r="AA1653" t="str">
        <f>IF(Tabla1[[#This Row],[Kerma en aire acumulada (Gy)]]&gt;1,SUMIF(G:G,Tabla1[[#This Row],[SIP]],I:I)-Tabla1[[#This Row],[Kerma en aire acumulada (Gy)]],"")</f>
        <v/>
      </c>
    </row>
    <row r="1654" spans="3:27">
      <c r="C1654" s="147" t="s">
        <v>1088</v>
      </c>
      <c r="D1654" s="134" t="s">
        <v>2927</v>
      </c>
      <c r="E1654" s="134" t="s">
        <v>2928</v>
      </c>
      <c r="F1654" s="134" t="s">
        <v>1860</v>
      </c>
      <c r="G1654" s="134">
        <v>7846890</v>
      </c>
      <c r="H1654" s="135">
        <v>44698</v>
      </c>
      <c r="I1654" s="134">
        <v>0.25269000000000003</v>
      </c>
      <c r="J1654" s="145"/>
      <c r="K1654" s="145"/>
      <c r="L1654" s="145"/>
      <c r="M1654" s="145"/>
      <c r="N1654" s="145"/>
      <c r="O1654" s="145"/>
      <c r="P1654" s="145"/>
      <c r="Q1654" s="145"/>
      <c r="R1654" s="145"/>
      <c r="S1654" s="145"/>
      <c r="T1654" s="135">
        <v>20316</v>
      </c>
      <c r="U1654" s="145"/>
      <c r="V1654" s="134" t="s">
        <v>563</v>
      </c>
      <c r="W1654" s="92" t="str">
        <f t="shared" si="116"/>
        <v>Ayang Nguema,Asunción</v>
      </c>
      <c r="X1654" s="95">
        <f t="shared" si="117"/>
        <v>5</v>
      </c>
      <c r="Y1654" s="95">
        <f t="shared" si="118"/>
        <v>2022</v>
      </c>
      <c r="Z1654" s="136" t="s">
        <v>266</v>
      </c>
      <c r="AA1654" t="str">
        <f>IF(Tabla1[[#This Row],[Kerma en aire acumulada (Gy)]]&gt;1,SUMIF(G:G,Tabla1[[#This Row],[SIP]],I:I)-Tabla1[[#This Row],[Kerma en aire acumulada (Gy)]],"")</f>
        <v/>
      </c>
    </row>
    <row r="1655" spans="3:27">
      <c r="C1655" s="147" t="s">
        <v>1088</v>
      </c>
      <c r="D1655" s="134" t="s">
        <v>1904</v>
      </c>
      <c r="E1655" s="134" t="s">
        <v>1017</v>
      </c>
      <c r="F1655" s="134" t="s">
        <v>88</v>
      </c>
      <c r="G1655" s="134">
        <v>2840467</v>
      </c>
      <c r="H1655" s="135">
        <v>44698</v>
      </c>
      <c r="I1655" s="134">
        <v>0.10101</v>
      </c>
      <c r="J1655" s="145"/>
      <c r="K1655" s="145"/>
      <c r="L1655" s="145"/>
      <c r="M1655" s="145"/>
      <c r="N1655" s="145"/>
      <c r="O1655" s="145"/>
      <c r="P1655" s="145"/>
      <c r="Q1655" s="145"/>
      <c r="R1655" s="145"/>
      <c r="S1655" s="145"/>
      <c r="T1655" s="135">
        <v>24445</v>
      </c>
      <c r="U1655" s="145"/>
      <c r="V1655" s="134" t="s">
        <v>563</v>
      </c>
      <c r="W1655" s="92" t="str">
        <f t="shared" si="116"/>
        <v>Nuñez Clemente,Vicente</v>
      </c>
      <c r="X1655" s="95">
        <f t="shared" si="117"/>
        <v>5</v>
      </c>
      <c r="Y1655" s="95">
        <f t="shared" si="118"/>
        <v>2022</v>
      </c>
      <c r="Z1655" s="136" t="s">
        <v>266</v>
      </c>
      <c r="AA1655" t="str">
        <f>IF(Tabla1[[#This Row],[Kerma en aire acumulada (Gy)]]&gt;1,SUMIF(G:G,Tabla1[[#This Row],[SIP]],I:I)-Tabla1[[#This Row],[Kerma en aire acumulada (Gy)]],"")</f>
        <v/>
      </c>
    </row>
    <row r="1656" spans="3:27">
      <c r="C1656" s="147" t="s">
        <v>1088</v>
      </c>
      <c r="D1656" s="134" t="s">
        <v>2956</v>
      </c>
      <c r="E1656" s="134" t="s">
        <v>2458</v>
      </c>
      <c r="F1656" s="134" t="s">
        <v>356</v>
      </c>
      <c r="G1656" s="134">
        <v>4567750</v>
      </c>
      <c r="H1656" s="135">
        <v>44698</v>
      </c>
      <c r="I1656" s="134">
        <v>1.11717</v>
      </c>
      <c r="J1656" s="145"/>
      <c r="K1656" s="145"/>
      <c r="L1656" s="145"/>
      <c r="M1656" s="145"/>
      <c r="N1656" s="145"/>
      <c r="O1656" s="145"/>
      <c r="P1656" s="145"/>
      <c r="Q1656" s="145"/>
      <c r="R1656" s="145"/>
      <c r="S1656" s="145"/>
      <c r="T1656" s="135">
        <v>12673</v>
      </c>
      <c r="U1656" s="145"/>
      <c r="V1656" s="134" t="s">
        <v>563</v>
      </c>
      <c r="W1656" s="92" t="str">
        <f t="shared" si="116"/>
        <v>Lido Rodenas,Manuel</v>
      </c>
      <c r="X1656" s="95">
        <f t="shared" si="117"/>
        <v>5</v>
      </c>
      <c r="Y1656" s="95">
        <f t="shared" si="118"/>
        <v>2022</v>
      </c>
      <c r="Z1656" s="136" t="s">
        <v>266</v>
      </c>
      <c r="AA1656">
        <f>IF(Tabla1[[#This Row],[Kerma en aire acumulada (Gy)]]&gt;1,SUMIF(G:G,Tabla1[[#This Row],[SIP]],I:I)-Tabla1[[#This Row],[Kerma en aire acumulada (Gy)]],"")</f>
        <v>0</v>
      </c>
    </row>
    <row r="1657" spans="3:27">
      <c r="C1657" s="147" t="s">
        <v>1088</v>
      </c>
      <c r="D1657" s="134" t="s">
        <v>2957</v>
      </c>
      <c r="E1657" s="134" t="s">
        <v>607</v>
      </c>
      <c r="F1657" s="134" t="s">
        <v>521</v>
      </c>
      <c r="G1657" s="134">
        <v>2323586</v>
      </c>
      <c r="H1657" s="135">
        <v>44698</v>
      </c>
      <c r="I1657" s="134">
        <v>0.46154000000000001</v>
      </c>
      <c r="J1657" s="145"/>
      <c r="K1657" s="145"/>
      <c r="L1657" s="145"/>
      <c r="M1657" s="145"/>
      <c r="N1657" s="145"/>
      <c r="O1657" s="145"/>
      <c r="P1657" s="145"/>
      <c r="Q1657" s="145"/>
      <c r="R1657" s="145"/>
      <c r="S1657" s="145"/>
      <c r="T1657" s="135">
        <v>12378</v>
      </c>
      <c r="U1657" s="145"/>
      <c r="V1657" s="134" t="s">
        <v>563</v>
      </c>
      <c r="W1657" s="92" t="str">
        <f t="shared" si="116"/>
        <v>Rodrigo del Amorós,Consuelo</v>
      </c>
      <c r="X1657" s="95">
        <f t="shared" si="117"/>
        <v>5</v>
      </c>
      <c r="Y1657" s="95">
        <f t="shared" si="118"/>
        <v>2022</v>
      </c>
      <c r="Z1657" s="136" t="s">
        <v>266</v>
      </c>
      <c r="AA1657" t="str">
        <f>IF(Tabla1[[#This Row],[Kerma en aire acumulada (Gy)]]&gt;1,SUMIF(G:G,Tabla1[[#This Row],[SIP]],I:I)-Tabla1[[#This Row],[Kerma en aire acumulada (Gy)]],"")</f>
        <v/>
      </c>
    </row>
    <row r="1658" spans="3:27">
      <c r="C1658" s="147" t="s">
        <v>1088</v>
      </c>
      <c r="D1658" s="134" t="s">
        <v>2958</v>
      </c>
      <c r="E1658" s="134" t="s">
        <v>1837</v>
      </c>
      <c r="F1658" s="134" t="s">
        <v>627</v>
      </c>
      <c r="G1658" s="134">
        <v>2180999</v>
      </c>
      <c r="H1658" s="135">
        <v>44698</v>
      </c>
      <c r="I1658" s="134">
        <v>7.5310000000000002E-2</v>
      </c>
      <c r="J1658" s="145"/>
      <c r="K1658" s="145"/>
      <c r="L1658" s="145"/>
      <c r="M1658" s="145"/>
      <c r="N1658" s="145"/>
      <c r="O1658" s="145"/>
      <c r="P1658" s="145"/>
      <c r="Q1658" s="145"/>
      <c r="R1658" s="145"/>
      <c r="S1658" s="145"/>
      <c r="T1658" s="135">
        <v>28793</v>
      </c>
      <c r="U1658" s="145"/>
      <c r="V1658" s="134" t="s">
        <v>563</v>
      </c>
      <c r="W1658" s="92" t="str">
        <f t="shared" si="116"/>
        <v>Araque Rodriguez,Sonia</v>
      </c>
      <c r="X1658" s="95">
        <f t="shared" si="117"/>
        <v>5</v>
      </c>
      <c r="Y1658" s="95">
        <f t="shared" si="118"/>
        <v>2022</v>
      </c>
      <c r="Z1658" s="136" t="s">
        <v>266</v>
      </c>
      <c r="AA1658" t="str">
        <f>IF(Tabla1[[#This Row],[Kerma en aire acumulada (Gy)]]&gt;1,SUMIF(G:G,Tabla1[[#This Row],[SIP]],I:I)-Tabla1[[#This Row],[Kerma en aire acumulada (Gy)]],"")</f>
        <v/>
      </c>
    </row>
    <row r="1659" spans="3:27">
      <c r="C1659" s="147" t="s">
        <v>1088</v>
      </c>
      <c r="D1659" s="134" t="s">
        <v>2003</v>
      </c>
      <c r="E1659" s="134" t="s">
        <v>2959</v>
      </c>
      <c r="F1659" s="134" t="s">
        <v>68</v>
      </c>
      <c r="G1659" s="134">
        <v>4516446</v>
      </c>
      <c r="H1659" s="135">
        <v>44698</v>
      </c>
      <c r="I1659" s="134">
        <v>0.14083999999999999</v>
      </c>
      <c r="J1659" s="145"/>
      <c r="K1659" s="145"/>
      <c r="L1659" s="145"/>
      <c r="M1659" s="145"/>
      <c r="N1659" s="145"/>
      <c r="O1659" s="145"/>
      <c r="P1659" s="145"/>
      <c r="Q1659" s="145"/>
      <c r="R1659" s="145"/>
      <c r="S1659" s="145"/>
      <c r="T1659" s="135">
        <v>13854</v>
      </c>
      <c r="U1659" s="145"/>
      <c r="V1659" s="134" t="s">
        <v>563</v>
      </c>
      <c r="W1659" s="92" t="str">
        <f t="shared" si="116"/>
        <v>Palacios Aleixandre,Juan</v>
      </c>
      <c r="X1659" s="95">
        <f t="shared" si="117"/>
        <v>5</v>
      </c>
      <c r="Y1659" s="95">
        <f t="shared" si="118"/>
        <v>2022</v>
      </c>
      <c r="Z1659" s="136" t="s">
        <v>266</v>
      </c>
      <c r="AA1659" t="str">
        <f>IF(Tabla1[[#This Row],[Kerma en aire acumulada (Gy)]]&gt;1,SUMIF(G:G,Tabla1[[#This Row],[SIP]],I:I)-Tabla1[[#This Row],[Kerma en aire acumulada (Gy)]],"")</f>
        <v/>
      </c>
    </row>
    <row r="1660" spans="3:27">
      <c r="C1660" s="147" t="s">
        <v>1088</v>
      </c>
      <c r="D1660" s="134" t="s">
        <v>2960</v>
      </c>
      <c r="E1660" s="134" t="s">
        <v>1022</v>
      </c>
      <c r="F1660" s="134" t="s">
        <v>2348</v>
      </c>
      <c r="G1660" s="134">
        <v>1866810</v>
      </c>
      <c r="H1660" s="135">
        <v>44698</v>
      </c>
      <c r="I1660" s="134">
        <v>0.29687000000000002</v>
      </c>
      <c r="J1660" s="145"/>
      <c r="K1660" s="145"/>
      <c r="L1660" s="145"/>
      <c r="M1660" s="145"/>
      <c r="N1660" s="145"/>
      <c r="O1660" s="145"/>
      <c r="P1660" s="145"/>
      <c r="Q1660" s="145"/>
      <c r="R1660" s="145"/>
      <c r="S1660" s="145"/>
      <c r="T1660" s="135">
        <v>19152</v>
      </c>
      <c r="U1660" s="145"/>
      <c r="V1660" s="134" t="s">
        <v>563</v>
      </c>
      <c r="W1660" s="92" t="str">
        <f t="shared" si="116"/>
        <v>Fito Tarazona,Valentin</v>
      </c>
      <c r="X1660" s="95">
        <f t="shared" si="117"/>
        <v>5</v>
      </c>
      <c r="Y1660" s="95">
        <f t="shared" si="118"/>
        <v>2022</v>
      </c>
      <c r="Z1660" s="136" t="s">
        <v>266</v>
      </c>
      <c r="AA1660" t="str">
        <f>IF(Tabla1[[#This Row],[Kerma en aire acumulada (Gy)]]&gt;1,SUMIF(G:G,Tabla1[[#This Row],[SIP]],I:I)-Tabla1[[#This Row],[Kerma en aire acumulada (Gy)]],"")</f>
        <v/>
      </c>
    </row>
    <row r="1661" spans="3:27">
      <c r="C1661" s="147" t="s">
        <v>1088</v>
      </c>
      <c r="D1661" s="134" t="s">
        <v>2306</v>
      </c>
      <c r="E1661" s="134" t="s">
        <v>2754</v>
      </c>
      <c r="F1661" s="134" t="s">
        <v>71</v>
      </c>
      <c r="G1661" s="134">
        <v>2712642</v>
      </c>
      <c r="H1661" s="135">
        <v>44698</v>
      </c>
      <c r="I1661" s="134">
        <v>0.22040999999999999</v>
      </c>
      <c r="J1661" s="145"/>
      <c r="K1661" s="145"/>
      <c r="L1661" s="145"/>
      <c r="M1661" s="145"/>
      <c r="N1661" s="145"/>
      <c r="O1661" s="145"/>
      <c r="P1661" s="145"/>
      <c r="Q1661" s="145"/>
      <c r="R1661" s="145"/>
      <c r="S1661" s="145"/>
      <c r="T1661" s="135">
        <v>13365</v>
      </c>
      <c r="U1661" s="145"/>
      <c r="V1661" s="134" t="s">
        <v>563</v>
      </c>
      <c r="W1661" s="92" t="str">
        <f t="shared" si="116"/>
        <v>Bayona Breso,Rafael</v>
      </c>
      <c r="X1661" s="95">
        <f t="shared" si="117"/>
        <v>5</v>
      </c>
      <c r="Y1661" s="95">
        <f t="shared" si="118"/>
        <v>2022</v>
      </c>
      <c r="Z1661" s="136" t="s">
        <v>266</v>
      </c>
      <c r="AA1661" t="str">
        <f>IF(Tabla1[[#This Row],[Kerma en aire acumulada (Gy)]]&gt;1,SUMIF(G:G,Tabla1[[#This Row],[SIP]],I:I)-Tabla1[[#This Row],[Kerma en aire acumulada (Gy)]],"")</f>
        <v/>
      </c>
    </row>
    <row r="1662" spans="3:27">
      <c r="C1662" s="147" t="s">
        <v>1088</v>
      </c>
      <c r="D1662" s="134" t="s">
        <v>2867</v>
      </c>
      <c r="E1662" s="134" t="s">
        <v>2868</v>
      </c>
      <c r="F1662" s="134" t="s">
        <v>117</v>
      </c>
      <c r="G1662" s="134">
        <v>2934546</v>
      </c>
      <c r="H1662" s="135">
        <v>44699</v>
      </c>
      <c r="I1662" s="134">
        <v>0.48505999999999999</v>
      </c>
      <c r="J1662" s="145"/>
      <c r="K1662" s="145"/>
      <c r="L1662" s="145"/>
      <c r="M1662" s="145"/>
      <c r="N1662" s="145"/>
      <c r="O1662" s="145"/>
      <c r="P1662" s="145"/>
      <c r="Q1662" s="145"/>
      <c r="R1662" s="145"/>
      <c r="S1662" s="145"/>
      <c r="T1662" s="135">
        <v>22477</v>
      </c>
      <c r="U1662" s="145"/>
      <c r="V1662" s="134" t="s">
        <v>1643</v>
      </c>
      <c r="W1662" s="92" t="str">
        <f t="shared" si="116"/>
        <v>Monton Gurrea,M Carmen</v>
      </c>
      <c r="X1662" s="95">
        <f t="shared" si="117"/>
        <v>5</v>
      </c>
      <c r="Y1662" s="95">
        <f t="shared" si="118"/>
        <v>2022</v>
      </c>
      <c r="Z1662" s="103" t="s">
        <v>265</v>
      </c>
      <c r="AA1662" t="str">
        <f>IF(Tabla1[[#This Row],[Kerma en aire acumulada (Gy)]]&gt;1,SUMIF(G:G,Tabla1[[#This Row],[SIP]],I:I)-Tabla1[[#This Row],[Kerma en aire acumulada (Gy)]],"")</f>
        <v/>
      </c>
    </row>
    <row r="1663" spans="3:27">
      <c r="C1663" s="147" t="s">
        <v>1088</v>
      </c>
      <c r="D1663" s="134" t="s">
        <v>2887</v>
      </c>
      <c r="E1663" s="134" t="s">
        <v>1621</v>
      </c>
      <c r="F1663" s="134" t="s">
        <v>2183</v>
      </c>
      <c r="G1663" s="134">
        <v>2400056</v>
      </c>
      <c r="H1663" s="135">
        <v>44699</v>
      </c>
      <c r="I1663" s="134">
        <v>7.9560000000000006E-2</v>
      </c>
      <c r="J1663" s="145"/>
      <c r="K1663" s="145"/>
      <c r="L1663" s="145"/>
      <c r="M1663" s="145"/>
      <c r="N1663" s="145"/>
      <c r="O1663" s="145"/>
      <c r="P1663" s="145"/>
      <c r="Q1663" s="145"/>
      <c r="R1663" s="145"/>
      <c r="S1663" s="145"/>
      <c r="T1663" s="135">
        <v>20147</v>
      </c>
      <c r="U1663" s="145"/>
      <c r="V1663" s="134" t="s">
        <v>1293</v>
      </c>
      <c r="W1663" s="92" t="str">
        <f t="shared" si="116"/>
        <v>Comes Ramon,Agustin</v>
      </c>
      <c r="X1663" s="95">
        <f t="shared" si="117"/>
        <v>5</v>
      </c>
      <c r="Y1663" s="95">
        <f t="shared" si="118"/>
        <v>2022</v>
      </c>
      <c r="Z1663" s="103" t="s">
        <v>265</v>
      </c>
      <c r="AA1663" t="str">
        <f>IF(Tabla1[[#This Row],[Kerma en aire acumulada (Gy)]]&gt;1,SUMIF(G:G,Tabla1[[#This Row],[SIP]],I:I)-Tabla1[[#This Row],[Kerma en aire acumulada (Gy)]],"")</f>
        <v/>
      </c>
    </row>
    <row r="1664" spans="3:27">
      <c r="C1664" s="147" t="s">
        <v>1088</v>
      </c>
      <c r="D1664" s="134" t="s">
        <v>346</v>
      </c>
      <c r="E1664" s="134" t="s">
        <v>347</v>
      </c>
      <c r="F1664" s="134" t="s">
        <v>2888</v>
      </c>
      <c r="G1664" s="134">
        <v>3264182</v>
      </c>
      <c r="H1664" s="135">
        <v>44699</v>
      </c>
      <c r="I1664" s="134">
        <v>0.64817000000000002</v>
      </c>
      <c r="J1664" s="145"/>
      <c r="K1664" s="145"/>
      <c r="L1664" s="145"/>
      <c r="M1664" s="145"/>
      <c r="N1664" s="145"/>
      <c r="O1664" s="145"/>
      <c r="P1664" s="145"/>
      <c r="Q1664" s="145"/>
      <c r="R1664" s="145"/>
      <c r="S1664" s="145"/>
      <c r="T1664" s="135">
        <v>16369</v>
      </c>
      <c r="U1664" s="145"/>
      <c r="V1664" s="134" t="s">
        <v>180</v>
      </c>
      <c r="W1664" s="92" t="str">
        <f t="shared" si="116"/>
        <v>Fuster Tarrazo,Rosa Maria</v>
      </c>
      <c r="X1664" s="95">
        <f t="shared" si="117"/>
        <v>5</v>
      </c>
      <c r="Y1664" s="95">
        <f t="shared" si="118"/>
        <v>2022</v>
      </c>
      <c r="Z1664" s="103" t="s">
        <v>265</v>
      </c>
      <c r="AA1664" t="str">
        <f>IF(Tabla1[[#This Row],[Kerma en aire acumulada (Gy)]]&gt;1,SUMIF(G:G,Tabla1[[#This Row],[SIP]],I:I)-Tabla1[[#This Row],[Kerma en aire acumulada (Gy)]],"")</f>
        <v/>
      </c>
    </row>
    <row r="1665" spans="3:27">
      <c r="C1665" s="147" t="s">
        <v>1088</v>
      </c>
      <c r="D1665" s="134" t="s">
        <v>2918</v>
      </c>
      <c r="E1665" s="134" t="s">
        <v>1158</v>
      </c>
      <c r="F1665" s="134" t="s">
        <v>1238</v>
      </c>
      <c r="G1665" s="134">
        <v>4869859</v>
      </c>
      <c r="H1665" s="135">
        <v>44699</v>
      </c>
      <c r="I1665" s="134">
        <v>1.4840000000000001E-2</v>
      </c>
      <c r="J1665" s="145"/>
      <c r="K1665" s="145"/>
      <c r="L1665" s="145"/>
      <c r="M1665" s="145"/>
      <c r="N1665" s="145"/>
      <c r="O1665" s="145"/>
      <c r="P1665" s="145"/>
      <c r="Q1665" s="145"/>
      <c r="R1665" s="145"/>
      <c r="S1665" s="145"/>
      <c r="T1665" s="135">
        <v>28183</v>
      </c>
      <c r="U1665" s="145"/>
      <c r="V1665" s="134" t="s">
        <v>563</v>
      </c>
      <c r="W1665" s="92" t="str">
        <f t="shared" si="116"/>
        <v>Tellez Ramiro,Angel</v>
      </c>
      <c r="X1665" s="95">
        <f t="shared" si="117"/>
        <v>5</v>
      </c>
      <c r="Y1665" s="95">
        <f t="shared" si="118"/>
        <v>2022</v>
      </c>
      <c r="Z1665" s="136" t="s">
        <v>266</v>
      </c>
      <c r="AA1665" t="str">
        <f>IF(Tabla1[[#This Row],[Kerma en aire acumulada (Gy)]]&gt;1,SUMIF(G:G,Tabla1[[#This Row],[SIP]],I:I)-Tabla1[[#This Row],[Kerma en aire acumulada (Gy)]],"")</f>
        <v/>
      </c>
    </row>
    <row r="1666" spans="3:27">
      <c r="C1666" s="147" t="s">
        <v>1088</v>
      </c>
      <c r="D1666" s="134" t="s">
        <v>115</v>
      </c>
      <c r="E1666" s="134" t="s">
        <v>1276</v>
      </c>
      <c r="F1666" s="134" t="s">
        <v>2134</v>
      </c>
      <c r="G1666" s="134">
        <v>2822437</v>
      </c>
      <c r="H1666" s="135">
        <v>44699</v>
      </c>
      <c r="I1666" s="134">
        <v>6.8440000000000001E-2</v>
      </c>
      <c r="J1666" s="145"/>
      <c r="K1666" s="145"/>
      <c r="L1666" s="145"/>
      <c r="M1666" s="145"/>
      <c r="N1666" s="145"/>
      <c r="O1666" s="145"/>
      <c r="P1666" s="145"/>
      <c r="Q1666" s="145"/>
      <c r="R1666" s="145"/>
      <c r="S1666" s="145"/>
      <c r="T1666" s="135">
        <v>20343</v>
      </c>
      <c r="U1666" s="145"/>
      <c r="V1666" s="134" t="s">
        <v>563</v>
      </c>
      <c r="W1666" s="92" t="str">
        <f t="shared" si="116"/>
        <v>Pardo Alvarez,Benjamin</v>
      </c>
      <c r="X1666" s="95">
        <f t="shared" si="117"/>
        <v>5</v>
      </c>
      <c r="Y1666" s="95">
        <f t="shared" si="118"/>
        <v>2022</v>
      </c>
      <c r="Z1666" s="136" t="s">
        <v>266</v>
      </c>
      <c r="AA1666" t="str">
        <f>IF(Tabla1[[#This Row],[Kerma en aire acumulada (Gy)]]&gt;1,SUMIF(G:G,Tabla1[[#This Row],[SIP]],I:I)-Tabla1[[#This Row],[Kerma en aire acumulada (Gy)]],"")</f>
        <v/>
      </c>
    </row>
    <row r="1667" spans="3:27">
      <c r="C1667" s="147" t="s">
        <v>1088</v>
      </c>
      <c r="D1667" s="134" t="s">
        <v>1076</v>
      </c>
      <c r="E1667" s="134" t="s">
        <v>2919</v>
      </c>
      <c r="F1667" s="134" t="s">
        <v>68</v>
      </c>
      <c r="G1667" s="134">
        <v>2612548</v>
      </c>
      <c r="H1667" s="135">
        <v>44699</v>
      </c>
      <c r="I1667" s="134">
        <v>0.20025000000000001</v>
      </c>
      <c r="J1667" s="145"/>
      <c r="K1667" s="145"/>
      <c r="L1667" s="145"/>
      <c r="M1667" s="145"/>
      <c r="N1667" s="145"/>
      <c r="O1667" s="145"/>
      <c r="P1667" s="145"/>
      <c r="Q1667" s="145"/>
      <c r="R1667" s="145"/>
      <c r="S1667" s="145"/>
      <c r="T1667" s="135">
        <v>16454</v>
      </c>
      <c r="U1667" s="145"/>
      <c r="V1667" s="134" t="s">
        <v>563</v>
      </c>
      <c r="W1667" s="92" t="str">
        <f t="shared" si="116"/>
        <v>Arias Tristante,Juan</v>
      </c>
      <c r="X1667" s="95">
        <f t="shared" si="117"/>
        <v>5</v>
      </c>
      <c r="Y1667" s="95">
        <f t="shared" si="118"/>
        <v>2022</v>
      </c>
      <c r="Z1667" s="136" t="s">
        <v>266</v>
      </c>
      <c r="AA1667" t="str">
        <f>IF(Tabla1[[#This Row],[Kerma en aire acumulada (Gy)]]&gt;1,SUMIF(G:G,Tabla1[[#This Row],[SIP]],I:I)-Tabla1[[#This Row],[Kerma en aire acumulada (Gy)]],"")</f>
        <v/>
      </c>
    </row>
    <row r="1668" spans="3:27">
      <c r="C1668" s="147" t="s">
        <v>1088</v>
      </c>
      <c r="D1668" s="134" t="s">
        <v>772</v>
      </c>
      <c r="E1668" s="134" t="s">
        <v>772</v>
      </c>
      <c r="F1668" s="134" t="s">
        <v>1907</v>
      </c>
      <c r="G1668" s="134">
        <v>12812178</v>
      </c>
      <c r="H1668" s="135">
        <v>44699</v>
      </c>
      <c r="I1668" s="134">
        <v>0.28702</v>
      </c>
      <c r="J1668" s="145"/>
      <c r="K1668" s="145"/>
      <c r="L1668" s="145"/>
      <c r="M1668" s="145"/>
      <c r="N1668" s="145"/>
      <c r="O1668" s="145"/>
      <c r="P1668" s="145"/>
      <c r="Q1668" s="145"/>
      <c r="R1668" s="145"/>
      <c r="S1668" s="145"/>
      <c r="T1668" s="135">
        <v>20355</v>
      </c>
      <c r="U1668" s="145"/>
      <c r="V1668" s="134" t="s">
        <v>563</v>
      </c>
      <c r="W1668" s="92" t="str">
        <f t="shared" si="116"/>
        <v>Sanchez Sanchez,Ivan</v>
      </c>
      <c r="X1668" s="95">
        <f t="shared" si="117"/>
        <v>5</v>
      </c>
      <c r="Y1668" s="95">
        <f t="shared" si="118"/>
        <v>2022</v>
      </c>
      <c r="Z1668" s="136" t="s">
        <v>266</v>
      </c>
      <c r="AA1668" t="str">
        <f>IF(Tabla1[[#This Row],[Kerma en aire acumulada (Gy)]]&gt;1,SUMIF(G:G,Tabla1[[#This Row],[SIP]],I:I)-Tabla1[[#This Row],[Kerma en aire acumulada (Gy)]],"")</f>
        <v/>
      </c>
    </row>
    <row r="1669" spans="3:27">
      <c r="C1669" s="147" t="s">
        <v>1088</v>
      </c>
      <c r="D1669" s="134" t="s">
        <v>2920</v>
      </c>
      <c r="E1669" s="134" t="s">
        <v>2921</v>
      </c>
      <c r="F1669" s="134" t="s">
        <v>2922</v>
      </c>
      <c r="G1669" s="134">
        <v>12128788</v>
      </c>
      <c r="H1669" s="135">
        <v>44699</v>
      </c>
      <c r="I1669" s="134">
        <v>0.24915999999999999</v>
      </c>
      <c r="J1669" s="145"/>
      <c r="K1669" s="145"/>
      <c r="L1669" s="145"/>
      <c r="M1669" s="145"/>
      <c r="N1669" s="145"/>
      <c r="O1669" s="145"/>
      <c r="P1669" s="145"/>
      <c r="Q1669" s="145"/>
      <c r="R1669" s="145"/>
      <c r="S1669" s="145"/>
      <c r="T1669" s="135">
        <v>25733</v>
      </c>
      <c r="U1669" s="145"/>
      <c r="V1669" s="134" t="s">
        <v>563</v>
      </c>
      <c r="W1669" s="92" t="str">
        <f t="shared" si="116"/>
        <v>Davila Loayza,Mervin Jose</v>
      </c>
      <c r="X1669" s="95">
        <f t="shared" si="117"/>
        <v>5</v>
      </c>
      <c r="Y1669" s="95">
        <f t="shared" si="118"/>
        <v>2022</v>
      </c>
      <c r="Z1669" s="136" t="s">
        <v>266</v>
      </c>
      <c r="AA1669" t="str">
        <f>IF(Tabla1[[#This Row],[Kerma en aire acumulada (Gy)]]&gt;1,SUMIF(G:G,Tabla1[[#This Row],[SIP]],I:I)-Tabla1[[#This Row],[Kerma en aire acumulada (Gy)]],"")</f>
        <v/>
      </c>
    </row>
    <row r="1670" spans="3:27">
      <c r="C1670" s="147" t="s">
        <v>1088</v>
      </c>
      <c r="D1670" s="134" t="s">
        <v>2923</v>
      </c>
      <c r="E1670" s="134" t="s">
        <v>2924</v>
      </c>
      <c r="F1670" s="134" t="s">
        <v>2925</v>
      </c>
      <c r="G1670" s="134">
        <v>5080194</v>
      </c>
      <c r="H1670" s="135">
        <v>44699</v>
      </c>
      <c r="I1670" s="134">
        <v>0.20605999999999999</v>
      </c>
      <c r="J1670" s="145"/>
      <c r="K1670" s="145"/>
      <c r="L1670" s="145"/>
      <c r="M1670" s="145"/>
      <c r="N1670" s="145"/>
      <c r="O1670" s="145"/>
      <c r="P1670" s="145"/>
      <c r="Q1670" s="145"/>
      <c r="R1670" s="145"/>
      <c r="S1670" s="145"/>
      <c r="T1670" s="135">
        <v>27713</v>
      </c>
      <c r="U1670" s="145"/>
      <c r="V1670" s="134" t="s">
        <v>563</v>
      </c>
      <c r="W1670" s="92" t="str">
        <f t="shared" si="116"/>
        <v>Canchingre Alava,Juan Fernando</v>
      </c>
      <c r="X1670" s="95">
        <f t="shared" si="117"/>
        <v>5</v>
      </c>
      <c r="Y1670" s="95">
        <f t="shared" si="118"/>
        <v>2022</v>
      </c>
      <c r="Z1670" s="136" t="s">
        <v>266</v>
      </c>
      <c r="AA1670" t="str">
        <f>IF(Tabla1[[#This Row],[Kerma en aire acumulada (Gy)]]&gt;1,SUMIF(G:G,Tabla1[[#This Row],[SIP]],I:I)-Tabla1[[#This Row],[Kerma en aire acumulada (Gy)]],"")</f>
        <v/>
      </c>
    </row>
    <row r="1671" spans="3:27">
      <c r="C1671" s="147" t="s">
        <v>1088</v>
      </c>
      <c r="D1671" s="134" t="s">
        <v>22</v>
      </c>
      <c r="E1671" s="134" t="s">
        <v>288</v>
      </c>
      <c r="F1671" s="134" t="s">
        <v>1011</v>
      </c>
      <c r="G1671" s="134">
        <v>3822216</v>
      </c>
      <c r="H1671" s="135">
        <v>44699</v>
      </c>
      <c r="I1671" s="134">
        <v>0.15171000000000001</v>
      </c>
      <c r="J1671" s="145"/>
      <c r="K1671" s="145"/>
      <c r="L1671" s="145"/>
      <c r="M1671" s="145"/>
      <c r="N1671" s="145"/>
      <c r="O1671" s="145"/>
      <c r="P1671" s="145"/>
      <c r="Q1671" s="145"/>
      <c r="R1671" s="145"/>
      <c r="S1671" s="145"/>
      <c r="T1671" s="135">
        <v>24435</v>
      </c>
      <c r="U1671" s="145"/>
      <c r="V1671" s="134" t="s">
        <v>563</v>
      </c>
      <c r="W1671" s="92" t="str">
        <f t="shared" si="116"/>
        <v>Ruiz Ortiz,Andres</v>
      </c>
      <c r="X1671" s="95">
        <f t="shared" si="117"/>
        <v>5</v>
      </c>
      <c r="Y1671" s="95">
        <f t="shared" si="118"/>
        <v>2022</v>
      </c>
      <c r="Z1671" s="136" t="s">
        <v>266</v>
      </c>
      <c r="AA1671" t="str">
        <f>IF(Tabla1[[#This Row],[Kerma en aire acumulada (Gy)]]&gt;1,SUMIF(G:G,Tabla1[[#This Row],[SIP]],I:I)-Tabla1[[#This Row],[Kerma en aire acumulada (Gy)]],"")</f>
        <v/>
      </c>
    </row>
    <row r="1672" spans="3:27">
      <c r="C1672" s="147" t="s">
        <v>1088</v>
      </c>
      <c r="D1672" s="134" t="s">
        <v>962</v>
      </c>
      <c r="E1672" s="134" t="s">
        <v>115</v>
      </c>
      <c r="F1672" s="134" t="s">
        <v>2952</v>
      </c>
      <c r="G1672" s="134">
        <v>2840229</v>
      </c>
      <c r="H1672" s="135">
        <v>44699</v>
      </c>
      <c r="I1672" s="134">
        <v>0.34129999999999999</v>
      </c>
      <c r="J1672" s="145"/>
      <c r="K1672" s="145"/>
      <c r="L1672" s="145"/>
      <c r="M1672" s="145"/>
      <c r="N1672" s="145"/>
      <c r="O1672" s="145"/>
      <c r="P1672" s="145"/>
      <c r="Q1672" s="145"/>
      <c r="R1672" s="145"/>
      <c r="S1672" s="145"/>
      <c r="T1672" s="135">
        <v>24990</v>
      </c>
      <c r="U1672" s="145"/>
      <c r="V1672" s="134" t="s">
        <v>563</v>
      </c>
      <c r="W1672" s="92" t="str">
        <f t="shared" si="116"/>
        <v>Garcia Pardo,Loro Emilio</v>
      </c>
      <c r="X1672" s="95">
        <f t="shared" si="117"/>
        <v>5</v>
      </c>
      <c r="Y1672" s="95">
        <f t="shared" si="118"/>
        <v>2022</v>
      </c>
      <c r="Z1672" s="136" t="s">
        <v>266</v>
      </c>
      <c r="AA1672" t="str">
        <f>IF(Tabla1[[#This Row],[Kerma en aire acumulada (Gy)]]&gt;1,SUMIF(G:G,Tabla1[[#This Row],[SIP]],I:I)-Tabla1[[#This Row],[Kerma en aire acumulada (Gy)]],"")</f>
        <v/>
      </c>
    </row>
    <row r="1673" spans="3:27">
      <c r="C1673" s="147" t="s">
        <v>1088</v>
      </c>
      <c r="D1673" s="134" t="s">
        <v>772</v>
      </c>
      <c r="E1673" s="134" t="s">
        <v>997</v>
      </c>
      <c r="F1673" s="134" t="s">
        <v>2953</v>
      </c>
      <c r="G1673" s="134">
        <v>2459055</v>
      </c>
      <c r="H1673" s="135">
        <v>44699</v>
      </c>
      <c r="I1673" s="134">
        <v>0.10508000000000001</v>
      </c>
      <c r="J1673" s="145"/>
      <c r="K1673" s="145"/>
      <c r="L1673" s="145"/>
      <c r="M1673" s="145"/>
      <c r="N1673" s="145"/>
      <c r="O1673" s="145"/>
      <c r="P1673" s="145"/>
      <c r="Q1673" s="145"/>
      <c r="R1673" s="145"/>
      <c r="S1673" s="145"/>
      <c r="T1673" s="135">
        <v>23238</v>
      </c>
      <c r="U1673" s="145"/>
      <c r="V1673" s="134" t="s">
        <v>563</v>
      </c>
      <c r="W1673" s="92" t="str">
        <f t="shared" si="116"/>
        <v>Sanchez Real,Joaquin Vicente</v>
      </c>
      <c r="X1673" s="95">
        <f t="shared" si="117"/>
        <v>5</v>
      </c>
      <c r="Y1673" s="95">
        <f t="shared" si="118"/>
        <v>2022</v>
      </c>
      <c r="Z1673" s="136" t="s">
        <v>266</v>
      </c>
      <c r="AA1673" t="str">
        <f>IF(Tabla1[[#This Row],[Kerma en aire acumulada (Gy)]]&gt;1,SUMIF(G:G,Tabla1[[#This Row],[SIP]],I:I)-Tabla1[[#This Row],[Kerma en aire acumulada (Gy)]],"")</f>
        <v/>
      </c>
    </row>
    <row r="1674" spans="3:27">
      <c r="C1674" s="147" t="s">
        <v>1088</v>
      </c>
      <c r="D1674" s="134" t="s">
        <v>962</v>
      </c>
      <c r="E1674" s="134" t="s">
        <v>1277</v>
      </c>
      <c r="F1674" s="134" t="s">
        <v>83</v>
      </c>
      <c r="G1674" s="134">
        <v>2362274</v>
      </c>
      <c r="H1674" s="135">
        <v>44699</v>
      </c>
      <c r="I1674" s="134">
        <v>0.33753</v>
      </c>
      <c r="J1674" s="145"/>
      <c r="K1674" s="145"/>
      <c r="L1674" s="145"/>
      <c r="M1674" s="145"/>
      <c r="N1674" s="145"/>
      <c r="O1674" s="145"/>
      <c r="P1674" s="145"/>
      <c r="Q1674" s="145"/>
      <c r="R1674" s="145"/>
      <c r="S1674" s="145"/>
      <c r="T1674" s="135">
        <v>23510</v>
      </c>
      <c r="U1674" s="145"/>
      <c r="V1674" s="134" t="s">
        <v>563</v>
      </c>
      <c r="W1674" s="92" t="str">
        <f t="shared" si="116"/>
        <v>Garcia Murgui,Francisco</v>
      </c>
      <c r="X1674" s="95">
        <f t="shared" si="117"/>
        <v>5</v>
      </c>
      <c r="Y1674" s="95">
        <f t="shared" si="118"/>
        <v>2022</v>
      </c>
      <c r="Z1674" s="136" t="s">
        <v>266</v>
      </c>
      <c r="AA1674" t="str">
        <f>IF(Tabla1[[#This Row],[Kerma en aire acumulada (Gy)]]&gt;1,SUMIF(G:G,Tabla1[[#This Row],[SIP]],I:I)-Tabla1[[#This Row],[Kerma en aire acumulada (Gy)]],"")</f>
        <v/>
      </c>
    </row>
    <row r="1675" spans="3:27">
      <c r="C1675" s="147" t="s">
        <v>1088</v>
      </c>
      <c r="D1675" s="134" t="s">
        <v>962</v>
      </c>
      <c r="E1675" s="134" t="s">
        <v>2954</v>
      </c>
      <c r="F1675" s="134" t="s">
        <v>2955</v>
      </c>
      <c r="G1675" s="134">
        <v>3340381</v>
      </c>
      <c r="H1675" s="135">
        <v>44699</v>
      </c>
      <c r="I1675" s="134">
        <v>9.6780000000000005E-2</v>
      </c>
      <c r="J1675" s="145"/>
      <c r="K1675" s="145"/>
      <c r="L1675" s="145"/>
      <c r="M1675" s="145"/>
      <c r="N1675" s="145"/>
      <c r="O1675" s="145"/>
      <c r="P1675" s="145"/>
      <c r="Q1675" s="145"/>
      <c r="R1675" s="145"/>
      <c r="S1675" s="145"/>
      <c r="T1675" s="135">
        <v>12507</v>
      </c>
      <c r="U1675" s="145"/>
      <c r="V1675" s="134" t="s">
        <v>563</v>
      </c>
      <c r="W1675" s="92" t="str">
        <f t="shared" si="116"/>
        <v>Garcia Turnero,Bernabea</v>
      </c>
      <c r="X1675" s="95">
        <f t="shared" si="117"/>
        <v>5</v>
      </c>
      <c r="Y1675" s="95">
        <f t="shared" si="118"/>
        <v>2022</v>
      </c>
      <c r="Z1675" s="136" t="s">
        <v>266</v>
      </c>
      <c r="AA1675" t="str">
        <f>IF(Tabla1[[#This Row],[Kerma en aire acumulada (Gy)]]&gt;1,SUMIF(G:G,Tabla1[[#This Row],[SIP]],I:I)-Tabla1[[#This Row],[Kerma en aire acumulada (Gy)]],"")</f>
        <v/>
      </c>
    </row>
    <row r="1676" spans="3:27">
      <c r="C1676" s="147" t="s">
        <v>1088</v>
      </c>
      <c r="D1676" s="134" t="s">
        <v>772</v>
      </c>
      <c r="E1676" s="134" t="s">
        <v>856</v>
      </c>
      <c r="F1676" s="134" t="s">
        <v>2970</v>
      </c>
      <c r="G1676" s="134">
        <v>3577766</v>
      </c>
      <c r="H1676" s="135">
        <v>44699</v>
      </c>
      <c r="I1676" s="134">
        <v>6.8989999999999996E-2</v>
      </c>
      <c r="J1676" s="145"/>
      <c r="K1676" s="145"/>
      <c r="L1676" s="145"/>
      <c r="M1676" s="145"/>
      <c r="N1676" s="145"/>
      <c r="O1676" s="145"/>
      <c r="P1676" s="145"/>
      <c r="Q1676" s="145"/>
      <c r="R1676" s="145"/>
      <c r="S1676" s="145"/>
      <c r="T1676" s="135">
        <v>27220</v>
      </c>
      <c r="U1676" s="145"/>
      <c r="V1676" s="134" t="s">
        <v>2309</v>
      </c>
      <c r="W1676" s="92" t="str">
        <f t="shared" si="116"/>
        <v>Sanchez Gomez,Eloy</v>
      </c>
      <c r="X1676" s="95">
        <f t="shared" si="117"/>
        <v>5</v>
      </c>
      <c r="Y1676" s="95">
        <f t="shared" si="118"/>
        <v>2022</v>
      </c>
      <c r="Z1676" s="136" t="s">
        <v>2238</v>
      </c>
      <c r="AA1676" t="str">
        <f>IF(Tabla1[[#This Row],[Kerma en aire acumulada (Gy)]]&gt;1,SUMIF(G:G,Tabla1[[#This Row],[SIP]],I:I)-Tabla1[[#This Row],[Kerma en aire acumulada (Gy)]],"")</f>
        <v/>
      </c>
    </row>
    <row r="1677" spans="3:27">
      <c r="C1677" s="147" t="s">
        <v>1088</v>
      </c>
      <c r="D1677" s="134" t="s">
        <v>2866</v>
      </c>
      <c r="E1677" s="134" t="s">
        <v>1837</v>
      </c>
      <c r="F1677" s="134" t="s">
        <v>1260</v>
      </c>
      <c r="G1677" s="134">
        <v>1912775</v>
      </c>
      <c r="H1677" s="135">
        <v>44700</v>
      </c>
      <c r="I1677" s="134">
        <v>1.7579999999999998E-2</v>
      </c>
      <c r="J1677" s="145"/>
      <c r="K1677" s="145"/>
      <c r="L1677" s="145"/>
      <c r="M1677" s="145"/>
      <c r="N1677" s="145"/>
      <c r="O1677" s="145"/>
      <c r="P1677" s="145"/>
      <c r="Q1677" s="145"/>
      <c r="R1677" s="145"/>
      <c r="S1677" s="145"/>
      <c r="T1677" s="135">
        <v>23119</v>
      </c>
      <c r="U1677" s="145"/>
      <c r="V1677" s="134" t="s">
        <v>552</v>
      </c>
      <c r="W1677" s="92" t="str">
        <f t="shared" si="116"/>
        <v>Narvaez Rodriguez,Cristobal</v>
      </c>
      <c r="X1677" s="95">
        <f t="shared" si="117"/>
        <v>5</v>
      </c>
      <c r="Y1677" s="95">
        <f t="shared" si="118"/>
        <v>2022</v>
      </c>
      <c r="Z1677" s="103" t="s">
        <v>265</v>
      </c>
      <c r="AA1677" t="str">
        <f>IF(Tabla1[[#This Row],[Kerma en aire acumulada (Gy)]]&gt;1,SUMIF(G:G,Tabla1[[#This Row],[SIP]],I:I)-Tabla1[[#This Row],[Kerma en aire acumulada (Gy)]],"")</f>
        <v/>
      </c>
    </row>
    <row r="1678" spans="3:27">
      <c r="C1678" s="147" t="s">
        <v>1088</v>
      </c>
      <c r="D1678" s="134" t="s">
        <v>1690</v>
      </c>
      <c r="E1678" s="134" t="s">
        <v>1691</v>
      </c>
      <c r="F1678" s="134" t="s">
        <v>1692</v>
      </c>
      <c r="G1678" s="134">
        <v>11805844</v>
      </c>
      <c r="H1678" s="135">
        <v>44700</v>
      </c>
      <c r="I1678" s="134">
        <v>5.6320000000000002E-2</v>
      </c>
      <c r="J1678" s="145"/>
      <c r="K1678" s="145"/>
      <c r="L1678" s="145"/>
      <c r="M1678" s="145"/>
      <c r="N1678" s="145"/>
      <c r="O1678" s="145"/>
      <c r="P1678" s="145"/>
      <c r="Q1678" s="145"/>
      <c r="R1678" s="145"/>
      <c r="S1678" s="145"/>
      <c r="T1678" s="135">
        <v>26631</v>
      </c>
      <c r="U1678" s="145"/>
      <c r="V1678" s="134" t="s">
        <v>2201</v>
      </c>
      <c r="W1678" s="92" t="str">
        <f t="shared" si="116"/>
        <v>Mushimi Kanyengwe,Yvette</v>
      </c>
      <c r="X1678" s="95">
        <f t="shared" si="117"/>
        <v>5</v>
      </c>
      <c r="Y1678" s="95">
        <f t="shared" si="118"/>
        <v>2022</v>
      </c>
      <c r="Z1678" s="103" t="s">
        <v>265</v>
      </c>
      <c r="AA1678" t="str">
        <f>IF(Tabla1[[#This Row],[Kerma en aire acumulada (Gy)]]&gt;1,SUMIF(G:G,Tabla1[[#This Row],[SIP]],I:I)-Tabla1[[#This Row],[Kerma en aire acumulada (Gy)]],"")</f>
        <v/>
      </c>
    </row>
    <row r="1679" spans="3:27">
      <c r="C1679" s="147" t="s">
        <v>1088</v>
      </c>
      <c r="D1679" s="134" t="s">
        <v>148</v>
      </c>
      <c r="E1679" s="134" t="s">
        <v>74</v>
      </c>
      <c r="F1679" s="134" t="s">
        <v>2884</v>
      </c>
      <c r="G1679" s="134">
        <v>4888193</v>
      </c>
      <c r="H1679" s="135">
        <v>44700</v>
      </c>
      <c r="I1679" s="134">
        <v>0.12242</v>
      </c>
      <c r="J1679" s="145"/>
      <c r="K1679" s="145"/>
      <c r="L1679" s="145"/>
      <c r="M1679" s="145"/>
      <c r="N1679" s="145"/>
      <c r="O1679" s="145"/>
      <c r="P1679" s="145"/>
      <c r="Q1679" s="145"/>
      <c r="R1679" s="145"/>
      <c r="S1679" s="145"/>
      <c r="T1679" s="135">
        <v>29539</v>
      </c>
      <c r="U1679" s="145"/>
      <c r="V1679" s="134" t="s">
        <v>2175</v>
      </c>
      <c r="W1679" s="92" t="str">
        <f t="shared" si="116"/>
        <v>Andreu Delgado,Ana Vanesa</v>
      </c>
      <c r="X1679" s="95">
        <f t="shared" si="117"/>
        <v>5</v>
      </c>
      <c r="Y1679" s="95">
        <f t="shared" si="118"/>
        <v>2022</v>
      </c>
      <c r="Z1679" s="103" t="s">
        <v>265</v>
      </c>
      <c r="AA1679" t="str">
        <f>IF(Tabla1[[#This Row],[Kerma en aire acumulada (Gy)]]&gt;1,SUMIF(G:G,Tabla1[[#This Row],[SIP]],I:I)-Tabla1[[#This Row],[Kerma en aire acumulada (Gy)]],"")</f>
        <v/>
      </c>
    </row>
    <row r="1680" spans="3:27">
      <c r="C1680" s="147" t="s">
        <v>1088</v>
      </c>
      <c r="D1680" s="134" t="s">
        <v>1906</v>
      </c>
      <c r="E1680" s="134" t="s">
        <v>954</v>
      </c>
      <c r="F1680" s="134" t="s">
        <v>1907</v>
      </c>
      <c r="G1680" s="134">
        <v>3269247</v>
      </c>
      <c r="H1680" s="135">
        <v>44700</v>
      </c>
      <c r="I1680" s="134">
        <v>2.068E-2</v>
      </c>
      <c r="J1680" s="145"/>
      <c r="K1680" s="145"/>
      <c r="L1680" s="145"/>
      <c r="M1680" s="145"/>
      <c r="N1680" s="145"/>
      <c r="O1680" s="145"/>
      <c r="P1680" s="145"/>
      <c r="Q1680" s="145"/>
      <c r="R1680" s="145"/>
      <c r="S1680" s="145"/>
      <c r="T1680" s="135">
        <v>28280</v>
      </c>
      <c r="U1680" s="145"/>
      <c r="V1680" s="134" t="s">
        <v>1594</v>
      </c>
      <c r="W1680" s="92" t="str">
        <f t="shared" si="116"/>
        <v>Copado Carbonell,Ivan</v>
      </c>
      <c r="X1680" s="95">
        <f t="shared" si="117"/>
        <v>5</v>
      </c>
      <c r="Y1680" s="95">
        <f t="shared" si="118"/>
        <v>2022</v>
      </c>
      <c r="Z1680" s="103" t="s">
        <v>265</v>
      </c>
      <c r="AA1680" t="str">
        <f>IF(Tabla1[[#This Row],[Kerma en aire acumulada (Gy)]]&gt;1,SUMIF(G:G,Tabla1[[#This Row],[SIP]],I:I)-Tabla1[[#This Row],[Kerma en aire acumulada (Gy)]],"")</f>
        <v/>
      </c>
    </row>
    <row r="1681" spans="3:27">
      <c r="C1681" s="147" t="s">
        <v>1088</v>
      </c>
      <c r="D1681" s="134" t="s">
        <v>2885</v>
      </c>
      <c r="E1681" s="134" t="s">
        <v>2886</v>
      </c>
      <c r="F1681" s="134" t="s">
        <v>2874</v>
      </c>
      <c r="G1681" s="134">
        <v>4983366</v>
      </c>
      <c r="H1681" s="135">
        <v>44700</v>
      </c>
      <c r="I1681" s="134">
        <v>5.2920000000000002E-2</v>
      </c>
      <c r="J1681" s="145"/>
      <c r="K1681" s="145"/>
      <c r="L1681" s="145"/>
      <c r="M1681" s="145"/>
      <c r="N1681" s="145"/>
      <c r="O1681" s="145"/>
      <c r="P1681" s="145"/>
      <c r="Q1681" s="145"/>
      <c r="R1681" s="145"/>
      <c r="S1681" s="145"/>
      <c r="T1681" s="135">
        <v>19845</v>
      </c>
      <c r="U1681" s="145"/>
      <c r="V1681" s="134" t="s">
        <v>95</v>
      </c>
      <c r="W1681" s="92" t="str">
        <f t="shared" si="116"/>
        <v>Recaj Padilla,Mariano</v>
      </c>
      <c r="X1681" s="95">
        <f t="shared" si="117"/>
        <v>5</v>
      </c>
      <c r="Y1681" s="95">
        <f t="shared" si="118"/>
        <v>2022</v>
      </c>
      <c r="Z1681" s="103" t="s">
        <v>265</v>
      </c>
      <c r="AA1681" t="str">
        <f>IF(Tabla1[[#This Row],[Kerma en aire acumulada (Gy)]]&gt;1,SUMIF(G:G,Tabla1[[#This Row],[SIP]],I:I)-Tabla1[[#This Row],[Kerma en aire acumulada (Gy)]],"")</f>
        <v/>
      </c>
    </row>
    <row r="1682" spans="3:27">
      <c r="C1682" s="147" t="s">
        <v>1088</v>
      </c>
      <c r="D1682" s="134" t="s">
        <v>2915</v>
      </c>
      <c r="E1682" s="134" t="s">
        <v>2915</v>
      </c>
      <c r="F1682" s="134" t="s">
        <v>1621</v>
      </c>
      <c r="G1682" s="134">
        <v>245149</v>
      </c>
      <c r="H1682" s="135">
        <v>44700</v>
      </c>
      <c r="I1682" s="134">
        <v>0.80313000000000001</v>
      </c>
      <c r="J1682" s="145"/>
      <c r="K1682" s="145"/>
      <c r="L1682" s="145"/>
      <c r="M1682" s="145"/>
      <c r="N1682" s="145"/>
      <c r="O1682" s="145"/>
      <c r="P1682" s="145"/>
      <c r="Q1682" s="145"/>
      <c r="R1682" s="145"/>
      <c r="S1682" s="145"/>
      <c r="T1682" s="135">
        <v>21931</v>
      </c>
      <c r="U1682" s="145"/>
      <c r="V1682" s="134" t="s">
        <v>563</v>
      </c>
      <c r="W1682" s="92" t="str">
        <f t="shared" si="116"/>
        <v>Avargues Avargues,Ramon</v>
      </c>
      <c r="X1682" s="95">
        <f t="shared" si="117"/>
        <v>5</v>
      </c>
      <c r="Y1682" s="95">
        <f t="shared" si="118"/>
        <v>2022</v>
      </c>
      <c r="Z1682" s="136" t="s">
        <v>266</v>
      </c>
      <c r="AA1682" t="str">
        <f>IF(Tabla1[[#This Row],[Kerma en aire acumulada (Gy)]]&gt;1,SUMIF(G:G,Tabla1[[#This Row],[SIP]],I:I)-Tabla1[[#This Row],[Kerma en aire acumulada (Gy)]],"")</f>
        <v/>
      </c>
    </row>
    <row r="1683" spans="3:27">
      <c r="C1683" s="147" t="s">
        <v>1088</v>
      </c>
      <c r="D1683" s="134" t="s">
        <v>915</v>
      </c>
      <c r="E1683" s="134" t="s">
        <v>856</v>
      </c>
      <c r="F1683" s="134" t="s">
        <v>54</v>
      </c>
      <c r="G1683" s="134">
        <v>2458851</v>
      </c>
      <c r="H1683" s="135">
        <v>44700</v>
      </c>
      <c r="I1683" s="134">
        <v>0.53022000000000002</v>
      </c>
      <c r="J1683" s="145"/>
      <c r="K1683" s="145"/>
      <c r="L1683" s="145"/>
      <c r="M1683" s="145"/>
      <c r="N1683" s="145"/>
      <c r="O1683" s="145"/>
      <c r="P1683" s="145"/>
      <c r="Q1683" s="145"/>
      <c r="R1683" s="145"/>
      <c r="S1683" s="145"/>
      <c r="T1683" s="135">
        <v>21870</v>
      </c>
      <c r="U1683" s="145"/>
      <c r="V1683" s="134" t="s">
        <v>563</v>
      </c>
      <c r="W1683" s="92" t="str">
        <f t="shared" si="116"/>
        <v>Gimenez Gomez,Isabel</v>
      </c>
      <c r="X1683" s="95">
        <f t="shared" si="117"/>
        <v>5</v>
      </c>
      <c r="Y1683" s="95">
        <f t="shared" si="118"/>
        <v>2022</v>
      </c>
      <c r="Z1683" s="136" t="s">
        <v>266</v>
      </c>
      <c r="AA1683" t="str">
        <f>IF(Tabla1[[#This Row],[Kerma en aire acumulada (Gy)]]&gt;1,SUMIF(G:G,Tabla1[[#This Row],[SIP]],I:I)-Tabla1[[#This Row],[Kerma en aire acumulada (Gy)]],"")</f>
        <v/>
      </c>
    </row>
    <row r="1684" spans="3:27">
      <c r="C1684" s="147" t="s">
        <v>1088</v>
      </c>
      <c r="D1684" s="134" t="s">
        <v>2916</v>
      </c>
      <c r="E1684" s="134" t="s">
        <v>960</v>
      </c>
      <c r="F1684" s="134" t="s">
        <v>131</v>
      </c>
      <c r="G1684" s="134">
        <v>153842</v>
      </c>
      <c r="H1684" s="135">
        <v>44700</v>
      </c>
      <c r="I1684" s="134">
        <v>8.1100000000000005E-2</v>
      </c>
      <c r="J1684" s="145"/>
      <c r="K1684" s="145"/>
      <c r="L1684" s="145"/>
      <c r="M1684" s="145"/>
      <c r="N1684" s="145"/>
      <c r="O1684" s="145"/>
      <c r="P1684" s="145"/>
      <c r="Q1684" s="145"/>
      <c r="R1684" s="145"/>
      <c r="S1684" s="145"/>
      <c r="T1684" s="135">
        <v>25116</v>
      </c>
      <c r="U1684" s="145"/>
      <c r="V1684" s="134" t="s">
        <v>563</v>
      </c>
      <c r="W1684" s="92" t="str">
        <f t="shared" si="116"/>
        <v>Mulio Lopez,Salvador</v>
      </c>
      <c r="X1684" s="95">
        <f t="shared" si="117"/>
        <v>5</v>
      </c>
      <c r="Y1684" s="95">
        <f t="shared" si="118"/>
        <v>2022</v>
      </c>
      <c r="Z1684" s="136" t="s">
        <v>266</v>
      </c>
      <c r="AA1684" t="str">
        <f>IF(Tabla1[[#This Row],[Kerma en aire acumulada (Gy)]]&gt;1,SUMIF(G:G,Tabla1[[#This Row],[SIP]],I:I)-Tabla1[[#This Row],[Kerma en aire acumulada (Gy)]],"")</f>
        <v/>
      </c>
    </row>
    <row r="1685" spans="3:27">
      <c r="C1685" s="147" t="s">
        <v>1088</v>
      </c>
      <c r="D1685" s="134" t="s">
        <v>1216</v>
      </c>
      <c r="E1685" s="134" t="s">
        <v>1275</v>
      </c>
      <c r="F1685" s="134" t="s">
        <v>83</v>
      </c>
      <c r="G1685" s="134">
        <v>2398234</v>
      </c>
      <c r="H1685" s="135">
        <v>44700</v>
      </c>
      <c r="I1685" s="134">
        <v>0.55698999999999999</v>
      </c>
      <c r="J1685" s="145"/>
      <c r="K1685" s="145"/>
      <c r="L1685" s="145"/>
      <c r="M1685" s="145"/>
      <c r="N1685" s="145"/>
      <c r="O1685" s="145"/>
      <c r="P1685" s="145"/>
      <c r="Q1685" s="145"/>
      <c r="R1685" s="145"/>
      <c r="S1685" s="145"/>
      <c r="T1685" s="135">
        <v>15333</v>
      </c>
      <c r="U1685" s="145"/>
      <c r="V1685" s="134" t="s">
        <v>563</v>
      </c>
      <c r="W1685" s="92" t="str">
        <f t="shared" si="116"/>
        <v>Guerra Ramirez,Francisco</v>
      </c>
      <c r="X1685" s="95">
        <f t="shared" si="117"/>
        <v>5</v>
      </c>
      <c r="Y1685" s="95">
        <f t="shared" si="118"/>
        <v>2022</v>
      </c>
      <c r="Z1685" s="136" t="s">
        <v>266</v>
      </c>
      <c r="AA1685" t="str">
        <f>IF(Tabla1[[#This Row],[Kerma en aire acumulada (Gy)]]&gt;1,SUMIF(G:G,Tabla1[[#This Row],[SIP]],I:I)-Tabla1[[#This Row],[Kerma en aire acumulada (Gy)]],"")</f>
        <v/>
      </c>
    </row>
    <row r="1686" spans="3:27">
      <c r="C1686" s="147" t="s">
        <v>1088</v>
      </c>
      <c r="D1686" s="134" t="s">
        <v>2917</v>
      </c>
      <c r="E1686" s="134" t="s">
        <v>1994</v>
      </c>
      <c r="F1686" s="134" t="s">
        <v>7</v>
      </c>
      <c r="G1686" s="134">
        <v>3462403</v>
      </c>
      <c r="H1686" s="135">
        <v>44700</v>
      </c>
      <c r="I1686" s="134">
        <v>0.28606999999999999</v>
      </c>
      <c r="J1686" s="145"/>
      <c r="K1686" s="145"/>
      <c r="L1686" s="145"/>
      <c r="M1686" s="145"/>
      <c r="N1686" s="145"/>
      <c r="O1686" s="145"/>
      <c r="P1686" s="145"/>
      <c r="Q1686" s="145"/>
      <c r="R1686" s="145"/>
      <c r="S1686" s="145"/>
      <c r="T1686" s="135">
        <v>14368</v>
      </c>
      <c r="U1686" s="145"/>
      <c r="V1686" s="134" t="s">
        <v>563</v>
      </c>
      <c r="W1686" s="92" t="str">
        <f t="shared" si="116"/>
        <v>Marco  Chilet,Francisca</v>
      </c>
      <c r="X1686" s="95">
        <f t="shared" si="117"/>
        <v>5</v>
      </c>
      <c r="Y1686" s="95">
        <f t="shared" si="118"/>
        <v>2022</v>
      </c>
      <c r="Z1686" s="136" t="s">
        <v>266</v>
      </c>
      <c r="AA1686" t="str">
        <f>IF(Tabla1[[#This Row],[Kerma en aire acumulada (Gy)]]&gt;1,SUMIF(G:G,Tabla1[[#This Row],[SIP]],I:I)-Tabla1[[#This Row],[Kerma en aire acumulada (Gy)]],"")</f>
        <v/>
      </c>
    </row>
    <row r="1687" spans="3:27">
      <c r="C1687" s="147" t="s">
        <v>1088</v>
      </c>
      <c r="D1687" s="134" t="s">
        <v>105</v>
      </c>
      <c r="E1687" s="134" t="s">
        <v>960</v>
      </c>
      <c r="F1687" s="134" t="s">
        <v>75</v>
      </c>
      <c r="G1687" s="134">
        <v>1353263</v>
      </c>
      <c r="H1687" s="135">
        <v>44700</v>
      </c>
      <c r="I1687" s="134">
        <v>4.0600000000000002E-3</v>
      </c>
      <c r="J1687" s="145"/>
      <c r="K1687" s="145"/>
      <c r="L1687" s="145"/>
      <c r="M1687" s="145"/>
      <c r="N1687" s="145"/>
      <c r="O1687" s="145"/>
      <c r="P1687" s="145"/>
      <c r="Q1687" s="145"/>
      <c r="R1687" s="145"/>
      <c r="S1687" s="145"/>
      <c r="T1687" s="135">
        <v>28822</v>
      </c>
      <c r="U1687" s="145"/>
      <c r="V1687" s="134" t="s">
        <v>2237</v>
      </c>
      <c r="W1687" s="92" t="str">
        <f t="shared" si="116"/>
        <v>Soriano Lopez,Javier</v>
      </c>
      <c r="X1687" s="95">
        <f t="shared" si="117"/>
        <v>5</v>
      </c>
      <c r="Y1687" s="95">
        <f t="shared" si="118"/>
        <v>2022</v>
      </c>
      <c r="Z1687" s="136" t="s">
        <v>2238</v>
      </c>
      <c r="AA1687" t="str">
        <f>IF(Tabla1[[#This Row],[Kerma en aire acumulada (Gy)]]&gt;1,SUMIF(G:G,Tabla1[[#This Row],[SIP]],I:I)-Tabla1[[#This Row],[Kerma en aire acumulada (Gy)]],"")</f>
        <v/>
      </c>
    </row>
    <row r="1688" spans="3:27">
      <c r="C1688" s="147" t="s">
        <v>1088</v>
      </c>
      <c r="D1688" s="134" t="s">
        <v>2873</v>
      </c>
      <c r="E1688" s="134" t="s">
        <v>1587</v>
      </c>
      <c r="F1688" s="134" t="s">
        <v>2883</v>
      </c>
      <c r="G1688" s="134">
        <v>3291161</v>
      </c>
      <c r="H1688" s="135">
        <v>44701</v>
      </c>
      <c r="I1688" s="134">
        <v>1.261E-2</v>
      </c>
      <c r="J1688" s="145"/>
      <c r="K1688" s="145"/>
      <c r="L1688" s="145"/>
      <c r="M1688" s="145"/>
      <c r="N1688" s="145"/>
      <c r="O1688" s="145"/>
      <c r="P1688" s="145"/>
      <c r="Q1688" s="145"/>
      <c r="R1688" s="145"/>
      <c r="S1688" s="145"/>
      <c r="T1688" s="135">
        <v>15304</v>
      </c>
      <c r="U1688" s="145"/>
      <c r="V1688" s="134" t="s">
        <v>1594</v>
      </c>
      <c r="W1688" s="92" t="str">
        <f t="shared" si="116"/>
        <v>Carchano Jimenez,Remigio</v>
      </c>
      <c r="X1688" s="95">
        <f t="shared" si="117"/>
        <v>5</v>
      </c>
      <c r="Y1688" s="95">
        <f t="shared" si="118"/>
        <v>2022</v>
      </c>
      <c r="Z1688" s="103" t="s">
        <v>265</v>
      </c>
      <c r="AA1688" t="str">
        <f>IF(Tabla1[[#This Row],[Kerma en aire acumulada (Gy)]]&gt;1,SUMIF(G:G,Tabla1[[#This Row],[SIP]],I:I)-Tabla1[[#This Row],[Kerma en aire acumulada (Gy)]],"")</f>
        <v/>
      </c>
    </row>
    <row r="1689" spans="3:27">
      <c r="C1689" s="147" t="s">
        <v>1088</v>
      </c>
      <c r="D1689" s="134" t="s">
        <v>948</v>
      </c>
      <c r="E1689" s="134" t="s">
        <v>962</v>
      </c>
      <c r="F1689" s="134" t="s">
        <v>71</v>
      </c>
      <c r="G1689" s="134">
        <v>2931232</v>
      </c>
      <c r="H1689" s="135">
        <v>44701</v>
      </c>
      <c r="I1689" s="134">
        <v>0.49620999999999998</v>
      </c>
      <c r="J1689" s="145"/>
      <c r="K1689" s="145"/>
      <c r="L1689" s="145"/>
      <c r="M1689" s="145"/>
      <c r="N1689" s="145"/>
      <c r="O1689" s="145"/>
      <c r="P1689" s="145"/>
      <c r="Q1689" s="145"/>
      <c r="R1689" s="145"/>
      <c r="S1689" s="145"/>
      <c r="T1689" s="135">
        <v>21623</v>
      </c>
      <c r="U1689" s="145"/>
      <c r="V1689" s="134" t="s">
        <v>1643</v>
      </c>
      <c r="W1689" s="92" t="str">
        <f t="shared" si="116"/>
        <v>Martinez Garcia,Rafael</v>
      </c>
      <c r="X1689" s="95">
        <f t="shared" si="117"/>
        <v>5</v>
      </c>
      <c r="Y1689" s="95">
        <f t="shared" si="118"/>
        <v>2022</v>
      </c>
      <c r="Z1689" s="103" t="s">
        <v>265</v>
      </c>
      <c r="AA1689" t="str">
        <f>IF(Tabla1[[#This Row],[Kerma en aire acumulada (Gy)]]&gt;1,SUMIF(G:G,Tabla1[[#This Row],[SIP]],I:I)-Tabla1[[#This Row],[Kerma en aire acumulada (Gy)]],"")</f>
        <v/>
      </c>
    </row>
    <row r="1690" spans="3:27">
      <c r="C1690" s="147" t="s">
        <v>1088</v>
      </c>
      <c r="D1690" s="134" t="s">
        <v>2092</v>
      </c>
      <c r="E1690" s="134" t="s">
        <v>2911</v>
      </c>
      <c r="F1690" s="134" t="s">
        <v>1050</v>
      </c>
      <c r="G1690" s="134">
        <v>5334454</v>
      </c>
      <c r="H1690" s="135">
        <v>44701</v>
      </c>
      <c r="I1690" s="134">
        <v>0.45630999999999999</v>
      </c>
      <c r="J1690" s="145"/>
      <c r="K1690" s="145"/>
      <c r="L1690" s="145"/>
      <c r="M1690" s="145"/>
      <c r="N1690" s="145"/>
      <c r="O1690" s="145"/>
      <c r="P1690" s="145"/>
      <c r="Q1690" s="145"/>
      <c r="R1690" s="145"/>
      <c r="S1690" s="145"/>
      <c r="T1690" s="135">
        <v>26852</v>
      </c>
      <c r="U1690" s="145"/>
      <c r="V1690" s="134" t="s">
        <v>563</v>
      </c>
      <c r="W1690" s="92" t="str">
        <f t="shared" si="116"/>
        <v>Franco Ivernon,Francisco Javier</v>
      </c>
      <c r="X1690" s="95">
        <f t="shared" si="117"/>
        <v>5</v>
      </c>
      <c r="Y1690" s="95">
        <f t="shared" si="118"/>
        <v>2022</v>
      </c>
      <c r="Z1690" s="136" t="s">
        <v>266</v>
      </c>
      <c r="AA1690" t="str">
        <f>IF(Tabla1[[#This Row],[Kerma en aire acumulada (Gy)]]&gt;1,SUMIF(G:G,Tabla1[[#This Row],[SIP]],I:I)-Tabla1[[#This Row],[Kerma en aire acumulada (Gy)]],"")</f>
        <v/>
      </c>
    </row>
    <row r="1691" spans="3:27">
      <c r="C1691" s="147" t="s">
        <v>1088</v>
      </c>
      <c r="D1691" s="134" t="s">
        <v>2912</v>
      </c>
      <c r="E1691" s="134" t="s">
        <v>2913</v>
      </c>
      <c r="F1691" s="134" t="s">
        <v>20</v>
      </c>
      <c r="G1691" s="134">
        <v>466149</v>
      </c>
      <c r="H1691" s="135">
        <v>44701</v>
      </c>
      <c r="I1691" s="134">
        <v>0.35871999999999998</v>
      </c>
      <c r="J1691" s="145"/>
      <c r="K1691" s="145"/>
      <c r="L1691" s="145"/>
      <c r="M1691" s="145"/>
      <c r="N1691" s="145"/>
      <c r="O1691" s="145"/>
      <c r="P1691" s="145"/>
      <c r="Q1691" s="145"/>
      <c r="R1691" s="145"/>
      <c r="S1691" s="145"/>
      <c r="T1691" s="135">
        <v>17744</v>
      </c>
      <c r="U1691" s="145"/>
      <c r="V1691" s="134" t="s">
        <v>563</v>
      </c>
      <c r="W1691" s="92" t="str">
        <f t="shared" si="116"/>
        <v>Hernandez de  la Calle,Antonio</v>
      </c>
      <c r="X1691" s="95">
        <f t="shared" si="117"/>
        <v>5</v>
      </c>
      <c r="Y1691" s="95">
        <f t="shared" si="118"/>
        <v>2022</v>
      </c>
      <c r="Z1691" s="136" t="s">
        <v>266</v>
      </c>
      <c r="AA1691" t="str">
        <f>IF(Tabla1[[#This Row],[Kerma en aire acumulada (Gy)]]&gt;1,SUMIF(G:G,Tabla1[[#This Row],[SIP]],I:I)-Tabla1[[#This Row],[Kerma en aire acumulada (Gy)]],"")</f>
        <v/>
      </c>
    </row>
    <row r="1692" spans="3:27">
      <c r="C1692" s="147" t="s">
        <v>1088</v>
      </c>
      <c r="D1692" s="134" t="s">
        <v>2914</v>
      </c>
      <c r="E1692" s="134" t="s">
        <v>141</v>
      </c>
      <c r="F1692" s="134" t="s">
        <v>1725</v>
      </c>
      <c r="G1692" s="134">
        <v>4530086</v>
      </c>
      <c r="H1692" s="135">
        <v>44701</v>
      </c>
      <c r="I1692" s="134">
        <v>0.36470999999999998</v>
      </c>
      <c r="J1692" s="145"/>
      <c r="K1692" s="145"/>
      <c r="L1692" s="145"/>
      <c r="M1692" s="145"/>
      <c r="N1692" s="145"/>
      <c r="O1692" s="145"/>
      <c r="P1692" s="145"/>
      <c r="Q1692" s="145"/>
      <c r="R1692" s="145"/>
      <c r="S1692" s="145"/>
      <c r="T1692" s="135">
        <v>26433</v>
      </c>
      <c r="U1692" s="145"/>
      <c r="V1692" s="134" t="s">
        <v>563</v>
      </c>
      <c r="W1692" s="92" t="str">
        <f t="shared" si="116"/>
        <v>Barrero Torralbo,Ana Maria</v>
      </c>
      <c r="X1692" s="95">
        <f t="shared" si="117"/>
        <v>5</v>
      </c>
      <c r="Y1692" s="95">
        <f t="shared" si="118"/>
        <v>2022</v>
      </c>
      <c r="Z1692" s="136" t="s">
        <v>266</v>
      </c>
      <c r="AA1692" t="str">
        <f>IF(Tabla1[[#This Row],[Kerma en aire acumulada (Gy)]]&gt;1,SUMIF(G:G,Tabla1[[#This Row],[SIP]],I:I)-Tabla1[[#This Row],[Kerma en aire acumulada (Gy)]],"")</f>
        <v/>
      </c>
    </row>
    <row r="1693" spans="3:27">
      <c r="C1693" s="147" t="s">
        <v>1088</v>
      </c>
      <c r="D1693" s="134" t="s">
        <v>1228</v>
      </c>
      <c r="E1693" s="134" t="s">
        <v>962</v>
      </c>
      <c r="F1693" s="134" t="s">
        <v>1213</v>
      </c>
      <c r="G1693" s="134">
        <v>6025340</v>
      </c>
      <c r="H1693" s="135">
        <v>44701</v>
      </c>
      <c r="I1693" s="134">
        <v>1.0857699999999999</v>
      </c>
      <c r="J1693" s="145"/>
      <c r="K1693" s="145"/>
      <c r="L1693" s="145"/>
      <c r="M1693" s="145"/>
      <c r="N1693" s="145"/>
      <c r="O1693" s="145"/>
      <c r="P1693" s="145"/>
      <c r="Q1693" s="145"/>
      <c r="R1693" s="145"/>
      <c r="S1693" s="145"/>
      <c r="T1693" s="135">
        <v>29545</v>
      </c>
      <c r="U1693" s="145"/>
      <c r="V1693" s="134" t="s">
        <v>563</v>
      </c>
      <c r="W1693" s="92" t="str">
        <f t="shared" si="116"/>
        <v>Guillen Garcia,Maria Isabel</v>
      </c>
      <c r="X1693" s="95">
        <f t="shared" si="117"/>
        <v>5</v>
      </c>
      <c r="Y1693" s="95">
        <f t="shared" si="118"/>
        <v>2022</v>
      </c>
      <c r="Z1693" s="136" t="s">
        <v>266</v>
      </c>
      <c r="AA1693">
        <f>IF(Tabla1[[#This Row],[Kerma en aire acumulada (Gy)]]&gt;1,SUMIF(G:G,Tabla1[[#This Row],[SIP]],I:I)-Tabla1[[#This Row],[Kerma en aire acumulada (Gy)]],"")</f>
        <v>0</v>
      </c>
    </row>
    <row r="1694" spans="3:27">
      <c r="C1694" s="147" t="s">
        <v>1088</v>
      </c>
      <c r="D1694" s="134" t="s">
        <v>948</v>
      </c>
      <c r="E1694" s="134" t="s">
        <v>2755</v>
      </c>
      <c r="F1694" s="134" t="s">
        <v>786</v>
      </c>
      <c r="G1694" s="134">
        <v>1804143</v>
      </c>
      <c r="H1694" s="135">
        <v>44701</v>
      </c>
      <c r="I1694" s="134">
        <v>0.56150999999999995</v>
      </c>
      <c r="J1694" s="145"/>
      <c r="K1694" s="145"/>
      <c r="L1694" s="145"/>
      <c r="M1694" s="145"/>
      <c r="N1694" s="145"/>
      <c r="O1694" s="145"/>
      <c r="P1694" s="145"/>
      <c r="Q1694" s="145"/>
      <c r="R1694" s="145"/>
      <c r="S1694" s="145"/>
      <c r="T1694" s="135">
        <v>18743</v>
      </c>
      <c r="U1694" s="145"/>
      <c r="V1694" s="134" t="s">
        <v>2241</v>
      </c>
      <c r="W1694" s="92" t="str">
        <f t="shared" si="116"/>
        <v>Martinez Adsuara,Maria Carmen</v>
      </c>
      <c r="X1694" s="95">
        <f t="shared" si="117"/>
        <v>5</v>
      </c>
      <c r="Y1694" s="95">
        <f t="shared" si="118"/>
        <v>2022</v>
      </c>
      <c r="Z1694" s="136" t="s">
        <v>2238</v>
      </c>
      <c r="AA1694" t="str">
        <f>IF(Tabla1[[#This Row],[Kerma en aire acumulada (Gy)]]&gt;1,SUMIF(G:G,Tabla1[[#This Row],[SIP]],I:I)-Tabla1[[#This Row],[Kerma en aire acumulada (Gy)]],"")</f>
        <v/>
      </c>
    </row>
    <row r="1695" spans="3:27">
      <c r="C1695" s="147" t="s">
        <v>1088</v>
      </c>
      <c r="D1695" s="134" t="s">
        <v>1007</v>
      </c>
      <c r="E1695" s="134" t="s">
        <v>29</v>
      </c>
      <c r="F1695" s="134" t="s">
        <v>1008</v>
      </c>
      <c r="G1695" s="134">
        <v>7098294</v>
      </c>
      <c r="H1695" s="135">
        <v>44702</v>
      </c>
      <c r="I1695" s="134">
        <v>2.5600000000000001E-2</v>
      </c>
      <c r="J1695" s="145"/>
      <c r="K1695" s="145"/>
      <c r="L1695" s="145"/>
      <c r="M1695" s="145"/>
      <c r="N1695" s="145"/>
      <c r="O1695" s="145"/>
      <c r="P1695" s="145"/>
      <c r="Q1695" s="145"/>
      <c r="R1695" s="145"/>
      <c r="S1695" s="145"/>
      <c r="T1695" s="135">
        <v>30952</v>
      </c>
      <c r="U1695" s="145"/>
      <c r="V1695" s="134" t="s">
        <v>1774</v>
      </c>
      <c r="W1695" s="92" t="str">
        <f t="shared" si="116"/>
        <v>Miranda Castro,Andres Mauricio</v>
      </c>
      <c r="X1695" s="95">
        <f t="shared" si="117"/>
        <v>5</v>
      </c>
      <c r="Y1695" s="95">
        <f t="shared" si="118"/>
        <v>2022</v>
      </c>
      <c r="Z1695" s="103" t="s">
        <v>265</v>
      </c>
      <c r="AA1695" t="str">
        <f>IF(Tabla1[[#This Row],[Kerma en aire acumulada (Gy)]]&gt;1,SUMIF(G:G,Tabla1[[#This Row],[SIP]],I:I)-Tabla1[[#This Row],[Kerma en aire acumulada (Gy)]],"")</f>
        <v/>
      </c>
    </row>
    <row r="1696" spans="3:27">
      <c r="C1696" s="147" t="s">
        <v>1088</v>
      </c>
      <c r="D1696" s="134" t="s">
        <v>2910</v>
      </c>
      <c r="E1696" s="134" t="s">
        <v>1705</v>
      </c>
      <c r="F1696" s="134" t="s">
        <v>1238</v>
      </c>
      <c r="G1696" s="134">
        <v>1168114</v>
      </c>
      <c r="H1696" s="135">
        <v>44702</v>
      </c>
      <c r="I1696" s="134">
        <v>0.28044999999999998</v>
      </c>
      <c r="J1696" s="145"/>
      <c r="K1696" s="145"/>
      <c r="L1696" s="145"/>
      <c r="M1696" s="145"/>
      <c r="N1696" s="145"/>
      <c r="O1696" s="145"/>
      <c r="P1696" s="145"/>
      <c r="Q1696" s="145"/>
      <c r="R1696" s="145"/>
      <c r="S1696" s="145"/>
      <c r="T1696" s="135">
        <v>16992</v>
      </c>
      <c r="U1696" s="145"/>
      <c r="V1696" s="134" t="s">
        <v>563</v>
      </c>
      <c r="W1696" s="92" t="str">
        <f t="shared" si="116"/>
        <v>Macias Castaño,Angel</v>
      </c>
      <c r="X1696" s="95">
        <f t="shared" si="117"/>
        <v>5</v>
      </c>
      <c r="Y1696" s="95">
        <f t="shared" si="118"/>
        <v>2022</v>
      </c>
      <c r="Z1696" s="136" t="s">
        <v>266</v>
      </c>
      <c r="AA1696" t="str">
        <f>IF(Tabla1[[#This Row],[Kerma en aire acumulada (Gy)]]&gt;1,SUMIF(G:G,Tabla1[[#This Row],[SIP]],I:I)-Tabla1[[#This Row],[Kerma en aire acumulada (Gy)]],"")</f>
        <v/>
      </c>
    </row>
    <row r="1697" spans="3:27">
      <c r="C1697" s="147" t="s">
        <v>1088</v>
      </c>
      <c r="D1697" s="134" t="s">
        <v>1060</v>
      </c>
      <c r="E1697" s="134" t="s">
        <v>948</v>
      </c>
      <c r="F1697" s="134" t="s">
        <v>2909</v>
      </c>
      <c r="G1697" s="134">
        <v>3402707</v>
      </c>
      <c r="H1697" s="135">
        <v>44703</v>
      </c>
      <c r="I1697" s="134">
        <v>0.29704000000000003</v>
      </c>
      <c r="J1697" s="145"/>
      <c r="K1697" s="145"/>
      <c r="L1697" s="145"/>
      <c r="M1697" s="145"/>
      <c r="N1697" s="145"/>
      <c r="O1697" s="145"/>
      <c r="P1697" s="145"/>
      <c r="Q1697" s="145"/>
      <c r="R1697" s="145"/>
      <c r="S1697" s="145"/>
      <c r="T1697" s="135">
        <v>15607</v>
      </c>
      <c r="U1697" s="145"/>
      <c r="V1697" s="134" t="s">
        <v>563</v>
      </c>
      <c r="W1697" s="92" t="str">
        <f t="shared" si="116"/>
        <v>Rubio Martinez,Cesar</v>
      </c>
      <c r="X1697" s="95">
        <f t="shared" si="117"/>
        <v>5</v>
      </c>
      <c r="Y1697" s="95">
        <f t="shared" si="118"/>
        <v>2022</v>
      </c>
      <c r="Z1697" s="136" t="s">
        <v>266</v>
      </c>
      <c r="AA1697" t="str">
        <f>IF(Tabla1[[#This Row],[Kerma en aire acumulada (Gy)]]&gt;1,SUMIF(G:G,Tabla1[[#This Row],[SIP]],I:I)-Tabla1[[#This Row],[Kerma en aire acumulada (Gy)]],"")</f>
        <v/>
      </c>
    </row>
    <row r="1698" spans="3:27">
      <c r="C1698" s="147" t="s">
        <v>1088</v>
      </c>
      <c r="D1698" s="134" t="s">
        <v>1007</v>
      </c>
      <c r="E1698" s="134" t="s">
        <v>29</v>
      </c>
      <c r="F1698" s="134" t="s">
        <v>1008</v>
      </c>
      <c r="G1698" s="134">
        <v>7098294</v>
      </c>
      <c r="H1698" s="135">
        <v>44704</v>
      </c>
      <c r="I1698" s="134">
        <v>5.6120000000000003E-2</v>
      </c>
      <c r="J1698" s="145"/>
      <c r="K1698" s="145"/>
      <c r="L1698" s="145"/>
      <c r="M1698" s="145"/>
      <c r="N1698" s="145"/>
      <c r="O1698" s="145"/>
      <c r="P1698" s="145"/>
      <c r="Q1698" s="145"/>
      <c r="R1698" s="145"/>
      <c r="S1698" s="145"/>
      <c r="T1698" s="135">
        <v>30952</v>
      </c>
      <c r="U1698" s="145"/>
      <c r="V1698" s="134" t="s">
        <v>1742</v>
      </c>
      <c r="W1698" s="92" t="str">
        <f t="shared" si="116"/>
        <v>Miranda Castro,Andres Mauricio</v>
      </c>
      <c r="X1698" s="95">
        <f t="shared" si="117"/>
        <v>5</v>
      </c>
      <c r="Y1698" s="95">
        <f t="shared" si="118"/>
        <v>2022</v>
      </c>
      <c r="Z1698" s="103" t="s">
        <v>265</v>
      </c>
      <c r="AA1698" t="str">
        <f>IF(Tabla1[[#This Row],[Kerma en aire acumulada (Gy)]]&gt;1,SUMIF(G:G,Tabla1[[#This Row],[SIP]],I:I)-Tabla1[[#This Row],[Kerma en aire acumulada (Gy)]],"")</f>
        <v/>
      </c>
    </row>
    <row r="1699" spans="3:27">
      <c r="C1699" s="147" t="s">
        <v>1088</v>
      </c>
      <c r="D1699" s="134" t="s">
        <v>2478</v>
      </c>
      <c r="E1699" s="134" t="s">
        <v>2637</v>
      </c>
      <c r="F1699" s="134" t="s">
        <v>1787</v>
      </c>
      <c r="G1699" s="134">
        <v>2586058</v>
      </c>
      <c r="H1699" s="135">
        <v>44704</v>
      </c>
      <c r="I1699" s="134">
        <v>3.6549999999999999E-2</v>
      </c>
      <c r="J1699" s="145"/>
      <c r="K1699" s="145"/>
      <c r="L1699" s="145"/>
      <c r="M1699" s="145"/>
      <c r="N1699" s="145"/>
      <c r="O1699" s="145"/>
      <c r="P1699" s="145"/>
      <c r="Q1699" s="145"/>
      <c r="R1699" s="145"/>
      <c r="S1699" s="145"/>
      <c r="T1699" s="135">
        <v>33830</v>
      </c>
      <c r="U1699" s="145"/>
      <c r="V1699" s="134" t="s">
        <v>1214</v>
      </c>
      <c r="W1699" s="92" t="str">
        <f t="shared" si="116"/>
        <v>Teruel Olmedo,Laura</v>
      </c>
      <c r="X1699" s="95">
        <f t="shared" si="117"/>
        <v>5</v>
      </c>
      <c r="Y1699" s="95">
        <f t="shared" si="118"/>
        <v>2022</v>
      </c>
      <c r="Z1699" s="103" t="s">
        <v>265</v>
      </c>
      <c r="AA1699" t="str">
        <f>IF(Tabla1[[#This Row],[Kerma en aire acumulada (Gy)]]&gt;1,SUMIF(G:G,Tabla1[[#This Row],[SIP]],I:I)-Tabla1[[#This Row],[Kerma en aire acumulada (Gy)]],"")</f>
        <v/>
      </c>
    </row>
    <row r="1700" spans="3:27">
      <c r="C1700" s="147" t="s">
        <v>1088</v>
      </c>
      <c r="D1700" s="134" t="s">
        <v>1940</v>
      </c>
      <c r="E1700" s="134" t="s">
        <v>2339</v>
      </c>
      <c r="F1700" s="134" t="s">
        <v>786</v>
      </c>
      <c r="G1700" s="134">
        <v>3833099</v>
      </c>
      <c r="H1700" s="135">
        <v>44704</v>
      </c>
      <c r="I1700" s="134">
        <v>0.36224000000000001</v>
      </c>
      <c r="J1700" s="145"/>
      <c r="K1700" s="145"/>
      <c r="L1700" s="145"/>
      <c r="M1700" s="145"/>
      <c r="N1700" s="145"/>
      <c r="O1700" s="145"/>
      <c r="P1700" s="145"/>
      <c r="Q1700" s="145"/>
      <c r="R1700" s="145"/>
      <c r="S1700" s="145"/>
      <c r="T1700" s="135">
        <v>17297</v>
      </c>
      <c r="U1700" s="145"/>
      <c r="V1700" s="134" t="s">
        <v>89</v>
      </c>
      <c r="W1700" s="92" t="str">
        <f t="shared" si="116"/>
        <v>Marin Simon,Maria Carmen</v>
      </c>
      <c r="X1700" s="95">
        <f t="shared" si="117"/>
        <v>5</v>
      </c>
      <c r="Y1700" s="95">
        <f t="shared" si="118"/>
        <v>2022</v>
      </c>
      <c r="Z1700" s="103" t="s">
        <v>265</v>
      </c>
      <c r="AA1700" t="str">
        <f>IF(Tabla1[[#This Row],[Kerma en aire acumulada (Gy)]]&gt;1,SUMIF(G:G,Tabla1[[#This Row],[SIP]],I:I)-Tabla1[[#This Row],[Kerma en aire acumulada (Gy)]],"")</f>
        <v/>
      </c>
    </row>
    <row r="1701" spans="3:27">
      <c r="C1701" s="147" t="s">
        <v>1088</v>
      </c>
      <c r="D1701" s="134" t="s">
        <v>2882</v>
      </c>
      <c r="E1701" s="134" t="s">
        <v>767</v>
      </c>
      <c r="F1701" s="134" t="s">
        <v>83</v>
      </c>
      <c r="G1701" s="134">
        <v>3188463</v>
      </c>
      <c r="H1701" s="135">
        <v>44704</v>
      </c>
      <c r="I1701" s="134">
        <v>0.43769999999999998</v>
      </c>
      <c r="J1701" s="145"/>
      <c r="K1701" s="145"/>
      <c r="L1701" s="145"/>
      <c r="M1701" s="145"/>
      <c r="N1701" s="145"/>
      <c r="O1701" s="145"/>
      <c r="P1701" s="145"/>
      <c r="Q1701" s="145"/>
      <c r="R1701" s="145"/>
      <c r="S1701" s="145"/>
      <c r="T1701" s="135">
        <v>16854</v>
      </c>
      <c r="U1701" s="145"/>
      <c r="V1701" s="134" t="s">
        <v>1826</v>
      </c>
      <c r="W1701" s="92" t="str">
        <f t="shared" si="116"/>
        <v>Ombuena Segarra,Francisco</v>
      </c>
      <c r="X1701" s="95">
        <f t="shared" si="117"/>
        <v>5</v>
      </c>
      <c r="Y1701" s="95">
        <f t="shared" si="118"/>
        <v>2022</v>
      </c>
      <c r="Z1701" s="103" t="s">
        <v>265</v>
      </c>
      <c r="AA1701" t="str">
        <f>IF(Tabla1[[#This Row],[Kerma en aire acumulada (Gy)]]&gt;1,SUMIF(G:G,Tabla1[[#This Row],[SIP]],I:I)-Tabla1[[#This Row],[Kerma en aire acumulada (Gy)]],"")</f>
        <v/>
      </c>
    </row>
    <row r="1702" spans="3:27">
      <c r="C1702" s="147" t="s">
        <v>1088</v>
      </c>
      <c r="D1702" s="134" t="s">
        <v>2906</v>
      </c>
      <c r="E1702" s="134" t="s">
        <v>1090</v>
      </c>
      <c r="F1702" s="134" t="s">
        <v>1155</v>
      </c>
      <c r="G1702" s="134">
        <v>2802968</v>
      </c>
      <c r="H1702" s="135">
        <v>44704</v>
      </c>
      <c r="I1702" s="134">
        <v>0.27123999999999998</v>
      </c>
      <c r="J1702" s="145"/>
      <c r="K1702" s="145"/>
      <c r="L1702" s="145"/>
      <c r="M1702" s="145"/>
      <c r="N1702" s="145"/>
      <c r="O1702" s="145"/>
      <c r="P1702" s="145"/>
      <c r="Q1702" s="145"/>
      <c r="R1702" s="145"/>
      <c r="S1702" s="145"/>
      <c r="T1702" s="135">
        <v>13889</v>
      </c>
      <c r="U1702" s="145"/>
      <c r="V1702" s="134" t="s">
        <v>563</v>
      </c>
      <c r="W1702" s="92" t="str">
        <f t="shared" si="116"/>
        <v>Vanaclocha Ibañez,Maria</v>
      </c>
      <c r="X1702" s="95">
        <f t="shared" si="117"/>
        <v>5</v>
      </c>
      <c r="Y1702" s="95">
        <f t="shared" si="118"/>
        <v>2022</v>
      </c>
      <c r="Z1702" s="136" t="s">
        <v>266</v>
      </c>
      <c r="AA1702" t="str">
        <f>IF(Tabla1[[#This Row],[Kerma en aire acumulada (Gy)]]&gt;1,SUMIF(G:G,Tabla1[[#This Row],[SIP]],I:I)-Tabla1[[#This Row],[Kerma en aire acumulada (Gy)]],"")</f>
        <v/>
      </c>
    </row>
    <row r="1703" spans="3:27">
      <c r="C1703" s="147" t="s">
        <v>1088</v>
      </c>
      <c r="D1703" s="134" t="s">
        <v>520</v>
      </c>
      <c r="E1703" s="134" t="s">
        <v>2907</v>
      </c>
      <c r="F1703" s="134" t="s">
        <v>88</v>
      </c>
      <c r="G1703" s="134">
        <v>254663</v>
      </c>
      <c r="H1703" s="135">
        <v>44704</v>
      </c>
      <c r="I1703" s="134">
        <v>0.13603999999999999</v>
      </c>
      <c r="J1703" s="145"/>
      <c r="K1703" s="145"/>
      <c r="L1703" s="145"/>
      <c r="M1703" s="145"/>
      <c r="N1703" s="145"/>
      <c r="O1703" s="145"/>
      <c r="P1703" s="145"/>
      <c r="Q1703" s="145"/>
      <c r="R1703" s="145"/>
      <c r="S1703" s="145"/>
      <c r="T1703" s="135">
        <v>21218</v>
      </c>
      <c r="U1703" s="145"/>
      <c r="V1703" s="134" t="s">
        <v>563</v>
      </c>
      <c r="W1703" s="92" t="str">
        <f t="shared" si="116"/>
        <v>Llorca Llido,Vicente</v>
      </c>
      <c r="X1703" s="95">
        <f t="shared" si="117"/>
        <v>5</v>
      </c>
      <c r="Y1703" s="95">
        <f t="shared" si="118"/>
        <v>2022</v>
      </c>
      <c r="Z1703" s="136" t="s">
        <v>266</v>
      </c>
      <c r="AA1703" t="str">
        <f>IF(Tabla1[[#This Row],[Kerma en aire acumulada (Gy)]]&gt;1,SUMIF(G:G,Tabla1[[#This Row],[SIP]],I:I)-Tabla1[[#This Row],[Kerma en aire acumulada (Gy)]],"")</f>
        <v/>
      </c>
    </row>
    <row r="1704" spans="3:27">
      <c r="C1704" s="147" t="s">
        <v>1088</v>
      </c>
      <c r="D1704" s="134" t="s">
        <v>2908</v>
      </c>
      <c r="E1704" s="134" t="s">
        <v>319</v>
      </c>
      <c r="F1704" s="134" t="s">
        <v>68</v>
      </c>
      <c r="G1704" s="134">
        <v>12793438</v>
      </c>
      <c r="H1704" s="135">
        <v>44704</v>
      </c>
      <c r="I1704" s="134">
        <v>0.63168999999999997</v>
      </c>
      <c r="J1704" s="145"/>
      <c r="K1704" s="145"/>
      <c r="L1704" s="145"/>
      <c r="M1704" s="145"/>
      <c r="N1704" s="145"/>
      <c r="O1704" s="145"/>
      <c r="P1704" s="145"/>
      <c r="Q1704" s="145"/>
      <c r="R1704" s="145"/>
      <c r="S1704" s="145"/>
      <c r="T1704" s="135">
        <v>18077</v>
      </c>
      <c r="U1704" s="145"/>
      <c r="V1704" s="134" t="s">
        <v>563</v>
      </c>
      <c r="W1704" s="92" t="str">
        <f t="shared" si="116"/>
        <v>Serran Gonzalez,Juan</v>
      </c>
      <c r="X1704" s="95">
        <f t="shared" si="117"/>
        <v>5</v>
      </c>
      <c r="Y1704" s="95">
        <f t="shared" si="118"/>
        <v>2022</v>
      </c>
      <c r="Z1704" s="136" t="s">
        <v>266</v>
      </c>
      <c r="AA1704" t="str">
        <f>IF(Tabla1[[#This Row],[Kerma en aire acumulada (Gy)]]&gt;1,SUMIF(G:G,Tabla1[[#This Row],[SIP]],I:I)-Tabla1[[#This Row],[Kerma en aire acumulada (Gy)]],"")</f>
        <v/>
      </c>
    </row>
    <row r="1705" spans="3:27">
      <c r="C1705" s="147" t="s">
        <v>1088</v>
      </c>
      <c r="D1705" s="134" t="s">
        <v>1864</v>
      </c>
      <c r="E1705" s="134" t="s">
        <v>2949</v>
      </c>
      <c r="F1705" s="134" t="s">
        <v>834</v>
      </c>
      <c r="G1705" s="134">
        <v>4310867</v>
      </c>
      <c r="H1705" s="135">
        <v>44704</v>
      </c>
      <c r="I1705" s="134">
        <v>9.9720000000000003E-2</v>
      </c>
      <c r="J1705" s="145"/>
      <c r="K1705" s="145"/>
      <c r="L1705" s="145"/>
      <c r="M1705" s="145"/>
      <c r="N1705" s="145"/>
      <c r="O1705" s="145"/>
      <c r="P1705" s="145"/>
      <c r="Q1705" s="145"/>
      <c r="R1705" s="145"/>
      <c r="S1705" s="145"/>
      <c r="T1705" s="135">
        <v>25079</v>
      </c>
      <c r="U1705" s="145"/>
      <c r="V1705" s="134" t="s">
        <v>563</v>
      </c>
      <c r="W1705" s="92" t="str">
        <f t="shared" si="116"/>
        <v>Cebrian Nolasco,Pedro</v>
      </c>
      <c r="X1705" s="95">
        <f t="shared" si="117"/>
        <v>5</v>
      </c>
      <c r="Y1705" s="95">
        <f t="shared" si="118"/>
        <v>2022</v>
      </c>
      <c r="Z1705" s="136" t="s">
        <v>266</v>
      </c>
      <c r="AA1705" t="str">
        <f>IF(Tabla1[[#This Row],[Kerma en aire acumulada (Gy)]]&gt;1,SUMIF(G:G,Tabla1[[#This Row],[SIP]],I:I)-Tabla1[[#This Row],[Kerma en aire acumulada (Gy)]],"")</f>
        <v/>
      </c>
    </row>
    <row r="1706" spans="3:27">
      <c r="C1706" s="147" t="s">
        <v>1088</v>
      </c>
      <c r="D1706" s="134" t="s">
        <v>78</v>
      </c>
      <c r="E1706" s="134" t="s">
        <v>2025</v>
      </c>
      <c r="F1706" s="134" t="s">
        <v>991</v>
      </c>
      <c r="G1706" s="134">
        <v>2328135</v>
      </c>
      <c r="H1706" s="135">
        <v>44704</v>
      </c>
      <c r="I1706" s="134">
        <v>0.19334000000000001</v>
      </c>
      <c r="J1706" s="145"/>
      <c r="K1706" s="145"/>
      <c r="L1706" s="145"/>
      <c r="M1706" s="145"/>
      <c r="N1706" s="145"/>
      <c r="O1706" s="145"/>
      <c r="P1706" s="145"/>
      <c r="Q1706" s="145"/>
      <c r="R1706" s="145"/>
      <c r="S1706" s="145"/>
      <c r="T1706" s="135">
        <v>17990</v>
      </c>
      <c r="U1706" s="145"/>
      <c r="V1706" s="134" t="s">
        <v>563</v>
      </c>
      <c r="W1706" s="92" t="str">
        <f t="shared" ref="W1706:W1769" si="119">CONCATENATE(D1706,$A$591,E1706,",",F1706)</f>
        <v>Ballester Orts,Jose</v>
      </c>
      <c r="X1706" s="95">
        <f t="shared" ref="X1706:X1769" si="120">MONTH(H1706)</f>
        <v>5</v>
      </c>
      <c r="Y1706" s="95">
        <f t="shared" ref="Y1706:Y1769" si="121">YEAR(H1706)</f>
        <v>2022</v>
      </c>
      <c r="Z1706" s="136" t="s">
        <v>266</v>
      </c>
      <c r="AA1706" t="str">
        <f>IF(Tabla1[[#This Row],[Kerma en aire acumulada (Gy)]]&gt;1,SUMIF(G:G,Tabla1[[#This Row],[SIP]],I:I)-Tabla1[[#This Row],[Kerma en aire acumulada (Gy)]],"")</f>
        <v/>
      </c>
    </row>
    <row r="1707" spans="3:27">
      <c r="C1707" s="147" t="s">
        <v>1088</v>
      </c>
      <c r="D1707" s="134" t="s">
        <v>15</v>
      </c>
      <c r="E1707" s="134" t="s">
        <v>948</v>
      </c>
      <c r="F1707" s="134" t="s">
        <v>2950</v>
      </c>
      <c r="G1707" s="134">
        <v>3370633</v>
      </c>
      <c r="H1707" s="135">
        <v>44704</v>
      </c>
      <c r="I1707" s="134">
        <v>0.28578999999999999</v>
      </c>
      <c r="J1707" s="145"/>
      <c r="K1707" s="145"/>
      <c r="L1707" s="145"/>
      <c r="M1707" s="145"/>
      <c r="N1707" s="145"/>
      <c r="O1707" s="145"/>
      <c r="P1707" s="145"/>
      <c r="Q1707" s="145"/>
      <c r="R1707" s="145"/>
      <c r="S1707" s="145"/>
      <c r="T1707" s="135">
        <v>14886</v>
      </c>
      <c r="U1707" s="145"/>
      <c r="V1707" s="134" t="s">
        <v>563</v>
      </c>
      <c r="W1707" s="92" t="str">
        <f t="shared" si="119"/>
        <v>Moreno Martinez,Angeles Vicenta</v>
      </c>
      <c r="X1707" s="95">
        <f t="shared" si="120"/>
        <v>5</v>
      </c>
      <c r="Y1707" s="95">
        <f t="shared" si="121"/>
        <v>2022</v>
      </c>
      <c r="Z1707" s="136" t="s">
        <v>266</v>
      </c>
      <c r="AA1707" t="str">
        <f>IF(Tabla1[[#This Row],[Kerma en aire acumulada (Gy)]]&gt;1,SUMIF(G:G,Tabla1[[#This Row],[SIP]],I:I)-Tabla1[[#This Row],[Kerma en aire acumulada (Gy)]],"")</f>
        <v/>
      </c>
    </row>
    <row r="1708" spans="3:27">
      <c r="C1708" s="147" t="s">
        <v>1088</v>
      </c>
      <c r="D1708" s="134" t="s">
        <v>2951</v>
      </c>
      <c r="E1708" s="134" t="s">
        <v>1294</v>
      </c>
      <c r="F1708" s="134" t="s">
        <v>13</v>
      </c>
      <c r="G1708" s="134">
        <v>3351083</v>
      </c>
      <c r="H1708" s="135">
        <v>44704</v>
      </c>
      <c r="I1708" s="134">
        <v>0.11822000000000001</v>
      </c>
      <c r="J1708" s="145"/>
      <c r="K1708" s="145"/>
      <c r="L1708" s="145"/>
      <c r="M1708" s="145"/>
      <c r="N1708" s="145"/>
      <c r="O1708" s="145"/>
      <c r="P1708" s="145"/>
      <c r="Q1708" s="145"/>
      <c r="R1708" s="145"/>
      <c r="S1708" s="145"/>
      <c r="T1708" s="135">
        <v>25868</v>
      </c>
      <c r="U1708" s="145"/>
      <c r="V1708" s="134" t="s">
        <v>563</v>
      </c>
      <c r="W1708" s="92" t="str">
        <f t="shared" si="119"/>
        <v>De Paz Roca,Manuela</v>
      </c>
      <c r="X1708" s="95">
        <f t="shared" si="120"/>
        <v>5</v>
      </c>
      <c r="Y1708" s="95">
        <f t="shared" si="121"/>
        <v>2022</v>
      </c>
      <c r="Z1708" s="136" t="s">
        <v>266</v>
      </c>
      <c r="AA1708" t="str">
        <f>IF(Tabla1[[#This Row],[Kerma en aire acumulada (Gy)]]&gt;1,SUMIF(G:G,Tabla1[[#This Row],[SIP]],I:I)-Tabla1[[#This Row],[Kerma en aire acumulada (Gy)]],"")</f>
        <v/>
      </c>
    </row>
    <row r="1709" spans="3:27">
      <c r="C1709" s="147" t="s">
        <v>1088</v>
      </c>
      <c r="D1709" s="134" t="s">
        <v>2968</v>
      </c>
      <c r="E1709" s="134" t="s">
        <v>1756</v>
      </c>
      <c r="F1709" s="134" t="s">
        <v>83</v>
      </c>
      <c r="G1709" s="134">
        <v>2825576</v>
      </c>
      <c r="H1709" s="135">
        <v>44704</v>
      </c>
      <c r="I1709" s="134">
        <v>6.6439999999999999E-2</v>
      </c>
      <c r="J1709" s="145"/>
      <c r="K1709" s="145"/>
      <c r="L1709" s="145"/>
      <c r="M1709" s="145"/>
      <c r="N1709" s="145"/>
      <c r="O1709" s="145"/>
      <c r="P1709" s="145"/>
      <c r="Q1709" s="145"/>
      <c r="R1709" s="145"/>
      <c r="S1709" s="145"/>
      <c r="T1709" s="135">
        <v>17639</v>
      </c>
      <c r="U1709" s="145"/>
      <c r="V1709" s="134" t="s">
        <v>2241</v>
      </c>
      <c r="W1709" s="92" t="str">
        <f t="shared" si="119"/>
        <v>Monllor Aguilar,Francisco</v>
      </c>
      <c r="X1709" s="95">
        <f t="shared" si="120"/>
        <v>5</v>
      </c>
      <c r="Y1709" s="95">
        <f t="shared" si="121"/>
        <v>2022</v>
      </c>
      <c r="Z1709" s="136" t="s">
        <v>2238</v>
      </c>
      <c r="AA1709" t="str">
        <f>IF(Tabla1[[#This Row],[Kerma en aire acumulada (Gy)]]&gt;1,SUMIF(G:G,Tabla1[[#This Row],[SIP]],I:I)-Tabla1[[#This Row],[Kerma en aire acumulada (Gy)]],"")</f>
        <v/>
      </c>
    </row>
    <row r="1710" spans="3:27">
      <c r="C1710" s="147" t="s">
        <v>1088</v>
      </c>
      <c r="D1710" s="134" t="s">
        <v>2969</v>
      </c>
      <c r="E1710" s="134" t="s">
        <v>915</v>
      </c>
      <c r="F1710" s="134" t="s">
        <v>322</v>
      </c>
      <c r="G1710" s="134">
        <v>2930907</v>
      </c>
      <c r="H1710" s="135">
        <v>44704</v>
      </c>
      <c r="I1710" s="150">
        <v>2.3609999999999999E-2</v>
      </c>
      <c r="J1710" s="145"/>
      <c r="K1710" s="145"/>
      <c r="L1710" s="145"/>
      <c r="M1710" s="145"/>
      <c r="N1710" s="145"/>
      <c r="O1710" s="145"/>
      <c r="P1710" s="145"/>
      <c r="Q1710" s="145"/>
      <c r="R1710" s="145"/>
      <c r="S1710" s="145"/>
      <c r="T1710" s="135">
        <v>21272</v>
      </c>
      <c r="U1710" s="145"/>
      <c r="V1710" s="134" t="s">
        <v>2237</v>
      </c>
      <c r="W1710" s="92" t="str">
        <f t="shared" si="119"/>
        <v>Hita Gimenez,Juana</v>
      </c>
      <c r="X1710" s="95">
        <f t="shared" si="120"/>
        <v>5</v>
      </c>
      <c r="Y1710" s="95">
        <f t="shared" si="121"/>
        <v>2022</v>
      </c>
      <c r="Z1710" s="136" t="s">
        <v>2238</v>
      </c>
      <c r="AA1710" t="str">
        <f>IF(Tabla1[[#This Row],[Kerma en aire acumulada (Gy)]]&gt;1,SUMIF(G:G,Tabla1[[#This Row],[SIP]],I:I)-Tabla1[[#This Row],[Kerma en aire acumulada (Gy)]],"")</f>
        <v/>
      </c>
    </row>
    <row r="1711" spans="3:27">
      <c r="C1711" s="147" t="s">
        <v>1088</v>
      </c>
      <c r="D1711" s="134" t="s">
        <v>856</v>
      </c>
      <c r="E1711" s="134" t="s">
        <v>181</v>
      </c>
      <c r="F1711" s="134" t="s">
        <v>2715</v>
      </c>
      <c r="G1711" s="134">
        <v>3533030</v>
      </c>
      <c r="H1711" s="135">
        <v>44705</v>
      </c>
      <c r="I1711" s="134">
        <v>0.12934000000000001</v>
      </c>
      <c r="J1711" s="145"/>
      <c r="K1711" s="145"/>
      <c r="L1711" s="145"/>
      <c r="M1711" s="145"/>
      <c r="N1711" s="145"/>
      <c r="O1711" s="145"/>
      <c r="P1711" s="145"/>
      <c r="Q1711" s="145"/>
      <c r="R1711" s="145"/>
      <c r="S1711" s="145"/>
      <c r="T1711" s="135">
        <v>22604</v>
      </c>
      <c r="U1711" s="145"/>
      <c r="V1711" s="134" t="s">
        <v>166</v>
      </c>
      <c r="W1711" s="92" t="str">
        <f t="shared" si="119"/>
        <v>Gomez Castillo,Hilaria</v>
      </c>
      <c r="X1711" s="95">
        <f t="shared" si="120"/>
        <v>5</v>
      </c>
      <c r="Y1711" s="95">
        <f t="shared" si="121"/>
        <v>2022</v>
      </c>
      <c r="Z1711" s="103" t="s">
        <v>265</v>
      </c>
      <c r="AA1711" t="str">
        <f>IF(Tabla1[[#This Row],[Kerma en aire acumulada (Gy)]]&gt;1,SUMIF(G:G,Tabla1[[#This Row],[SIP]],I:I)-Tabla1[[#This Row],[Kerma en aire acumulada (Gy)]],"")</f>
        <v/>
      </c>
    </row>
    <row r="1712" spans="3:27">
      <c r="C1712" s="147" t="s">
        <v>1088</v>
      </c>
      <c r="D1712" s="134" t="s">
        <v>2877</v>
      </c>
      <c r="E1712" s="134" t="s">
        <v>856</v>
      </c>
      <c r="F1712" s="134" t="s">
        <v>2878</v>
      </c>
      <c r="G1712" s="134">
        <v>3107024</v>
      </c>
      <c r="H1712" s="135">
        <v>44705</v>
      </c>
      <c r="I1712" s="134">
        <v>1.0066980000000001</v>
      </c>
      <c r="J1712" s="145"/>
      <c r="K1712" s="145"/>
      <c r="L1712" s="145"/>
      <c r="M1712" s="145"/>
      <c r="N1712" s="145"/>
      <c r="O1712" s="145"/>
      <c r="P1712" s="145"/>
      <c r="Q1712" s="145"/>
      <c r="R1712" s="145"/>
      <c r="S1712" s="145"/>
      <c r="T1712" s="135">
        <v>20778</v>
      </c>
      <c r="U1712" s="145"/>
      <c r="V1712" s="134" t="s">
        <v>2420</v>
      </c>
      <c r="W1712" s="92" t="str">
        <f t="shared" si="119"/>
        <v>Candelario Gomez,Iris Isabel</v>
      </c>
      <c r="X1712" s="95">
        <f t="shared" si="120"/>
        <v>5</v>
      </c>
      <c r="Y1712" s="95">
        <f t="shared" si="121"/>
        <v>2022</v>
      </c>
      <c r="Z1712" s="103" t="s">
        <v>265</v>
      </c>
      <c r="AA1712">
        <f>IF(Tabla1[[#This Row],[Kerma en aire acumulada (Gy)]]&gt;1,SUMIF(G:G,Tabla1[[#This Row],[SIP]],I:I)-Tabla1[[#This Row],[Kerma en aire acumulada (Gy)]],"")</f>
        <v>0</v>
      </c>
    </row>
    <row r="1713" spans="3:27">
      <c r="C1713" s="147" t="s">
        <v>1088</v>
      </c>
      <c r="D1713" s="134" t="s">
        <v>1017</v>
      </c>
      <c r="E1713" s="134" t="s">
        <v>1262</v>
      </c>
      <c r="F1713" s="134" t="s">
        <v>991</v>
      </c>
      <c r="G1713" s="134">
        <v>3175410</v>
      </c>
      <c r="H1713" s="135">
        <v>44705</v>
      </c>
      <c r="I1713" s="134">
        <v>0.62516000000000005</v>
      </c>
      <c r="J1713" s="145"/>
      <c r="K1713" s="145"/>
      <c r="L1713" s="145"/>
      <c r="M1713" s="145"/>
      <c r="N1713" s="145"/>
      <c r="O1713" s="145"/>
      <c r="P1713" s="145"/>
      <c r="Q1713" s="145"/>
      <c r="R1713" s="145"/>
      <c r="S1713" s="145"/>
      <c r="T1713" s="135">
        <v>14929</v>
      </c>
      <c r="U1713" s="145"/>
      <c r="V1713" s="134" t="s">
        <v>180</v>
      </c>
      <c r="W1713" s="92" t="str">
        <f t="shared" si="119"/>
        <v>Clemente Diaz,Jose</v>
      </c>
      <c r="X1713" s="95">
        <f t="shared" si="120"/>
        <v>5</v>
      </c>
      <c r="Y1713" s="95">
        <f t="shared" si="121"/>
        <v>2022</v>
      </c>
      <c r="Z1713" s="103" t="s">
        <v>265</v>
      </c>
      <c r="AA1713" t="str">
        <f>IF(Tabla1[[#This Row],[Kerma en aire acumulada (Gy)]]&gt;1,SUMIF(G:G,Tabla1[[#This Row],[SIP]],I:I)-Tabla1[[#This Row],[Kerma en aire acumulada (Gy)]],"")</f>
        <v/>
      </c>
    </row>
    <row r="1714" spans="3:27">
      <c r="C1714" s="147" t="s">
        <v>1088</v>
      </c>
      <c r="D1714" s="134" t="s">
        <v>2879</v>
      </c>
      <c r="E1714" s="134" t="s">
        <v>2880</v>
      </c>
      <c r="F1714" s="134" t="s">
        <v>2881</v>
      </c>
      <c r="G1714" s="134">
        <v>4746773</v>
      </c>
      <c r="H1714" s="135">
        <v>44705</v>
      </c>
      <c r="I1714" s="134">
        <v>7.6469999999999996E-2</v>
      </c>
      <c r="J1714" s="145"/>
      <c r="K1714" s="145"/>
      <c r="L1714" s="145"/>
      <c r="M1714" s="145"/>
      <c r="N1714" s="145"/>
      <c r="O1714" s="145"/>
      <c r="P1714" s="145"/>
      <c r="Q1714" s="145"/>
      <c r="R1714" s="145"/>
      <c r="S1714" s="145"/>
      <c r="T1714" s="135">
        <v>22989</v>
      </c>
      <c r="U1714" s="145"/>
      <c r="V1714" s="134" t="s">
        <v>1268</v>
      </c>
      <c r="W1714" s="92" t="str">
        <f t="shared" si="119"/>
        <v>El Mateb Meligy,Khaleb</v>
      </c>
      <c r="X1714" s="95">
        <f t="shared" si="120"/>
        <v>5</v>
      </c>
      <c r="Y1714" s="95">
        <f t="shared" si="121"/>
        <v>2022</v>
      </c>
      <c r="Z1714" s="103" t="s">
        <v>265</v>
      </c>
      <c r="AA1714" t="str">
        <f>IF(Tabla1[[#This Row],[Kerma en aire acumulada (Gy)]]&gt;1,SUMIF(G:G,Tabla1[[#This Row],[SIP]],I:I)-Tabla1[[#This Row],[Kerma en aire acumulada (Gy)]],"")</f>
        <v/>
      </c>
    </row>
    <row r="1715" spans="3:27">
      <c r="C1715" s="147" t="s">
        <v>1088</v>
      </c>
      <c r="D1715" s="134" t="s">
        <v>66</v>
      </c>
      <c r="E1715" s="134" t="s">
        <v>2903</v>
      </c>
      <c r="F1715" s="134" t="s">
        <v>2904</v>
      </c>
      <c r="G1715" s="134">
        <v>117258</v>
      </c>
      <c r="H1715" s="135">
        <v>44705</v>
      </c>
      <c r="I1715" s="134">
        <v>0.64437</v>
      </c>
      <c r="J1715" s="145"/>
      <c r="K1715" s="145"/>
      <c r="L1715" s="145"/>
      <c r="M1715" s="145"/>
      <c r="N1715" s="145"/>
      <c r="O1715" s="145"/>
      <c r="P1715" s="145"/>
      <c r="Q1715" s="145"/>
      <c r="R1715" s="145"/>
      <c r="S1715" s="145"/>
      <c r="T1715" s="135">
        <v>23405</v>
      </c>
      <c r="U1715" s="145"/>
      <c r="V1715" s="134" t="s">
        <v>563</v>
      </c>
      <c r="W1715" s="92" t="str">
        <f t="shared" si="119"/>
        <v>Navarro Torrome ,Juan Angel</v>
      </c>
      <c r="X1715" s="95">
        <f t="shared" si="120"/>
        <v>5</v>
      </c>
      <c r="Y1715" s="95">
        <f t="shared" si="121"/>
        <v>2022</v>
      </c>
      <c r="Z1715" s="136" t="s">
        <v>266</v>
      </c>
      <c r="AA1715" t="str">
        <f>IF(Tabla1[[#This Row],[Kerma en aire acumulada (Gy)]]&gt;1,SUMIF(G:G,Tabla1[[#This Row],[SIP]],I:I)-Tabla1[[#This Row],[Kerma en aire acumulada (Gy)]],"")</f>
        <v/>
      </c>
    </row>
    <row r="1716" spans="3:27">
      <c r="C1716" s="147" t="s">
        <v>1088</v>
      </c>
      <c r="D1716" s="134" t="s">
        <v>2905</v>
      </c>
      <c r="E1716" s="134" t="s">
        <v>1187</v>
      </c>
      <c r="F1716" s="134" t="s">
        <v>1260</v>
      </c>
      <c r="G1716" s="134">
        <v>2398120</v>
      </c>
      <c r="H1716" s="135">
        <v>44705</v>
      </c>
      <c r="I1716" s="134">
        <v>0.91527000000000003</v>
      </c>
      <c r="J1716" s="145"/>
      <c r="K1716" s="145"/>
      <c r="L1716" s="145"/>
      <c r="M1716" s="145"/>
      <c r="N1716" s="145"/>
      <c r="O1716" s="145"/>
      <c r="P1716" s="145"/>
      <c r="Q1716" s="145"/>
      <c r="R1716" s="145"/>
      <c r="S1716" s="145"/>
      <c r="T1716" s="135">
        <v>16214</v>
      </c>
      <c r="U1716" s="145"/>
      <c r="V1716" s="134" t="s">
        <v>563</v>
      </c>
      <c r="W1716" s="92" t="str">
        <f t="shared" si="119"/>
        <v>Portoles Villanueva,Cristobal</v>
      </c>
      <c r="X1716" s="95">
        <f t="shared" si="120"/>
        <v>5</v>
      </c>
      <c r="Y1716" s="95">
        <f t="shared" si="121"/>
        <v>2022</v>
      </c>
      <c r="Z1716" s="136" t="s">
        <v>266</v>
      </c>
      <c r="AA1716" t="str">
        <f>IF(Tabla1[[#This Row],[Kerma en aire acumulada (Gy)]]&gt;1,SUMIF(G:G,Tabla1[[#This Row],[SIP]],I:I)-Tabla1[[#This Row],[Kerma en aire acumulada (Gy)]],"")</f>
        <v/>
      </c>
    </row>
    <row r="1717" spans="3:27">
      <c r="C1717" s="147" t="s">
        <v>1088</v>
      </c>
      <c r="D1717" s="134" t="s">
        <v>2837</v>
      </c>
      <c r="E1717" s="134" t="s">
        <v>2334</v>
      </c>
      <c r="F1717" s="134" t="s">
        <v>2183</v>
      </c>
      <c r="G1717" s="134">
        <v>1747159</v>
      </c>
      <c r="H1717" s="135">
        <v>44705</v>
      </c>
      <c r="I1717" s="134">
        <v>0.35193999999999998</v>
      </c>
      <c r="J1717" s="145"/>
      <c r="K1717" s="145"/>
      <c r="L1717" s="145"/>
      <c r="M1717" s="145"/>
      <c r="N1717" s="145"/>
      <c r="O1717" s="145"/>
      <c r="P1717" s="145"/>
      <c r="Q1717" s="145"/>
      <c r="R1717" s="145"/>
      <c r="S1717" s="145"/>
      <c r="T1717" s="135">
        <v>14833</v>
      </c>
      <c r="U1717" s="145"/>
      <c r="V1717" s="134" t="s">
        <v>563</v>
      </c>
      <c r="W1717" s="92" t="str">
        <f t="shared" si="119"/>
        <v>Sebastia Fabra,Agustin</v>
      </c>
      <c r="X1717" s="95">
        <f t="shared" si="120"/>
        <v>5</v>
      </c>
      <c r="Y1717" s="95">
        <f t="shared" si="121"/>
        <v>2022</v>
      </c>
      <c r="Z1717" s="136" t="s">
        <v>266</v>
      </c>
      <c r="AA1717" t="str">
        <f>IF(Tabla1[[#This Row],[Kerma en aire acumulada (Gy)]]&gt;1,SUMIF(G:G,Tabla1[[#This Row],[SIP]],I:I)-Tabla1[[#This Row],[Kerma en aire acumulada (Gy)]],"")</f>
        <v/>
      </c>
    </row>
    <row r="1718" spans="3:27">
      <c r="C1718" s="147" t="s">
        <v>1088</v>
      </c>
      <c r="D1718" s="134" t="s">
        <v>1925</v>
      </c>
      <c r="E1718" s="134" t="s">
        <v>1771</v>
      </c>
      <c r="F1718" s="134" t="s">
        <v>322</v>
      </c>
      <c r="G1718" s="134">
        <v>2880583</v>
      </c>
      <c r="H1718" s="135">
        <v>44705</v>
      </c>
      <c r="I1718" s="134">
        <v>4.7989999999999998E-2</v>
      </c>
      <c r="J1718" s="145"/>
      <c r="K1718" s="145"/>
      <c r="L1718" s="145"/>
      <c r="M1718" s="145"/>
      <c r="N1718" s="145"/>
      <c r="O1718" s="145"/>
      <c r="P1718" s="145"/>
      <c r="Q1718" s="145"/>
      <c r="R1718" s="145"/>
      <c r="S1718" s="145"/>
      <c r="T1718" s="135">
        <v>22744</v>
      </c>
      <c r="U1718" s="145"/>
      <c r="V1718" s="134" t="s">
        <v>563</v>
      </c>
      <c r="W1718" s="92" t="str">
        <f t="shared" si="119"/>
        <v>Saura Tomas,Juana</v>
      </c>
      <c r="X1718" s="95">
        <f t="shared" si="120"/>
        <v>5</v>
      </c>
      <c r="Y1718" s="95">
        <f t="shared" si="121"/>
        <v>2022</v>
      </c>
      <c r="Z1718" s="136" t="s">
        <v>266</v>
      </c>
      <c r="AA1718" t="str">
        <f>IF(Tabla1[[#This Row],[Kerma en aire acumulada (Gy)]]&gt;1,SUMIF(G:G,Tabla1[[#This Row],[SIP]],I:I)-Tabla1[[#This Row],[Kerma en aire acumulada (Gy)]],"")</f>
        <v/>
      </c>
    </row>
    <row r="1719" spans="3:27">
      <c r="C1719" s="147" t="s">
        <v>1088</v>
      </c>
      <c r="D1719" s="134" t="s">
        <v>1001</v>
      </c>
      <c r="E1719" s="134" t="s">
        <v>1837</v>
      </c>
      <c r="F1719" s="134" t="s">
        <v>375</v>
      </c>
      <c r="G1719" s="134">
        <v>5111574</v>
      </c>
      <c r="H1719" s="135">
        <v>44705</v>
      </c>
      <c r="I1719" s="134">
        <v>0.15884999999999999</v>
      </c>
      <c r="J1719" s="145"/>
      <c r="K1719" s="145"/>
      <c r="L1719" s="145"/>
      <c r="M1719" s="145"/>
      <c r="N1719" s="145"/>
      <c r="O1719" s="145"/>
      <c r="P1719" s="145"/>
      <c r="Q1719" s="145"/>
      <c r="R1719" s="145"/>
      <c r="S1719" s="145"/>
      <c r="T1719" s="135">
        <v>28314</v>
      </c>
      <c r="U1719" s="145"/>
      <c r="V1719" s="134" t="s">
        <v>563</v>
      </c>
      <c r="W1719" s="92" t="str">
        <f t="shared" si="119"/>
        <v>Perez Rodriguez,Alberto</v>
      </c>
      <c r="X1719" s="95">
        <f t="shared" si="120"/>
        <v>5</v>
      </c>
      <c r="Y1719" s="95">
        <f t="shared" si="121"/>
        <v>2022</v>
      </c>
      <c r="Z1719" s="136" t="s">
        <v>266</v>
      </c>
      <c r="AA1719" t="str">
        <f>IF(Tabla1[[#This Row],[Kerma en aire acumulada (Gy)]]&gt;1,SUMIF(G:G,Tabla1[[#This Row],[SIP]],I:I)-Tabla1[[#This Row],[Kerma en aire acumulada (Gy)]],"")</f>
        <v/>
      </c>
    </row>
    <row r="1720" spans="3:27">
      <c r="C1720" s="147" t="s">
        <v>1088</v>
      </c>
      <c r="D1720" s="134" t="s">
        <v>2943</v>
      </c>
      <c r="E1720" s="134" t="s">
        <v>2944</v>
      </c>
      <c r="F1720" s="134" t="s">
        <v>83</v>
      </c>
      <c r="G1720" s="134">
        <v>2913812</v>
      </c>
      <c r="H1720" s="135">
        <v>44705</v>
      </c>
      <c r="I1720" s="134">
        <v>0.17660999999999999</v>
      </c>
      <c r="J1720" s="145"/>
      <c r="K1720" s="145"/>
      <c r="L1720" s="145"/>
      <c r="M1720" s="145"/>
      <c r="N1720" s="145"/>
      <c r="O1720" s="145"/>
      <c r="P1720" s="145"/>
      <c r="Q1720" s="145"/>
      <c r="R1720" s="145"/>
      <c r="S1720" s="145"/>
      <c r="T1720" s="135">
        <v>21705</v>
      </c>
      <c r="U1720" s="145"/>
      <c r="V1720" s="134" t="s">
        <v>563</v>
      </c>
      <c r="W1720" s="92" t="str">
        <f t="shared" si="119"/>
        <v>Mortalla Yubero,Francisco</v>
      </c>
      <c r="X1720" s="95">
        <f t="shared" si="120"/>
        <v>5</v>
      </c>
      <c r="Y1720" s="95">
        <f t="shared" si="121"/>
        <v>2022</v>
      </c>
      <c r="Z1720" s="136" t="s">
        <v>266</v>
      </c>
      <c r="AA1720" t="str">
        <f>IF(Tabla1[[#This Row],[Kerma en aire acumulada (Gy)]]&gt;1,SUMIF(G:G,Tabla1[[#This Row],[SIP]],I:I)-Tabla1[[#This Row],[Kerma en aire acumulada (Gy)]],"")</f>
        <v/>
      </c>
    </row>
    <row r="1721" spans="3:27">
      <c r="C1721" s="147" t="s">
        <v>1088</v>
      </c>
      <c r="D1721" s="134" t="s">
        <v>628</v>
      </c>
      <c r="E1721" s="134" t="s">
        <v>663</v>
      </c>
      <c r="F1721" s="134" t="s">
        <v>2945</v>
      </c>
      <c r="G1721" s="134">
        <v>3798889</v>
      </c>
      <c r="H1721" s="135">
        <v>44705</v>
      </c>
      <c r="I1721" s="134">
        <v>0.29366999999999999</v>
      </c>
      <c r="J1721" s="145"/>
      <c r="K1721" s="145"/>
      <c r="L1721" s="145"/>
      <c r="M1721" s="145"/>
      <c r="N1721" s="145"/>
      <c r="O1721" s="145"/>
      <c r="P1721" s="145"/>
      <c r="Q1721" s="145"/>
      <c r="R1721" s="145"/>
      <c r="S1721" s="145"/>
      <c r="T1721" s="135">
        <v>20550</v>
      </c>
      <c r="U1721" s="145"/>
      <c r="V1721" s="134" t="s">
        <v>563</v>
      </c>
      <c r="W1721" s="92" t="str">
        <f t="shared" si="119"/>
        <v>Pons Sanchis,Herminia Vicenta</v>
      </c>
      <c r="X1721" s="95">
        <f t="shared" si="120"/>
        <v>5</v>
      </c>
      <c r="Y1721" s="95">
        <f t="shared" si="121"/>
        <v>2022</v>
      </c>
      <c r="Z1721" s="136" t="s">
        <v>266</v>
      </c>
      <c r="AA1721" t="str">
        <f>IF(Tabla1[[#This Row],[Kerma en aire acumulada (Gy)]]&gt;1,SUMIF(G:G,Tabla1[[#This Row],[SIP]],I:I)-Tabla1[[#This Row],[Kerma en aire acumulada (Gy)]],"")</f>
        <v/>
      </c>
    </row>
    <row r="1722" spans="3:27">
      <c r="C1722" s="147" t="s">
        <v>1088</v>
      </c>
      <c r="D1722" s="134" t="s">
        <v>1747</v>
      </c>
      <c r="E1722" s="134" t="s">
        <v>2946</v>
      </c>
      <c r="F1722" s="134" t="s">
        <v>2815</v>
      </c>
      <c r="G1722" s="134">
        <v>2579422</v>
      </c>
      <c r="H1722" s="135">
        <v>44705</v>
      </c>
      <c r="I1722" s="134">
        <v>0.75938000000000005</v>
      </c>
      <c r="J1722" s="145"/>
      <c r="K1722" s="145"/>
      <c r="L1722" s="145"/>
      <c r="M1722" s="145"/>
      <c r="N1722" s="145"/>
      <c r="O1722" s="145"/>
      <c r="P1722" s="145"/>
      <c r="Q1722" s="145"/>
      <c r="R1722" s="145"/>
      <c r="S1722" s="145"/>
      <c r="T1722" s="135">
        <v>13550</v>
      </c>
      <c r="U1722" s="145"/>
      <c r="V1722" s="134" t="s">
        <v>563</v>
      </c>
      <c r="W1722" s="92" t="str">
        <f t="shared" si="119"/>
        <v>Alvaro Laureano,Encarnacion</v>
      </c>
      <c r="X1722" s="95">
        <f t="shared" si="120"/>
        <v>5</v>
      </c>
      <c r="Y1722" s="95">
        <f t="shared" si="121"/>
        <v>2022</v>
      </c>
      <c r="Z1722" s="136" t="s">
        <v>266</v>
      </c>
      <c r="AA1722" t="str">
        <f>IF(Tabla1[[#This Row],[Kerma en aire acumulada (Gy)]]&gt;1,SUMIF(G:G,Tabla1[[#This Row],[SIP]],I:I)-Tabla1[[#This Row],[Kerma en aire acumulada (Gy)]],"")</f>
        <v/>
      </c>
    </row>
    <row r="1723" spans="3:27">
      <c r="C1723" s="147" t="s">
        <v>1088</v>
      </c>
      <c r="D1723" s="134" t="s">
        <v>2947</v>
      </c>
      <c r="E1723" s="134"/>
      <c r="F1723" s="134" t="s">
        <v>2948</v>
      </c>
      <c r="G1723" s="134">
        <v>13461144</v>
      </c>
      <c r="H1723" s="135">
        <v>44705</v>
      </c>
      <c r="I1723" s="134">
        <v>9.0370000000000006E-2</v>
      </c>
      <c r="J1723" s="145"/>
      <c r="K1723" s="145"/>
      <c r="L1723" s="145"/>
      <c r="M1723" s="145"/>
      <c r="N1723" s="145"/>
      <c r="O1723" s="145"/>
      <c r="P1723" s="145"/>
      <c r="Q1723" s="145"/>
      <c r="R1723" s="145"/>
      <c r="S1723" s="145"/>
      <c r="T1723" s="135">
        <v>30147</v>
      </c>
      <c r="U1723" s="145"/>
      <c r="V1723" s="134" t="s">
        <v>563</v>
      </c>
      <c r="W1723" s="92" t="str">
        <f t="shared" si="119"/>
        <v>Dushchenko ,Oleksandr</v>
      </c>
      <c r="X1723" s="95">
        <f t="shared" si="120"/>
        <v>5</v>
      </c>
      <c r="Y1723" s="95">
        <f t="shared" si="121"/>
        <v>2022</v>
      </c>
      <c r="Z1723" s="136" t="s">
        <v>266</v>
      </c>
      <c r="AA1723" t="str">
        <f>IF(Tabla1[[#This Row],[Kerma en aire acumulada (Gy)]]&gt;1,SUMIF(G:G,Tabla1[[#This Row],[SIP]],I:I)-Tabla1[[#This Row],[Kerma en aire acumulada (Gy)]],"")</f>
        <v/>
      </c>
    </row>
    <row r="1724" spans="3:27">
      <c r="C1724" s="147" t="s">
        <v>1088</v>
      </c>
      <c r="D1724" s="134" t="s">
        <v>2123</v>
      </c>
      <c r="E1724" s="134" t="s">
        <v>1045</v>
      </c>
      <c r="F1724" s="134" t="s">
        <v>75</v>
      </c>
      <c r="G1724" s="134">
        <v>3581709</v>
      </c>
      <c r="H1724" s="135">
        <v>44705</v>
      </c>
      <c r="I1724" s="134">
        <v>0.88639000000000001</v>
      </c>
      <c r="J1724" s="145"/>
      <c r="K1724" s="145"/>
      <c r="L1724" s="145"/>
      <c r="M1724" s="145"/>
      <c r="N1724" s="145"/>
      <c r="O1724" s="145"/>
      <c r="P1724" s="145"/>
      <c r="Q1724" s="145"/>
      <c r="R1724" s="145"/>
      <c r="S1724" s="145"/>
      <c r="T1724" s="135">
        <v>27296</v>
      </c>
      <c r="U1724" s="145"/>
      <c r="V1724" s="134" t="s">
        <v>563</v>
      </c>
      <c r="W1724" s="92" t="str">
        <f t="shared" si="119"/>
        <v>Diez Albero,Javier</v>
      </c>
      <c r="X1724" s="95">
        <f t="shared" si="120"/>
        <v>5</v>
      </c>
      <c r="Y1724" s="95">
        <f t="shared" si="121"/>
        <v>2022</v>
      </c>
      <c r="Z1724" s="136" t="s">
        <v>266</v>
      </c>
      <c r="AA1724" t="str">
        <f>IF(Tabla1[[#This Row],[Kerma en aire acumulada (Gy)]]&gt;1,SUMIF(G:G,Tabla1[[#This Row],[SIP]],I:I)-Tabla1[[#This Row],[Kerma en aire acumulada (Gy)]],"")</f>
        <v/>
      </c>
    </row>
    <row r="1725" spans="3:27">
      <c r="C1725" s="147" t="s">
        <v>1088</v>
      </c>
      <c r="D1725" s="134" t="s">
        <v>2708</v>
      </c>
      <c r="E1725" s="134"/>
      <c r="F1725" s="134" t="s">
        <v>2709</v>
      </c>
      <c r="G1725" s="150">
        <v>5153342</v>
      </c>
      <c r="H1725" s="135">
        <v>44705</v>
      </c>
      <c r="I1725" s="150">
        <v>9.9720000000000003E-2</v>
      </c>
      <c r="J1725" s="145"/>
      <c r="K1725" s="145"/>
      <c r="L1725" s="145"/>
      <c r="M1725" s="145"/>
      <c r="N1725" s="145"/>
      <c r="O1725" s="145"/>
      <c r="P1725" s="145"/>
      <c r="Q1725" s="145"/>
      <c r="R1725" s="145"/>
      <c r="S1725" s="145"/>
      <c r="T1725" s="135">
        <v>23011</v>
      </c>
      <c r="U1725" s="145"/>
      <c r="V1725" s="134" t="s">
        <v>563</v>
      </c>
      <c r="W1725" s="92" t="str">
        <f t="shared" si="119"/>
        <v>Massi ,Flavio</v>
      </c>
      <c r="X1725" s="95">
        <f t="shared" si="120"/>
        <v>5</v>
      </c>
      <c r="Y1725" s="95">
        <f t="shared" si="121"/>
        <v>2022</v>
      </c>
      <c r="Z1725" s="136" t="s">
        <v>266</v>
      </c>
      <c r="AA1725" t="str">
        <f>IF(Tabla1[[#This Row],[Kerma en aire acumulada (Gy)]]&gt;1,SUMIF(G:G,Tabla1[[#This Row],[SIP]],I:I)-Tabla1[[#This Row],[Kerma en aire acumulada (Gy)]],"")</f>
        <v/>
      </c>
    </row>
    <row r="1726" spans="3:27">
      <c r="C1726" s="147" t="s">
        <v>1088</v>
      </c>
      <c r="D1726" s="134" t="s">
        <v>2966</v>
      </c>
      <c r="E1726" s="134" t="s">
        <v>1837</v>
      </c>
      <c r="F1726" s="134" t="s">
        <v>57</v>
      </c>
      <c r="G1726" s="134">
        <v>3802411</v>
      </c>
      <c r="H1726" s="135">
        <v>44705</v>
      </c>
      <c r="I1726" s="134">
        <v>4.5199999999999997E-3</v>
      </c>
      <c r="J1726" s="145"/>
      <c r="K1726" s="145"/>
      <c r="L1726" s="145"/>
      <c r="M1726" s="145"/>
      <c r="N1726" s="145"/>
      <c r="O1726" s="145"/>
      <c r="P1726" s="145"/>
      <c r="Q1726" s="145"/>
      <c r="R1726" s="145"/>
      <c r="S1726" s="145"/>
      <c r="T1726" s="135">
        <v>22079</v>
      </c>
      <c r="U1726" s="145"/>
      <c r="V1726" s="134" t="s">
        <v>2962</v>
      </c>
      <c r="W1726" s="92" t="str">
        <f t="shared" si="119"/>
        <v>Doña Rodriguez,Miguel</v>
      </c>
      <c r="X1726" s="95">
        <f t="shared" si="120"/>
        <v>5</v>
      </c>
      <c r="Y1726" s="95">
        <f t="shared" si="121"/>
        <v>2022</v>
      </c>
      <c r="Z1726" s="136" t="s">
        <v>2238</v>
      </c>
      <c r="AA1726" t="str">
        <f>IF(Tabla1[[#This Row],[Kerma en aire acumulada (Gy)]]&gt;1,SUMIF(G:G,Tabla1[[#This Row],[SIP]],I:I)-Tabla1[[#This Row],[Kerma en aire acumulada (Gy)]],"")</f>
        <v/>
      </c>
    </row>
    <row r="1727" spans="3:27">
      <c r="C1727" s="147" t="s">
        <v>1088</v>
      </c>
      <c r="D1727" s="134" t="s">
        <v>2967</v>
      </c>
      <c r="E1727" s="134" t="s">
        <v>663</v>
      </c>
      <c r="F1727" s="134" t="s">
        <v>2883</v>
      </c>
      <c r="G1727" s="134">
        <v>3268060</v>
      </c>
      <c r="H1727" s="135">
        <v>44705</v>
      </c>
      <c r="I1727" s="134">
        <v>1.2319999999999999E-2</v>
      </c>
      <c r="J1727" s="145"/>
      <c r="K1727" s="145"/>
      <c r="L1727" s="145"/>
      <c r="M1727" s="145"/>
      <c r="N1727" s="145"/>
      <c r="O1727" s="145"/>
      <c r="P1727" s="145"/>
      <c r="Q1727" s="145"/>
      <c r="R1727" s="145"/>
      <c r="S1727" s="145"/>
      <c r="T1727" s="135">
        <v>17229</v>
      </c>
      <c r="U1727" s="145"/>
      <c r="V1727" s="134" t="s">
        <v>2237</v>
      </c>
      <c r="W1727" s="92" t="str">
        <f t="shared" si="119"/>
        <v>Caso Sanchis,Remigio</v>
      </c>
      <c r="X1727" s="95">
        <f t="shared" si="120"/>
        <v>5</v>
      </c>
      <c r="Y1727" s="95">
        <f t="shared" si="121"/>
        <v>2022</v>
      </c>
      <c r="Z1727" s="136" t="s">
        <v>2238</v>
      </c>
      <c r="AA1727" t="str">
        <f>IF(Tabla1[[#This Row],[Kerma en aire acumulada (Gy)]]&gt;1,SUMIF(G:G,Tabla1[[#This Row],[SIP]],I:I)-Tabla1[[#This Row],[Kerma en aire acumulada (Gy)]],"")</f>
        <v/>
      </c>
    </row>
    <row r="1728" spans="3:27">
      <c r="C1728" s="147" t="s">
        <v>1108</v>
      </c>
      <c r="D1728" s="134" t="s">
        <v>2863</v>
      </c>
      <c r="E1728" s="134" t="s">
        <v>2864</v>
      </c>
      <c r="F1728" s="134" t="s">
        <v>2569</v>
      </c>
      <c r="G1728" s="134">
        <v>6616709</v>
      </c>
      <c r="H1728" s="135">
        <v>44706</v>
      </c>
      <c r="I1728" s="134">
        <v>5.2880000000000003E-2</v>
      </c>
      <c r="J1728" s="145"/>
      <c r="K1728" s="145"/>
      <c r="L1728" s="145"/>
      <c r="M1728" s="145"/>
      <c r="N1728" s="145"/>
      <c r="O1728" s="145"/>
      <c r="P1728" s="145"/>
      <c r="Q1728" s="145"/>
      <c r="R1728" s="145"/>
      <c r="S1728" s="145"/>
      <c r="T1728" s="135">
        <v>39022</v>
      </c>
      <c r="U1728" s="145"/>
      <c r="V1728" s="134" t="s">
        <v>1304</v>
      </c>
      <c r="W1728" s="92" t="str">
        <f t="shared" si="119"/>
        <v>Escamilla Whitbread,Fabian</v>
      </c>
      <c r="X1728" s="95">
        <f t="shared" si="120"/>
        <v>5</v>
      </c>
      <c r="Y1728" s="95">
        <f t="shared" si="121"/>
        <v>2022</v>
      </c>
      <c r="Z1728" s="103" t="s">
        <v>265</v>
      </c>
      <c r="AA1728" t="str">
        <f>IF(Tabla1[[#This Row],[Kerma en aire acumulada (Gy)]]&gt;1,SUMIF(G:G,Tabla1[[#This Row],[SIP]],I:I)-Tabla1[[#This Row],[Kerma en aire acumulada (Gy)]],"")</f>
        <v/>
      </c>
    </row>
    <row r="1729" spans="3:27">
      <c r="C1729" s="147" t="s">
        <v>1088</v>
      </c>
      <c r="D1729" s="134" t="s">
        <v>2045</v>
      </c>
      <c r="E1729" s="134" t="s">
        <v>2865</v>
      </c>
      <c r="F1729" s="134" t="s">
        <v>7</v>
      </c>
      <c r="G1729" s="134">
        <v>3742410</v>
      </c>
      <c r="H1729" s="135">
        <v>44706</v>
      </c>
      <c r="I1729" s="134">
        <v>6.1129999999999997E-2</v>
      </c>
      <c r="J1729" s="145"/>
      <c r="K1729" s="145"/>
      <c r="L1729" s="145"/>
      <c r="M1729" s="145"/>
      <c r="N1729" s="145"/>
      <c r="O1729" s="145"/>
      <c r="P1729" s="145"/>
      <c r="Q1729" s="145"/>
      <c r="R1729" s="145"/>
      <c r="S1729" s="145"/>
      <c r="T1729" s="135">
        <v>14789</v>
      </c>
      <c r="U1729" s="145"/>
      <c r="V1729" s="134" t="s">
        <v>1826</v>
      </c>
      <c r="W1729" s="92" t="str">
        <f t="shared" si="119"/>
        <v>Ciscar Vilanova,Francisca</v>
      </c>
      <c r="X1729" s="95">
        <f t="shared" si="120"/>
        <v>5</v>
      </c>
      <c r="Y1729" s="95">
        <f t="shared" si="121"/>
        <v>2022</v>
      </c>
      <c r="Z1729" s="103" t="s">
        <v>265</v>
      </c>
      <c r="AA1729" t="str">
        <f>IF(Tabla1[[#This Row],[Kerma en aire acumulada (Gy)]]&gt;1,SUMIF(G:G,Tabla1[[#This Row],[SIP]],I:I)-Tabla1[[#This Row],[Kerma en aire acumulada (Gy)]],"")</f>
        <v/>
      </c>
    </row>
    <row r="1730" spans="3:27">
      <c r="C1730" s="147" t="s">
        <v>1088</v>
      </c>
      <c r="D1730" s="134" t="s">
        <v>2506</v>
      </c>
      <c r="E1730" s="134" t="s">
        <v>2357</v>
      </c>
      <c r="F1730" s="134" t="s">
        <v>1238</v>
      </c>
      <c r="G1730" s="134">
        <v>2316976</v>
      </c>
      <c r="H1730" s="135">
        <v>44706</v>
      </c>
      <c r="I1730" s="134">
        <v>0.11842999999999999</v>
      </c>
      <c r="J1730" s="145"/>
      <c r="K1730" s="145"/>
      <c r="L1730" s="145"/>
      <c r="M1730" s="145"/>
      <c r="N1730" s="145"/>
      <c r="O1730" s="145"/>
      <c r="P1730" s="145"/>
      <c r="Q1730" s="145"/>
      <c r="R1730" s="145"/>
      <c r="S1730" s="145"/>
      <c r="T1730" s="135">
        <v>19498</v>
      </c>
      <c r="U1730" s="145"/>
      <c r="V1730" s="134" t="s">
        <v>552</v>
      </c>
      <c r="W1730" s="92" t="str">
        <f t="shared" si="119"/>
        <v>Solaz Garzon,Angel</v>
      </c>
      <c r="X1730" s="95">
        <f t="shared" si="120"/>
        <v>5</v>
      </c>
      <c r="Y1730" s="95">
        <f t="shared" si="121"/>
        <v>2022</v>
      </c>
      <c r="Z1730" s="103" t="s">
        <v>265</v>
      </c>
      <c r="AA1730" t="str">
        <f>IF(Tabla1[[#This Row],[Kerma en aire acumulada (Gy)]]&gt;1,SUMIF(G:G,Tabla1[[#This Row],[SIP]],I:I)-Tabla1[[#This Row],[Kerma en aire acumulada (Gy)]],"")</f>
        <v/>
      </c>
    </row>
    <row r="1731" spans="3:27">
      <c r="C1731" s="147" t="s">
        <v>1088</v>
      </c>
      <c r="D1731" s="134" t="s">
        <v>2876</v>
      </c>
      <c r="E1731" s="134" t="s">
        <v>1837</v>
      </c>
      <c r="F1731" s="134" t="s">
        <v>2405</v>
      </c>
      <c r="G1731" s="134">
        <v>2400618</v>
      </c>
      <c r="H1731" s="135">
        <v>44706</v>
      </c>
      <c r="I1731" s="134">
        <v>0.56988000000000005</v>
      </c>
      <c r="J1731" s="145"/>
      <c r="K1731" s="145"/>
      <c r="L1731" s="145"/>
      <c r="M1731" s="145"/>
      <c r="N1731" s="145"/>
      <c r="O1731" s="145"/>
      <c r="P1731" s="145"/>
      <c r="Q1731" s="145"/>
      <c r="R1731" s="145"/>
      <c r="S1731" s="145"/>
      <c r="T1731" s="135">
        <v>14698</v>
      </c>
      <c r="U1731" s="145"/>
      <c r="V1731" s="134" t="s">
        <v>2122</v>
      </c>
      <c r="W1731" s="92" t="str">
        <f t="shared" si="119"/>
        <v>Llisto Rodriguez,Jose Antonio</v>
      </c>
      <c r="X1731" s="95">
        <f t="shared" si="120"/>
        <v>5</v>
      </c>
      <c r="Y1731" s="95">
        <f t="shared" si="121"/>
        <v>2022</v>
      </c>
      <c r="Z1731" s="103" t="s">
        <v>265</v>
      </c>
      <c r="AA1731" t="str">
        <f>IF(Tabla1[[#This Row],[Kerma en aire acumulada (Gy)]]&gt;1,SUMIF(G:G,Tabla1[[#This Row],[SIP]],I:I)-Tabla1[[#This Row],[Kerma en aire acumulada (Gy)]],"")</f>
        <v/>
      </c>
    </row>
    <row r="1732" spans="3:27">
      <c r="C1732" s="147" t="s">
        <v>1088</v>
      </c>
      <c r="D1732" s="134" t="s">
        <v>2897</v>
      </c>
      <c r="E1732" s="134" t="s">
        <v>2898</v>
      </c>
      <c r="F1732" s="134" t="s">
        <v>2899</v>
      </c>
      <c r="G1732" s="134">
        <v>3181775</v>
      </c>
      <c r="H1732" s="135">
        <v>44706</v>
      </c>
      <c r="I1732" s="134">
        <v>0.48505999999999999</v>
      </c>
      <c r="J1732" s="145"/>
      <c r="K1732" s="145"/>
      <c r="L1732" s="145"/>
      <c r="M1732" s="145"/>
      <c r="N1732" s="145"/>
      <c r="O1732" s="145"/>
      <c r="P1732" s="145"/>
      <c r="Q1732" s="145"/>
      <c r="R1732" s="145"/>
      <c r="S1732" s="145"/>
      <c r="T1732" s="135">
        <v>23069</v>
      </c>
      <c r="U1732" s="145"/>
      <c r="V1732" s="134" t="s">
        <v>563</v>
      </c>
      <c r="W1732" s="92" t="str">
        <f t="shared" si="119"/>
        <v>Muñoz de Morales Gomez del Moral,Juan V</v>
      </c>
      <c r="X1732" s="95">
        <f t="shared" si="120"/>
        <v>5</v>
      </c>
      <c r="Y1732" s="95">
        <f t="shared" si="121"/>
        <v>2022</v>
      </c>
      <c r="Z1732" s="136" t="s">
        <v>266</v>
      </c>
      <c r="AA1732" t="str">
        <f>IF(Tabla1[[#This Row],[Kerma en aire acumulada (Gy)]]&gt;1,SUMIF(G:G,Tabla1[[#This Row],[SIP]],I:I)-Tabla1[[#This Row],[Kerma en aire acumulada (Gy)]],"")</f>
        <v/>
      </c>
    </row>
    <row r="1733" spans="3:27">
      <c r="C1733" s="147" t="s">
        <v>1088</v>
      </c>
      <c r="D1733" s="134" t="s">
        <v>2900</v>
      </c>
      <c r="E1733" s="134" t="s">
        <v>2566</v>
      </c>
      <c r="F1733" s="134" t="s">
        <v>991</v>
      </c>
      <c r="G1733" s="134">
        <v>2560267</v>
      </c>
      <c r="H1733" s="135">
        <v>44706</v>
      </c>
      <c r="I1733" s="134">
        <v>0.49785000000000001</v>
      </c>
      <c r="J1733" s="145"/>
      <c r="K1733" s="145"/>
      <c r="L1733" s="145"/>
      <c r="M1733" s="145"/>
      <c r="N1733" s="145"/>
      <c r="O1733" s="145"/>
      <c r="P1733" s="145"/>
      <c r="Q1733" s="145"/>
      <c r="R1733" s="145"/>
      <c r="S1733" s="145"/>
      <c r="T1733" s="135">
        <v>19366</v>
      </c>
      <c r="U1733" s="145"/>
      <c r="V1733" s="134" t="s">
        <v>563</v>
      </c>
      <c r="W1733" s="92" t="str">
        <f t="shared" si="119"/>
        <v>Alcover Sauri,Jose</v>
      </c>
      <c r="X1733" s="95">
        <f t="shared" si="120"/>
        <v>5</v>
      </c>
      <c r="Y1733" s="95">
        <f t="shared" si="121"/>
        <v>2022</v>
      </c>
      <c r="Z1733" s="136" t="s">
        <v>266</v>
      </c>
      <c r="AA1733" t="str">
        <f>IF(Tabla1[[#This Row],[Kerma en aire acumulada (Gy)]]&gt;1,SUMIF(G:G,Tabla1[[#This Row],[SIP]],I:I)-Tabla1[[#This Row],[Kerma en aire acumulada (Gy)]],"")</f>
        <v/>
      </c>
    </row>
    <row r="1734" spans="3:27">
      <c r="C1734" s="147" t="s">
        <v>1088</v>
      </c>
      <c r="D1734" s="134" t="s">
        <v>2816</v>
      </c>
      <c r="E1734" s="134" t="s">
        <v>145</v>
      </c>
      <c r="F1734" s="134" t="s">
        <v>2141</v>
      </c>
      <c r="G1734" s="134">
        <v>2254723</v>
      </c>
      <c r="H1734" s="135">
        <v>44706</v>
      </c>
      <c r="I1734" s="134">
        <v>0.23425000000000001</v>
      </c>
      <c r="J1734" s="145"/>
      <c r="K1734" s="145"/>
      <c r="L1734" s="145"/>
      <c r="M1734" s="145"/>
      <c r="N1734" s="145"/>
      <c r="O1734" s="145"/>
      <c r="P1734" s="145"/>
      <c r="Q1734" s="145"/>
      <c r="R1734" s="145"/>
      <c r="S1734" s="145"/>
      <c r="T1734" s="135">
        <v>17177</v>
      </c>
      <c r="U1734" s="145"/>
      <c r="V1734" s="134" t="s">
        <v>563</v>
      </c>
      <c r="W1734" s="92" t="str">
        <f t="shared" si="119"/>
        <v>Cases Crespo,Jesus</v>
      </c>
      <c r="X1734" s="95">
        <f t="shared" si="120"/>
        <v>5</v>
      </c>
      <c r="Y1734" s="95">
        <f t="shared" si="121"/>
        <v>2022</v>
      </c>
      <c r="Z1734" s="136" t="s">
        <v>266</v>
      </c>
      <c r="AA1734" t="str">
        <f>IF(Tabla1[[#This Row],[Kerma en aire acumulada (Gy)]]&gt;1,SUMIF(G:G,Tabla1[[#This Row],[SIP]],I:I)-Tabla1[[#This Row],[Kerma en aire acumulada (Gy)]],"")</f>
        <v/>
      </c>
    </row>
    <row r="1735" spans="3:27">
      <c r="C1735" s="147" t="s">
        <v>1088</v>
      </c>
      <c r="D1735" s="134" t="s">
        <v>2901</v>
      </c>
      <c r="E1735" s="134" t="s">
        <v>962</v>
      </c>
      <c r="F1735" s="134" t="s">
        <v>54</v>
      </c>
      <c r="G1735" s="134">
        <v>2954634</v>
      </c>
      <c r="H1735" s="135">
        <v>44706</v>
      </c>
      <c r="I1735" s="134">
        <v>7.8399999999999997E-2</v>
      </c>
      <c r="J1735" s="145"/>
      <c r="K1735" s="145"/>
      <c r="L1735" s="145"/>
      <c r="M1735" s="145"/>
      <c r="N1735" s="145"/>
      <c r="O1735" s="145"/>
      <c r="P1735" s="145"/>
      <c r="Q1735" s="145"/>
      <c r="R1735" s="145"/>
      <c r="S1735" s="145"/>
      <c r="T1735" s="135">
        <v>21486</v>
      </c>
      <c r="U1735" s="145"/>
      <c r="V1735" s="134" t="s">
        <v>563</v>
      </c>
      <c r="W1735" s="92" t="str">
        <f t="shared" si="119"/>
        <v>Llorente Garcia,Isabel</v>
      </c>
      <c r="X1735" s="95">
        <f t="shared" si="120"/>
        <v>5</v>
      </c>
      <c r="Y1735" s="95">
        <f t="shared" si="121"/>
        <v>2022</v>
      </c>
      <c r="Z1735" s="136" t="s">
        <v>266</v>
      </c>
      <c r="AA1735" t="str">
        <f>IF(Tabla1[[#This Row],[Kerma en aire acumulada (Gy)]]&gt;1,SUMIF(G:G,Tabla1[[#This Row],[SIP]],I:I)-Tabla1[[#This Row],[Kerma en aire acumulada (Gy)]],"")</f>
        <v/>
      </c>
    </row>
    <row r="1736" spans="3:27">
      <c r="C1736" s="147" t="s">
        <v>1088</v>
      </c>
      <c r="D1736" s="134" t="s">
        <v>1837</v>
      </c>
      <c r="E1736" s="134" t="s">
        <v>2902</v>
      </c>
      <c r="F1736" s="134" t="s">
        <v>1976</v>
      </c>
      <c r="G1736" s="134">
        <v>8512775</v>
      </c>
      <c r="H1736" s="135">
        <v>44706</v>
      </c>
      <c r="I1736" s="134">
        <v>0.52102999999999999</v>
      </c>
      <c r="J1736" s="145"/>
      <c r="K1736" s="145"/>
      <c r="L1736" s="145"/>
      <c r="M1736" s="145"/>
      <c r="N1736" s="145"/>
      <c r="O1736" s="145"/>
      <c r="P1736" s="145"/>
      <c r="Q1736" s="145"/>
      <c r="R1736" s="145"/>
      <c r="S1736" s="145"/>
      <c r="T1736" s="135">
        <v>12109</v>
      </c>
      <c r="U1736" s="145"/>
      <c r="V1736" s="134" t="s">
        <v>563</v>
      </c>
      <c r="W1736" s="92" t="str">
        <f t="shared" si="119"/>
        <v>Rodriguez Ferrera,Sergio</v>
      </c>
      <c r="X1736" s="95">
        <f t="shared" si="120"/>
        <v>5</v>
      </c>
      <c r="Y1736" s="95">
        <f t="shared" si="121"/>
        <v>2022</v>
      </c>
      <c r="Z1736" s="136" t="s">
        <v>266</v>
      </c>
      <c r="AA1736" t="str">
        <f>IF(Tabla1[[#This Row],[Kerma en aire acumulada (Gy)]]&gt;1,SUMIF(G:G,Tabla1[[#This Row],[SIP]],I:I)-Tabla1[[#This Row],[Kerma en aire acumulada (Gy)]],"")</f>
        <v/>
      </c>
    </row>
    <row r="1737" spans="3:27">
      <c r="C1737" s="147" t="s">
        <v>1088</v>
      </c>
      <c r="D1737" s="134" t="s">
        <v>2451</v>
      </c>
      <c r="E1737" s="134" t="s">
        <v>2452</v>
      </c>
      <c r="F1737" s="134" t="s">
        <v>117</v>
      </c>
      <c r="G1737" s="134">
        <v>4586548</v>
      </c>
      <c r="H1737" s="135">
        <v>44706</v>
      </c>
      <c r="I1737" s="134">
        <v>0.32174000000000003</v>
      </c>
      <c r="J1737" s="145"/>
      <c r="K1737" s="145"/>
      <c r="L1737" s="145"/>
      <c r="M1737" s="145"/>
      <c r="N1737" s="145"/>
      <c r="O1737" s="145"/>
      <c r="P1737" s="145"/>
      <c r="Q1737" s="145"/>
      <c r="R1737" s="145"/>
      <c r="S1737" s="145"/>
      <c r="T1737" s="135">
        <v>23377</v>
      </c>
      <c r="U1737" s="145"/>
      <c r="V1737" s="134" t="s">
        <v>563</v>
      </c>
      <c r="W1737" s="92" t="str">
        <f t="shared" si="119"/>
        <v>Traves Ribes,M Carmen</v>
      </c>
      <c r="X1737" s="95">
        <f t="shared" si="120"/>
        <v>5</v>
      </c>
      <c r="Y1737" s="95">
        <f t="shared" si="121"/>
        <v>2022</v>
      </c>
      <c r="Z1737" s="136" t="s">
        <v>266</v>
      </c>
      <c r="AA1737" t="str">
        <f>IF(Tabla1[[#This Row],[Kerma en aire acumulada (Gy)]]&gt;1,SUMIF(G:G,Tabla1[[#This Row],[SIP]],I:I)-Tabla1[[#This Row],[Kerma en aire acumulada (Gy)]],"")</f>
        <v/>
      </c>
    </row>
    <row r="1738" spans="3:27">
      <c r="C1738" s="147" t="s">
        <v>1088</v>
      </c>
      <c r="D1738" s="134" t="s">
        <v>2936</v>
      </c>
      <c r="E1738" s="134" t="s">
        <v>948</v>
      </c>
      <c r="F1738" s="134" t="s">
        <v>2937</v>
      </c>
      <c r="G1738" s="134">
        <v>1869729</v>
      </c>
      <c r="H1738" s="135">
        <v>44706</v>
      </c>
      <c r="I1738" s="134">
        <v>0.18779000000000001</v>
      </c>
      <c r="J1738" s="145"/>
      <c r="K1738" s="145"/>
      <c r="L1738" s="145"/>
      <c r="M1738" s="145"/>
      <c r="N1738" s="145"/>
      <c r="O1738" s="145"/>
      <c r="P1738" s="145"/>
      <c r="Q1738" s="145"/>
      <c r="R1738" s="145"/>
      <c r="S1738" s="145"/>
      <c r="T1738" s="135">
        <v>13245</v>
      </c>
      <c r="U1738" s="145"/>
      <c r="V1738" s="134" t="s">
        <v>563</v>
      </c>
      <c r="W1738" s="92" t="str">
        <f t="shared" si="119"/>
        <v>Nogues Martinez,Fidel</v>
      </c>
      <c r="X1738" s="95">
        <f t="shared" si="120"/>
        <v>5</v>
      </c>
      <c r="Y1738" s="95">
        <f t="shared" si="121"/>
        <v>2022</v>
      </c>
      <c r="Z1738" s="136" t="s">
        <v>266</v>
      </c>
      <c r="AA1738" t="str">
        <f>IF(Tabla1[[#This Row],[Kerma en aire acumulada (Gy)]]&gt;1,SUMIF(G:G,Tabla1[[#This Row],[SIP]],I:I)-Tabla1[[#This Row],[Kerma en aire acumulada (Gy)]],"")</f>
        <v/>
      </c>
    </row>
    <row r="1739" spans="3:27">
      <c r="C1739" s="147" t="s">
        <v>1088</v>
      </c>
      <c r="D1739" s="134" t="s">
        <v>2938</v>
      </c>
      <c r="E1739" s="134" t="s">
        <v>2456</v>
      </c>
      <c r="F1739" s="134" t="s">
        <v>98</v>
      </c>
      <c r="G1739" s="134">
        <v>2314977</v>
      </c>
      <c r="H1739" s="135">
        <v>44706</v>
      </c>
      <c r="I1739" s="134">
        <v>0.47726000000000002</v>
      </c>
      <c r="J1739" s="145"/>
      <c r="K1739" s="145"/>
      <c r="L1739" s="145"/>
      <c r="M1739" s="145"/>
      <c r="N1739" s="145"/>
      <c r="O1739" s="145"/>
      <c r="P1739" s="145"/>
      <c r="Q1739" s="145"/>
      <c r="R1739" s="145"/>
      <c r="S1739" s="145"/>
      <c r="T1739" s="135">
        <v>21673</v>
      </c>
      <c r="U1739" s="145"/>
      <c r="V1739" s="134" t="s">
        <v>563</v>
      </c>
      <c r="W1739" s="92" t="str">
        <f t="shared" si="119"/>
        <v>Alaez Cabrera,Felipe</v>
      </c>
      <c r="X1739" s="95">
        <f t="shared" si="120"/>
        <v>5</v>
      </c>
      <c r="Y1739" s="95">
        <f t="shared" si="121"/>
        <v>2022</v>
      </c>
      <c r="Z1739" s="136" t="s">
        <v>266</v>
      </c>
      <c r="AA1739" t="str">
        <f>IF(Tabla1[[#This Row],[Kerma en aire acumulada (Gy)]]&gt;1,SUMIF(G:G,Tabla1[[#This Row],[SIP]],I:I)-Tabla1[[#This Row],[Kerma en aire acumulada (Gy)]],"")</f>
        <v/>
      </c>
    </row>
    <row r="1740" spans="3:27">
      <c r="C1740" s="147" t="s">
        <v>1088</v>
      </c>
      <c r="D1740" s="134" t="s">
        <v>2939</v>
      </c>
      <c r="E1740" s="134" t="s">
        <v>2939</v>
      </c>
      <c r="F1740" s="134" t="s">
        <v>2940</v>
      </c>
      <c r="G1740" s="134">
        <v>4304106</v>
      </c>
      <c r="H1740" s="135">
        <v>44706</v>
      </c>
      <c r="I1740" s="134">
        <v>3.6069999999999998E-2</v>
      </c>
      <c r="J1740" s="145"/>
      <c r="K1740" s="145"/>
      <c r="L1740" s="145"/>
      <c r="M1740" s="145"/>
      <c r="N1740" s="145"/>
      <c r="O1740" s="145"/>
      <c r="P1740" s="145"/>
      <c r="Q1740" s="145"/>
      <c r="R1740" s="145"/>
      <c r="S1740" s="145"/>
      <c r="T1740" s="135">
        <v>16601</v>
      </c>
      <c r="U1740" s="145"/>
      <c r="V1740" s="134" t="s">
        <v>563</v>
      </c>
      <c r="W1740" s="92" t="str">
        <f t="shared" si="119"/>
        <v>Myluha Myluha,Hanna</v>
      </c>
      <c r="X1740" s="95">
        <f t="shared" si="120"/>
        <v>5</v>
      </c>
      <c r="Y1740" s="95">
        <f t="shared" si="121"/>
        <v>2022</v>
      </c>
      <c r="Z1740" s="136" t="s">
        <v>266</v>
      </c>
      <c r="AA1740" t="str">
        <f>IF(Tabla1[[#This Row],[Kerma en aire acumulada (Gy)]]&gt;1,SUMIF(G:G,Tabla1[[#This Row],[SIP]],I:I)-Tabla1[[#This Row],[Kerma en aire acumulada (Gy)]],"")</f>
        <v/>
      </c>
    </row>
    <row r="1741" spans="3:27">
      <c r="C1741" s="147" t="s">
        <v>1088</v>
      </c>
      <c r="D1741" s="134" t="s">
        <v>2155</v>
      </c>
      <c r="E1741" s="134" t="s">
        <v>2941</v>
      </c>
      <c r="F1741" s="134" t="s">
        <v>2942</v>
      </c>
      <c r="G1741" s="134">
        <v>1961558</v>
      </c>
      <c r="H1741" s="135">
        <v>44706</v>
      </c>
      <c r="I1741" s="134">
        <v>0.11658</v>
      </c>
      <c r="J1741" s="145"/>
      <c r="K1741" s="145"/>
      <c r="L1741" s="145"/>
      <c r="M1741" s="145"/>
      <c r="N1741" s="145"/>
      <c r="O1741" s="145"/>
      <c r="P1741" s="145"/>
      <c r="Q1741" s="145"/>
      <c r="R1741" s="145"/>
      <c r="S1741" s="145"/>
      <c r="T1741" s="135">
        <v>24130</v>
      </c>
      <c r="U1741" s="145"/>
      <c r="V1741" s="134" t="s">
        <v>563</v>
      </c>
      <c r="W1741" s="92" t="str">
        <f t="shared" si="119"/>
        <v>Milla Huesa,Vicente Jesus</v>
      </c>
      <c r="X1741" s="95">
        <f t="shared" si="120"/>
        <v>5</v>
      </c>
      <c r="Y1741" s="95">
        <f t="shared" si="121"/>
        <v>2022</v>
      </c>
      <c r="Z1741" s="136" t="s">
        <v>266</v>
      </c>
      <c r="AA1741" t="str">
        <f>IF(Tabla1[[#This Row],[Kerma en aire acumulada (Gy)]]&gt;1,SUMIF(G:G,Tabla1[[#This Row],[SIP]],I:I)-Tabla1[[#This Row],[Kerma en aire acumulada (Gy)]],"")</f>
        <v/>
      </c>
    </row>
    <row r="1742" spans="3:27">
      <c r="C1742" s="147" t="s">
        <v>1088</v>
      </c>
      <c r="D1742" s="134" t="s">
        <v>1759</v>
      </c>
      <c r="E1742" s="134" t="s">
        <v>66</v>
      </c>
      <c r="F1742" s="134" t="s">
        <v>2963</v>
      </c>
      <c r="G1742" s="134">
        <v>3293004</v>
      </c>
      <c r="H1742" s="135">
        <v>44706</v>
      </c>
      <c r="I1742" s="134">
        <v>7.2730000000000003E-2</v>
      </c>
      <c r="J1742" s="145"/>
      <c r="K1742" s="145"/>
      <c r="L1742" s="145"/>
      <c r="M1742" s="145"/>
      <c r="N1742" s="145"/>
      <c r="O1742" s="145"/>
      <c r="P1742" s="145"/>
      <c r="Q1742" s="145"/>
      <c r="R1742" s="145"/>
      <c r="S1742" s="145"/>
      <c r="T1742" s="135">
        <v>12947</v>
      </c>
      <c r="U1742" s="145"/>
      <c r="V1742" s="134" t="s">
        <v>2962</v>
      </c>
      <c r="W1742" s="92" t="str">
        <f t="shared" si="119"/>
        <v>Martin Navarro,Juan Emiliano</v>
      </c>
      <c r="X1742" s="95">
        <f t="shared" si="120"/>
        <v>5</v>
      </c>
      <c r="Y1742" s="95">
        <f t="shared" si="121"/>
        <v>2022</v>
      </c>
      <c r="Z1742" s="136" t="s">
        <v>2238</v>
      </c>
      <c r="AA1742" t="str">
        <f>IF(Tabla1[[#This Row],[Kerma en aire acumulada (Gy)]]&gt;1,SUMIF(G:G,Tabla1[[#This Row],[SIP]],I:I)-Tabla1[[#This Row],[Kerma en aire acumulada (Gy)]],"")</f>
        <v/>
      </c>
    </row>
    <row r="1743" spans="3:27">
      <c r="C1743" s="147" t="s">
        <v>1088</v>
      </c>
      <c r="D1743" s="134" t="s">
        <v>2964</v>
      </c>
      <c r="E1743" s="134" t="s">
        <v>2965</v>
      </c>
      <c r="F1743" s="134" t="s">
        <v>2405</v>
      </c>
      <c r="G1743" s="134">
        <v>1312476</v>
      </c>
      <c r="H1743" s="135">
        <v>44706</v>
      </c>
      <c r="I1743" s="134">
        <v>4.5199999999999997E-3</v>
      </c>
      <c r="J1743" s="145"/>
      <c r="K1743" s="145"/>
      <c r="L1743" s="145"/>
      <c r="M1743" s="145"/>
      <c r="N1743" s="145"/>
      <c r="O1743" s="145"/>
      <c r="P1743" s="145"/>
      <c r="Q1743" s="145"/>
      <c r="R1743" s="145"/>
      <c r="S1743" s="145"/>
      <c r="T1743" s="135">
        <v>31210</v>
      </c>
      <c r="U1743" s="145"/>
      <c r="V1743" s="134" t="s">
        <v>2237</v>
      </c>
      <c r="W1743" s="92" t="str">
        <f t="shared" si="119"/>
        <v>Conesa Triviño,Jose Antonio</v>
      </c>
      <c r="X1743" s="95">
        <f t="shared" si="120"/>
        <v>5</v>
      </c>
      <c r="Y1743" s="95">
        <f t="shared" si="121"/>
        <v>2022</v>
      </c>
      <c r="Z1743" s="136" t="s">
        <v>2238</v>
      </c>
      <c r="AA1743" t="str">
        <f>IF(Tabla1[[#This Row],[Kerma en aire acumulada (Gy)]]&gt;1,SUMIF(G:G,Tabla1[[#This Row],[SIP]],I:I)-Tabla1[[#This Row],[Kerma en aire acumulada (Gy)]],"")</f>
        <v/>
      </c>
    </row>
    <row r="1744" spans="3:27">
      <c r="C1744" s="147" t="s">
        <v>1088</v>
      </c>
      <c r="D1744" s="134" t="s">
        <v>2856</v>
      </c>
      <c r="E1744" s="134" t="s">
        <v>2857</v>
      </c>
      <c r="F1744" s="134" t="s">
        <v>2858</v>
      </c>
      <c r="G1744" s="134">
        <v>2543798</v>
      </c>
      <c r="H1744" s="135">
        <v>44707</v>
      </c>
      <c r="I1744" s="134">
        <v>1.213E-2</v>
      </c>
      <c r="J1744" s="145"/>
      <c r="K1744" s="145"/>
      <c r="L1744" s="145"/>
      <c r="M1744" s="145"/>
      <c r="N1744" s="145"/>
      <c r="O1744" s="145"/>
      <c r="P1744" s="145"/>
      <c r="Q1744" s="145"/>
      <c r="R1744" s="145"/>
      <c r="S1744" s="145"/>
      <c r="T1744" s="135">
        <v>34304</v>
      </c>
      <c r="U1744" s="145"/>
      <c r="V1744" s="134" t="s">
        <v>950</v>
      </c>
      <c r="W1744" s="92" t="str">
        <f t="shared" si="119"/>
        <v>Planes Bolea,Lluis</v>
      </c>
      <c r="X1744" s="95">
        <f t="shared" si="120"/>
        <v>5</v>
      </c>
      <c r="Y1744" s="95">
        <f t="shared" si="121"/>
        <v>2022</v>
      </c>
      <c r="Z1744" s="103" t="s">
        <v>265</v>
      </c>
      <c r="AA1744" t="str">
        <f>IF(Tabla1[[#This Row],[Kerma en aire acumulada (Gy)]]&gt;1,SUMIF(G:G,Tabla1[[#This Row],[SIP]],I:I)-Tabla1[[#This Row],[Kerma en aire acumulada (Gy)]],"")</f>
        <v/>
      </c>
    </row>
    <row r="1745" spans="3:27">
      <c r="C1745" s="147" t="s">
        <v>1088</v>
      </c>
      <c r="D1745" s="134" t="s">
        <v>2859</v>
      </c>
      <c r="E1745" s="134" t="s">
        <v>2860</v>
      </c>
      <c r="F1745" s="134" t="s">
        <v>1017</v>
      </c>
      <c r="G1745" s="134">
        <v>3187561</v>
      </c>
      <c r="H1745" s="135">
        <v>44707</v>
      </c>
      <c r="I1745" s="134">
        <v>8.3699999999999997E-2</v>
      </c>
      <c r="J1745" s="145"/>
      <c r="K1745" s="145"/>
      <c r="L1745" s="145"/>
      <c r="M1745" s="145"/>
      <c r="N1745" s="145"/>
      <c r="O1745" s="145"/>
      <c r="P1745" s="145"/>
      <c r="Q1745" s="145"/>
      <c r="R1745" s="145"/>
      <c r="S1745" s="145"/>
      <c r="T1745" s="135">
        <v>16397</v>
      </c>
      <c r="U1745" s="145"/>
      <c r="V1745" s="134" t="s">
        <v>2861</v>
      </c>
      <c r="W1745" s="92" t="str">
        <f t="shared" si="119"/>
        <v>Josa Bayo,Clemente</v>
      </c>
      <c r="X1745" s="95">
        <f t="shared" si="120"/>
        <v>5</v>
      </c>
      <c r="Y1745" s="95">
        <f t="shared" si="121"/>
        <v>2022</v>
      </c>
      <c r="Z1745" s="103" t="s">
        <v>265</v>
      </c>
      <c r="AA1745" t="str">
        <f>IF(Tabla1[[#This Row],[Kerma en aire acumulada (Gy)]]&gt;1,SUMIF(G:G,Tabla1[[#This Row],[SIP]],I:I)-Tabla1[[#This Row],[Kerma en aire acumulada (Gy)]],"")</f>
        <v/>
      </c>
    </row>
    <row r="1746" spans="3:27">
      <c r="C1746" s="147" t="s">
        <v>1088</v>
      </c>
      <c r="D1746" s="134" t="s">
        <v>539</v>
      </c>
      <c r="E1746" s="134" t="s">
        <v>2862</v>
      </c>
      <c r="F1746" s="134" t="s">
        <v>733</v>
      </c>
      <c r="G1746" s="134">
        <v>3775306</v>
      </c>
      <c r="H1746" s="135">
        <v>44707</v>
      </c>
      <c r="I1746" s="134">
        <v>0.19950000000000001</v>
      </c>
      <c r="J1746" s="145"/>
      <c r="K1746" s="145"/>
      <c r="L1746" s="145"/>
      <c r="M1746" s="145"/>
      <c r="N1746" s="145"/>
      <c r="O1746" s="145"/>
      <c r="P1746" s="145"/>
      <c r="Q1746" s="145"/>
      <c r="R1746" s="145"/>
      <c r="S1746" s="145"/>
      <c r="T1746" s="135">
        <v>13534</v>
      </c>
      <c r="U1746" s="145"/>
      <c r="V1746" s="134" t="s">
        <v>1711</v>
      </c>
      <c r="W1746" s="92" t="str">
        <f t="shared" si="119"/>
        <v>Yuste Mislata,Marcelino</v>
      </c>
      <c r="X1746" s="95">
        <f t="shared" si="120"/>
        <v>5</v>
      </c>
      <c r="Y1746" s="95">
        <f t="shared" si="121"/>
        <v>2022</v>
      </c>
      <c r="Z1746" s="103" t="s">
        <v>265</v>
      </c>
      <c r="AA1746" t="str">
        <f>IF(Tabla1[[#This Row],[Kerma en aire acumulada (Gy)]]&gt;1,SUMIF(G:G,Tabla1[[#This Row],[SIP]],I:I)-Tabla1[[#This Row],[Kerma en aire acumulada (Gy)]],"")</f>
        <v/>
      </c>
    </row>
    <row r="1747" spans="3:27">
      <c r="C1747" s="147" t="s">
        <v>1088</v>
      </c>
      <c r="D1747" s="134" t="s">
        <v>1616</v>
      </c>
      <c r="E1747" s="134" t="s">
        <v>948</v>
      </c>
      <c r="F1747" s="134" t="s">
        <v>68</v>
      </c>
      <c r="G1747" s="134">
        <v>101622</v>
      </c>
      <c r="H1747" s="135">
        <v>44707</v>
      </c>
      <c r="I1747" s="134">
        <v>0.52759999999999996</v>
      </c>
      <c r="J1747" s="145"/>
      <c r="K1747" s="145"/>
      <c r="L1747" s="145"/>
      <c r="M1747" s="145"/>
      <c r="N1747" s="145"/>
      <c r="O1747" s="145"/>
      <c r="P1747" s="145"/>
      <c r="Q1747" s="145"/>
      <c r="R1747" s="145"/>
      <c r="S1747" s="145"/>
      <c r="T1747" s="135">
        <v>21884</v>
      </c>
      <c r="U1747" s="145"/>
      <c r="V1747" s="134" t="s">
        <v>89</v>
      </c>
      <c r="W1747" s="92" t="str">
        <f t="shared" si="119"/>
        <v>Tortajada Martinez,Juan</v>
      </c>
      <c r="X1747" s="95">
        <f t="shared" si="120"/>
        <v>5</v>
      </c>
      <c r="Y1747" s="95">
        <f t="shared" si="121"/>
        <v>2022</v>
      </c>
      <c r="Z1747" s="103" t="s">
        <v>265</v>
      </c>
      <c r="AA1747" t="str">
        <f>IF(Tabla1[[#This Row],[Kerma en aire acumulada (Gy)]]&gt;1,SUMIF(G:G,Tabla1[[#This Row],[SIP]],I:I)-Tabla1[[#This Row],[Kerma en aire acumulada (Gy)]],"")</f>
        <v/>
      </c>
    </row>
    <row r="1748" spans="3:27">
      <c r="C1748" s="147" t="s">
        <v>1088</v>
      </c>
      <c r="D1748" s="134" t="s">
        <v>948</v>
      </c>
      <c r="E1748" s="134" t="s">
        <v>2008</v>
      </c>
      <c r="F1748" s="134" t="s">
        <v>861</v>
      </c>
      <c r="G1748" s="134">
        <v>3623437</v>
      </c>
      <c r="H1748" s="135">
        <v>44707</v>
      </c>
      <c r="I1748" s="134">
        <v>1.2464500000000001</v>
      </c>
      <c r="J1748" s="145"/>
      <c r="K1748" s="145"/>
      <c r="L1748" s="145"/>
      <c r="M1748" s="145"/>
      <c r="N1748" s="145"/>
      <c r="O1748" s="145"/>
      <c r="P1748" s="145"/>
      <c r="Q1748" s="145"/>
      <c r="R1748" s="145"/>
      <c r="S1748" s="145"/>
      <c r="T1748" s="135">
        <v>18087</v>
      </c>
      <c r="U1748" s="145"/>
      <c r="V1748" s="134" t="s">
        <v>2201</v>
      </c>
      <c r="W1748" s="92" t="str">
        <f t="shared" si="119"/>
        <v>Martinez Puchades,Juan Carlos</v>
      </c>
      <c r="X1748" s="95">
        <f t="shared" si="120"/>
        <v>5</v>
      </c>
      <c r="Y1748" s="95">
        <f t="shared" si="121"/>
        <v>2022</v>
      </c>
      <c r="Z1748" s="103" t="s">
        <v>265</v>
      </c>
      <c r="AA1748">
        <f>IF(Tabla1[[#This Row],[Kerma en aire acumulada (Gy)]]&gt;1,SUMIF(G:G,Tabla1[[#This Row],[SIP]],I:I)-Tabla1[[#This Row],[Kerma en aire acumulada (Gy)]],"")</f>
        <v>0.12946999999999997</v>
      </c>
    </row>
    <row r="1749" spans="3:27">
      <c r="C1749" s="147" t="s">
        <v>1088</v>
      </c>
      <c r="D1749" s="134" t="s">
        <v>82</v>
      </c>
      <c r="E1749" s="134" t="s">
        <v>2415</v>
      </c>
      <c r="F1749" s="134" t="s">
        <v>991</v>
      </c>
      <c r="G1749" s="134">
        <v>5474069</v>
      </c>
      <c r="H1749" s="135">
        <v>44707</v>
      </c>
      <c r="I1749" s="134">
        <v>2.018E-2</v>
      </c>
      <c r="J1749" s="145"/>
      <c r="K1749" s="145"/>
      <c r="L1749" s="145"/>
      <c r="M1749" s="145"/>
      <c r="N1749" s="145"/>
      <c r="O1749" s="145"/>
      <c r="P1749" s="145"/>
      <c r="Q1749" s="145"/>
      <c r="R1749" s="145"/>
      <c r="S1749" s="145"/>
      <c r="T1749" s="135">
        <v>31175</v>
      </c>
      <c r="U1749" s="145"/>
      <c r="V1749" s="134" t="s">
        <v>1653</v>
      </c>
      <c r="W1749" s="92" t="str">
        <f t="shared" si="119"/>
        <v>Pascual Miro,Jose</v>
      </c>
      <c r="X1749" s="95">
        <f t="shared" si="120"/>
        <v>5</v>
      </c>
      <c r="Y1749" s="95">
        <f t="shared" si="121"/>
        <v>2022</v>
      </c>
      <c r="Z1749" s="103" t="s">
        <v>265</v>
      </c>
      <c r="AA1749" t="str">
        <f>IF(Tabla1[[#This Row],[Kerma en aire acumulada (Gy)]]&gt;1,SUMIF(G:G,Tabla1[[#This Row],[SIP]],I:I)-Tabla1[[#This Row],[Kerma en aire acumulada (Gy)]],"")</f>
        <v/>
      </c>
    </row>
    <row r="1750" spans="3:27">
      <c r="C1750" s="147" t="s">
        <v>1088</v>
      </c>
      <c r="D1750" s="134" t="s">
        <v>2872</v>
      </c>
      <c r="E1750" s="134" t="s">
        <v>2873</v>
      </c>
      <c r="F1750" s="134" t="s">
        <v>83</v>
      </c>
      <c r="G1750" s="134">
        <v>2864321</v>
      </c>
      <c r="H1750" s="135">
        <v>44707</v>
      </c>
      <c r="I1750" s="134">
        <v>9.0000000000000006E-5</v>
      </c>
      <c r="J1750" s="145"/>
      <c r="K1750" s="145"/>
      <c r="L1750" s="145"/>
      <c r="M1750" s="145"/>
      <c r="N1750" s="145"/>
      <c r="O1750" s="145"/>
      <c r="P1750" s="145"/>
      <c r="Q1750" s="145"/>
      <c r="R1750" s="145"/>
      <c r="S1750" s="145"/>
      <c r="T1750" s="135">
        <v>17928</v>
      </c>
      <c r="U1750" s="145"/>
      <c r="V1750" s="134" t="s">
        <v>1742</v>
      </c>
      <c r="W1750" s="92" t="str">
        <f t="shared" si="119"/>
        <v>Olcina Carchano,Francisco</v>
      </c>
      <c r="X1750" s="95">
        <f t="shared" si="120"/>
        <v>5</v>
      </c>
      <c r="Y1750" s="95">
        <f t="shared" si="121"/>
        <v>2022</v>
      </c>
      <c r="Z1750" s="103" t="s">
        <v>265</v>
      </c>
      <c r="AA1750" t="str">
        <f>IF(Tabla1[[#This Row],[Kerma en aire acumulada (Gy)]]&gt;1,SUMIF(G:G,Tabla1[[#This Row],[SIP]],I:I)-Tabla1[[#This Row],[Kerma en aire acumulada (Gy)]],"")</f>
        <v/>
      </c>
    </row>
    <row r="1751" spans="3:27">
      <c r="C1751" s="147" t="s">
        <v>1088</v>
      </c>
      <c r="D1751" s="134" t="s">
        <v>2485</v>
      </c>
      <c r="E1751" s="134" t="s">
        <v>332</v>
      </c>
      <c r="F1751" s="134" t="s">
        <v>2874</v>
      </c>
      <c r="G1751" s="134">
        <v>3776552</v>
      </c>
      <c r="H1751" s="135">
        <v>44707</v>
      </c>
      <c r="I1751" s="134">
        <v>8.6919999999999997E-2</v>
      </c>
      <c r="J1751" s="145"/>
      <c r="K1751" s="145"/>
      <c r="L1751" s="145"/>
      <c r="M1751" s="145"/>
      <c r="N1751" s="145"/>
      <c r="O1751" s="145"/>
      <c r="P1751" s="145"/>
      <c r="Q1751" s="145"/>
      <c r="R1751" s="145"/>
      <c r="S1751" s="145"/>
      <c r="T1751" s="135">
        <v>24281</v>
      </c>
      <c r="U1751" s="145"/>
      <c r="V1751" s="134" t="s">
        <v>2201</v>
      </c>
      <c r="W1751" s="92" t="str">
        <f t="shared" si="119"/>
        <v>Romaguera Albert,Mariano</v>
      </c>
      <c r="X1751" s="95">
        <f t="shared" si="120"/>
        <v>5</v>
      </c>
      <c r="Y1751" s="95">
        <f t="shared" si="121"/>
        <v>2022</v>
      </c>
      <c r="Z1751" s="103" t="s">
        <v>265</v>
      </c>
      <c r="AA1751" t="str">
        <f>IF(Tabla1[[#This Row],[Kerma en aire acumulada (Gy)]]&gt;1,SUMIF(G:G,Tabla1[[#This Row],[SIP]],I:I)-Tabla1[[#This Row],[Kerma en aire acumulada (Gy)]],"")</f>
        <v/>
      </c>
    </row>
    <row r="1752" spans="3:27">
      <c r="C1752" s="147" t="s">
        <v>1088</v>
      </c>
      <c r="D1752" s="134" t="s">
        <v>2875</v>
      </c>
      <c r="E1752" s="134" t="s">
        <v>1840</v>
      </c>
      <c r="F1752" s="134" t="s">
        <v>1317</v>
      </c>
      <c r="G1752" s="134">
        <v>2033753</v>
      </c>
      <c r="H1752" s="135">
        <v>44707</v>
      </c>
      <c r="I1752" s="134">
        <v>0.45961999999999997</v>
      </c>
      <c r="J1752" s="145"/>
      <c r="K1752" s="145"/>
      <c r="L1752" s="145"/>
      <c r="M1752" s="145"/>
      <c r="N1752" s="145"/>
      <c r="O1752" s="145"/>
      <c r="P1752" s="145"/>
      <c r="Q1752" s="145"/>
      <c r="R1752" s="145"/>
      <c r="S1752" s="145"/>
      <c r="T1752" s="135">
        <v>14757</v>
      </c>
      <c r="U1752" s="145"/>
      <c r="V1752" s="134" t="s">
        <v>2201</v>
      </c>
      <c r="W1752" s="92" t="str">
        <f t="shared" si="119"/>
        <v>Ceba Paez,Maria del Mar</v>
      </c>
      <c r="X1752" s="95">
        <f t="shared" si="120"/>
        <v>5</v>
      </c>
      <c r="Y1752" s="95">
        <f t="shared" si="121"/>
        <v>2022</v>
      </c>
      <c r="Z1752" s="103" t="s">
        <v>265</v>
      </c>
      <c r="AA1752" t="str">
        <f>IF(Tabla1[[#This Row],[Kerma en aire acumulada (Gy)]]&gt;1,SUMIF(G:G,Tabla1[[#This Row],[SIP]],I:I)-Tabla1[[#This Row],[Kerma en aire acumulada (Gy)]],"")</f>
        <v/>
      </c>
    </row>
    <row r="1753" spans="3:27">
      <c r="C1753" s="147" t="s">
        <v>1088</v>
      </c>
      <c r="D1753" s="134" t="s">
        <v>115</v>
      </c>
      <c r="E1753" s="134" t="s">
        <v>2892</v>
      </c>
      <c r="F1753" s="134" t="s">
        <v>2679</v>
      </c>
      <c r="G1753" s="134">
        <v>227001</v>
      </c>
      <c r="H1753" s="135">
        <v>44707</v>
      </c>
      <c r="I1753" s="134">
        <v>3.4439999999999998E-2</v>
      </c>
      <c r="J1753" s="145"/>
      <c r="K1753" s="145"/>
      <c r="L1753" s="145"/>
      <c r="M1753" s="145"/>
      <c r="N1753" s="145"/>
      <c r="O1753" s="145"/>
      <c r="P1753" s="145"/>
      <c r="Q1753" s="145"/>
      <c r="R1753" s="145"/>
      <c r="S1753" s="145"/>
      <c r="T1753" s="135">
        <v>26544</v>
      </c>
      <c r="U1753" s="145"/>
      <c r="V1753" s="134" t="s">
        <v>563</v>
      </c>
      <c r="W1753" s="92" t="str">
        <f t="shared" si="119"/>
        <v>Pardo Centeno,Eva</v>
      </c>
      <c r="X1753" s="95">
        <f t="shared" si="120"/>
        <v>5</v>
      </c>
      <c r="Y1753" s="95">
        <f t="shared" si="121"/>
        <v>2022</v>
      </c>
      <c r="Z1753" s="136" t="s">
        <v>266</v>
      </c>
      <c r="AA1753" t="str">
        <f>IF(Tabla1[[#This Row],[Kerma en aire acumulada (Gy)]]&gt;1,SUMIF(G:G,Tabla1[[#This Row],[SIP]],I:I)-Tabla1[[#This Row],[Kerma en aire acumulada (Gy)]],"")</f>
        <v/>
      </c>
    </row>
    <row r="1754" spans="3:27">
      <c r="C1754" s="147" t="s">
        <v>1088</v>
      </c>
      <c r="D1754" s="134" t="s">
        <v>2893</v>
      </c>
      <c r="E1754" s="134" t="s">
        <v>839</v>
      </c>
      <c r="F1754" s="134" t="s">
        <v>2894</v>
      </c>
      <c r="G1754" s="134">
        <v>2677681</v>
      </c>
      <c r="H1754" s="135">
        <v>44707</v>
      </c>
      <c r="I1754" s="134">
        <v>0.11380999999999999</v>
      </c>
      <c r="J1754" s="145"/>
      <c r="K1754" s="145"/>
      <c r="L1754" s="145"/>
      <c r="M1754" s="145"/>
      <c r="N1754" s="145"/>
      <c r="O1754" s="145"/>
      <c r="P1754" s="145"/>
      <c r="Q1754" s="145"/>
      <c r="R1754" s="145"/>
      <c r="S1754" s="145"/>
      <c r="T1754" s="135">
        <v>12785</v>
      </c>
      <c r="U1754" s="145"/>
      <c r="V1754" s="134" t="s">
        <v>563</v>
      </c>
      <c r="W1754" s="92" t="str">
        <f t="shared" si="119"/>
        <v>Llorens Ferrer,Manuel Eduardo</v>
      </c>
      <c r="X1754" s="95">
        <f t="shared" si="120"/>
        <v>5</v>
      </c>
      <c r="Y1754" s="95">
        <f t="shared" si="121"/>
        <v>2022</v>
      </c>
      <c r="Z1754" s="136" t="s">
        <v>266</v>
      </c>
      <c r="AA1754" t="str">
        <f>IF(Tabla1[[#This Row],[Kerma en aire acumulada (Gy)]]&gt;1,SUMIF(G:G,Tabla1[[#This Row],[SIP]],I:I)-Tabla1[[#This Row],[Kerma en aire acumulada (Gy)]],"")</f>
        <v/>
      </c>
    </row>
    <row r="1755" spans="3:27">
      <c r="C1755" s="147" t="s">
        <v>1088</v>
      </c>
      <c r="D1755" s="134" t="s">
        <v>962</v>
      </c>
      <c r="E1755" s="134" t="s">
        <v>2895</v>
      </c>
      <c r="F1755" s="134" t="s">
        <v>2896</v>
      </c>
      <c r="G1755" s="134">
        <v>7290279</v>
      </c>
      <c r="H1755" s="135">
        <v>44707</v>
      </c>
      <c r="I1755" s="134">
        <v>0.14834</v>
      </c>
      <c r="J1755" s="145"/>
      <c r="K1755" s="145"/>
      <c r="L1755" s="145"/>
      <c r="M1755" s="145"/>
      <c r="N1755" s="145"/>
      <c r="O1755" s="145"/>
      <c r="P1755" s="145"/>
      <c r="Q1755" s="145"/>
      <c r="R1755" s="145"/>
      <c r="S1755" s="145"/>
      <c r="T1755" s="135">
        <v>23147</v>
      </c>
      <c r="U1755" s="145"/>
      <c r="V1755" s="134" t="s">
        <v>563</v>
      </c>
      <c r="W1755" s="92" t="str">
        <f t="shared" si="119"/>
        <v>Garcia Hirsch,Domingo Daniel</v>
      </c>
      <c r="X1755" s="95">
        <f t="shared" si="120"/>
        <v>5</v>
      </c>
      <c r="Y1755" s="95">
        <f t="shared" si="121"/>
        <v>2022</v>
      </c>
      <c r="Z1755" s="136" t="s">
        <v>266</v>
      </c>
      <c r="AA1755" t="str">
        <f>IF(Tabla1[[#This Row],[Kerma en aire acumulada (Gy)]]&gt;1,SUMIF(G:G,Tabla1[[#This Row],[SIP]],I:I)-Tabla1[[#This Row],[Kerma en aire acumulada (Gy)]],"")</f>
        <v/>
      </c>
    </row>
    <row r="1756" spans="3:27">
      <c r="C1756" s="147" t="s">
        <v>1088</v>
      </c>
      <c r="D1756" s="134" t="s">
        <v>788</v>
      </c>
      <c r="E1756" s="134" t="s">
        <v>2108</v>
      </c>
      <c r="F1756" s="134" t="s">
        <v>88</v>
      </c>
      <c r="G1756" s="134">
        <v>4753698</v>
      </c>
      <c r="H1756" s="135">
        <v>44707</v>
      </c>
      <c r="I1756" s="134">
        <v>0.85721000000000003</v>
      </c>
      <c r="J1756" s="145"/>
      <c r="K1756" s="145"/>
      <c r="L1756" s="145"/>
      <c r="M1756" s="145"/>
      <c r="N1756" s="145"/>
      <c r="O1756" s="145"/>
      <c r="P1756" s="145"/>
      <c r="Q1756" s="145"/>
      <c r="R1756" s="145"/>
      <c r="S1756" s="145"/>
      <c r="T1756" s="135">
        <v>21761</v>
      </c>
      <c r="U1756" s="145"/>
      <c r="V1756" s="134" t="s">
        <v>563</v>
      </c>
      <c r="W1756" s="92" t="str">
        <f t="shared" si="119"/>
        <v>Bueno Fayos,Vicente</v>
      </c>
      <c r="X1756" s="95">
        <f t="shared" si="120"/>
        <v>5</v>
      </c>
      <c r="Y1756" s="95">
        <f t="shared" si="121"/>
        <v>2022</v>
      </c>
      <c r="Z1756" s="136" t="s">
        <v>266</v>
      </c>
      <c r="AA1756" t="str">
        <f>IF(Tabla1[[#This Row],[Kerma en aire acumulada (Gy)]]&gt;1,SUMIF(G:G,Tabla1[[#This Row],[SIP]],I:I)-Tabla1[[#This Row],[Kerma en aire acumulada (Gy)]],"")</f>
        <v/>
      </c>
    </row>
    <row r="1757" spans="3:27">
      <c r="C1757" s="147" t="s">
        <v>1088</v>
      </c>
      <c r="D1757" s="134" t="s">
        <v>2933</v>
      </c>
      <c r="E1757" s="134" t="s">
        <v>66</v>
      </c>
      <c r="F1757" s="134" t="s">
        <v>1238</v>
      </c>
      <c r="G1757" s="134">
        <v>3329758</v>
      </c>
      <c r="H1757" s="135">
        <v>44707</v>
      </c>
      <c r="I1757" s="134">
        <v>0.22836999999999999</v>
      </c>
      <c r="J1757" s="145"/>
      <c r="K1757" s="145"/>
      <c r="L1757" s="145"/>
      <c r="M1757" s="145"/>
      <c r="N1757" s="145"/>
      <c r="O1757" s="145"/>
      <c r="P1757" s="145"/>
      <c r="Q1757" s="145"/>
      <c r="R1757" s="145"/>
      <c r="S1757" s="145"/>
      <c r="T1757" s="135">
        <v>28174</v>
      </c>
      <c r="U1757" s="145"/>
      <c r="V1757" s="134" t="s">
        <v>563</v>
      </c>
      <c r="W1757" s="92" t="str">
        <f t="shared" si="119"/>
        <v>Evangelio Navarro,Angel</v>
      </c>
      <c r="X1757" s="95">
        <f t="shared" si="120"/>
        <v>5</v>
      </c>
      <c r="Y1757" s="95">
        <f t="shared" si="121"/>
        <v>2022</v>
      </c>
      <c r="Z1757" s="136" t="s">
        <v>266</v>
      </c>
      <c r="AA1757" t="str">
        <f>IF(Tabla1[[#This Row],[Kerma en aire acumulada (Gy)]]&gt;1,SUMIF(G:G,Tabla1[[#This Row],[SIP]],I:I)-Tabla1[[#This Row],[Kerma en aire acumulada (Gy)]],"")</f>
        <v/>
      </c>
    </row>
    <row r="1758" spans="3:27">
      <c r="C1758" s="147" t="s">
        <v>1088</v>
      </c>
      <c r="D1758" s="134" t="s">
        <v>1003</v>
      </c>
      <c r="E1758" s="134" t="s">
        <v>772</v>
      </c>
      <c r="F1758" s="134" t="s">
        <v>356</v>
      </c>
      <c r="G1758" s="134">
        <v>2954054</v>
      </c>
      <c r="H1758" s="135">
        <v>44707</v>
      </c>
      <c r="I1758" s="134">
        <v>0.35753000000000001</v>
      </c>
      <c r="J1758" s="145"/>
      <c r="K1758" s="145"/>
      <c r="L1758" s="145"/>
      <c r="M1758" s="145"/>
      <c r="N1758" s="145"/>
      <c r="O1758" s="145"/>
      <c r="P1758" s="145"/>
      <c r="Q1758" s="145"/>
      <c r="R1758" s="145"/>
      <c r="S1758" s="145"/>
      <c r="T1758" s="135">
        <v>28202</v>
      </c>
      <c r="U1758" s="145"/>
      <c r="V1758" s="134" t="s">
        <v>563</v>
      </c>
      <c r="W1758" s="92" t="str">
        <f t="shared" si="119"/>
        <v>Romero Sanchez,Manuel</v>
      </c>
      <c r="X1758" s="95">
        <f t="shared" si="120"/>
        <v>5</v>
      </c>
      <c r="Y1758" s="95">
        <f t="shared" si="121"/>
        <v>2022</v>
      </c>
      <c r="Z1758" s="136" t="s">
        <v>266</v>
      </c>
      <c r="AA1758" t="str">
        <f>IF(Tabla1[[#This Row],[Kerma en aire acumulada (Gy)]]&gt;1,SUMIF(G:G,Tabla1[[#This Row],[SIP]],I:I)-Tabla1[[#This Row],[Kerma en aire acumulada (Gy)]],"")</f>
        <v/>
      </c>
    </row>
    <row r="1759" spans="3:27">
      <c r="C1759" s="147" t="s">
        <v>1088</v>
      </c>
      <c r="D1759" s="134" t="s">
        <v>776</v>
      </c>
      <c r="E1759" s="134" t="s">
        <v>2934</v>
      </c>
      <c r="F1759" s="134" t="s">
        <v>131</v>
      </c>
      <c r="G1759" s="134">
        <v>4512555</v>
      </c>
      <c r="H1759" s="135">
        <v>44707</v>
      </c>
      <c r="I1759" s="134">
        <v>0.54408000000000001</v>
      </c>
      <c r="J1759" s="145"/>
      <c r="K1759" s="145"/>
      <c r="L1759" s="145"/>
      <c r="M1759" s="145"/>
      <c r="N1759" s="145"/>
      <c r="O1759" s="145"/>
      <c r="P1759" s="145"/>
      <c r="Q1759" s="145"/>
      <c r="R1759" s="145"/>
      <c r="S1759" s="145"/>
      <c r="T1759" s="135">
        <v>18032</v>
      </c>
      <c r="U1759" s="145"/>
      <c r="V1759" s="134" t="s">
        <v>563</v>
      </c>
      <c r="W1759" s="92" t="str">
        <f t="shared" si="119"/>
        <v>Alfonso Zamorano,Salvador</v>
      </c>
      <c r="X1759" s="95">
        <f t="shared" si="120"/>
        <v>5</v>
      </c>
      <c r="Y1759" s="95">
        <f t="shared" si="121"/>
        <v>2022</v>
      </c>
      <c r="Z1759" s="136" t="s">
        <v>266</v>
      </c>
      <c r="AA1759" t="str">
        <f>IF(Tabla1[[#This Row],[Kerma en aire acumulada (Gy)]]&gt;1,SUMIF(G:G,Tabla1[[#This Row],[SIP]],I:I)-Tabla1[[#This Row],[Kerma en aire acumulada (Gy)]],"")</f>
        <v/>
      </c>
    </row>
    <row r="1760" spans="3:27">
      <c r="C1760" s="147" t="s">
        <v>1088</v>
      </c>
      <c r="D1760" s="134" t="s">
        <v>337</v>
      </c>
      <c r="E1760" s="134" t="s">
        <v>1740</v>
      </c>
      <c r="F1760" s="134" t="s">
        <v>2935</v>
      </c>
      <c r="G1760" s="134">
        <v>3664781</v>
      </c>
      <c r="H1760" s="135">
        <v>44707</v>
      </c>
      <c r="I1760" s="134">
        <v>1.0800700000000001</v>
      </c>
      <c r="J1760" s="145"/>
      <c r="K1760" s="145"/>
      <c r="L1760" s="145"/>
      <c r="M1760" s="145"/>
      <c r="N1760" s="145"/>
      <c r="O1760" s="145"/>
      <c r="P1760" s="145"/>
      <c r="Q1760" s="145"/>
      <c r="R1760" s="145"/>
      <c r="S1760" s="145"/>
      <c r="T1760" s="135">
        <v>33153</v>
      </c>
      <c r="U1760" s="145"/>
      <c r="V1760" s="134" t="s">
        <v>563</v>
      </c>
      <c r="W1760" s="92" t="str">
        <f t="shared" si="119"/>
        <v>Garrido Vila,Eric</v>
      </c>
      <c r="X1760" s="95">
        <f t="shared" si="120"/>
        <v>5</v>
      </c>
      <c r="Y1760" s="95">
        <f t="shared" si="121"/>
        <v>2022</v>
      </c>
      <c r="Z1760" s="136" t="s">
        <v>266</v>
      </c>
      <c r="AA1760">
        <f>IF(Tabla1[[#This Row],[Kerma en aire acumulada (Gy)]]&gt;1,SUMIF(G:G,Tabla1[[#This Row],[SIP]],I:I)-Tabla1[[#This Row],[Kerma en aire acumulada (Gy)]],"")</f>
        <v>0</v>
      </c>
    </row>
    <row r="1761" spans="3:27">
      <c r="C1761" s="147" t="s">
        <v>1088</v>
      </c>
      <c r="D1761" s="134" t="s">
        <v>1090</v>
      </c>
      <c r="E1761" s="134" t="s">
        <v>2961</v>
      </c>
      <c r="F1761" s="134" t="s">
        <v>167</v>
      </c>
      <c r="G1761" s="134">
        <v>2805474</v>
      </c>
      <c r="H1761" s="135">
        <v>44707</v>
      </c>
      <c r="I1761" s="134">
        <v>1.1350000000000001E-2</v>
      </c>
      <c r="J1761" s="145"/>
      <c r="K1761" s="145"/>
      <c r="L1761" s="145"/>
      <c r="M1761" s="145"/>
      <c r="N1761" s="145"/>
      <c r="O1761" s="145"/>
      <c r="P1761" s="145"/>
      <c r="Q1761" s="145"/>
      <c r="R1761" s="145"/>
      <c r="S1761" s="145"/>
      <c r="T1761" s="135">
        <v>14494</v>
      </c>
      <c r="U1761" s="145"/>
      <c r="V1761" s="134" t="s">
        <v>2962</v>
      </c>
      <c r="W1761" s="92" t="str">
        <f t="shared" si="119"/>
        <v>Ibañez Bayarri,Milagros</v>
      </c>
      <c r="X1761" s="95">
        <f t="shared" si="120"/>
        <v>5</v>
      </c>
      <c r="Y1761" s="95">
        <f t="shared" si="121"/>
        <v>2022</v>
      </c>
      <c r="Z1761" s="136" t="s">
        <v>2238</v>
      </c>
      <c r="AA1761" t="str">
        <f>IF(Tabla1[[#This Row],[Kerma en aire acumulada (Gy)]]&gt;1,SUMIF(G:G,Tabla1[[#This Row],[SIP]],I:I)-Tabla1[[#This Row],[Kerma en aire acumulada (Gy)]],"")</f>
        <v/>
      </c>
    </row>
    <row r="1762" spans="3:27">
      <c r="C1762" s="147" t="s">
        <v>1088</v>
      </c>
      <c r="D1762" s="134" t="s">
        <v>966</v>
      </c>
      <c r="E1762" s="134" t="s">
        <v>1994</v>
      </c>
      <c r="F1762" s="134" t="s">
        <v>7</v>
      </c>
      <c r="G1762" s="134">
        <v>3462403</v>
      </c>
      <c r="H1762" s="135">
        <v>44707</v>
      </c>
      <c r="I1762" s="134">
        <v>6.7949999999999997E-2</v>
      </c>
      <c r="J1762" s="145"/>
      <c r="K1762" s="145"/>
      <c r="L1762" s="145"/>
      <c r="M1762" s="145"/>
      <c r="N1762" s="145"/>
      <c r="O1762" s="145"/>
      <c r="P1762" s="145"/>
      <c r="Q1762" s="145"/>
      <c r="R1762" s="145"/>
      <c r="S1762" s="145"/>
      <c r="T1762" s="135">
        <v>14368</v>
      </c>
      <c r="U1762" s="145"/>
      <c r="V1762" s="134" t="s">
        <v>2962</v>
      </c>
      <c r="W1762" s="92" t="str">
        <f t="shared" si="119"/>
        <v>Marco Chilet,Francisca</v>
      </c>
      <c r="X1762" s="95">
        <f t="shared" si="120"/>
        <v>5</v>
      </c>
      <c r="Y1762" s="95">
        <f t="shared" si="121"/>
        <v>2022</v>
      </c>
      <c r="Z1762" s="136" t="s">
        <v>2238</v>
      </c>
      <c r="AA1762" t="str">
        <f>IF(Tabla1[[#This Row],[Kerma en aire acumulada (Gy)]]&gt;1,SUMIF(G:G,Tabla1[[#This Row],[SIP]],I:I)-Tabla1[[#This Row],[Kerma en aire acumulada (Gy)]],"")</f>
        <v/>
      </c>
    </row>
    <row r="1763" spans="3:27">
      <c r="C1763" s="147" t="s">
        <v>1088</v>
      </c>
      <c r="D1763" s="134" t="s">
        <v>2855</v>
      </c>
      <c r="E1763" s="134" t="s">
        <v>948</v>
      </c>
      <c r="F1763" s="134" t="s">
        <v>338</v>
      </c>
      <c r="G1763" s="134">
        <v>2317504</v>
      </c>
      <c r="H1763" s="135">
        <v>44708</v>
      </c>
      <c r="I1763" s="134">
        <v>1.431E-2</v>
      </c>
      <c r="J1763" s="145"/>
      <c r="K1763" s="145"/>
      <c r="L1763" s="145"/>
      <c r="M1763" s="145"/>
      <c r="N1763" s="145"/>
      <c r="O1763" s="145"/>
      <c r="P1763" s="145"/>
      <c r="Q1763" s="145"/>
      <c r="R1763" s="145"/>
      <c r="S1763" s="145"/>
      <c r="T1763" s="135">
        <v>31471</v>
      </c>
      <c r="U1763" s="145"/>
      <c r="V1763" s="134" t="s">
        <v>533</v>
      </c>
      <c r="W1763" s="92" t="str">
        <f t="shared" si="119"/>
        <v>Cosin Martinez,Marta</v>
      </c>
      <c r="X1763" s="95">
        <f t="shared" si="120"/>
        <v>5</v>
      </c>
      <c r="Y1763" s="95">
        <f t="shared" si="121"/>
        <v>2022</v>
      </c>
      <c r="Z1763" s="103" t="s">
        <v>265</v>
      </c>
      <c r="AA1763" t="str">
        <f>IF(Tabla1[[#This Row],[Kerma en aire acumulada (Gy)]]&gt;1,SUMIF(G:G,Tabla1[[#This Row],[SIP]],I:I)-Tabla1[[#This Row],[Kerma en aire acumulada (Gy)]],"")</f>
        <v/>
      </c>
    </row>
    <row r="1764" spans="3:27">
      <c r="C1764" s="147" t="s">
        <v>1088</v>
      </c>
      <c r="D1764" s="134" t="s">
        <v>634</v>
      </c>
      <c r="E1764" s="134" t="s">
        <v>2334</v>
      </c>
      <c r="F1764" s="134" t="s">
        <v>585</v>
      </c>
      <c r="G1764" s="134">
        <v>4709532</v>
      </c>
      <c r="H1764" s="135">
        <v>44708</v>
      </c>
      <c r="I1764" s="134">
        <v>1.008E-2</v>
      </c>
      <c r="J1764" s="145"/>
      <c r="K1764" s="145"/>
      <c r="L1764" s="145"/>
      <c r="M1764" s="145"/>
      <c r="N1764" s="145"/>
      <c r="O1764" s="145"/>
      <c r="P1764" s="145"/>
      <c r="Q1764" s="145"/>
      <c r="R1764" s="145"/>
      <c r="S1764" s="145"/>
      <c r="T1764" s="135">
        <v>21012</v>
      </c>
      <c r="U1764" s="145"/>
      <c r="V1764" s="134" t="s">
        <v>2079</v>
      </c>
      <c r="W1764" s="92" t="str">
        <f t="shared" si="119"/>
        <v>Gil Fabra,Ricardo</v>
      </c>
      <c r="X1764" s="95">
        <f t="shared" si="120"/>
        <v>5</v>
      </c>
      <c r="Y1764" s="95">
        <f t="shared" si="121"/>
        <v>2022</v>
      </c>
      <c r="Z1764" s="103" t="s">
        <v>265</v>
      </c>
      <c r="AA1764" t="str">
        <f>IF(Tabla1[[#This Row],[Kerma en aire acumulada (Gy)]]&gt;1,SUMIF(G:G,Tabla1[[#This Row],[SIP]],I:I)-Tabla1[[#This Row],[Kerma en aire acumulada (Gy)]],"")</f>
        <v/>
      </c>
    </row>
    <row r="1765" spans="3:27">
      <c r="C1765" s="147" t="s">
        <v>1088</v>
      </c>
      <c r="D1765" s="134" t="s">
        <v>2351</v>
      </c>
      <c r="E1765" s="134"/>
      <c r="F1765" s="134" t="s">
        <v>2352</v>
      </c>
      <c r="G1765" s="134">
        <v>5551933</v>
      </c>
      <c r="H1765" s="135">
        <v>44708</v>
      </c>
      <c r="I1765" s="134">
        <v>1.8409999999999999E-2</v>
      </c>
      <c r="J1765" s="145"/>
      <c r="K1765" s="145"/>
      <c r="L1765" s="145"/>
      <c r="M1765" s="145"/>
      <c r="N1765" s="145"/>
      <c r="O1765" s="145"/>
      <c r="P1765" s="145"/>
      <c r="Q1765" s="145"/>
      <c r="R1765" s="145"/>
      <c r="S1765" s="145"/>
      <c r="T1765" s="135">
        <v>29121</v>
      </c>
      <c r="U1765" s="145"/>
      <c r="V1765" s="134" t="s">
        <v>2079</v>
      </c>
      <c r="W1765" s="92" t="str">
        <f t="shared" si="119"/>
        <v>Sierchio ,Ronald</v>
      </c>
      <c r="X1765" s="95">
        <f t="shared" si="120"/>
        <v>5</v>
      </c>
      <c r="Y1765" s="95">
        <f t="shared" si="121"/>
        <v>2022</v>
      </c>
      <c r="Z1765" s="103" t="s">
        <v>265</v>
      </c>
      <c r="AA1765" t="str">
        <f>IF(Tabla1[[#This Row],[Kerma en aire acumulada (Gy)]]&gt;1,SUMIF(G:G,Tabla1[[#This Row],[SIP]],I:I)-Tabla1[[#This Row],[Kerma en aire acumulada (Gy)]],"")</f>
        <v/>
      </c>
    </row>
    <row r="1766" spans="3:27">
      <c r="C1766" s="147" t="s">
        <v>1088</v>
      </c>
      <c r="D1766" s="134" t="s">
        <v>2384</v>
      </c>
      <c r="E1766" s="134" t="s">
        <v>962</v>
      </c>
      <c r="F1766" s="134" t="s">
        <v>991</v>
      </c>
      <c r="G1766" s="134">
        <v>2261999</v>
      </c>
      <c r="H1766" s="135">
        <v>44708</v>
      </c>
      <c r="I1766" s="134">
        <v>0.29553000000000001</v>
      </c>
      <c r="J1766" s="145"/>
      <c r="K1766" s="145"/>
      <c r="L1766" s="145"/>
      <c r="M1766" s="145"/>
      <c r="N1766" s="145"/>
      <c r="O1766" s="145"/>
      <c r="P1766" s="145"/>
      <c r="Q1766" s="145"/>
      <c r="R1766" s="145"/>
      <c r="S1766" s="145"/>
      <c r="T1766" s="135">
        <v>17890</v>
      </c>
      <c r="U1766" s="145"/>
      <c r="V1766" s="134" t="s">
        <v>563</v>
      </c>
      <c r="W1766" s="92" t="str">
        <f t="shared" si="119"/>
        <v>Bataller Garcia,Jose</v>
      </c>
      <c r="X1766" s="95">
        <f t="shared" si="120"/>
        <v>5</v>
      </c>
      <c r="Y1766" s="95">
        <f t="shared" si="121"/>
        <v>2022</v>
      </c>
      <c r="Z1766" s="136" t="s">
        <v>266</v>
      </c>
      <c r="AA1766" t="str">
        <f>IF(Tabla1[[#This Row],[Kerma en aire acumulada (Gy)]]&gt;1,SUMIF(G:G,Tabla1[[#This Row],[SIP]],I:I)-Tabla1[[#This Row],[Kerma en aire acumulada (Gy)]],"")</f>
        <v/>
      </c>
    </row>
    <row r="1767" spans="3:27">
      <c r="C1767" s="147" t="s">
        <v>1088</v>
      </c>
      <c r="D1767" s="134" t="s">
        <v>917</v>
      </c>
      <c r="E1767" s="134" t="s">
        <v>2890</v>
      </c>
      <c r="F1767" s="134" t="s">
        <v>1664</v>
      </c>
      <c r="G1767" s="134">
        <v>2186977</v>
      </c>
      <c r="H1767" s="135">
        <v>44708</v>
      </c>
      <c r="I1767" s="134">
        <v>0.70115000000000005</v>
      </c>
      <c r="J1767" s="145"/>
      <c r="K1767" s="145"/>
      <c r="L1767" s="145"/>
      <c r="M1767" s="145"/>
      <c r="N1767" s="145"/>
      <c r="O1767" s="145"/>
      <c r="P1767" s="145"/>
      <c r="Q1767" s="145"/>
      <c r="R1767" s="145"/>
      <c r="S1767" s="145"/>
      <c r="T1767" s="135">
        <v>15473</v>
      </c>
      <c r="U1767" s="145"/>
      <c r="V1767" s="134" t="s">
        <v>563</v>
      </c>
      <c r="W1767" s="92" t="str">
        <f t="shared" si="119"/>
        <v>Carmona Galiano,Dolores</v>
      </c>
      <c r="X1767" s="95">
        <f t="shared" si="120"/>
        <v>5</v>
      </c>
      <c r="Y1767" s="95">
        <f t="shared" si="121"/>
        <v>2022</v>
      </c>
      <c r="Z1767" s="136" t="s">
        <v>266</v>
      </c>
      <c r="AA1767" t="str">
        <f>IF(Tabla1[[#This Row],[Kerma en aire acumulada (Gy)]]&gt;1,SUMIF(G:G,Tabla1[[#This Row],[SIP]],I:I)-Tabla1[[#This Row],[Kerma en aire acumulada (Gy)]],"")</f>
        <v/>
      </c>
    </row>
    <row r="1768" spans="3:27">
      <c r="C1768" s="147" t="s">
        <v>1088</v>
      </c>
      <c r="D1768" s="134" t="s">
        <v>2377</v>
      </c>
      <c r="E1768" s="134" t="s">
        <v>962</v>
      </c>
      <c r="F1768" s="134" t="s">
        <v>2891</v>
      </c>
      <c r="G1768" s="134">
        <v>4874468</v>
      </c>
      <c r="H1768" s="135">
        <v>44708</v>
      </c>
      <c r="I1768" s="134">
        <v>9.4229999999999994E-2</v>
      </c>
      <c r="J1768" s="145"/>
      <c r="K1768" s="145"/>
      <c r="L1768" s="145"/>
      <c r="M1768" s="145"/>
      <c r="N1768" s="145"/>
      <c r="O1768" s="145"/>
      <c r="P1768" s="145"/>
      <c r="Q1768" s="145"/>
      <c r="R1768" s="145"/>
      <c r="S1768" s="145"/>
      <c r="T1768" s="135">
        <v>21596</v>
      </c>
      <c r="U1768" s="145"/>
      <c r="V1768" s="134" t="s">
        <v>563</v>
      </c>
      <c r="W1768" s="92" t="str">
        <f t="shared" si="119"/>
        <v>Valle Garcia,Maria Eugenia</v>
      </c>
      <c r="X1768" s="95">
        <f t="shared" si="120"/>
        <v>5</v>
      </c>
      <c r="Y1768" s="95">
        <f t="shared" si="121"/>
        <v>2022</v>
      </c>
      <c r="Z1768" s="136" t="s">
        <v>266</v>
      </c>
      <c r="AA1768" t="str">
        <f>IF(Tabla1[[#This Row],[Kerma en aire acumulada (Gy)]]&gt;1,SUMIF(G:G,Tabla1[[#This Row],[SIP]],I:I)-Tabla1[[#This Row],[Kerma en aire acumulada (Gy)]],"")</f>
        <v/>
      </c>
    </row>
    <row r="1769" spans="3:27">
      <c r="C1769" s="147" t="s">
        <v>1088</v>
      </c>
      <c r="D1769" s="134" t="s">
        <v>346</v>
      </c>
      <c r="E1769" s="134" t="s">
        <v>856</v>
      </c>
      <c r="F1769" s="134" t="s">
        <v>321</v>
      </c>
      <c r="G1769" s="134">
        <v>1863010</v>
      </c>
      <c r="H1769" s="135">
        <v>44708</v>
      </c>
      <c r="I1769" s="134">
        <v>0.94154000000000004</v>
      </c>
      <c r="J1769" s="145"/>
      <c r="K1769" s="145"/>
      <c r="L1769" s="145"/>
      <c r="M1769" s="145"/>
      <c r="N1769" s="145"/>
      <c r="O1769" s="145"/>
      <c r="P1769" s="145"/>
      <c r="Q1769" s="145"/>
      <c r="R1769" s="145"/>
      <c r="S1769" s="145"/>
      <c r="T1769" s="135">
        <v>12781</v>
      </c>
      <c r="U1769" s="145"/>
      <c r="V1769" s="134" t="s">
        <v>563</v>
      </c>
      <c r="W1769" s="92" t="str">
        <f t="shared" si="119"/>
        <v>Fuster Gomez,Esteban</v>
      </c>
      <c r="X1769" s="95">
        <f t="shared" si="120"/>
        <v>5</v>
      </c>
      <c r="Y1769" s="95">
        <f t="shared" si="121"/>
        <v>2022</v>
      </c>
      <c r="Z1769" s="136" t="s">
        <v>266</v>
      </c>
      <c r="AA1769" t="str">
        <f>IF(Tabla1[[#This Row],[Kerma en aire acumulada (Gy)]]&gt;1,SUMIF(G:G,Tabla1[[#This Row],[SIP]],I:I)-Tabla1[[#This Row],[Kerma en aire acumulada (Gy)]],"")</f>
        <v/>
      </c>
    </row>
    <row r="1770" spans="3:27">
      <c r="C1770" s="147" t="s">
        <v>1108</v>
      </c>
      <c r="D1770" s="134" t="s">
        <v>116</v>
      </c>
      <c r="E1770" s="134" t="s">
        <v>2931</v>
      </c>
      <c r="F1770" s="134" t="s">
        <v>2932</v>
      </c>
      <c r="G1770" s="134">
        <v>5756727</v>
      </c>
      <c r="H1770" s="135">
        <v>44708</v>
      </c>
      <c r="I1770" s="134">
        <v>0.41575000000000001</v>
      </c>
      <c r="J1770" s="145"/>
      <c r="K1770" s="145"/>
      <c r="L1770" s="145"/>
      <c r="M1770" s="145"/>
      <c r="N1770" s="145"/>
      <c r="O1770" s="145"/>
      <c r="P1770" s="145"/>
      <c r="Q1770" s="145"/>
      <c r="R1770" s="145"/>
      <c r="S1770" s="145"/>
      <c r="T1770" s="135">
        <v>38383</v>
      </c>
      <c r="U1770" s="145"/>
      <c r="V1770" s="134" t="s">
        <v>563</v>
      </c>
      <c r="W1770" s="92" t="str">
        <f t="shared" ref="W1770:W1833" si="122">CONCATENATE(D1770,$A$591,E1770,",",F1770)</f>
        <v>Serrano Navalom,Yeray</v>
      </c>
      <c r="X1770" s="95">
        <f t="shared" ref="X1770:X1833" si="123">MONTH(H1770)</f>
        <v>5</v>
      </c>
      <c r="Y1770" s="95">
        <f t="shared" ref="Y1770:Y1833" si="124">YEAR(H1770)</f>
        <v>2022</v>
      </c>
      <c r="Z1770" s="136" t="s">
        <v>266</v>
      </c>
      <c r="AA1770" t="str">
        <f>IF(Tabla1[[#This Row],[Kerma en aire acumulada (Gy)]]&gt;1,SUMIF(G:G,Tabla1[[#This Row],[SIP]],I:I)-Tabla1[[#This Row],[Kerma en aire acumulada (Gy)]],"")</f>
        <v/>
      </c>
    </row>
    <row r="1771" spans="3:27">
      <c r="C1771" s="89" t="s">
        <v>1088</v>
      </c>
      <c r="D1771" s="134" t="s">
        <v>2103</v>
      </c>
      <c r="E1771" s="134" t="s">
        <v>353</v>
      </c>
      <c r="F1771" s="134" t="s">
        <v>88</v>
      </c>
      <c r="G1771" s="134">
        <v>3239315</v>
      </c>
      <c r="H1771" s="135">
        <v>44710</v>
      </c>
      <c r="I1771" s="134">
        <v>1.0053399999999999</v>
      </c>
      <c r="J1771" s="145"/>
      <c r="K1771" s="145"/>
      <c r="L1771" s="145"/>
      <c r="M1771" s="145"/>
      <c r="N1771" s="145"/>
      <c r="O1771" s="145"/>
      <c r="P1771" s="145"/>
      <c r="Q1771" s="145"/>
      <c r="R1771" s="145"/>
      <c r="S1771" s="145"/>
      <c r="T1771" s="96">
        <v>11044</v>
      </c>
      <c r="U1771" s="145"/>
      <c r="V1771" s="134" t="s">
        <v>563</v>
      </c>
      <c r="W1771" s="92" t="str">
        <f t="shared" si="122"/>
        <v>Borras Muñoz,Vicente</v>
      </c>
      <c r="X1771" s="95">
        <f t="shared" si="123"/>
        <v>5</v>
      </c>
      <c r="Y1771" s="95">
        <f t="shared" si="124"/>
        <v>2022</v>
      </c>
      <c r="Z1771" s="136" t="s">
        <v>266</v>
      </c>
      <c r="AA1771">
        <f>IF(Tabla1[[#This Row],[Kerma en aire acumulada (Gy)]]&gt;1,SUMIF(G:G,Tabla1[[#This Row],[SIP]],I:I)-Tabla1[[#This Row],[Kerma en aire acumulada (Gy)]],"")</f>
        <v>0</v>
      </c>
    </row>
    <row r="1772" spans="3:27">
      <c r="C1772" s="147" t="s">
        <v>1088</v>
      </c>
      <c r="D1772" s="134" t="s">
        <v>1033</v>
      </c>
      <c r="E1772" s="134" t="s">
        <v>2929</v>
      </c>
      <c r="F1772" s="134" t="s">
        <v>2930</v>
      </c>
      <c r="G1772" s="134">
        <v>136098</v>
      </c>
      <c r="H1772" s="135">
        <v>44710</v>
      </c>
      <c r="I1772" s="150">
        <v>0.19697000000000001</v>
      </c>
      <c r="J1772" s="145"/>
      <c r="K1772" s="145"/>
      <c r="L1772" s="145"/>
      <c r="M1772" s="145"/>
      <c r="N1772" s="145"/>
      <c r="O1772" s="145"/>
      <c r="P1772" s="145"/>
      <c r="Q1772" s="145"/>
      <c r="R1772" s="145"/>
      <c r="S1772" s="145"/>
      <c r="T1772" s="135">
        <v>23412</v>
      </c>
      <c r="U1772" s="145"/>
      <c r="V1772" s="134" t="s">
        <v>563</v>
      </c>
      <c r="W1772" s="92" t="str">
        <f t="shared" si="122"/>
        <v>Ivars Donet,Matilde</v>
      </c>
      <c r="X1772" s="95">
        <f t="shared" si="123"/>
        <v>5</v>
      </c>
      <c r="Y1772" s="95">
        <f t="shared" si="124"/>
        <v>2022</v>
      </c>
      <c r="Z1772" s="136" t="s">
        <v>266</v>
      </c>
      <c r="AA1772" t="str">
        <f>IF(Tabla1[[#This Row],[Kerma en aire acumulada (Gy)]]&gt;1,SUMIF(G:G,Tabla1[[#This Row],[SIP]],I:I)-Tabla1[[#This Row],[Kerma en aire acumulada (Gy)]],"")</f>
        <v/>
      </c>
    </row>
    <row r="1773" spans="3:27">
      <c r="C1773" s="94" t="str">
        <f t="shared" ref="C1773:C1792" si="125">IF(OR(H1773="",T1773=""),"",IF((H1773-T1773)/12/30&lt;18,"Pediátrico","Adulto"))</f>
        <v>Adulto</v>
      </c>
      <c r="D1773" s="95" t="s">
        <v>641</v>
      </c>
      <c r="E1773" s="95" t="s">
        <v>2994</v>
      </c>
      <c r="F1773" s="95" t="s">
        <v>2385</v>
      </c>
      <c r="G1773" s="95">
        <v>3330622</v>
      </c>
      <c r="H1773" s="96">
        <v>44711</v>
      </c>
      <c r="I1773" s="95">
        <v>0.12526000000000001</v>
      </c>
      <c r="J1773" s="95"/>
      <c r="K1773" s="95"/>
      <c r="L1773" s="95"/>
      <c r="M1773" s="95"/>
      <c r="N1773" s="95"/>
      <c r="O1773" s="95"/>
      <c r="P1773" s="95"/>
      <c r="Q1773" s="95"/>
      <c r="R1773" s="95"/>
      <c r="S1773" s="95"/>
      <c r="T1773" s="96">
        <v>17061</v>
      </c>
      <c r="U1773" s="95"/>
      <c r="V1773" s="95" t="s">
        <v>2962</v>
      </c>
      <c r="W1773" s="92" t="str">
        <f t="shared" si="122"/>
        <v>Parra del Castillo,M Jesus</v>
      </c>
      <c r="X1773" s="95">
        <f t="shared" si="123"/>
        <v>5</v>
      </c>
      <c r="Y1773" s="95">
        <f t="shared" si="124"/>
        <v>2022</v>
      </c>
      <c r="Z1773" s="136" t="s">
        <v>2238</v>
      </c>
      <c r="AA1773" t="str">
        <f>IF(Tabla1[[#This Row],[Kerma en aire acumulada (Gy)]]&gt;1,SUMIF(G:G,Tabla1[[#This Row],[SIP]],I:I)-Tabla1[[#This Row],[Kerma en aire acumulada (Gy)]],"")</f>
        <v/>
      </c>
    </row>
    <row r="1774" spans="3:27">
      <c r="C1774" s="94" t="str">
        <f t="shared" si="125"/>
        <v>Adulto</v>
      </c>
      <c r="D1774" s="95" t="s">
        <v>2992</v>
      </c>
      <c r="E1774" s="95" t="s">
        <v>2993</v>
      </c>
      <c r="F1774" s="95" t="s">
        <v>2991</v>
      </c>
      <c r="G1774" s="95">
        <v>3117130</v>
      </c>
      <c r="H1774" s="96">
        <v>44711</v>
      </c>
      <c r="I1774" s="95">
        <v>0.19311</v>
      </c>
      <c r="J1774" s="95"/>
      <c r="K1774" s="95"/>
      <c r="L1774" s="95"/>
      <c r="M1774" s="95"/>
      <c r="N1774" s="95"/>
      <c r="O1774" s="95"/>
      <c r="P1774" s="95"/>
      <c r="Q1774" s="95"/>
      <c r="R1774" s="95"/>
      <c r="S1774" s="95"/>
      <c r="T1774" s="96">
        <v>16608</v>
      </c>
      <c r="U1774" s="95"/>
      <c r="V1774" s="95" t="s">
        <v>563</v>
      </c>
      <c r="W1774" s="92" t="str">
        <f t="shared" si="122"/>
        <v>Ordoñez Muriel,Abundio</v>
      </c>
      <c r="X1774" s="95">
        <f t="shared" si="123"/>
        <v>5</v>
      </c>
      <c r="Y1774" s="95">
        <f t="shared" si="124"/>
        <v>2022</v>
      </c>
      <c r="Z1774" s="136" t="s">
        <v>266</v>
      </c>
      <c r="AA1774" t="str">
        <f>IF(Tabla1[[#This Row],[Kerma en aire acumulada (Gy)]]&gt;1,SUMIF(G:G,Tabla1[[#This Row],[SIP]],I:I)-Tabla1[[#This Row],[Kerma en aire acumulada (Gy)]],"")</f>
        <v/>
      </c>
    </row>
    <row r="1775" spans="3:27">
      <c r="C1775" s="94" t="str">
        <f t="shared" si="125"/>
        <v>Adulto</v>
      </c>
      <c r="D1775" s="95" t="s">
        <v>15</v>
      </c>
      <c r="E1775" s="95" t="s">
        <v>948</v>
      </c>
      <c r="F1775" s="95" t="s">
        <v>991</v>
      </c>
      <c r="G1775" s="95">
        <v>2326427</v>
      </c>
      <c r="H1775" s="96">
        <v>44711</v>
      </c>
      <c r="I1775" s="95">
        <v>0.48857</v>
      </c>
      <c r="J1775" s="95"/>
      <c r="K1775" s="95"/>
      <c r="L1775" s="95"/>
      <c r="M1775" s="95"/>
      <c r="N1775" s="95"/>
      <c r="O1775" s="95"/>
      <c r="P1775" s="95"/>
      <c r="Q1775" s="95"/>
      <c r="R1775" s="95"/>
      <c r="S1775" s="95"/>
      <c r="T1775" s="96">
        <v>15901</v>
      </c>
      <c r="U1775" s="95"/>
      <c r="V1775" s="95" t="s">
        <v>563</v>
      </c>
      <c r="W1775" s="92" t="str">
        <f t="shared" si="122"/>
        <v>Moreno Martinez,Jose</v>
      </c>
      <c r="X1775" s="95">
        <f t="shared" si="123"/>
        <v>5</v>
      </c>
      <c r="Y1775" s="95">
        <f t="shared" si="124"/>
        <v>2022</v>
      </c>
      <c r="Z1775" s="136" t="s">
        <v>266</v>
      </c>
      <c r="AA1775" t="str">
        <f>IF(Tabla1[[#This Row],[Kerma en aire acumulada (Gy)]]&gt;1,SUMIF(G:G,Tabla1[[#This Row],[SIP]],I:I)-Tabla1[[#This Row],[Kerma en aire acumulada (Gy)]],"")</f>
        <v/>
      </c>
    </row>
    <row r="1776" spans="3:27">
      <c r="C1776" s="94" t="str">
        <f t="shared" si="125"/>
        <v>Adulto</v>
      </c>
      <c r="D1776" s="95" t="s">
        <v>2989</v>
      </c>
      <c r="E1776" s="95" t="s">
        <v>2990</v>
      </c>
      <c r="F1776" s="95" t="s">
        <v>88</v>
      </c>
      <c r="G1776" s="95">
        <v>4247879</v>
      </c>
      <c r="H1776" s="96">
        <v>44711</v>
      </c>
      <c r="I1776" s="95">
        <v>0.29010999999999998</v>
      </c>
      <c r="J1776" s="95"/>
      <c r="K1776" s="95"/>
      <c r="L1776" s="95"/>
      <c r="M1776" s="95"/>
      <c r="N1776" s="95"/>
      <c r="O1776" s="95"/>
      <c r="P1776" s="95"/>
      <c r="Q1776" s="95"/>
      <c r="R1776" s="95"/>
      <c r="S1776" s="95"/>
      <c r="T1776" s="96">
        <v>23222</v>
      </c>
      <c r="U1776" s="95"/>
      <c r="V1776" s="95" t="s">
        <v>563</v>
      </c>
      <c r="W1776" s="92" t="str">
        <f t="shared" si="122"/>
        <v>Zuriaga Sayas,Vicente</v>
      </c>
      <c r="X1776" s="95">
        <f t="shared" si="123"/>
        <v>5</v>
      </c>
      <c r="Y1776" s="95">
        <f t="shared" si="124"/>
        <v>2022</v>
      </c>
      <c r="Z1776" s="136" t="s">
        <v>266</v>
      </c>
      <c r="AA1776" t="str">
        <f>IF(Tabla1[[#This Row],[Kerma en aire acumulada (Gy)]]&gt;1,SUMIF(G:G,Tabla1[[#This Row],[SIP]],I:I)-Tabla1[[#This Row],[Kerma en aire acumulada (Gy)]],"")</f>
        <v/>
      </c>
    </row>
    <row r="1777" spans="3:27">
      <c r="C1777" s="94" t="str">
        <f t="shared" si="125"/>
        <v>Adulto</v>
      </c>
      <c r="D1777" s="95" t="s">
        <v>2987</v>
      </c>
      <c r="E1777" s="95" t="s">
        <v>2988</v>
      </c>
      <c r="F1777" s="95" t="s">
        <v>1155</v>
      </c>
      <c r="G1777" s="95">
        <v>2323663</v>
      </c>
      <c r="H1777" s="96">
        <v>44711</v>
      </c>
      <c r="I1777" s="95">
        <v>0.42864999999999998</v>
      </c>
      <c r="J1777" s="95"/>
      <c r="K1777" s="95"/>
      <c r="L1777" s="95"/>
      <c r="M1777" s="95"/>
      <c r="N1777" s="95"/>
      <c r="O1777" s="95"/>
      <c r="P1777" s="95"/>
      <c r="Q1777" s="95"/>
      <c r="R1777" s="95"/>
      <c r="S1777" s="95"/>
      <c r="T1777" s="96">
        <v>15412</v>
      </c>
      <c r="U1777" s="95"/>
      <c r="V1777" s="95" t="s">
        <v>563</v>
      </c>
      <c r="W1777" s="92" t="str">
        <f t="shared" si="122"/>
        <v>Camps Colomar,Maria</v>
      </c>
      <c r="X1777" s="95">
        <f t="shared" si="123"/>
        <v>5</v>
      </c>
      <c r="Y1777" s="95">
        <f t="shared" si="124"/>
        <v>2022</v>
      </c>
      <c r="Z1777" s="136" t="s">
        <v>266</v>
      </c>
      <c r="AA1777" t="str">
        <f>IF(Tabla1[[#This Row],[Kerma en aire acumulada (Gy)]]&gt;1,SUMIF(G:G,Tabla1[[#This Row],[SIP]],I:I)-Tabla1[[#This Row],[Kerma en aire acumulada (Gy)]],"")</f>
        <v/>
      </c>
    </row>
    <row r="1778" spans="3:27">
      <c r="C1778" s="94" t="str">
        <f t="shared" si="125"/>
        <v>Adulto</v>
      </c>
      <c r="D1778" s="95" t="s">
        <v>2986</v>
      </c>
      <c r="E1778" s="95" t="s">
        <v>189</v>
      </c>
      <c r="F1778" s="95" t="s">
        <v>88</v>
      </c>
      <c r="G1778" s="95">
        <v>2940183</v>
      </c>
      <c r="H1778" s="96">
        <v>44711</v>
      </c>
      <c r="I1778" s="95">
        <v>0.25191000000000002</v>
      </c>
      <c r="J1778" s="95"/>
      <c r="K1778" s="95"/>
      <c r="L1778" s="95"/>
      <c r="M1778" s="95"/>
      <c r="N1778" s="95"/>
      <c r="O1778" s="95"/>
      <c r="P1778" s="95"/>
      <c r="Q1778" s="95"/>
      <c r="R1778" s="95"/>
      <c r="S1778" s="95"/>
      <c r="T1778" s="96">
        <v>23272</v>
      </c>
      <c r="U1778" s="95"/>
      <c r="V1778" s="95" t="s">
        <v>563</v>
      </c>
      <c r="W1778" s="92" t="str">
        <f t="shared" si="122"/>
        <v>Ahullana Giner,Vicente</v>
      </c>
      <c r="X1778" s="95">
        <f t="shared" si="123"/>
        <v>5</v>
      </c>
      <c r="Y1778" s="95">
        <f t="shared" si="124"/>
        <v>2022</v>
      </c>
      <c r="Z1778" s="136" t="s">
        <v>266</v>
      </c>
      <c r="AA1778" t="str">
        <f>IF(Tabla1[[#This Row],[Kerma en aire acumulada (Gy)]]&gt;1,SUMIF(G:G,Tabla1[[#This Row],[SIP]],I:I)-Tabla1[[#This Row],[Kerma en aire acumulada (Gy)]],"")</f>
        <v/>
      </c>
    </row>
    <row r="1779" spans="3:27">
      <c r="C1779" s="94" t="str">
        <f t="shared" si="125"/>
        <v>Adulto</v>
      </c>
      <c r="D1779" s="95" t="s">
        <v>2985</v>
      </c>
      <c r="E1779" s="95" t="s">
        <v>21</v>
      </c>
      <c r="F1779" s="95" t="s">
        <v>2984</v>
      </c>
      <c r="G1779" s="95">
        <v>3020240</v>
      </c>
      <c r="H1779" s="96">
        <v>44711</v>
      </c>
      <c r="I1779" s="95">
        <v>0.25652000000000003</v>
      </c>
      <c r="J1779" s="95"/>
      <c r="K1779" s="95"/>
      <c r="L1779" s="95"/>
      <c r="M1779" s="95"/>
      <c r="N1779" s="95"/>
      <c r="O1779" s="95"/>
      <c r="P1779" s="95"/>
      <c r="Q1779" s="95"/>
      <c r="R1779" s="95"/>
      <c r="S1779" s="95"/>
      <c r="T1779" s="96">
        <v>20433</v>
      </c>
      <c r="U1779" s="95"/>
      <c r="V1779" s="95" t="s">
        <v>563</v>
      </c>
      <c r="W1779" s="92" t="str">
        <f t="shared" si="122"/>
        <v>Moris Cervera,Amalia Trinida</v>
      </c>
      <c r="X1779" s="95">
        <f t="shared" si="123"/>
        <v>5</v>
      </c>
      <c r="Y1779" s="95">
        <f t="shared" si="124"/>
        <v>2022</v>
      </c>
      <c r="Z1779" s="136" t="s">
        <v>266</v>
      </c>
      <c r="AA1779" t="str">
        <f>IF(Tabla1[[#This Row],[Kerma en aire acumulada (Gy)]]&gt;1,SUMIF(G:G,Tabla1[[#This Row],[SIP]],I:I)-Tabla1[[#This Row],[Kerma en aire acumulada (Gy)]],"")</f>
        <v/>
      </c>
    </row>
    <row r="1780" spans="3:27">
      <c r="C1780" s="94" t="str">
        <f t="shared" si="125"/>
        <v>Adulto</v>
      </c>
      <c r="D1780" s="95" t="s">
        <v>1294</v>
      </c>
      <c r="E1780" s="95" t="s">
        <v>2411</v>
      </c>
      <c r="F1780" s="95" t="s">
        <v>57</v>
      </c>
      <c r="G1780" s="95">
        <v>2226741</v>
      </c>
      <c r="H1780" s="96">
        <v>44711</v>
      </c>
      <c r="I1780" s="95">
        <v>0.13735</v>
      </c>
      <c r="J1780" s="95"/>
      <c r="K1780" s="95"/>
      <c r="L1780" s="95"/>
      <c r="M1780" s="95"/>
      <c r="N1780" s="95"/>
      <c r="O1780" s="95"/>
      <c r="P1780" s="95"/>
      <c r="Q1780" s="95"/>
      <c r="R1780" s="95"/>
      <c r="S1780" s="95"/>
      <c r="T1780" s="96">
        <v>14570</v>
      </c>
      <c r="U1780" s="95"/>
      <c r="V1780" s="95" t="s">
        <v>563</v>
      </c>
      <c r="W1780" s="92" t="str">
        <f t="shared" si="122"/>
        <v>Roca Asensi,Miguel</v>
      </c>
      <c r="X1780" s="95">
        <f t="shared" si="123"/>
        <v>5</v>
      </c>
      <c r="Y1780" s="95">
        <f t="shared" si="124"/>
        <v>2022</v>
      </c>
      <c r="Z1780" s="136" t="s">
        <v>266</v>
      </c>
      <c r="AA1780" t="str">
        <f>IF(Tabla1[[#This Row],[Kerma en aire acumulada (Gy)]]&gt;1,SUMIF(G:G,Tabla1[[#This Row],[SIP]],I:I)-Tabla1[[#This Row],[Kerma en aire acumulada (Gy)]],"")</f>
        <v/>
      </c>
    </row>
    <row r="1781" spans="3:27">
      <c r="C1781" s="144" t="str">
        <f t="shared" si="125"/>
        <v>Adulto</v>
      </c>
      <c r="D1781" s="95" t="s">
        <v>2982</v>
      </c>
      <c r="E1781" s="95" t="s">
        <v>2983</v>
      </c>
      <c r="F1781" s="95" t="s">
        <v>68</v>
      </c>
      <c r="G1781" s="145">
        <v>4563506</v>
      </c>
      <c r="H1781" s="146">
        <v>44711</v>
      </c>
      <c r="I1781" s="145">
        <v>0.28821000000000002</v>
      </c>
      <c r="J1781" s="145"/>
      <c r="K1781" s="145"/>
      <c r="L1781" s="145"/>
      <c r="M1781" s="145"/>
      <c r="N1781" s="145"/>
      <c r="O1781" s="145"/>
      <c r="P1781" s="145"/>
      <c r="Q1781" s="145"/>
      <c r="R1781" s="145"/>
      <c r="S1781" s="145"/>
      <c r="T1781" s="146">
        <v>11559</v>
      </c>
      <c r="U1781" s="145"/>
      <c r="V1781" s="95" t="s">
        <v>563</v>
      </c>
      <c r="W1781" s="92" t="str">
        <f t="shared" si="122"/>
        <v>Casanova Civera,Juan</v>
      </c>
      <c r="X1781" s="95">
        <f t="shared" si="123"/>
        <v>5</v>
      </c>
      <c r="Y1781" s="95">
        <f t="shared" si="124"/>
        <v>2022</v>
      </c>
      <c r="Z1781" s="136" t="s">
        <v>266</v>
      </c>
      <c r="AA1781" t="str">
        <f>IF(Tabla1[[#This Row],[Kerma en aire acumulada (Gy)]]&gt;1,SUMIF(G:G,Tabla1[[#This Row],[SIP]],I:I)-Tabla1[[#This Row],[Kerma en aire acumulada (Gy)]],"")</f>
        <v/>
      </c>
    </row>
    <row r="1782" spans="3:27">
      <c r="C1782" s="144" t="str">
        <f t="shared" si="125"/>
        <v>Adulto</v>
      </c>
      <c r="D1782" s="95" t="s">
        <v>2981</v>
      </c>
      <c r="E1782" s="95"/>
      <c r="F1782" s="95" t="s">
        <v>2980</v>
      </c>
      <c r="G1782" s="145">
        <v>11845607</v>
      </c>
      <c r="H1782" s="146">
        <v>44711</v>
      </c>
      <c r="I1782" s="145">
        <v>0.15</v>
      </c>
      <c r="J1782" s="145"/>
      <c r="K1782" s="145"/>
      <c r="L1782" s="145"/>
      <c r="M1782" s="145"/>
      <c r="N1782" s="145"/>
      <c r="O1782" s="145"/>
      <c r="P1782" s="145"/>
      <c r="Q1782" s="145"/>
      <c r="R1782" s="145"/>
      <c r="S1782" s="145"/>
      <c r="T1782" s="146">
        <v>21477</v>
      </c>
      <c r="U1782" s="145"/>
      <c r="V1782" s="95" t="s">
        <v>563</v>
      </c>
      <c r="W1782" s="92" t="str">
        <f t="shared" si="122"/>
        <v>Stefanescu ,Artimiza</v>
      </c>
      <c r="X1782" s="95">
        <f t="shared" si="123"/>
        <v>5</v>
      </c>
      <c r="Y1782" s="95">
        <f t="shared" si="124"/>
        <v>2022</v>
      </c>
      <c r="Z1782" s="136" t="s">
        <v>266</v>
      </c>
      <c r="AA1782" t="str">
        <f>IF(Tabla1[[#This Row],[Kerma en aire acumulada (Gy)]]&gt;1,SUMIF(G:G,Tabla1[[#This Row],[SIP]],I:I)-Tabla1[[#This Row],[Kerma en aire acumulada (Gy)]],"")</f>
        <v/>
      </c>
    </row>
    <row r="1783" spans="3:27">
      <c r="C1783" s="144" t="str">
        <f t="shared" si="125"/>
        <v>Adulto</v>
      </c>
      <c r="D1783" s="95" t="s">
        <v>2979</v>
      </c>
      <c r="E1783" s="95" t="s">
        <v>2181</v>
      </c>
      <c r="F1783" s="95" t="s">
        <v>83</v>
      </c>
      <c r="G1783" s="145">
        <v>3309520</v>
      </c>
      <c r="H1783" s="146">
        <v>44711</v>
      </c>
      <c r="I1783" s="142">
        <v>7.5149999999999995E-2</v>
      </c>
      <c r="J1783" s="145"/>
      <c r="K1783" s="145"/>
      <c r="L1783" s="145"/>
      <c r="M1783" s="145"/>
      <c r="N1783" s="145"/>
      <c r="O1783" s="145"/>
      <c r="P1783" s="145"/>
      <c r="Q1783" s="145"/>
      <c r="R1783" s="145"/>
      <c r="S1783" s="145"/>
      <c r="T1783" s="146">
        <v>15265</v>
      </c>
      <c r="U1783" s="145"/>
      <c r="V1783" s="95" t="s">
        <v>563</v>
      </c>
      <c r="W1783" s="92" t="str">
        <f t="shared" si="122"/>
        <v>Juncosa Colomer,Francisco</v>
      </c>
      <c r="X1783" s="95">
        <f t="shared" si="123"/>
        <v>5</v>
      </c>
      <c r="Y1783" s="95">
        <f t="shared" si="124"/>
        <v>2022</v>
      </c>
      <c r="Z1783" s="136" t="s">
        <v>266</v>
      </c>
      <c r="AA1783" t="str">
        <f>IF(Tabla1[[#This Row],[Kerma en aire acumulada (Gy)]]&gt;1,SUMIF(G:G,Tabla1[[#This Row],[SIP]],I:I)-Tabla1[[#This Row],[Kerma en aire acumulada (Gy)]],"")</f>
        <v/>
      </c>
    </row>
    <row r="1784" spans="3:27">
      <c r="C1784" s="144" t="str">
        <f t="shared" si="125"/>
        <v>Adulto</v>
      </c>
      <c r="D1784" s="95" t="s">
        <v>962</v>
      </c>
      <c r="E1784" s="95" t="s">
        <v>962</v>
      </c>
      <c r="F1784" s="95" t="s">
        <v>7</v>
      </c>
      <c r="G1784" s="145">
        <v>2163340</v>
      </c>
      <c r="H1784" s="146">
        <v>44711</v>
      </c>
      <c r="I1784" s="95">
        <v>6.7129999999999995E-2</v>
      </c>
      <c r="J1784" s="145"/>
      <c r="K1784" s="145"/>
      <c r="L1784" s="145"/>
      <c r="M1784" s="145"/>
      <c r="N1784" s="145"/>
      <c r="O1784" s="145"/>
      <c r="P1784" s="145"/>
      <c r="Q1784" s="145"/>
      <c r="R1784" s="145"/>
      <c r="S1784" s="145"/>
      <c r="T1784" s="146">
        <v>17932</v>
      </c>
      <c r="U1784" s="145"/>
      <c r="V1784" s="95" t="s">
        <v>563</v>
      </c>
      <c r="W1784" s="92" t="str">
        <f t="shared" si="122"/>
        <v>Garcia Garcia,Francisca</v>
      </c>
      <c r="X1784" s="95">
        <f t="shared" si="123"/>
        <v>5</v>
      </c>
      <c r="Y1784" s="95">
        <f t="shared" si="124"/>
        <v>2022</v>
      </c>
      <c r="Z1784" s="136" t="s">
        <v>266</v>
      </c>
      <c r="AA1784" t="str">
        <f>IF(Tabla1[[#This Row],[Kerma en aire acumulada (Gy)]]&gt;1,SUMIF(G:G,Tabla1[[#This Row],[SIP]],I:I)-Tabla1[[#This Row],[Kerma en aire acumulada (Gy)]],"")</f>
        <v/>
      </c>
    </row>
    <row r="1785" spans="3:27">
      <c r="C1785" s="144" t="str">
        <f t="shared" si="125"/>
        <v>Adulto</v>
      </c>
      <c r="D1785" s="95" t="s">
        <v>962</v>
      </c>
      <c r="E1785" s="95" t="s">
        <v>2506</v>
      </c>
      <c r="F1785" s="95" t="s">
        <v>131</v>
      </c>
      <c r="G1785" s="145">
        <v>2271347</v>
      </c>
      <c r="H1785" s="146">
        <v>44711</v>
      </c>
      <c r="I1785" s="142">
        <v>0.60558000000000001</v>
      </c>
      <c r="J1785" s="145"/>
      <c r="K1785" s="145"/>
      <c r="L1785" s="145"/>
      <c r="M1785" s="145"/>
      <c r="N1785" s="145"/>
      <c r="O1785" s="145"/>
      <c r="P1785" s="145"/>
      <c r="Q1785" s="145"/>
      <c r="R1785" s="145"/>
      <c r="S1785" s="145"/>
      <c r="T1785" s="146">
        <v>19533</v>
      </c>
      <c r="U1785" s="145"/>
      <c r="V1785" s="95" t="s">
        <v>563</v>
      </c>
      <c r="W1785" s="92" t="str">
        <f t="shared" si="122"/>
        <v>Garcia Solaz,Salvador</v>
      </c>
      <c r="X1785" s="95">
        <f t="shared" si="123"/>
        <v>5</v>
      </c>
      <c r="Y1785" s="95">
        <f t="shared" si="124"/>
        <v>2022</v>
      </c>
      <c r="Z1785" s="136" t="s">
        <v>266</v>
      </c>
      <c r="AA1785" t="str">
        <f>IF(Tabla1[[#This Row],[Kerma en aire acumulada (Gy)]]&gt;1,SUMIF(G:G,Tabla1[[#This Row],[SIP]],I:I)-Tabla1[[#This Row],[Kerma en aire acumulada (Gy)]],"")</f>
        <v/>
      </c>
    </row>
    <row r="1786" spans="3:27">
      <c r="C1786" s="144" t="str">
        <f t="shared" si="125"/>
        <v>Adulto</v>
      </c>
      <c r="D1786" s="95" t="s">
        <v>1011</v>
      </c>
      <c r="E1786" s="95" t="s">
        <v>2978</v>
      </c>
      <c r="F1786" s="95" t="s">
        <v>83</v>
      </c>
      <c r="G1786" s="145">
        <v>2805169</v>
      </c>
      <c r="H1786" s="146">
        <v>44711</v>
      </c>
      <c r="I1786" s="168">
        <v>1.07328</v>
      </c>
      <c r="J1786" s="145"/>
      <c r="K1786" s="145"/>
      <c r="L1786" s="145"/>
      <c r="M1786" s="145"/>
      <c r="N1786" s="145"/>
      <c r="O1786" s="145"/>
      <c r="P1786" s="145"/>
      <c r="Q1786" s="145"/>
      <c r="R1786" s="145"/>
      <c r="S1786" s="145"/>
      <c r="T1786" s="146">
        <v>14684</v>
      </c>
      <c r="U1786" s="145"/>
      <c r="V1786" s="95" t="s">
        <v>563</v>
      </c>
      <c r="W1786" s="92" t="str">
        <f t="shared" si="122"/>
        <v>Andres Huguet,Francisco</v>
      </c>
      <c r="X1786" s="95">
        <f t="shared" si="123"/>
        <v>5</v>
      </c>
      <c r="Y1786" s="95">
        <f t="shared" si="124"/>
        <v>2022</v>
      </c>
      <c r="Z1786" s="136" t="s">
        <v>266</v>
      </c>
      <c r="AA1786">
        <f>IF(Tabla1[[#This Row],[Kerma en aire acumulada (Gy)]]&gt;1,SUMIF(G:G,Tabla1[[#This Row],[SIP]],I:I)-Tabla1[[#This Row],[Kerma en aire acumulada (Gy)]],"")</f>
        <v>0</v>
      </c>
    </row>
    <row r="1787" spans="3:27">
      <c r="C1787" s="144" t="str">
        <f t="shared" si="125"/>
        <v>Adulto</v>
      </c>
      <c r="D1787" s="145" t="s">
        <v>2977</v>
      </c>
      <c r="E1787" s="145" t="s">
        <v>948</v>
      </c>
      <c r="F1787" s="145" t="s">
        <v>967</v>
      </c>
      <c r="G1787" s="145">
        <v>2241715</v>
      </c>
      <c r="H1787" s="146">
        <v>44711</v>
      </c>
      <c r="I1787" s="145">
        <v>0.27346999999999999</v>
      </c>
      <c r="J1787" s="145"/>
      <c r="K1787" s="145"/>
      <c r="L1787" s="145"/>
      <c r="M1787" s="145"/>
      <c r="N1787" s="145"/>
      <c r="O1787" s="145"/>
      <c r="P1787" s="145"/>
      <c r="Q1787" s="145"/>
      <c r="R1787" s="145"/>
      <c r="S1787" s="145"/>
      <c r="T1787" s="146">
        <v>17395</v>
      </c>
      <c r="U1787" s="145"/>
      <c r="V1787" s="145" t="s">
        <v>89</v>
      </c>
      <c r="W1787" s="92" t="str">
        <f t="shared" si="122"/>
        <v>Ruiz Galan Martinez,Jose Manuel</v>
      </c>
      <c r="X1787" s="95">
        <f t="shared" si="123"/>
        <v>5</v>
      </c>
      <c r="Y1787" s="95">
        <f t="shared" si="124"/>
        <v>2022</v>
      </c>
      <c r="Z1787" s="136" t="s">
        <v>265</v>
      </c>
      <c r="AA1787" t="str">
        <f>IF(Tabla1[[#This Row],[Kerma en aire acumulada (Gy)]]&gt;1,SUMIF(G:G,Tabla1[[#This Row],[SIP]],I:I)-Tabla1[[#This Row],[Kerma en aire acumulada (Gy)]],"")</f>
        <v/>
      </c>
    </row>
    <row r="1788" spans="3:27">
      <c r="C1788" s="144" t="str">
        <f t="shared" si="125"/>
        <v>Adulto</v>
      </c>
      <c r="D1788" s="145" t="s">
        <v>742</v>
      </c>
      <c r="E1788" s="145" t="s">
        <v>2976</v>
      </c>
      <c r="F1788" s="145" t="s">
        <v>2975</v>
      </c>
      <c r="G1788" s="145">
        <v>5152139</v>
      </c>
      <c r="H1788" s="146">
        <v>44711</v>
      </c>
      <c r="I1788" s="145">
        <v>0.17938999999999999</v>
      </c>
      <c r="J1788" s="145"/>
      <c r="K1788" s="145"/>
      <c r="L1788" s="145"/>
      <c r="M1788" s="145"/>
      <c r="N1788" s="145"/>
      <c r="O1788" s="145"/>
      <c r="P1788" s="145"/>
      <c r="Q1788" s="145"/>
      <c r="R1788" s="145"/>
      <c r="S1788" s="145"/>
      <c r="T1788" s="146">
        <v>28064</v>
      </c>
      <c r="U1788" s="145"/>
      <c r="V1788" s="145" t="s">
        <v>1630</v>
      </c>
      <c r="W1788" s="92" t="str">
        <f t="shared" si="122"/>
        <v>Lluch Prats,Marta Pilar</v>
      </c>
      <c r="X1788" s="95">
        <f t="shared" si="123"/>
        <v>5</v>
      </c>
      <c r="Y1788" s="95">
        <f t="shared" si="124"/>
        <v>2022</v>
      </c>
      <c r="Z1788" s="136" t="s">
        <v>265</v>
      </c>
      <c r="AA1788" t="str">
        <f>IF(Tabla1[[#This Row],[Kerma en aire acumulada (Gy)]]&gt;1,SUMIF(G:G,Tabla1[[#This Row],[SIP]],I:I)-Tabla1[[#This Row],[Kerma en aire acumulada (Gy)]],"")</f>
        <v/>
      </c>
    </row>
    <row r="1789" spans="3:27">
      <c r="C1789" s="144" t="str">
        <f t="shared" si="125"/>
        <v>Adulto</v>
      </c>
      <c r="D1789" s="145" t="s">
        <v>1250</v>
      </c>
      <c r="E1789" s="145" t="s">
        <v>313</v>
      </c>
      <c r="F1789" s="145" t="s">
        <v>2974</v>
      </c>
      <c r="G1789" s="145">
        <v>3198541</v>
      </c>
      <c r="H1789" s="146">
        <v>44711</v>
      </c>
      <c r="I1789" s="145">
        <f>65.28/1000</f>
        <v>6.5280000000000005E-2</v>
      </c>
      <c r="J1789" s="145"/>
      <c r="K1789" s="145"/>
      <c r="L1789" s="145"/>
      <c r="M1789" s="145"/>
      <c r="N1789" s="145"/>
      <c r="O1789" s="145"/>
      <c r="P1789" s="145"/>
      <c r="Q1789" s="145"/>
      <c r="R1789" s="145"/>
      <c r="S1789" s="145"/>
      <c r="T1789" s="146">
        <v>20281</v>
      </c>
      <c r="U1789" s="145"/>
      <c r="V1789" s="145" t="s">
        <v>552</v>
      </c>
      <c r="W1789" s="92" t="str">
        <f t="shared" si="122"/>
        <v>Marques Fernández,Vicente Jose</v>
      </c>
      <c r="X1789" s="95">
        <f t="shared" si="123"/>
        <v>5</v>
      </c>
      <c r="Y1789" s="95">
        <f t="shared" si="124"/>
        <v>2022</v>
      </c>
      <c r="Z1789" s="136" t="s">
        <v>265</v>
      </c>
      <c r="AA1789" t="str">
        <f>IF(Tabla1[[#This Row],[Kerma en aire acumulada (Gy)]]&gt;1,SUMIF(G:G,Tabla1[[#This Row],[SIP]],I:I)-Tabla1[[#This Row],[Kerma en aire acumulada (Gy)]],"")</f>
        <v/>
      </c>
    </row>
    <row r="1790" spans="3:27">
      <c r="C1790" s="144" t="str">
        <f t="shared" si="125"/>
        <v>Adulto</v>
      </c>
      <c r="D1790" s="145" t="s">
        <v>116</v>
      </c>
      <c r="E1790" s="145" t="s">
        <v>2972</v>
      </c>
      <c r="F1790" s="145" t="s">
        <v>2973</v>
      </c>
      <c r="G1790" s="145">
        <v>3139357</v>
      </c>
      <c r="H1790" s="146">
        <v>44711</v>
      </c>
      <c r="I1790" s="145">
        <f>47.75/1000</f>
        <v>4.7750000000000001E-2</v>
      </c>
      <c r="J1790" s="145"/>
      <c r="K1790" s="145"/>
      <c r="L1790" s="145"/>
      <c r="M1790" s="145"/>
      <c r="N1790" s="145"/>
      <c r="O1790" s="145"/>
      <c r="P1790" s="145"/>
      <c r="Q1790" s="145"/>
      <c r="R1790" s="145"/>
      <c r="S1790" s="145"/>
      <c r="T1790" s="146">
        <v>10846</v>
      </c>
      <c r="U1790" s="145"/>
      <c r="V1790" s="145" t="s">
        <v>502</v>
      </c>
      <c r="W1790" s="92" t="str">
        <f t="shared" si="122"/>
        <v>Serrano Monforte,Higinio</v>
      </c>
      <c r="X1790" s="95">
        <f t="shared" si="123"/>
        <v>5</v>
      </c>
      <c r="Y1790" s="95">
        <f t="shared" si="124"/>
        <v>2022</v>
      </c>
      <c r="Z1790" s="136" t="s">
        <v>265</v>
      </c>
      <c r="AA1790" t="str">
        <f>IF(Tabla1[[#This Row],[Kerma en aire acumulada (Gy)]]&gt;1,SUMIF(G:G,Tabla1[[#This Row],[SIP]],I:I)-Tabla1[[#This Row],[Kerma en aire acumulada (Gy)]],"")</f>
        <v/>
      </c>
    </row>
    <row r="1791" spans="3:27">
      <c r="C1791" s="144" t="str">
        <f t="shared" si="125"/>
        <v>Adulto</v>
      </c>
      <c r="D1791" s="145" t="s">
        <v>2478</v>
      </c>
      <c r="E1791" s="145" t="s">
        <v>2637</v>
      </c>
      <c r="F1791" s="145" t="s">
        <v>1787</v>
      </c>
      <c r="G1791" s="145">
        <v>2586058</v>
      </c>
      <c r="H1791" s="146">
        <v>44711</v>
      </c>
      <c r="I1791" s="145">
        <f>8.36/1000</f>
        <v>8.3599999999999994E-3</v>
      </c>
      <c r="J1791" s="145"/>
      <c r="K1791" s="145"/>
      <c r="L1791" s="145"/>
      <c r="M1791" s="145"/>
      <c r="N1791" s="145"/>
      <c r="O1791" s="145"/>
      <c r="P1791" s="145"/>
      <c r="Q1791" s="145"/>
      <c r="R1791" s="145"/>
      <c r="S1791" s="145"/>
      <c r="T1791" s="146">
        <v>33820</v>
      </c>
      <c r="U1791" s="145"/>
      <c r="V1791" s="145" t="s">
        <v>1086</v>
      </c>
      <c r="W1791" s="92" t="str">
        <f t="shared" si="122"/>
        <v>Teruel Olmedo,Laura</v>
      </c>
      <c r="X1791" s="95">
        <f t="shared" si="123"/>
        <v>5</v>
      </c>
      <c r="Y1791" s="95">
        <f t="shared" si="124"/>
        <v>2022</v>
      </c>
      <c r="Z1791" s="136" t="s">
        <v>265</v>
      </c>
      <c r="AA1791" t="str">
        <f>IF(Tabla1[[#This Row],[Kerma en aire acumulada (Gy)]]&gt;1,SUMIF(G:G,Tabla1[[#This Row],[SIP]],I:I)-Tabla1[[#This Row],[Kerma en aire acumulada (Gy)]],"")</f>
        <v/>
      </c>
    </row>
    <row r="1792" spans="3:27">
      <c r="C1792" s="144" t="str">
        <f t="shared" si="125"/>
        <v>Adulto</v>
      </c>
      <c r="D1792" s="145" t="s">
        <v>313</v>
      </c>
      <c r="E1792" s="145" t="s">
        <v>1010</v>
      </c>
      <c r="F1792" s="145" t="s">
        <v>283</v>
      </c>
      <c r="G1792" s="145">
        <v>1169290</v>
      </c>
      <c r="H1792" s="146">
        <v>44711</v>
      </c>
      <c r="I1792" s="168">
        <v>1.3968100000000001</v>
      </c>
      <c r="J1792" s="145"/>
      <c r="K1792" s="145"/>
      <c r="L1792" s="145"/>
      <c r="M1792" s="145"/>
      <c r="N1792" s="145"/>
      <c r="O1792" s="145"/>
      <c r="P1792" s="145"/>
      <c r="Q1792" s="145"/>
      <c r="R1792" s="145"/>
      <c r="S1792" s="145"/>
      <c r="T1792" s="146">
        <v>22121</v>
      </c>
      <c r="U1792" s="145"/>
      <c r="V1792" s="145" t="s">
        <v>89</v>
      </c>
      <c r="W1792" s="92" t="str">
        <f t="shared" si="122"/>
        <v>Fernández Bautista,Andrés</v>
      </c>
      <c r="X1792" s="95">
        <f t="shared" si="123"/>
        <v>5</v>
      </c>
      <c r="Y1792" s="95">
        <f t="shared" si="124"/>
        <v>2022</v>
      </c>
      <c r="Z1792" s="136" t="s">
        <v>265</v>
      </c>
      <c r="AA1792">
        <f>IF(Tabla1[[#This Row],[Kerma en aire acumulada (Gy)]]&gt;1,SUMIF(G:G,Tabla1[[#This Row],[SIP]],I:I)-Tabla1[[#This Row],[Kerma en aire acumulada (Gy)]],"")</f>
        <v>0.81900000000000017</v>
      </c>
    </row>
    <row r="1793" spans="3:27">
      <c r="C1793" s="144" t="s">
        <v>1088</v>
      </c>
      <c r="D1793" s="145" t="s">
        <v>2971</v>
      </c>
      <c r="E1793" s="145" t="s">
        <v>368</v>
      </c>
      <c r="F1793" s="145" t="s">
        <v>595</v>
      </c>
      <c r="G1793" s="145">
        <v>2242980</v>
      </c>
      <c r="H1793" s="146">
        <v>44711</v>
      </c>
      <c r="I1793" s="145">
        <v>8.165E-2</v>
      </c>
      <c r="J1793" s="145"/>
      <c r="K1793" s="145"/>
      <c r="L1793" s="145"/>
      <c r="M1793" s="145"/>
      <c r="N1793" s="145"/>
      <c r="O1793" s="145"/>
      <c r="P1793" s="145"/>
      <c r="Q1793" s="145"/>
      <c r="R1793" s="145"/>
      <c r="S1793" s="145"/>
      <c r="T1793" s="146">
        <v>26970</v>
      </c>
      <c r="U1793" s="145"/>
      <c r="V1793" s="145" t="s">
        <v>516</v>
      </c>
      <c r="W1793" s="92" t="str">
        <f t="shared" si="122"/>
        <v>Guardiola García,Rubén</v>
      </c>
      <c r="X1793" s="95">
        <f t="shared" si="123"/>
        <v>5</v>
      </c>
      <c r="Y1793" s="95">
        <f t="shared" si="124"/>
        <v>2022</v>
      </c>
      <c r="Z1793" s="136" t="s">
        <v>265</v>
      </c>
      <c r="AA1793" t="str">
        <f>IF(Tabla1[[#This Row],[Kerma en aire acumulada (Gy)]]&gt;1,SUMIF(G:G,Tabla1[[#This Row],[SIP]],I:I)-Tabla1[[#This Row],[Kerma en aire acumulada (Gy)]],"")</f>
        <v/>
      </c>
    </row>
    <row r="1794" spans="3:27">
      <c r="C1794" s="94" t="str">
        <f t="shared" ref="C1794:C1857" si="126">IF(OR(H1794="",T1794=""),"",IF((H1794-T1794)/12/30&lt;18,"Pediátrico","Adulto"))</f>
        <v>Adulto</v>
      </c>
      <c r="D1794" s="145" t="s">
        <v>3005</v>
      </c>
      <c r="E1794" s="145" t="s">
        <v>948</v>
      </c>
      <c r="F1794" s="145" t="s">
        <v>54</v>
      </c>
      <c r="G1794" s="145">
        <v>3768770</v>
      </c>
      <c r="H1794" s="96">
        <v>44712</v>
      </c>
      <c r="I1794" s="145">
        <v>1.2789999999999999E-2</v>
      </c>
      <c r="J1794" s="145"/>
      <c r="K1794" s="145"/>
      <c r="L1794" s="145"/>
      <c r="M1794" s="145"/>
      <c r="N1794" s="145"/>
      <c r="O1794" s="145"/>
      <c r="P1794" s="145"/>
      <c r="Q1794" s="145"/>
      <c r="R1794" s="145"/>
      <c r="S1794" s="145"/>
      <c r="T1794" s="146">
        <v>12276</v>
      </c>
      <c r="U1794" s="145"/>
      <c r="V1794" s="145" t="s">
        <v>2962</v>
      </c>
      <c r="W1794" s="92" t="str">
        <f t="shared" si="122"/>
        <v>Campoy Martinez,Isabel</v>
      </c>
      <c r="X1794" s="95">
        <f t="shared" si="123"/>
        <v>5</v>
      </c>
      <c r="Y1794" s="95">
        <f t="shared" si="124"/>
        <v>2022</v>
      </c>
      <c r="Z1794" s="136" t="s">
        <v>2238</v>
      </c>
      <c r="AA1794" t="str">
        <f>IF(Tabla1[[#This Row],[Kerma en aire acumulada (Gy)]]&gt;1,SUMIF(G:G,Tabla1[[#This Row],[SIP]],I:I)-Tabla1[[#This Row],[Kerma en aire acumulada (Gy)]],"")</f>
        <v/>
      </c>
    </row>
    <row r="1795" spans="3:27">
      <c r="C1795" s="94" t="str">
        <f t="shared" si="126"/>
        <v>Adulto</v>
      </c>
      <c r="D1795" s="145" t="s">
        <v>634</v>
      </c>
      <c r="E1795" s="145" t="s">
        <v>3004</v>
      </c>
      <c r="F1795" s="145" t="s">
        <v>3003</v>
      </c>
      <c r="G1795" s="145">
        <v>3753240</v>
      </c>
      <c r="H1795" s="96">
        <v>44712</v>
      </c>
      <c r="I1795" s="145">
        <v>0.42810999999999999</v>
      </c>
      <c r="J1795" s="145"/>
      <c r="K1795" s="145"/>
      <c r="L1795" s="145"/>
      <c r="M1795" s="145"/>
      <c r="N1795" s="145"/>
      <c r="O1795" s="145"/>
      <c r="P1795" s="145"/>
      <c r="Q1795" s="145"/>
      <c r="R1795" s="145"/>
      <c r="S1795" s="145"/>
      <c r="T1795" s="146">
        <v>19346</v>
      </c>
      <c r="U1795" s="145"/>
      <c r="V1795" s="145" t="s">
        <v>2962</v>
      </c>
      <c r="W1795" s="92" t="str">
        <f t="shared" si="122"/>
        <v>Gil Alonson,Jesus Vicente</v>
      </c>
      <c r="X1795" s="95">
        <f t="shared" si="123"/>
        <v>5</v>
      </c>
      <c r="Y1795" s="95">
        <f t="shared" si="124"/>
        <v>2022</v>
      </c>
      <c r="Z1795" s="136" t="s">
        <v>2238</v>
      </c>
      <c r="AA1795" t="str">
        <f>IF(Tabla1[[#This Row],[Kerma en aire acumulada (Gy)]]&gt;1,SUMIF(G:G,Tabla1[[#This Row],[SIP]],I:I)-Tabla1[[#This Row],[Kerma en aire acumulada (Gy)]],"")</f>
        <v/>
      </c>
    </row>
    <row r="1796" spans="3:27">
      <c r="C1796" s="94" t="str">
        <f t="shared" si="126"/>
        <v>Adulto</v>
      </c>
      <c r="D1796" s="145" t="s">
        <v>1001</v>
      </c>
      <c r="E1796" s="145" t="s">
        <v>3002</v>
      </c>
      <c r="F1796" s="145" t="s">
        <v>83</v>
      </c>
      <c r="G1796" s="145">
        <v>10958585</v>
      </c>
      <c r="H1796" s="96">
        <v>44712</v>
      </c>
      <c r="I1796" s="145">
        <f>9.04/1000</f>
        <v>9.0399999999999994E-3</v>
      </c>
      <c r="J1796" s="145"/>
      <c r="K1796" s="145"/>
      <c r="L1796" s="145"/>
      <c r="M1796" s="145"/>
      <c r="N1796" s="145"/>
      <c r="O1796" s="145"/>
      <c r="P1796" s="145"/>
      <c r="Q1796" s="145"/>
      <c r="R1796" s="145"/>
      <c r="S1796" s="145"/>
      <c r="T1796" s="146">
        <v>22933</v>
      </c>
      <c r="U1796" s="145"/>
      <c r="V1796" s="145" t="s">
        <v>2237</v>
      </c>
      <c r="W1796" s="92" t="str">
        <f t="shared" si="122"/>
        <v>Perez Torrejon,Francisco</v>
      </c>
      <c r="X1796" s="95">
        <f t="shared" si="123"/>
        <v>5</v>
      </c>
      <c r="Y1796" s="95">
        <f t="shared" si="124"/>
        <v>2022</v>
      </c>
      <c r="Z1796" s="136" t="s">
        <v>2238</v>
      </c>
      <c r="AA1796" t="str">
        <f>IF(Tabla1[[#This Row],[Kerma en aire acumulada (Gy)]]&gt;1,SUMIF(G:G,Tabla1[[#This Row],[SIP]],I:I)-Tabla1[[#This Row],[Kerma en aire acumulada (Gy)]],"")</f>
        <v/>
      </c>
    </row>
    <row r="1797" spans="3:27">
      <c r="C1797" s="94" t="str">
        <f t="shared" si="126"/>
        <v>Adulto</v>
      </c>
      <c r="D1797" s="95" t="s">
        <v>21</v>
      </c>
      <c r="E1797" s="95" t="s">
        <v>677</v>
      </c>
      <c r="F1797" s="95" t="s">
        <v>2624</v>
      </c>
      <c r="G1797" s="95">
        <v>4698581</v>
      </c>
      <c r="H1797" s="96">
        <v>44712</v>
      </c>
      <c r="I1797" s="95">
        <v>0.10552</v>
      </c>
      <c r="J1797" s="95"/>
      <c r="K1797" s="95"/>
      <c r="L1797" s="95"/>
      <c r="M1797" s="95"/>
      <c r="N1797" s="95"/>
      <c r="O1797" s="95"/>
      <c r="P1797" s="95"/>
      <c r="Q1797" s="95"/>
      <c r="R1797" s="95"/>
      <c r="S1797" s="95"/>
      <c r="T1797" s="96">
        <v>19347</v>
      </c>
      <c r="U1797" s="95"/>
      <c r="V1797" s="95" t="s">
        <v>563</v>
      </c>
      <c r="W1797" s="92" t="str">
        <f t="shared" si="122"/>
        <v>Cervera Aliaga,M del Carmen</v>
      </c>
      <c r="X1797" s="95">
        <f t="shared" si="123"/>
        <v>5</v>
      </c>
      <c r="Y1797" s="95">
        <f t="shared" si="124"/>
        <v>2022</v>
      </c>
      <c r="Z1797" s="136" t="s">
        <v>266</v>
      </c>
      <c r="AA1797" t="str">
        <f>IF(Tabla1[[#This Row],[Kerma en aire acumulada (Gy)]]&gt;1,SUMIF(G:G,Tabla1[[#This Row],[SIP]],I:I)-Tabla1[[#This Row],[Kerma en aire acumulada (Gy)]],"")</f>
        <v/>
      </c>
    </row>
    <row r="1798" spans="3:27">
      <c r="C1798" s="94" t="str">
        <f t="shared" si="126"/>
        <v>Adulto</v>
      </c>
      <c r="D1798" s="95" t="s">
        <v>962</v>
      </c>
      <c r="E1798" s="95" t="s">
        <v>992</v>
      </c>
      <c r="F1798" s="95" t="s">
        <v>1006</v>
      </c>
      <c r="G1798" s="95">
        <v>2706900</v>
      </c>
      <c r="H1798" s="96">
        <v>44712</v>
      </c>
      <c r="I1798" s="95">
        <v>0.18265999999999999</v>
      </c>
      <c r="J1798" s="95"/>
      <c r="K1798" s="95"/>
      <c r="L1798" s="95"/>
      <c r="M1798" s="95"/>
      <c r="N1798" s="95"/>
      <c r="O1798" s="95"/>
      <c r="P1798" s="95"/>
      <c r="Q1798" s="95"/>
      <c r="R1798" s="95"/>
      <c r="S1798" s="95"/>
      <c r="T1798" s="96">
        <v>12634</v>
      </c>
      <c r="U1798" s="95"/>
      <c r="V1798" s="95" t="s">
        <v>563</v>
      </c>
      <c r="W1798" s="92" t="str">
        <f t="shared" si="122"/>
        <v>Garcia Costa,Victoria</v>
      </c>
      <c r="X1798" s="95">
        <f t="shared" si="123"/>
        <v>5</v>
      </c>
      <c r="Y1798" s="95">
        <f t="shared" si="124"/>
        <v>2022</v>
      </c>
      <c r="Z1798" s="136" t="s">
        <v>266</v>
      </c>
      <c r="AA1798" t="str">
        <f>IF(Tabla1[[#This Row],[Kerma en aire acumulada (Gy)]]&gt;1,SUMIF(G:G,Tabla1[[#This Row],[SIP]],I:I)-Tabla1[[#This Row],[Kerma en aire acumulada (Gy)]],"")</f>
        <v/>
      </c>
    </row>
    <row r="1799" spans="3:27">
      <c r="C1799" s="94" t="str">
        <f t="shared" si="126"/>
        <v>Adulto</v>
      </c>
      <c r="D1799" s="95" t="s">
        <v>634</v>
      </c>
      <c r="E1799" s="95" t="s">
        <v>2688</v>
      </c>
      <c r="F1799" s="95" t="s">
        <v>1694</v>
      </c>
      <c r="G1799" s="95">
        <v>3102309</v>
      </c>
      <c r="H1799" s="96">
        <v>44712</v>
      </c>
      <c r="I1799" s="95">
        <v>0.94610000000000005</v>
      </c>
      <c r="J1799" s="95"/>
      <c r="K1799" s="95"/>
      <c r="L1799" s="95"/>
      <c r="M1799" s="95"/>
      <c r="N1799" s="95"/>
      <c r="O1799" s="95"/>
      <c r="P1799" s="95"/>
      <c r="Q1799" s="95"/>
      <c r="R1799" s="95"/>
      <c r="S1799" s="95"/>
      <c r="T1799" s="96">
        <v>17741</v>
      </c>
      <c r="U1799" s="95"/>
      <c r="V1799" s="95" t="s">
        <v>563</v>
      </c>
      <c r="W1799" s="92" t="str">
        <f t="shared" si="122"/>
        <v>Gil Burgos,Concepcion</v>
      </c>
      <c r="X1799" s="95">
        <f t="shared" si="123"/>
        <v>5</v>
      </c>
      <c r="Y1799" s="95">
        <f t="shared" si="124"/>
        <v>2022</v>
      </c>
      <c r="Z1799" s="136" t="s">
        <v>266</v>
      </c>
      <c r="AA1799" t="str">
        <f>IF(Tabla1[[#This Row],[Kerma en aire acumulada (Gy)]]&gt;1,SUMIF(G:G,Tabla1[[#This Row],[SIP]],I:I)-Tabla1[[#This Row],[Kerma en aire acumulada (Gy)]],"")</f>
        <v/>
      </c>
    </row>
    <row r="1800" spans="3:27">
      <c r="C1800" s="94" t="str">
        <f t="shared" si="126"/>
        <v>Adulto</v>
      </c>
      <c r="D1800" s="95" t="s">
        <v>3000</v>
      </c>
      <c r="E1800" s="95" t="s">
        <v>3001</v>
      </c>
      <c r="F1800" s="95" t="s">
        <v>300</v>
      </c>
      <c r="G1800" s="95">
        <v>3308866</v>
      </c>
      <c r="H1800" s="96">
        <v>44712</v>
      </c>
      <c r="I1800" s="95">
        <v>0.21393999999999999</v>
      </c>
      <c r="J1800" s="95"/>
      <c r="K1800" s="95"/>
      <c r="L1800" s="95"/>
      <c r="M1800" s="95"/>
      <c r="N1800" s="95"/>
      <c r="O1800" s="95"/>
      <c r="P1800" s="95"/>
      <c r="Q1800" s="95"/>
      <c r="R1800" s="95"/>
      <c r="S1800" s="95"/>
      <c r="T1800" s="96">
        <v>19590</v>
      </c>
      <c r="U1800" s="95"/>
      <c r="V1800" s="95" t="s">
        <v>563</v>
      </c>
      <c r="W1800" s="92" t="str">
        <f t="shared" si="122"/>
        <v>Tuñi Vancells,Carlos</v>
      </c>
      <c r="X1800" s="95">
        <f t="shared" si="123"/>
        <v>5</v>
      </c>
      <c r="Y1800" s="95">
        <f t="shared" si="124"/>
        <v>2022</v>
      </c>
      <c r="Z1800" s="136" t="s">
        <v>266</v>
      </c>
      <c r="AA1800" t="str">
        <f>IF(Tabla1[[#This Row],[Kerma en aire acumulada (Gy)]]&gt;1,SUMIF(G:G,Tabla1[[#This Row],[SIP]],I:I)-Tabla1[[#This Row],[Kerma en aire acumulada (Gy)]],"")</f>
        <v/>
      </c>
    </row>
    <row r="1801" spans="3:27">
      <c r="C1801" s="94" t="str">
        <f t="shared" si="126"/>
        <v>Adulto</v>
      </c>
      <c r="D1801" s="95" t="s">
        <v>181</v>
      </c>
      <c r="E1801" s="95" t="s">
        <v>1726</v>
      </c>
      <c r="F1801" s="95" t="s">
        <v>2999</v>
      </c>
      <c r="G1801" s="95">
        <v>2148653</v>
      </c>
      <c r="H1801" s="96">
        <v>44712</v>
      </c>
      <c r="I1801" s="95">
        <v>0.21259</v>
      </c>
      <c r="J1801" s="95"/>
      <c r="K1801" s="95"/>
      <c r="L1801" s="95"/>
      <c r="M1801" s="95"/>
      <c r="N1801" s="95"/>
      <c r="O1801" s="95"/>
      <c r="P1801" s="95"/>
      <c r="Q1801" s="95"/>
      <c r="R1801" s="95"/>
      <c r="S1801" s="95"/>
      <c r="T1801" s="96">
        <v>24820</v>
      </c>
      <c r="U1801" s="95"/>
      <c r="V1801" s="95" t="s">
        <v>563</v>
      </c>
      <c r="W1801" s="92" t="str">
        <f t="shared" si="122"/>
        <v>Castillo Rus,Ramon Carlos</v>
      </c>
      <c r="X1801" s="95">
        <f t="shared" si="123"/>
        <v>5</v>
      </c>
      <c r="Y1801" s="95">
        <f t="shared" si="124"/>
        <v>2022</v>
      </c>
      <c r="Z1801" s="136" t="s">
        <v>266</v>
      </c>
      <c r="AA1801" t="str">
        <f>IF(Tabla1[[#This Row],[Kerma en aire acumulada (Gy)]]&gt;1,SUMIF(G:G,Tabla1[[#This Row],[SIP]],I:I)-Tabla1[[#This Row],[Kerma en aire acumulada (Gy)]],"")</f>
        <v/>
      </c>
    </row>
    <row r="1802" spans="3:27">
      <c r="C1802" s="94" t="str">
        <f t="shared" si="126"/>
        <v>Adulto</v>
      </c>
      <c r="D1802" s="95" t="s">
        <v>1852</v>
      </c>
      <c r="E1802" s="95" t="s">
        <v>1625</v>
      </c>
      <c r="F1802" s="95" t="s">
        <v>1617</v>
      </c>
      <c r="G1802" s="95">
        <v>2320999</v>
      </c>
      <c r="H1802" s="96">
        <v>44712</v>
      </c>
      <c r="I1802" s="95">
        <v>0.37030000000000002</v>
      </c>
      <c r="J1802" s="95"/>
      <c r="K1802" s="95"/>
      <c r="L1802" s="95"/>
      <c r="M1802" s="95"/>
      <c r="N1802" s="95"/>
      <c r="O1802" s="95"/>
      <c r="P1802" s="95"/>
      <c r="Q1802" s="95"/>
      <c r="R1802" s="95"/>
      <c r="S1802" s="95"/>
      <c r="T1802" s="96">
        <v>29892</v>
      </c>
      <c r="U1802" s="95"/>
      <c r="V1802" s="95" t="s">
        <v>563</v>
      </c>
      <c r="W1802" s="92" t="str">
        <f t="shared" si="122"/>
        <v>Cardona Banacloche,Adrian</v>
      </c>
      <c r="X1802" s="95">
        <f t="shared" si="123"/>
        <v>5</v>
      </c>
      <c r="Y1802" s="95">
        <f t="shared" si="124"/>
        <v>2022</v>
      </c>
      <c r="Z1802" s="136" t="s">
        <v>266</v>
      </c>
      <c r="AA1802" t="str">
        <f>IF(Tabla1[[#This Row],[Kerma en aire acumulada (Gy)]]&gt;1,SUMIF(G:G,Tabla1[[#This Row],[SIP]],I:I)-Tabla1[[#This Row],[Kerma en aire acumulada (Gy)]],"")</f>
        <v/>
      </c>
    </row>
    <row r="1803" spans="3:27">
      <c r="C1803" s="94" t="str">
        <f t="shared" si="126"/>
        <v>Adulto</v>
      </c>
      <c r="D1803" s="95" t="s">
        <v>2997</v>
      </c>
      <c r="E1803" s="95" t="s">
        <v>2998</v>
      </c>
      <c r="F1803" s="95" t="s">
        <v>88</v>
      </c>
      <c r="G1803" s="95">
        <v>138293</v>
      </c>
      <c r="H1803" s="96">
        <v>44712</v>
      </c>
      <c r="I1803" s="95">
        <v>0.62994000000000006</v>
      </c>
      <c r="J1803" s="95"/>
      <c r="K1803" s="95"/>
      <c r="L1803" s="95"/>
      <c r="M1803" s="95"/>
      <c r="N1803" s="95"/>
      <c r="O1803" s="95"/>
      <c r="P1803" s="95"/>
      <c r="Q1803" s="95"/>
      <c r="R1803" s="95"/>
      <c r="S1803" s="95"/>
      <c r="T1803" s="96">
        <v>19849</v>
      </c>
      <c r="U1803" s="95"/>
      <c r="V1803" s="95" t="s">
        <v>563</v>
      </c>
      <c r="W1803" s="92" t="str">
        <f t="shared" si="122"/>
        <v>Fons Mahiques,Vicente</v>
      </c>
      <c r="X1803" s="95">
        <f t="shared" si="123"/>
        <v>5</v>
      </c>
      <c r="Y1803" s="95">
        <f t="shared" si="124"/>
        <v>2022</v>
      </c>
      <c r="Z1803" s="93" t="s">
        <v>266</v>
      </c>
      <c r="AA1803" t="str">
        <f>IF(Tabla1[[#This Row],[Kerma en aire acumulada (Gy)]]&gt;1,SUMIF(G:G,Tabla1[[#This Row],[SIP]],I:I)-Tabla1[[#This Row],[Kerma en aire acumulada (Gy)]],"")</f>
        <v/>
      </c>
    </row>
    <row r="1804" spans="3:27">
      <c r="C1804" s="94" t="str">
        <f t="shared" si="126"/>
        <v>Adulto</v>
      </c>
      <c r="D1804" s="95" t="s">
        <v>2996</v>
      </c>
      <c r="E1804" s="95" t="s">
        <v>962</v>
      </c>
      <c r="F1804" s="95" t="s">
        <v>1251</v>
      </c>
      <c r="G1804" s="95">
        <v>3179158</v>
      </c>
      <c r="H1804" s="96">
        <v>44712</v>
      </c>
      <c r="I1804" s="95">
        <v>0.32754</v>
      </c>
      <c r="J1804" s="95"/>
      <c r="K1804" s="95"/>
      <c r="L1804" s="95"/>
      <c r="M1804" s="95"/>
      <c r="N1804" s="95"/>
      <c r="O1804" s="95"/>
      <c r="P1804" s="95"/>
      <c r="Q1804" s="95"/>
      <c r="R1804" s="95"/>
      <c r="S1804" s="95"/>
      <c r="T1804" s="96">
        <v>15224</v>
      </c>
      <c r="U1804" s="95"/>
      <c r="V1804" s="95" t="s">
        <v>563</v>
      </c>
      <c r="W1804" s="92" t="str">
        <f t="shared" si="122"/>
        <v>Tort  Garcia,Jorge</v>
      </c>
      <c r="X1804" s="95">
        <f t="shared" si="123"/>
        <v>5</v>
      </c>
      <c r="Y1804" s="95">
        <f t="shared" si="124"/>
        <v>2022</v>
      </c>
      <c r="Z1804" s="93" t="s">
        <v>266</v>
      </c>
      <c r="AA1804" t="str">
        <f>IF(Tabla1[[#This Row],[Kerma en aire acumulada (Gy)]]&gt;1,SUMIF(G:G,Tabla1[[#This Row],[SIP]],I:I)-Tabla1[[#This Row],[Kerma en aire acumulada (Gy)]],"")</f>
        <v/>
      </c>
    </row>
    <row r="1805" spans="3:27">
      <c r="C1805" s="94" t="str">
        <f t="shared" si="126"/>
        <v>Adulto</v>
      </c>
      <c r="D1805" s="95" t="s">
        <v>981</v>
      </c>
      <c r="E1805" s="95" t="s">
        <v>981</v>
      </c>
      <c r="F1805" s="95" t="s">
        <v>1694</v>
      </c>
      <c r="G1805" s="95">
        <v>3249334</v>
      </c>
      <c r="H1805" s="96">
        <v>44712</v>
      </c>
      <c r="I1805" s="95">
        <v>8.6120000000000002E-2</v>
      </c>
      <c r="J1805" s="95"/>
      <c r="K1805" s="95"/>
      <c r="L1805" s="95"/>
      <c r="M1805" s="95"/>
      <c r="N1805" s="95"/>
      <c r="O1805" s="95"/>
      <c r="P1805" s="95"/>
      <c r="Q1805" s="95"/>
      <c r="R1805" s="95"/>
      <c r="S1805" s="95"/>
      <c r="T1805" s="96">
        <v>17868</v>
      </c>
      <c r="U1805" s="95"/>
      <c r="V1805" s="95" t="s">
        <v>2995</v>
      </c>
      <c r="W1805" s="92" t="str">
        <f t="shared" si="122"/>
        <v>Herraiz Herraiz,Concepcion</v>
      </c>
      <c r="X1805" s="95">
        <f t="shared" si="123"/>
        <v>5</v>
      </c>
      <c r="Y1805" s="95">
        <f t="shared" si="124"/>
        <v>2022</v>
      </c>
      <c r="Z1805" s="93" t="s">
        <v>265</v>
      </c>
      <c r="AA1805" t="str">
        <f>IF(Tabla1[[#This Row],[Kerma en aire acumulada (Gy)]]&gt;1,SUMIF(G:G,Tabla1[[#This Row],[SIP]],I:I)-Tabla1[[#This Row],[Kerma en aire acumulada (Gy)]],"")</f>
        <v/>
      </c>
    </row>
    <row r="1806" spans="3:27">
      <c r="C1806" s="94" t="str">
        <f t="shared" si="126"/>
        <v>Adulto</v>
      </c>
      <c r="D1806" s="145" t="s">
        <v>3013</v>
      </c>
      <c r="E1806" s="145" t="s">
        <v>3014</v>
      </c>
      <c r="F1806" s="145" t="s">
        <v>1155</v>
      </c>
      <c r="G1806" s="145">
        <v>4743560</v>
      </c>
      <c r="H1806" s="96">
        <v>44713</v>
      </c>
      <c r="I1806" s="145">
        <v>0.46435999999999999</v>
      </c>
      <c r="J1806" s="145"/>
      <c r="K1806" s="145"/>
      <c r="L1806" s="145"/>
      <c r="M1806" s="145"/>
      <c r="N1806" s="145"/>
      <c r="O1806" s="145"/>
      <c r="P1806" s="145"/>
      <c r="Q1806" s="145"/>
      <c r="R1806" s="145"/>
      <c r="S1806" s="145"/>
      <c r="T1806" s="146">
        <v>11573</v>
      </c>
      <c r="U1806" s="145"/>
      <c r="V1806" s="145" t="s">
        <v>563</v>
      </c>
      <c r="W1806" s="92" t="str">
        <f t="shared" si="122"/>
        <v>Benedito Pedros,Maria</v>
      </c>
      <c r="X1806" s="95">
        <f t="shared" si="123"/>
        <v>6</v>
      </c>
      <c r="Y1806" s="95">
        <f t="shared" si="124"/>
        <v>2022</v>
      </c>
      <c r="Z1806" s="136" t="s">
        <v>266</v>
      </c>
      <c r="AA1806" t="str">
        <f>IF(Tabla1[[#This Row],[Kerma en aire acumulada (Gy)]]&gt;1,SUMIF(G:G,Tabla1[[#This Row],[SIP]],I:I)-Tabla1[[#This Row],[Kerma en aire acumulada (Gy)]],"")</f>
        <v/>
      </c>
    </row>
    <row r="1807" spans="3:27">
      <c r="C1807" s="94" t="str">
        <f t="shared" si="126"/>
        <v>Adulto</v>
      </c>
      <c r="D1807" s="145" t="s">
        <v>3012</v>
      </c>
      <c r="E1807" s="145" t="s">
        <v>1022</v>
      </c>
      <c r="F1807" s="145" t="s">
        <v>71</v>
      </c>
      <c r="G1807" s="145">
        <v>5182082</v>
      </c>
      <c r="H1807" s="96">
        <v>44713</v>
      </c>
      <c r="I1807" s="145">
        <v>0.22389000000000001</v>
      </c>
      <c r="J1807" s="145"/>
      <c r="K1807" s="145"/>
      <c r="L1807" s="145"/>
      <c r="M1807" s="145"/>
      <c r="N1807" s="145"/>
      <c r="O1807" s="145"/>
      <c r="P1807" s="145"/>
      <c r="Q1807" s="145"/>
      <c r="R1807" s="145"/>
      <c r="S1807" s="145"/>
      <c r="T1807" s="146">
        <v>21265</v>
      </c>
      <c r="U1807" s="145"/>
      <c r="V1807" s="145" t="s">
        <v>563</v>
      </c>
      <c r="W1807" s="92" t="str">
        <f t="shared" si="122"/>
        <v>Bon Tarazona,Rafael</v>
      </c>
      <c r="X1807" s="95">
        <f t="shared" si="123"/>
        <v>6</v>
      </c>
      <c r="Y1807" s="95">
        <f t="shared" si="124"/>
        <v>2022</v>
      </c>
      <c r="Z1807" s="136" t="s">
        <v>266</v>
      </c>
      <c r="AA1807" t="str">
        <f>IF(Tabla1[[#This Row],[Kerma en aire acumulada (Gy)]]&gt;1,SUMIF(G:G,Tabla1[[#This Row],[SIP]],I:I)-Tabla1[[#This Row],[Kerma en aire acumulada (Gy)]],"")</f>
        <v/>
      </c>
    </row>
    <row r="1808" spans="3:27">
      <c r="C1808" s="94" t="str">
        <f t="shared" si="126"/>
        <v>Adulto</v>
      </c>
      <c r="D1808" s="145" t="s">
        <v>1262</v>
      </c>
      <c r="E1808" s="145" t="s">
        <v>1939</v>
      </c>
      <c r="F1808" s="145" t="s">
        <v>980</v>
      </c>
      <c r="G1808" s="145">
        <v>378881</v>
      </c>
      <c r="H1808" s="96">
        <v>44713</v>
      </c>
      <c r="I1808" s="168">
        <v>1.18767</v>
      </c>
      <c r="J1808" s="145"/>
      <c r="K1808" s="145"/>
      <c r="L1808" s="145"/>
      <c r="M1808" s="145"/>
      <c r="N1808" s="145"/>
      <c r="O1808" s="145"/>
      <c r="P1808" s="145"/>
      <c r="Q1808" s="145"/>
      <c r="R1808" s="145"/>
      <c r="S1808" s="145"/>
      <c r="T1808" s="146">
        <v>17128</v>
      </c>
      <c r="U1808" s="145"/>
      <c r="V1808" s="145" t="s">
        <v>563</v>
      </c>
      <c r="W1808" s="92" t="str">
        <f t="shared" si="122"/>
        <v>Diaz Morote,Victor Manuel</v>
      </c>
      <c r="X1808" s="95">
        <f t="shared" si="123"/>
        <v>6</v>
      </c>
      <c r="Y1808" s="95">
        <f t="shared" si="124"/>
        <v>2022</v>
      </c>
      <c r="Z1808" s="136" t="s">
        <v>266</v>
      </c>
      <c r="AA1808">
        <f>IF(Tabla1[[#This Row],[Kerma en aire acumulada (Gy)]]&gt;1,SUMIF(G:G,Tabla1[[#This Row],[SIP]],I:I)-Tabla1[[#This Row],[Kerma en aire acumulada (Gy)]],"")</f>
        <v>0</v>
      </c>
    </row>
    <row r="1809" spans="3:27">
      <c r="C1809" s="94" t="str">
        <f t="shared" si="126"/>
        <v>Adulto</v>
      </c>
      <c r="D1809" s="145" t="s">
        <v>604</v>
      </c>
      <c r="E1809" s="145" t="s">
        <v>152</v>
      </c>
      <c r="F1809" s="145" t="s">
        <v>1946</v>
      </c>
      <c r="G1809" s="145">
        <v>2253322</v>
      </c>
      <c r="H1809" s="96">
        <v>44713</v>
      </c>
      <c r="I1809" s="145">
        <v>0.69572000000000001</v>
      </c>
      <c r="J1809" s="145"/>
      <c r="K1809" s="145"/>
      <c r="L1809" s="145"/>
      <c r="M1809" s="145"/>
      <c r="N1809" s="145"/>
      <c r="O1809" s="145"/>
      <c r="P1809" s="145"/>
      <c r="Q1809" s="145"/>
      <c r="R1809" s="145"/>
      <c r="S1809" s="145"/>
      <c r="T1809" s="146">
        <v>18175</v>
      </c>
      <c r="U1809" s="145"/>
      <c r="V1809" s="145" t="s">
        <v>563</v>
      </c>
      <c r="W1809" s="92" t="str">
        <f t="shared" si="122"/>
        <v>Esteve Vidal,Joaquin</v>
      </c>
      <c r="X1809" s="95">
        <f t="shared" si="123"/>
        <v>6</v>
      </c>
      <c r="Y1809" s="95">
        <f t="shared" si="124"/>
        <v>2022</v>
      </c>
      <c r="Z1809" s="136" t="s">
        <v>266</v>
      </c>
      <c r="AA1809" t="str">
        <f>IF(Tabla1[[#This Row],[Kerma en aire acumulada (Gy)]]&gt;1,SUMIF(G:G,Tabla1[[#This Row],[SIP]],I:I)-Tabla1[[#This Row],[Kerma en aire acumulada (Gy)]],"")</f>
        <v/>
      </c>
    </row>
    <row r="1810" spans="3:27">
      <c r="C1810" s="94" t="str">
        <f t="shared" si="126"/>
        <v>Adulto</v>
      </c>
      <c r="D1810" s="145" t="s">
        <v>3011</v>
      </c>
      <c r="E1810" s="145"/>
      <c r="F1810" s="145" t="s">
        <v>3010</v>
      </c>
      <c r="G1810" s="145">
        <v>4952549</v>
      </c>
      <c r="H1810" s="96">
        <v>44713</v>
      </c>
      <c r="I1810" s="145">
        <v>0.13211999999999999</v>
      </c>
      <c r="J1810" s="145"/>
      <c r="K1810" s="145"/>
      <c r="L1810" s="145"/>
      <c r="M1810" s="145"/>
      <c r="N1810" s="145"/>
      <c r="O1810" s="145"/>
      <c r="P1810" s="145"/>
      <c r="Q1810" s="145"/>
      <c r="R1810" s="145"/>
      <c r="S1810" s="145"/>
      <c r="T1810" s="146">
        <v>23565</v>
      </c>
      <c r="U1810" s="145"/>
      <c r="V1810" s="145" t="s">
        <v>563</v>
      </c>
      <c r="W1810" s="92" t="str">
        <f t="shared" si="122"/>
        <v>Daoud ,Mohamed</v>
      </c>
      <c r="X1810" s="95">
        <f t="shared" si="123"/>
        <v>6</v>
      </c>
      <c r="Y1810" s="95">
        <f t="shared" si="124"/>
        <v>2022</v>
      </c>
      <c r="Z1810" s="136" t="s">
        <v>266</v>
      </c>
      <c r="AA1810" t="str">
        <f>IF(Tabla1[[#This Row],[Kerma en aire acumulada (Gy)]]&gt;1,SUMIF(G:G,Tabla1[[#This Row],[SIP]],I:I)-Tabla1[[#This Row],[Kerma en aire acumulada (Gy)]],"")</f>
        <v/>
      </c>
    </row>
    <row r="1811" spans="3:27">
      <c r="C1811" s="94" t="str">
        <f t="shared" si="126"/>
        <v>Adulto</v>
      </c>
      <c r="D1811" s="145" t="s">
        <v>2506</v>
      </c>
      <c r="E1811" s="145" t="s">
        <v>3009</v>
      </c>
      <c r="F1811" s="145" t="s">
        <v>2888</v>
      </c>
      <c r="G1811" s="145">
        <v>2417884</v>
      </c>
      <c r="H1811" s="96">
        <v>44713</v>
      </c>
      <c r="I1811" s="145">
        <v>0.26584000000000002</v>
      </c>
      <c r="J1811" s="145"/>
      <c r="K1811" s="145"/>
      <c r="L1811" s="145"/>
      <c r="M1811" s="145"/>
      <c r="N1811" s="145"/>
      <c r="O1811" s="145"/>
      <c r="P1811" s="145"/>
      <c r="Q1811" s="145"/>
      <c r="R1811" s="145"/>
      <c r="S1811" s="145"/>
      <c r="T1811" s="146">
        <v>20258</v>
      </c>
      <c r="U1811" s="145"/>
      <c r="V1811" s="145" t="s">
        <v>563</v>
      </c>
      <c r="W1811" s="92" t="str">
        <f t="shared" si="122"/>
        <v>Solaz Duchenne,Rosa Maria</v>
      </c>
      <c r="X1811" s="95">
        <f t="shared" si="123"/>
        <v>6</v>
      </c>
      <c r="Y1811" s="95">
        <f t="shared" si="124"/>
        <v>2022</v>
      </c>
      <c r="Z1811" s="136" t="s">
        <v>266</v>
      </c>
      <c r="AA1811" t="str">
        <f>IF(Tabla1[[#This Row],[Kerma en aire acumulada (Gy)]]&gt;1,SUMIF(G:G,Tabla1[[#This Row],[SIP]],I:I)-Tabla1[[#This Row],[Kerma en aire acumulada (Gy)]],"")</f>
        <v/>
      </c>
    </row>
    <row r="1812" spans="3:27">
      <c r="C1812" s="94" t="str">
        <f t="shared" si="126"/>
        <v>Adulto</v>
      </c>
      <c r="D1812" s="145" t="s">
        <v>2982</v>
      </c>
      <c r="E1812" s="145" t="s">
        <v>2983</v>
      </c>
      <c r="F1812" s="145" t="s">
        <v>68</v>
      </c>
      <c r="G1812" s="145">
        <v>4563506</v>
      </c>
      <c r="H1812" s="96">
        <v>44713</v>
      </c>
      <c r="I1812" s="168">
        <v>1.42255</v>
      </c>
      <c r="J1812" s="145"/>
      <c r="K1812" s="145"/>
      <c r="L1812" s="145"/>
      <c r="M1812" s="145"/>
      <c r="N1812" s="145"/>
      <c r="O1812" s="145"/>
      <c r="P1812" s="145"/>
      <c r="Q1812" s="145"/>
      <c r="R1812" s="145"/>
      <c r="S1812" s="145"/>
      <c r="T1812" s="146">
        <v>11559</v>
      </c>
      <c r="U1812" s="145"/>
      <c r="V1812" s="145" t="s">
        <v>563</v>
      </c>
      <c r="W1812" s="92" t="str">
        <f t="shared" si="122"/>
        <v>Casanova Civera,Juan</v>
      </c>
      <c r="X1812" s="95">
        <f t="shared" si="123"/>
        <v>6</v>
      </c>
      <c r="Y1812" s="95">
        <f t="shared" si="124"/>
        <v>2022</v>
      </c>
      <c r="Z1812" s="136" t="s">
        <v>266</v>
      </c>
      <c r="AA1812">
        <f>IF(Tabla1[[#This Row],[Kerma en aire acumulada (Gy)]]&gt;1,SUMIF(G:G,Tabla1[[#This Row],[SIP]],I:I)-Tabla1[[#This Row],[Kerma en aire acumulada (Gy)]],"")</f>
        <v>0.28821000000000008</v>
      </c>
    </row>
    <row r="1813" spans="3:27">
      <c r="C1813" s="94" t="str">
        <f t="shared" si="126"/>
        <v>Adulto</v>
      </c>
      <c r="D1813" s="145" t="s">
        <v>3008</v>
      </c>
      <c r="E1813" s="145" t="s">
        <v>337</v>
      </c>
      <c r="F1813" s="145" t="s">
        <v>3007</v>
      </c>
      <c r="G1813" s="145">
        <v>2076555</v>
      </c>
      <c r="H1813" s="96">
        <v>44713</v>
      </c>
      <c r="I1813" s="145">
        <v>0.41121000000000002</v>
      </c>
      <c r="J1813" s="145"/>
      <c r="K1813" s="145"/>
      <c r="L1813" s="145"/>
      <c r="M1813" s="145"/>
      <c r="N1813" s="145"/>
      <c r="O1813" s="145"/>
      <c r="P1813" s="145"/>
      <c r="Q1813" s="145"/>
      <c r="R1813" s="145"/>
      <c r="S1813" s="145"/>
      <c r="T1813" s="146">
        <v>18633</v>
      </c>
      <c r="U1813" s="145"/>
      <c r="V1813" s="145" t="s">
        <v>563</v>
      </c>
      <c r="W1813" s="92" t="str">
        <f t="shared" si="122"/>
        <v>Sandemetrio Garrido,Adelia</v>
      </c>
      <c r="X1813" s="95">
        <f t="shared" si="123"/>
        <v>6</v>
      </c>
      <c r="Y1813" s="95">
        <f t="shared" si="124"/>
        <v>2022</v>
      </c>
      <c r="Z1813" s="136" t="s">
        <v>266</v>
      </c>
      <c r="AA1813" t="str">
        <f>IF(Tabla1[[#This Row],[Kerma en aire acumulada (Gy)]]&gt;1,SUMIF(G:G,Tabla1[[#This Row],[SIP]],I:I)-Tabla1[[#This Row],[Kerma en aire acumulada (Gy)]],"")</f>
        <v/>
      </c>
    </row>
    <row r="1814" spans="3:27">
      <c r="C1814" s="94" t="str">
        <f t="shared" si="126"/>
        <v>Adulto</v>
      </c>
      <c r="D1814" s="145" t="s">
        <v>2087</v>
      </c>
      <c r="E1814" s="145" t="s">
        <v>2379</v>
      </c>
      <c r="F1814" s="145" t="s">
        <v>1213</v>
      </c>
      <c r="G1814" s="145">
        <v>2076555</v>
      </c>
      <c r="H1814" s="96">
        <v>44713</v>
      </c>
      <c r="I1814" s="145">
        <v>0.20150999999999999</v>
      </c>
      <c r="J1814" s="145"/>
      <c r="K1814" s="145"/>
      <c r="L1814" s="145"/>
      <c r="M1814" s="145"/>
      <c r="N1814" s="145"/>
      <c r="O1814" s="145"/>
      <c r="P1814" s="145"/>
      <c r="Q1814" s="145"/>
      <c r="R1814" s="145"/>
      <c r="S1814" s="145"/>
      <c r="T1814" s="146">
        <v>26331</v>
      </c>
      <c r="U1814" s="145"/>
      <c r="V1814" s="145" t="s">
        <v>563</v>
      </c>
      <c r="W1814" s="92" t="str">
        <f t="shared" si="122"/>
        <v>Hidalgo Porras,Maria Isabel</v>
      </c>
      <c r="X1814" s="95">
        <f t="shared" si="123"/>
        <v>6</v>
      </c>
      <c r="Y1814" s="95">
        <f t="shared" si="124"/>
        <v>2022</v>
      </c>
      <c r="Z1814" s="136" t="s">
        <v>266</v>
      </c>
      <c r="AA1814" t="str">
        <f>IF(Tabla1[[#This Row],[Kerma en aire acumulada (Gy)]]&gt;1,SUMIF(G:G,Tabla1[[#This Row],[SIP]],I:I)-Tabla1[[#This Row],[Kerma en aire acumulada (Gy)]],"")</f>
        <v/>
      </c>
    </row>
    <row r="1815" spans="3:27">
      <c r="C1815" s="94" t="str">
        <f t="shared" si="126"/>
        <v>Adulto</v>
      </c>
      <c r="D1815" s="145" t="s">
        <v>753</v>
      </c>
      <c r="E1815" s="145" t="s">
        <v>754</v>
      </c>
      <c r="F1815" s="145" t="s">
        <v>2405</v>
      </c>
      <c r="G1815" s="145">
        <v>1906942</v>
      </c>
      <c r="H1815" s="96">
        <v>44713</v>
      </c>
      <c r="I1815" s="145">
        <v>8.4559999999999996E-2</v>
      </c>
      <c r="J1815" s="145"/>
      <c r="K1815" s="145"/>
      <c r="L1815" s="145"/>
      <c r="M1815" s="145"/>
      <c r="N1815" s="145"/>
      <c r="O1815" s="145"/>
      <c r="P1815" s="145"/>
      <c r="Q1815" s="145"/>
      <c r="R1815" s="145"/>
      <c r="S1815" s="145"/>
      <c r="T1815" s="146">
        <v>28482</v>
      </c>
      <c r="U1815" s="145"/>
      <c r="V1815" s="145" t="s">
        <v>650</v>
      </c>
      <c r="W1815" s="92" t="str">
        <f t="shared" si="122"/>
        <v>Morell Capellino,Jose Antonio</v>
      </c>
      <c r="X1815" s="95">
        <f t="shared" si="123"/>
        <v>6</v>
      </c>
      <c r="Y1815" s="95">
        <f t="shared" si="124"/>
        <v>2022</v>
      </c>
      <c r="Z1815" s="136" t="s">
        <v>265</v>
      </c>
      <c r="AA1815" t="str">
        <f>IF(Tabla1[[#This Row],[Kerma en aire acumulada (Gy)]]&gt;1,SUMIF(G:G,Tabla1[[#This Row],[SIP]],I:I)-Tabla1[[#This Row],[Kerma en aire acumulada (Gy)]],"")</f>
        <v/>
      </c>
    </row>
    <row r="1816" spans="3:27">
      <c r="C1816" s="94" t="str">
        <f t="shared" si="126"/>
        <v>Adulto</v>
      </c>
      <c r="D1816" s="145" t="s">
        <v>353</v>
      </c>
      <c r="E1816" s="145" t="s">
        <v>1657</v>
      </c>
      <c r="F1816" s="145" t="s">
        <v>2082</v>
      </c>
      <c r="G1816" s="145">
        <v>2329294</v>
      </c>
      <c r="H1816" s="96">
        <v>44713</v>
      </c>
      <c r="I1816" s="145">
        <v>6.0650000000000003E-2</v>
      </c>
      <c r="J1816" s="145"/>
      <c r="K1816" s="145"/>
      <c r="L1816" s="145"/>
      <c r="M1816" s="145"/>
      <c r="N1816" s="145"/>
      <c r="O1816" s="145"/>
      <c r="P1816" s="145"/>
      <c r="Q1816" s="145"/>
      <c r="R1816" s="145"/>
      <c r="S1816" s="145"/>
      <c r="T1816" s="146">
        <v>21555</v>
      </c>
      <c r="U1816" s="145"/>
      <c r="V1816" s="145" t="s">
        <v>1120</v>
      </c>
      <c r="W1816" s="92" t="str">
        <f t="shared" si="122"/>
        <v>Muñoz Pareja,Maria Jesus</v>
      </c>
      <c r="X1816" s="95">
        <f t="shared" si="123"/>
        <v>6</v>
      </c>
      <c r="Y1816" s="95">
        <f t="shared" si="124"/>
        <v>2022</v>
      </c>
      <c r="Z1816" s="136" t="s">
        <v>265</v>
      </c>
      <c r="AA1816" t="str">
        <f>IF(Tabla1[[#This Row],[Kerma en aire acumulada (Gy)]]&gt;1,SUMIF(G:G,Tabla1[[#This Row],[SIP]],I:I)-Tabla1[[#This Row],[Kerma en aire acumulada (Gy)]],"")</f>
        <v/>
      </c>
    </row>
    <row r="1817" spans="3:27">
      <c r="C1817" s="94" t="str">
        <f t="shared" si="126"/>
        <v>Adulto</v>
      </c>
      <c r="D1817" s="145" t="s">
        <v>332</v>
      </c>
      <c r="E1817" s="145" t="s">
        <v>2638</v>
      </c>
      <c r="F1817" s="145" t="s">
        <v>1889</v>
      </c>
      <c r="G1817" s="145">
        <v>2616014</v>
      </c>
      <c r="H1817" s="96">
        <v>44713</v>
      </c>
      <c r="I1817" s="145">
        <f>3.61/1000</f>
        <v>3.6099999999999999E-3</v>
      </c>
      <c r="J1817" s="145"/>
      <c r="K1817" s="145"/>
      <c r="L1817" s="145"/>
      <c r="M1817" s="145"/>
      <c r="N1817" s="145"/>
      <c r="O1817" s="145"/>
      <c r="P1817" s="145"/>
      <c r="Q1817" s="145"/>
      <c r="R1817" s="145"/>
      <c r="S1817" s="145"/>
      <c r="T1817" s="146">
        <v>24890</v>
      </c>
      <c r="U1817" s="145"/>
      <c r="V1817" s="145" t="s">
        <v>1304</v>
      </c>
      <c r="W1817" s="92" t="str">
        <f t="shared" si="122"/>
        <v>Albert Ureña,Miguel Angel</v>
      </c>
      <c r="X1817" s="95">
        <f t="shared" si="123"/>
        <v>6</v>
      </c>
      <c r="Y1817" s="95">
        <f t="shared" si="124"/>
        <v>2022</v>
      </c>
      <c r="Z1817" s="136" t="s">
        <v>265</v>
      </c>
      <c r="AA1817" t="str">
        <f>IF(Tabla1[[#This Row],[Kerma en aire acumulada (Gy)]]&gt;1,SUMIF(G:G,Tabla1[[#This Row],[SIP]],I:I)-Tabla1[[#This Row],[Kerma en aire acumulada (Gy)]],"")</f>
        <v/>
      </c>
    </row>
    <row r="1818" spans="3:27">
      <c r="C1818" s="94" t="str">
        <f t="shared" si="126"/>
        <v>Adulto</v>
      </c>
      <c r="D1818" s="145" t="s">
        <v>3006</v>
      </c>
      <c r="E1818" s="145" t="s">
        <v>15</v>
      </c>
      <c r="F1818" s="145" t="s">
        <v>2385</v>
      </c>
      <c r="G1818" s="145">
        <v>2616014</v>
      </c>
      <c r="H1818" s="96">
        <v>44713</v>
      </c>
      <c r="I1818" s="145">
        <v>9.8180000000000003E-2</v>
      </c>
      <c r="J1818" s="145"/>
      <c r="K1818" s="145"/>
      <c r="L1818" s="145"/>
      <c r="M1818" s="145"/>
      <c r="N1818" s="145"/>
      <c r="O1818" s="145"/>
      <c r="P1818" s="145"/>
      <c r="Q1818" s="145"/>
      <c r="R1818" s="145"/>
      <c r="S1818" s="145"/>
      <c r="T1818" s="146">
        <v>22516</v>
      </c>
      <c r="U1818" s="145"/>
      <c r="V1818" s="145" t="s">
        <v>2995</v>
      </c>
      <c r="W1818" s="92" t="str">
        <f t="shared" si="122"/>
        <v>Pagan Moreno,M Jesus</v>
      </c>
      <c r="X1818" s="95">
        <f t="shared" si="123"/>
        <v>6</v>
      </c>
      <c r="Y1818" s="95">
        <f t="shared" si="124"/>
        <v>2022</v>
      </c>
      <c r="Z1818" s="136" t="s">
        <v>265</v>
      </c>
      <c r="AA1818" t="str">
        <f>IF(Tabla1[[#This Row],[Kerma en aire acumulada (Gy)]]&gt;1,SUMIF(G:G,Tabla1[[#This Row],[SIP]],I:I)-Tabla1[[#This Row],[Kerma en aire acumulada (Gy)]],"")</f>
        <v/>
      </c>
    </row>
    <row r="1819" spans="3:27">
      <c r="C1819" s="94" t="str">
        <f t="shared" si="126"/>
        <v>Adulto</v>
      </c>
      <c r="D1819" s="145" t="s">
        <v>3030</v>
      </c>
      <c r="E1819" s="145"/>
      <c r="F1819" s="145" t="s">
        <v>3029</v>
      </c>
      <c r="G1819" s="145">
        <v>10483935</v>
      </c>
      <c r="H1819" s="146">
        <v>44714</v>
      </c>
      <c r="I1819" s="145">
        <v>1.9300000000000001E-3</v>
      </c>
      <c r="J1819" s="145"/>
      <c r="K1819" s="145"/>
      <c r="L1819" s="145"/>
      <c r="M1819" s="145"/>
      <c r="N1819" s="145"/>
      <c r="O1819" s="145"/>
      <c r="P1819" s="145"/>
      <c r="Q1819" s="145"/>
      <c r="R1819" s="145"/>
      <c r="S1819" s="145"/>
      <c r="T1819" s="146">
        <v>25067</v>
      </c>
      <c r="U1819" s="145"/>
      <c r="V1819" s="145" t="s">
        <v>3031</v>
      </c>
      <c r="W1819" s="92" t="str">
        <f t="shared" si="122"/>
        <v>Phlangpraphan ,Siwat</v>
      </c>
      <c r="X1819" s="95">
        <f t="shared" si="123"/>
        <v>6</v>
      </c>
      <c r="Y1819" s="95">
        <f t="shared" si="124"/>
        <v>2022</v>
      </c>
      <c r="Z1819" s="136" t="s">
        <v>2238</v>
      </c>
      <c r="AA1819" t="str">
        <f>IF(Tabla1[[#This Row],[Kerma en aire acumulada (Gy)]]&gt;1,SUMIF(G:G,Tabla1[[#This Row],[SIP]],I:I)-Tabla1[[#This Row],[Kerma en aire acumulada (Gy)]],"")</f>
        <v/>
      </c>
    </row>
    <row r="1820" spans="3:27">
      <c r="C1820" s="94" t="str">
        <f t="shared" si="126"/>
        <v>Adulto</v>
      </c>
      <c r="D1820" s="145" t="s">
        <v>3027</v>
      </c>
      <c r="E1820" s="145" t="s">
        <v>3028</v>
      </c>
      <c r="F1820" s="145" t="s">
        <v>356</v>
      </c>
      <c r="G1820" s="145">
        <v>3186727</v>
      </c>
      <c r="H1820" s="146">
        <v>44714</v>
      </c>
      <c r="I1820" s="145">
        <v>6.5100000000000002E-3</v>
      </c>
      <c r="J1820" s="145"/>
      <c r="K1820" s="145"/>
      <c r="L1820" s="145"/>
      <c r="M1820" s="145"/>
      <c r="N1820" s="145"/>
      <c r="O1820" s="145"/>
      <c r="P1820" s="145"/>
      <c r="Q1820" s="145"/>
      <c r="R1820" s="145"/>
      <c r="S1820" s="145"/>
      <c r="T1820" s="146">
        <v>16090</v>
      </c>
      <c r="U1820" s="145"/>
      <c r="V1820" s="145" t="s">
        <v>2962</v>
      </c>
      <c r="W1820" s="92" t="str">
        <f t="shared" si="122"/>
        <v>Mesado Albiñana,Manuel</v>
      </c>
      <c r="X1820" s="95">
        <f t="shared" si="123"/>
        <v>6</v>
      </c>
      <c r="Y1820" s="95">
        <f t="shared" si="124"/>
        <v>2022</v>
      </c>
      <c r="Z1820" s="136" t="s">
        <v>2238</v>
      </c>
      <c r="AA1820" t="str">
        <f>IF(Tabla1[[#This Row],[Kerma en aire acumulada (Gy)]]&gt;1,SUMIF(G:G,Tabla1[[#This Row],[SIP]],I:I)-Tabla1[[#This Row],[Kerma en aire acumulada (Gy)]],"")</f>
        <v/>
      </c>
    </row>
    <row r="1821" spans="3:27">
      <c r="C1821" s="94" t="str">
        <f t="shared" si="126"/>
        <v>Adulto</v>
      </c>
      <c r="D1821" s="145" t="s">
        <v>1001</v>
      </c>
      <c r="E1821" s="145" t="s">
        <v>3026</v>
      </c>
      <c r="F1821" s="145" t="s">
        <v>803</v>
      </c>
      <c r="G1821" s="145">
        <v>6097800</v>
      </c>
      <c r="H1821" s="96">
        <v>44714</v>
      </c>
      <c r="I1821" s="145">
        <v>7.5609999999999997E-2</v>
      </c>
      <c r="J1821" s="145"/>
      <c r="K1821" s="145"/>
      <c r="L1821" s="145"/>
      <c r="M1821" s="145"/>
      <c r="N1821" s="145"/>
      <c r="O1821" s="145"/>
      <c r="P1821" s="145"/>
      <c r="Q1821" s="145"/>
      <c r="R1821" s="145"/>
      <c r="S1821" s="145"/>
      <c r="T1821" s="146">
        <v>32699</v>
      </c>
      <c r="U1821" s="145"/>
      <c r="V1821" s="145" t="s">
        <v>2408</v>
      </c>
      <c r="W1821" s="92" t="str">
        <f t="shared" si="122"/>
        <v>Perez Monzon,Inmaculada</v>
      </c>
      <c r="X1821" s="95">
        <f t="shared" si="123"/>
        <v>6</v>
      </c>
      <c r="Y1821" s="95">
        <f t="shared" si="124"/>
        <v>2022</v>
      </c>
      <c r="Z1821" s="136" t="s">
        <v>2238</v>
      </c>
      <c r="AA1821" t="str">
        <f>IF(Tabla1[[#This Row],[Kerma en aire acumulada (Gy)]]&gt;1,SUMIF(G:G,Tabla1[[#This Row],[SIP]],I:I)-Tabla1[[#This Row],[Kerma en aire acumulada (Gy)]],"")</f>
        <v/>
      </c>
    </row>
    <row r="1822" spans="3:27">
      <c r="C1822" s="94" t="str">
        <f t="shared" si="126"/>
        <v>Adulto</v>
      </c>
      <c r="D1822" s="145" t="s">
        <v>3025</v>
      </c>
      <c r="E1822" s="145" t="s">
        <v>332</v>
      </c>
      <c r="F1822" s="145" t="s">
        <v>1658</v>
      </c>
      <c r="G1822" s="145">
        <v>4701682</v>
      </c>
      <c r="H1822" s="96">
        <v>44714</v>
      </c>
      <c r="I1822" s="145">
        <v>6.2839999999999993E-2</v>
      </c>
      <c r="J1822" s="145"/>
      <c r="K1822" s="145"/>
      <c r="L1822" s="145"/>
      <c r="M1822" s="145"/>
      <c r="N1822" s="145"/>
      <c r="O1822" s="145"/>
      <c r="P1822" s="145"/>
      <c r="Q1822" s="145"/>
      <c r="R1822" s="145"/>
      <c r="S1822" s="145"/>
      <c r="T1822" s="146">
        <v>21320</v>
      </c>
      <c r="U1822" s="145"/>
      <c r="V1822" s="145" t="s">
        <v>2383</v>
      </c>
      <c r="W1822" s="92" t="str">
        <f t="shared" si="122"/>
        <v>Genis Albert,Alfredo</v>
      </c>
      <c r="X1822" s="95">
        <f t="shared" si="123"/>
        <v>6</v>
      </c>
      <c r="Y1822" s="95">
        <f t="shared" si="124"/>
        <v>2022</v>
      </c>
      <c r="Z1822" s="136" t="s">
        <v>266</v>
      </c>
      <c r="AA1822" t="str">
        <f>IF(Tabla1[[#This Row],[Kerma en aire acumulada (Gy)]]&gt;1,SUMIF(G:G,Tabla1[[#This Row],[SIP]],I:I)-Tabla1[[#This Row],[Kerma en aire acumulada (Gy)]],"")</f>
        <v/>
      </c>
    </row>
    <row r="1823" spans="3:27">
      <c r="C1823" s="94" t="str">
        <f t="shared" si="126"/>
        <v>Adulto</v>
      </c>
      <c r="D1823" s="145" t="s">
        <v>2818</v>
      </c>
      <c r="E1823" s="145" t="s">
        <v>22</v>
      </c>
      <c r="F1823" s="145" t="s">
        <v>967</v>
      </c>
      <c r="G1823" s="145">
        <v>2845641</v>
      </c>
      <c r="H1823" s="96">
        <v>44714</v>
      </c>
      <c r="I1823" s="168">
        <v>2.0081500000000001</v>
      </c>
      <c r="J1823" s="145"/>
      <c r="K1823" s="145"/>
      <c r="L1823" s="145"/>
      <c r="M1823" s="145"/>
      <c r="N1823" s="145"/>
      <c r="O1823" s="145"/>
      <c r="P1823" s="145"/>
      <c r="Q1823" s="145"/>
      <c r="R1823" s="145"/>
      <c r="S1823" s="145"/>
      <c r="T1823" s="146">
        <v>27042</v>
      </c>
      <c r="U1823" s="145"/>
      <c r="V1823" s="145" t="s">
        <v>2383</v>
      </c>
      <c r="W1823" s="92" t="str">
        <f t="shared" si="122"/>
        <v>Fuentes Ruiz,Jose Manuel</v>
      </c>
      <c r="X1823" s="95">
        <f t="shared" si="123"/>
        <v>6</v>
      </c>
      <c r="Y1823" s="95">
        <f t="shared" si="124"/>
        <v>2022</v>
      </c>
      <c r="Z1823" s="136" t="s">
        <v>266</v>
      </c>
      <c r="AA1823">
        <f>IF(Tabla1[[#This Row],[Kerma en aire acumulada (Gy)]]&gt;1,SUMIF(G:G,Tabla1[[#This Row],[SIP]],I:I)-Tabla1[[#This Row],[Kerma en aire acumulada (Gy)]],"")</f>
        <v>0</v>
      </c>
    </row>
    <row r="1824" spans="3:27">
      <c r="C1824" s="94" t="str">
        <f t="shared" si="126"/>
        <v>Adulto</v>
      </c>
      <c r="D1824" s="145" t="s">
        <v>3024</v>
      </c>
      <c r="E1824" s="145" t="s">
        <v>1781</v>
      </c>
      <c r="F1824" s="145" t="s">
        <v>635</v>
      </c>
      <c r="G1824" s="145">
        <v>3005144</v>
      </c>
      <c r="H1824" s="96">
        <v>44714</v>
      </c>
      <c r="I1824" s="145">
        <v>0.52002000000000004</v>
      </c>
      <c r="J1824" s="145"/>
      <c r="K1824" s="145"/>
      <c r="L1824" s="145"/>
      <c r="M1824" s="145"/>
      <c r="N1824" s="145"/>
      <c r="O1824" s="145"/>
      <c r="P1824" s="145"/>
      <c r="Q1824" s="145"/>
      <c r="R1824" s="145"/>
      <c r="S1824" s="145"/>
      <c r="T1824" s="146">
        <v>15761</v>
      </c>
      <c r="U1824" s="145"/>
      <c r="V1824" s="145" t="s">
        <v>2383</v>
      </c>
      <c r="W1824" s="92" t="str">
        <f t="shared" si="122"/>
        <v>Pino Leon,Enrique</v>
      </c>
      <c r="X1824" s="95">
        <f t="shared" si="123"/>
        <v>6</v>
      </c>
      <c r="Y1824" s="95">
        <f t="shared" si="124"/>
        <v>2022</v>
      </c>
      <c r="Z1824" s="136" t="s">
        <v>266</v>
      </c>
      <c r="AA1824" t="str">
        <f>IF(Tabla1[[#This Row],[Kerma en aire acumulada (Gy)]]&gt;1,SUMIF(G:G,Tabla1[[#This Row],[SIP]],I:I)-Tabla1[[#This Row],[Kerma en aire acumulada (Gy)]],"")</f>
        <v/>
      </c>
    </row>
    <row r="1825" spans="3:27">
      <c r="C1825" s="94" t="str">
        <f t="shared" si="126"/>
        <v>Adulto</v>
      </c>
      <c r="D1825" s="145" t="s">
        <v>3023</v>
      </c>
      <c r="E1825" s="145" t="s">
        <v>2111</v>
      </c>
      <c r="F1825" s="145" t="s">
        <v>1990</v>
      </c>
      <c r="G1825" s="145">
        <v>2991127</v>
      </c>
      <c r="H1825" s="96">
        <v>44714</v>
      </c>
      <c r="I1825" s="145">
        <v>3.0030000000000001E-2</v>
      </c>
      <c r="J1825" s="145"/>
      <c r="K1825" s="145"/>
      <c r="L1825" s="145"/>
      <c r="M1825" s="145"/>
      <c r="N1825" s="145"/>
      <c r="O1825" s="145"/>
      <c r="P1825" s="145"/>
      <c r="Q1825" s="145"/>
      <c r="R1825" s="145"/>
      <c r="S1825" s="145"/>
      <c r="T1825" s="146">
        <v>25106</v>
      </c>
      <c r="U1825" s="145"/>
      <c r="V1825" s="145" t="s">
        <v>2383</v>
      </c>
      <c r="W1825" s="92" t="str">
        <f t="shared" si="122"/>
        <v>Salavert Guillot,Jose Ramon</v>
      </c>
      <c r="X1825" s="95">
        <f t="shared" si="123"/>
        <v>6</v>
      </c>
      <c r="Y1825" s="95">
        <f t="shared" si="124"/>
        <v>2022</v>
      </c>
      <c r="Z1825" s="136" t="s">
        <v>266</v>
      </c>
      <c r="AA1825" t="str">
        <f>IF(Tabla1[[#This Row],[Kerma en aire acumulada (Gy)]]&gt;1,SUMIF(G:G,Tabla1[[#This Row],[SIP]],I:I)-Tabla1[[#This Row],[Kerma en aire acumulada (Gy)]],"")</f>
        <v/>
      </c>
    </row>
    <row r="1826" spans="3:27">
      <c r="C1826" s="94" t="str">
        <f t="shared" si="126"/>
        <v>Adulto</v>
      </c>
      <c r="D1826" s="145" t="s">
        <v>2485</v>
      </c>
      <c r="E1826" s="145" t="s">
        <v>3022</v>
      </c>
      <c r="F1826" s="145" t="s">
        <v>3021</v>
      </c>
      <c r="G1826" s="145">
        <v>1839576</v>
      </c>
      <c r="H1826" s="96">
        <v>44714</v>
      </c>
      <c r="I1826" s="168">
        <v>1.0090300000000001</v>
      </c>
      <c r="J1826" s="145"/>
      <c r="K1826" s="145"/>
      <c r="L1826" s="145"/>
      <c r="M1826" s="145"/>
      <c r="N1826" s="145"/>
      <c r="O1826" s="145"/>
      <c r="P1826" s="145"/>
      <c r="Q1826" s="145"/>
      <c r="R1826" s="145"/>
      <c r="S1826" s="145"/>
      <c r="T1826" s="146">
        <v>19788</v>
      </c>
      <c r="U1826" s="145"/>
      <c r="V1826" s="145" t="s">
        <v>2383</v>
      </c>
      <c r="W1826" s="92" t="str">
        <f t="shared" si="122"/>
        <v>Romaguera Ambrosio,Vicente Carlos</v>
      </c>
      <c r="X1826" s="95">
        <f t="shared" si="123"/>
        <v>6</v>
      </c>
      <c r="Y1826" s="95">
        <f t="shared" si="124"/>
        <v>2022</v>
      </c>
      <c r="Z1826" s="136" t="s">
        <v>266</v>
      </c>
      <c r="AA1826">
        <f>IF(Tabla1[[#This Row],[Kerma en aire acumulada (Gy)]]&gt;1,SUMIF(G:G,Tabla1[[#This Row],[SIP]],I:I)-Tabla1[[#This Row],[Kerma en aire acumulada (Gy)]],"")</f>
        <v>0</v>
      </c>
    </row>
    <row r="1827" spans="3:27">
      <c r="C1827" s="94" t="str">
        <f t="shared" si="126"/>
        <v>Adulto</v>
      </c>
      <c r="D1827" s="145" t="s">
        <v>3019</v>
      </c>
      <c r="E1827" s="145" t="s">
        <v>3020</v>
      </c>
      <c r="F1827" s="145" t="s">
        <v>88</v>
      </c>
      <c r="G1827" s="145">
        <v>2825883</v>
      </c>
      <c r="H1827" s="96">
        <v>44714</v>
      </c>
      <c r="I1827" s="145">
        <v>0.21007999999999999</v>
      </c>
      <c r="J1827" s="145"/>
      <c r="K1827" s="145"/>
      <c r="L1827" s="145"/>
      <c r="M1827" s="145"/>
      <c r="N1827" s="145"/>
      <c r="O1827" s="145"/>
      <c r="P1827" s="145"/>
      <c r="Q1827" s="145"/>
      <c r="R1827" s="145"/>
      <c r="S1827" s="145"/>
      <c r="T1827" s="146">
        <v>17185</v>
      </c>
      <c r="U1827" s="145"/>
      <c r="V1827" s="145" t="s">
        <v>2383</v>
      </c>
      <c r="W1827" s="92" t="str">
        <f t="shared" si="122"/>
        <v>Viguer Cuñat,Vicente</v>
      </c>
      <c r="X1827" s="95">
        <f t="shared" si="123"/>
        <v>6</v>
      </c>
      <c r="Y1827" s="95">
        <f t="shared" si="124"/>
        <v>2022</v>
      </c>
      <c r="Z1827" s="136" t="s">
        <v>266</v>
      </c>
      <c r="AA1827" t="str">
        <f>IF(Tabla1[[#This Row],[Kerma en aire acumulada (Gy)]]&gt;1,SUMIF(G:G,Tabla1[[#This Row],[SIP]],I:I)-Tabla1[[#This Row],[Kerma en aire acumulada (Gy)]],"")</f>
        <v/>
      </c>
    </row>
    <row r="1828" spans="3:27">
      <c r="C1828" s="94" t="str">
        <f t="shared" si="126"/>
        <v>Adulto</v>
      </c>
      <c r="D1828" s="145" t="s">
        <v>1288</v>
      </c>
      <c r="E1828" s="145" t="s">
        <v>966</v>
      </c>
      <c r="F1828" s="145" t="s">
        <v>1759</v>
      </c>
      <c r="G1828" s="145">
        <v>3173748</v>
      </c>
      <c r="H1828" s="96">
        <v>44714</v>
      </c>
      <c r="I1828" s="145">
        <v>0.17021</v>
      </c>
      <c r="J1828" s="145"/>
      <c r="K1828" s="145"/>
      <c r="L1828" s="145"/>
      <c r="M1828" s="145"/>
      <c r="N1828" s="145"/>
      <c r="O1828" s="145"/>
      <c r="P1828" s="145"/>
      <c r="Q1828" s="145"/>
      <c r="R1828" s="145"/>
      <c r="S1828" s="145"/>
      <c r="T1828" s="146">
        <v>13360</v>
      </c>
      <c r="U1828" s="145"/>
      <c r="V1828" s="145" t="s">
        <v>2383</v>
      </c>
      <c r="W1828" s="92" t="str">
        <f t="shared" si="122"/>
        <v>Castello Marco,Martin</v>
      </c>
      <c r="X1828" s="95">
        <f t="shared" si="123"/>
        <v>6</v>
      </c>
      <c r="Y1828" s="95">
        <f t="shared" si="124"/>
        <v>2022</v>
      </c>
      <c r="Z1828" s="136" t="s">
        <v>266</v>
      </c>
      <c r="AA1828" t="str">
        <f>IF(Tabla1[[#This Row],[Kerma en aire acumulada (Gy)]]&gt;1,SUMIF(G:G,Tabla1[[#This Row],[SIP]],I:I)-Tabla1[[#This Row],[Kerma en aire acumulada (Gy)]],"")</f>
        <v/>
      </c>
    </row>
    <row r="1829" spans="3:27">
      <c r="C1829" s="94" t="str">
        <f t="shared" si="126"/>
        <v>Adulto</v>
      </c>
      <c r="D1829" s="145" t="s">
        <v>960</v>
      </c>
      <c r="E1829" s="145" t="s">
        <v>288</v>
      </c>
      <c r="F1829" s="145" t="s">
        <v>991</v>
      </c>
      <c r="G1829" s="145">
        <v>3345054</v>
      </c>
      <c r="H1829" s="96">
        <v>44714</v>
      </c>
      <c r="I1829" s="145">
        <v>0.12148</v>
      </c>
      <c r="J1829" s="145"/>
      <c r="K1829" s="145"/>
      <c r="L1829" s="145"/>
      <c r="M1829" s="145"/>
      <c r="N1829" s="145"/>
      <c r="O1829" s="145"/>
      <c r="P1829" s="145"/>
      <c r="Q1829" s="145"/>
      <c r="R1829" s="145"/>
      <c r="S1829" s="145"/>
      <c r="T1829" s="146">
        <v>21474</v>
      </c>
      <c r="U1829" s="145"/>
      <c r="V1829" s="145" t="s">
        <v>2383</v>
      </c>
      <c r="W1829" s="92" t="str">
        <f t="shared" si="122"/>
        <v>Lopez Ortiz,Jose</v>
      </c>
      <c r="X1829" s="95">
        <f t="shared" si="123"/>
        <v>6</v>
      </c>
      <c r="Y1829" s="95">
        <f t="shared" si="124"/>
        <v>2022</v>
      </c>
      <c r="Z1829" s="136" t="s">
        <v>266</v>
      </c>
      <c r="AA1829" t="str">
        <f>IF(Tabla1[[#This Row],[Kerma en aire acumulada (Gy)]]&gt;1,SUMIF(G:G,Tabla1[[#This Row],[SIP]],I:I)-Tabla1[[#This Row],[Kerma en aire acumulada (Gy)]],"")</f>
        <v/>
      </c>
    </row>
    <row r="1830" spans="3:27">
      <c r="C1830" s="94" t="str">
        <f t="shared" si="126"/>
        <v>Adulto</v>
      </c>
      <c r="D1830" s="145" t="s">
        <v>3018</v>
      </c>
      <c r="E1830" s="145" t="s">
        <v>2111</v>
      </c>
      <c r="F1830" s="145" t="s">
        <v>28</v>
      </c>
      <c r="G1830" s="145">
        <v>2233576</v>
      </c>
      <c r="H1830" s="96">
        <v>44714</v>
      </c>
      <c r="I1830" s="145">
        <v>0.12944</v>
      </c>
      <c r="J1830" s="145"/>
      <c r="K1830" s="145"/>
      <c r="L1830" s="145"/>
      <c r="M1830" s="145"/>
      <c r="N1830" s="145"/>
      <c r="O1830" s="145"/>
      <c r="P1830" s="145"/>
      <c r="Q1830" s="145"/>
      <c r="R1830" s="145"/>
      <c r="S1830" s="145"/>
      <c r="T1830" s="146">
        <v>15743</v>
      </c>
      <c r="U1830" s="145"/>
      <c r="V1830" s="145" t="s">
        <v>2383</v>
      </c>
      <c r="W1830" s="92" t="str">
        <f t="shared" si="122"/>
        <v>Prades Guillot,Josefa</v>
      </c>
      <c r="X1830" s="95">
        <f t="shared" si="123"/>
        <v>6</v>
      </c>
      <c r="Y1830" s="95">
        <f t="shared" si="124"/>
        <v>2022</v>
      </c>
      <c r="Z1830" s="136" t="s">
        <v>266</v>
      </c>
      <c r="AA1830" t="str">
        <f>IF(Tabla1[[#This Row],[Kerma en aire acumulada (Gy)]]&gt;1,SUMIF(G:G,Tabla1[[#This Row],[SIP]],I:I)-Tabla1[[#This Row],[Kerma en aire acumulada (Gy)]],"")</f>
        <v/>
      </c>
    </row>
    <row r="1831" spans="3:27">
      <c r="C1831" s="94" t="str">
        <f t="shared" si="126"/>
        <v>Adulto</v>
      </c>
      <c r="D1831" s="145" t="s">
        <v>631</v>
      </c>
      <c r="E1831" s="145" t="s">
        <v>856</v>
      </c>
      <c r="F1831" s="145" t="s">
        <v>3017</v>
      </c>
      <c r="G1831" s="145">
        <v>2272729</v>
      </c>
      <c r="H1831" s="96">
        <v>44714</v>
      </c>
      <c r="I1831" s="145">
        <v>0.20709</v>
      </c>
      <c r="J1831" s="145"/>
      <c r="K1831" s="145"/>
      <c r="L1831" s="145"/>
      <c r="M1831" s="145"/>
      <c r="N1831" s="145"/>
      <c r="O1831" s="145"/>
      <c r="P1831" s="145"/>
      <c r="Q1831" s="145"/>
      <c r="R1831" s="145"/>
      <c r="S1831" s="145"/>
      <c r="T1831" s="146">
        <v>19853</v>
      </c>
      <c r="U1831" s="145"/>
      <c r="V1831" s="145" t="s">
        <v>2383</v>
      </c>
      <c r="W1831" s="92" t="str">
        <f t="shared" si="122"/>
        <v>Molina Gomez,Pedro Antonio</v>
      </c>
      <c r="X1831" s="95">
        <f t="shared" si="123"/>
        <v>6</v>
      </c>
      <c r="Y1831" s="95">
        <f t="shared" si="124"/>
        <v>2022</v>
      </c>
      <c r="Z1831" s="136" t="s">
        <v>266</v>
      </c>
      <c r="AA1831" t="str">
        <f>IF(Tabla1[[#This Row],[Kerma en aire acumulada (Gy)]]&gt;1,SUMIF(G:G,Tabla1[[#This Row],[SIP]],I:I)-Tabla1[[#This Row],[Kerma en aire acumulada (Gy)]],"")</f>
        <v/>
      </c>
    </row>
    <row r="1832" spans="3:27">
      <c r="C1832" s="94" t="str">
        <f t="shared" si="126"/>
        <v>Adulto</v>
      </c>
      <c r="D1832" s="145" t="s">
        <v>66</v>
      </c>
      <c r="E1832" s="145" t="s">
        <v>962</v>
      </c>
      <c r="F1832" s="145" t="s">
        <v>88</v>
      </c>
      <c r="G1832" s="145">
        <v>4667530</v>
      </c>
      <c r="H1832" s="96">
        <v>44714</v>
      </c>
      <c r="I1832" s="168">
        <v>2.6522600000000001</v>
      </c>
      <c r="J1832" s="145"/>
      <c r="K1832" s="145"/>
      <c r="L1832" s="145"/>
      <c r="M1832" s="145"/>
      <c r="N1832" s="145"/>
      <c r="O1832" s="145"/>
      <c r="P1832" s="145"/>
      <c r="Q1832" s="145"/>
      <c r="R1832" s="145"/>
      <c r="S1832" s="145"/>
      <c r="T1832" s="146">
        <v>20971</v>
      </c>
      <c r="U1832" s="145"/>
      <c r="V1832" s="145" t="s">
        <v>259</v>
      </c>
      <c r="W1832" s="92" t="str">
        <f t="shared" si="122"/>
        <v>Navarro Garcia,Vicente</v>
      </c>
      <c r="X1832" s="95">
        <f t="shared" si="123"/>
        <v>6</v>
      </c>
      <c r="Y1832" s="95">
        <f t="shared" si="124"/>
        <v>2022</v>
      </c>
      <c r="Z1832" s="136" t="s">
        <v>265</v>
      </c>
      <c r="AA1832">
        <f>IF(Tabla1[[#This Row],[Kerma en aire acumulada (Gy)]]&gt;1,SUMIF(G:G,Tabla1[[#This Row],[SIP]],I:I)-Tabla1[[#This Row],[Kerma en aire acumulada (Gy)]],"")</f>
        <v>0</v>
      </c>
    </row>
    <row r="1833" spans="3:27">
      <c r="C1833" s="94" t="str">
        <f t="shared" si="126"/>
        <v>Adulto</v>
      </c>
      <c r="D1833" s="145" t="s">
        <v>1238</v>
      </c>
      <c r="E1833" s="145" t="s">
        <v>1001</v>
      </c>
      <c r="F1833" s="145" t="s">
        <v>2513</v>
      </c>
      <c r="G1833" s="145">
        <v>239932</v>
      </c>
      <c r="H1833" s="96">
        <v>44714</v>
      </c>
      <c r="I1833" s="145">
        <v>3.39E-2</v>
      </c>
      <c r="J1833" s="145"/>
      <c r="K1833" s="145"/>
      <c r="L1833" s="145"/>
      <c r="M1833" s="145"/>
      <c r="N1833" s="145"/>
      <c r="O1833" s="145"/>
      <c r="P1833" s="145"/>
      <c r="Q1833" s="145"/>
      <c r="R1833" s="145"/>
      <c r="S1833" s="145"/>
      <c r="T1833" s="146">
        <v>29131</v>
      </c>
      <c r="U1833" s="145"/>
      <c r="V1833" s="145" t="s">
        <v>1304</v>
      </c>
      <c r="W1833" s="92" t="str">
        <f t="shared" si="122"/>
        <v>Angel Perez,Vanessa</v>
      </c>
      <c r="X1833" s="95">
        <f t="shared" si="123"/>
        <v>6</v>
      </c>
      <c r="Y1833" s="95">
        <f t="shared" si="124"/>
        <v>2022</v>
      </c>
      <c r="Z1833" s="136" t="s">
        <v>265</v>
      </c>
      <c r="AA1833" t="str">
        <f>IF(Tabla1[[#This Row],[Kerma en aire acumulada (Gy)]]&gt;1,SUMIF(G:G,Tabla1[[#This Row],[SIP]],I:I)-Tabla1[[#This Row],[Kerma en aire acumulada (Gy)]],"")</f>
        <v/>
      </c>
    </row>
    <row r="1834" spans="3:27">
      <c r="C1834" s="94" t="str">
        <f t="shared" si="126"/>
        <v>Adulto</v>
      </c>
      <c r="D1834" s="145" t="s">
        <v>2221</v>
      </c>
      <c r="E1834" s="145" t="s">
        <v>694</v>
      </c>
      <c r="F1834" s="145" t="s">
        <v>798</v>
      </c>
      <c r="G1834" s="145">
        <v>336145</v>
      </c>
      <c r="H1834" s="96">
        <v>44714</v>
      </c>
      <c r="I1834" s="145">
        <v>0.77617000000000003</v>
      </c>
      <c r="J1834" s="145"/>
      <c r="K1834" s="145"/>
      <c r="L1834" s="145"/>
      <c r="M1834" s="145"/>
      <c r="N1834" s="145"/>
      <c r="O1834" s="145"/>
      <c r="P1834" s="145"/>
      <c r="Q1834" s="145"/>
      <c r="R1834" s="145"/>
      <c r="S1834" s="145"/>
      <c r="T1834" s="146">
        <v>16311</v>
      </c>
      <c r="U1834" s="145"/>
      <c r="V1834" s="145" t="s">
        <v>260</v>
      </c>
      <c r="W1834" s="92" t="str">
        <f t="shared" ref="W1834:W1897" si="127">CONCATENATE(D1834,$A$591,E1834,",",F1834)</f>
        <v>Amer Llopis,Ana</v>
      </c>
      <c r="X1834" s="95">
        <f t="shared" ref="X1834:X1897" si="128">MONTH(H1834)</f>
        <v>6</v>
      </c>
      <c r="Y1834" s="95">
        <f t="shared" ref="Y1834:Y1897" si="129">YEAR(H1834)</f>
        <v>2022</v>
      </c>
      <c r="Z1834" s="136" t="s">
        <v>265</v>
      </c>
      <c r="AA1834" t="str">
        <f>IF(Tabla1[[#This Row],[Kerma en aire acumulada (Gy)]]&gt;1,SUMIF(G:G,Tabla1[[#This Row],[SIP]],I:I)-Tabla1[[#This Row],[Kerma en aire acumulada (Gy)]],"")</f>
        <v/>
      </c>
    </row>
    <row r="1835" spans="3:27">
      <c r="C1835" s="94" t="str">
        <f t="shared" si="126"/>
        <v>Adulto</v>
      </c>
      <c r="D1835" s="145" t="s">
        <v>129</v>
      </c>
      <c r="E1835" s="145" t="s">
        <v>343</v>
      </c>
      <c r="F1835" s="145" t="s">
        <v>20</v>
      </c>
      <c r="G1835" s="145">
        <v>2981379</v>
      </c>
      <c r="H1835" s="96">
        <v>44714</v>
      </c>
      <c r="I1835" s="145">
        <v>0.43264000000000002</v>
      </c>
      <c r="J1835" s="145"/>
      <c r="K1835" s="145"/>
      <c r="L1835" s="145"/>
      <c r="M1835" s="145"/>
      <c r="N1835" s="145"/>
      <c r="O1835" s="145"/>
      <c r="P1835" s="145"/>
      <c r="Q1835" s="145"/>
      <c r="R1835" s="145"/>
      <c r="S1835" s="145"/>
      <c r="T1835" s="146">
        <v>18621</v>
      </c>
      <c r="U1835" s="145"/>
      <c r="V1835" s="145" t="s">
        <v>259</v>
      </c>
      <c r="W1835" s="92" t="str">
        <f t="shared" si="127"/>
        <v>Gallego Caballero,Antonio</v>
      </c>
      <c r="X1835" s="95">
        <f t="shared" si="128"/>
        <v>6</v>
      </c>
      <c r="Y1835" s="95">
        <f t="shared" si="129"/>
        <v>2022</v>
      </c>
      <c r="Z1835" s="136" t="s">
        <v>265</v>
      </c>
      <c r="AA1835" t="str">
        <f>IF(Tabla1[[#This Row],[Kerma en aire acumulada (Gy)]]&gt;1,SUMIF(G:G,Tabla1[[#This Row],[SIP]],I:I)-Tabla1[[#This Row],[Kerma en aire acumulada (Gy)]],"")</f>
        <v/>
      </c>
    </row>
    <row r="1836" spans="3:27">
      <c r="C1836" s="94" t="str">
        <f t="shared" si="126"/>
        <v>Adulto</v>
      </c>
      <c r="D1836" s="145" t="s">
        <v>741</v>
      </c>
      <c r="E1836" s="145" t="s">
        <v>336</v>
      </c>
      <c r="F1836" s="145" t="s">
        <v>106</v>
      </c>
      <c r="G1836" s="145">
        <v>2247726</v>
      </c>
      <c r="H1836" s="96">
        <v>44714</v>
      </c>
      <c r="I1836" s="145">
        <v>5.509E-2</v>
      </c>
      <c r="J1836" s="145"/>
      <c r="K1836" s="145"/>
      <c r="L1836" s="145"/>
      <c r="M1836" s="145"/>
      <c r="N1836" s="145"/>
      <c r="O1836" s="145"/>
      <c r="P1836" s="145"/>
      <c r="Q1836" s="145"/>
      <c r="R1836" s="145"/>
      <c r="S1836" s="145"/>
      <c r="T1836" s="146">
        <v>17012</v>
      </c>
      <c r="U1836" s="145"/>
      <c r="V1836" s="145" t="s">
        <v>950</v>
      </c>
      <c r="W1836" s="92" t="str">
        <f t="shared" si="127"/>
        <v>Izquierdo Mata,Carmen</v>
      </c>
      <c r="X1836" s="95">
        <f t="shared" si="128"/>
        <v>6</v>
      </c>
      <c r="Y1836" s="95">
        <f t="shared" si="129"/>
        <v>2022</v>
      </c>
      <c r="Z1836" s="136" t="s">
        <v>265</v>
      </c>
      <c r="AA1836" t="str">
        <f>IF(Tabla1[[#This Row],[Kerma en aire acumulada (Gy)]]&gt;1,SUMIF(G:G,Tabla1[[#This Row],[SIP]],I:I)-Tabla1[[#This Row],[Kerma en aire acumulada (Gy)]],"")</f>
        <v/>
      </c>
    </row>
    <row r="1837" spans="3:27">
      <c r="C1837" s="94" t="str">
        <f t="shared" si="126"/>
        <v>Adulto</v>
      </c>
      <c r="D1837" s="145" t="s">
        <v>2129</v>
      </c>
      <c r="E1837" s="145" t="s">
        <v>948</v>
      </c>
      <c r="F1837" s="145" t="s">
        <v>54</v>
      </c>
      <c r="G1837" s="145">
        <v>2182440</v>
      </c>
      <c r="H1837" s="96">
        <v>44714</v>
      </c>
      <c r="I1837" s="145">
        <v>1.371E-2</v>
      </c>
      <c r="J1837" s="145"/>
      <c r="K1837" s="145"/>
      <c r="L1837" s="145"/>
      <c r="M1837" s="145"/>
      <c r="N1837" s="145"/>
      <c r="O1837" s="145"/>
      <c r="P1837" s="145"/>
      <c r="Q1837" s="145"/>
      <c r="R1837" s="145"/>
      <c r="S1837" s="145"/>
      <c r="T1837" s="146">
        <v>17215</v>
      </c>
      <c r="U1837" s="145"/>
      <c r="V1837" s="145" t="s">
        <v>1284</v>
      </c>
      <c r="W1837" s="92" t="str">
        <f t="shared" si="127"/>
        <v>Cuadros Martinez,Isabel</v>
      </c>
      <c r="X1837" s="95">
        <f t="shared" si="128"/>
        <v>6</v>
      </c>
      <c r="Y1837" s="95">
        <f t="shared" si="129"/>
        <v>2022</v>
      </c>
      <c r="Z1837" s="136" t="s">
        <v>265</v>
      </c>
      <c r="AA1837" t="str">
        <f>IF(Tabla1[[#This Row],[Kerma en aire acumulada (Gy)]]&gt;1,SUMIF(G:G,Tabla1[[#This Row],[SIP]],I:I)-Tabla1[[#This Row],[Kerma en aire acumulada (Gy)]],"")</f>
        <v/>
      </c>
    </row>
    <row r="1838" spans="3:27">
      <c r="C1838" s="94" t="str">
        <f t="shared" si="126"/>
        <v>Adulto</v>
      </c>
      <c r="D1838" s="145" t="s">
        <v>1942</v>
      </c>
      <c r="E1838" s="145" t="s">
        <v>3016</v>
      </c>
      <c r="F1838" s="145" t="s">
        <v>2189</v>
      </c>
      <c r="G1838" s="145">
        <v>2866438</v>
      </c>
      <c r="H1838" s="96">
        <v>44714</v>
      </c>
      <c r="I1838" s="145">
        <v>0.10390000000000001</v>
      </c>
      <c r="J1838" s="145"/>
      <c r="K1838" s="145"/>
      <c r="L1838" s="145"/>
      <c r="M1838" s="145"/>
      <c r="N1838" s="145"/>
      <c r="O1838" s="145"/>
      <c r="P1838" s="145"/>
      <c r="Q1838" s="145"/>
      <c r="R1838" s="145"/>
      <c r="S1838" s="145"/>
      <c r="T1838" s="146">
        <v>17917</v>
      </c>
      <c r="U1838" s="145"/>
      <c r="V1838" s="145" t="s">
        <v>1921</v>
      </c>
      <c r="W1838" s="92" t="str">
        <f t="shared" si="127"/>
        <v>Mendez Cordobes,Juan Jose</v>
      </c>
      <c r="X1838" s="95">
        <f t="shared" si="128"/>
        <v>6</v>
      </c>
      <c r="Y1838" s="95">
        <f t="shared" si="129"/>
        <v>2022</v>
      </c>
      <c r="Z1838" s="136" t="s">
        <v>265</v>
      </c>
      <c r="AA1838" t="str">
        <f>IF(Tabla1[[#This Row],[Kerma en aire acumulada (Gy)]]&gt;1,SUMIF(G:G,Tabla1[[#This Row],[SIP]],I:I)-Tabla1[[#This Row],[Kerma en aire acumulada (Gy)]],"")</f>
        <v/>
      </c>
    </row>
    <row r="1839" spans="3:27">
      <c r="C1839" s="94" t="str">
        <f t="shared" si="126"/>
        <v>Adulto</v>
      </c>
      <c r="D1839" s="145" t="s">
        <v>1106</v>
      </c>
      <c r="E1839" s="145" t="s">
        <v>839</v>
      </c>
      <c r="F1839" s="145" t="s">
        <v>88</v>
      </c>
      <c r="G1839" s="145">
        <v>2233884</v>
      </c>
      <c r="H1839" s="96">
        <v>44714</v>
      </c>
      <c r="I1839" s="145">
        <v>1.153E-2</v>
      </c>
      <c r="J1839" s="145"/>
      <c r="K1839" s="145"/>
      <c r="L1839" s="145"/>
      <c r="M1839" s="145"/>
      <c r="N1839" s="145"/>
      <c r="O1839" s="145"/>
      <c r="P1839" s="145"/>
      <c r="Q1839" s="145"/>
      <c r="R1839" s="145"/>
      <c r="S1839" s="145"/>
      <c r="T1839" s="146">
        <v>14616</v>
      </c>
      <c r="U1839" s="145"/>
      <c r="V1839" s="145" t="s">
        <v>3015</v>
      </c>
      <c r="W1839" s="92" t="str">
        <f t="shared" si="127"/>
        <v>Alemany Ferrer,Vicente</v>
      </c>
      <c r="X1839" s="95">
        <f t="shared" si="128"/>
        <v>6</v>
      </c>
      <c r="Y1839" s="95">
        <f t="shared" si="129"/>
        <v>2022</v>
      </c>
      <c r="Z1839" s="136" t="s">
        <v>265</v>
      </c>
      <c r="AA1839" t="str">
        <f>IF(Tabla1[[#This Row],[Kerma en aire acumulada (Gy)]]&gt;1,SUMIF(G:G,Tabla1[[#This Row],[SIP]],I:I)-Tabla1[[#This Row],[Kerma en aire acumulada (Gy)]],"")</f>
        <v/>
      </c>
    </row>
    <row r="1840" spans="3:27">
      <c r="C1840" s="94" t="str">
        <f t="shared" si="126"/>
        <v>Adulto</v>
      </c>
      <c r="D1840" s="145" t="s">
        <v>3044</v>
      </c>
      <c r="E1840" s="145" t="s">
        <v>856</v>
      </c>
      <c r="F1840" s="145" t="s">
        <v>3045</v>
      </c>
      <c r="G1840" s="145">
        <v>3183603</v>
      </c>
      <c r="H1840" s="146">
        <v>44715</v>
      </c>
      <c r="I1840" s="145">
        <v>6.1550000000000001E-2</v>
      </c>
      <c r="J1840" s="145"/>
      <c r="K1840" s="145"/>
      <c r="L1840" s="145"/>
      <c r="M1840" s="145"/>
      <c r="N1840" s="145"/>
      <c r="O1840" s="145"/>
      <c r="P1840" s="145"/>
      <c r="Q1840" s="145"/>
      <c r="R1840" s="145"/>
      <c r="S1840" s="145"/>
      <c r="T1840" s="146">
        <v>15830</v>
      </c>
      <c r="U1840" s="145"/>
      <c r="V1840" s="145" t="s">
        <v>2962</v>
      </c>
      <c r="W1840" s="92" t="str">
        <f t="shared" si="127"/>
        <v>Serra Gomez,Blas</v>
      </c>
      <c r="X1840" s="95">
        <f t="shared" si="128"/>
        <v>6</v>
      </c>
      <c r="Y1840" s="95">
        <f t="shared" si="129"/>
        <v>2022</v>
      </c>
      <c r="Z1840" s="136" t="s">
        <v>2238</v>
      </c>
      <c r="AA1840" t="str">
        <f>IF(Tabla1[[#This Row],[Kerma en aire acumulada (Gy)]]&gt;1,SUMIF(G:G,Tabla1[[#This Row],[SIP]],I:I)-Tabla1[[#This Row],[Kerma en aire acumulada (Gy)]],"")</f>
        <v/>
      </c>
    </row>
    <row r="1841" spans="3:27">
      <c r="C1841" s="94" t="str">
        <f t="shared" si="126"/>
        <v>Adulto</v>
      </c>
      <c r="D1841" s="145" t="s">
        <v>1028</v>
      </c>
      <c r="E1841" s="145" t="s">
        <v>2570</v>
      </c>
      <c r="F1841" s="145" t="s">
        <v>3042</v>
      </c>
      <c r="G1841" s="145">
        <v>1766403</v>
      </c>
      <c r="H1841" s="146">
        <v>44715</v>
      </c>
      <c r="I1841" s="145">
        <v>5.0160000000000003E-2</v>
      </c>
      <c r="J1841" s="145"/>
      <c r="K1841" s="145"/>
      <c r="L1841" s="145"/>
      <c r="M1841" s="145"/>
      <c r="N1841" s="145"/>
      <c r="O1841" s="145"/>
      <c r="P1841" s="145"/>
      <c r="Q1841" s="145"/>
      <c r="R1841" s="145"/>
      <c r="S1841" s="145"/>
      <c r="T1841" s="146">
        <v>26368</v>
      </c>
      <c r="U1841" s="145"/>
      <c r="V1841" s="145" t="s">
        <v>3043</v>
      </c>
      <c r="W1841" s="92" t="str">
        <f t="shared" si="127"/>
        <v>Barrachina Rosell,Maria del Carmen</v>
      </c>
      <c r="X1841" s="95">
        <f t="shared" si="128"/>
        <v>6</v>
      </c>
      <c r="Y1841" s="95">
        <f t="shared" si="129"/>
        <v>2022</v>
      </c>
      <c r="Z1841" s="136" t="s">
        <v>2238</v>
      </c>
      <c r="AA1841" t="str">
        <f>IF(Tabla1[[#This Row],[Kerma en aire acumulada (Gy)]]&gt;1,SUMIF(G:G,Tabla1[[#This Row],[SIP]],I:I)-Tabla1[[#This Row],[Kerma en aire acumulada (Gy)]],"")</f>
        <v/>
      </c>
    </row>
    <row r="1842" spans="3:27">
      <c r="C1842" s="94" t="str">
        <f t="shared" si="126"/>
        <v>Adulto</v>
      </c>
      <c r="D1842" s="145" t="s">
        <v>1844</v>
      </c>
      <c r="E1842" s="145" t="s">
        <v>948</v>
      </c>
      <c r="F1842" s="145" t="s">
        <v>2484</v>
      </c>
      <c r="G1842" s="145">
        <v>2938646</v>
      </c>
      <c r="H1842" s="146">
        <v>44715</v>
      </c>
      <c r="I1842" s="168">
        <v>1.2119</v>
      </c>
      <c r="J1842" s="145"/>
      <c r="K1842" s="145"/>
      <c r="L1842" s="145"/>
      <c r="M1842" s="145"/>
      <c r="N1842" s="145"/>
      <c r="O1842" s="145"/>
      <c r="P1842" s="145"/>
      <c r="Q1842" s="145"/>
      <c r="R1842" s="145"/>
      <c r="S1842" s="145"/>
      <c r="T1842" s="146">
        <v>23426</v>
      </c>
      <c r="U1842" s="145"/>
      <c r="V1842" s="145" t="s">
        <v>2383</v>
      </c>
      <c r="W1842" s="92" t="str">
        <f t="shared" si="127"/>
        <v>Miralles Martinez,Juan Ramon</v>
      </c>
      <c r="X1842" s="95">
        <f t="shared" si="128"/>
        <v>6</v>
      </c>
      <c r="Y1842" s="95">
        <f t="shared" si="129"/>
        <v>2022</v>
      </c>
      <c r="Z1842" s="136" t="s">
        <v>266</v>
      </c>
      <c r="AA1842">
        <f>IF(Tabla1[[#This Row],[Kerma en aire acumulada (Gy)]]&gt;1,SUMIF(G:G,Tabla1[[#This Row],[SIP]],I:I)-Tabla1[[#This Row],[Kerma en aire acumulada (Gy)]],"")</f>
        <v>0.18104999999999993</v>
      </c>
    </row>
    <row r="1843" spans="3:27">
      <c r="C1843" s="94" t="str">
        <f t="shared" si="126"/>
        <v>Adulto</v>
      </c>
      <c r="D1843" s="145" t="s">
        <v>856</v>
      </c>
      <c r="E1843" s="145" t="s">
        <v>856</v>
      </c>
      <c r="F1843" s="145" t="s">
        <v>546</v>
      </c>
      <c r="G1843" s="145">
        <v>2362290</v>
      </c>
      <c r="H1843" s="146">
        <v>44715</v>
      </c>
      <c r="I1843" s="145">
        <v>0.44286999999999999</v>
      </c>
      <c r="J1843" s="145"/>
      <c r="K1843" s="145"/>
      <c r="L1843" s="145"/>
      <c r="M1843" s="145"/>
      <c r="N1843" s="145"/>
      <c r="O1843" s="145"/>
      <c r="P1843" s="145"/>
      <c r="Q1843" s="145"/>
      <c r="R1843" s="145"/>
      <c r="S1843" s="145"/>
      <c r="T1843" s="146">
        <v>24697</v>
      </c>
      <c r="U1843" s="145"/>
      <c r="V1843" s="145" t="s">
        <v>2383</v>
      </c>
      <c r="W1843" s="92" t="str">
        <f t="shared" si="127"/>
        <v>Gomez Gomez,Luis</v>
      </c>
      <c r="X1843" s="95">
        <f t="shared" si="128"/>
        <v>6</v>
      </c>
      <c r="Y1843" s="95">
        <f t="shared" si="129"/>
        <v>2022</v>
      </c>
      <c r="Z1843" s="136" t="s">
        <v>266</v>
      </c>
      <c r="AA1843" t="str">
        <f>IF(Tabla1[[#This Row],[Kerma en aire acumulada (Gy)]]&gt;1,SUMIF(G:G,Tabla1[[#This Row],[SIP]],I:I)-Tabla1[[#This Row],[Kerma en aire acumulada (Gy)]],"")</f>
        <v/>
      </c>
    </row>
    <row r="1844" spans="3:27">
      <c r="C1844" s="94" t="str">
        <f t="shared" si="126"/>
        <v>Adulto</v>
      </c>
      <c r="D1844" s="145" t="s">
        <v>962</v>
      </c>
      <c r="E1844" s="145" t="s">
        <v>3041</v>
      </c>
      <c r="F1844" s="145" t="s">
        <v>2955</v>
      </c>
      <c r="G1844" s="145">
        <v>3340381</v>
      </c>
      <c r="H1844" s="146">
        <v>44715</v>
      </c>
      <c r="I1844" s="145">
        <v>0.21743999999999999</v>
      </c>
      <c r="J1844" s="145"/>
      <c r="K1844" s="145"/>
      <c r="L1844" s="145"/>
      <c r="M1844" s="145"/>
      <c r="N1844" s="145"/>
      <c r="O1844" s="145"/>
      <c r="P1844" s="145"/>
      <c r="Q1844" s="145"/>
      <c r="R1844" s="145"/>
      <c r="S1844" s="145"/>
      <c r="T1844" s="146">
        <v>12507</v>
      </c>
      <c r="U1844" s="145"/>
      <c r="V1844" s="145" t="s">
        <v>2383</v>
      </c>
      <c r="W1844" s="92" t="str">
        <f t="shared" si="127"/>
        <v>Garcia Tornero,Bernabea</v>
      </c>
      <c r="X1844" s="95">
        <f t="shared" si="128"/>
        <v>6</v>
      </c>
      <c r="Y1844" s="95">
        <f t="shared" si="129"/>
        <v>2022</v>
      </c>
      <c r="Z1844" s="136" t="s">
        <v>266</v>
      </c>
      <c r="AA1844" t="str">
        <f>IF(Tabla1[[#This Row],[Kerma en aire acumulada (Gy)]]&gt;1,SUMIF(G:G,Tabla1[[#This Row],[SIP]],I:I)-Tabla1[[#This Row],[Kerma en aire acumulada (Gy)]],"")</f>
        <v/>
      </c>
    </row>
    <row r="1845" spans="3:27">
      <c r="C1845" s="94" t="str">
        <f t="shared" si="126"/>
        <v>Adulto</v>
      </c>
      <c r="D1845" s="145" t="s">
        <v>3040</v>
      </c>
      <c r="E1845" s="145"/>
      <c r="F1845" s="145" t="s">
        <v>3039</v>
      </c>
      <c r="G1845" s="145">
        <v>8097100</v>
      </c>
      <c r="H1845" s="146">
        <v>44715</v>
      </c>
      <c r="I1845" s="145">
        <v>0.18278</v>
      </c>
      <c r="J1845" s="145"/>
      <c r="K1845" s="145"/>
      <c r="L1845" s="145"/>
      <c r="M1845" s="145"/>
      <c r="N1845" s="145"/>
      <c r="O1845" s="145"/>
      <c r="P1845" s="145"/>
      <c r="Q1845" s="145"/>
      <c r="R1845" s="145"/>
      <c r="S1845" s="145"/>
      <c r="T1845" s="146">
        <v>26815</v>
      </c>
      <c r="U1845" s="145"/>
      <c r="V1845" s="145" t="s">
        <v>2383</v>
      </c>
      <c r="W1845" s="92" t="str">
        <f t="shared" si="127"/>
        <v>Mbow ,Fatim</v>
      </c>
      <c r="X1845" s="95">
        <f t="shared" si="128"/>
        <v>6</v>
      </c>
      <c r="Y1845" s="95">
        <f t="shared" si="129"/>
        <v>2022</v>
      </c>
      <c r="Z1845" s="136" t="s">
        <v>266</v>
      </c>
      <c r="AA1845" t="str">
        <f>IF(Tabla1[[#This Row],[Kerma en aire acumulada (Gy)]]&gt;1,SUMIF(G:G,Tabla1[[#This Row],[SIP]],I:I)-Tabla1[[#This Row],[Kerma en aire acumulada (Gy)]],"")</f>
        <v/>
      </c>
    </row>
    <row r="1846" spans="3:27">
      <c r="C1846" s="94" t="str">
        <f t="shared" si="126"/>
        <v>Adulto</v>
      </c>
      <c r="D1846" s="145" t="s">
        <v>3038</v>
      </c>
      <c r="E1846" s="145" t="s">
        <v>2905</v>
      </c>
      <c r="F1846" s="145" t="s">
        <v>20</v>
      </c>
      <c r="G1846" s="145">
        <v>2243827</v>
      </c>
      <c r="H1846" s="146">
        <v>44715</v>
      </c>
      <c r="I1846" s="145">
        <v>0.28488000000000002</v>
      </c>
      <c r="J1846" s="145"/>
      <c r="K1846" s="145"/>
      <c r="L1846" s="145"/>
      <c r="M1846" s="145"/>
      <c r="N1846" s="145"/>
      <c r="O1846" s="145"/>
      <c r="P1846" s="145"/>
      <c r="Q1846" s="145"/>
      <c r="R1846" s="145"/>
      <c r="S1846" s="145"/>
      <c r="T1846" s="146">
        <v>15496</v>
      </c>
      <c r="U1846" s="145"/>
      <c r="V1846" s="145" t="s">
        <v>2383</v>
      </c>
      <c r="W1846" s="92" t="str">
        <f t="shared" si="127"/>
        <v>Enguidanos Portoles,Antonio</v>
      </c>
      <c r="X1846" s="95">
        <f t="shared" si="128"/>
        <v>6</v>
      </c>
      <c r="Y1846" s="95">
        <f t="shared" si="129"/>
        <v>2022</v>
      </c>
      <c r="Z1846" s="136" t="s">
        <v>266</v>
      </c>
      <c r="AA1846" t="str">
        <f>IF(Tabla1[[#This Row],[Kerma en aire acumulada (Gy)]]&gt;1,SUMIF(G:G,Tabla1[[#This Row],[SIP]],I:I)-Tabla1[[#This Row],[Kerma en aire acumulada (Gy)]],"")</f>
        <v/>
      </c>
    </row>
    <row r="1847" spans="3:27">
      <c r="C1847" s="94" t="str">
        <f t="shared" si="126"/>
        <v>Adulto</v>
      </c>
      <c r="D1847" s="145" t="s">
        <v>634</v>
      </c>
      <c r="E1847" s="145" t="s">
        <v>3037</v>
      </c>
      <c r="F1847" s="145" t="s">
        <v>1196</v>
      </c>
      <c r="G1847" s="145">
        <v>3082970</v>
      </c>
      <c r="H1847" s="146">
        <v>44715</v>
      </c>
      <c r="I1847" s="145">
        <v>0.69184000000000001</v>
      </c>
      <c r="J1847" s="145"/>
      <c r="K1847" s="145"/>
      <c r="L1847" s="145"/>
      <c r="M1847" s="145"/>
      <c r="N1847" s="145"/>
      <c r="O1847" s="145"/>
      <c r="P1847" s="145"/>
      <c r="Q1847" s="145"/>
      <c r="R1847" s="145"/>
      <c r="S1847" s="145"/>
      <c r="T1847" s="146">
        <v>17995</v>
      </c>
      <c r="U1847" s="145"/>
      <c r="V1847" s="145" t="s">
        <v>2383</v>
      </c>
      <c r="W1847" s="92" t="str">
        <f t="shared" si="127"/>
        <v>Gil Almenar,Emilia</v>
      </c>
      <c r="X1847" s="95">
        <f t="shared" si="128"/>
        <v>6</v>
      </c>
      <c r="Y1847" s="95">
        <f t="shared" si="129"/>
        <v>2022</v>
      </c>
      <c r="Z1847" s="136" t="s">
        <v>266</v>
      </c>
      <c r="AA1847" t="str">
        <f>IF(Tabla1[[#This Row],[Kerma en aire acumulada (Gy)]]&gt;1,SUMIF(G:G,Tabla1[[#This Row],[SIP]],I:I)-Tabla1[[#This Row],[Kerma en aire acumulada (Gy)]],"")</f>
        <v/>
      </c>
    </row>
    <row r="1848" spans="3:27">
      <c r="C1848" s="94" t="str">
        <f t="shared" si="126"/>
        <v>Adulto</v>
      </c>
      <c r="D1848" s="145" t="s">
        <v>289</v>
      </c>
      <c r="E1848" s="145" t="s">
        <v>15</v>
      </c>
      <c r="F1848" s="145" t="s">
        <v>1621</v>
      </c>
      <c r="G1848" s="145">
        <v>2919770</v>
      </c>
      <c r="H1848" s="146">
        <v>44715</v>
      </c>
      <c r="I1848" s="145">
        <v>0.19470999999999999</v>
      </c>
      <c r="J1848" s="145"/>
      <c r="K1848" s="145"/>
      <c r="L1848" s="145"/>
      <c r="M1848" s="145"/>
      <c r="N1848" s="145"/>
      <c r="O1848" s="145"/>
      <c r="P1848" s="145"/>
      <c r="Q1848" s="145"/>
      <c r="R1848" s="145"/>
      <c r="S1848" s="145"/>
      <c r="T1848" s="146">
        <v>21883</v>
      </c>
      <c r="U1848" s="145"/>
      <c r="V1848" s="145" t="s">
        <v>2383</v>
      </c>
      <c r="W1848" s="92" t="str">
        <f t="shared" si="127"/>
        <v>Robles Moreno,Ramon</v>
      </c>
      <c r="X1848" s="95">
        <f t="shared" si="128"/>
        <v>6</v>
      </c>
      <c r="Y1848" s="95">
        <f t="shared" si="129"/>
        <v>2022</v>
      </c>
      <c r="Z1848" s="136" t="s">
        <v>266</v>
      </c>
      <c r="AA1848" t="str">
        <f>IF(Tabla1[[#This Row],[Kerma en aire acumulada (Gy)]]&gt;1,SUMIF(G:G,Tabla1[[#This Row],[SIP]],I:I)-Tabla1[[#This Row],[Kerma en aire acumulada (Gy)]],"")</f>
        <v/>
      </c>
    </row>
    <row r="1849" spans="3:27">
      <c r="C1849" s="94" t="str">
        <f t="shared" si="126"/>
        <v>Adulto</v>
      </c>
      <c r="D1849" s="145" t="s">
        <v>3036</v>
      </c>
      <c r="E1849" s="145" t="s">
        <v>1968</v>
      </c>
      <c r="F1849" s="145" t="s">
        <v>3035</v>
      </c>
      <c r="G1849" s="145">
        <v>1210376</v>
      </c>
      <c r="H1849" s="146">
        <v>44715</v>
      </c>
      <c r="I1849" s="145">
        <v>0.41947000000000001</v>
      </c>
      <c r="J1849" s="145"/>
      <c r="K1849" s="145"/>
      <c r="L1849" s="145"/>
      <c r="M1849" s="145"/>
      <c r="N1849" s="145"/>
      <c r="O1849" s="145"/>
      <c r="P1849" s="145"/>
      <c r="Q1849" s="145"/>
      <c r="R1849" s="145"/>
      <c r="S1849" s="145"/>
      <c r="T1849" s="146">
        <v>16795</v>
      </c>
      <c r="U1849" s="145"/>
      <c r="V1849" s="145" t="s">
        <v>2190</v>
      </c>
      <c r="W1849" s="92" t="str">
        <f t="shared" si="127"/>
        <v>Mujica Bermudez,Jesus Guillermo</v>
      </c>
      <c r="X1849" s="95">
        <f t="shared" si="128"/>
        <v>6</v>
      </c>
      <c r="Y1849" s="95">
        <f t="shared" si="129"/>
        <v>2022</v>
      </c>
      <c r="Z1849" s="136" t="s">
        <v>265</v>
      </c>
      <c r="AA1849" t="str">
        <f>IF(Tabla1[[#This Row],[Kerma en aire acumulada (Gy)]]&gt;1,SUMIF(G:G,Tabla1[[#This Row],[SIP]],I:I)-Tabla1[[#This Row],[Kerma en aire acumulada (Gy)]],"")</f>
        <v/>
      </c>
    </row>
    <row r="1850" spans="3:27">
      <c r="C1850" s="94" t="str">
        <f t="shared" si="126"/>
        <v>Adulto</v>
      </c>
      <c r="D1850" s="145" t="s">
        <v>2129</v>
      </c>
      <c r="E1850" s="145" t="s">
        <v>948</v>
      </c>
      <c r="F1850" s="145" t="s">
        <v>54</v>
      </c>
      <c r="G1850" s="145">
        <v>2182440</v>
      </c>
      <c r="H1850" s="146">
        <v>44715</v>
      </c>
      <c r="I1850" s="145">
        <v>2.65E-3</v>
      </c>
      <c r="J1850" s="145"/>
      <c r="K1850" s="145"/>
      <c r="L1850" s="145"/>
      <c r="M1850" s="145"/>
      <c r="N1850" s="145"/>
      <c r="O1850" s="145"/>
      <c r="P1850" s="145"/>
      <c r="Q1850" s="145"/>
      <c r="R1850" s="145"/>
      <c r="S1850" s="145"/>
      <c r="T1850" s="146">
        <v>17215</v>
      </c>
      <c r="U1850" s="145"/>
      <c r="V1850" s="145" t="s">
        <v>3034</v>
      </c>
      <c r="W1850" s="92" t="str">
        <f t="shared" si="127"/>
        <v>Cuadros Martinez,Isabel</v>
      </c>
      <c r="X1850" s="95">
        <f t="shared" si="128"/>
        <v>6</v>
      </c>
      <c r="Y1850" s="95">
        <f t="shared" si="129"/>
        <v>2022</v>
      </c>
      <c r="Z1850" s="136" t="s">
        <v>265</v>
      </c>
      <c r="AA1850" t="str">
        <f>IF(Tabla1[[#This Row],[Kerma en aire acumulada (Gy)]]&gt;1,SUMIF(G:G,Tabla1[[#This Row],[SIP]],I:I)-Tabla1[[#This Row],[Kerma en aire acumulada (Gy)]],"")</f>
        <v/>
      </c>
    </row>
    <row r="1851" spans="3:27">
      <c r="C1851" s="94" t="str">
        <f t="shared" si="126"/>
        <v>Adulto</v>
      </c>
      <c r="D1851" s="145" t="s">
        <v>3033</v>
      </c>
      <c r="E1851" s="145" t="s">
        <v>1781</v>
      </c>
      <c r="F1851" s="145" t="s">
        <v>3032</v>
      </c>
      <c r="G1851" s="145">
        <v>4256255</v>
      </c>
      <c r="H1851" s="146">
        <v>44715</v>
      </c>
      <c r="I1851" s="145">
        <v>1.7569999999999999E-2</v>
      </c>
      <c r="J1851" s="145"/>
      <c r="K1851" s="145"/>
      <c r="L1851" s="145"/>
      <c r="M1851" s="145"/>
      <c r="N1851" s="145"/>
      <c r="O1851" s="145"/>
      <c r="P1851" s="145"/>
      <c r="Q1851" s="145"/>
      <c r="R1851" s="145"/>
      <c r="S1851" s="145"/>
      <c r="T1851" s="146">
        <v>28364</v>
      </c>
      <c r="U1851" s="145"/>
      <c r="V1851" s="145" t="s">
        <v>552</v>
      </c>
      <c r="W1851" s="92" t="str">
        <f t="shared" si="127"/>
        <v>Fita Leon,Monica</v>
      </c>
      <c r="X1851" s="95">
        <f t="shared" si="128"/>
        <v>6</v>
      </c>
      <c r="Y1851" s="95">
        <f t="shared" si="129"/>
        <v>2022</v>
      </c>
      <c r="Z1851" s="136" t="s">
        <v>265</v>
      </c>
      <c r="AA1851" t="str">
        <f>IF(Tabla1[[#This Row],[Kerma en aire acumulada (Gy)]]&gt;1,SUMIF(G:G,Tabla1[[#This Row],[SIP]],I:I)-Tabla1[[#This Row],[Kerma en aire acumulada (Gy)]],"")</f>
        <v/>
      </c>
    </row>
    <row r="1852" spans="3:27">
      <c r="C1852" s="144" t="str">
        <f t="shared" si="126"/>
        <v>Adulto</v>
      </c>
      <c r="D1852" s="145" t="s">
        <v>1262</v>
      </c>
      <c r="E1852" s="145" t="s">
        <v>1695</v>
      </c>
      <c r="F1852" s="145" t="s">
        <v>776</v>
      </c>
      <c r="G1852" s="145">
        <v>2890726</v>
      </c>
      <c r="H1852" s="146">
        <v>44716</v>
      </c>
      <c r="I1852" s="145">
        <v>0.11504</v>
      </c>
      <c r="J1852" s="145"/>
      <c r="K1852" s="145"/>
      <c r="L1852" s="145"/>
      <c r="M1852" s="145"/>
      <c r="N1852" s="145"/>
      <c r="O1852" s="145"/>
      <c r="P1852" s="145"/>
      <c r="Q1852" s="145"/>
      <c r="R1852" s="145"/>
      <c r="S1852" s="145"/>
      <c r="T1852" s="146">
        <v>25612</v>
      </c>
      <c r="U1852" s="145"/>
      <c r="V1852" s="145" t="s">
        <v>2383</v>
      </c>
      <c r="W1852" s="92" t="str">
        <f t="shared" si="127"/>
        <v>Diaz Portales,Alfonso</v>
      </c>
      <c r="X1852" s="95">
        <f t="shared" si="128"/>
        <v>6</v>
      </c>
      <c r="Y1852" s="95">
        <f t="shared" si="129"/>
        <v>2022</v>
      </c>
      <c r="Z1852" s="136" t="s">
        <v>266</v>
      </c>
      <c r="AA1852" t="str">
        <f>IF(Tabla1[[#This Row],[Kerma en aire acumulada (Gy)]]&gt;1,SUMIF(G:G,Tabla1[[#This Row],[SIP]],I:I)-Tabla1[[#This Row],[Kerma en aire acumulada (Gy)]],"")</f>
        <v/>
      </c>
    </row>
    <row r="1853" spans="3:27">
      <c r="C1853" s="144" t="str">
        <f t="shared" si="126"/>
        <v>Adulto</v>
      </c>
      <c r="D1853" s="145" t="s">
        <v>3046</v>
      </c>
      <c r="E1853" s="145"/>
      <c r="F1853" s="145" t="s">
        <v>3047</v>
      </c>
      <c r="G1853" s="145">
        <v>10443170</v>
      </c>
      <c r="H1853" s="146">
        <v>44716</v>
      </c>
      <c r="I1853" s="145">
        <v>0.56723999999999997</v>
      </c>
      <c r="J1853" s="145"/>
      <c r="K1853" s="145"/>
      <c r="L1853" s="145"/>
      <c r="M1853" s="145"/>
      <c r="N1853" s="145"/>
      <c r="O1853" s="145"/>
      <c r="P1853" s="145"/>
      <c r="Q1853" s="145"/>
      <c r="R1853" s="145"/>
      <c r="S1853" s="145"/>
      <c r="T1853" s="146">
        <v>24982</v>
      </c>
      <c r="U1853" s="145"/>
      <c r="V1853" s="145" t="s">
        <v>2383</v>
      </c>
      <c r="W1853" s="92" t="str">
        <f t="shared" si="127"/>
        <v>Terpea ,Emil</v>
      </c>
      <c r="X1853" s="95">
        <f t="shared" si="128"/>
        <v>6</v>
      </c>
      <c r="Y1853" s="95">
        <f t="shared" si="129"/>
        <v>2022</v>
      </c>
      <c r="Z1853" s="136" t="s">
        <v>266</v>
      </c>
      <c r="AA1853" t="str">
        <f>IF(Tabla1[[#This Row],[Kerma en aire acumulada (Gy)]]&gt;1,SUMIF(G:G,Tabla1[[#This Row],[SIP]],I:I)-Tabla1[[#This Row],[Kerma en aire acumulada (Gy)]],"")</f>
        <v/>
      </c>
    </row>
    <row r="1854" spans="3:27">
      <c r="C1854" s="144" t="str">
        <f t="shared" si="126"/>
        <v>Adulto</v>
      </c>
      <c r="D1854" s="145" t="s">
        <v>2755</v>
      </c>
      <c r="E1854" s="145" t="s">
        <v>3048</v>
      </c>
      <c r="F1854" s="145" t="s">
        <v>1196</v>
      </c>
      <c r="G1854" s="145">
        <v>307201</v>
      </c>
      <c r="H1854" s="146">
        <v>44717</v>
      </c>
      <c r="I1854" s="145">
        <v>0.19508</v>
      </c>
      <c r="J1854" s="145"/>
      <c r="K1854" s="145"/>
      <c r="L1854" s="145"/>
      <c r="M1854" s="145"/>
      <c r="N1854" s="145"/>
      <c r="O1854" s="145"/>
      <c r="P1854" s="145"/>
      <c r="Q1854" s="145"/>
      <c r="R1854" s="145"/>
      <c r="S1854" s="145"/>
      <c r="T1854" s="146">
        <v>16636</v>
      </c>
      <c r="U1854" s="145"/>
      <c r="V1854" s="145" t="s">
        <v>2383</v>
      </c>
      <c r="W1854" s="92" t="str">
        <f t="shared" si="127"/>
        <v>Adsuara Magraner,Emilia</v>
      </c>
      <c r="X1854" s="95">
        <f t="shared" si="128"/>
        <v>6</v>
      </c>
      <c r="Y1854" s="95">
        <f t="shared" si="129"/>
        <v>2022</v>
      </c>
      <c r="Z1854" s="136" t="s">
        <v>266</v>
      </c>
      <c r="AA1854" t="str">
        <f>IF(Tabla1[[#This Row],[Kerma en aire acumulada (Gy)]]&gt;1,SUMIF(G:G,Tabla1[[#This Row],[SIP]],I:I)-Tabla1[[#This Row],[Kerma en aire acumulada (Gy)]],"")</f>
        <v/>
      </c>
    </row>
    <row r="1855" spans="3:27">
      <c r="C1855" s="144" t="str">
        <f t="shared" si="126"/>
        <v>Adulto</v>
      </c>
      <c r="D1855" s="145" t="s">
        <v>2350</v>
      </c>
      <c r="E1855" s="145" t="s">
        <v>2350</v>
      </c>
      <c r="F1855" s="145" t="s">
        <v>267</v>
      </c>
      <c r="G1855" s="145">
        <v>232985</v>
      </c>
      <c r="H1855" s="146">
        <v>44717</v>
      </c>
      <c r="I1855" s="168">
        <v>1.2829600000000001</v>
      </c>
      <c r="J1855" s="145"/>
      <c r="K1855" s="145"/>
      <c r="L1855" s="145"/>
      <c r="M1855" s="145"/>
      <c r="N1855" s="145"/>
      <c r="O1855" s="145"/>
      <c r="P1855" s="145"/>
      <c r="Q1855" s="145"/>
      <c r="R1855" s="145"/>
      <c r="S1855" s="145"/>
      <c r="T1855" s="146">
        <v>10658</v>
      </c>
      <c r="U1855" s="145"/>
      <c r="V1855" s="145" t="s">
        <v>2383</v>
      </c>
      <c r="W1855" s="92" t="str">
        <f t="shared" si="127"/>
        <v>Carretero Carretero,Felix</v>
      </c>
      <c r="X1855" s="95">
        <f t="shared" si="128"/>
        <v>6</v>
      </c>
      <c r="Y1855" s="95">
        <f t="shared" si="129"/>
        <v>2022</v>
      </c>
      <c r="Z1855" s="136" t="s">
        <v>266</v>
      </c>
      <c r="AA1855">
        <f>IF(Tabla1[[#This Row],[Kerma en aire acumulada (Gy)]]&gt;1,SUMIF(G:G,Tabla1[[#This Row],[SIP]],I:I)-Tabla1[[#This Row],[Kerma en aire acumulada (Gy)]],"")</f>
        <v>0</v>
      </c>
    </row>
    <row r="1856" spans="3:27">
      <c r="C1856" s="144" t="str">
        <f t="shared" si="126"/>
        <v>Adulto</v>
      </c>
      <c r="D1856" s="145" t="s">
        <v>2759</v>
      </c>
      <c r="E1856" s="145" t="s">
        <v>2172</v>
      </c>
      <c r="F1856" s="145" t="s">
        <v>3061</v>
      </c>
      <c r="G1856" s="145">
        <v>3378151</v>
      </c>
      <c r="H1856" s="146">
        <v>44718</v>
      </c>
      <c r="I1856" s="145">
        <v>0.31379000000000001</v>
      </c>
      <c r="J1856" s="145"/>
      <c r="K1856" s="145"/>
      <c r="L1856" s="145"/>
      <c r="M1856" s="145"/>
      <c r="N1856" s="145"/>
      <c r="O1856" s="145"/>
      <c r="P1856" s="145"/>
      <c r="Q1856" s="145"/>
      <c r="R1856" s="145"/>
      <c r="S1856" s="145"/>
      <c r="T1856" s="146">
        <v>18482</v>
      </c>
      <c r="U1856" s="145"/>
      <c r="V1856" s="145" t="s">
        <v>2383</v>
      </c>
      <c r="W1856" s="92" t="str">
        <f t="shared" si="127"/>
        <v>Vega Valdivia,J Jose Maria</v>
      </c>
      <c r="X1856" s="95">
        <f t="shared" si="128"/>
        <v>6</v>
      </c>
      <c r="Y1856" s="95">
        <f t="shared" si="129"/>
        <v>2022</v>
      </c>
      <c r="Z1856" s="136" t="s">
        <v>266</v>
      </c>
      <c r="AA1856" t="str">
        <f>IF(Tabla1[[#This Row],[Kerma en aire acumulada (Gy)]]&gt;1,SUMIF(G:G,Tabla1[[#This Row],[SIP]],I:I)-Tabla1[[#This Row],[Kerma en aire acumulada (Gy)]],"")</f>
        <v/>
      </c>
    </row>
    <row r="1857" spans="3:27">
      <c r="C1857" s="144" t="str">
        <f t="shared" si="126"/>
        <v>Adulto</v>
      </c>
      <c r="D1857" s="145" t="s">
        <v>3060</v>
      </c>
      <c r="E1857" s="145" t="s">
        <v>320</v>
      </c>
      <c r="F1857" s="145" t="s">
        <v>2189</v>
      </c>
      <c r="G1857" s="145">
        <v>1540846</v>
      </c>
      <c r="H1857" s="146">
        <v>44718</v>
      </c>
      <c r="I1857" s="145">
        <v>0.13023999999999999</v>
      </c>
      <c r="J1857" s="145"/>
      <c r="K1857" s="145"/>
      <c r="L1857" s="145"/>
      <c r="M1857" s="145"/>
      <c r="N1857" s="145"/>
      <c r="O1857" s="145"/>
      <c r="P1857" s="145"/>
      <c r="Q1857" s="145"/>
      <c r="R1857" s="145"/>
      <c r="S1857" s="145"/>
      <c r="T1857" s="146">
        <v>16867</v>
      </c>
      <c r="U1857" s="145"/>
      <c r="V1857" s="145" t="s">
        <v>2383</v>
      </c>
      <c r="W1857" s="92" t="str">
        <f t="shared" si="127"/>
        <v>Cotes Cano,Juan Jose</v>
      </c>
      <c r="X1857" s="95">
        <f t="shared" si="128"/>
        <v>6</v>
      </c>
      <c r="Y1857" s="95">
        <f t="shared" si="129"/>
        <v>2022</v>
      </c>
      <c r="Z1857" s="136" t="s">
        <v>266</v>
      </c>
      <c r="AA1857" t="str">
        <f>IF(Tabla1[[#This Row],[Kerma en aire acumulada (Gy)]]&gt;1,SUMIF(G:G,Tabla1[[#This Row],[SIP]],I:I)-Tabla1[[#This Row],[Kerma en aire acumulada (Gy)]],"")</f>
        <v/>
      </c>
    </row>
    <row r="1858" spans="3:27">
      <c r="C1858" s="144" t="str">
        <f t="shared" ref="C1858:C1921" si="130">IF(OR(H1858="",T1858=""),"",IF((H1858-T1858)/12/30&lt;18,"Pediátrico","Adulto"))</f>
        <v>Adulto</v>
      </c>
      <c r="D1858" s="145" t="s">
        <v>353</v>
      </c>
      <c r="E1858" s="145" t="s">
        <v>22</v>
      </c>
      <c r="F1858" s="145" t="s">
        <v>2673</v>
      </c>
      <c r="G1858" s="145">
        <v>3742578</v>
      </c>
      <c r="H1858" s="146">
        <v>44718</v>
      </c>
      <c r="I1858" s="145">
        <v>0.31380999999999998</v>
      </c>
      <c r="J1858" s="145"/>
      <c r="K1858" s="145"/>
      <c r="L1858" s="145"/>
      <c r="M1858" s="145"/>
      <c r="N1858" s="145"/>
      <c r="O1858" s="145"/>
      <c r="P1858" s="145"/>
      <c r="Q1858" s="145"/>
      <c r="R1858" s="145"/>
      <c r="S1858" s="145"/>
      <c r="T1858" s="146">
        <v>21238</v>
      </c>
      <c r="U1858" s="145"/>
      <c r="V1858" s="145" t="s">
        <v>2383</v>
      </c>
      <c r="W1858" s="92" t="str">
        <f t="shared" si="127"/>
        <v>Muñoz Ruiz,Julio</v>
      </c>
      <c r="X1858" s="95">
        <f t="shared" si="128"/>
        <v>6</v>
      </c>
      <c r="Y1858" s="95">
        <f t="shared" si="129"/>
        <v>2022</v>
      </c>
      <c r="Z1858" s="136" t="s">
        <v>266</v>
      </c>
      <c r="AA1858" t="str">
        <f>IF(Tabla1[[#This Row],[Kerma en aire acumulada (Gy)]]&gt;1,SUMIF(G:G,Tabla1[[#This Row],[SIP]],I:I)-Tabla1[[#This Row],[Kerma en aire acumulada (Gy)]],"")</f>
        <v/>
      </c>
    </row>
    <row r="1859" spans="3:27">
      <c r="C1859" s="144" t="str">
        <f t="shared" si="130"/>
        <v>Adulto</v>
      </c>
      <c r="D1859" s="145" t="s">
        <v>152</v>
      </c>
      <c r="E1859" s="145" t="s">
        <v>3059</v>
      </c>
      <c r="F1859" s="145" t="s">
        <v>2410</v>
      </c>
      <c r="G1859" s="145">
        <v>12249788</v>
      </c>
      <c r="H1859" s="146">
        <v>44718</v>
      </c>
      <c r="I1859" s="145">
        <v>0.35543999999999998</v>
      </c>
      <c r="J1859" s="145"/>
      <c r="K1859" s="145"/>
      <c r="L1859" s="145"/>
      <c r="M1859" s="145"/>
      <c r="N1859" s="145"/>
      <c r="O1859" s="145"/>
      <c r="P1859" s="145"/>
      <c r="Q1859" s="145"/>
      <c r="R1859" s="145"/>
      <c r="S1859" s="145"/>
      <c r="T1859" s="146">
        <v>15411</v>
      </c>
      <c r="U1859" s="145"/>
      <c r="V1859" s="145" t="s">
        <v>2383</v>
      </c>
      <c r="W1859" s="92" t="str">
        <f t="shared" si="127"/>
        <v>Vidal Riñon,Jose Maria</v>
      </c>
      <c r="X1859" s="95">
        <f t="shared" si="128"/>
        <v>6</v>
      </c>
      <c r="Y1859" s="95">
        <f t="shared" si="129"/>
        <v>2022</v>
      </c>
      <c r="Z1859" s="136" t="s">
        <v>266</v>
      </c>
      <c r="AA1859" t="str">
        <f>IF(Tabla1[[#This Row],[Kerma en aire acumulada (Gy)]]&gt;1,SUMIF(G:G,Tabla1[[#This Row],[SIP]],I:I)-Tabla1[[#This Row],[Kerma en aire acumulada (Gy)]],"")</f>
        <v/>
      </c>
    </row>
    <row r="1860" spans="3:27">
      <c r="C1860" s="144" t="str">
        <f t="shared" si="130"/>
        <v>Adulto</v>
      </c>
      <c r="D1860" s="145" t="s">
        <v>3058</v>
      </c>
      <c r="E1860" s="145"/>
      <c r="F1860" s="145" t="s">
        <v>3057</v>
      </c>
      <c r="G1860" s="145">
        <v>8084923</v>
      </c>
      <c r="H1860" s="146">
        <v>44718</v>
      </c>
      <c r="I1860" s="145">
        <v>0.19903999999999999</v>
      </c>
      <c r="J1860" s="145"/>
      <c r="K1860" s="145"/>
      <c r="L1860" s="145"/>
      <c r="M1860" s="145"/>
      <c r="N1860" s="145"/>
      <c r="O1860" s="145"/>
      <c r="P1860" s="145"/>
      <c r="Q1860" s="145"/>
      <c r="R1860" s="145"/>
      <c r="S1860" s="145"/>
      <c r="T1860" s="146">
        <v>21886</v>
      </c>
      <c r="U1860" s="145"/>
      <c r="V1860" s="145" t="s">
        <v>2383</v>
      </c>
      <c r="W1860" s="92" t="str">
        <f t="shared" si="127"/>
        <v>Sakalauskiene ,Virginija</v>
      </c>
      <c r="X1860" s="95">
        <f t="shared" si="128"/>
        <v>6</v>
      </c>
      <c r="Y1860" s="95">
        <f t="shared" si="129"/>
        <v>2022</v>
      </c>
      <c r="Z1860" s="136" t="s">
        <v>266</v>
      </c>
      <c r="AA1860" t="str">
        <f>IF(Tabla1[[#This Row],[Kerma en aire acumulada (Gy)]]&gt;1,SUMIF(G:G,Tabla1[[#This Row],[SIP]],I:I)-Tabla1[[#This Row],[Kerma en aire acumulada (Gy)]],"")</f>
        <v/>
      </c>
    </row>
    <row r="1861" spans="3:27">
      <c r="C1861" s="144" t="str">
        <f t="shared" si="130"/>
        <v>Adulto</v>
      </c>
      <c r="D1861" s="145" t="s">
        <v>1227</v>
      </c>
      <c r="E1861" s="145" t="s">
        <v>1228</v>
      </c>
      <c r="F1861" s="145" t="s">
        <v>2183</v>
      </c>
      <c r="G1861" s="145">
        <v>2811489</v>
      </c>
      <c r="H1861" s="146">
        <v>44718</v>
      </c>
      <c r="I1861" s="145">
        <v>0.10248</v>
      </c>
      <c r="J1861" s="145"/>
      <c r="K1861" s="145"/>
      <c r="L1861" s="145"/>
      <c r="M1861" s="145"/>
      <c r="N1861" s="145"/>
      <c r="O1861" s="145"/>
      <c r="P1861" s="145"/>
      <c r="Q1861" s="145"/>
      <c r="R1861" s="145"/>
      <c r="S1861" s="145"/>
      <c r="T1861" s="146">
        <v>18103</v>
      </c>
      <c r="U1861" s="145"/>
      <c r="V1861" s="145" t="s">
        <v>2383</v>
      </c>
      <c r="W1861" s="92" t="str">
        <f t="shared" si="127"/>
        <v>Galvez Guillen,Agustin</v>
      </c>
      <c r="X1861" s="95">
        <f t="shared" si="128"/>
        <v>6</v>
      </c>
      <c r="Y1861" s="95">
        <f t="shared" si="129"/>
        <v>2022</v>
      </c>
      <c r="Z1861" s="136" t="s">
        <v>266</v>
      </c>
      <c r="AA1861" t="str">
        <f>IF(Tabla1[[#This Row],[Kerma en aire acumulada (Gy)]]&gt;1,SUMIF(G:G,Tabla1[[#This Row],[SIP]],I:I)-Tabla1[[#This Row],[Kerma en aire acumulada (Gy)]],"")</f>
        <v/>
      </c>
    </row>
    <row r="1862" spans="3:27">
      <c r="C1862" s="144" t="str">
        <f t="shared" si="130"/>
        <v>Adulto</v>
      </c>
      <c r="D1862" s="145" t="s">
        <v>3056</v>
      </c>
      <c r="E1862" s="145" t="s">
        <v>1614</v>
      </c>
      <c r="F1862" s="145" t="s">
        <v>2069</v>
      </c>
      <c r="G1862" s="145">
        <v>2264017</v>
      </c>
      <c r="H1862" s="146">
        <v>44718</v>
      </c>
      <c r="I1862" s="145">
        <v>0.27350000000000002</v>
      </c>
      <c r="J1862" s="145"/>
      <c r="K1862" s="145"/>
      <c r="L1862" s="145"/>
      <c r="M1862" s="145"/>
      <c r="N1862" s="145"/>
      <c r="O1862" s="145"/>
      <c r="P1862" s="145"/>
      <c r="Q1862" s="145"/>
      <c r="R1862" s="145"/>
      <c r="S1862" s="145"/>
      <c r="T1862" s="146">
        <v>20118</v>
      </c>
      <c r="U1862" s="145"/>
      <c r="V1862" s="145" t="s">
        <v>2383</v>
      </c>
      <c r="W1862" s="92" t="str">
        <f t="shared" si="127"/>
        <v>Maza Higueras,Rosario</v>
      </c>
      <c r="X1862" s="95">
        <f t="shared" si="128"/>
        <v>6</v>
      </c>
      <c r="Y1862" s="95">
        <f t="shared" si="129"/>
        <v>2022</v>
      </c>
      <c r="Z1862" s="136" t="s">
        <v>266</v>
      </c>
      <c r="AA1862" t="str">
        <f>IF(Tabla1[[#This Row],[Kerma en aire acumulada (Gy)]]&gt;1,SUMIF(G:G,Tabla1[[#This Row],[SIP]],I:I)-Tabla1[[#This Row],[Kerma en aire acumulada (Gy)]],"")</f>
        <v/>
      </c>
    </row>
    <row r="1863" spans="3:27">
      <c r="C1863" s="144" t="str">
        <f t="shared" si="130"/>
        <v>Adulto</v>
      </c>
      <c r="D1863" s="145" t="s">
        <v>840</v>
      </c>
      <c r="E1863" s="145" t="s">
        <v>737</v>
      </c>
      <c r="F1863" s="145" t="s">
        <v>3055</v>
      </c>
      <c r="G1863" s="145">
        <v>2234428</v>
      </c>
      <c r="H1863" s="146">
        <v>44718</v>
      </c>
      <c r="I1863" s="145">
        <v>7.424E-2</v>
      </c>
      <c r="J1863" s="145"/>
      <c r="K1863" s="145"/>
      <c r="L1863" s="145"/>
      <c r="M1863" s="145"/>
      <c r="N1863" s="145"/>
      <c r="O1863" s="145"/>
      <c r="P1863" s="145"/>
      <c r="Q1863" s="145"/>
      <c r="R1863" s="145"/>
      <c r="S1863" s="145"/>
      <c r="T1863" s="146">
        <v>15600</v>
      </c>
      <c r="U1863" s="145"/>
      <c r="V1863" s="145" t="s">
        <v>2383</v>
      </c>
      <c r="W1863" s="92" t="str">
        <f t="shared" si="127"/>
        <v>Santiago Mora,Inocencia</v>
      </c>
      <c r="X1863" s="95">
        <f t="shared" si="128"/>
        <v>6</v>
      </c>
      <c r="Y1863" s="95">
        <f t="shared" si="129"/>
        <v>2022</v>
      </c>
      <c r="Z1863" s="136" t="s">
        <v>266</v>
      </c>
      <c r="AA1863" t="str">
        <f>IF(Tabla1[[#This Row],[Kerma en aire acumulada (Gy)]]&gt;1,SUMIF(G:G,Tabla1[[#This Row],[SIP]],I:I)-Tabla1[[#This Row],[Kerma en aire acumulada (Gy)]],"")</f>
        <v/>
      </c>
    </row>
    <row r="1864" spans="3:27">
      <c r="C1864" s="144" t="str">
        <f t="shared" si="130"/>
        <v>Adulto</v>
      </c>
      <c r="D1864" s="145" t="s">
        <v>3053</v>
      </c>
      <c r="E1864" s="145" t="s">
        <v>3054</v>
      </c>
      <c r="F1864" s="145" t="s">
        <v>1059</v>
      </c>
      <c r="G1864" s="145">
        <v>3290282</v>
      </c>
      <c r="H1864" s="146">
        <v>44718</v>
      </c>
      <c r="I1864" s="145">
        <v>0.22419</v>
      </c>
      <c r="J1864" s="145"/>
      <c r="K1864" s="145"/>
      <c r="L1864" s="145"/>
      <c r="M1864" s="145"/>
      <c r="N1864" s="145"/>
      <c r="O1864" s="145"/>
      <c r="P1864" s="145"/>
      <c r="Q1864" s="145"/>
      <c r="R1864" s="145"/>
      <c r="S1864" s="145"/>
      <c r="T1864" s="146">
        <v>17648</v>
      </c>
      <c r="U1864" s="145"/>
      <c r="V1864" s="145" t="s">
        <v>2383</v>
      </c>
      <c r="W1864" s="92" t="str">
        <f t="shared" si="127"/>
        <v>Peñaranda Bohigues,M Desamparados</v>
      </c>
      <c r="X1864" s="95">
        <f t="shared" si="128"/>
        <v>6</v>
      </c>
      <c r="Y1864" s="95">
        <f t="shared" si="129"/>
        <v>2022</v>
      </c>
      <c r="Z1864" s="136" t="s">
        <v>266</v>
      </c>
      <c r="AA1864" t="str">
        <f>IF(Tabla1[[#This Row],[Kerma en aire acumulada (Gy)]]&gt;1,SUMIF(G:G,Tabla1[[#This Row],[SIP]],I:I)-Tabla1[[#This Row],[Kerma en aire acumulada (Gy)]],"")</f>
        <v/>
      </c>
    </row>
    <row r="1865" spans="3:27">
      <c r="C1865" s="144" t="str">
        <f t="shared" si="130"/>
        <v>Adulto</v>
      </c>
      <c r="D1865" s="145" t="s">
        <v>2285</v>
      </c>
      <c r="E1865" s="145" t="s">
        <v>772</v>
      </c>
      <c r="F1865" s="145" t="s">
        <v>519</v>
      </c>
      <c r="G1865" s="145">
        <v>2967804</v>
      </c>
      <c r="H1865" s="146">
        <v>44718</v>
      </c>
      <c r="I1865" s="145">
        <v>0.13508000000000001</v>
      </c>
      <c r="J1865" s="145"/>
      <c r="K1865" s="145"/>
      <c r="L1865" s="145"/>
      <c r="M1865" s="145"/>
      <c r="N1865" s="145"/>
      <c r="O1865" s="145"/>
      <c r="P1865" s="145"/>
      <c r="Q1865" s="145"/>
      <c r="R1865" s="145"/>
      <c r="S1865" s="145"/>
      <c r="T1865" s="146">
        <v>24257</v>
      </c>
      <c r="U1865" s="145"/>
      <c r="V1865" s="145" t="s">
        <v>2383</v>
      </c>
      <c r="W1865" s="92" t="str">
        <f t="shared" si="127"/>
        <v>Alarcon Sanchez,Fernando</v>
      </c>
      <c r="X1865" s="95">
        <f t="shared" si="128"/>
        <v>6</v>
      </c>
      <c r="Y1865" s="95">
        <f t="shared" si="129"/>
        <v>2022</v>
      </c>
      <c r="Z1865" s="136" t="s">
        <v>266</v>
      </c>
      <c r="AA1865" t="str">
        <f>IF(Tabla1[[#This Row],[Kerma en aire acumulada (Gy)]]&gt;1,SUMIF(G:G,Tabla1[[#This Row],[SIP]],I:I)-Tabla1[[#This Row],[Kerma en aire acumulada (Gy)]],"")</f>
        <v/>
      </c>
    </row>
    <row r="1866" spans="3:27">
      <c r="C1866" s="144" t="str">
        <f t="shared" si="130"/>
        <v>Adulto</v>
      </c>
      <c r="D1866" s="145" t="s">
        <v>319</v>
      </c>
      <c r="E1866" s="145" t="s">
        <v>15</v>
      </c>
      <c r="F1866" s="145" t="s">
        <v>2189</v>
      </c>
      <c r="G1866" s="145">
        <v>2303472</v>
      </c>
      <c r="H1866" s="146">
        <v>44718</v>
      </c>
      <c r="I1866" s="168">
        <v>1.44546</v>
      </c>
      <c r="J1866" s="145"/>
      <c r="K1866" s="145"/>
      <c r="L1866" s="145"/>
      <c r="M1866" s="145"/>
      <c r="N1866" s="145"/>
      <c r="O1866" s="145"/>
      <c r="P1866" s="145"/>
      <c r="Q1866" s="145"/>
      <c r="R1866" s="145"/>
      <c r="S1866" s="145"/>
      <c r="T1866" s="146">
        <v>20739</v>
      </c>
      <c r="U1866" s="145"/>
      <c r="V1866" s="145" t="s">
        <v>2383</v>
      </c>
      <c r="W1866" s="92" t="str">
        <f t="shared" si="127"/>
        <v>Gonzalez Moreno,Juan Jose</v>
      </c>
      <c r="X1866" s="95">
        <f t="shared" si="128"/>
        <v>6</v>
      </c>
      <c r="Y1866" s="95">
        <f t="shared" si="129"/>
        <v>2022</v>
      </c>
      <c r="Z1866" s="136" t="s">
        <v>266</v>
      </c>
      <c r="AA1866">
        <f>IF(Tabla1[[#This Row],[Kerma en aire acumulada (Gy)]]&gt;1,SUMIF(G:G,Tabla1[[#This Row],[SIP]],I:I)-Tabla1[[#This Row],[Kerma en aire acumulada (Gy)]],"")</f>
        <v>0</v>
      </c>
    </row>
    <row r="1867" spans="3:27">
      <c r="C1867" s="144" t="str">
        <f t="shared" si="130"/>
        <v>Adulto</v>
      </c>
      <c r="D1867" s="145" t="s">
        <v>948</v>
      </c>
      <c r="E1867" s="145" t="s">
        <v>90</v>
      </c>
      <c r="F1867" s="145" t="s">
        <v>991</v>
      </c>
      <c r="G1867" s="145">
        <v>2245535</v>
      </c>
      <c r="H1867" s="146">
        <v>44718</v>
      </c>
      <c r="I1867" s="145">
        <v>7.0610000000000006E-2</v>
      </c>
      <c r="J1867" s="145"/>
      <c r="K1867" s="145"/>
      <c r="L1867" s="145"/>
      <c r="M1867" s="145"/>
      <c r="N1867" s="145"/>
      <c r="O1867" s="145"/>
      <c r="P1867" s="145"/>
      <c r="Q1867" s="145"/>
      <c r="R1867" s="145"/>
      <c r="S1867" s="145"/>
      <c r="T1867" s="146">
        <v>13553</v>
      </c>
      <c r="U1867" s="145"/>
      <c r="V1867" s="145" t="s">
        <v>3052</v>
      </c>
      <c r="W1867" s="92" t="str">
        <f t="shared" si="127"/>
        <v>Martinez Nieto,Jose</v>
      </c>
      <c r="X1867" s="95">
        <f t="shared" si="128"/>
        <v>6</v>
      </c>
      <c r="Y1867" s="95">
        <f t="shared" si="129"/>
        <v>2022</v>
      </c>
      <c r="Z1867" s="136" t="s">
        <v>265</v>
      </c>
      <c r="AA1867" t="str">
        <f>IF(Tabla1[[#This Row],[Kerma en aire acumulada (Gy)]]&gt;1,SUMIF(G:G,Tabla1[[#This Row],[SIP]],I:I)-Tabla1[[#This Row],[Kerma en aire acumulada (Gy)]],"")</f>
        <v/>
      </c>
    </row>
    <row r="1868" spans="3:27">
      <c r="C1868" s="144" t="str">
        <f t="shared" si="130"/>
        <v>Adulto</v>
      </c>
      <c r="D1868" s="145" t="s">
        <v>2145</v>
      </c>
      <c r="E1868" s="145" t="s">
        <v>2247</v>
      </c>
      <c r="F1868" s="145" t="s">
        <v>2248</v>
      </c>
      <c r="G1868" s="145">
        <v>3554561</v>
      </c>
      <c r="H1868" s="146">
        <v>44718</v>
      </c>
      <c r="I1868" s="145">
        <v>2.401E-2</v>
      </c>
      <c r="J1868" s="145"/>
      <c r="K1868" s="145"/>
      <c r="L1868" s="145"/>
      <c r="M1868" s="145"/>
      <c r="N1868" s="145"/>
      <c r="O1868" s="145"/>
      <c r="P1868" s="145"/>
      <c r="Q1868" s="145"/>
      <c r="R1868" s="145"/>
      <c r="S1868" s="145"/>
      <c r="T1868" s="146">
        <v>19403</v>
      </c>
      <c r="U1868" s="145"/>
      <c r="V1868" s="145" t="s">
        <v>3051</v>
      </c>
      <c r="W1868" s="92" t="str">
        <f t="shared" si="127"/>
        <v>Magro Bimbarra,Jose Candido</v>
      </c>
      <c r="X1868" s="95">
        <f t="shared" si="128"/>
        <v>6</v>
      </c>
      <c r="Y1868" s="95">
        <f t="shared" si="129"/>
        <v>2022</v>
      </c>
      <c r="Z1868" s="136" t="s">
        <v>265</v>
      </c>
      <c r="AA1868" t="str">
        <f>IF(Tabla1[[#This Row],[Kerma en aire acumulada (Gy)]]&gt;1,SUMIF(G:G,Tabla1[[#This Row],[SIP]],I:I)-Tabla1[[#This Row],[Kerma en aire acumulada (Gy)]],"")</f>
        <v/>
      </c>
    </row>
    <row r="1869" spans="3:27">
      <c r="C1869" s="144" t="str">
        <f t="shared" si="130"/>
        <v>Adulto</v>
      </c>
      <c r="D1869" s="145" t="s">
        <v>3049</v>
      </c>
      <c r="E1869" s="145" t="s">
        <v>3050</v>
      </c>
      <c r="F1869" s="145" t="s">
        <v>20</v>
      </c>
      <c r="G1869" s="145">
        <v>2302678</v>
      </c>
      <c r="H1869" s="146">
        <v>44718</v>
      </c>
      <c r="I1869" s="168">
        <v>1.14751</v>
      </c>
      <c r="J1869" s="145"/>
      <c r="K1869" s="145"/>
      <c r="L1869" s="145"/>
      <c r="M1869" s="145"/>
      <c r="N1869" s="145"/>
      <c r="O1869" s="145"/>
      <c r="P1869" s="145"/>
      <c r="Q1869" s="145"/>
      <c r="R1869" s="145"/>
      <c r="S1869" s="145"/>
      <c r="T1869" s="146">
        <v>17897</v>
      </c>
      <c r="U1869" s="145"/>
      <c r="V1869" s="145" t="s">
        <v>89</v>
      </c>
      <c r="W1869" s="92" t="str">
        <f t="shared" si="127"/>
        <v>Matoses Vilache,Antonio</v>
      </c>
      <c r="X1869" s="95">
        <f t="shared" si="128"/>
        <v>6</v>
      </c>
      <c r="Y1869" s="95">
        <f t="shared" si="129"/>
        <v>2022</v>
      </c>
      <c r="Z1869" s="136" t="s">
        <v>265</v>
      </c>
      <c r="AA1869">
        <f>IF(Tabla1[[#This Row],[Kerma en aire acumulada (Gy)]]&gt;1,SUMIF(G:G,Tabla1[[#This Row],[SIP]],I:I)-Tabla1[[#This Row],[Kerma en aire acumulada (Gy)]],"")</f>
        <v>0</v>
      </c>
    </row>
    <row r="1870" spans="3:27">
      <c r="C1870" s="144" t="str">
        <f t="shared" si="130"/>
        <v>Adulto</v>
      </c>
      <c r="D1870" s="145" t="s">
        <v>66</v>
      </c>
      <c r="E1870" s="145" t="s">
        <v>966</v>
      </c>
      <c r="F1870" s="145" t="s">
        <v>20</v>
      </c>
      <c r="G1870" s="145">
        <v>1060204</v>
      </c>
      <c r="H1870" s="146">
        <v>44718</v>
      </c>
      <c r="I1870" s="145">
        <v>0.44762000000000002</v>
      </c>
      <c r="J1870" s="145"/>
      <c r="K1870" s="145"/>
      <c r="L1870" s="145"/>
      <c r="M1870" s="145"/>
      <c r="N1870" s="145"/>
      <c r="O1870" s="145"/>
      <c r="P1870" s="145"/>
      <c r="Q1870" s="145"/>
      <c r="R1870" s="145"/>
      <c r="S1870" s="145"/>
      <c r="T1870" s="146">
        <v>23028</v>
      </c>
      <c r="U1870" s="145"/>
      <c r="V1870" s="145" t="s">
        <v>1246</v>
      </c>
      <c r="W1870" s="92" t="str">
        <f t="shared" si="127"/>
        <v>Navarro Marco,Antonio</v>
      </c>
      <c r="X1870" s="95">
        <f t="shared" si="128"/>
        <v>6</v>
      </c>
      <c r="Y1870" s="95">
        <f t="shared" si="129"/>
        <v>2022</v>
      </c>
      <c r="Z1870" s="136" t="s">
        <v>265</v>
      </c>
      <c r="AA1870" t="str">
        <f>IF(Tabla1[[#This Row],[Kerma en aire acumulada (Gy)]]&gt;1,SUMIF(G:G,Tabla1[[#This Row],[SIP]],I:I)-Tabla1[[#This Row],[Kerma en aire acumulada (Gy)]],"")</f>
        <v/>
      </c>
    </row>
    <row r="1871" spans="3:27">
      <c r="C1871" s="144" t="str">
        <f t="shared" si="130"/>
        <v>Adulto</v>
      </c>
      <c r="D1871" s="145" t="s">
        <v>3079</v>
      </c>
      <c r="E1871" s="145" t="s">
        <v>2342</v>
      </c>
      <c r="F1871" s="145" t="s">
        <v>635</v>
      </c>
      <c r="G1871" s="145">
        <v>2255651</v>
      </c>
      <c r="H1871" s="146">
        <v>44719</v>
      </c>
      <c r="I1871" s="145">
        <v>3.4499999999999999E-3</v>
      </c>
      <c r="J1871" s="145"/>
      <c r="K1871" s="145"/>
      <c r="L1871" s="145"/>
      <c r="M1871" s="145"/>
      <c r="N1871" s="145"/>
      <c r="O1871" s="145"/>
      <c r="P1871" s="145"/>
      <c r="Q1871" s="145"/>
      <c r="R1871" s="145"/>
      <c r="S1871" s="145"/>
      <c r="T1871" s="146">
        <v>17848</v>
      </c>
      <c r="U1871" s="145"/>
      <c r="V1871" s="145" t="s">
        <v>3043</v>
      </c>
      <c r="W1871" s="92" t="str">
        <f t="shared" si="127"/>
        <v>Fenollosa Domenech,Enrique</v>
      </c>
      <c r="X1871" s="95">
        <f t="shared" si="128"/>
        <v>6</v>
      </c>
      <c r="Y1871" s="95">
        <f t="shared" si="129"/>
        <v>2022</v>
      </c>
      <c r="Z1871" s="153" t="s">
        <v>2238</v>
      </c>
      <c r="AA1871" t="str">
        <f>IF(Tabla1[[#This Row],[Kerma en aire acumulada (Gy)]]&gt;1,SUMIF(G:G,Tabla1[[#This Row],[SIP]],I:I)-Tabla1[[#This Row],[Kerma en aire acumulada (Gy)]],"")</f>
        <v/>
      </c>
    </row>
    <row r="1872" spans="3:27">
      <c r="C1872" s="144" t="str">
        <f t="shared" si="130"/>
        <v>Adulto</v>
      </c>
      <c r="D1872" s="145" t="s">
        <v>2783</v>
      </c>
      <c r="E1872" s="145" t="s">
        <v>3080</v>
      </c>
      <c r="F1872" s="145" t="s">
        <v>3078</v>
      </c>
      <c r="G1872" s="145">
        <v>2820193</v>
      </c>
      <c r="H1872" s="146">
        <v>44719</v>
      </c>
      <c r="I1872" s="145">
        <f>8.43/1000</f>
        <v>8.43E-3</v>
      </c>
      <c r="J1872" s="145"/>
      <c r="K1872" s="145"/>
      <c r="L1872" s="145"/>
      <c r="M1872" s="145"/>
      <c r="N1872" s="145"/>
      <c r="O1872" s="145"/>
      <c r="P1872" s="145"/>
      <c r="Q1872" s="145"/>
      <c r="R1872" s="145"/>
      <c r="S1872" s="145"/>
      <c r="T1872" s="146">
        <v>21856</v>
      </c>
      <c r="U1872" s="145"/>
      <c r="V1872" s="145" t="s">
        <v>3077</v>
      </c>
      <c r="W1872" s="92" t="str">
        <f t="shared" si="127"/>
        <v>Centelles Forner,Rosalia Teresa</v>
      </c>
      <c r="X1872" s="95">
        <f t="shared" si="128"/>
        <v>6</v>
      </c>
      <c r="Y1872" s="95">
        <f t="shared" si="129"/>
        <v>2022</v>
      </c>
      <c r="Z1872" s="153" t="s">
        <v>2238</v>
      </c>
      <c r="AA1872" t="str">
        <f>IF(Tabla1[[#This Row],[Kerma en aire acumulada (Gy)]]&gt;1,SUMIF(G:G,Tabla1[[#This Row],[SIP]],I:I)-Tabla1[[#This Row],[Kerma en aire acumulada (Gy)]],"")</f>
        <v/>
      </c>
    </row>
    <row r="1873" spans="3:27">
      <c r="C1873" s="144" t="str">
        <f t="shared" si="130"/>
        <v>Adulto</v>
      </c>
      <c r="D1873" s="145" t="s">
        <v>3075</v>
      </c>
      <c r="E1873" s="145" t="s">
        <v>3076</v>
      </c>
      <c r="F1873" s="145" t="s">
        <v>2561</v>
      </c>
      <c r="G1873" s="145">
        <v>3273830</v>
      </c>
      <c r="H1873" s="146">
        <v>44719</v>
      </c>
      <c r="I1873" s="145">
        <v>4.3749999999999997E-2</v>
      </c>
      <c r="J1873" s="145"/>
      <c r="K1873" s="145"/>
      <c r="L1873" s="145"/>
      <c r="M1873" s="145"/>
      <c r="N1873" s="145"/>
      <c r="O1873" s="145"/>
      <c r="P1873" s="145"/>
      <c r="Q1873" s="145"/>
      <c r="R1873" s="145"/>
      <c r="S1873" s="145"/>
      <c r="T1873" s="146">
        <v>13067</v>
      </c>
      <c r="U1873" s="145"/>
      <c r="V1873" s="145" t="s">
        <v>2383</v>
      </c>
      <c r="W1873" s="92" t="str">
        <f t="shared" si="127"/>
        <v>Brugada Magide,M Luisa</v>
      </c>
      <c r="X1873" s="95">
        <f t="shared" si="128"/>
        <v>6</v>
      </c>
      <c r="Y1873" s="95">
        <f t="shared" si="129"/>
        <v>2022</v>
      </c>
      <c r="Z1873" s="153" t="s">
        <v>266</v>
      </c>
      <c r="AA1873" t="str">
        <f>IF(Tabla1[[#This Row],[Kerma en aire acumulada (Gy)]]&gt;1,SUMIF(G:G,Tabla1[[#This Row],[SIP]],I:I)-Tabla1[[#This Row],[Kerma en aire acumulada (Gy)]],"")</f>
        <v/>
      </c>
    </row>
    <row r="1874" spans="3:27">
      <c r="C1874" s="144" t="str">
        <f t="shared" si="130"/>
        <v>Adulto</v>
      </c>
      <c r="D1874" s="145" t="s">
        <v>3074</v>
      </c>
      <c r="E1874" s="145" t="s">
        <v>962</v>
      </c>
      <c r="F1874" s="145" t="s">
        <v>798</v>
      </c>
      <c r="G1874" s="145">
        <v>2347995</v>
      </c>
      <c r="H1874" s="146">
        <v>44719</v>
      </c>
      <c r="I1874" s="145">
        <v>7.7380000000000004E-2</v>
      </c>
      <c r="J1874" s="145"/>
      <c r="K1874" s="145"/>
      <c r="L1874" s="145"/>
      <c r="M1874" s="145"/>
      <c r="N1874" s="145"/>
      <c r="O1874" s="145"/>
      <c r="P1874" s="145"/>
      <c r="Q1874" s="145"/>
      <c r="R1874" s="145"/>
      <c r="S1874" s="145"/>
      <c r="T1874" s="146">
        <v>17690</v>
      </c>
      <c r="U1874" s="145"/>
      <c r="V1874" s="145" t="s">
        <v>2383</v>
      </c>
      <c r="W1874" s="92" t="str">
        <f t="shared" si="127"/>
        <v>Cobos Garcia,Ana</v>
      </c>
      <c r="X1874" s="95">
        <f t="shared" si="128"/>
        <v>6</v>
      </c>
      <c r="Y1874" s="95">
        <f t="shared" si="129"/>
        <v>2022</v>
      </c>
      <c r="Z1874" s="153" t="s">
        <v>266</v>
      </c>
      <c r="AA1874" t="str">
        <f>IF(Tabla1[[#This Row],[Kerma en aire acumulada (Gy)]]&gt;1,SUMIF(G:G,Tabla1[[#This Row],[SIP]],I:I)-Tabla1[[#This Row],[Kerma en aire acumulada (Gy)]],"")</f>
        <v/>
      </c>
    </row>
    <row r="1875" spans="3:27">
      <c r="C1875" s="144" t="str">
        <f t="shared" si="130"/>
        <v>Adulto</v>
      </c>
      <c r="D1875" s="145" t="s">
        <v>840</v>
      </c>
      <c r="E1875" s="145" t="s">
        <v>1881</v>
      </c>
      <c r="F1875" s="145" t="s">
        <v>322</v>
      </c>
      <c r="G1875" s="145">
        <v>3311282</v>
      </c>
      <c r="H1875" s="146">
        <v>44719</v>
      </c>
      <c r="I1875" s="145">
        <v>0.22905</v>
      </c>
      <c r="J1875" s="145"/>
      <c r="K1875" s="145"/>
      <c r="L1875" s="145"/>
      <c r="M1875" s="145"/>
      <c r="N1875" s="145"/>
      <c r="O1875" s="145"/>
      <c r="P1875" s="145"/>
      <c r="Q1875" s="145"/>
      <c r="R1875" s="145"/>
      <c r="S1875" s="145"/>
      <c r="T1875" s="146">
        <v>18680</v>
      </c>
      <c r="U1875" s="145"/>
      <c r="V1875" s="145" t="s">
        <v>2383</v>
      </c>
      <c r="W1875" s="92" t="str">
        <f t="shared" si="127"/>
        <v>Santiago Maya,Juana</v>
      </c>
      <c r="X1875" s="95">
        <f t="shared" si="128"/>
        <v>6</v>
      </c>
      <c r="Y1875" s="95">
        <f t="shared" si="129"/>
        <v>2022</v>
      </c>
      <c r="Z1875" s="153" t="s">
        <v>266</v>
      </c>
      <c r="AA1875" t="str">
        <f>IF(Tabla1[[#This Row],[Kerma en aire acumulada (Gy)]]&gt;1,SUMIF(G:G,Tabla1[[#This Row],[SIP]],I:I)-Tabla1[[#This Row],[Kerma en aire acumulada (Gy)]],"")</f>
        <v/>
      </c>
    </row>
    <row r="1876" spans="3:27">
      <c r="C1876" s="144" t="str">
        <f t="shared" si="130"/>
        <v>Adulto</v>
      </c>
      <c r="D1876" s="145" t="s">
        <v>960</v>
      </c>
      <c r="E1876" s="145" t="s">
        <v>3072</v>
      </c>
      <c r="F1876" s="145" t="s">
        <v>3073</v>
      </c>
      <c r="G1876" s="145">
        <v>4513378</v>
      </c>
      <c r="H1876" s="146">
        <v>44719</v>
      </c>
      <c r="I1876" s="145">
        <v>0.15762999999999999</v>
      </c>
      <c r="J1876" s="145"/>
      <c r="K1876" s="145"/>
      <c r="L1876" s="145"/>
      <c r="M1876" s="145"/>
      <c r="N1876" s="145"/>
      <c r="O1876" s="145"/>
      <c r="P1876" s="145"/>
      <c r="Q1876" s="145"/>
      <c r="R1876" s="145"/>
      <c r="S1876" s="145"/>
      <c r="T1876" s="146">
        <v>21286</v>
      </c>
      <c r="U1876" s="145"/>
      <c r="V1876" s="145" t="s">
        <v>2383</v>
      </c>
      <c r="W1876" s="92" t="str">
        <f t="shared" si="127"/>
        <v>Lopez Cordoba,Josefa Maria Angele</v>
      </c>
      <c r="X1876" s="95">
        <f t="shared" si="128"/>
        <v>6</v>
      </c>
      <c r="Y1876" s="95">
        <f t="shared" si="129"/>
        <v>2022</v>
      </c>
      <c r="Z1876" s="153" t="s">
        <v>266</v>
      </c>
      <c r="AA1876" t="str">
        <f>IF(Tabla1[[#This Row],[Kerma en aire acumulada (Gy)]]&gt;1,SUMIF(G:G,Tabla1[[#This Row],[SIP]],I:I)-Tabla1[[#This Row],[Kerma en aire acumulada (Gy)]],"")</f>
        <v/>
      </c>
    </row>
    <row r="1877" spans="3:27">
      <c r="C1877" s="144" t="str">
        <f t="shared" si="130"/>
        <v>Adulto</v>
      </c>
      <c r="D1877" s="145" t="s">
        <v>631</v>
      </c>
      <c r="E1877" s="145" t="s">
        <v>1103</v>
      </c>
      <c r="F1877" s="145" t="s">
        <v>3071</v>
      </c>
      <c r="G1877" s="145">
        <v>4810166</v>
      </c>
      <c r="H1877" s="146">
        <v>44719</v>
      </c>
      <c r="I1877" s="145">
        <v>0.40609000000000001</v>
      </c>
      <c r="J1877" s="145"/>
      <c r="K1877" s="145"/>
      <c r="L1877" s="145"/>
      <c r="M1877" s="145"/>
      <c r="N1877" s="145"/>
      <c r="O1877" s="145"/>
      <c r="P1877" s="145"/>
      <c r="Q1877" s="145"/>
      <c r="R1877" s="145"/>
      <c r="S1877" s="145"/>
      <c r="T1877" s="146">
        <v>25699</v>
      </c>
      <c r="U1877" s="145"/>
      <c r="V1877" s="145" t="s">
        <v>2383</v>
      </c>
      <c r="W1877" s="92" t="str">
        <f t="shared" si="127"/>
        <v>Molina Flores,Holger</v>
      </c>
      <c r="X1877" s="95">
        <f t="shared" si="128"/>
        <v>6</v>
      </c>
      <c r="Y1877" s="95">
        <f t="shared" si="129"/>
        <v>2022</v>
      </c>
      <c r="Z1877" s="153" t="s">
        <v>266</v>
      </c>
      <c r="AA1877" t="str">
        <f>IF(Tabla1[[#This Row],[Kerma en aire acumulada (Gy)]]&gt;1,SUMIF(G:G,Tabla1[[#This Row],[SIP]],I:I)-Tabla1[[#This Row],[Kerma en aire acumulada (Gy)]],"")</f>
        <v/>
      </c>
    </row>
    <row r="1878" spans="3:27">
      <c r="C1878" s="144" t="str">
        <f t="shared" si="130"/>
        <v>Adulto</v>
      </c>
      <c r="D1878" s="145" t="s">
        <v>641</v>
      </c>
      <c r="E1878" s="145" t="s">
        <v>2994</v>
      </c>
      <c r="F1878" s="145" t="s">
        <v>2385</v>
      </c>
      <c r="G1878" s="145">
        <v>3330622</v>
      </c>
      <c r="H1878" s="146">
        <v>44719</v>
      </c>
      <c r="I1878" s="145">
        <v>0.11352</v>
      </c>
      <c r="J1878" s="145"/>
      <c r="K1878" s="145"/>
      <c r="L1878" s="145"/>
      <c r="M1878" s="145"/>
      <c r="N1878" s="145"/>
      <c r="O1878" s="145"/>
      <c r="P1878" s="145"/>
      <c r="Q1878" s="145"/>
      <c r="R1878" s="145"/>
      <c r="S1878" s="145"/>
      <c r="T1878" s="146">
        <v>17061</v>
      </c>
      <c r="U1878" s="145"/>
      <c r="V1878" s="145" t="s">
        <v>2383</v>
      </c>
      <c r="W1878" s="92" t="str">
        <f t="shared" si="127"/>
        <v>Parra del Castillo,M Jesus</v>
      </c>
      <c r="X1878" s="95">
        <f t="shared" si="128"/>
        <v>6</v>
      </c>
      <c r="Y1878" s="95">
        <f t="shared" si="129"/>
        <v>2022</v>
      </c>
      <c r="Z1878" s="153" t="s">
        <v>266</v>
      </c>
      <c r="AA1878" t="str">
        <f>IF(Tabla1[[#This Row],[Kerma en aire acumulada (Gy)]]&gt;1,SUMIF(G:G,Tabla1[[#This Row],[SIP]],I:I)-Tabla1[[#This Row],[Kerma en aire acumulada (Gy)]],"")</f>
        <v/>
      </c>
    </row>
    <row r="1879" spans="3:27">
      <c r="C1879" s="144" t="str">
        <f t="shared" si="130"/>
        <v>Adulto</v>
      </c>
      <c r="D1879" s="145" t="s">
        <v>1009</v>
      </c>
      <c r="E1879" s="145" t="s">
        <v>35</v>
      </c>
      <c r="F1879" s="145" t="s">
        <v>3070</v>
      </c>
      <c r="G1879" s="145">
        <v>2147684</v>
      </c>
      <c r="H1879" s="146">
        <v>44719</v>
      </c>
      <c r="I1879" s="146">
        <v>0.30276999999999998</v>
      </c>
      <c r="J1879" s="145"/>
      <c r="K1879" s="145"/>
      <c r="L1879" s="145"/>
      <c r="M1879" s="145"/>
      <c r="N1879" s="145"/>
      <c r="O1879" s="145"/>
      <c r="P1879" s="145"/>
      <c r="Q1879" s="145"/>
      <c r="R1879" s="145"/>
      <c r="S1879" s="145"/>
      <c r="T1879" s="146">
        <v>24253</v>
      </c>
      <c r="U1879" s="145"/>
      <c r="V1879" s="145" t="s">
        <v>2383</v>
      </c>
      <c r="W1879" s="92" t="str">
        <f t="shared" si="127"/>
        <v>Fernandez Lozano,Angeles</v>
      </c>
      <c r="X1879" s="95">
        <f t="shared" si="128"/>
        <v>6</v>
      </c>
      <c r="Y1879" s="95">
        <f t="shared" si="129"/>
        <v>2022</v>
      </c>
      <c r="Z1879" s="153" t="s">
        <v>266</v>
      </c>
      <c r="AA1879" t="str">
        <f>IF(Tabla1[[#This Row],[Kerma en aire acumulada (Gy)]]&gt;1,SUMIF(G:G,Tabla1[[#This Row],[SIP]],I:I)-Tabla1[[#This Row],[Kerma en aire acumulada (Gy)]],"")</f>
        <v/>
      </c>
    </row>
    <row r="1880" spans="3:27">
      <c r="C1880" s="144" t="str">
        <f t="shared" si="130"/>
        <v>Adulto</v>
      </c>
      <c r="D1880" s="145" t="s">
        <v>3069</v>
      </c>
      <c r="E1880" s="145" t="s">
        <v>1220</v>
      </c>
      <c r="F1880" s="145" t="s">
        <v>2212</v>
      </c>
      <c r="G1880" s="145">
        <v>3122444</v>
      </c>
      <c r="H1880" s="146">
        <v>44719</v>
      </c>
      <c r="I1880" s="145">
        <v>0.17638000000000001</v>
      </c>
      <c r="J1880" s="145"/>
      <c r="K1880" s="145"/>
      <c r="L1880" s="145"/>
      <c r="M1880" s="145"/>
      <c r="N1880" s="145"/>
      <c r="O1880" s="145"/>
      <c r="P1880" s="145"/>
      <c r="Q1880" s="145"/>
      <c r="R1880" s="145"/>
      <c r="S1880" s="145"/>
      <c r="T1880" s="146">
        <v>15260</v>
      </c>
      <c r="U1880" s="145"/>
      <c r="V1880" s="145" t="s">
        <v>2383</v>
      </c>
      <c r="W1880" s="92" t="str">
        <f t="shared" si="127"/>
        <v>Carbayo Iglesias,Baltasar</v>
      </c>
      <c r="X1880" s="95">
        <f t="shared" si="128"/>
        <v>6</v>
      </c>
      <c r="Y1880" s="95">
        <f t="shared" si="129"/>
        <v>2022</v>
      </c>
      <c r="Z1880" s="153" t="s">
        <v>266</v>
      </c>
      <c r="AA1880" t="str">
        <f>IF(Tabla1[[#This Row],[Kerma en aire acumulada (Gy)]]&gt;1,SUMIF(G:G,Tabla1[[#This Row],[SIP]],I:I)-Tabla1[[#This Row],[Kerma en aire acumulada (Gy)]],"")</f>
        <v/>
      </c>
    </row>
    <row r="1881" spans="3:27">
      <c r="C1881" s="144" t="str">
        <f t="shared" si="130"/>
        <v>Adulto</v>
      </c>
      <c r="D1881" s="145" t="s">
        <v>2104</v>
      </c>
      <c r="E1881" s="145" t="s">
        <v>1187</v>
      </c>
      <c r="F1881" s="145" t="s">
        <v>546</v>
      </c>
      <c r="G1881" s="145">
        <v>3795298</v>
      </c>
      <c r="H1881" s="146">
        <v>44719</v>
      </c>
      <c r="I1881" s="145">
        <v>0.20352000000000001</v>
      </c>
      <c r="J1881" s="145"/>
      <c r="K1881" s="145"/>
      <c r="L1881" s="145"/>
      <c r="M1881" s="145"/>
      <c r="N1881" s="145"/>
      <c r="O1881" s="145"/>
      <c r="P1881" s="145"/>
      <c r="Q1881" s="145"/>
      <c r="R1881" s="145"/>
      <c r="S1881" s="145"/>
      <c r="T1881" s="146">
        <v>21316</v>
      </c>
      <c r="U1881" s="145"/>
      <c r="V1881" s="145" t="s">
        <v>2383</v>
      </c>
      <c r="W1881" s="92" t="str">
        <f t="shared" si="127"/>
        <v>Lorente Villanueva,Luis</v>
      </c>
      <c r="X1881" s="95">
        <f t="shared" si="128"/>
        <v>6</v>
      </c>
      <c r="Y1881" s="95">
        <f t="shared" si="129"/>
        <v>2022</v>
      </c>
      <c r="Z1881" s="153" t="s">
        <v>266</v>
      </c>
      <c r="AA1881" t="str">
        <f>IF(Tabla1[[#This Row],[Kerma en aire acumulada (Gy)]]&gt;1,SUMIF(G:G,Tabla1[[#This Row],[SIP]],I:I)-Tabla1[[#This Row],[Kerma en aire acumulada (Gy)]],"")</f>
        <v/>
      </c>
    </row>
    <row r="1882" spans="3:27">
      <c r="C1882" s="144" t="str">
        <f t="shared" si="130"/>
        <v>Adulto</v>
      </c>
      <c r="D1882" s="145" t="s">
        <v>3068</v>
      </c>
      <c r="E1882" s="145" t="s">
        <v>1011</v>
      </c>
      <c r="F1882" s="145" t="s">
        <v>71</v>
      </c>
      <c r="G1882" s="145">
        <v>922642</v>
      </c>
      <c r="H1882" s="146">
        <v>44719</v>
      </c>
      <c r="I1882" s="145">
        <v>0.33262999999999998</v>
      </c>
      <c r="J1882" s="145"/>
      <c r="K1882" s="145"/>
      <c r="L1882" s="145"/>
      <c r="M1882" s="145"/>
      <c r="N1882" s="145"/>
      <c r="O1882" s="145"/>
      <c r="P1882" s="145"/>
      <c r="Q1882" s="145"/>
      <c r="R1882" s="145"/>
      <c r="S1882" s="145"/>
      <c r="T1882" s="146">
        <v>22974</v>
      </c>
      <c r="U1882" s="145"/>
      <c r="V1882" s="145" t="s">
        <v>2383</v>
      </c>
      <c r="W1882" s="92" t="str">
        <f t="shared" si="127"/>
        <v>Montagud Andres,Rafael</v>
      </c>
      <c r="X1882" s="95">
        <f t="shared" si="128"/>
        <v>6</v>
      </c>
      <c r="Y1882" s="95">
        <f t="shared" si="129"/>
        <v>2022</v>
      </c>
      <c r="Z1882" s="153" t="s">
        <v>266</v>
      </c>
      <c r="AA1882" t="str">
        <f>IF(Tabla1[[#This Row],[Kerma en aire acumulada (Gy)]]&gt;1,SUMIF(G:G,Tabla1[[#This Row],[SIP]],I:I)-Tabla1[[#This Row],[Kerma en aire acumulada (Gy)]],"")</f>
        <v/>
      </c>
    </row>
    <row r="1883" spans="3:27">
      <c r="C1883" s="144" t="str">
        <f t="shared" si="130"/>
        <v>Adulto</v>
      </c>
      <c r="D1883" s="145" t="s">
        <v>772</v>
      </c>
      <c r="E1883" s="145" t="s">
        <v>3067</v>
      </c>
      <c r="F1883" s="145" t="s">
        <v>3066</v>
      </c>
      <c r="G1883" s="145">
        <v>4312871</v>
      </c>
      <c r="H1883" s="146">
        <v>44719</v>
      </c>
      <c r="I1883" s="145">
        <v>3.1510000000000003E-2</v>
      </c>
      <c r="J1883" s="145"/>
      <c r="K1883" s="145"/>
      <c r="L1883" s="145"/>
      <c r="M1883" s="145"/>
      <c r="N1883" s="145"/>
      <c r="O1883" s="145"/>
      <c r="P1883" s="145"/>
      <c r="Q1883" s="145"/>
      <c r="R1883" s="145"/>
      <c r="S1883" s="145"/>
      <c r="T1883" s="146">
        <v>25287</v>
      </c>
      <c r="U1883" s="145"/>
      <c r="V1883" s="145" t="s">
        <v>2383</v>
      </c>
      <c r="W1883" s="92" t="str">
        <f t="shared" si="127"/>
        <v>Sanchez Nievas,Maria Llanos</v>
      </c>
      <c r="X1883" s="95">
        <f t="shared" si="128"/>
        <v>6</v>
      </c>
      <c r="Y1883" s="95">
        <f t="shared" si="129"/>
        <v>2022</v>
      </c>
      <c r="Z1883" s="153" t="s">
        <v>266</v>
      </c>
      <c r="AA1883" t="str">
        <f>IF(Tabla1[[#This Row],[Kerma en aire acumulada (Gy)]]&gt;1,SUMIF(G:G,Tabla1[[#This Row],[SIP]],I:I)-Tabla1[[#This Row],[Kerma en aire acumulada (Gy)]],"")</f>
        <v/>
      </c>
    </row>
    <row r="1884" spans="3:27">
      <c r="C1884" s="144" t="str">
        <f t="shared" si="130"/>
        <v>Adulto</v>
      </c>
      <c r="D1884" s="145" t="s">
        <v>960</v>
      </c>
      <c r="E1884" s="145" t="s">
        <v>3065</v>
      </c>
      <c r="F1884" s="145" t="s">
        <v>1617</v>
      </c>
      <c r="G1884" s="145">
        <v>5344690</v>
      </c>
      <c r="H1884" s="146">
        <v>44719</v>
      </c>
      <c r="I1884" s="145">
        <v>1.2999999999999999E-3</v>
      </c>
      <c r="J1884" s="145"/>
      <c r="K1884" s="145"/>
      <c r="L1884" s="145"/>
      <c r="M1884" s="145"/>
      <c r="N1884" s="145"/>
      <c r="O1884" s="145"/>
      <c r="P1884" s="145"/>
      <c r="Q1884" s="145"/>
      <c r="R1884" s="145"/>
      <c r="S1884" s="145"/>
      <c r="T1884" s="146">
        <v>37912</v>
      </c>
      <c r="U1884" s="145"/>
      <c r="V1884" s="145" t="s">
        <v>1113</v>
      </c>
      <c r="W1884" s="92" t="str">
        <f t="shared" si="127"/>
        <v>Lopez de Fez,Adrian</v>
      </c>
      <c r="X1884" s="95">
        <f t="shared" si="128"/>
        <v>6</v>
      </c>
      <c r="Y1884" s="95">
        <f t="shared" si="129"/>
        <v>2022</v>
      </c>
      <c r="Z1884" s="153" t="s">
        <v>265</v>
      </c>
      <c r="AA1884" t="str">
        <f>IF(Tabla1[[#This Row],[Kerma en aire acumulada (Gy)]]&gt;1,SUMIF(G:G,Tabla1[[#This Row],[SIP]],I:I)-Tabla1[[#This Row],[Kerma en aire acumulada (Gy)]],"")</f>
        <v/>
      </c>
    </row>
    <row r="1885" spans="3:27">
      <c r="C1885" s="144" t="str">
        <f t="shared" si="130"/>
        <v>Adulto</v>
      </c>
      <c r="D1885" s="145" t="s">
        <v>542</v>
      </c>
      <c r="E1885" s="145" t="s">
        <v>1009</v>
      </c>
      <c r="F1885" s="145" t="s">
        <v>117</v>
      </c>
      <c r="G1885" s="145">
        <v>3335021</v>
      </c>
      <c r="H1885" s="146">
        <v>44719</v>
      </c>
      <c r="I1885" s="145">
        <v>9.7699999999999992E-3</v>
      </c>
      <c r="J1885" s="145"/>
      <c r="K1885" s="145"/>
      <c r="L1885" s="145"/>
      <c r="M1885" s="145"/>
      <c r="N1885" s="145"/>
      <c r="O1885" s="145"/>
      <c r="P1885" s="145"/>
      <c r="Q1885" s="145"/>
      <c r="R1885" s="145"/>
      <c r="S1885" s="145"/>
      <c r="T1885" s="146">
        <v>22595</v>
      </c>
      <c r="U1885" s="145"/>
      <c r="V1885" s="145" t="s">
        <v>1152</v>
      </c>
      <c r="W1885" s="92" t="str">
        <f t="shared" si="127"/>
        <v>Vera Fernandez,M Carmen</v>
      </c>
      <c r="X1885" s="95">
        <f t="shared" si="128"/>
        <v>6</v>
      </c>
      <c r="Y1885" s="95">
        <f t="shared" si="129"/>
        <v>2022</v>
      </c>
      <c r="Z1885" s="153" t="s">
        <v>265</v>
      </c>
      <c r="AA1885" t="str">
        <f>IF(Tabla1[[#This Row],[Kerma en aire acumulada (Gy)]]&gt;1,SUMIF(G:G,Tabla1[[#This Row],[SIP]],I:I)-Tabla1[[#This Row],[Kerma en aire acumulada (Gy)]],"")</f>
        <v/>
      </c>
    </row>
    <row r="1886" spans="3:27">
      <c r="C1886" s="144" t="str">
        <f t="shared" si="130"/>
        <v>Adulto</v>
      </c>
      <c r="D1886" s="145" t="s">
        <v>3062</v>
      </c>
      <c r="E1886" s="145" t="s">
        <v>3063</v>
      </c>
      <c r="F1886" s="145" t="s">
        <v>3064</v>
      </c>
      <c r="G1886" s="145">
        <v>11285575</v>
      </c>
      <c r="H1886" s="146">
        <v>44719</v>
      </c>
      <c r="I1886" s="145">
        <v>2.793E-2</v>
      </c>
      <c r="J1886" s="145"/>
      <c r="K1886" s="145"/>
      <c r="L1886" s="145"/>
      <c r="M1886" s="145"/>
      <c r="N1886" s="145"/>
      <c r="O1886" s="145"/>
      <c r="P1886" s="145"/>
      <c r="Q1886" s="145"/>
      <c r="R1886" s="145"/>
      <c r="S1886" s="145"/>
      <c r="T1886" s="146">
        <v>38175</v>
      </c>
      <c r="U1886" s="145"/>
      <c r="V1886" s="145" t="s">
        <v>1923</v>
      </c>
      <c r="W1886" s="92" t="str">
        <f t="shared" si="127"/>
        <v>Calisaya Intriago,Alexia Niurka</v>
      </c>
      <c r="X1886" s="95">
        <f t="shared" si="128"/>
        <v>6</v>
      </c>
      <c r="Y1886" s="95">
        <f t="shared" si="129"/>
        <v>2022</v>
      </c>
      <c r="Z1886" s="153" t="s">
        <v>265</v>
      </c>
      <c r="AA1886" t="str">
        <f>IF(Tabla1[[#This Row],[Kerma en aire acumulada (Gy)]]&gt;1,SUMIF(G:G,Tabla1[[#This Row],[SIP]],I:I)-Tabla1[[#This Row],[Kerma en aire acumulada (Gy)]],"")</f>
        <v/>
      </c>
    </row>
    <row r="1887" spans="3:27">
      <c r="C1887" s="144" t="str">
        <f t="shared" si="130"/>
        <v>Adulto</v>
      </c>
      <c r="D1887" s="145" t="s">
        <v>2610</v>
      </c>
      <c r="E1887" s="145" t="s">
        <v>2404</v>
      </c>
      <c r="F1887" s="145" t="s">
        <v>68</v>
      </c>
      <c r="G1887" s="145">
        <v>2308228</v>
      </c>
      <c r="H1887" s="146">
        <v>44720</v>
      </c>
      <c r="I1887" s="145">
        <v>1.107E-2</v>
      </c>
      <c r="J1887" s="145"/>
      <c r="K1887" s="145"/>
      <c r="L1887" s="145"/>
      <c r="M1887" s="145"/>
      <c r="N1887" s="145"/>
      <c r="O1887" s="145"/>
      <c r="P1887" s="145"/>
      <c r="Q1887" s="145"/>
      <c r="R1887" s="145"/>
      <c r="S1887" s="145"/>
      <c r="T1887" s="146">
        <v>18897</v>
      </c>
      <c r="U1887" s="145"/>
      <c r="V1887" s="145" t="s">
        <v>2309</v>
      </c>
      <c r="W1887" s="92" t="str">
        <f t="shared" si="127"/>
        <v>Monrabal Bas,Juan</v>
      </c>
      <c r="X1887" s="95">
        <f t="shared" si="128"/>
        <v>6</v>
      </c>
      <c r="Y1887" s="95">
        <f t="shared" si="129"/>
        <v>2022</v>
      </c>
      <c r="Z1887" s="153" t="s">
        <v>2238</v>
      </c>
      <c r="AA1887" t="str">
        <f>IF(Tabla1[[#This Row],[Kerma en aire acumulada (Gy)]]&gt;1,SUMIF(G:G,Tabla1[[#This Row],[SIP]],I:I)-Tabla1[[#This Row],[Kerma en aire acumulada (Gy)]],"")</f>
        <v/>
      </c>
    </row>
    <row r="1888" spans="3:27">
      <c r="C1888" s="144" t="str">
        <f t="shared" si="130"/>
        <v>Adulto</v>
      </c>
      <c r="D1888" s="145" t="s">
        <v>66</v>
      </c>
      <c r="E1888" s="145" t="s">
        <v>21</v>
      </c>
      <c r="F1888" s="145" t="s">
        <v>83</v>
      </c>
      <c r="G1888" s="145">
        <v>2405070</v>
      </c>
      <c r="H1888" s="146">
        <v>44720</v>
      </c>
      <c r="I1888" s="145">
        <v>2.06E-2</v>
      </c>
      <c r="J1888" s="145"/>
      <c r="K1888" s="145"/>
      <c r="L1888" s="145"/>
      <c r="M1888" s="145"/>
      <c r="N1888" s="145"/>
      <c r="O1888" s="145"/>
      <c r="P1888" s="145"/>
      <c r="Q1888" s="145"/>
      <c r="R1888" s="145"/>
      <c r="S1888" s="145"/>
      <c r="T1888" s="146">
        <v>14291</v>
      </c>
      <c r="U1888" s="145"/>
      <c r="V1888" s="145" t="s">
        <v>3077</v>
      </c>
      <c r="W1888" s="92" t="str">
        <f t="shared" si="127"/>
        <v>Navarro Cervera,Francisco</v>
      </c>
      <c r="X1888" s="95">
        <f t="shared" si="128"/>
        <v>6</v>
      </c>
      <c r="Y1888" s="95">
        <f t="shared" si="129"/>
        <v>2022</v>
      </c>
      <c r="Z1888" s="153" t="s">
        <v>2238</v>
      </c>
      <c r="AA1888" t="str">
        <f>IF(Tabla1[[#This Row],[Kerma en aire acumulada (Gy)]]&gt;1,SUMIF(G:G,Tabla1[[#This Row],[SIP]],I:I)-Tabla1[[#This Row],[Kerma en aire acumulada (Gy)]],"")</f>
        <v/>
      </c>
    </row>
    <row r="1889" spans="3:27">
      <c r="C1889" s="144" t="str">
        <f t="shared" si="130"/>
        <v>Adulto</v>
      </c>
      <c r="D1889" s="145" t="s">
        <v>856</v>
      </c>
      <c r="E1889" s="145" t="s">
        <v>337</v>
      </c>
      <c r="F1889" s="145" t="s">
        <v>13</v>
      </c>
      <c r="G1889" s="145">
        <v>3343103</v>
      </c>
      <c r="H1889" s="146">
        <v>44720</v>
      </c>
      <c r="I1889" s="145">
        <v>0.10603</v>
      </c>
      <c r="J1889" s="145"/>
      <c r="K1889" s="145"/>
      <c r="L1889" s="145"/>
      <c r="M1889" s="145"/>
      <c r="N1889" s="145"/>
      <c r="O1889" s="145"/>
      <c r="P1889" s="145"/>
      <c r="Q1889" s="145"/>
      <c r="R1889" s="145"/>
      <c r="S1889" s="145"/>
      <c r="T1889" s="146">
        <v>15797</v>
      </c>
      <c r="U1889" s="145"/>
      <c r="V1889" s="145" t="s">
        <v>2383</v>
      </c>
      <c r="W1889" s="92" t="str">
        <f t="shared" si="127"/>
        <v>Gomez Garrido,Manuela</v>
      </c>
      <c r="X1889" s="95">
        <f t="shared" si="128"/>
        <v>6</v>
      </c>
      <c r="Y1889" s="95">
        <f t="shared" si="129"/>
        <v>2022</v>
      </c>
      <c r="Z1889" s="153" t="s">
        <v>266</v>
      </c>
      <c r="AA1889" t="str">
        <f>IF(Tabla1[[#This Row],[Kerma en aire acumulada (Gy)]]&gt;1,SUMIF(G:G,Tabla1[[#This Row],[SIP]],I:I)-Tabla1[[#This Row],[Kerma en aire acumulada (Gy)]],"")</f>
        <v/>
      </c>
    </row>
    <row r="1890" spans="3:27">
      <c r="C1890" s="144" t="str">
        <f t="shared" si="130"/>
        <v>Adulto</v>
      </c>
      <c r="D1890" s="145" t="s">
        <v>663</v>
      </c>
      <c r="E1890" s="145" t="s">
        <v>3093</v>
      </c>
      <c r="F1890" s="145" t="s">
        <v>1667</v>
      </c>
      <c r="G1890" s="145">
        <v>2851104</v>
      </c>
      <c r="H1890" s="146">
        <v>44720</v>
      </c>
      <c r="I1890" s="145">
        <v>0.19111</v>
      </c>
      <c r="J1890" s="145"/>
      <c r="K1890" s="145"/>
      <c r="L1890" s="145"/>
      <c r="M1890" s="145"/>
      <c r="N1890" s="145"/>
      <c r="O1890" s="145"/>
      <c r="P1890" s="145"/>
      <c r="Q1890" s="145"/>
      <c r="R1890" s="145"/>
      <c r="S1890" s="145"/>
      <c r="T1890" s="146">
        <v>13478</v>
      </c>
      <c r="U1890" s="145"/>
      <c r="V1890" s="145" t="s">
        <v>2383</v>
      </c>
      <c r="W1890" s="92" t="str">
        <f t="shared" si="127"/>
        <v>Sanchis Fresquet,Amalia</v>
      </c>
      <c r="X1890" s="95">
        <f t="shared" si="128"/>
        <v>6</v>
      </c>
      <c r="Y1890" s="95">
        <f t="shared" si="129"/>
        <v>2022</v>
      </c>
      <c r="Z1890" s="153" t="s">
        <v>266</v>
      </c>
      <c r="AA1890" t="str">
        <f>IF(Tabla1[[#This Row],[Kerma en aire acumulada (Gy)]]&gt;1,SUMIF(G:G,Tabla1[[#This Row],[SIP]],I:I)-Tabla1[[#This Row],[Kerma en aire acumulada (Gy)]],"")</f>
        <v/>
      </c>
    </row>
    <row r="1891" spans="3:27">
      <c r="C1891" s="144" t="str">
        <f t="shared" si="130"/>
        <v>Adulto</v>
      </c>
      <c r="D1891" s="145" t="s">
        <v>3091</v>
      </c>
      <c r="E1891" s="145"/>
      <c r="F1891" s="145" t="s">
        <v>3092</v>
      </c>
      <c r="G1891" s="145">
        <v>5828106</v>
      </c>
      <c r="H1891" s="146">
        <v>44720</v>
      </c>
      <c r="I1891" s="145">
        <v>4.9349999999999998E-2</v>
      </c>
      <c r="J1891" s="145"/>
      <c r="K1891" s="145"/>
      <c r="L1891" s="145"/>
      <c r="M1891" s="145"/>
      <c r="N1891" s="145"/>
      <c r="O1891" s="145"/>
      <c r="P1891" s="145"/>
      <c r="Q1891" s="145"/>
      <c r="R1891" s="145"/>
      <c r="S1891" s="145"/>
      <c r="T1891" s="146">
        <v>17579</v>
      </c>
      <c r="U1891" s="145"/>
      <c r="V1891" s="145" t="s">
        <v>2383</v>
      </c>
      <c r="W1891" s="92" t="str">
        <f t="shared" si="127"/>
        <v>Lindner ,Elsbe</v>
      </c>
      <c r="X1891" s="95">
        <f t="shared" si="128"/>
        <v>6</v>
      </c>
      <c r="Y1891" s="95">
        <f t="shared" si="129"/>
        <v>2022</v>
      </c>
      <c r="Z1891" s="153" t="s">
        <v>266</v>
      </c>
      <c r="AA1891" t="str">
        <f>IF(Tabla1[[#This Row],[Kerma en aire acumulada (Gy)]]&gt;1,SUMIF(G:G,Tabla1[[#This Row],[SIP]],I:I)-Tabla1[[#This Row],[Kerma en aire acumulada (Gy)]],"")</f>
        <v/>
      </c>
    </row>
    <row r="1892" spans="3:27">
      <c r="C1892" s="144" t="str">
        <f t="shared" si="130"/>
        <v>Adulto</v>
      </c>
      <c r="D1892" s="145" t="s">
        <v>3090</v>
      </c>
      <c r="E1892" s="145" t="s">
        <v>962</v>
      </c>
      <c r="F1892" s="145" t="s">
        <v>2189</v>
      </c>
      <c r="G1892" s="145">
        <v>4424317</v>
      </c>
      <c r="H1892" s="146">
        <v>44720</v>
      </c>
      <c r="I1892" s="145">
        <v>0.67095000000000005</v>
      </c>
      <c r="J1892" s="145"/>
      <c r="K1892" s="145"/>
      <c r="L1892" s="145"/>
      <c r="M1892" s="145"/>
      <c r="N1892" s="145"/>
      <c r="O1892" s="145"/>
      <c r="P1892" s="145"/>
      <c r="Q1892" s="145"/>
      <c r="R1892" s="145"/>
      <c r="S1892" s="145"/>
      <c r="T1892" s="146">
        <v>15856</v>
      </c>
      <c r="U1892" s="145"/>
      <c r="V1892" s="145" t="s">
        <v>2383</v>
      </c>
      <c r="W1892" s="92" t="str">
        <f t="shared" si="127"/>
        <v>Pico Garcia,Juan Jose</v>
      </c>
      <c r="X1892" s="95">
        <f t="shared" si="128"/>
        <v>6</v>
      </c>
      <c r="Y1892" s="95">
        <f t="shared" si="129"/>
        <v>2022</v>
      </c>
      <c r="Z1892" s="153" t="s">
        <v>266</v>
      </c>
      <c r="AA1892" t="str">
        <f>IF(Tabla1[[#This Row],[Kerma en aire acumulada (Gy)]]&gt;1,SUMIF(G:G,Tabla1[[#This Row],[SIP]],I:I)-Tabla1[[#This Row],[Kerma en aire acumulada (Gy)]],"")</f>
        <v/>
      </c>
    </row>
    <row r="1893" spans="3:27">
      <c r="C1893" s="144" t="str">
        <f t="shared" si="130"/>
        <v>Adulto</v>
      </c>
      <c r="D1893" s="145" t="s">
        <v>78</v>
      </c>
      <c r="E1893" s="145" t="s">
        <v>2025</v>
      </c>
      <c r="F1893" s="145" t="s">
        <v>991</v>
      </c>
      <c r="G1893" s="145">
        <v>2328135</v>
      </c>
      <c r="H1893" s="146">
        <v>44720</v>
      </c>
      <c r="I1893" s="145">
        <v>1.6131200000000001</v>
      </c>
      <c r="J1893" s="145"/>
      <c r="K1893" s="145"/>
      <c r="L1893" s="145"/>
      <c r="M1893" s="145"/>
      <c r="N1893" s="145"/>
      <c r="O1893" s="145"/>
      <c r="P1893" s="145"/>
      <c r="Q1893" s="145"/>
      <c r="R1893" s="145"/>
      <c r="S1893" s="145"/>
      <c r="T1893" s="146">
        <v>17990</v>
      </c>
      <c r="U1893" s="145"/>
      <c r="V1893" s="145" t="s">
        <v>2383</v>
      </c>
      <c r="W1893" s="92" t="str">
        <f t="shared" si="127"/>
        <v>Ballester Orts,Jose</v>
      </c>
      <c r="X1893" s="95">
        <f t="shared" si="128"/>
        <v>6</v>
      </c>
      <c r="Y1893" s="95">
        <f t="shared" si="129"/>
        <v>2022</v>
      </c>
      <c r="Z1893" s="153" t="s">
        <v>266</v>
      </c>
      <c r="AA1893">
        <f>IF(Tabla1[[#This Row],[Kerma en aire acumulada (Gy)]]&gt;1,SUMIF(G:G,Tabla1[[#This Row],[SIP]],I:I)-Tabla1[[#This Row],[Kerma en aire acumulada (Gy)]],"")</f>
        <v>0.19334000000000007</v>
      </c>
    </row>
    <row r="1894" spans="3:27">
      <c r="C1894" s="144" t="str">
        <f t="shared" si="130"/>
        <v>Adulto</v>
      </c>
      <c r="D1894" s="145" t="s">
        <v>992</v>
      </c>
      <c r="E1894" s="145" t="s">
        <v>3089</v>
      </c>
      <c r="F1894" s="145" t="s">
        <v>83</v>
      </c>
      <c r="G1894" s="145">
        <v>1854049</v>
      </c>
      <c r="H1894" s="146">
        <v>44720</v>
      </c>
      <c r="I1894" s="145">
        <v>0.14258000000000001</v>
      </c>
      <c r="J1894" s="145"/>
      <c r="K1894" s="145"/>
      <c r="L1894" s="145"/>
      <c r="M1894" s="145"/>
      <c r="N1894" s="145"/>
      <c r="O1894" s="145"/>
      <c r="P1894" s="145"/>
      <c r="Q1894" s="145"/>
      <c r="R1894" s="145"/>
      <c r="S1894" s="145"/>
      <c r="T1894" s="146">
        <v>18758</v>
      </c>
      <c r="U1894" s="145"/>
      <c r="V1894" s="145" t="s">
        <v>2383</v>
      </c>
      <c r="W1894" s="92" t="str">
        <f t="shared" si="127"/>
        <v>Costa Montiel,Francisco</v>
      </c>
      <c r="X1894" s="95">
        <f t="shared" si="128"/>
        <v>6</v>
      </c>
      <c r="Y1894" s="95">
        <f t="shared" si="129"/>
        <v>2022</v>
      </c>
      <c r="Z1894" s="153" t="s">
        <v>266</v>
      </c>
      <c r="AA1894" t="str">
        <f>IF(Tabla1[[#This Row],[Kerma en aire acumulada (Gy)]]&gt;1,SUMIF(G:G,Tabla1[[#This Row],[SIP]],I:I)-Tabla1[[#This Row],[Kerma en aire acumulada (Gy)]],"")</f>
        <v/>
      </c>
    </row>
    <row r="1895" spans="3:27">
      <c r="C1895" s="144" t="str">
        <f t="shared" si="130"/>
        <v>Adulto</v>
      </c>
      <c r="D1895" s="145" t="s">
        <v>77</v>
      </c>
      <c r="E1895" s="145" t="s">
        <v>353</v>
      </c>
      <c r="F1895" s="145" t="s">
        <v>356</v>
      </c>
      <c r="G1895" s="145">
        <v>4708970</v>
      </c>
      <c r="H1895" s="146">
        <v>44720</v>
      </c>
      <c r="I1895" s="145">
        <v>0.31163000000000002</v>
      </c>
      <c r="J1895" s="145"/>
      <c r="K1895" s="145"/>
      <c r="L1895" s="145"/>
      <c r="M1895" s="145"/>
      <c r="N1895" s="145"/>
      <c r="O1895" s="145"/>
      <c r="P1895" s="145"/>
      <c r="Q1895" s="145"/>
      <c r="R1895" s="145"/>
      <c r="S1895" s="145"/>
      <c r="T1895" s="146">
        <v>23426</v>
      </c>
      <c r="U1895" s="145"/>
      <c r="V1895" s="145" t="s">
        <v>2383</v>
      </c>
      <c r="W1895" s="92" t="str">
        <f t="shared" si="127"/>
        <v>Torres Muñoz,Manuel</v>
      </c>
      <c r="X1895" s="95">
        <f t="shared" si="128"/>
        <v>6</v>
      </c>
      <c r="Y1895" s="95">
        <f t="shared" si="129"/>
        <v>2022</v>
      </c>
      <c r="Z1895" s="153" t="s">
        <v>266</v>
      </c>
      <c r="AA1895" t="str">
        <f>IF(Tabla1[[#This Row],[Kerma en aire acumulada (Gy)]]&gt;1,SUMIF(G:G,Tabla1[[#This Row],[SIP]],I:I)-Tabla1[[#This Row],[Kerma en aire acumulada (Gy)]],"")</f>
        <v/>
      </c>
    </row>
    <row r="1896" spans="3:27">
      <c r="C1896" s="144" t="str">
        <f t="shared" si="130"/>
        <v>Adulto</v>
      </c>
      <c r="D1896" s="145" t="s">
        <v>3087</v>
      </c>
      <c r="E1896" s="145" t="s">
        <v>3088</v>
      </c>
      <c r="F1896" s="145" t="s">
        <v>2028</v>
      </c>
      <c r="G1896" s="145">
        <v>2427107</v>
      </c>
      <c r="H1896" s="146">
        <v>44720</v>
      </c>
      <c r="I1896" s="145">
        <v>0.95221999999999996</v>
      </c>
      <c r="J1896" s="145"/>
      <c r="K1896" s="145"/>
      <c r="L1896" s="145"/>
      <c r="M1896" s="145"/>
      <c r="N1896" s="145"/>
      <c r="O1896" s="145"/>
      <c r="P1896" s="145"/>
      <c r="Q1896" s="145"/>
      <c r="R1896" s="145"/>
      <c r="S1896" s="145"/>
      <c r="T1896" s="146">
        <v>23591</v>
      </c>
      <c r="U1896" s="145"/>
      <c r="V1896" s="145" t="s">
        <v>2383</v>
      </c>
      <c r="W1896" s="92" t="str">
        <f t="shared" si="127"/>
        <v>Sahuquillo Roberto,M Angeles</v>
      </c>
      <c r="X1896" s="95">
        <f t="shared" si="128"/>
        <v>6</v>
      </c>
      <c r="Y1896" s="95">
        <f t="shared" si="129"/>
        <v>2022</v>
      </c>
      <c r="Z1896" s="153" t="s">
        <v>266</v>
      </c>
      <c r="AA1896" t="str">
        <f>IF(Tabla1[[#This Row],[Kerma en aire acumulada (Gy)]]&gt;1,SUMIF(G:G,Tabla1[[#This Row],[SIP]],I:I)-Tabla1[[#This Row],[Kerma en aire acumulada (Gy)]],"")</f>
        <v/>
      </c>
    </row>
    <row r="1897" spans="3:27">
      <c r="C1897" s="144" t="str">
        <f t="shared" si="130"/>
        <v>Adulto</v>
      </c>
      <c r="D1897" s="145" t="s">
        <v>3086</v>
      </c>
      <c r="E1897" s="145" t="s">
        <v>1626</v>
      </c>
      <c r="F1897" s="145" t="s">
        <v>840</v>
      </c>
      <c r="G1897" s="145">
        <v>2367848</v>
      </c>
      <c r="H1897" s="146">
        <v>44720</v>
      </c>
      <c r="I1897" s="145">
        <v>0.60475000000000001</v>
      </c>
      <c r="J1897" s="145"/>
      <c r="K1897" s="145"/>
      <c r="L1897" s="145"/>
      <c r="M1897" s="145"/>
      <c r="N1897" s="145"/>
      <c r="O1897" s="145"/>
      <c r="P1897" s="145"/>
      <c r="Q1897" s="145"/>
      <c r="R1897" s="145"/>
      <c r="S1897" s="145"/>
      <c r="T1897" s="146">
        <v>26857</v>
      </c>
      <c r="U1897" s="145"/>
      <c r="V1897" s="145" t="s">
        <v>2383</v>
      </c>
      <c r="W1897" s="92" t="str">
        <f t="shared" si="127"/>
        <v>Dauden Sancho,Santiago</v>
      </c>
      <c r="X1897" s="95">
        <f t="shared" si="128"/>
        <v>6</v>
      </c>
      <c r="Y1897" s="95">
        <f t="shared" si="129"/>
        <v>2022</v>
      </c>
      <c r="Z1897" s="153" t="s">
        <v>266</v>
      </c>
      <c r="AA1897" t="str">
        <f>IF(Tabla1[[#This Row],[Kerma en aire acumulada (Gy)]]&gt;1,SUMIF(G:G,Tabla1[[#This Row],[SIP]],I:I)-Tabla1[[#This Row],[Kerma en aire acumulada (Gy)]],"")</f>
        <v/>
      </c>
    </row>
    <row r="1898" spans="3:27">
      <c r="C1898" s="144" t="str">
        <f t="shared" si="130"/>
        <v>Adulto</v>
      </c>
      <c r="D1898" s="145" t="s">
        <v>152</v>
      </c>
      <c r="E1898" s="145" t="s">
        <v>1749</v>
      </c>
      <c r="F1898" s="145" t="s">
        <v>3085</v>
      </c>
      <c r="G1898" s="145">
        <v>1963164</v>
      </c>
      <c r="H1898" s="146">
        <v>44720</v>
      </c>
      <c r="I1898" s="145">
        <v>0.14130000000000001</v>
      </c>
      <c r="J1898" s="145"/>
      <c r="K1898" s="145"/>
      <c r="L1898" s="145"/>
      <c r="M1898" s="145"/>
      <c r="N1898" s="145"/>
      <c r="O1898" s="145"/>
      <c r="P1898" s="145"/>
      <c r="Q1898" s="145"/>
      <c r="R1898" s="145"/>
      <c r="S1898" s="145"/>
      <c r="T1898" s="146">
        <v>20616</v>
      </c>
      <c r="U1898" s="145"/>
      <c r="V1898" s="145" t="s">
        <v>2383</v>
      </c>
      <c r="W1898" s="92" t="str">
        <f t="shared" ref="W1898:W1961" si="131">CONCATENATE(D1898,$A$591,E1898,",",F1898)</f>
        <v>Vidal Guillem,Maria Pilar</v>
      </c>
      <c r="X1898" s="95">
        <f t="shared" ref="X1898:X1961" si="132">MONTH(H1898)</f>
        <v>6</v>
      </c>
      <c r="Y1898" s="95">
        <f t="shared" ref="Y1898:Y1961" si="133">YEAR(H1898)</f>
        <v>2022</v>
      </c>
      <c r="Z1898" s="153" t="s">
        <v>266</v>
      </c>
      <c r="AA1898" t="str">
        <f>IF(Tabla1[[#This Row],[Kerma en aire acumulada (Gy)]]&gt;1,SUMIF(G:G,Tabla1[[#This Row],[SIP]],I:I)-Tabla1[[#This Row],[Kerma en aire acumulada (Gy)]],"")</f>
        <v/>
      </c>
    </row>
    <row r="1899" spans="3:27">
      <c r="C1899" s="144" t="str">
        <f t="shared" si="130"/>
        <v>Adulto</v>
      </c>
      <c r="D1899" s="145" t="s">
        <v>2855</v>
      </c>
      <c r="E1899" s="145" t="s">
        <v>1756</v>
      </c>
      <c r="F1899" s="145" t="s">
        <v>68</v>
      </c>
      <c r="G1899" s="145">
        <v>3276671</v>
      </c>
      <c r="H1899" s="146">
        <v>44720</v>
      </c>
      <c r="I1899" s="145">
        <v>0.64234999999999998</v>
      </c>
      <c r="J1899" s="145"/>
      <c r="K1899" s="145"/>
      <c r="L1899" s="145"/>
      <c r="M1899" s="145"/>
      <c r="N1899" s="145"/>
      <c r="O1899" s="145"/>
      <c r="P1899" s="145"/>
      <c r="Q1899" s="145"/>
      <c r="R1899" s="145"/>
      <c r="S1899" s="145"/>
      <c r="T1899" s="146">
        <v>16004</v>
      </c>
      <c r="U1899" s="145"/>
      <c r="V1899" s="145" t="s">
        <v>2383</v>
      </c>
      <c r="W1899" s="92" t="str">
        <f t="shared" si="131"/>
        <v>Cosin Aguilar,Juan</v>
      </c>
      <c r="X1899" s="95">
        <f t="shared" si="132"/>
        <v>6</v>
      </c>
      <c r="Y1899" s="95">
        <f t="shared" si="133"/>
        <v>2022</v>
      </c>
      <c r="Z1899" s="153" t="s">
        <v>266</v>
      </c>
      <c r="AA1899" t="str">
        <f>IF(Tabla1[[#This Row],[Kerma en aire acumulada (Gy)]]&gt;1,SUMIF(G:G,Tabla1[[#This Row],[SIP]],I:I)-Tabla1[[#This Row],[Kerma en aire acumulada (Gy)]],"")</f>
        <v/>
      </c>
    </row>
    <row r="1900" spans="3:27">
      <c r="C1900" s="144" t="str">
        <f t="shared" si="130"/>
        <v>Adulto</v>
      </c>
      <c r="D1900" s="145" t="s">
        <v>3083</v>
      </c>
      <c r="E1900" s="145"/>
      <c r="F1900" s="145" t="s">
        <v>3084</v>
      </c>
      <c r="G1900" s="145">
        <v>13448107</v>
      </c>
      <c r="H1900" s="146">
        <v>44720</v>
      </c>
      <c r="I1900" s="145">
        <v>0.30281000000000002</v>
      </c>
      <c r="J1900" s="145"/>
      <c r="K1900" s="145"/>
      <c r="L1900" s="145"/>
      <c r="M1900" s="145"/>
      <c r="N1900" s="145"/>
      <c r="O1900" s="145"/>
      <c r="P1900" s="145"/>
      <c r="Q1900" s="145"/>
      <c r="R1900" s="145"/>
      <c r="S1900" s="145"/>
      <c r="T1900" s="146">
        <v>28104</v>
      </c>
      <c r="U1900" s="145"/>
      <c r="V1900" s="145" t="s">
        <v>2383</v>
      </c>
      <c r="W1900" s="92" t="str">
        <f t="shared" si="131"/>
        <v>Khouyoudi ,Assaad</v>
      </c>
      <c r="X1900" s="95">
        <f t="shared" si="132"/>
        <v>6</v>
      </c>
      <c r="Y1900" s="95">
        <f t="shared" si="133"/>
        <v>2022</v>
      </c>
      <c r="Z1900" s="153" t="s">
        <v>266</v>
      </c>
      <c r="AA1900" t="str">
        <f>IF(Tabla1[[#This Row],[Kerma en aire acumulada (Gy)]]&gt;1,SUMIF(G:G,Tabla1[[#This Row],[SIP]],I:I)-Tabla1[[#This Row],[Kerma en aire acumulada (Gy)]],"")</f>
        <v/>
      </c>
    </row>
    <row r="1901" spans="3:27">
      <c r="C1901" s="144" t="str">
        <f t="shared" si="130"/>
        <v>Adulto</v>
      </c>
      <c r="D1901" s="145" t="s">
        <v>3082</v>
      </c>
      <c r="E1901" s="145" t="s">
        <v>960</v>
      </c>
      <c r="F1901" s="145" t="s">
        <v>2117</v>
      </c>
      <c r="G1901" s="145">
        <v>3021132</v>
      </c>
      <c r="H1901" s="146">
        <v>44720</v>
      </c>
      <c r="I1901" s="145">
        <v>0.83587</v>
      </c>
      <c r="J1901" s="145"/>
      <c r="K1901" s="145"/>
      <c r="L1901" s="145"/>
      <c r="M1901" s="145"/>
      <c r="N1901" s="145"/>
      <c r="O1901" s="145"/>
      <c r="P1901" s="145"/>
      <c r="Q1901" s="145"/>
      <c r="R1901" s="145"/>
      <c r="S1901" s="145"/>
      <c r="T1901" s="146">
        <v>18716</v>
      </c>
      <c r="U1901" s="145"/>
      <c r="V1901" s="145" t="s">
        <v>259</v>
      </c>
      <c r="W1901" s="92" t="str">
        <f t="shared" si="131"/>
        <v>Baron Lopez,M Pilar</v>
      </c>
      <c r="X1901" s="95">
        <f t="shared" si="132"/>
        <v>6</v>
      </c>
      <c r="Y1901" s="95">
        <f t="shared" si="133"/>
        <v>2022</v>
      </c>
      <c r="Z1901" s="153" t="s">
        <v>265</v>
      </c>
      <c r="AA1901" t="str">
        <f>IF(Tabla1[[#This Row],[Kerma en aire acumulada (Gy)]]&gt;1,SUMIF(G:G,Tabla1[[#This Row],[SIP]],I:I)-Tabla1[[#This Row],[Kerma en aire acumulada (Gy)]],"")</f>
        <v/>
      </c>
    </row>
    <row r="1902" spans="3:27">
      <c r="C1902" s="144" t="str">
        <f t="shared" si="130"/>
        <v>Adulto</v>
      </c>
      <c r="D1902" s="145" t="s">
        <v>962</v>
      </c>
      <c r="E1902" s="145" t="s">
        <v>340</v>
      </c>
      <c r="F1902" s="145" t="s">
        <v>3081</v>
      </c>
      <c r="G1902" s="145">
        <v>1861443</v>
      </c>
      <c r="H1902" s="146">
        <v>44720</v>
      </c>
      <c r="I1902" s="145">
        <v>8.0189999999999997E-2</v>
      </c>
      <c r="J1902" s="145"/>
      <c r="K1902" s="145"/>
      <c r="L1902" s="145"/>
      <c r="M1902" s="145"/>
      <c r="N1902" s="145"/>
      <c r="O1902" s="145"/>
      <c r="P1902" s="145"/>
      <c r="Q1902" s="145"/>
      <c r="R1902" s="145"/>
      <c r="S1902" s="145"/>
      <c r="T1902" s="146">
        <v>24351</v>
      </c>
      <c r="U1902" s="145"/>
      <c r="V1902" s="145" t="s">
        <v>1174</v>
      </c>
      <c r="W1902" s="92" t="str">
        <f t="shared" si="131"/>
        <v>Garcia Piqueras,Casimiro</v>
      </c>
      <c r="X1902" s="95">
        <f t="shared" si="132"/>
        <v>6</v>
      </c>
      <c r="Y1902" s="95">
        <f t="shared" si="133"/>
        <v>2022</v>
      </c>
      <c r="Z1902" s="153" t="s">
        <v>265</v>
      </c>
      <c r="AA1902" t="str">
        <f>IF(Tabla1[[#This Row],[Kerma en aire acumulada (Gy)]]&gt;1,SUMIF(G:G,Tabla1[[#This Row],[SIP]],I:I)-Tabla1[[#This Row],[Kerma en aire acumulada (Gy)]],"")</f>
        <v/>
      </c>
    </row>
    <row r="1903" spans="3:27">
      <c r="C1903" s="144" t="str">
        <f t="shared" si="130"/>
        <v>Adulto</v>
      </c>
      <c r="D1903" s="145" t="s">
        <v>1287</v>
      </c>
      <c r="E1903" s="145" t="s">
        <v>1288</v>
      </c>
      <c r="F1903" s="145" t="s">
        <v>82</v>
      </c>
      <c r="G1903" s="145">
        <v>2849235</v>
      </c>
      <c r="H1903" s="146">
        <v>44720</v>
      </c>
      <c r="I1903" s="145">
        <v>4.8430000000000001E-2</v>
      </c>
      <c r="J1903" s="145"/>
      <c r="K1903" s="145"/>
      <c r="L1903" s="145"/>
      <c r="M1903" s="145"/>
      <c r="N1903" s="145"/>
      <c r="O1903" s="145"/>
      <c r="P1903" s="145"/>
      <c r="Q1903" s="145"/>
      <c r="R1903" s="145"/>
      <c r="S1903" s="145"/>
      <c r="T1903" s="146">
        <v>19135</v>
      </c>
      <c r="U1903" s="145"/>
      <c r="V1903" s="145" t="s">
        <v>2223</v>
      </c>
      <c r="W1903" s="92" t="str">
        <f t="shared" si="131"/>
        <v>Huesca Castello,Pascual</v>
      </c>
      <c r="X1903" s="95">
        <f t="shared" si="132"/>
        <v>6</v>
      </c>
      <c r="Y1903" s="95">
        <f t="shared" si="133"/>
        <v>2022</v>
      </c>
      <c r="Z1903" s="153" t="s">
        <v>265</v>
      </c>
      <c r="AA1903" t="str">
        <f>IF(Tabla1[[#This Row],[Kerma en aire acumulada (Gy)]]&gt;1,SUMIF(G:G,Tabla1[[#This Row],[SIP]],I:I)-Tabla1[[#This Row],[Kerma en aire acumulada (Gy)]],"")</f>
        <v/>
      </c>
    </row>
    <row r="1904" spans="3:27">
      <c r="C1904" s="144" t="str">
        <f t="shared" si="130"/>
        <v>Adulto</v>
      </c>
      <c r="D1904" s="145" t="s">
        <v>916</v>
      </c>
      <c r="E1904" s="145" t="s">
        <v>1991</v>
      </c>
      <c r="F1904" s="145" t="s">
        <v>2410</v>
      </c>
      <c r="G1904" s="145">
        <v>3374617</v>
      </c>
      <c r="H1904" s="146">
        <v>44721</v>
      </c>
      <c r="I1904" s="145">
        <v>1.265E-2</v>
      </c>
      <c r="J1904" s="145"/>
      <c r="K1904" s="145"/>
      <c r="L1904" s="145"/>
      <c r="M1904" s="145"/>
      <c r="N1904" s="145"/>
      <c r="O1904" s="145"/>
      <c r="P1904" s="145"/>
      <c r="Q1904" s="145"/>
      <c r="R1904" s="145"/>
      <c r="S1904" s="145"/>
      <c r="T1904" s="146">
        <v>20768</v>
      </c>
      <c r="U1904" s="145"/>
      <c r="V1904" s="145" t="s">
        <v>3077</v>
      </c>
      <c r="W1904" s="92" t="str">
        <f t="shared" si="131"/>
        <v>Salazar Fraile,Jose Maria</v>
      </c>
      <c r="X1904" s="95">
        <f t="shared" si="132"/>
        <v>6</v>
      </c>
      <c r="Y1904" s="95">
        <f t="shared" si="133"/>
        <v>2022</v>
      </c>
      <c r="Z1904" s="153" t="s">
        <v>2238</v>
      </c>
      <c r="AA1904" t="str">
        <f>IF(Tabla1[[#This Row],[Kerma en aire acumulada (Gy)]]&gt;1,SUMIF(G:G,Tabla1[[#This Row],[SIP]],I:I)-Tabla1[[#This Row],[Kerma en aire acumulada (Gy)]],"")</f>
        <v/>
      </c>
    </row>
    <row r="1905" spans="3:27">
      <c r="C1905" s="144" t="str">
        <f t="shared" si="130"/>
        <v>Adulto</v>
      </c>
      <c r="D1905" s="145" t="s">
        <v>1288</v>
      </c>
      <c r="E1905" s="145" t="s">
        <v>966</v>
      </c>
      <c r="F1905" s="145" t="s">
        <v>1759</v>
      </c>
      <c r="G1905" s="145">
        <v>3173748</v>
      </c>
      <c r="H1905" s="146">
        <v>44721</v>
      </c>
      <c r="I1905" s="145">
        <v>5.6779999999999997E-2</v>
      </c>
      <c r="J1905" s="145"/>
      <c r="K1905" s="145"/>
      <c r="L1905" s="145"/>
      <c r="M1905" s="145"/>
      <c r="N1905" s="145"/>
      <c r="O1905" s="145"/>
      <c r="P1905" s="145"/>
      <c r="Q1905" s="145"/>
      <c r="R1905" s="145"/>
      <c r="S1905" s="145"/>
      <c r="T1905" s="146">
        <v>13360</v>
      </c>
      <c r="U1905" s="145"/>
      <c r="V1905" s="145" t="s">
        <v>2309</v>
      </c>
      <c r="W1905" s="92" t="str">
        <f t="shared" si="131"/>
        <v>Castello Marco,Martin</v>
      </c>
      <c r="X1905" s="95">
        <f t="shared" si="132"/>
        <v>6</v>
      </c>
      <c r="Y1905" s="95">
        <f t="shared" si="133"/>
        <v>2022</v>
      </c>
      <c r="Z1905" s="153" t="s">
        <v>2238</v>
      </c>
      <c r="AA1905" t="str">
        <f>IF(Tabla1[[#This Row],[Kerma en aire acumulada (Gy)]]&gt;1,SUMIF(G:G,Tabla1[[#This Row],[SIP]],I:I)-Tabla1[[#This Row],[Kerma en aire acumulada (Gy)]],"")</f>
        <v/>
      </c>
    </row>
    <row r="1906" spans="3:27">
      <c r="C1906" s="144" t="str">
        <f t="shared" si="130"/>
        <v>Adulto</v>
      </c>
      <c r="D1906" s="145" t="s">
        <v>962</v>
      </c>
      <c r="E1906" s="145" t="s">
        <v>3106</v>
      </c>
      <c r="F1906" s="145" t="s">
        <v>2815</v>
      </c>
      <c r="G1906" s="145">
        <v>2092360</v>
      </c>
      <c r="H1906" s="146">
        <v>44721</v>
      </c>
      <c r="I1906" s="145">
        <v>0.18179999999999999</v>
      </c>
      <c r="J1906" s="145"/>
      <c r="K1906" s="145"/>
      <c r="L1906" s="145"/>
      <c r="M1906" s="145"/>
      <c r="N1906" s="145"/>
      <c r="O1906" s="145"/>
      <c r="P1906" s="145"/>
      <c r="Q1906" s="145"/>
      <c r="R1906" s="145"/>
      <c r="S1906" s="145"/>
      <c r="T1906" s="146">
        <v>18391</v>
      </c>
      <c r="U1906" s="145"/>
      <c r="V1906" s="145" t="s">
        <v>2962</v>
      </c>
      <c r="W1906" s="92" t="str">
        <f t="shared" si="131"/>
        <v>Garcia Linde,Encarnacion</v>
      </c>
      <c r="X1906" s="95">
        <f t="shared" si="132"/>
        <v>6</v>
      </c>
      <c r="Y1906" s="95">
        <f t="shared" si="133"/>
        <v>2022</v>
      </c>
      <c r="Z1906" s="153" t="s">
        <v>2238</v>
      </c>
      <c r="AA1906" t="str">
        <f>IF(Tabla1[[#This Row],[Kerma en aire acumulada (Gy)]]&gt;1,SUMIF(G:G,Tabla1[[#This Row],[SIP]],I:I)-Tabla1[[#This Row],[Kerma en aire acumulada (Gy)]],"")</f>
        <v/>
      </c>
    </row>
    <row r="1907" spans="3:27">
      <c r="C1907" s="144" t="str">
        <f t="shared" si="130"/>
        <v>Adulto</v>
      </c>
      <c r="D1907" s="145" t="s">
        <v>772</v>
      </c>
      <c r="E1907" s="145" t="s">
        <v>319</v>
      </c>
      <c r="F1907" s="145" t="s">
        <v>1787</v>
      </c>
      <c r="G1907" s="145">
        <v>2242704</v>
      </c>
      <c r="H1907" s="146">
        <v>44721</v>
      </c>
      <c r="I1907" s="145">
        <v>3.9219999999999998E-2</v>
      </c>
      <c r="J1907" s="145"/>
      <c r="K1907" s="145"/>
      <c r="L1907" s="145"/>
      <c r="M1907" s="145"/>
      <c r="N1907" s="145"/>
      <c r="O1907" s="145"/>
      <c r="P1907" s="145"/>
      <c r="Q1907" s="145"/>
      <c r="R1907" s="145"/>
      <c r="S1907" s="145"/>
      <c r="T1907" s="146">
        <v>31889</v>
      </c>
      <c r="U1907" s="145"/>
      <c r="V1907" s="145" t="s">
        <v>2383</v>
      </c>
      <c r="W1907" s="92" t="str">
        <f t="shared" si="131"/>
        <v>Sanchez Gonzalez,Laura</v>
      </c>
      <c r="X1907" s="95">
        <f t="shared" si="132"/>
        <v>6</v>
      </c>
      <c r="Y1907" s="95">
        <f t="shared" si="133"/>
        <v>2022</v>
      </c>
      <c r="Z1907" s="153" t="s">
        <v>266</v>
      </c>
      <c r="AA1907" t="str">
        <f>IF(Tabla1[[#This Row],[Kerma en aire acumulada (Gy)]]&gt;1,SUMIF(G:G,Tabla1[[#This Row],[SIP]],I:I)-Tabla1[[#This Row],[Kerma en aire acumulada (Gy)]],"")</f>
        <v/>
      </c>
    </row>
    <row r="1908" spans="3:27">
      <c r="C1908" s="144" t="str">
        <f t="shared" si="130"/>
        <v>Adulto</v>
      </c>
      <c r="D1908" s="145" t="s">
        <v>1904</v>
      </c>
      <c r="E1908" s="145" t="s">
        <v>3105</v>
      </c>
      <c r="F1908" s="145" t="s">
        <v>2344</v>
      </c>
      <c r="G1908" s="145">
        <v>1203786</v>
      </c>
      <c r="H1908" s="146">
        <v>44721</v>
      </c>
      <c r="I1908" s="145">
        <v>0.63812999999999998</v>
      </c>
      <c r="J1908" s="145"/>
      <c r="K1908" s="145"/>
      <c r="L1908" s="145"/>
      <c r="M1908" s="145"/>
      <c r="N1908" s="145"/>
      <c r="O1908" s="145"/>
      <c r="P1908" s="145"/>
      <c r="Q1908" s="145"/>
      <c r="R1908" s="145"/>
      <c r="S1908" s="145"/>
      <c r="T1908" s="146">
        <v>20485</v>
      </c>
      <c r="U1908" s="145"/>
      <c r="V1908" s="145" t="s">
        <v>2383</v>
      </c>
      <c r="W1908" s="92" t="str">
        <f t="shared" si="131"/>
        <v>Nuñez Borja,Guadalupe</v>
      </c>
      <c r="X1908" s="95">
        <f t="shared" si="132"/>
        <v>6</v>
      </c>
      <c r="Y1908" s="95">
        <f t="shared" si="133"/>
        <v>2022</v>
      </c>
      <c r="Z1908" s="153" t="s">
        <v>266</v>
      </c>
      <c r="AA1908" t="str">
        <f>IF(Tabla1[[#This Row],[Kerma en aire acumulada (Gy)]]&gt;1,SUMIF(G:G,Tabla1[[#This Row],[SIP]],I:I)-Tabla1[[#This Row],[Kerma en aire acumulada (Gy)]],"")</f>
        <v/>
      </c>
    </row>
    <row r="1909" spans="3:27">
      <c r="C1909" s="144" t="str">
        <f t="shared" si="130"/>
        <v>Adulto</v>
      </c>
      <c r="D1909" s="145" t="s">
        <v>3103</v>
      </c>
      <c r="E1909" s="145" t="s">
        <v>3104</v>
      </c>
      <c r="F1909" s="145" t="s">
        <v>54</v>
      </c>
      <c r="G1909" s="145">
        <v>12445044</v>
      </c>
      <c r="H1909" s="146">
        <v>44721</v>
      </c>
      <c r="I1909" s="145">
        <v>0.65895000000000004</v>
      </c>
      <c r="J1909" s="145"/>
      <c r="K1909" s="145"/>
      <c r="L1909" s="145"/>
      <c r="M1909" s="145"/>
      <c r="N1909" s="145"/>
      <c r="O1909" s="145"/>
      <c r="P1909" s="145"/>
      <c r="Q1909" s="145"/>
      <c r="R1909" s="145"/>
      <c r="S1909" s="145"/>
      <c r="T1909" s="146">
        <v>11487</v>
      </c>
      <c r="U1909" s="145"/>
      <c r="V1909" s="145" t="s">
        <v>2383</v>
      </c>
      <c r="W1909" s="92" t="str">
        <f t="shared" si="131"/>
        <v>Baiget Marigo,Isabel</v>
      </c>
      <c r="X1909" s="95">
        <f t="shared" si="132"/>
        <v>6</v>
      </c>
      <c r="Y1909" s="95">
        <f t="shared" si="133"/>
        <v>2022</v>
      </c>
      <c r="Z1909" s="153" t="s">
        <v>266</v>
      </c>
      <c r="AA1909" t="str">
        <f>IF(Tabla1[[#This Row],[Kerma en aire acumulada (Gy)]]&gt;1,SUMIF(G:G,Tabla1[[#This Row],[SIP]],I:I)-Tabla1[[#This Row],[Kerma en aire acumulada (Gy)]],"")</f>
        <v/>
      </c>
    </row>
    <row r="1910" spans="3:27">
      <c r="C1910" s="144" t="str">
        <f t="shared" si="130"/>
        <v>Adulto</v>
      </c>
      <c r="D1910" s="145" t="s">
        <v>772</v>
      </c>
      <c r="E1910" s="145" t="s">
        <v>2345</v>
      </c>
      <c r="F1910" s="145" t="s">
        <v>2874</v>
      </c>
      <c r="G1910" s="145">
        <v>2315736</v>
      </c>
      <c r="H1910" s="146">
        <v>44721</v>
      </c>
      <c r="I1910" s="145">
        <v>0.15795999999999999</v>
      </c>
      <c r="J1910" s="145"/>
      <c r="K1910" s="145"/>
      <c r="L1910" s="145"/>
      <c r="M1910" s="145"/>
      <c r="N1910" s="145"/>
      <c r="O1910" s="145"/>
      <c r="P1910" s="145"/>
      <c r="Q1910" s="145"/>
      <c r="R1910" s="145"/>
      <c r="S1910" s="145"/>
      <c r="T1910" s="146">
        <v>21563</v>
      </c>
      <c r="U1910" s="145"/>
      <c r="V1910" s="145" t="s">
        <v>2383</v>
      </c>
      <c r="W1910" s="92" t="str">
        <f t="shared" si="131"/>
        <v>Sanchez Moliner,Mariano</v>
      </c>
      <c r="X1910" s="95">
        <f t="shared" si="132"/>
        <v>6</v>
      </c>
      <c r="Y1910" s="95">
        <f t="shared" si="133"/>
        <v>2022</v>
      </c>
      <c r="Z1910" s="153" t="s">
        <v>266</v>
      </c>
      <c r="AA1910" t="str">
        <f>IF(Tabla1[[#This Row],[Kerma en aire acumulada (Gy)]]&gt;1,SUMIF(G:G,Tabla1[[#This Row],[SIP]],I:I)-Tabla1[[#This Row],[Kerma en aire acumulada (Gy)]],"")</f>
        <v/>
      </c>
    </row>
    <row r="1911" spans="3:27">
      <c r="C1911" s="144" t="str">
        <f t="shared" si="130"/>
        <v>Adulto</v>
      </c>
      <c r="D1911" s="145" t="s">
        <v>856</v>
      </c>
      <c r="E1911" s="145" t="s">
        <v>962</v>
      </c>
      <c r="F1911" s="145" t="s">
        <v>2183</v>
      </c>
      <c r="G1911" s="145">
        <v>2464181</v>
      </c>
      <c r="H1911" s="146">
        <v>44721</v>
      </c>
      <c r="I1911" s="145">
        <v>6.4250000000000002E-2</v>
      </c>
      <c r="J1911" s="145"/>
      <c r="K1911" s="145"/>
      <c r="L1911" s="145"/>
      <c r="M1911" s="145"/>
      <c r="N1911" s="145"/>
      <c r="O1911" s="145"/>
      <c r="P1911" s="145"/>
      <c r="Q1911" s="145"/>
      <c r="R1911" s="145"/>
      <c r="S1911" s="145"/>
      <c r="T1911" s="146">
        <v>21901</v>
      </c>
      <c r="U1911" s="145"/>
      <c r="V1911" s="145" t="s">
        <v>2383</v>
      </c>
      <c r="W1911" s="92" t="str">
        <f t="shared" si="131"/>
        <v>Gomez Garcia,Agustin</v>
      </c>
      <c r="X1911" s="95">
        <f t="shared" si="132"/>
        <v>6</v>
      </c>
      <c r="Y1911" s="95">
        <f t="shared" si="133"/>
        <v>2022</v>
      </c>
      <c r="Z1911" s="153" t="s">
        <v>266</v>
      </c>
      <c r="AA1911" t="str">
        <f>IF(Tabla1[[#This Row],[Kerma en aire acumulada (Gy)]]&gt;1,SUMIF(G:G,Tabla1[[#This Row],[SIP]],I:I)-Tabla1[[#This Row],[Kerma en aire acumulada (Gy)]],"")</f>
        <v/>
      </c>
    </row>
    <row r="1912" spans="3:27">
      <c r="C1912" s="144" t="str">
        <f t="shared" si="130"/>
        <v>Adulto</v>
      </c>
      <c r="D1912" s="145" t="s">
        <v>3102</v>
      </c>
      <c r="E1912" s="145" t="s">
        <v>674</v>
      </c>
      <c r="F1912" s="145" t="s">
        <v>991</v>
      </c>
      <c r="G1912" s="145">
        <v>3314204</v>
      </c>
      <c r="H1912" s="146">
        <v>44721</v>
      </c>
      <c r="I1912" s="145">
        <v>9.6009999999999998E-2</v>
      </c>
      <c r="J1912" s="145"/>
      <c r="K1912" s="145"/>
      <c r="L1912" s="145"/>
      <c r="M1912" s="145"/>
      <c r="N1912" s="145"/>
      <c r="O1912" s="145"/>
      <c r="P1912" s="145"/>
      <c r="Q1912" s="145"/>
      <c r="R1912" s="145"/>
      <c r="S1912" s="145"/>
      <c r="T1912" s="146">
        <v>20127</v>
      </c>
      <c r="U1912" s="145"/>
      <c r="V1912" s="145" t="s">
        <v>2383</v>
      </c>
      <c r="W1912" s="92" t="str">
        <f t="shared" si="131"/>
        <v>Montalvo Carrillo,Jose</v>
      </c>
      <c r="X1912" s="95">
        <f t="shared" si="132"/>
        <v>6</v>
      </c>
      <c r="Y1912" s="95">
        <f t="shared" si="133"/>
        <v>2022</v>
      </c>
      <c r="Z1912" s="153" t="s">
        <v>266</v>
      </c>
      <c r="AA1912" t="str">
        <f>IF(Tabla1[[#This Row],[Kerma en aire acumulada (Gy)]]&gt;1,SUMIF(G:G,Tabla1[[#This Row],[SIP]],I:I)-Tabla1[[#This Row],[Kerma en aire acumulada (Gy)]],"")</f>
        <v/>
      </c>
    </row>
    <row r="1913" spans="3:27">
      <c r="C1913" s="144" t="str">
        <f t="shared" si="130"/>
        <v>Adulto</v>
      </c>
      <c r="D1913" s="145" t="s">
        <v>3101</v>
      </c>
      <c r="E1913" s="145" t="s">
        <v>1010</v>
      </c>
      <c r="F1913" s="145" t="s">
        <v>2974</v>
      </c>
      <c r="G1913" s="145">
        <v>2878661</v>
      </c>
      <c r="H1913" s="146">
        <v>44721</v>
      </c>
      <c r="I1913" s="145">
        <v>0.14471999999999999</v>
      </c>
      <c r="J1913" s="145"/>
      <c r="K1913" s="145"/>
      <c r="L1913" s="145"/>
      <c r="M1913" s="145"/>
      <c r="N1913" s="145"/>
      <c r="O1913" s="145"/>
      <c r="P1913" s="145"/>
      <c r="Q1913" s="145"/>
      <c r="R1913" s="145"/>
      <c r="S1913" s="145"/>
      <c r="T1913" s="146">
        <v>22846</v>
      </c>
      <c r="U1913" s="145"/>
      <c r="V1913" s="145" t="s">
        <v>2383</v>
      </c>
      <c r="W1913" s="92" t="str">
        <f t="shared" si="131"/>
        <v>Villarreal Bautista,Vicente Jose</v>
      </c>
      <c r="X1913" s="95">
        <f t="shared" si="132"/>
        <v>6</v>
      </c>
      <c r="Y1913" s="95">
        <f t="shared" si="133"/>
        <v>2022</v>
      </c>
      <c r="Z1913" s="153" t="s">
        <v>266</v>
      </c>
      <c r="AA1913" t="str">
        <f>IF(Tabla1[[#This Row],[Kerma en aire acumulada (Gy)]]&gt;1,SUMIF(G:G,Tabla1[[#This Row],[SIP]],I:I)-Tabla1[[#This Row],[Kerma en aire acumulada (Gy)]],"")</f>
        <v/>
      </c>
    </row>
    <row r="1914" spans="3:27">
      <c r="C1914" s="144" t="str">
        <f t="shared" si="130"/>
        <v>Adulto</v>
      </c>
      <c r="D1914" s="145" t="s">
        <v>2004</v>
      </c>
      <c r="E1914" s="145" t="s">
        <v>2004</v>
      </c>
      <c r="F1914" s="145" t="s">
        <v>1139</v>
      </c>
      <c r="G1914" s="145">
        <v>3455545</v>
      </c>
      <c r="H1914" s="146">
        <v>44721</v>
      </c>
      <c r="I1914" s="145">
        <v>1.7479999999999999E-2</v>
      </c>
      <c r="J1914" s="145"/>
      <c r="K1914" s="145"/>
      <c r="L1914" s="145"/>
      <c r="M1914" s="145"/>
      <c r="N1914" s="145"/>
      <c r="O1914" s="145"/>
      <c r="P1914" s="145"/>
      <c r="Q1914" s="145"/>
      <c r="R1914" s="145"/>
      <c r="S1914" s="145"/>
      <c r="T1914" s="146">
        <v>25180</v>
      </c>
      <c r="U1914" s="145"/>
      <c r="V1914" s="145" t="s">
        <v>2383</v>
      </c>
      <c r="W1914" s="92" t="str">
        <f t="shared" si="131"/>
        <v>Moncho Moncho,Jose Vicente</v>
      </c>
      <c r="X1914" s="95">
        <f t="shared" si="132"/>
        <v>6</v>
      </c>
      <c r="Y1914" s="95">
        <f t="shared" si="133"/>
        <v>2022</v>
      </c>
      <c r="Z1914" s="153" t="s">
        <v>266</v>
      </c>
      <c r="AA1914" t="str">
        <f>IF(Tabla1[[#This Row],[Kerma en aire acumulada (Gy)]]&gt;1,SUMIF(G:G,Tabla1[[#This Row],[SIP]],I:I)-Tabla1[[#This Row],[Kerma en aire acumulada (Gy)]],"")</f>
        <v/>
      </c>
    </row>
    <row r="1915" spans="3:27">
      <c r="C1915" s="144" t="str">
        <f t="shared" si="130"/>
        <v>Adulto</v>
      </c>
      <c r="D1915" s="145" t="s">
        <v>3098</v>
      </c>
      <c r="E1915" s="145" t="s">
        <v>3099</v>
      </c>
      <c r="F1915" s="145" t="s">
        <v>3100</v>
      </c>
      <c r="G1915" s="145">
        <v>4711449</v>
      </c>
      <c r="H1915" s="146">
        <v>44721</v>
      </c>
      <c r="I1915" s="145">
        <v>0.30370000000000003</v>
      </c>
      <c r="J1915" s="145"/>
      <c r="K1915" s="145"/>
      <c r="L1915" s="145"/>
      <c r="M1915" s="145"/>
      <c r="N1915" s="145"/>
      <c r="O1915" s="145"/>
      <c r="P1915" s="145"/>
      <c r="Q1915" s="145"/>
      <c r="R1915" s="145"/>
      <c r="S1915" s="145"/>
      <c r="T1915" s="146">
        <v>14656</v>
      </c>
      <c r="U1915" s="145"/>
      <c r="V1915" s="145" t="s">
        <v>1126</v>
      </c>
      <c r="W1915" s="92" t="str">
        <f t="shared" si="131"/>
        <v>Chicote Gavidia,Maria Mercedes</v>
      </c>
      <c r="X1915" s="95">
        <f t="shared" si="132"/>
        <v>6</v>
      </c>
      <c r="Y1915" s="95">
        <f t="shared" si="133"/>
        <v>2022</v>
      </c>
      <c r="Z1915" s="153" t="s">
        <v>265</v>
      </c>
      <c r="AA1915" t="str">
        <f>IF(Tabla1[[#This Row],[Kerma en aire acumulada (Gy)]]&gt;1,SUMIF(G:G,Tabla1[[#This Row],[SIP]],I:I)-Tabla1[[#This Row],[Kerma en aire acumulada (Gy)]],"")</f>
        <v/>
      </c>
    </row>
    <row r="1916" spans="3:27">
      <c r="C1916" s="144" t="str">
        <f t="shared" si="130"/>
        <v>Adulto</v>
      </c>
      <c r="D1916" s="145" t="s">
        <v>946</v>
      </c>
      <c r="E1916" s="145" t="s">
        <v>593</v>
      </c>
      <c r="F1916" s="145" t="s">
        <v>68</v>
      </c>
      <c r="G1916" s="145">
        <v>2833455</v>
      </c>
      <c r="H1916" s="146">
        <v>44721</v>
      </c>
      <c r="I1916" s="145">
        <v>2.724E-2</v>
      </c>
      <c r="J1916" s="145"/>
      <c r="K1916" s="145"/>
      <c r="L1916" s="145"/>
      <c r="M1916" s="145"/>
      <c r="N1916" s="145"/>
      <c r="O1916" s="145"/>
      <c r="P1916" s="145"/>
      <c r="Q1916" s="145"/>
      <c r="R1916" s="145"/>
      <c r="S1916" s="145"/>
      <c r="T1916" s="146">
        <v>23727</v>
      </c>
      <c r="U1916" s="145"/>
      <c r="V1916" s="145" t="s">
        <v>2861</v>
      </c>
      <c r="W1916" s="92" t="str">
        <f t="shared" si="131"/>
        <v>Aranda Cantos,Juan</v>
      </c>
      <c r="X1916" s="95">
        <f t="shared" si="132"/>
        <v>6</v>
      </c>
      <c r="Y1916" s="95">
        <f t="shared" si="133"/>
        <v>2022</v>
      </c>
      <c r="Z1916" s="153" t="s">
        <v>265</v>
      </c>
      <c r="AA1916" t="str">
        <f>IF(Tabla1[[#This Row],[Kerma en aire acumulada (Gy)]]&gt;1,SUMIF(G:G,Tabla1[[#This Row],[SIP]],I:I)-Tabla1[[#This Row],[Kerma en aire acumulada (Gy)]],"")</f>
        <v/>
      </c>
    </row>
    <row r="1917" spans="3:27">
      <c r="C1917" s="144" t="str">
        <f t="shared" si="130"/>
        <v>Adulto</v>
      </c>
      <c r="D1917" s="145" t="s">
        <v>1261</v>
      </c>
      <c r="E1917" s="145" t="s">
        <v>22</v>
      </c>
      <c r="F1917" s="145" t="s">
        <v>2273</v>
      </c>
      <c r="G1917" s="145">
        <v>1976944</v>
      </c>
      <c r="H1917" s="146">
        <v>44721</v>
      </c>
      <c r="I1917" s="145">
        <v>0.22491</v>
      </c>
      <c r="J1917" s="145"/>
      <c r="K1917" s="145"/>
      <c r="L1917" s="145"/>
      <c r="M1917" s="145"/>
      <c r="N1917" s="145"/>
      <c r="O1917" s="145"/>
      <c r="P1917" s="145"/>
      <c r="Q1917" s="145"/>
      <c r="R1917" s="145"/>
      <c r="S1917" s="145"/>
      <c r="T1917" s="146">
        <v>28595</v>
      </c>
      <c r="U1917" s="145"/>
      <c r="V1917" s="145" t="s">
        <v>1934</v>
      </c>
      <c r="W1917" s="92" t="str">
        <f t="shared" si="131"/>
        <v>Hernandez Ruiz,Victor</v>
      </c>
      <c r="X1917" s="95">
        <f t="shared" si="132"/>
        <v>6</v>
      </c>
      <c r="Y1917" s="95">
        <f t="shared" si="133"/>
        <v>2022</v>
      </c>
      <c r="Z1917" s="153" t="s">
        <v>265</v>
      </c>
      <c r="AA1917" t="str">
        <f>IF(Tabla1[[#This Row],[Kerma en aire acumulada (Gy)]]&gt;1,SUMIF(G:G,Tabla1[[#This Row],[SIP]],I:I)-Tabla1[[#This Row],[Kerma en aire acumulada (Gy)]],"")</f>
        <v/>
      </c>
    </row>
    <row r="1918" spans="3:27">
      <c r="C1918" s="144" t="str">
        <f t="shared" si="130"/>
        <v>Adulto</v>
      </c>
      <c r="D1918" s="145" t="s">
        <v>1009</v>
      </c>
      <c r="E1918" s="145" t="s">
        <v>2143</v>
      </c>
      <c r="F1918" s="145" t="s">
        <v>798</v>
      </c>
      <c r="G1918" s="145">
        <v>2339349</v>
      </c>
      <c r="H1918" s="146">
        <v>44721</v>
      </c>
      <c r="I1918" s="145">
        <v>3.6740000000000002E-2</v>
      </c>
      <c r="J1918" s="145"/>
      <c r="K1918" s="145"/>
      <c r="L1918" s="145"/>
      <c r="M1918" s="145"/>
      <c r="N1918" s="145"/>
      <c r="O1918" s="145"/>
      <c r="P1918" s="145"/>
      <c r="Q1918" s="145"/>
      <c r="R1918" s="145"/>
      <c r="S1918" s="145"/>
      <c r="T1918" s="146">
        <v>18757</v>
      </c>
      <c r="U1918" s="145"/>
      <c r="V1918" s="145" t="s">
        <v>2547</v>
      </c>
      <c r="W1918" s="92" t="str">
        <f t="shared" si="131"/>
        <v>Fernandez Dominguez,Ana</v>
      </c>
      <c r="X1918" s="95">
        <f t="shared" si="132"/>
        <v>6</v>
      </c>
      <c r="Y1918" s="95">
        <f t="shared" si="133"/>
        <v>2022</v>
      </c>
      <c r="Z1918" s="153" t="s">
        <v>265</v>
      </c>
      <c r="AA1918" t="str">
        <f>IF(Tabla1[[#This Row],[Kerma en aire acumulada (Gy)]]&gt;1,SUMIF(G:G,Tabla1[[#This Row],[SIP]],I:I)-Tabla1[[#This Row],[Kerma en aire acumulada (Gy)]],"")</f>
        <v/>
      </c>
    </row>
    <row r="1919" spans="3:27">
      <c r="C1919" s="144" t="str">
        <f t="shared" si="130"/>
        <v>Adulto</v>
      </c>
      <c r="D1919" s="145" t="s">
        <v>2793</v>
      </c>
      <c r="E1919" s="145" t="s">
        <v>3097</v>
      </c>
      <c r="F1919" s="145" t="s">
        <v>519</v>
      </c>
      <c r="G1919" s="145">
        <v>3296384</v>
      </c>
      <c r="H1919" s="146">
        <v>44721</v>
      </c>
      <c r="I1919" s="145">
        <v>1.115E-2</v>
      </c>
      <c r="J1919" s="145"/>
      <c r="K1919" s="145"/>
      <c r="L1919" s="145"/>
      <c r="M1919" s="145"/>
      <c r="N1919" s="145"/>
      <c r="O1919" s="145"/>
      <c r="P1919" s="145"/>
      <c r="Q1919" s="145"/>
      <c r="R1919" s="145"/>
      <c r="S1919" s="145"/>
      <c r="T1919" s="146">
        <v>19124</v>
      </c>
      <c r="U1919" s="145"/>
      <c r="V1919" s="145" t="s">
        <v>1113</v>
      </c>
      <c r="W1919" s="92" t="str">
        <f t="shared" si="131"/>
        <v>Medrano Atienzar ,Fernando</v>
      </c>
      <c r="X1919" s="95">
        <f t="shared" si="132"/>
        <v>6</v>
      </c>
      <c r="Y1919" s="95">
        <f t="shared" si="133"/>
        <v>2022</v>
      </c>
      <c r="Z1919" s="153" t="s">
        <v>265</v>
      </c>
      <c r="AA1919" t="str">
        <f>IF(Tabla1[[#This Row],[Kerma en aire acumulada (Gy)]]&gt;1,SUMIF(G:G,Tabla1[[#This Row],[SIP]],I:I)-Tabla1[[#This Row],[Kerma en aire acumulada (Gy)]],"")</f>
        <v/>
      </c>
    </row>
    <row r="1920" spans="3:27">
      <c r="C1920" s="144" t="str">
        <f t="shared" si="130"/>
        <v>Adulto</v>
      </c>
      <c r="D1920" s="145" t="s">
        <v>3094</v>
      </c>
      <c r="E1920" s="145"/>
      <c r="F1920" s="145" t="s">
        <v>3095</v>
      </c>
      <c r="G1920" s="145">
        <v>7603870</v>
      </c>
      <c r="H1920" s="146">
        <v>44721</v>
      </c>
      <c r="I1920" s="145">
        <v>0.12218</v>
      </c>
      <c r="J1920" s="145"/>
      <c r="K1920" s="145"/>
      <c r="L1920" s="145"/>
      <c r="M1920" s="145"/>
      <c r="N1920" s="145"/>
      <c r="O1920" s="145"/>
      <c r="P1920" s="145"/>
      <c r="Q1920" s="145"/>
      <c r="R1920" s="145"/>
      <c r="S1920" s="145"/>
      <c r="T1920" s="146">
        <v>19906</v>
      </c>
      <c r="U1920" s="145"/>
      <c r="V1920" s="145" t="s">
        <v>3096</v>
      </c>
      <c r="W1920" s="92" t="str">
        <f t="shared" si="131"/>
        <v>Rock ,Roland Peter</v>
      </c>
      <c r="X1920" s="95">
        <f t="shared" si="132"/>
        <v>6</v>
      </c>
      <c r="Y1920" s="95">
        <f t="shared" si="133"/>
        <v>2022</v>
      </c>
      <c r="Z1920" s="153" t="s">
        <v>265</v>
      </c>
      <c r="AA1920" t="str">
        <f>IF(Tabla1[[#This Row],[Kerma en aire acumulada (Gy)]]&gt;1,SUMIF(G:G,Tabla1[[#This Row],[SIP]],I:I)-Tabla1[[#This Row],[Kerma en aire acumulada (Gy)]],"")</f>
        <v/>
      </c>
    </row>
    <row r="1921" spans="3:27">
      <c r="C1921" s="144" t="str">
        <f t="shared" si="130"/>
        <v>Adulto</v>
      </c>
      <c r="D1921" s="145" t="s">
        <v>962</v>
      </c>
      <c r="E1921" s="145" t="s">
        <v>3114</v>
      </c>
      <c r="F1921" s="145" t="s">
        <v>3115</v>
      </c>
      <c r="G1921" s="145">
        <v>2907018</v>
      </c>
      <c r="H1921" s="146">
        <v>44722</v>
      </c>
      <c r="I1921" s="145">
        <v>3.3930000000000002E-2</v>
      </c>
      <c r="J1921" s="145"/>
      <c r="K1921" s="145"/>
      <c r="L1921" s="145"/>
      <c r="M1921" s="145"/>
      <c r="N1921" s="145"/>
      <c r="O1921" s="145"/>
      <c r="P1921" s="145"/>
      <c r="Q1921" s="145"/>
      <c r="R1921" s="145"/>
      <c r="S1921" s="145"/>
      <c r="T1921" s="146">
        <v>20109</v>
      </c>
      <c r="U1921" s="145"/>
      <c r="V1921" s="145" t="s">
        <v>2962</v>
      </c>
      <c r="W1921" s="92" t="str">
        <f t="shared" si="131"/>
        <v>Garcia Dolz,Vicente Salvador</v>
      </c>
      <c r="X1921" s="95">
        <f t="shared" si="132"/>
        <v>6</v>
      </c>
      <c r="Y1921" s="95">
        <f t="shared" si="133"/>
        <v>2022</v>
      </c>
      <c r="Z1921" s="153" t="s">
        <v>2238</v>
      </c>
      <c r="AA1921" t="str">
        <f>IF(Tabla1[[#This Row],[Kerma en aire acumulada (Gy)]]&gt;1,SUMIF(G:G,Tabla1[[#This Row],[SIP]],I:I)-Tabla1[[#This Row],[Kerma en aire acumulada (Gy)]],"")</f>
        <v/>
      </c>
    </row>
    <row r="1922" spans="3:27">
      <c r="C1922" s="144" t="str">
        <f t="shared" ref="C1922:C1985" si="134">IF(OR(H1922="",T1922=""),"",IF((H1922-T1922)/12/30&lt;18,"Pediátrico","Adulto"))</f>
        <v>Adulto</v>
      </c>
      <c r="D1922" s="145" t="s">
        <v>3113</v>
      </c>
      <c r="E1922" s="145" t="s">
        <v>1987</v>
      </c>
      <c r="F1922" s="145" t="s">
        <v>1038</v>
      </c>
      <c r="G1922" s="145">
        <v>3771922</v>
      </c>
      <c r="H1922" s="146">
        <v>44722</v>
      </c>
      <c r="I1922" s="145">
        <v>0.1009</v>
      </c>
      <c r="J1922" s="145"/>
      <c r="K1922" s="145"/>
      <c r="L1922" s="145"/>
      <c r="M1922" s="145"/>
      <c r="N1922" s="145"/>
      <c r="O1922" s="145"/>
      <c r="P1922" s="145"/>
      <c r="Q1922" s="145"/>
      <c r="R1922" s="145"/>
      <c r="S1922" s="145"/>
      <c r="T1922" s="146">
        <v>23175</v>
      </c>
      <c r="U1922" s="145"/>
      <c r="V1922" s="145" t="s">
        <v>2383</v>
      </c>
      <c r="W1922" s="92" t="str">
        <f t="shared" si="131"/>
        <v>Sanmartin Nacher,Juan Antonio</v>
      </c>
      <c r="X1922" s="95">
        <f t="shared" si="132"/>
        <v>6</v>
      </c>
      <c r="Y1922" s="95">
        <f t="shared" si="133"/>
        <v>2022</v>
      </c>
      <c r="Z1922" s="153" t="s">
        <v>266</v>
      </c>
      <c r="AA1922" t="str">
        <f>IF(Tabla1[[#This Row],[Kerma en aire acumulada (Gy)]]&gt;1,SUMIF(G:G,Tabla1[[#This Row],[SIP]],I:I)-Tabla1[[#This Row],[Kerma en aire acumulada (Gy)]],"")</f>
        <v/>
      </c>
    </row>
    <row r="1923" spans="3:27">
      <c r="C1923" s="144" t="str">
        <f t="shared" si="134"/>
        <v>Adulto</v>
      </c>
      <c r="D1923" s="145" t="s">
        <v>2730</v>
      </c>
      <c r="E1923" s="145" t="s">
        <v>2731</v>
      </c>
      <c r="F1923" s="145" t="s">
        <v>2732</v>
      </c>
      <c r="G1923" s="145">
        <v>2554325</v>
      </c>
      <c r="H1923" s="146">
        <v>44722</v>
      </c>
      <c r="I1923" s="145">
        <v>0.50278999999999996</v>
      </c>
      <c r="J1923" s="145"/>
      <c r="K1923" s="145"/>
      <c r="L1923" s="145"/>
      <c r="M1923" s="145"/>
      <c r="N1923" s="145"/>
      <c r="O1923" s="145"/>
      <c r="P1923" s="145"/>
      <c r="Q1923" s="145"/>
      <c r="R1923" s="145"/>
      <c r="S1923" s="145"/>
      <c r="T1923" s="146">
        <v>21940</v>
      </c>
      <c r="U1923" s="145"/>
      <c r="V1923" s="145" t="s">
        <v>2383</v>
      </c>
      <c r="W1923" s="92" t="str">
        <f t="shared" si="131"/>
        <v>Cozar Pleguezuelos,Abraham</v>
      </c>
      <c r="X1923" s="95">
        <f t="shared" si="132"/>
        <v>6</v>
      </c>
      <c r="Y1923" s="95">
        <f t="shared" si="133"/>
        <v>2022</v>
      </c>
      <c r="Z1923" s="153" t="s">
        <v>266</v>
      </c>
      <c r="AA1923" t="str">
        <f>IF(Tabla1[[#This Row],[Kerma en aire acumulada (Gy)]]&gt;1,SUMIF(G:G,Tabla1[[#This Row],[SIP]],I:I)-Tabla1[[#This Row],[Kerma en aire acumulada (Gy)]],"")</f>
        <v/>
      </c>
    </row>
    <row r="1924" spans="3:27">
      <c r="C1924" s="144" t="str">
        <f t="shared" si="134"/>
        <v>Adulto</v>
      </c>
      <c r="D1924" s="145" t="s">
        <v>915</v>
      </c>
      <c r="E1924" s="145" t="s">
        <v>840</v>
      </c>
      <c r="F1924" s="145" t="s">
        <v>2410</v>
      </c>
      <c r="G1924" s="145">
        <v>2290800</v>
      </c>
      <c r="H1924" s="146">
        <v>44722</v>
      </c>
      <c r="I1924" s="145">
        <v>0.66547000000000001</v>
      </c>
      <c r="J1924" s="145"/>
      <c r="K1924" s="145"/>
      <c r="L1924" s="145"/>
      <c r="M1924" s="145"/>
      <c r="N1924" s="145"/>
      <c r="O1924" s="145"/>
      <c r="P1924" s="145"/>
      <c r="Q1924" s="145"/>
      <c r="R1924" s="145"/>
      <c r="S1924" s="145"/>
      <c r="T1924" s="146">
        <v>19672</v>
      </c>
      <c r="U1924" s="145"/>
      <c r="V1924" s="145" t="s">
        <v>2383</v>
      </c>
      <c r="W1924" s="92" t="str">
        <f t="shared" si="131"/>
        <v>Gimenez Santiago,Jose Maria</v>
      </c>
      <c r="X1924" s="95">
        <f t="shared" si="132"/>
        <v>6</v>
      </c>
      <c r="Y1924" s="95">
        <f t="shared" si="133"/>
        <v>2022</v>
      </c>
      <c r="Z1924" s="153" t="s">
        <v>266</v>
      </c>
      <c r="AA1924" t="str">
        <f>IF(Tabla1[[#This Row],[Kerma en aire acumulada (Gy)]]&gt;1,SUMIF(G:G,Tabla1[[#This Row],[SIP]],I:I)-Tabla1[[#This Row],[Kerma en aire acumulada (Gy)]],"")</f>
        <v/>
      </c>
    </row>
    <row r="1925" spans="3:27">
      <c r="C1925" s="144" t="str">
        <f t="shared" si="134"/>
        <v>Adulto</v>
      </c>
      <c r="D1925" s="145" t="s">
        <v>556</v>
      </c>
      <c r="E1925" s="145" t="s">
        <v>800</v>
      </c>
      <c r="F1925" s="145" t="s">
        <v>1137</v>
      </c>
      <c r="G1925" s="145">
        <v>12148768</v>
      </c>
      <c r="H1925" s="146">
        <v>44722</v>
      </c>
      <c r="I1925" s="145">
        <v>0.16617999999999999</v>
      </c>
      <c r="J1925" s="145"/>
      <c r="K1925" s="145"/>
      <c r="L1925" s="145"/>
      <c r="M1925" s="145"/>
      <c r="N1925" s="145"/>
      <c r="O1925" s="145"/>
      <c r="P1925" s="145"/>
      <c r="Q1925" s="145"/>
      <c r="R1925" s="145"/>
      <c r="S1925" s="145"/>
      <c r="T1925" s="146">
        <v>31420</v>
      </c>
      <c r="U1925" s="145"/>
      <c r="V1925" s="145" t="s">
        <v>2383</v>
      </c>
      <c r="W1925" s="92" t="str">
        <f t="shared" si="131"/>
        <v>Conde Zamora,Lucia</v>
      </c>
      <c r="X1925" s="95">
        <f t="shared" si="132"/>
        <v>6</v>
      </c>
      <c r="Y1925" s="95">
        <f t="shared" si="133"/>
        <v>2022</v>
      </c>
      <c r="Z1925" s="153" t="s">
        <v>266</v>
      </c>
      <c r="AA1925" t="str">
        <f>IF(Tabla1[[#This Row],[Kerma en aire acumulada (Gy)]]&gt;1,SUMIF(G:G,Tabla1[[#This Row],[SIP]],I:I)-Tabla1[[#This Row],[Kerma en aire acumulada (Gy)]],"")</f>
        <v/>
      </c>
    </row>
    <row r="1926" spans="3:27">
      <c r="C1926" s="144" t="str">
        <f t="shared" si="134"/>
        <v>Adulto</v>
      </c>
      <c r="D1926" s="145" t="s">
        <v>2627</v>
      </c>
      <c r="E1926" s="145" t="s">
        <v>3112</v>
      </c>
      <c r="F1926" s="145" t="s">
        <v>1038</v>
      </c>
      <c r="G1926" s="145">
        <v>1858178</v>
      </c>
      <c r="H1926" s="146">
        <v>44722</v>
      </c>
      <c r="I1926" s="145">
        <v>0.53000999999999998</v>
      </c>
      <c r="J1926" s="145"/>
      <c r="K1926" s="145"/>
      <c r="L1926" s="145"/>
      <c r="M1926" s="145"/>
      <c r="N1926" s="145"/>
      <c r="O1926" s="145"/>
      <c r="P1926" s="145"/>
      <c r="Q1926" s="145"/>
      <c r="R1926" s="145"/>
      <c r="S1926" s="145"/>
      <c r="T1926" s="146">
        <v>23917</v>
      </c>
      <c r="U1926" s="145"/>
      <c r="V1926" s="145" t="s">
        <v>2383</v>
      </c>
      <c r="W1926" s="92" t="str">
        <f t="shared" si="131"/>
        <v>Molero Ratia,Juan Antonio</v>
      </c>
      <c r="X1926" s="95">
        <f t="shared" si="132"/>
        <v>6</v>
      </c>
      <c r="Y1926" s="95">
        <f t="shared" si="133"/>
        <v>2022</v>
      </c>
      <c r="Z1926" s="153" t="s">
        <v>266</v>
      </c>
      <c r="AA1926" t="str">
        <f>IF(Tabla1[[#This Row],[Kerma en aire acumulada (Gy)]]&gt;1,SUMIF(G:G,Tabla1[[#This Row],[SIP]],I:I)-Tabla1[[#This Row],[Kerma en aire acumulada (Gy)]],"")</f>
        <v/>
      </c>
    </row>
    <row r="1927" spans="3:27">
      <c r="C1927" s="144" t="str">
        <f t="shared" si="134"/>
        <v>Adulto</v>
      </c>
      <c r="D1927" s="145" t="s">
        <v>1640</v>
      </c>
      <c r="E1927" s="145" t="s">
        <v>2978</v>
      </c>
      <c r="F1927" s="145" t="s">
        <v>991</v>
      </c>
      <c r="G1927" s="145">
        <v>1748273</v>
      </c>
      <c r="H1927" s="146">
        <v>44722</v>
      </c>
      <c r="I1927" s="145">
        <v>0.22747000000000001</v>
      </c>
      <c r="J1927" s="145"/>
      <c r="K1927" s="145"/>
      <c r="L1927" s="145"/>
      <c r="M1927" s="145"/>
      <c r="N1927" s="145"/>
      <c r="O1927" s="145"/>
      <c r="P1927" s="145"/>
      <c r="Q1927" s="145"/>
      <c r="R1927" s="145"/>
      <c r="S1927" s="145"/>
      <c r="T1927" s="146">
        <v>25737</v>
      </c>
      <c r="U1927" s="145"/>
      <c r="V1927" s="145" t="s">
        <v>2383</v>
      </c>
      <c r="W1927" s="92" t="str">
        <f t="shared" si="131"/>
        <v>Pitarch Huguet,Jose</v>
      </c>
      <c r="X1927" s="95">
        <f t="shared" si="132"/>
        <v>6</v>
      </c>
      <c r="Y1927" s="95">
        <f t="shared" si="133"/>
        <v>2022</v>
      </c>
      <c r="Z1927" s="153" t="s">
        <v>266</v>
      </c>
      <c r="AA1927" t="str">
        <f>IF(Tabla1[[#This Row],[Kerma en aire acumulada (Gy)]]&gt;1,SUMIF(G:G,Tabla1[[#This Row],[SIP]],I:I)-Tabla1[[#This Row],[Kerma en aire acumulada (Gy)]],"")</f>
        <v/>
      </c>
    </row>
    <row r="1928" spans="3:27">
      <c r="C1928" s="144" t="str">
        <f t="shared" si="134"/>
        <v>Pediátrico</v>
      </c>
      <c r="D1928" s="145" t="s">
        <v>3109</v>
      </c>
      <c r="E1928" s="145" t="s">
        <v>856</v>
      </c>
      <c r="F1928" s="145" t="s">
        <v>3110</v>
      </c>
      <c r="G1928" s="145">
        <v>6580783</v>
      </c>
      <c r="H1928" s="146">
        <v>44722</v>
      </c>
      <c r="I1928" s="145">
        <v>1.2880000000000001E-2</v>
      </c>
      <c r="J1928" s="145"/>
      <c r="K1928" s="145"/>
      <c r="L1928" s="145"/>
      <c r="M1928" s="145"/>
      <c r="N1928" s="145"/>
      <c r="O1928" s="145"/>
      <c r="P1928" s="145"/>
      <c r="Q1928" s="145"/>
      <c r="R1928" s="145"/>
      <c r="S1928" s="145"/>
      <c r="T1928" s="146">
        <v>39009</v>
      </c>
      <c r="U1928" s="145"/>
      <c r="V1928" s="145" t="s">
        <v>3111</v>
      </c>
      <c r="W1928" s="92" t="str">
        <f t="shared" si="131"/>
        <v>Caldito Gomez,Maga</v>
      </c>
      <c r="X1928" s="95">
        <f t="shared" si="132"/>
        <v>6</v>
      </c>
      <c r="Y1928" s="95">
        <f t="shared" si="133"/>
        <v>2022</v>
      </c>
      <c r="Z1928" s="153" t="s">
        <v>265</v>
      </c>
      <c r="AA1928" t="str">
        <f>IF(Tabla1[[#This Row],[Kerma en aire acumulada (Gy)]]&gt;1,SUMIF(G:G,Tabla1[[#This Row],[SIP]],I:I)-Tabla1[[#This Row],[Kerma en aire acumulada (Gy)]],"")</f>
        <v/>
      </c>
    </row>
    <row r="1929" spans="3:27">
      <c r="C1929" s="144" t="str">
        <f t="shared" si="134"/>
        <v>Adulto</v>
      </c>
      <c r="D1929" s="145" t="s">
        <v>3107</v>
      </c>
      <c r="E1929" s="145" t="s">
        <v>3108</v>
      </c>
      <c r="F1929" s="145" t="s">
        <v>991</v>
      </c>
      <c r="G1929" s="145">
        <v>2222675</v>
      </c>
      <c r="H1929" s="146">
        <v>44722</v>
      </c>
      <c r="I1929" s="145">
        <v>7.4230000000000004E-2</v>
      </c>
      <c r="J1929" s="145"/>
      <c r="K1929" s="145"/>
      <c r="L1929" s="145"/>
      <c r="M1929" s="145"/>
      <c r="N1929" s="145"/>
      <c r="O1929" s="145"/>
      <c r="P1929" s="145"/>
      <c r="Q1929" s="145"/>
      <c r="R1929" s="145"/>
      <c r="S1929" s="145"/>
      <c r="T1929" s="146">
        <v>14734</v>
      </c>
      <c r="U1929" s="145"/>
      <c r="V1929" s="145" t="s">
        <v>1767</v>
      </c>
      <c r="W1929" s="92" t="str">
        <f t="shared" si="131"/>
        <v>Arastey Alis,Jose</v>
      </c>
      <c r="X1929" s="95">
        <f t="shared" si="132"/>
        <v>6</v>
      </c>
      <c r="Y1929" s="95">
        <f t="shared" si="133"/>
        <v>2022</v>
      </c>
      <c r="Z1929" s="153" t="s">
        <v>265</v>
      </c>
      <c r="AA1929" t="str">
        <f>IF(Tabla1[[#This Row],[Kerma en aire acumulada (Gy)]]&gt;1,SUMIF(G:G,Tabla1[[#This Row],[SIP]],I:I)-Tabla1[[#This Row],[Kerma en aire acumulada (Gy)]],"")</f>
        <v/>
      </c>
    </row>
    <row r="1930" spans="3:27">
      <c r="C1930" s="144" t="str">
        <f t="shared" si="134"/>
        <v>Adulto</v>
      </c>
      <c r="D1930" s="145" t="s">
        <v>2078</v>
      </c>
      <c r="E1930" s="145" t="s">
        <v>960</v>
      </c>
      <c r="F1930" s="145" t="s">
        <v>2009</v>
      </c>
      <c r="G1930" s="145">
        <v>2481406</v>
      </c>
      <c r="H1930" s="146">
        <v>44722</v>
      </c>
      <c r="I1930" s="145">
        <v>6.4000000000000005E-4</v>
      </c>
      <c r="J1930" s="145"/>
      <c r="K1930" s="145"/>
      <c r="L1930" s="145"/>
      <c r="M1930" s="145"/>
      <c r="N1930" s="145"/>
      <c r="O1930" s="145"/>
      <c r="P1930" s="145"/>
      <c r="Q1930" s="145"/>
      <c r="R1930" s="145"/>
      <c r="S1930" s="145"/>
      <c r="T1930" s="146">
        <v>35347</v>
      </c>
      <c r="U1930" s="145"/>
      <c r="V1930" s="145" t="s">
        <v>1679</v>
      </c>
      <c r="W1930" s="92" t="str">
        <f t="shared" si="131"/>
        <v>Boyer Lopez,Andrea</v>
      </c>
      <c r="X1930" s="95">
        <f t="shared" si="132"/>
        <v>6</v>
      </c>
      <c r="Y1930" s="95">
        <f t="shared" si="133"/>
        <v>2022</v>
      </c>
      <c r="Z1930" s="153" t="s">
        <v>265</v>
      </c>
      <c r="AA1930" t="str">
        <f>IF(Tabla1[[#This Row],[Kerma en aire acumulada (Gy)]]&gt;1,SUMIF(G:G,Tabla1[[#This Row],[SIP]],I:I)-Tabla1[[#This Row],[Kerma en aire acumulada (Gy)]],"")</f>
        <v/>
      </c>
    </row>
    <row r="1931" spans="3:27">
      <c r="C1931" s="144" t="str">
        <f t="shared" si="134"/>
        <v>Adulto</v>
      </c>
      <c r="D1931" s="145" t="s">
        <v>3116</v>
      </c>
      <c r="E1931" s="145" t="s">
        <v>2801</v>
      </c>
      <c r="F1931" s="145" t="s">
        <v>519</v>
      </c>
      <c r="G1931" s="145">
        <v>3376224</v>
      </c>
      <c r="H1931" s="146">
        <v>44723</v>
      </c>
      <c r="I1931" s="168">
        <v>2.1503100000000002</v>
      </c>
      <c r="J1931" s="145"/>
      <c r="K1931" s="145"/>
      <c r="L1931" s="145"/>
      <c r="M1931" s="145"/>
      <c r="N1931" s="145"/>
      <c r="O1931" s="145"/>
      <c r="P1931" s="145"/>
      <c r="Q1931" s="145"/>
      <c r="R1931" s="145"/>
      <c r="S1931" s="145"/>
      <c r="T1931" s="146">
        <v>22325</v>
      </c>
      <c r="U1931" s="145"/>
      <c r="V1931" s="145" t="s">
        <v>3051</v>
      </c>
      <c r="W1931" s="92" t="str">
        <f t="shared" si="131"/>
        <v>Lladosa Torro,Fernando</v>
      </c>
      <c r="X1931" s="95">
        <f t="shared" si="132"/>
        <v>6</v>
      </c>
      <c r="Y1931" s="95">
        <f t="shared" si="133"/>
        <v>2022</v>
      </c>
      <c r="Z1931" s="153" t="s">
        <v>265</v>
      </c>
      <c r="AA1931">
        <f>IF(Tabla1[[#This Row],[Kerma en aire acumulada (Gy)]]&gt;1,SUMIF(G:G,Tabla1[[#This Row],[SIP]],I:I)-Tabla1[[#This Row],[Kerma en aire acumulada (Gy)]],"")</f>
        <v>1.0149999999999881E-2</v>
      </c>
    </row>
    <row r="1932" spans="3:27">
      <c r="C1932" s="144" t="str">
        <f t="shared" si="134"/>
        <v>Adulto</v>
      </c>
      <c r="D1932" s="145" t="s">
        <v>960</v>
      </c>
      <c r="E1932" s="145" t="s">
        <v>960</v>
      </c>
      <c r="F1932" s="145" t="s">
        <v>2234</v>
      </c>
      <c r="G1932" s="145">
        <v>3798950</v>
      </c>
      <c r="H1932" s="146">
        <v>44723</v>
      </c>
      <c r="I1932" s="176">
        <v>3.3026200000000001</v>
      </c>
      <c r="J1932" s="145"/>
      <c r="K1932" s="145"/>
      <c r="L1932" s="145"/>
      <c r="M1932" s="145"/>
      <c r="N1932" s="145"/>
      <c r="O1932" s="145"/>
      <c r="P1932" s="145"/>
      <c r="Q1932" s="145"/>
      <c r="R1932" s="145"/>
      <c r="S1932" s="145"/>
      <c r="T1932" s="146">
        <v>21342</v>
      </c>
      <c r="U1932" s="145"/>
      <c r="V1932" s="145" t="s">
        <v>2190</v>
      </c>
      <c r="W1932" s="92" t="str">
        <f t="shared" si="131"/>
        <v>Lopez Lopez,Jose Carlos</v>
      </c>
      <c r="X1932" s="95">
        <f t="shared" si="132"/>
        <v>6</v>
      </c>
      <c r="Y1932" s="95">
        <f t="shared" si="133"/>
        <v>2022</v>
      </c>
      <c r="Z1932" s="153" t="s">
        <v>265</v>
      </c>
      <c r="AA1932">
        <f>IF(Tabla1[[#This Row],[Kerma en aire acumulada (Gy)]]&gt;1,SUMIF(G:G,Tabla1[[#This Row],[SIP]],I:I)-Tabla1[[#This Row],[Kerma en aire acumulada (Gy)]],"")</f>
        <v>0</v>
      </c>
    </row>
    <row r="1933" spans="3:27">
      <c r="C1933" s="144" t="str">
        <f t="shared" si="134"/>
        <v>Adulto</v>
      </c>
      <c r="D1933" s="145" t="s">
        <v>2585</v>
      </c>
      <c r="E1933" s="145" t="s">
        <v>3122</v>
      </c>
      <c r="F1933" s="145" t="s">
        <v>57</v>
      </c>
      <c r="G1933" s="145">
        <v>384426</v>
      </c>
      <c r="H1933" s="146">
        <v>44724</v>
      </c>
      <c r="I1933" s="145">
        <v>0.55013999999999996</v>
      </c>
      <c r="J1933" s="145"/>
      <c r="K1933" s="145"/>
      <c r="L1933" s="145"/>
      <c r="M1933" s="145"/>
      <c r="N1933" s="145"/>
      <c r="O1933" s="145"/>
      <c r="P1933" s="145"/>
      <c r="Q1933" s="145"/>
      <c r="R1933" s="145"/>
      <c r="S1933" s="145"/>
      <c r="T1933" s="146">
        <v>21561</v>
      </c>
      <c r="U1933" s="145"/>
      <c r="V1933" s="145" t="s">
        <v>2383</v>
      </c>
      <c r="W1933" s="92" t="str">
        <f t="shared" si="131"/>
        <v>Navalon Cuesta,Miguel</v>
      </c>
      <c r="X1933" s="95">
        <f t="shared" si="132"/>
        <v>6</v>
      </c>
      <c r="Y1933" s="95">
        <f t="shared" si="133"/>
        <v>2022</v>
      </c>
      <c r="Z1933" s="153" t="s">
        <v>266</v>
      </c>
      <c r="AA1933" t="str">
        <f>IF(Tabla1[[#This Row],[Kerma en aire acumulada (Gy)]]&gt;1,SUMIF(G:G,Tabla1[[#This Row],[SIP]],I:I)-Tabla1[[#This Row],[Kerma en aire acumulada (Gy)]],"")</f>
        <v/>
      </c>
    </row>
    <row r="1934" spans="3:27">
      <c r="C1934" s="144" t="str">
        <f t="shared" si="134"/>
        <v>Adulto</v>
      </c>
      <c r="D1934" s="145" t="s">
        <v>3121</v>
      </c>
      <c r="E1934" s="145" t="s">
        <v>2080</v>
      </c>
      <c r="F1934" s="145" t="s">
        <v>1697</v>
      </c>
      <c r="G1934" s="145">
        <v>195079</v>
      </c>
      <c r="H1934" s="146">
        <v>44724</v>
      </c>
      <c r="I1934" s="145">
        <v>0.25322</v>
      </c>
      <c r="J1934" s="145"/>
      <c r="K1934" s="145"/>
      <c r="L1934" s="145"/>
      <c r="M1934" s="145"/>
      <c r="N1934" s="145"/>
      <c r="O1934" s="145"/>
      <c r="P1934" s="145"/>
      <c r="Q1934" s="145"/>
      <c r="R1934" s="145"/>
      <c r="S1934" s="145"/>
      <c r="T1934" s="146">
        <v>12271</v>
      </c>
      <c r="U1934" s="145"/>
      <c r="V1934" s="145" t="s">
        <v>2383</v>
      </c>
      <c r="W1934" s="92" t="str">
        <f t="shared" si="131"/>
        <v>Mercader Hervas,Emilio</v>
      </c>
      <c r="X1934" s="95">
        <f t="shared" si="132"/>
        <v>6</v>
      </c>
      <c r="Y1934" s="95">
        <f t="shared" si="133"/>
        <v>2022</v>
      </c>
      <c r="Z1934" s="153" t="s">
        <v>266</v>
      </c>
      <c r="AA1934" t="str">
        <f>IF(Tabla1[[#This Row],[Kerma en aire acumulada (Gy)]]&gt;1,SUMIF(G:G,Tabla1[[#This Row],[SIP]],I:I)-Tabla1[[#This Row],[Kerma en aire acumulada (Gy)]],"")</f>
        <v/>
      </c>
    </row>
    <row r="1935" spans="3:27">
      <c r="C1935" s="144" t="str">
        <f t="shared" si="134"/>
        <v>Adulto</v>
      </c>
      <c r="D1935" s="145" t="s">
        <v>3119</v>
      </c>
      <c r="E1935" s="145" t="s">
        <v>1732</v>
      </c>
      <c r="F1935" s="145" t="s">
        <v>3120</v>
      </c>
      <c r="G1935" s="145">
        <v>4698372</v>
      </c>
      <c r="H1935" s="146">
        <v>44724</v>
      </c>
      <c r="I1935" s="145">
        <v>0.53937000000000002</v>
      </c>
      <c r="J1935" s="145"/>
      <c r="K1935" s="145"/>
      <c r="L1935" s="145"/>
      <c r="M1935" s="145"/>
      <c r="N1935" s="145"/>
      <c r="O1935" s="145"/>
      <c r="P1935" s="145"/>
      <c r="Q1935" s="145"/>
      <c r="R1935" s="145"/>
      <c r="S1935" s="145"/>
      <c r="T1935" s="146">
        <v>19782</v>
      </c>
      <c r="U1935" s="145"/>
      <c r="V1935" s="145" t="s">
        <v>2383</v>
      </c>
      <c r="W1935" s="92" t="str">
        <f t="shared" si="131"/>
        <v>Gay Villalba,Jose Andres</v>
      </c>
      <c r="X1935" s="95">
        <f t="shared" si="132"/>
        <v>6</v>
      </c>
      <c r="Y1935" s="95">
        <f t="shared" si="133"/>
        <v>2022</v>
      </c>
      <c r="Z1935" s="153" t="s">
        <v>266</v>
      </c>
      <c r="AA1935" t="str">
        <f>IF(Tabla1[[#This Row],[Kerma en aire acumulada (Gy)]]&gt;1,SUMIF(G:G,Tabla1[[#This Row],[SIP]],I:I)-Tabla1[[#This Row],[Kerma en aire acumulada (Gy)]],"")</f>
        <v/>
      </c>
    </row>
    <row r="1936" spans="3:27">
      <c r="C1936" s="144" t="str">
        <f t="shared" si="134"/>
        <v>Adulto</v>
      </c>
      <c r="D1936" s="145" t="s">
        <v>3117</v>
      </c>
      <c r="E1936" s="145" t="s">
        <v>1262</v>
      </c>
      <c r="F1936" s="145" t="s">
        <v>3118</v>
      </c>
      <c r="G1936" s="145">
        <v>6094248</v>
      </c>
      <c r="H1936" s="146">
        <v>44724</v>
      </c>
      <c r="I1936" s="168">
        <v>1.2137899999999999</v>
      </c>
      <c r="J1936" s="145"/>
      <c r="K1936" s="145"/>
      <c r="L1936" s="145"/>
      <c r="M1936" s="145"/>
      <c r="N1936" s="145"/>
      <c r="O1936" s="145"/>
      <c r="P1936" s="145"/>
      <c r="Q1936" s="145"/>
      <c r="R1936" s="145"/>
      <c r="S1936" s="145"/>
      <c r="T1936" s="146">
        <v>13105</v>
      </c>
      <c r="U1936" s="145"/>
      <c r="V1936" s="145" t="s">
        <v>259</v>
      </c>
      <c r="W1936" s="92" t="str">
        <f t="shared" si="131"/>
        <v>Cabezas Diaz,Sonsoles</v>
      </c>
      <c r="X1936" s="95">
        <f t="shared" si="132"/>
        <v>6</v>
      </c>
      <c r="Y1936" s="95">
        <f t="shared" si="133"/>
        <v>2022</v>
      </c>
      <c r="Z1936" s="153" t="s">
        <v>265</v>
      </c>
      <c r="AA1936">
        <f>IF(Tabla1[[#This Row],[Kerma en aire acumulada (Gy)]]&gt;1,SUMIF(G:G,Tabla1[[#This Row],[SIP]],I:I)-Tabla1[[#This Row],[Kerma en aire acumulada (Gy)]],"")</f>
        <v>0</v>
      </c>
    </row>
    <row r="1937" spans="3:27">
      <c r="C1937" s="144" t="str">
        <f t="shared" si="134"/>
        <v>Adulto</v>
      </c>
      <c r="D1937" s="145" t="s">
        <v>660</v>
      </c>
      <c r="E1937" s="145" t="s">
        <v>3131</v>
      </c>
      <c r="F1937" s="145" t="s">
        <v>991</v>
      </c>
      <c r="G1937" s="145">
        <v>394671</v>
      </c>
      <c r="H1937" s="146">
        <v>44725</v>
      </c>
      <c r="I1937" s="145">
        <v>1.41E-3</v>
      </c>
      <c r="J1937" s="145"/>
      <c r="K1937" s="145"/>
      <c r="L1937" s="145"/>
      <c r="M1937" s="145"/>
      <c r="N1937" s="145"/>
      <c r="O1937" s="145"/>
      <c r="P1937" s="145"/>
      <c r="Q1937" s="145"/>
      <c r="R1937" s="145"/>
      <c r="S1937" s="145"/>
      <c r="T1937" s="146">
        <v>16484</v>
      </c>
      <c r="U1937" s="145"/>
      <c r="V1937" s="145" t="s">
        <v>2962</v>
      </c>
      <c r="W1937" s="92" t="str">
        <f t="shared" si="131"/>
        <v>Abad Chafer,Jose</v>
      </c>
      <c r="X1937" s="95">
        <f t="shared" si="132"/>
        <v>6</v>
      </c>
      <c r="Y1937" s="95">
        <f t="shared" si="133"/>
        <v>2022</v>
      </c>
      <c r="Z1937" s="153" t="s">
        <v>2238</v>
      </c>
      <c r="AA1937" t="str">
        <f>IF(Tabla1[[#This Row],[Kerma en aire acumulada (Gy)]]&gt;1,SUMIF(G:G,Tabla1[[#This Row],[SIP]],I:I)-Tabla1[[#This Row],[Kerma en aire acumulada (Gy)]],"")</f>
        <v/>
      </c>
    </row>
    <row r="1938" spans="3:27">
      <c r="C1938" s="144" t="str">
        <f t="shared" si="134"/>
        <v>Adulto</v>
      </c>
      <c r="D1938" s="145" t="s">
        <v>1942</v>
      </c>
      <c r="E1938" s="145" t="s">
        <v>3016</v>
      </c>
      <c r="F1938" s="145" t="s">
        <v>2189</v>
      </c>
      <c r="G1938" s="145">
        <v>2866438</v>
      </c>
      <c r="H1938" s="146">
        <v>44725</v>
      </c>
      <c r="I1938" s="145">
        <f>0.49/1000</f>
        <v>4.8999999999999998E-4</v>
      </c>
      <c r="J1938" s="145"/>
      <c r="K1938" s="145"/>
      <c r="L1938" s="145"/>
      <c r="M1938" s="145"/>
      <c r="N1938" s="145"/>
      <c r="O1938" s="145"/>
      <c r="P1938" s="145"/>
      <c r="Q1938" s="145"/>
      <c r="R1938" s="145"/>
      <c r="S1938" s="145"/>
      <c r="T1938" s="146">
        <v>17917</v>
      </c>
      <c r="U1938" s="145"/>
      <c r="V1938" s="145" t="s">
        <v>2962</v>
      </c>
      <c r="W1938" s="92" t="str">
        <f t="shared" si="131"/>
        <v>Mendez Cordobes,Juan Jose</v>
      </c>
      <c r="X1938" s="95">
        <f t="shared" si="132"/>
        <v>6</v>
      </c>
      <c r="Y1938" s="95">
        <f t="shared" si="133"/>
        <v>2022</v>
      </c>
      <c r="Z1938" s="153" t="s">
        <v>2238</v>
      </c>
      <c r="AA1938" t="str">
        <f>IF(Tabla1[[#This Row],[Kerma en aire acumulada (Gy)]]&gt;1,SUMIF(G:G,Tabla1[[#This Row],[SIP]],I:I)-Tabla1[[#This Row],[Kerma en aire acumulada (Gy)]],"")</f>
        <v/>
      </c>
    </row>
    <row r="1939" spans="3:27">
      <c r="C1939" s="144" t="str">
        <f t="shared" si="134"/>
        <v>Adulto</v>
      </c>
      <c r="D1939" s="145" t="s">
        <v>289</v>
      </c>
      <c r="E1939" s="145" t="s">
        <v>15</v>
      </c>
      <c r="F1939" s="145" t="s">
        <v>1621</v>
      </c>
      <c r="G1939" s="145">
        <v>2919770</v>
      </c>
      <c r="H1939" s="146">
        <v>44725</v>
      </c>
      <c r="I1939" s="145">
        <v>0.25125999999999998</v>
      </c>
      <c r="J1939" s="145"/>
      <c r="K1939" s="145"/>
      <c r="L1939" s="145"/>
      <c r="M1939" s="145"/>
      <c r="N1939" s="145"/>
      <c r="O1939" s="145"/>
      <c r="P1939" s="145"/>
      <c r="Q1939" s="145"/>
      <c r="R1939" s="145"/>
      <c r="S1939" s="145"/>
      <c r="T1939" s="146">
        <v>21883</v>
      </c>
      <c r="U1939" s="145"/>
      <c r="V1939" s="145" t="s">
        <v>2962</v>
      </c>
      <c r="W1939" s="92" t="str">
        <f t="shared" si="131"/>
        <v>Robles Moreno,Ramon</v>
      </c>
      <c r="X1939" s="95">
        <f t="shared" si="132"/>
        <v>6</v>
      </c>
      <c r="Y1939" s="95">
        <f t="shared" si="133"/>
        <v>2022</v>
      </c>
      <c r="Z1939" s="153" t="s">
        <v>2238</v>
      </c>
      <c r="AA1939" t="str">
        <f>IF(Tabla1[[#This Row],[Kerma en aire acumulada (Gy)]]&gt;1,SUMIF(G:G,Tabla1[[#This Row],[SIP]],I:I)-Tabla1[[#This Row],[Kerma en aire acumulada (Gy)]],"")</f>
        <v/>
      </c>
    </row>
    <row r="1940" spans="3:27">
      <c r="C1940" s="144" t="str">
        <f t="shared" si="134"/>
        <v>Adulto</v>
      </c>
      <c r="D1940" s="145" t="s">
        <v>3129</v>
      </c>
      <c r="E1940" s="145" t="s">
        <v>3130</v>
      </c>
      <c r="F1940" s="145" t="s">
        <v>2410</v>
      </c>
      <c r="G1940" s="145">
        <v>1552593</v>
      </c>
      <c r="H1940" s="146">
        <v>44725</v>
      </c>
      <c r="I1940" s="145">
        <v>2.5940000000000001E-2</v>
      </c>
      <c r="J1940" s="145"/>
      <c r="K1940" s="145"/>
      <c r="L1940" s="145"/>
      <c r="M1940" s="145"/>
      <c r="N1940" s="145"/>
      <c r="O1940" s="145"/>
      <c r="P1940" s="145"/>
      <c r="Q1940" s="145"/>
      <c r="R1940" s="145"/>
      <c r="S1940" s="145"/>
      <c r="T1940" s="146">
        <v>35488</v>
      </c>
      <c r="U1940" s="145"/>
      <c r="V1940" s="145" t="s">
        <v>2383</v>
      </c>
      <c r="W1940" s="92" t="str">
        <f t="shared" si="131"/>
        <v>Peñarrubia del Valle,Jose Maria</v>
      </c>
      <c r="X1940" s="95">
        <f t="shared" si="132"/>
        <v>6</v>
      </c>
      <c r="Y1940" s="95">
        <f t="shared" si="133"/>
        <v>2022</v>
      </c>
      <c r="Z1940" s="153" t="s">
        <v>266</v>
      </c>
      <c r="AA1940" t="str">
        <f>IF(Tabla1[[#This Row],[Kerma en aire acumulada (Gy)]]&gt;1,SUMIF(G:G,Tabla1[[#This Row],[SIP]],I:I)-Tabla1[[#This Row],[Kerma en aire acumulada (Gy)]],"")</f>
        <v/>
      </c>
    </row>
    <row r="1941" spans="3:27">
      <c r="C1941" s="144" t="str">
        <f t="shared" si="134"/>
        <v>Adulto</v>
      </c>
      <c r="D1941" s="145" t="s">
        <v>856</v>
      </c>
      <c r="E1941" s="145" t="s">
        <v>1235</v>
      </c>
      <c r="F1941" s="145" t="s">
        <v>83</v>
      </c>
      <c r="G1941" s="145">
        <v>1864093</v>
      </c>
      <c r="H1941" s="146">
        <v>44725</v>
      </c>
      <c r="I1941" s="145">
        <v>8.0839999999999995E-2</v>
      </c>
      <c r="J1941" s="145"/>
      <c r="K1941" s="145"/>
      <c r="L1941" s="145"/>
      <c r="M1941" s="145"/>
      <c r="N1941" s="145"/>
      <c r="O1941" s="145"/>
      <c r="P1941" s="145"/>
      <c r="Q1941" s="145"/>
      <c r="R1941" s="145"/>
      <c r="S1941" s="145"/>
      <c r="T1941" s="146">
        <v>15772</v>
      </c>
      <c r="U1941" s="145"/>
      <c r="V1941" s="145" t="s">
        <v>2383</v>
      </c>
      <c r="W1941" s="92" t="str">
        <f t="shared" si="131"/>
        <v>Gomez Asins,Francisco</v>
      </c>
      <c r="X1941" s="95">
        <f t="shared" si="132"/>
        <v>6</v>
      </c>
      <c r="Y1941" s="95">
        <f t="shared" si="133"/>
        <v>2022</v>
      </c>
      <c r="Z1941" s="153" t="s">
        <v>266</v>
      </c>
      <c r="AA1941" t="str">
        <f>IF(Tabla1[[#This Row],[Kerma en aire acumulada (Gy)]]&gt;1,SUMIF(G:G,Tabla1[[#This Row],[SIP]],I:I)-Tabla1[[#This Row],[Kerma en aire acumulada (Gy)]],"")</f>
        <v/>
      </c>
    </row>
    <row r="1942" spans="3:27">
      <c r="C1942" s="144" t="str">
        <f t="shared" si="134"/>
        <v>Adulto</v>
      </c>
      <c r="D1942" s="145" t="s">
        <v>3128</v>
      </c>
      <c r="E1942" s="145" t="s">
        <v>804</v>
      </c>
      <c r="F1942" s="145" t="s">
        <v>1006</v>
      </c>
      <c r="G1942" s="145">
        <v>2246700</v>
      </c>
      <c r="H1942" s="146">
        <v>44725</v>
      </c>
      <c r="I1942" s="145">
        <v>0.12769</v>
      </c>
      <c r="J1942" s="145"/>
      <c r="K1942" s="145"/>
      <c r="L1942" s="145"/>
      <c r="M1942" s="145"/>
      <c r="N1942" s="145"/>
      <c r="O1942" s="145"/>
      <c r="P1942" s="145"/>
      <c r="Q1942" s="145"/>
      <c r="R1942" s="145"/>
      <c r="S1942" s="145"/>
      <c r="T1942" s="146">
        <v>28132</v>
      </c>
      <c r="U1942" s="145"/>
      <c r="V1942" s="145" t="s">
        <v>2383</v>
      </c>
      <c r="W1942" s="92" t="str">
        <f t="shared" si="131"/>
        <v>Antequera Balaguer,Victoria</v>
      </c>
      <c r="X1942" s="95">
        <f t="shared" si="132"/>
        <v>6</v>
      </c>
      <c r="Y1942" s="95">
        <f t="shared" si="133"/>
        <v>2022</v>
      </c>
      <c r="Z1942" s="153" t="s">
        <v>266</v>
      </c>
      <c r="AA1942" t="str">
        <f>IF(Tabla1[[#This Row],[Kerma en aire acumulada (Gy)]]&gt;1,SUMIF(G:G,Tabla1[[#This Row],[SIP]],I:I)-Tabla1[[#This Row],[Kerma en aire acumulada (Gy)]],"")</f>
        <v/>
      </c>
    </row>
    <row r="1943" spans="3:27">
      <c r="C1943" s="144" t="str">
        <f t="shared" si="134"/>
        <v>Adulto</v>
      </c>
      <c r="D1943" s="145" t="s">
        <v>354</v>
      </c>
      <c r="E1943" s="145" t="s">
        <v>2685</v>
      </c>
      <c r="F1943" s="145" t="s">
        <v>1990</v>
      </c>
      <c r="G1943" s="145">
        <v>2885907</v>
      </c>
      <c r="H1943" s="146">
        <v>44725</v>
      </c>
      <c r="I1943" s="145">
        <v>0.25375999999999999</v>
      </c>
      <c r="J1943" s="145"/>
      <c r="K1943" s="145"/>
      <c r="L1943" s="145"/>
      <c r="M1943" s="145"/>
      <c r="N1943" s="145"/>
      <c r="O1943" s="145"/>
      <c r="P1943" s="145"/>
      <c r="Q1943" s="145"/>
      <c r="R1943" s="145"/>
      <c r="S1943" s="145"/>
      <c r="T1943" s="146">
        <v>23709</v>
      </c>
      <c r="U1943" s="145"/>
      <c r="V1943" s="145" t="s">
        <v>2383</v>
      </c>
      <c r="W1943" s="92" t="str">
        <f t="shared" si="131"/>
        <v>Valverde Molinero,Jose Ramon</v>
      </c>
      <c r="X1943" s="95">
        <f t="shared" si="132"/>
        <v>6</v>
      </c>
      <c r="Y1943" s="95">
        <f t="shared" si="133"/>
        <v>2022</v>
      </c>
      <c r="Z1943" s="153" t="s">
        <v>266</v>
      </c>
      <c r="AA1943" t="str">
        <f>IF(Tabla1[[#This Row],[Kerma en aire acumulada (Gy)]]&gt;1,SUMIF(G:G,Tabla1[[#This Row],[SIP]],I:I)-Tabla1[[#This Row],[Kerma en aire acumulada (Gy)]],"")</f>
        <v/>
      </c>
    </row>
    <row r="1944" spans="3:27">
      <c r="C1944" s="144" t="str">
        <f t="shared" si="134"/>
        <v>Adulto</v>
      </c>
      <c r="D1944" s="145" t="s">
        <v>631</v>
      </c>
      <c r="E1944" s="145" t="s">
        <v>1103</v>
      </c>
      <c r="F1944" s="145" t="s">
        <v>3071</v>
      </c>
      <c r="G1944" s="145">
        <v>4810166</v>
      </c>
      <c r="H1944" s="146">
        <v>44725</v>
      </c>
      <c r="I1944" s="145">
        <v>0.46427000000000002</v>
      </c>
      <c r="J1944" s="145"/>
      <c r="K1944" s="145"/>
      <c r="L1944" s="145"/>
      <c r="M1944" s="145"/>
      <c r="N1944" s="145"/>
      <c r="O1944" s="145"/>
      <c r="P1944" s="145"/>
      <c r="Q1944" s="145"/>
      <c r="R1944" s="145"/>
      <c r="S1944" s="145"/>
      <c r="T1944" s="146">
        <v>25699</v>
      </c>
      <c r="U1944" s="145"/>
      <c r="V1944" s="145" t="s">
        <v>2383</v>
      </c>
      <c r="W1944" s="92" t="str">
        <f t="shared" si="131"/>
        <v>Molina Flores,Holger</v>
      </c>
      <c r="X1944" s="95">
        <f t="shared" si="132"/>
        <v>6</v>
      </c>
      <c r="Y1944" s="95">
        <f t="shared" si="133"/>
        <v>2022</v>
      </c>
      <c r="Z1944" s="153" t="s">
        <v>266</v>
      </c>
      <c r="AA1944" t="str">
        <f>IF(Tabla1[[#This Row],[Kerma en aire acumulada (Gy)]]&gt;1,SUMIF(G:G,Tabla1[[#This Row],[SIP]],I:I)-Tabla1[[#This Row],[Kerma en aire acumulada (Gy)]],"")</f>
        <v/>
      </c>
    </row>
    <row r="1945" spans="3:27">
      <c r="C1945" s="144" t="str">
        <f t="shared" si="134"/>
        <v>Adulto</v>
      </c>
      <c r="D1945" s="145" t="s">
        <v>960</v>
      </c>
      <c r="E1945" s="145" t="s">
        <v>3072</v>
      </c>
      <c r="F1945" s="145" t="s">
        <v>3073</v>
      </c>
      <c r="G1945" s="145">
        <v>4513378</v>
      </c>
      <c r="H1945" s="146">
        <v>44725</v>
      </c>
      <c r="I1945" s="145">
        <v>0.72765999999999997</v>
      </c>
      <c r="J1945" s="145"/>
      <c r="K1945" s="145"/>
      <c r="L1945" s="145"/>
      <c r="M1945" s="145"/>
      <c r="N1945" s="145"/>
      <c r="O1945" s="145"/>
      <c r="P1945" s="145"/>
      <c r="Q1945" s="145"/>
      <c r="R1945" s="145"/>
      <c r="S1945" s="145"/>
      <c r="T1945" s="146">
        <v>21286</v>
      </c>
      <c r="U1945" s="145"/>
      <c r="V1945" s="145" t="s">
        <v>2383</v>
      </c>
      <c r="W1945" s="92" t="str">
        <f t="shared" si="131"/>
        <v>Lopez Cordoba,Josefa Maria Angele</v>
      </c>
      <c r="X1945" s="95">
        <f t="shared" si="132"/>
        <v>6</v>
      </c>
      <c r="Y1945" s="95">
        <f t="shared" si="133"/>
        <v>2022</v>
      </c>
      <c r="Z1945" s="153" t="s">
        <v>266</v>
      </c>
      <c r="AA1945" t="str">
        <f>IF(Tabla1[[#This Row],[Kerma en aire acumulada (Gy)]]&gt;1,SUMIF(G:G,Tabla1[[#This Row],[SIP]],I:I)-Tabla1[[#This Row],[Kerma en aire acumulada (Gy)]],"")</f>
        <v/>
      </c>
    </row>
    <row r="1946" spans="3:27">
      <c r="C1946" s="144" t="str">
        <f t="shared" si="134"/>
        <v>Adulto</v>
      </c>
      <c r="D1946" s="145" t="s">
        <v>3126</v>
      </c>
      <c r="E1946" s="145" t="s">
        <v>3127</v>
      </c>
      <c r="F1946" s="145" t="s">
        <v>715</v>
      </c>
      <c r="G1946" s="145">
        <v>12086214</v>
      </c>
      <c r="H1946" s="146">
        <v>44725</v>
      </c>
      <c r="I1946" s="145">
        <v>9.6900000000000007E-3</v>
      </c>
      <c r="J1946" s="145"/>
      <c r="K1946" s="145"/>
      <c r="L1946" s="145"/>
      <c r="M1946" s="145"/>
      <c r="N1946" s="145"/>
      <c r="O1946" s="145"/>
      <c r="P1946" s="145"/>
      <c r="Q1946" s="145"/>
      <c r="R1946" s="145"/>
      <c r="S1946" s="145"/>
      <c r="T1946" s="146">
        <v>19142</v>
      </c>
      <c r="U1946" s="145"/>
      <c r="V1946" s="145" t="s">
        <v>2383</v>
      </c>
      <c r="W1946" s="92" t="str">
        <f t="shared" si="131"/>
        <v>Compañy Fuste,Amparo</v>
      </c>
      <c r="X1946" s="95">
        <f t="shared" si="132"/>
        <v>6</v>
      </c>
      <c r="Y1946" s="95">
        <f t="shared" si="133"/>
        <v>2022</v>
      </c>
      <c r="Z1946" s="153" t="s">
        <v>266</v>
      </c>
      <c r="AA1946" t="str">
        <f>IF(Tabla1[[#This Row],[Kerma en aire acumulada (Gy)]]&gt;1,SUMIF(G:G,Tabla1[[#This Row],[SIP]],I:I)-Tabla1[[#This Row],[Kerma en aire acumulada (Gy)]],"")</f>
        <v/>
      </c>
    </row>
    <row r="1947" spans="3:27">
      <c r="C1947" s="144" t="str">
        <f t="shared" si="134"/>
        <v>Adulto</v>
      </c>
      <c r="D1947" s="145" t="s">
        <v>1090</v>
      </c>
      <c r="E1947" s="145" t="s">
        <v>2842</v>
      </c>
      <c r="F1947" s="145" t="s">
        <v>2141</v>
      </c>
      <c r="G1947" s="145">
        <v>4515796</v>
      </c>
      <c r="H1947" s="146">
        <v>44725</v>
      </c>
      <c r="I1947" s="145">
        <f>265.28/1000</f>
        <v>0.26527999999999996</v>
      </c>
      <c r="J1947" s="145"/>
      <c r="K1947" s="145"/>
      <c r="L1947" s="145"/>
      <c r="M1947" s="145"/>
      <c r="N1947" s="145"/>
      <c r="O1947" s="145"/>
      <c r="P1947" s="145"/>
      <c r="Q1947" s="145"/>
      <c r="R1947" s="145"/>
      <c r="S1947" s="145"/>
      <c r="T1947" s="146">
        <v>22757</v>
      </c>
      <c r="U1947" s="145"/>
      <c r="V1947" s="145" t="s">
        <v>2383</v>
      </c>
      <c r="W1947" s="92" t="str">
        <f t="shared" si="131"/>
        <v>Ibañez Buj,Jesus</v>
      </c>
      <c r="X1947" s="95">
        <f t="shared" si="132"/>
        <v>6</v>
      </c>
      <c r="Y1947" s="95">
        <f t="shared" si="133"/>
        <v>2022</v>
      </c>
      <c r="Z1947" s="153" t="s">
        <v>266</v>
      </c>
      <c r="AA1947" t="str">
        <f>IF(Tabla1[[#This Row],[Kerma en aire acumulada (Gy)]]&gt;1,SUMIF(G:G,Tabla1[[#This Row],[SIP]],I:I)-Tabla1[[#This Row],[Kerma en aire acumulada (Gy)]],"")</f>
        <v/>
      </c>
    </row>
    <row r="1948" spans="3:27">
      <c r="C1948" s="144" t="str">
        <f t="shared" si="134"/>
        <v>Adulto</v>
      </c>
      <c r="D1948" s="145" t="s">
        <v>3125</v>
      </c>
      <c r="E1948" s="145" t="s">
        <v>2171</v>
      </c>
      <c r="F1948" s="145" t="s">
        <v>2189</v>
      </c>
      <c r="G1948" s="145">
        <v>2610857</v>
      </c>
      <c r="H1948" s="146">
        <v>44725</v>
      </c>
      <c r="I1948" s="145">
        <v>8.9569999999999997E-2</v>
      </c>
      <c r="J1948" s="145"/>
      <c r="K1948" s="145"/>
      <c r="L1948" s="145"/>
      <c r="M1948" s="145"/>
      <c r="N1948" s="145"/>
      <c r="O1948" s="145"/>
      <c r="P1948" s="145"/>
      <c r="Q1948" s="145"/>
      <c r="R1948" s="145"/>
      <c r="S1948" s="145"/>
      <c r="T1948" s="146">
        <v>20018</v>
      </c>
      <c r="U1948" s="145"/>
      <c r="V1948" s="145" t="s">
        <v>1152</v>
      </c>
      <c r="W1948" s="92" t="str">
        <f t="shared" si="131"/>
        <v>Monteagudo Suarez,Juan Jose</v>
      </c>
      <c r="X1948" s="95">
        <f t="shared" si="132"/>
        <v>6</v>
      </c>
      <c r="Y1948" s="95">
        <f t="shared" si="133"/>
        <v>2022</v>
      </c>
      <c r="Z1948" s="153" t="s">
        <v>265</v>
      </c>
      <c r="AA1948" t="str">
        <f>IF(Tabla1[[#This Row],[Kerma en aire acumulada (Gy)]]&gt;1,SUMIF(G:G,Tabla1[[#This Row],[SIP]],I:I)-Tabla1[[#This Row],[Kerma en aire acumulada (Gy)]],"")</f>
        <v/>
      </c>
    </row>
    <row r="1949" spans="3:27">
      <c r="C1949" s="144" t="str">
        <f t="shared" si="134"/>
        <v>Adulto</v>
      </c>
      <c r="D1949" s="145" t="s">
        <v>1930</v>
      </c>
      <c r="E1949" s="145" t="s">
        <v>1792</v>
      </c>
      <c r="F1949" s="145" t="s">
        <v>828</v>
      </c>
      <c r="G1949" s="145">
        <v>3202171</v>
      </c>
      <c r="H1949" s="146">
        <v>44725</v>
      </c>
      <c r="I1949" s="145">
        <v>0.75468999999999997</v>
      </c>
      <c r="J1949" s="145"/>
      <c r="K1949" s="145"/>
      <c r="L1949" s="145"/>
      <c r="M1949" s="145"/>
      <c r="N1949" s="145"/>
      <c r="O1949" s="145"/>
      <c r="P1949" s="145"/>
      <c r="Q1949" s="145"/>
      <c r="R1949" s="145"/>
      <c r="S1949" s="145"/>
      <c r="T1949" s="146">
        <v>16369</v>
      </c>
      <c r="U1949" s="145"/>
      <c r="V1949" s="145" t="s">
        <v>89</v>
      </c>
      <c r="W1949" s="92" t="str">
        <f t="shared" si="131"/>
        <v>Medina Rodrigo,Josep</v>
      </c>
      <c r="X1949" s="95">
        <f t="shared" si="132"/>
        <v>6</v>
      </c>
      <c r="Y1949" s="95">
        <f t="shared" si="133"/>
        <v>2022</v>
      </c>
      <c r="Z1949" s="153" t="s">
        <v>265</v>
      </c>
      <c r="AA1949" t="str">
        <f>IF(Tabla1[[#This Row],[Kerma en aire acumulada (Gy)]]&gt;1,SUMIF(G:G,Tabla1[[#This Row],[SIP]],I:I)-Tabla1[[#This Row],[Kerma en aire acumulada (Gy)]],"")</f>
        <v/>
      </c>
    </row>
    <row r="1950" spans="3:27">
      <c r="C1950" s="144" t="str">
        <f t="shared" si="134"/>
        <v>Adulto</v>
      </c>
      <c r="D1950" s="145" t="s">
        <v>3124</v>
      </c>
      <c r="E1950" s="145" t="s">
        <v>1176</v>
      </c>
      <c r="F1950" s="145" t="s">
        <v>321</v>
      </c>
      <c r="G1950" s="145">
        <v>1191701</v>
      </c>
      <c r="H1950" s="146">
        <v>44725</v>
      </c>
      <c r="I1950" s="145">
        <v>0.73129</v>
      </c>
      <c r="J1950" s="145"/>
      <c r="K1950" s="145"/>
      <c r="L1950" s="145"/>
      <c r="M1950" s="145"/>
      <c r="N1950" s="145"/>
      <c r="O1950" s="145"/>
      <c r="P1950" s="145"/>
      <c r="Q1950" s="145"/>
      <c r="R1950" s="145"/>
      <c r="S1950" s="145"/>
      <c r="T1950" s="146">
        <v>18169</v>
      </c>
      <c r="U1950" s="145"/>
      <c r="V1950" s="145" t="s">
        <v>1921</v>
      </c>
      <c r="W1950" s="92" t="str">
        <f t="shared" si="131"/>
        <v>Martos Peiro,Esteban</v>
      </c>
      <c r="X1950" s="95">
        <f t="shared" si="132"/>
        <v>6</v>
      </c>
      <c r="Y1950" s="95">
        <f t="shared" si="133"/>
        <v>2022</v>
      </c>
      <c r="Z1950" s="153" t="s">
        <v>265</v>
      </c>
      <c r="AA1950" t="str">
        <f>IF(Tabla1[[#This Row],[Kerma en aire acumulada (Gy)]]&gt;1,SUMIF(G:G,Tabla1[[#This Row],[SIP]],I:I)-Tabla1[[#This Row],[Kerma en aire acumulada (Gy)]],"")</f>
        <v/>
      </c>
    </row>
    <row r="1951" spans="3:27">
      <c r="C1951" s="144" t="str">
        <f t="shared" si="134"/>
        <v>Adulto</v>
      </c>
      <c r="D1951" s="145" t="s">
        <v>1919</v>
      </c>
      <c r="E1951" s="145" t="s">
        <v>2893</v>
      </c>
      <c r="F1951" s="145" t="s">
        <v>3123</v>
      </c>
      <c r="G1951" s="145">
        <v>3282429</v>
      </c>
      <c r="H1951" s="146">
        <v>44725</v>
      </c>
      <c r="I1951" s="145">
        <v>0.93145999999999995</v>
      </c>
      <c r="J1951" s="145"/>
      <c r="K1951" s="145"/>
      <c r="L1951" s="145"/>
      <c r="M1951" s="145"/>
      <c r="N1951" s="145"/>
      <c r="O1951" s="145"/>
      <c r="P1951" s="145"/>
      <c r="Q1951" s="145"/>
      <c r="R1951" s="145"/>
      <c r="S1951" s="145"/>
      <c r="T1951" s="146">
        <v>15638</v>
      </c>
      <c r="U1951" s="145"/>
      <c r="V1951" s="145" t="s">
        <v>107</v>
      </c>
      <c r="W1951" s="92" t="str">
        <f t="shared" si="131"/>
        <v>Lloret Llorens,Rafael Maximi</v>
      </c>
      <c r="X1951" s="95">
        <f t="shared" si="132"/>
        <v>6</v>
      </c>
      <c r="Y1951" s="95">
        <f t="shared" si="133"/>
        <v>2022</v>
      </c>
      <c r="Z1951" s="153" t="s">
        <v>265</v>
      </c>
      <c r="AA1951" t="str">
        <f>IF(Tabla1[[#This Row],[Kerma en aire acumulada (Gy)]]&gt;1,SUMIF(G:G,Tabla1[[#This Row],[SIP]],I:I)-Tabla1[[#This Row],[Kerma en aire acumulada (Gy)]],"")</f>
        <v/>
      </c>
    </row>
    <row r="1952" spans="3:27">
      <c r="C1952" s="144" t="str">
        <f t="shared" si="134"/>
        <v>Adulto</v>
      </c>
      <c r="D1952" s="145" t="s">
        <v>1275</v>
      </c>
      <c r="E1952" s="145" t="s">
        <v>3148</v>
      </c>
      <c r="F1952" s="145" t="s">
        <v>961</v>
      </c>
      <c r="G1952" s="145">
        <v>212041</v>
      </c>
      <c r="H1952" s="146">
        <v>44726</v>
      </c>
      <c r="I1952" s="145">
        <v>0.14101</v>
      </c>
      <c r="J1952" s="145"/>
      <c r="K1952" s="145"/>
      <c r="L1952" s="145"/>
      <c r="M1952" s="145"/>
      <c r="N1952" s="145"/>
      <c r="O1952" s="145"/>
      <c r="P1952" s="145"/>
      <c r="Q1952" s="145"/>
      <c r="R1952" s="145"/>
      <c r="S1952" s="145"/>
      <c r="T1952" s="146">
        <v>17512</v>
      </c>
      <c r="U1952" s="145"/>
      <c r="V1952" s="145" t="s">
        <v>2962</v>
      </c>
      <c r="W1952" s="92" t="str">
        <f t="shared" si="131"/>
        <v>Ramirez de la Torre,Teresa</v>
      </c>
      <c r="X1952" s="95">
        <f t="shared" si="132"/>
        <v>6</v>
      </c>
      <c r="Y1952" s="95">
        <f t="shared" si="133"/>
        <v>2022</v>
      </c>
      <c r="Z1952" s="153" t="s">
        <v>2238</v>
      </c>
      <c r="AA1952" t="str">
        <f>IF(Tabla1[[#This Row],[Kerma en aire acumulada (Gy)]]&gt;1,SUMIF(G:G,Tabla1[[#This Row],[SIP]],I:I)-Tabla1[[#This Row],[Kerma en aire acumulada (Gy)]],"")</f>
        <v/>
      </c>
    </row>
    <row r="1953" spans="3:27">
      <c r="C1953" s="144" t="str">
        <f t="shared" si="134"/>
        <v>Adulto</v>
      </c>
      <c r="D1953" s="145" t="s">
        <v>979</v>
      </c>
      <c r="E1953" s="145" t="s">
        <v>976</v>
      </c>
      <c r="F1953" s="145" t="s">
        <v>3147</v>
      </c>
      <c r="G1953" s="145">
        <v>2910854</v>
      </c>
      <c r="H1953" s="146">
        <v>44726</v>
      </c>
      <c r="I1953" s="145">
        <v>6.5420000000000006E-2</v>
      </c>
      <c r="J1953" s="145"/>
      <c r="K1953" s="145"/>
      <c r="L1953" s="145"/>
      <c r="M1953" s="145"/>
      <c r="N1953" s="145"/>
      <c r="O1953" s="145"/>
      <c r="P1953" s="145"/>
      <c r="Q1953" s="145"/>
      <c r="R1953" s="145"/>
      <c r="S1953" s="145"/>
      <c r="T1953" s="146">
        <v>21284</v>
      </c>
      <c r="U1953" s="145"/>
      <c r="V1953" s="145" t="s">
        <v>2962</v>
      </c>
      <c r="W1953" s="92" t="str">
        <f t="shared" si="131"/>
        <v>Baeza Blanco,Juan Luis</v>
      </c>
      <c r="X1953" s="95">
        <f t="shared" si="132"/>
        <v>6</v>
      </c>
      <c r="Y1953" s="95">
        <f t="shared" si="133"/>
        <v>2022</v>
      </c>
      <c r="Z1953" s="153" t="s">
        <v>2238</v>
      </c>
      <c r="AA1953" t="str">
        <f>IF(Tabla1[[#This Row],[Kerma en aire acumulada (Gy)]]&gt;1,SUMIF(G:G,Tabla1[[#This Row],[SIP]],I:I)-Tabla1[[#This Row],[Kerma en aire acumulada (Gy)]],"")</f>
        <v/>
      </c>
    </row>
    <row r="1954" spans="3:27">
      <c r="C1954" s="144" t="str">
        <f t="shared" si="134"/>
        <v>Adulto</v>
      </c>
      <c r="D1954" s="145" t="s">
        <v>962</v>
      </c>
      <c r="E1954" s="145" t="s">
        <v>3041</v>
      </c>
      <c r="F1954" s="145" t="s">
        <v>2955</v>
      </c>
      <c r="G1954" s="145">
        <v>3340381</v>
      </c>
      <c r="H1954" s="146">
        <v>44726</v>
      </c>
      <c r="I1954" s="145">
        <v>0.49730999999999997</v>
      </c>
      <c r="J1954" s="145"/>
      <c r="K1954" s="145"/>
      <c r="L1954" s="145"/>
      <c r="M1954" s="145"/>
      <c r="N1954" s="145"/>
      <c r="O1954" s="145"/>
      <c r="P1954" s="145"/>
      <c r="Q1954" s="145"/>
      <c r="R1954" s="145"/>
      <c r="S1954" s="145"/>
      <c r="T1954" s="146">
        <v>12507</v>
      </c>
      <c r="U1954" s="145"/>
      <c r="V1954" s="145" t="s">
        <v>2383</v>
      </c>
      <c r="W1954" s="92" t="str">
        <f t="shared" si="131"/>
        <v>Garcia Tornero,Bernabea</v>
      </c>
      <c r="X1954" s="95">
        <f t="shared" si="132"/>
        <v>6</v>
      </c>
      <c r="Y1954" s="95">
        <f t="shared" si="133"/>
        <v>2022</v>
      </c>
      <c r="Z1954" s="153" t="s">
        <v>266</v>
      </c>
      <c r="AA1954" t="str">
        <f>IF(Tabla1[[#This Row],[Kerma en aire acumulada (Gy)]]&gt;1,SUMIF(G:G,Tabla1[[#This Row],[SIP]],I:I)-Tabla1[[#This Row],[Kerma en aire acumulada (Gy)]],"")</f>
        <v/>
      </c>
    </row>
    <row r="1955" spans="3:27">
      <c r="C1955" s="144" t="str">
        <f t="shared" si="134"/>
        <v>Adulto</v>
      </c>
      <c r="D1955" s="145" t="s">
        <v>353</v>
      </c>
      <c r="E1955" s="145" t="s">
        <v>3146</v>
      </c>
      <c r="F1955" s="145" t="s">
        <v>2673</v>
      </c>
      <c r="G1955" s="145">
        <v>3742578</v>
      </c>
      <c r="H1955" s="146">
        <v>44726</v>
      </c>
      <c r="I1955" s="145">
        <v>0.83618999999999999</v>
      </c>
      <c r="J1955" s="145"/>
      <c r="K1955" s="145"/>
      <c r="L1955" s="145"/>
      <c r="M1955" s="145"/>
      <c r="N1955" s="145"/>
      <c r="O1955" s="145"/>
      <c r="P1955" s="145"/>
      <c r="Q1955" s="145"/>
      <c r="R1955" s="145"/>
      <c r="S1955" s="145"/>
      <c r="T1955" s="146">
        <v>21238</v>
      </c>
      <c r="U1955" s="145"/>
      <c r="V1955" s="145" t="s">
        <v>2383</v>
      </c>
      <c r="W1955" s="92" t="str">
        <f t="shared" si="131"/>
        <v>Muñoz Ruz,Julio</v>
      </c>
      <c r="X1955" s="95">
        <f t="shared" si="132"/>
        <v>6</v>
      </c>
      <c r="Y1955" s="95">
        <f t="shared" si="133"/>
        <v>2022</v>
      </c>
      <c r="Z1955" s="153" t="s">
        <v>266</v>
      </c>
      <c r="AA1955" t="str">
        <f>IF(Tabla1[[#This Row],[Kerma en aire acumulada (Gy)]]&gt;1,SUMIF(G:G,Tabla1[[#This Row],[SIP]],I:I)-Tabla1[[#This Row],[Kerma en aire acumulada (Gy)]],"")</f>
        <v/>
      </c>
    </row>
    <row r="1956" spans="3:27">
      <c r="C1956" s="144" t="str">
        <f t="shared" si="134"/>
        <v>Adulto</v>
      </c>
      <c r="D1956" s="145" t="s">
        <v>3143</v>
      </c>
      <c r="E1956" s="145" t="s">
        <v>3144</v>
      </c>
      <c r="F1956" s="145" t="s">
        <v>3145</v>
      </c>
      <c r="G1956" s="145">
        <v>7154693</v>
      </c>
      <c r="H1956" s="146">
        <v>44726</v>
      </c>
      <c r="I1956" s="145">
        <v>0.29132000000000002</v>
      </c>
      <c r="J1956" s="145"/>
      <c r="K1956" s="145"/>
      <c r="L1956" s="145"/>
      <c r="M1956" s="145"/>
      <c r="N1956" s="145"/>
      <c r="O1956" s="145"/>
      <c r="P1956" s="145"/>
      <c r="Q1956" s="145"/>
      <c r="R1956" s="145"/>
      <c r="S1956" s="145"/>
      <c r="T1956" s="146">
        <v>23931</v>
      </c>
      <c r="U1956" s="145"/>
      <c r="V1956" s="145" t="s">
        <v>2383</v>
      </c>
      <c r="W1956" s="92" t="str">
        <f t="shared" si="131"/>
        <v>Mitev Iliev,Iliya</v>
      </c>
      <c r="X1956" s="95">
        <f t="shared" si="132"/>
        <v>6</v>
      </c>
      <c r="Y1956" s="95">
        <f t="shared" si="133"/>
        <v>2022</v>
      </c>
      <c r="Z1956" s="153" t="s">
        <v>266</v>
      </c>
      <c r="AA1956" t="str">
        <f>IF(Tabla1[[#This Row],[Kerma en aire acumulada (Gy)]]&gt;1,SUMIF(G:G,Tabla1[[#This Row],[SIP]],I:I)-Tabla1[[#This Row],[Kerma en aire acumulada (Gy)]],"")</f>
        <v/>
      </c>
    </row>
    <row r="1957" spans="3:27">
      <c r="C1957" s="144" t="str">
        <f t="shared" si="134"/>
        <v>Adulto</v>
      </c>
      <c r="D1957" s="145" t="s">
        <v>3141</v>
      </c>
      <c r="E1957" s="145" t="s">
        <v>3142</v>
      </c>
      <c r="F1957" s="145" t="s">
        <v>1725</v>
      </c>
      <c r="G1957" s="145">
        <v>4648809</v>
      </c>
      <c r="H1957" s="146">
        <v>44726</v>
      </c>
      <c r="I1957" s="145">
        <f>54.54/1000</f>
        <v>5.4539999999999998E-2</v>
      </c>
      <c r="J1957" s="145"/>
      <c r="K1957" s="145"/>
      <c r="L1957" s="145"/>
      <c r="M1957" s="145"/>
      <c r="N1957" s="145"/>
      <c r="O1957" s="145"/>
      <c r="P1957" s="145"/>
      <c r="Q1957" s="145"/>
      <c r="R1957" s="145"/>
      <c r="S1957" s="145"/>
      <c r="T1957" s="146">
        <v>16237</v>
      </c>
      <c r="U1957" s="145"/>
      <c r="V1957" s="145" t="s">
        <v>2383</v>
      </c>
      <c r="W1957" s="92" t="str">
        <f t="shared" si="131"/>
        <v>Roa Mercado,Ana Maria</v>
      </c>
      <c r="X1957" s="95">
        <f t="shared" si="132"/>
        <v>6</v>
      </c>
      <c r="Y1957" s="95">
        <f t="shared" si="133"/>
        <v>2022</v>
      </c>
      <c r="Z1957" s="153" t="s">
        <v>266</v>
      </c>
      <c r="AA1957" t="str">
        <f>IF(Tabla1[[#This Row],[Kerma en aire acumulada (Gy)]]&gt;1,SUMIF(G:G,Tabla1[[#This Row],[SIP]],I:I)-Tabla1[[#This Row],[Kerma en aire acumulada (Gy)]],"")</f>
        <v/>
      </c>
    </row>
    <row r="1958" spans="3:27">
      <c r="C1958" s="144" t="str">
        <f t="shared" si="134"/>
        <v>Adulto</v>
      </c>
      <c r="D1958" s="145" t="s">
        <v>3139</v>
      </c>
      <c r="E1958" s="145" t="s">
        <v>836</v>
      </c>
      <c r="F1958" s="145" t="s">
        <v>3140</v>
      </c>
      <c r="G1958" s="145">
        <v>3353547</v>
      </c>
      <c r="H1958" s="146">
        <v>44726</v>
      </c>
      <c r="I1958" s="145">
        <f>13.95/1000</f>
        <v>1.3949999999999999E-2</v>
      </c>
      <c r="J1958" s="145"/>
      <c r="K1958" s="145"/>
      <c r="L1958" s="145"/>
      <c r="M1958" s="145"/>
      <c r="N1958" s="145"/>
      <c r="O1958" s="145"/>
      <c r="P1958" s="145"/>
      <c r="Q1958" s="145"/>
      <c r="R1958" s="145"/>
      <c r="S1958" s="145"/>
      <c r="T1958" s="146">
        <v>27916</v>
      </c>
      <c r="U1958" s="145"/>
      <c r="V1958" s="145" t="s">
        <v>2383</v>
      </c>
      <c r="W1958" s="92" t="str">
        <f t="shared" si="131"/>
        <v>Barranco Sapiña,Carolina</v>
      </c>
      <c r="X1958" s="95">
        <f t="shared" si="132"/>
        <v>6</v>
      </c>
      <c r="Y1958" s="95">
        <f t="shared" si="133"/>
        <v>2022</v>
      </c>
      <c r="Z1958" s="153" t="s">
        <v>266</v>
      </c>
      <c r="AA1958" t="str">
        <f>IF(Tabla1[[#This Row],[Kerma en aire acumulada (Gy)]]&gt;1,SUMIF(G:G,Tabla1[[#This Row],[SIP]],I:I)-Tabla1[[#This Row],[Kerma en aire acumulada (Gy)]],"")</f>
        <v/>
      </c>
    </row>
    <row r="1959" spans="3:27">
      <c r="C1959" s="144" t="str">
        <f t="shared" si="134"/>
        <v>Adulto</v>
      </c>
      <c r="D1959" s="145" t="s">
        <v>962</v>
      </c>
      <c r="E1959" s="145" t="s">
        <v>3138</v>
      </c>
      <c r="F1959" s="145" t="s">
        <v>2382</v>
      </c>
      <c r="G1959" s="145">
        <v>2591530</v>
      </c>
      <c r="H1959" s="146">
        <v>44726</v>
      </c>
      <c r="I1959" s="145">
        <v>5.0639999999999998E-2</v>
      </c>
      <c r="J1959" s="145"/>
      <c r="K1959" s="145"/>
      <c r="L1959" s="145"/>
      <c r="M1959" s="145"/>
      <c r="N1959" s="145"/>
      <c r="O1959" s="145"/>
      <c r="P1959" s="145"/>
      <c r="Q1959" s="145"/>
      <c r="R1959" s="145"/>
      <c r="S1959" s="145"/>
      <c r="T1959" s="146">
        <v>25797</v>
      </c>
      <c r="U1959" s="145"/>
      <c r="V1959" s="145" t="s">
        <v>2383</v>
      </c>
      <c r="W1959" s="92" t="str">
        <f t="shared" si="131"/>
        <v>Garcia Rausell,Daniel</v>
      </c>
      <c r="X1959" s="95">
        <f t="shared" si="132"/>
        <v>6</v>
      </c>
      <c r="Y1959" s="95">
        <f t="shared" si="133"/>
        <v>2022</v>
      </c>
      <c r="Z1959" s="153" t="s">
        <v>266</v>
      </c>
      <c r="AA1959" t="str">
        <f>IF(Tabla1[[#This Row],[Kerma en aire acumulada (Gy)]]&gt;1,SUMIF(G:G,Tabla1[[#This Row],[SIP]],I:I)-Tabla1[[#This Row],[Kerma en aire acumulada (Gy)]],"")</f>
        <v/>
      </c>
    </row>
    <row r="1960" spans="3:27">
      <c r="C1960" s="144" t="str">
        <f t="shared" si="134"/>
        <v>Adulto</v>
      </c>
      <c r="D1960" s="95" t="s">
        <v>3136</v>
      </c>
      <c r="E1960" s="95" t="s">
        <v>3137</v>
      </c>
      <c r="F1960" s="95" t="s">
        <v>7</v>
      </c>
      <c r="G1960" s="145">
        <v>2822469</v>
      </c>
      <c r="H1960" s="146">
        <v>44726</v>
      </c>
      <c r="I1960" s="145">
        <v>0.13031000000000001</v>
      </c>
      <c r="J1960" s="145"/>
      <c r="K1960" s="145"/>
      <c r="L1960" s="145"/>
      <c r="M1960" s="145"/>
      <c r="N1960" s="145"/>
      <c r="O1960" s="145"/>
      <c r="P1960" s="145"/>
      <c r="Q1960" s="145"/>
      <c r="R1960" s="145"/>
      <c r="S1960" s="145"/>
      <c r="T1960" s="146">
        <v>23505</v>
      </c>
      <c r="U1960" s="145"/>
      <c r="V1960" s="145" t="s">
        <v>2383</v>
      </c>
      <c r="W1960" s="92" t="str">
        <f t="shared" si="131"/>
        <v>Santana Aradilla,Francisca</v>
      </c>
      <c r="X1960" s="95">
        <f t="shared" si="132"/>
        <v>6</v>
      </c>
      <c r="Y1960" s="95">
        <f t="shared" si="133"/>
        <v>2022</v>
      </c>
      <c r="Z1960" s="153" t="s">
        <v>266</v>
      </c>
      <c r="AA1960" t="str">
        <f>IF(Tabla1[[#This Row],[Kerma en aire acumulada (Gy)]]&gt;1,SUMIF(G:G,Tabla1[[#This Row],[SIP]],I:I)-Tabla1[[#This Row],[Kerma en aire acumulada (Gy)]],"")</f>
        <v/>
      </c>
    </row>
    <row r="1961" spans="3:27">
      <c r="C1961" s="144" t="str">
        <f t="shared" si="134"/>
        <v>Adulto</v>
      </c>
      <c r="D1961" s="95" t="s">
        <v>1942</v>
      </c>
      <c r="E1961" s="95" t="s">
        <v>1294</v>
      </c>
      <c r="F1961" s="95" t="s">
        <v>818</v>
      </c>
      <c r="G1961" s="145">
        <v>6711570</v>
      </c>
      <c r="H1961" s="146">
        <v>44726</v>
      </c>
      <c r="I1961" s="145">
        <v>0.13213</v>
      </c>
      <c r="J1961" s="145"/>
      <c r="K1961" s="145"/>
      <c r="L1961" s="145"/>
      <c r="M1961" s="145"/>
      <c r="N1961" s="145"/>
      <c r="O1961" s="145"/>
      <c r="P1961" s="145"/>
      <c r="Q1961" s="145"/>
      <c r="R1961" s="145"/>
      <c r="S1961" s="145"/>
      <c r="T1961" s="146">
        <v>26948</v>
      </c>
      <c r="U1961" s="145"/>
      <c r="V1961" s="95" t="s">
        <v>1152</v>
      </c>
      <c r="W1961" s="92" t="str">
        <f t="shared" si="131"/>
        <v>Mendez Roca,Luisa</v>
      </c>
      <c r="X1961" s="95">
        <f t="shared" si="132"/>
        <v>6</v>
      </c>
      <c r="Y1961" s="95">
        <f t="shared" si="133"/>
        <v>2022</v>
      </c>
      <c r="Z1961" s="153" t="s">
        <v>265</v>
      </c>
      <c r="AA1961" t="str">
        <f>IF(Tabla1[[#This Row],[Kerma en aire acumulada (Gy)]]&gt;1,SUMIF(G:G,Tabla1[[#This Row],[SIP]],I:I)-Tabla1[[#This Row],[Kerma en aire acumulada (Gy)]],"")</f>
        <v/>
      </c>
    </row>
    <row r="1962" spans="3:27">
      <c r="C1962" s="144" t="str">
        <f t="shared" si="134"/>
        <v>Adulto</v>
      </c>
      <c r="D1962" s="145" t="s">
        <v>3124</v>
      </c>
      <c r="E1962" s="145" t="s">
        <v>1176</v>
      </c>
      <c r="F1962" s="145" t="s">
        <v>321</v>
      </c>
      <c r="G1962" s="145">
        <v>1191701</v>
      </c>
      <c r="H1962" s="146">
        <v>44726</v>
      </c>
      <c r="I1962" s="168">
        <v>1.14114</v>
      </c>
      <c r="J1962" s="145"/>
      <c r="K1962" s="145"/>
      <c r="L1962" s="145"/>
      <c r="M1962" s="145"/>
      <c r="N1962" s="145"/>
      <c r="O1962" s="145"/>
      <c r="P1962" s="145"/>
      <c r="Q1962" s="145"/>
      <c r="R1962" s="145"/>
      <c r="S1962" s="145"/>
      <c r="T1962" s="146">
        <v>18169</v>
      </c>
      <c r="U1962" s="145"/>
      <c r="V1962" s="145" t="s">
        <v>3135</v>
      </c>
      <c r="W1962" s="92" t="str">
        <f t="shared" ref="W1962:W2025" si="135">CONCATENATE(D1962,$A$591,E1962,",",F1962)</f>
        <v>Martos Peiro,Esteban</v>
      </c>
      <c r="X1962" s="95">
        <f t="shared" ref="X1962:X2025" si="136">MONTH(H1962)</f>
        <v>6</v>
      </c>
      <c r="Y1962" s="95">
        <f t="shared" ref="Y1962:Y2025" si="137">YEAR(H1962)</f>
        <v>2022</v>
      </c>
      <c r="Z1962" s="153" t="s">
        <v>265</v>
      </c>
      <c r="AA1962">
        <f>IF(Tabla1[[#This Row],[Kerma en aire acumulada (Gy)]]&gt;1,SUMIF(G:G,Tabla1[[#This Row],[SIP]],I:I)-Tabla1[[#This Row],[Kerma en aire acumulada (Gy)]],"")</f>
        <v>0.73129</v>
      </c>
    </row>
    <row r="1963" spans="3:27">
      <c r="C1963" s="144" t="str">
        <f t="shared" si="134"/>
        <v>Adulto</v>
      </c>
      <c r="D1963" s="145" t="s">
        <v>3134</v>
      </c>
      <c r="E1963" s="145" t="s">
        <v>2670</v>
      </c>
      <c r="F1963" s="145" t="s">
        <v>20</v>
      </c>
      <c r="G1963" s="145">
        <v>2165508</v>
      </c>
      <c r="H1963" s="146">
        <v>44726</v>
      </c>
      <c r="I1963" s="145">
        <v>0.87931999999999999</v>
      </c>
      <c r="J1963" s="145"/>
      <c r="K1963" s="145"/>
      <c r="L1963" s="145"/>
      <c r="M1963" s="145"/>
      <c r="N1963" s="145"/>
      <c r="O1963" s="145"/>
      <c r="P1963" s="145"/>
      <c r="Q1963" s="145"/>
      <c r="R1963" s="145"/>
      <c r="S1963" s="145"/>
      <c r="T1963" s="146">
        <v>17992</v>
      </c>
      <c r="U1963" s="145"/>
      <c r="V1963" s="145" t="s">
        <v>1711</v>
      </c>
      <c r="W1963" s="92" t="str">
        <f t="shared" si="135"/>
        <v>Font Catala,Antonio</v>
      </c>
      <c r="X1963" s="95">
        <f t="shared" si="136"/>
        <v>6</v>
      </c>
      <c r="Y1963" s="95">
        <f t="shared" si="137"/>
        <v>2022</v>
      </c>
      <c r="Z1963" s="153" t="s">
        <v>265</v>
      </c>
      <c r="AA1963" t="str">
        <f>IF(Tabla1[[#This Row],[Kerma en aire acumulada (Gy)]]&gt;1,SUMIF(G:G,Tabla1[[#This Row],[SIP]],I:I)-Tabla1[[#This Row],[Kerma en aire acumulada (Gy)]],"")</f>
        <v/>
      </c>
    </row>
    <row r="1964" spans="3:27">
      <c r="C1964" s="144" t="str">
        <f t="shared" si="134"/>
        <v>Adulto</v>
      </c>
      <c r="D1964" s="145" t="s">
        <v>801</v>
      </c>
      <c r="E1964" s="145" t="s">
        <v>637</v>
      </c>
      <c r="F1964" s="145" t="s">
        <v>3132</v>
      </c>
      <c r="G1964" s="145">
        <v>4832382</v>
      </c>
      <c r="H1964" s="146">
        <v>44726</v>
      </c>
      <c r="I1964" s="145">
        <v>1.469E-2</v>
      </c>
      <c r="J1964" s="145"/>
      <c r="K1964" s="145"/>
      <c r="L1964" s="145"/>
      <c r="M1964" s="145"/>
      <c r="N1964" s="145"/>
      <c r="O1964" s="145"/>
      <c r="P1964" s="145"/>
      <c r="Q1964" s="145"/>
      <c r="R1964" s="145"/>
      <c r="S1964" s="145"/>
      <c r="T1964" s="146">
        <v>36822</v>
      </c>
      <c r="U1964" s="145"/>
      <c r="V1964" s="145" t="s">
        <v>3133</v>
      </c>
      <c r="W1964" s="92" t="str">
        <f t="shared" si="135"/>
        <v>Campillo Sola,Nadia</v>
      </c>
      <c r="X1964" s="95">
        <f t="shared" si="136"/>
        <v>6</v>
      </c>
      <c r="Y1964" s="95">
        <f t="shared" si="137"/>
        <v>2022</v>
      </c>
      <c r="Z1964" s="153" t="s">
        <v>265</v>
      </c>
      <c r="AA1964" t="str">
        <f>IF(Tabla1[[#This Row],[Kerma en aire acumulada (Gy)]]&gt;1,SUMIF(G:G,Tabla1[[#This Row],[SIP]],I:I)-Tabla1[[#This Row],[Kerma en aire acumulada (Gy)]],"")</f>
        <v/>
      </c>
    </row>
    <row r="1965" spans="3:27">
      <c r="C1965" s="144" t="str">
        <f t="shared" si="134"/>
        <v>Adulto</v>
      </c>
      <c r="D1965" s="145" t="s">
        <v>3102</v>
      </c>
      <c r="E1965" s="145" t="s">
        <v>674</v>
      </c>
      <c r="F1965" s="145" t="s">
        <v>991</v>
      </c>
      <c r="G1965" s="145">
        <v>3314204</v>
      </c>
      <c r="H1965" s="146">
        <v>44727</v>
      </c>
      <c r="I1965" s="145">
        <v>1.014E-2</v>
      </c>
      <c r="J1965" s="145"/>
      <c r="K1965" s="145"/>
      <c r="L1965" s="145"/>
      <c r="M1965" s="145"/>
      <c r="N1965" s="145"/>
      <c r="O1965" s="145"/>
      <c r="P1965" s="145"/>
      <c r="Q1965" s="145"/>
      <c r="R1965" s="145"/>
      <c r="S1965" s="145"/>
      <c r="T1965" s="146">
        <v>20127</v>
      </c>
      <c r="U1965" s="145"/>
      <c r="V1965" s="145" t="s">
        <v>3077</v>
      </c>
      <c r="W1965" s="92" t="str">
        <f t="shared" si="135"/>
        <v>Montalvo Carrillo,Jose</v>
      </c>
      <c r="X1965" s="95">
        <f t="shared" si="136"/>
        <v>6</v>
      </c>
      <c r="Y1965" s="95">
        <f t="shared" si="137"/>
        <v>2022</v>
      </c>
      <c r="Z1965" s="153" t="s">
        <v>2238</v>
      </c>
      <c r="AA1965" t="str">
        <f>IF(Tabla1[[#This Row],[Kerma en aire acumulada (Gy)]]&gt;1,SUMIF(G:G,Tabla1[[#This Row],[SIP]],I:I)-Tabla1[[#This Row],[Kerma en aire acumulada (Gy)]],"")</f>
        <v/>
      </c>
    </row>
    <row r="1966" spans="3:27">
      <c r="C1966" s="144" t="str">
        <f t="shared" si="134"/>
        <v>Adulto</v>
      </c>
      <c r="D1966" s="145" t="s">
        <v>2166</v>
      </c>
      <c r="E1966" s="145" t="s">
        <v>3153</v>
      </c>
      <c r="F1966" s="145" t="s">
        <v>1905</v>
      </c>
      <c r="G1966" s="145">
        <v>1869696</v>
      </c>
      <c r="H1966" s="146">
        <v>44727</v>
      </c>
      <c r="I1966" s="145">
        <v>0.50975999999999999</v>
      </c>
      <c r="J1966" s="145"/>
      <c r="K1966" s="145"/>
      <c r="L1966" s="145"/>
      <c r="M1966" s="145"/>
      <c r="N1966" s="145"/>
      <c r="O1966" s="145"/>
      <c r="P1966" s="145"/>
      <c r="Q1966" s="145"/>
      <c r="R1966" s="145"/>
      <c r="S1966" s="145"/>
      <c r="T1966" s="146">
        <v>20130</v>
      </c>
      <c r="U1966" s="145"/>
      <c r="V1966" s="145" t="s">
        <v>2383</v>
      </c>
      <c r="W1966" s="92" t="str">
        <f t="shared" si="135"/>
        <v>Perales Grifol,Vicente Luis</v>
      </c>
      <c r="X1966" s="95">
        <f t="shared" si="136"/>
        <v>6</v>
      </c>
      <c r="Y1966" s="95">
        <f t="shared" si="137"/>
        <v>2022</v>
      </c>
      <c r="Z1966" s="153" t="s">
        <v>266</v>
      </c>
      <c r="AA1966" t="str">
        <f>IF(Tabla1[[#This Row],[Kerma en aire acumulada (Gy)]]&gt;1,SUMIF(G:G,Tabla1[[#This Row],[SIP]],I:I)-Tabla1[[#This Row],[Kerma en aire acumulada (Gy)]],"")</f>
        <v/>
      </c>
    </row>
    <row r="1967" spans="3:27">
      <c r="C1967" s="144" t="str">
        <f t="shared" si="134"/>
        <v>Adulto</v>
      </c>
      <c r="D1967" s="145" t="s">
        <v>3044</v>
      </c>
      <c r="E1967" s="145" t="s">
        <v>989</v>
      </c>
      <c r="F1967" s="145" t="s">
        <v>635</v>
      </c>
      <c r="G1967" s="145">
        <v>199677</v>
      </c>
      <c r="H1967" s="146">
        <v>44727</v>
      </c>
      <c r="I1967" s="145">
        <v>0.93913000000000002</v>
      </c>
      <c r="J1967" s="145"/>
      <c r="K1967" s="145"/>
      <c r="L1967" s="145"/>
      <c r="M1967" s="145"/>
      <c r="N1967" s="145"/>
      <c r="O1967" s="145"/>
      <c r="P1967" s="145"/>
      <c r="Q1967" s="145"/>
      <c r="R1967" s="145"/>
      <c r="S1967" s="145"/>
      <c r="T1967" s="146">
        <v>15137</v>
      </c>
      <c r="U1967" s="145"/>
      <c r="V1967" s="145" t="s">
        <v>2383</v>
      </c>
      <c r="W1967" s="92" t="str">
        <f t="shared" si="135"/>
        <v>Serra Mateo,Enrique</v>
      </c>
      <c r="X1967" s="95">
        <f t="shared" si="136"/>
        <v>6</v>
      </c>
      <c r="Y1967" s="95">
        <f t="shared" si="137"/>
        <v>2022</v>
      </c>
      <c r="Z1967" s="153" t="s">
        <v>266</v>
      </c>
      <c r="AA1967" t="str">
        <f>IF(Tabla1[[#This Row],[Kerma en aire acumulada (Gy)]]&gt;1,SUMIF(G:G,Tabla1[[#This Row],[SIP]],I:I)-Tabla1[[#This Row],[Kerma en aire acumulada (Gy)]],"")</f>
        <v/>
      </c>
    </row>
    <row r="1968" spans="3:27">
      <c r="C1968" s="144" t="str">
        <f t="shared" si="134"/>
        <v>Adulto</v>
      </c>
      <c r="D1968" s="145" t="s">
        <v>2366</v>
      </c>
      <c r="E1968" s="145" t="s">
        <v>3152</v>
      </c>
      <c r="F1968" s="145" t="s">
        <v>356</v>
      </c>
      <c r="G1968" s="145">
        <v>2711538</v>
      </c>
      <c r="H1968" s="146">
        <v>44727</v>
      </c>
      <c r="I1968" s="145">
        <v>0.53671000000000002</v>
      </c>
      <c r="J1968" s="145"/>
      <c r="K1968" s="145"/>
      <c r="L1968" s="145"/>
      <c r="M1968" s="145"/>
      <c r="N1968" s="145"/>
      <c r="O1968" s="145"/>
      <c r="P1968" s="145"/>
      <c r="Q1968" s="145"/>
      <c r="R1968" s="145"/>
      <c r="S1968" s="145"/>
      <c r="T1968" s="146">
        <v>14161</v>
      </c>
      <c r="U1968" s="145"/>
      <c r="V1968" s="145" t="s">
        <v>2383</v>
      </c>
      <c r="W1968" s="92" t="str">
        <f t="shared" si="135"/>
        <v>Gimeno Tatay,Manuel</v>
      </c>
      <c r="X1968" s="95">
        <f t="shared" si="136"/>
        <v>6</v>
      </c>
      <c r="Y1968" s="95">
        <f t="shared" si="137"/>
        <v>2022</v>
      </c>
      <c r="Z1968" s="153" t="s">
        <v>266</v>
      </c>
      <c r="AA1968" t="str">
        <f>IF(Tabla1[[#This Row],[Kerma en aire acumulada (Gy)]]&gt;1,SUMIF(G:G,Tabla1[[#This Row],[SIP]],I:I)-Tabla1[[#This Row],[Kerma en aire acumulada (Gy)]],"")</f>
        <v/>
      </c>
    </row>
    <row r="1969" spans="3:27">
      <c r="C1969" s="144" t="str">
        <f t="shared" si="134"/>
        <v>Pediátrico</v>
      </c>
      <c r="D1969" s="145" t="s">
        <v>2292</v>
      </c>
      <c r="E1969" s="145" t="s">
        <v>3151</v>
      </c>
      <c r="F1969" s="145" t="s">
        <v>2293</v>
      </c>
      <c r="G1969" s="145">
        <v>6671279</v>
      </c>
      <c r="H1969" s="146">
        <v>44727</v>
      </c>
      <c r="I1969" s="145">
        <v>139.47999999999999</v>
      </c>
      <c r="J1969" s="145"/>
      <c r="K1969" s="145"/>
      <c r="L1969" s="145"/>
      <c r="M1969" s="145"/>
      <c r="N1969" s="145"/>
      <c r="O1969" s="145"/>
      <c r="P1969" s="145"/>
      <c r="Q1969" s="145"/>
      <c r="R1969" s="145"/>
      <c r="S1969" s="145"/>
      <c r="T1969" s="146">
        <v>38419</v>
      </c>
      <c r="U1969" s="145"/>
      <c r="V1969" s="145" t="s">
        <v>2383</v>
      </c>
      <c r="W1969" s="92" t="str">
        <f t="shared" si="135"/>
        <v>Aguayo Guiterrez,Josue</v>
      </c>
      <c r="X1969" s="95">
        <f t="shared" si="136"/>
        <v>6</v>
      </c>
      <c r="Y1969" s="95">
        <f t="shared" si="137"/>
        <v>2022</v>
      </c>
      <c r="Z1969" s="153" t="s">
        <v>266</v>
      </c>
      <c r="AA1969">
        <f>IF(Tabla1[[#This Row],[Kerma en aire acumulada (Gy)]]&gt;1,SUMIF(G:G,Tabla1[[#This Row],[SIP]],I:I)-Tabla1[[#This Row],[Kerma en aire acumulada (Gy)]],"")</f>
        <v>2.831000000000472E-2</v>
      </c>
    </row>
    <row r="1970" spans="3:27">
      <c r="C1970" s="144" t="str">
        <f t="shared" si="134"/>
        <v>Adulto</v>
      </c>
      <c r="D1970" s="145" t="s">
        <v>1768</v>
      </c>
      <c r="E1970" s="145" t="s">
        <v>3150</v>
      </c>
      <c r="F1970" s="145" t="s">
        <v>2141</v>
      </c>
      <c r="G1970" s="145">
        <v>1256226</v>
      </c>
      <c r="H1970" s="146">
        <v>44727</v>
      </c>
      <c r="I1970" s="145">
        <v>0.11569</v>
      </c>
      <c r="J1970" s="145"/>
      <c r="K1970" s="145"/>
      <c r="L1970" s="145"/>
      <c r="M1970" s="145"/>
      <c r="N1970" s="145"/>
      <c r="O1970" s="145"/>
      <c r="P1970" s="145"/>
      <c r="Q1970" s="145"/>
      <c r="R1970" s="145"/>
      <c r="S1970" s="145"/>
      <c r="T1970" s="146">
        <v>21974</v>
      </c>
      <c r="U1970" s="145"/>
      <c r="V1970" s="145" t="s">
        <v>2383</v>
      </c>
      <c r="W1970" s="92" t="str">
        <f t="shared" si="135"/>
        <v>Campillos Gimenez Galanes,Jesus</v>
      </c>
      <c r="X1970" s="95">
        <f t="shared" si="136"/>
        <v>6</v>
      </c>
      <c r="Y1970" s="95">
        <f t="shared" si="137"/>
        <v>2022</v>
      </c>
      <c r="Z1970" s="153" t="s">
        <v>266</v>
      </c>
      <c r="AA1970" t="str">
        <f>IF(Tabla1[[#This Row],[Kerma en aire acumulada (Gy)]]&gt;1,SUMIF(G:G,Tabla1[[#This Row],[SIP]],I:I)-Tabla1[[#This Row],[Kerma en aire acumulada (Gy)]],"")</f>
        <v/>
      </c>
    </row>
    <row r="1971" spans="3:27">
      <c r="C1971" s="144" t="str">
        <f t="shared" si="134"/>
        <v>Adulto</v>
      </c>
      <c r="D1971" s="145" t="s">
        <v>3149</v>
      </c>
      <c r="E1971" s="145" t="s">
        <v>772</v>
      </c>
      <c r="F1971" s="145" t="s">
        <v>1664</v>
      </c>
      <c r="G1971" s="145">
        <v>3350728</v>
      </c>
      <c r="H1971" s="146">
        <v>44727</v>
      </c>
      <c r="I1971" s="145">
        <v>0.50229999999999997</v>
      </c>
      <c r="J1971" s="145"/>
      <c r="K1971" s="145"/>
      <c r="L1971" s="145"/>
      <c r="M1971" s="145"/>
      <c r="N1971" s="145"/>
      <c r="O1971" s="145"/>
      <c r="P1971" s="145"/>
      <c r="Q1971" s="145"/>
      <c r="R1971" s="145"/>
      <c r="S1971" s="145"/>
      <c r="T1971" s="146">
        <v>25387</v>
      </c>
      <c r="U1971" s="145"/>
      <c r="V1971" s="145" t="s">
        <v>2383</v>
      </c>
      <c r="W1971" s="92" t="str">
        <f t="shared" si="135"/>
        <v>Abolafio Sanchez,Dolores</v>
      </c>
      <c r="X1971" s="95">
        <f t="shared" si="136"/>
        <v>6</v>
      </c>
      <c r="Y1971" s="95">
        <f t="shared" si="137"/>
        <v>2022</v>
      </c>
      <c r="Z1971" s="153" t="s">
        <v>266</v>
      </c>
      <c r="AA1971" t="str">
        <f>IF(Tabla1[[#This Row],[Kerma en aire acumulada (Gy)]]&gt;1,SUMIF(G:G,Tabla1[[#This Row],[SIP]],I:I)-Tabla1[[#This Row],[Kerma en aire acumulada (Gy)]],"")</f>
        <v/>
      </c>
    </row>
    <row r="1972" spans="3:27">
      <c r="C1972" s="144" t="str">
        <f t="shared" si="134"/>
        <v>Adulto</v>
      </c>
      <c r="D1972" s="145" t="s">
        <v>992</v>
      </c>
      <c r="E1972" s="145" t="s">
        <v>1248</v>
      </c>
      <c r="F1972" s="145" t="s">
        <v>57</v>
      </c>
      <c r="G1972" s="145">
        <v>4687890</v>
      </c>
      <c r="H1972" s="146">
        <v>44727</v>
      </c>
      <c r="I1972" s="145">
        <v>0.57662999999999998</v>
      </c>
      <c r="J1972" s="145"/>
      <c r="K1972" s="145"/>
      <c r="L1972" s="145"/>
      <c r="M1972" s="145"/>
      <c r="N1972" s="145"/>
      <c r="O1972" s="145"/>
      <c r="P1972" s="145"/>
      <c r="Q1972" s="145"/>
      <c r="R1972" s="145"/>
      <c r="S1972" s="145"/>
      <c r="T1972" s="146">
        <v>13261</v>
      </c>
      <c r="U1972" s="145"/>
      <c r="V1972" s="145" t="s">
        <v>2383</v>
      </c>
      <c r="W1972" s="92" t="str">
        <f t="shared" si="135"/>
        <v>Costa Marti,Miguel</v>
      </c>
      <c r="X1972" s="95">
        <f t="shared" si="136"/>
        <v>6</v>
      </c>
      <c r="Y1972" s="95">
        <f t="shared" si="137"/>
        <v>2022</v>
      </c>
      <c r="Z1972" s="153" t="s">
        <v>266</v>
      </c>
      <c r="AA1972" t="str">
        <f>IF(Tabla1[[#This Row],[Kerma en aire acumulada (Gy)]]&gt;1,SUMIF(G:G,Tabla1[[#This Row],[SIP]],I:I)-Tabla1[[#This Row],[Kerma en aire acumulada (Gy)]],"")</f>
        <v/>
      </c>
    </row>
    <row r="1973" spans="3:27">
      <c r="C1973" s="144" t="str">
        <f t="shared" si="134"/>
        <v>Adulto</v>
      </c>
      <c r="D1973" s="145" t="s">
        <v>336</v>
      </c>
      <c r="E1973" s="145" t="s">
        <v>2255</v>
      </c>
      <c r="F1973" s="145" t="s">
        <v>991</v>
      </c>
      <c r="G1973" s="145">
        <v>955974</v>
      </c>
      <c r="H1973" s="146">
        <v>44727</v>
      </c>
      <c r="I1973" s="145">
        <v>0.27088000000000001</v>
      </c>
      <c r="J1973" s="145"/>
      <c r="K1973" s="145"/>
      <c r="L1973" s="145"/>
      <c r="M1973" s="145"/>
      <c r="N1973" s="145"/>
      <c r="O1973" s="145"/>
      <c r="P1973" s="145"/>
      <c r="Q1973" s="145"/>
      <c r="R1973" s="145"/>
      <c r="S1973" s="145"/>
      <c r="T1973" s="146">
        <v>18757</v>
      </c>
      <c r="U1973" s="145"/>
      <c r="V1973" s="145" t="s">
        <v>1246</v>
      </c>
      <c r="W1973" s="92" t="str">
        <f t="shared" si="135"/>
        <v>Mata Cabo,Jose</v>
      </c>
      <c r="X1973" s="95">
        <f t="shared" si="136"/>
        <v>6</v>
      </c>
      <c r="Y1973" s="95">
        <f t="shared" si="137"/>
        <v>2022</v>
      </c>
      <c r="Z1973" s="153" t="s">
        <v>265</v>
      </c>
      <c r="AA1973" t="str">
        <f>IF(Tabla1[[#This Row],[Kerma en aire acumulada (Gy)]]&gt;1,SUMIF(G:G,Tabla1[[#This Row],[SIP]],I:I)-Tabla1[[#This Row],[Kerma en aire acumulada (Gy)]],"")</f>
        <v/>
      </c>
    </row>
    <row r="1974" spans="3:27">
      <c r="C1974" s="144" t="str">
        <f t="shared" si="134"/>
        <v>Adulto</v>
      </c>
      <c r="D1974" s="145" t="s">
        <v>169</v>
      </c>
      <c r="E1974" s="145" t="s">
        <v>22</v>
      </c>
      <c r="F1974" s="145" t="s">
        <v>7</v>
      </c>
      <c r="G1974" s="145">
        <v>1275519</v>
      </c>
      <c r="H1974" s="146">
        <v>44727</v>
      </c>
      <c r="I1974" s="145">
        <v>0.26262000000000002</v>
      </c>
      <c r="J1974" s="145"/>
      <c r="K1974" s="145"/>
      <c r="L1974" s="145"/>
      <c r="M1974" s="145"/>
      <c r="N1974" s="145"/>
      <c r="O1974" s="145"/>
      <c r="P1974" s="145"/>
      <c r="Q1974" s="145"/>
      <c r="R1974" s="145"/>
      <c r="S1974" s="145"/>
      <c r="T1974" s="146">
        <v>20532</v>
      </c>
      <c r="U1974" s="145"/>
      <c r="V1974" s="145" t="s">
        <v>107</v>
      </c>
      <c r="W1974" s="92" t="str">
        <f t="shared" si="135"/>
        <v>Valero Ruiz,Francisca</v>
      </c>
      <c r="X1974" s="95">
        <f t="shared" si="136"/>
        <v>6</v>
      </c>
      <c r="Y1974" s="95">
        <f t="shared" si="137"/>
        <v>2022</v>
      </c>
      <c r="Z1974" s="153" t="s">
        <v>265</v>
      </c>
      <c r="AA1974" t="str">
        <f>IF(Tabla1[[#This Row],[Kerma en aire acumulada (Gy)]]&gt;1,SUMIF(G:G,Tabla1[[#This Row],[SIP]],I:I)-Tabla1[[#This Row],[Kerma en aire acumulada (Gy)]],"")</f>
        <v/>
      </c>
    </row>
    <row r="1975" spans="3:27">
      <c r="C1975" s="144" t="str">
        <f t="shared" si="134"/>
        <v>Adulto</v>
      </c>
      <c r="D1975" s="145" t="s">
        <v>3102</v>
      </c>
      <c r="E1975" s="145" t="s">
        <v>674</v>
      </c>
      <c r="F1975" s="145" t="s">
        <v>991</v>
      </c>
      <c r="G1975" s="145">
        <v>3314204</v>
      </c>
      <c r="H1975" s="146">
        <v>44728</v>
      </c>
      <c r="I1975" s="145">
        <v>1.7059999999999999E-2</v>
      </c>
      <c r="J1975" s="145"/>
      <c r="K1975" s="145"/>
      <c r="L1975" s="145"/>
      <c r="M1975" s="145"/>
      <c r="N1975" s="145"/>
      <c r="O1975" s="145"/>
      <c r="P1975" s="145"/>
      <c r="Q1975" s="145"/>
      <c r="R1975" s="145"/>
      <c r="S1975" s="145"/>
      <c r="T1975" s="146">
        <v>20127</v>
      </c>
      <c r="U1975" s="145"/>
      <c r="V1975" s="145" t="s">
        <v>3077</v>
      </c>
      <c r="W1975" s="92" t="str">
        <f t="shared" si="135"/>
        <v>Montalvo Carrillo,Jose</v>
      </c>
      <c r="X1975" s="95">
        <f t="shared" si="136"/>
        <v>6</v>
      </c>
      <c r="Y1975" s="95">
        <f t="shared" si="137"/>
        <v>2022</v>
      </c>
      <c r="Z1975" s="153" t="s">
        <v>2238</v>
      </c>
      <c r="AA1975" t="str">
        <f>IF(Tabla1[[#This Row],[Kerma en aire acumulada (Gy)]]&gt;1,SUMIF(G:G,Tabla1[[#This Row],[SIP]],I:I)-Tabla1[[#This Row],[Kerma en aire acumulada (Gy)]],"")</f>
        <v/>
      </c>
    </row>
    <row r="1976" spans="3:27">
      <c r="C1976" s="144" t="str">
        <f t="shared" si="134"/>
        <v>Adulto</v>
      </c>
      <c r="D1976" s="145" t="s">
        <v>3160</v>
      </c>
      <c r="E1976" s="145" t="s">
        <v>3161</v>
      </c>
      <c r="F1976" s="145" t="s">
        <v>68</v>
      </c>
      <c r="G1976" s="145">
        <v>3958584</v>
      </c>
      <c r="H1976" s="146">
        <v>44728</v>
      </c>
      <c r="I1976" s="145">
        <v>0.11569</v>
      </c>
      <c r="J1976" s="145"/>
      <c r="K1976" s="145"/>
      <c r="L1976" s="145"/>
      <c r="M1976" s="145"/>
      <c r="N1976" s="145"/>
      <c r="O1976" s="145"/>
      <c r="P1976" s="145"/>
      <c r="Q1976" s="145"/>
      <c r="R1976" s="145"/>
      <c r="S1976" s="145"/>
      <c r="T1976" s="146">
        <v>27420</v>
      </c>
      <c r="U1976" s="145"/>
      <c r="V1976" s="145" t="s">
        <v>2383</v>
      </c>
      <c r="W1976" s="92" t="str">
        <f t="shared" si="135"/>
        <v>Bañon Estevan,Juan</v>
      </c>
      <c r="X1976" s="95">
        <f t="shared" si="136"/>
        <v>6</v>
      </c>
      <c r="Y1976" s="95">
        <f t="shared" si="137"/>
        <v>2022</v>
      </c>
      <c r="Z1976" s="153" t="s">
        <v>266</v>
      </c>
      <c r="AA1976" t="str">
        <f>IF(Tabla1[[#This Row],[Kerma en aire acumulada (Gy)]]&gt;1,SUMIF(G:G,Tabla1[[#This Row],[SIP]],I:I)-Tabla1[[#This Row],[Kerma en aire acumulada (Gy)]],"")</f>
        <v/>
      </c>
    </row>
    <row r="1977" spans="3:27">
      <c r="C1977" s="144" t="str">
        <f t="shared" si="134"/>
        <v>Adulto</v>
      </c>
      <c r="D1977" s="145" t="s">
        <v>1288</v>
      </c>
      <c r="E1977" s="145" t="s">
        <v>966</v>
      </c>
      <c r="F1977" s="145" t="s">
        <v>1759</v>
      </c>
      <c r="G1977" s="145">
        <v>3173748</v>
      </c>
      <c r="H1977" s="146">
        <v>44728</v>
      </c>
      <c r="I1977" s="145">
        <v>0.66574</v>
      </c>
      <c r="J1977" s="145"/>
      <c r="K1977" s="145"/>
      <c r="L1977" s="145"/>
      <c r="M1977" s="145"/>
      <c r="N1977" s="145"/>
      <c r="O1977" s="145"/>
      <c r="P1977" s="145"/>
      <c r="Q1977" s="145"/>
      <c r="R1977" s="145"/>
      <c r="S1977" s="145"/>
      <c r="T1977" s="146">
        <v>13360</v>
      </c>
      <c r="U1977" s="145"/>
      <c r="V1977" s="145" t="s">
        <v>2383</v>
      </c>
      <c r="W1977" s="92" t="str">
        <f t="shared" si="135"/>
        <v>Castello Marco,Martin</v>
      </c>
      <c r="X1977" s="95">
        <f t="shared" si="136"/>
        <v>6</v>
      </c>
      <c r="Y1977" s="95">
        <f t="shared" si="137"/>
        <v>2022</v>
      </c>
      <c r="Z1977" s="153" t="s">
        <v>266</v>
      </c>
      <c r="AA1977" t="str">
        <f>IF(Tabla1[[#This Row],[Kerma en aire acumulada (Gy)]]&gt;1,SUMIF(G:G,Tabla1[[#This Row],[SIP]],I:I)-Tabla1[[#This Row],[Kerma en aire acumulada (Gy)]],"")</f>
        <v/>
      </c>
    </row>
    <row r="1978" spans="3:27">
      <c r="C1978" s="144" t="str">
        <f t="shared" si="134"/>
        <v>Adulto</v>
      </c>
      <c r="D1978" s="95" t="s">
        <v>2765</v>
      </c>
      <c r="E1978" s="95" t="s">
        <v>2766</v>
      </c>
      <c r="F1978" s="95" t="s">
        <v>83</v>
      </c>
      <c r="G1978" s="145">
        <v>4572504</v>
      </c>
      <c r="H1978" s="146">
        <v>44728</v>
      </c>
      <c r="I1978" s="145">
        <v>0.24972</v>
      </c>
      <c r="J1978" s="145"/>
      <c r="K1978" s="145"/>
      <c r="L1978" s="145"/>
      <c r="M1978" s="145"/>
      <c r="N1978" s="145"/>
      <c r="O1978" s="145"/>
      <c r="P1978" s="145"/>
      <c r="Q1978" s="145"/>
      <c r="R1978" s="145"/>
      <c r="S1978" s="145"/>
      <c r="T1978" s="146">
        <v>22138</v>
      </c>
      <c r="U1978" s="145"/>
      <c r="V1978" s="145" t="s">
        <v>2383</v>
      </c>
      <c r="W1978" s="92" t="str">
        <f t="shared" si="135"/>
        <v>Mensua Calzado,Francisco</v>
      </c>
      <c r="X1978" s="95">
        <f t="shared" si="136"/>
        <v>6</v>
      </c>
      <c r="Y1978" s="95">
        <f t="shared" si="137"/>
        <v>2022</v>
      </c>
      <c r="Z1978" s="153" t="s">
        <v>266</v>
      </c>
      <c r="AA1978" t="str">
        <f>IF(Tabla1[[#This Row],[Kerma en aire acumulada (Gy)]]&gt;1,SUMIF(G:G,Tabla1[[#This Row],[SIP]],I:I)-Tabla1[[#This Row],[Kerma en aire acumulada (Gy)]],"")</f>
        <v/>
      </c>
    </row>
    <row r="1979" spans="3:27">
      <c r="C1979" s="144" t="str">
        <f t="shared" si="134"/>
        <v>Adulto</v>
      </c>
      <c r="D1979" s="95" t="s">
        <v>948</v>
      </c>
      <c r="E1979" s="95" t="s">
        <v>1908</v>
      </c>
      <c r="F1979" s="95" t="s">
        <v>3159</v>
      </c>
      <c r="G1979" s="145">
        <v>2418597</v>
      </c>
      <c r="H1979" s="146">
        <v>44728</v>
      </c>
      <c r="I1979" s="145">
        <v>0.20199</v>
      </c>
      <c r="J1979" s="145"/>
      <c r="K1979" s="145"/>
      <c r="L1979" s="145"/>
      <c r="M1979" s="145"/>
      <c r="N1979" s="145"/>
      <c r="O1979" s="145"/>
      <c r="P1979" s="145"/>
      <c r="Q1979" s="145"/>
      <c r="R1979" s="145"/>
      <c r="S1979" s="145"/>
      <c r="T1979" s="146">
        <v>21261</v>
      </c>
      <c r="U1979" s="145"/>
      <c r="V1979" s="145" t="s">
        <v>2383</v>
      </c>
      <c r="W1979" s="92" t="str">
        <f t="shared" si="135"/>
        <v>Martinez Merino,Maria Desamparados</v>
      </c>
      <c r="X1979" s="95">
        <f t="shared" si="136"/>
        <v>6</v>
      </c>
      <c r="Y1979" s="95">
        <f t="shared" si="137"/>
        <v>2022</v>
      </c>
      <c r="Z1979" s="153" t="s">
        <v>266</v>
      </c>
      <c r="AA1979" t="str">
        <f>IF(Tabla1[[#This Row],[Kerma en aire acumulada (Gy)]]&gt;1,SUMIF(G:G,Tabla1[[#This Row],[SIP]],I:I)-Tabla1[[#This Row],[Kerma en aire acumulada (Gy)]],"")</f>
        <v/>
      </c>
    </row>
    <row r="1980" spans="3:27">
      <c r="C1980" s="144" t="str">
        <f t="shared" si="134"/>
        <v>Adulto</v>
      </c>
      <c r="D1980" s="95" t="s">
        <v>1001</v>
      </c>
      <c r="E1980" s="95" t="s">
        <v>2781</v>
      </c>
      <c r="F1980" s="95" t="s">
        <v>2874</v>
      </c>
      <c r="G1980" s="145">
        <v>5498430</v>
      </c>
      <c r="H1980" s="146">
        <v>44728</v>
      </c>
      <c r="I1980" s="145">
        <v>0.19591</v>
      </c>
      <c r="J1980" s="145"/>
      <c r="K1980" s="145"/>
      <c r="L1980" s="145"/>
      <c r="M1980" s="145"/>
      <c r="N1980" s="145"/>
      <c r="O1980" s="145"/>
      <c r="P1980" s="145"/>
      <c r="Q1980" s="145"/>
      <c r="R1980" s="145"/>
      <c r="S1980" s="145"/>
      <c r="T1980" s="146">
        <v>18373</v>
      </c>
      <c r="U1980" s="145"/>
      <c r="V1980" s="145" t="s">
        <v>2383</v>
      </c>
      <c r="W1980" s="92" t="str">
        <f t="shared" si="135"/>
        <v>Perez Lafuente,Mariano</v>
      </c>
      <c r="X1980" s="95">
        <f t="shared" si="136"/>
        <v>6</v>
      </c>
      <c r="Y1980" s="95">
        <f t="shared" si="137"/>
        <v>2022</v>
      </c>
      <c r="Z1980" s="153" t="s">
        <v>266</v>
      </c>
      <c r="AA1980" t="str">
        <f>IF(Tabla1[[#This Row],[Kerma en aire acumulada (Gy)]]&gt;1,SUMIF(G:G,Tabla1[[#This Row],[SIP]],I:I)-Tabla1[[#This Row],[Kerma en aire acumulada (Gy)]],"")</f>
        <v/>
      </c>
    </row>
    <row r="1981" spans="3:27">
      <c r="C1981" s="144" t="str">
        <f t="shared" si="134"/>
        <v>Adulto</v>
      </c>
      <c r="D1981" s="95" t="s">
        <v>1695</v>
      </c>
      <c r="E1981" s="95" t="s">
        <v>22</v>
      </c>
      <c r="F1981" s="95" t="s">
        <v>967</v>
      </c>
      <c r="G1981" s="145">
        <v>3776416</v>
      </c>
      <c r="H1981" s="146">
        <v>44728</v>
      </c>
      <c r="I1981" s="145">
        <v>0.2447</v>
      </c>
      <c r="J1981" s="145"/>
      <c r="K1981" s="145"/>
      <c r="L1981" s="145"/>
      <c r="M1981" s="145"/>
      <c r="N1981" s="145"/>
      <c r="O1981" s="145"/>
      <c r="P1981" s="145"/>
      <c r="Q1981" s="145"/>
      <c r="R1981" s="145"/>
      <c r="S1981" s="145"/>
      <c r="T1981" s="146">
        <v>24420</v>
      </c>
      <c r="U1981" s="145"/>
      <c r="V1981" s="145" t="s">
        <v>2383</v>
      </c>
      <c r="W1981" s="92" t="str">
        <f t="shared" si="135"/>
        <v>Portales Ruiz,Jose Manuel</v>
      </c>
      <c r="X1981" s="95">
        <f t="shared" si="136"/>
        <v>6</v>
      </c>
      <c r="Y1981" s="95">
        <f t="shared" si="137"/>
        <v>2022</v>
      </c>
      <c r="Z1981" s="153" t="s">
        <v>266</v>
      </c>
      <c r="AA1981" t="str">
        <f>IF(Tabla1[[#This Row],[Kerma en aire acumulada (Gy)]]&gt;1,SUMIF(G:G,Tabla1[[#This Row],[SIP]],I:I)-Tabla1[[#This Row],[Kerma en aire acumulada (Gy)]],"")</f>
        <v/>
      </c>
    </row>
    <row r="1982" spans="3:27">
      <c r="C1982" s="144" t="str">
        <f t="shared" si="134"/>
        <v>Adulto</v>
      </c>
      <c r="D1982" s="95" t="s">
        <v>3158</v>
      </c>
      <c r="E1982" s="95" t="s">
        <v>948</v>
      </c>
      <c r="F1982" s="95" t="s">
        <v>377</v>
      </c>
      <c r="G1982" s="145">
        <v>2828037</v>
      </c>
      <c r="H1982" s="146">
        <v>44728</v>
      </c>
      <c r="I1982" s="145">
        <v>0.15423000000000001</v>
      </c>
      <c r="J1982" s="145"/>
      <c r="K1982" s="145"/>
      <c r="L1982" s="145"/>
      <c r="M1982" s="145"/>
      <c r="N1982" s="145"/>
      <c r="O1982" s="145"/>
      <c r="P1982" s="145"/>
      <c r="Q1982" s="145"/>
      <c r="R1982" s="145"/>
      <c r="S1982" s="145"/>
      <c r="T1982" s="146">
        <v>16787</v>
      </c>
      <c r="U1982" s="145"/>
      <c r="V1982" s="145" t="s">
        <v>2383</v>
      </c>
      <c r="W1982" s="92" t="str">
        <f t="shared" si="135"/>
        <v>Punter Martinez,Pilar</v>
      </c>
      <c r="X1982" s="95">
        <f t="shared" si="136"/>
        <v>6</v>
      </c>
      <c r="Y1982" s="95">
        <f t="shared" si="137"/>
        <v>2022</v>
      </c>
      <c r="Z1982" s="153" t="s">
        <v>266</v>
      </c>
      <c r="AA1982" t="str">
        <f>IF(Tabla1[[#This Row],[Kerma en aire acumulada (Gy)]]&gt;1,SUMIF(G:G,Tabla1[[#This Row],[SIP]],I:I)-Tabla1[[#This Row],[Kerma en aire acumulada (Gy)]],"")</f>
        <v/>
      </c>
    </row>
    <row r="1983" spans="3:27">
      <c r="C1983" s="144" t="str">
        <f t="shared" si="134"/>
        <v>Adulto</v>
      </c>
      <c r="D1983" s="145" t="s">
        <v>772</v>
      </c>
      <c r="E1983" s="145" t="s">
        <v>2345</v>
      </c>
      <c r="F1983" s="145" t="s">
        <v>2874</v>
      </c>
      <c r="G1983" s="145">
        <v>2315736</v>
      </c>
      <c r="H1983" s="146">
        <v>44728</v>
      </c>
      <c r="I1983" s="168">
        <v>1.3804799999999999</v>
      </c>
      <c r="J1983" s="145"/>
      <c r="K1983" s="145"/>
      <c r="L1983" s="145"/>
      <c r="M1983" s="145"/>
      <c r="N1983" s="145"/>
      <c r="O1983" s="145"/>
      <c r="P1983" s="145"/>
      <c r="Q1983" s="145"/>
      <c r="R1983" s="145"/>
      <c r="S1983" s="145"/>
      <c r="T1983" s="146">
        <v>21563</v>
      </c>
      <c r="U1983" s="145"/>
      <c r="V1983" s="145" t="s">
        <v>2383</v>
      </c>
      <c r="W1983" s="92" t="str">
        <f t="shared" si="135"/>
        <v>Sanchez Moliner,Mariano</v>
      </c>
      <c r="X1983" s="95">
        <f t="shared" si="136"/>
        <v>6</v>
      </c>
      <c r="Y1983" s="95">
        <f t="shared" si="137"/>
        <v>2022</v>
      </c>
      <c r="Z1983" s="153" t="s">
        <v>266</v>
      </c>
      <c r="AA1983">
        <f>IF(Tabla1[[#This Row],[Kerma en aire acumulada (Gy)]]&gt;1,SUMIF(G:G,Tabla1[[#This Row],[SIP]],I:I)-Tabla1[[#This Row],[Kerma en aire acumulada (Gy)]],"")</f>
        <v>0.1579600000000001</v>
      </c>
    </row>
    <row r="1984" spans="3:27">
      <c r="C1984" s="144" t="str">
        <f t="shared" si="134"/>
        <v>Adulto</v>
      </c>
      <c r="D1984" s="145" t="s">
        <v>3157</v>
      </c>
      <c r="E1984" s="145" t="s">
        <v>804</v>
      </c>
      <c r="F1984" s="145" t="s">
        <v>1202</v>
      </c>
      <c r="G1984" s="145">
        <v>4241289</v>
      </c>
      <c r="H1984" s="146">
        <v>44728</v>
      </c>
      <c r="I1984" s="145">
        <v>3.6749999999999998E-2</v>
      </c>
      <c r="J1984" s="145"/>
      <c r="K1984" s="145"/>
      <c r="L1984" s="145"/>
      <c r="M1984" s="145"/>
      <c r="N1984" s="145"/>
      <c r="O1984" s="145"/>
      <c r="P1984" s="145"/>
      <c r="Q1984" s="145"/>
      <c r="R1984" s="145"/>
      <c r="S1984" s="145"/>
      <c r="T1984" s="146">
        <v>22681</v>
      </c>
      <c r="U1984" s="145"/>
      <c r="V1984" s="145" t="s">
        <v>2383</v>
      </c>
      <c r="W1984" s="92" t="str">
        <f t="shared" si="135"/>
        <v>Benlloch Balaguer,Maria Vicenta</v>
      </c>
      <c r="X1984" s="95">
        <f t="shared" si="136"/>
        <v>6</v>
      </c>
      <c r="Y1984" s="95">
        <f t="shared" si="137"/>
        <v>2022</v>
      </c>
      <c r="Z1984" s="153" t="s">
        <v>266</v>
      </c>
      <c r="AA1984" t="str">
        <f>IF(Tabla1[[#This Row],[Kerma en aire acumulada (Gy)]]&gt;1,SUMIF(G:G,Tabla1[[#This Row],[SIP]],I:I)-Tabla1[[#This Row],[Kerma en aire acumulada (Gy)]],"")</f>
        <v/>
      </c>
    </row>
    <row r="1985" spans="3:27">
      <c r="C1985" s="144" t="str">
        <f t="shared" si="134"/>
        <v>Adulto</v>
      </c>
      <c r="D1985" s="145" t="s">
        <v>299</v>
      </c>
      <c r="E1985" s="145" t="s">
        <v>1001</v>
      </c>
      <c r="F1985" s="145" t="s">
        <v>300</v>
      </c>
      <c r="G1985" s="145">
        <v>3397746</v>
      </c>
      <c r="H1985" s="146">
        <v>44728</v>
      </c>
      <c r="I1985" s="145">
        <v>4.7550000000000002E-2</v>
      </c>
      <c r="J1985" s="145"/>
      <c r="K1985" s="145"/>
      <c r="L1985" s="145"/>
      <c r="M1985" s="145"/>
      <c r="N1985" s="145"/>
      <c r="O1985" s="145"/>
      <c r="P1985" s="145"/>
      <c r="Q1985" s="145"/>
      <c r="R1985" s="145"/>
      <c r="S1985" s="145"/>
      <c r="T1985" s="146">
        <v>28983</v>
      </c>
      <c r="U1985" s="145"/>
      <c r="V1985" s="145" t="s">
        <v>1203</v>
      </c>
      <c r="W1985" s="92" t="str">
        <f t="shared" si="135"/>
        <v>Reina Perez,Carlos</v>
      </c>
      <c r="X1985" s="95">
        <f t="shared" si="136"/>
        <v>6</v>
      </c>
      <c r="Y1985" s="95">
        <f t="shared" si="137"/>
        <v>2022</v>
      </c>
      <c r="Z1985" s="153" t="s">
        <v>265</v>
      </c>
      <c r="AA1985" t="str">
        <f>IF(Tabla1[[#This Row],[Kerma en aire acumulada (Gy)]]&gt;1,SUMIF(G:G,Tabla1[[#This Row],[SIP]],I:I)-Tabla1[[#This Row],[Kerma en aire acumulada (Gy)]],"")</f>
        <v/>
      </c>
    </row>
    <row r="1986" spans="3:27">
      <c r="C1986" s="144" t="str">
        <f t="shared" ref="C1986:C2049" si="138">IF(OR(H1986="",T1986=""),"",IF((H1986-T1986)/12/30&lt;18,"Pediátrico","Adulto"))</f>
        <v>Adulto</v>
      </c>
      <c r="D1986" s="145" t="s">
        <v>3155</v>
      </c>
      <c r="E1986" s="145" t="s">
        <v>960</v>
      </c>
      <c r="F1986" s="145" t="s">
        <v>3156</v>
      </c>
      <c r="G1986" s="145">
        <v>3616089</v>
      </c>
      <c r="H1986" s="146">
        <v>44728</v>
      </c>
      <c r="I1986" s="145">
        <v>9.7030000000000005E-2</v>
      </c>
      <c r="J1986" s="145"/>
      <c r="K1986" s="145"/>
      <c r="L1986" s="145"/>
      <c r="M1986" s="145"/>
      <c r="N1986" s="145"/>
      <c r="O1986" s="145"/>
      <c r="P1986" s="145"/>
      <c r="Q1986" s="145"/>
      <c r="R1986" s="145"/>
      <c r="S1986" s="145"/>
      <c r="T1986" s="146">
        <v>19241</v>
      </c>
      <c r="U1986" s="145"/>
      <c r="V1986" s="145" t="s">
        <v>1934</v>
      </c>
      <c r="W1986" s="92" t="str">
        <f t="shared" si="135"/>
        <v>Marqueño Lopez,Filomena</v>
      </c>
      <c r="X1986" s="95">
        <f t="shared" si="136"/>
        <v>6</v>
      </c>
      <c r="Y1986" s="95">
        <f t="shared" si="137"/>
        <v>2022</v>
      </c>
      <c r="Z1986" s="153" t="s">
        <v>265</v>
      </c>
      <c r="AA1986" t="str">
        <f>IF(Tabla1[[#This Row],[Kerma en aire acumulada (Gy)]]&gt;1,SUMIF(G:G,Tabla1[[#This Row],[SIP]],I:I)-Tabla1[[#This Row],[Kerma en aire acumulada (Gy)]],"")</f>
        <v/>
      </c>
    </row>
    <row r="1987" spans="3:27">
      <c r="C1987" s="144" t="str">
        <f t="shared" si="138"/>
        <v>Adulto</v>
      </c>
      <c r="D1987" s="145" t="s">
        <v>2887</v>
      </c>
      <c r="E1987" s="145" t="s">
        <v>1621</v>
      </c>
      <c r="F1987" s="145" t="s">
        <v>2183</v>
      </c>
      <c r="G1987" s="145">
        <v>2400056</v>
      </c>
      <c r="H1987" s="146">
        <v>44728</v>
      </c>
      <c r="I1987" s="145">
        <v>0.2329</v>
      </c>
      <c r="J1987" s="145"/>
      <c r="K1987" s="145"/>
      <c r="L1987" s="145"/>
      <c r="M1987" s="145"/>
      <c r="N1987" s="145"/>
      <c r="O1987" s="145"/>
      <c r="P1987" s="145"/>
      <c r="Q1987" s="145"/>
      <c r="R1987" s="145"/>
      <c r="S1987" s="145"/>
      <c r="T1987" s="146">
        <v>20147</v>
      </c>
      <c r="U1987" s="145"/>
      <c r="V1987" s="145" t="s">
        <v>1152</v>
      </c>
      <c r="W1987" s="92" t="str">
        <f t="shared" si="135"/>
        <v>Comes Ramon,Agustin</v>
      </c>
      <c r="X1987" s="95">
        <f t="shared" si="136"/>
        <v>6</v>
      </c>
      <c r="Y1987" s="95">
        <f t="shared" si="137"/>
        <v>2022</v>
      </c>
      <c r="Z1987" s="153" t="s">
        <v>265</v>
      </c>
      <c r="AA1987" t="str">
        <f>IF(Tabla1[[#This Row],[Kerma en aire acumulada (Gy)]]&gt;1,SUMIF(G:G,Tabla1[[#This Row],[SIP]],I:I)-Tabla1[[#This Row],[Kerma en aire acumulada (Gy)]],"")</f>
        <v/>
      </c>
    </row>
    <row r="1988" spans="3:27">
      <c r="C1988" s="144" t="str">
        <f t="shared" si="138"/>
        <v>Adulto</v>
      </c>
      <c r="D1988" s="145" t="s">
        <v>1695</v>
      </c>
      <c r="E1988" s="145" t="s">
        <v>2651</v>
      </c>
      <c r="F1988" s="145" t="s">
        <v>1958</v>
      </c>
      <c r="G1988" s="145">
        <v>1955815</v>
      </c>
      <c r="H1988" s="146">
        <v>44728</v>
      </c>
      <c r="I1988" s="145">
        <v>3.4189999999999998E-2</v>
      </c>
      <c r="J1988" s="145"/>
      <c r="K1988" s="145"/>
      <c r="L1988" s="145"/>
      <c r="M1988" s="145"/>
      <c r="N1988" s="145"/>
      <c r="O1988" s="145"/>
      <c r="P1988" s="145"/>
      <c r="Q1988" s="145"/>
      <c r="R1988" s="145"/>
      <c r="S1988" s="145"/>
      <c r="T1988" s="146">
        <v>22641</v>
      </c>
      <c r="U1988" s="145"/>
      <c r="V1988" s="145" t="s">
        <v>3154</v>
      </c>
      <c r="W1988" s="92" t="str">
        <f t="shared" si="135"/>
        <v>Portales Llop,Enric</v>
      </c>
      <c r="X1988" s="95">
        <f t="shared" si="136"/>
        <v>6</v>
      </c>
      <c r="Y1988" s="95">
        <f t="shared" si="137"/>
        <v>2022</v>
      </c>
      <c r="Z1988" s="153" t="s">
        <v>265</v>
      </c>
      <c r="AA1988" t="str">
        <f>IF(Tabla1[[#This Row],[Kerma en aire acumulada (Gy)]]&gt;1,SUMIF(G:G,Tabla1[[#This Row],[SIP]],I:I)-Tabla1[[#This Row],[Kerma en aire acumulada (Gy)]],"")</f>
        <v/>
      </c>
    </row>
    <row r="1989" spans="3:27">
      <c r="C1989" s="144" t="str">
        <f t="shared" si="138"/>
        <v>Adulto</v>
      </c>
      <c r="D1989" s="145" t="s">
        <v>1904</v>
      </c>
      <c r="E1989" s="145" t="s">
        <v>15</v>
      </c>
      <c r="F1989" s="145" t="s">
        <v>54</v>
      </c>
      <c r="G1989" s="145">
        <v>3104997</v>
      </c>
      <c r="H1989" s="146">
        <v>44728</v>
      </c>
      <c r="I1989" s="145">
        <v>5.4460000000000001E-2</v>
      </c>
      <c r="J1989" s="145"/>
      <c r="K1989" s="145"/>
      <c r="L1989" s="145"/>
      <c r="M1989" s="145"/>
      <c r="N1989" s="145"/>
      <c r="O1989" s="145"/>
      <c r="P1989" s="145"/>
      <c r="Q1989" s="145"/>
      <c r="R1989" s="145"/>
      <c r="S1989" s="145"/>
      <c r="T1989" s="146">
        <v>22269</v>
      </c>
      <c r="U1989" s="145"/>
      <c r="V1989" s="145" t="s">
        <v>2995</v>
      </c>
      <c r="W1989" s="92" t="str">
        <f t="shared" si="135"/>
        <v>Nuñez Moreno,Isabel</v>
      </c>
      <c r="X1989" s="95">
        <f t="shared" si="136"/>
        <v>6</v>
      </c>
      <c r="Y1989" s="95">
        <f t="shared" si="137"/>
        <v>2022</v>
      </c>
      <c r="Z1989" s="153" t="s">
        <v>265</v>
      </c>
      <c r="AA1989" t="str">
        <f>IF(Tabla1[[#This Row],[Kerma en aire acumulada (Gy)]]&gt;1,SUMIF(G:G,Tabla1[[#This Row],[SIP]],I:I)-Tabla1[[#This Row],[Kerma en aire acumulada (Gy)]],"")</f>
        <v/>
      </c>
    </row>
    <row r="1990" spans="3:27">
      <c r="C1990" s="144" t="str">
        <f t="shared" si="138"/>
        <v>Adulto</v>
      </c>
      <c r="D1990" s="145" t="s">
        <v>2097</v>
      </c>
      <c r="E1990" s="145" t="s">
        <v>152</v>
      </c>
      <c r="F1990" s="145" t="s">
        <v>88</v>
      </c>
      <c r="G1990" s="145">
        <v>1864903</v>
      </c>
      <c r="H1990" s="146">
        <v>44729</v>
      </c>
      <c r="I1990" s="168">
        <v>1.7030700000000001</v>
      </c>
      <c r="J1990" s="145"/>
      <c r="K1990" s="145"/>
      <c r="L1990" s="145"/>
      <c r="M1990" s="145"/>
      <c r="N1990" s="145"/>
      <c r="O1990" s="145"/>
      <c r="P1990" s="145"/>
      <c r="Q1990" s="145"/>
      <c r="R1990" s="145"/>
      <c r="S1990" s="145"/>
      <c r="T1990" s="146">
        <v>17153</v>
      </c>
      <c r="U1990" s="145"/>
      <c r="V1990" s="145" t="s">
        <v>2383</v>
      </c>
      <c r="W1990" s="92" t="str">
        <f t="shared" si="135"/>
        <v>Verdeguer Vidal,Vicente</v>
      </c>
      <c r="X1990" s="95">
        <f t="shared" si="136"/>
        <v>6</v>
      </c>
      <c r="Y1990" s="95">
        <f t="shared" si="137"/>
        <v>2022</v>
      </c>
      <c r="Z1990" s="153" t="s">
        <v>266</v>
      </c>
      <c r="AA1990">
        <f>IF(Tabla1[[#This Row],[Kerma en aire acumulada (Gy)]]&gt;1,SUMIF(G:G,Tabla1[[#This Row],[SIP]],I:I)-Tabla1[[#This Row],[Kerma en aire acumulada (Gy)]],"")</f>
        <v>0.34796999999999989</v>
      </c>
    </row>
    <row r="1991" spans="3:27">
      <c r="C1991" s="144" t="str">
        <f t="shared" si="138"/>
        <v>Adulto</v>
      </c>
      <c r="D1991" s="145" t="s">
        <v>1295</v>
      </c>
      <c r="E1991" s="145" t="s">
        <v>3167</v>
      </c>
      <c r="F1991" s="145" t="s">
        <v>3168</v>
      </c>
      <c r="G1991" s="145">
        <v>3128526</v>
      </c>
      <c r="H1991" s="146">
        <v>44729</v>
      </c>
      <c r="I1991" s="145">
        <v>0.36020999999999997</v>
      </c>
      <c r="J1991" s="145"/>
      <c r="K1991" s="145"/>
      <c r="L1991" s="145"/>
      <c r="M1991" s="145"/>
      <c r="N1991" s="145"/>
      <c r="O1991" s="145"/>
      <c r="P1991" s="145"/>
      <c r="Q1991" s="145"/>
      <c r="R1991" s="145"/>
      <c r="S1991" s="145"/>
      <c r="T1991" s="146">
        <v>17555</v>
      </c>
      <c r="U1991" s="145"/>
      <c r="V1991" s="145" t="s">
        <v>2383</v>
      </c>
      <c r="W1991" s="92" t="str">
        <f t="shared" si="135"/>
        <v>Julve Sorolla,Palmira</v>
      </c>
      <c r="X1991" s="95">
        <f t="shared" si="136"/>
        <v>6</v>
      </c>
      <c r="Y1991" s="95">
        <f t="shared" si="137"/>
        <v>2022</v>
      </c>
      <c r="Z1991" s="153" t="s">
        <v>266</v>
      </c>
      <c r="AA1991" t="str">
        <f>IF(Tabla1[[#This Row],[Kerma en aire acumulada (Gy)]]&gt;1,SUMIF(G:G,Tabla1[[#This Row],[SIP]],I:I)-Tabla1[[#This Row],[Kerma en aire acumulada (Gy)]],"")</f>
        <v/>
      </c>
    </row>
    <row r="1992" spans="3:27">
      <c r="C1992" s="144" t="str">
        <f t="shared" si="138"/>
        <v>Adulto</v>
      </c>
      <c r="D1992" s="145" t="s">
        <v>2575</v>
      </c>
      <c r="E1992" s="145" t="s">
        <v>77</v>
      </c>
      <c r="F1992" s="145" t="s">
        <v>28</v>
      </c>
      <c r="G1992" s="145">
        <v>5762057</v>
      </c>
      <c r="H1992" s="146">
        <v>44729</v>
      </c>
      <c r="I1992" s="145">
        <v>0.14610000000000001</v>
      </c>
      <c r="J1992" s="145"/>
      <c r="K1992" s="145"/>
      <c r="L1992" s="145"/>
      <c r="M1992" s="145"/>
      <c r="N1992" s="145"/>
      <c r="O1992" s="145"/>
      <c r="P1992" s="145"/>
      <c r="Q1992" s="145"/>
      <c r="R1992" s="145"/>
      <c r="S1992" s="145"/>
      <c r="T1992" s="146">
        <v>13890</v>
      </c>
      <c r="U1992" s="145"/>
      <c r="V1992" s="145" t="s">
        <v>2383</v>
      </c>
      <c r="W1992" s="92" t="str">
        <f t="shared" si="135"/>
        <v>Cebolla Torres,Josefa</v>
      </c>
      <c r="X1992" s="95">
        <f t="shared" si="136"/>
        <v>6</v>
      </c>
      <c r="Y1992" s="95">
        <f t="shared" si="137"/>
        <v>2022</v>
      </c>
      <c r="Z1992" s="153" t="s">
        <v>266</v>
      </c>
      <c r="AA1992" t="str">
        <f>IF(Tabla1[[#This Row],[Kerma en aire acumulada (Gy)]]&gt;1,SUMIF(G:G,Tabla1[[#This Row],[SIP]],I:I)-Tabla1[[#This Row],[Kerma en aire acumulada (Gy)]],"")</f>
        <v/>
      </c>
    </row>
    <row r="1993" spans="3:27">
      <c r="C1993" s="144" t="str">
        <f t="shared" si="138"/>
        <v>Adulto</v>
      </c>
      <c r="D1993" s="145" t="s">
        <v>3166</v>
      </c>
      <c r="E1993" s="145" t="s">
        <v>1844</v>
      </c>
      <c r="F1993" s="145" t="s">
        <v>1297</v>
      </c>
      <c r="G1993" s="145">
        <v>3439213</v>
      </c>
      <c r="H1993" s="146">
        <v>44729</v>
      </c>
      <c r="I1993" s="145">
        <v>0.12584999999999999</v>
      </c>
      <c r="J1993" s="145"/>
      <c r="K1993" s="145"/>
      <c r="L1993" s="145"/>
      <c r="M1993" s="145"/>
      <c r="N1993" s="145"/>
      <c r="O1993" s="145"/>
      <c r="P1993" s="145"/>
      <c r="Q1993" s="145"/>
      <c r="R1993" s="145"/>
      <c r="S1993" s="145"/>
      <c r="T1993" s="146">
        <v>26108</v>
      </c>
      <c r="U1993" s="145"/>
      <c r="V1993" s="145" t="s">
        <v>2383</v>
      </c>
      <c r="W1993" s="92" t="str">
        <f t="shared" si="135"/>
        <v>Sirvent Miralles,Juan Vicente</v>
      </c>
      <c r="X1993" s="95">
        <f t="shared" si="136"/>
        <v>6</v>
      </c>
      <c r="Y1993" s="95">
        <f t="shared" si="137"/>
        <v>2022</v>
      </c>
      <c r="Z1993" s="153" t="s">
        <v>266</v>
      </c>
      <c r="AA1993" t="str">
        <f>IF(Tabla1[[#This Row],[Kerma en aire acumulada (Gy)]]&gt;1,SUMIF(G:G,Tabla1[[#This Row],[SIP]],I:I)-Tabla1[[#This Row],[Kerma en aire acumulada (Gy)]],"")</f>
        <v/>
      </c>
    </row>
    <row r="1994" spans="3:27">
      <c r="C1994" s="144" t="str">
        <f t="shared" si="138"/>
        <v>Adulto</v>
      </c>
      <c r="D1994" s="145" t="s">
        <v>960</v>
      </c>
      <c r="E1994" s="145" t="s">
        <v>3165</v>
      </c>
      <c r="F1994" s="145" t="s">
        <v>1708</v>
      </c>
      <c r="G1994" s="145">
        <v>3021529</v>
      </c>
      <c r="H1994" s="146">
        <v>44729</v>
      </c>
      <c r="I1994" s="145">
        <v>3.8309999999999997E-2</v>
      </c>
      <c r="J1994" s="145"/>
      <c r="K1994" s="145"/>
      <c r="L1994" s="145"/>
      <c r="M1994" s="145"/>
      <c r="N1994" s="145"/>
      <c r="O1994" s="145"/>
      <c r="P1994" s="145"/>
      <c r="Q1994" s="145"/>
      <c r="R1994" s="145"/>
      <c r="S1994" s="145"/>
      <c r="T1994" s="146">
        <v>25015</v>
      </c>
      <c r="U1994" s="145"/>
      <c r="V1994" s="145" t="s">
        <v>2383</v>
      </c>
      <c r="W1994" s="92" t="str">
        <f t="shared" si="135"/>
        <v>Lopez Sabido,M Antonia</v>
      </c>
      <c r="X1994" s="95">
        <f t="shared" si="136"/>
        <v>6</v>
      </c>
      <c r="Y1994" s="95">
        <f t="shared" si="137"/>
        <v>2022</v>
      </c>
      <c r="Z1994" s="153" t="s">
        <v>266</v>
      </c>
      <c r="AA1994" t="str">
        <f>IF(Tabla1[[#This Row],[Kerma en aire acumulada (Gy)]]&gt;1,SUMIF(G:G,Tabla1[[#This Row],[SIP]],I:I)-Tabla1[[#This Row],[Kerma en aire acumulada (Gy)]],"")</f>
        <v/>
      </c>
    </row>
    <row r="1995" spans="3:27">
      <c r="C1995" s="144" t="str">
        <f t="shared" si="138"/>
        <v>Adulto</v>
      </c>
      <c r="D1995" s="145" t="s">
        <v>1288</v>
      </c>
      <c r="E1995" s="145" t="s">
        <v>2089</v>
      </c>
      <c r="F1995" s="145" t="s">
        <v>184</v>
      </c>
      <c r="G1995" s="145">
        <v>3189879</v>
      </c>
      <c r="H1995" s="146">
        <v>44729</v>
      </c>
      <c r="I1995" s="145">
        <v>0.19367000000000001</v>
      </c>
      <c r="J1995" s="145"/>
      <c r="K1995" s="145"/>
      <c r="L1995" s="145"/>
      <c r="M1995" s="145"/>
      <c r="N1995" s="145"/>
      <c r="O1995" s="145"/>
      <c r="P1995" s="145"/>
      <c r="Q1995" s="145"/>
      <c r="R1995" s="145"/>
      <c r="S1995" s="145"/>
      <c r="T1995" s="146">
        <v>17129</v>
      </c>
      <c r="U1995" s="145"/>
      <c r="V1995" s="145" t="s">
        <v>2383</v>
      </c>
      <c r="W1995" s="92" t="str">
        <f t="shared" si="135"/>
        <v>Castello Fornas,Amadeo</v>
      </c>
      <c r="X1995" s="95">
        <f t="shared" si="136"/>
        <v>6</v>
      </c>
      <c r="Y1995" s="95">
        <f t="shared" si="137"/>
        <v>2022</v>
      </c>
      <c r="Z1995" s="153" t="s">
        <v>266</v>
      </c>
      <c r="AA1995" t="str">
        <f>IF(Tabla1[[#This Row],[Kerma en aire acumulada (Gy)]]&gt;1,SUMIF(G:G,Tabla1[[#This Row],[SIP]],I:I)-Tabla1[[#This Row],[Kerma en aire acumulada (Gy)]],"")</f>
        <v/>
      </c>
    </row>
    <row r="1996" spans="3:27">
      <c r="C1996" s="144" t="str">
        <f t="shared" si="138"/>
        <v>Adulto</v>
      </c>
      <c r="D1996" s="145" t="s">
        <v>3163</v>
      </c>
      <c r="E1996" s="145" t="s">
        <v>3164</v>
      </c>
      <c r="F1996" s="145" t="s">
        <v>1155</v>
      </c>
      <c r="G1996" s="145">
        <v>3177541</v>
      </c>
      <c r="H1996" s="146">
        <v>44729</v>
      </c>
      <c r="I1996" s="145">
        <v>0.15770000000000001</v>
      </c>
      <c r="J1996" s="145"/>
      <c r="K1996" s="145"/>
      <c r="L1996" s="145"/>
      <c r="M1996" s="145"/>
      <c r="N1996" s="145"/>
      <c r="O1996" s="145"/>
      <c r="P1996" s="145"/>
      <c r="Q1996" s="145"/>
      <c r="R1996" s="145"/>
      <c r="S1996" s="145"/>
      <c r="T1996" s="146">
        <v>13857</v>
      </c>
      <c r="U1996" s="145"/>
      <c r="V1996" s="145" t="s">
        <v>2383</v>
      </c>
      <c r="W1996" s="92" t="str">
        <f t="shared" si="135"/>
        <v>Montaner Barranca,Maria</v>
      </c>
      <c r="X1996" s="95">
        <f t="shared" si="136"/>
        <v>6</v>
      </c>
      <c r="Y1996" s="95">
        <f t="shared" si="137"/>
        <v>2022</v>
      </c>
      <c r="Z1996" s="153" t="s">
        <v>266</v>
      </c>
      <c r="AA1996" t="str">
        <f>IF(Tabla1[[#This Row],[Kerma en aire acumulada (Gy)]]&gt;1,SUMIF(G:G,Tabla1[[#This Row],[SIP]],I:I)-Tabla1[[#This Row],[Kerma en aire acumulada (Gy)]],"")</f>
        <v/>
      </c>
    </row>
    <row r="1997" spans="3:27">
      <c r="C1997" s="144" t="str">
        <f t="shared" si="138"/>
        <v>Adulto</v>
      </c>
      <c r="D1997" s="145" t="s">
        <v>2702</v>
      </c>
      <c r="E1997" s="145" t="s">
        <v>1837</v>
      </c>
      <c r="F1997" s="145" t="s">
        <v>83</v>
      </c>
      <c r="G1997" s="145">
        <v>2406632</v>
      </c>
      <c r="H1997" s="146">
        <v>44729</v>
      </c>
      <c r="I1997" s="145">
        <v>6.0000000000000001E-3</v>
      </c>
      <c r="J1997" s="145"/>
      <c r="K1997" s="145"/>
      <c r="L1997" s="145"/>
      <c r="M1997" s="145"/>
      <c r="N1997" s="145"/>
      <c r="O1997" s="145"/>
      <c r="P1997" s="145"/>
      <c r="Q1997" s="145"/>
      <c r="R1997" s="145"/>
      <c r="S1997" s="145"/>
      <c r="T1997" s="146">
        <v>18316</v>
      </c>
      <c r="U1997" s="145"/>
      <c r="V1997" s="145" t="s">
        <v>2434</v>
      </c>
      <c r="W1997" s="92" t="str">
        <f t="shared" si="135"/>
        <v>Aparisi Rodriguez,Francisco</v>
      </c>
      <c r="X1997" s="95">
        <f t="shared" si="136"/>
        <v>6</v>
      </c>
      <c r="Y1997" s="95">
        <f t="shared" si="137"/>
        <v>2022</v>
      </c>
      <c r="Z1997" s="153" t="s">
        <v>265</v>
      </c>
      <c r="AA1997" t="str">
        <f>IF(Tabla1[[#This Row],[Kerma en aire acumulada (Gy)]]&gt;1,SUMIF(G:G,Tabla1[[#This Row],[SIP]],I:I)-Tabla1[[#This Row],[Kerma en aire acumulada (Gy)]],"")</f>
        <v/>
      </c>
    </row>
    <row r="1998" spans="3:27">
      <c r="C1998" s="144" t="str">
        <f t="shared" si="138"/>
        <v>Adulto</v>
      </c>
      <c r="D1998" s="145" t="s">
        <v>772</v>
      </c>
      <c r="E1998" s="145" t="s">
        <v>3162</v>
      </c>
      <c r="F1998" s="145" t="s">
        <v>1976</v>
      </c>
      <c r="G1998" s="145">
        <v>5133660</v>
      </c>
      <c r="H1998" s="146">
        <v>44729</v>
      </c>
      <c r="I1998" s="145">
        <v>1.99E-3</v>
      </c>
      <c r="J1998" s="145"/>
      <c r="K1998" s="145"/>
      <c r="L1998" s="145"/>
      <c r="M1998" s="145"/>
      <c r="N1998" s="145"/>
      <c r="O1998" s="145"/>
      <c r="P1998" s="145"/>
      <c r="Q1998" s="145"/>
      <c r="R1998" s="145"/>
      <c r="S1998" s="145"/>
      <c r="T1998" s="146">
        <v>37066</v>
      </c>
      <c r="U1998" s="145"/>
      <c r="V1998" s="145" t="s">
        <v>2075</v>
      </c>
      <c r="W1998" s="92" t="str">
        <f t="shared" si="135"/>
        <v>Sanchez Racionero,Sergio</v>
      </c>
      <c r="X1998" s="95">
        <f t="shared" si="136"/>
        <v>6</v>
      </c>
      <c r="Y1998" s="95">
        <f t="shared" si="137"/>
        <v>2022</v>
      </c>
      <c r="Z1998" s="153" t="s">
        <v>265</v>
      </c>
      <c r="AA1998" t="str">
        <f>IF(Tabla1[[#This Row],[Kerma en aire acumulada (Gy)]]&gt;1,SUMIF(G:G,Tabla1[[#This Row],[SIP]],I:I)-Tabla1[[#This Row],[Kerma en aire acumulada (Gy)]],"")</f>
        <v/>
      </c>
    </row>
    <row r="1999" spans="3:27">
      <c r="C1999" s="144" t="str">
        <f t="shared" si="138"/>
        <v>Adulto</v>
      </c>
      <c r="D1999" s="145" t="s">
        <v>741</v>
      </c>
      <c r="E1999" s="145" t="s">
        <v>336</v>
      </c>
      <c r="F1999" s="145" t="s">
        <v>106</v>
      </c>
      <c r="G1999" s="145">
        <v>2247726</v>
      </c>
      <c r="H1999" s="146">
        <v>44729</v>
      </c>
      <c r="I1999" s="145">
        <v>6.8199999999999997E-2</v>
      </c>
      <c r="J1999" s="145"/>
      <c r="K1999" s="145"/>
      <c r="L1999" s="145"/>
      <c r="M1999" s="145"/>
      <c r="N1999" s="145"/>
      <c r="O1999" s="145"/>
      <c r="P1999" s="145"/>
      <c r="Q1999" s="145"/>
      <c r="R1999" s="145"/>
      <c r="S1999" s="145"/>
      <c r="T1999" s="146">
        <v>17012</v>
      </c>
      <c r="U1999" s="145"/>
      <c r="V1999" s="145" t="s">
        <v>950</v>
      </c>
      <c r="W1999" s="92" t="str">
        <f t="shared" si="135"/>
        <v>Izquierdo Mata,Carmen</v>
      </c>
      <c r="X1999" s="95">
        <f t="shared" si="136"/>
        <v>6</v>
      </c>
      <c r="Y1999" s="95">
        <f t="shared" si="137"/>
        <v>2022</v>
      </c>
      <c r="Z1999" s="153" t="s">
        <v>265</v>
      </c>
      <c r="AA1999" t="str">
        <f>IF(Tabla1[[#This Row],[Kerma en aire acumulada (Gy)]]&gt;1,SUMIF(G:G,Tabla1[[#This Row],[SIP]],I:I)-Tabla1[[#This Row],[Kerma en aire acumulada (Gy)]],"")</f>
        <v/>
      </c>
    </row>
    <row r="2000" spans="3:27">
      <c r="C2000" s="144" t="str">
        <f t="shared" si="138"/>
        <v>Adulto</v>
      </c>
      <c r="D2000" s="145" t="s">
        <v>2129</v>
      </c>
      <c r="E2000" s="145" t="s">
        <v>948</v>
      </c>
      <c r="F2000" s="145" t="s">
        <v>54</v>
      </c>
      <c r="G2000" s="145">
        <v>2182440</v>
      </c>
      <c r="H2000" s="146">
        <v>44729</v>
      </c>
      <c r="I2000" s="145">
        <v>1.89E-3</v>
      </c>
      <c r="J2000" s="145"/>
      <c r="K2000" s="145"/>
      <c r="L2000" s="145"/>
      <c r="M2000" s="145"/>
      <c r="N2000" s="145"/>
      <c r="O2000" s="145"/>
      <c r="P2000" s="145"/>
      <c r="Q2000" s="145"/>
      <c r="R2000" s="145"/>
      <c r="S2000" s="145"/>
      <c r="T2000" s="146">
        <v>17215</v>
      </c>
      <c r="U2000" s="145"/>
      <c r="V2000" s="145" t="s">
        <v>1113</v>
      </c>
      <c r="W2000" s="92" t="str">
        <f t="shared" si="135"/>
        <v>Cuadros Martinez,Isabel</v>
      </c>
      <c r="X2000" s="95">
        <f t="shared" si="136"/>
        <v>6</v>
      </c>
      <c r="Y2000" s="95">
        <f t="shared" si="137"/>
        <v>2022</v>
      </c>
      <c r="Z2000" s="153" t="s">
        <v>265</v>
      </c>
      <c r="AA2000" t="str">
        <f>IF(Tabla1[[#This Row],[Kerma en aire acumulada (Gy)]]&gt;1,SUMIF(G:G,Tabla1[[#This Row],[SIP]],I:I)-Tabla1[[#This Row],[Kerma en aire acumulada (Gy)]],"")</f>
        <v/>
      </c>
    </row>
    <row r="2001" spans="3:27">
      <c r="C2001" s="144" t="str">
        <f t="shared" si="138"/>
        <v>Adulto</v>
      </c>
      <c r="D2001" s="145" t="s">
        <v>3169</v>
      </c>
      <c r="E2001" s="145" t="s">
        <v>169</v>
      </c>
      <c r="F2001" s="145" t="s">
        <v>3170</v>
      </c>
      <c r="G2001" s="145">
        <v>2280395</v>
      </c>
      <c r="H2001" s="146">
        <v>44730</v>
      </c>
      <c r="I2001" s="145">
        <v>0.98395999999999995</v>
      </c>
      <c r="J2001" s="145"/>
      <c r="K2001" s="145"/>
      <c r="L2001" s="145"/>
      <c r="M2001" s="145"/>
      <c r="N2001" s="145"/>
      <c r="O2001" s="145"/>
      <c r="P2001" s="145"/>
      <c r="Q2001" s="145"/>
      <c r="R2001" s="145"/>
      <c r="S2001" s="145"/>
      <c r="T2001" s="146">
        <v>27691</v>
      </c>
      <c r="U2001" s="145"/>
      <c r="V2001" s="145" t="s">
        <v>2383</v>
      </c>
      <c r="W2001" s="92" t="str">
        <f t="shared" si="135"/>
        <v>Espinola Valero,Eugenia</v>
      </c>
      <c r="X2001" s="95">
        <f t="shared" si="136"/>
        <v>6</v>
      </c>
      <c r="Y2001" s="95">
        <f t="shared" si="137"/>
        <v>2022</v>
      </c>
      <c r="Z2001" s="153" t="s">
        <v>266</v>
      </c>
      <c r="AA2001" t="str">
        <f>IF(Tabla1[[#This Row],[Kerma en aire acumulada (Gy)]]&gt;1,SUMIF(G:G,Tabla1[[#This Row],[SIP]],I:I)-Tabla1[[#This Row],[Kerma en aire acumulada (Gy)]],"")</f>
        <v/>
      </c>
    </row>
    <row r="2002" spans="3:27">
      <c r="C2002" s="144" t="str">
        <f t="shared" si="138"/>
        <v>Adulto</v>
      </c>
      <c r="D2002" s="145" t="s">
        <v>960</v>
      </c>
      <c r="E2002" s="145" t="s">
        <v>1771</v>
      </c>
      <c r="F2002" s="145" t="s">
        <v>1050</v>
      </c>
      <c r="G2002" s="145">
        <v>2884396</v>
      </c>
      <c r="H2002" s="146">
        <v>44730</v>
      </c>
      <c r="I2002" s="145">
        <v>0.24970999999999999</v>
      </c>
      <c r="J2002" s="145"/>
      <c r="K2002" s="145"/>
      <c r="L2002" s="145"/>
      <c r="M2002" s="145"/>
      <c r="N2002" s="145"/>
      <c r="O2002" s="145"/>
      <c r="P2002" s="145"/>
      <c r="Q2002" s="145"/>
      <c r="R2002" s="145"/>
      <c r="S2002" s="145"/>
      <c r="T2002" s="146">
        <v>23801</v>
      </c>
      <c r="U2002" s="145"/>
      <c r="V2002" s="145" t="s">
        <v>2383</v>
      </c>
      <c r="W2002" s="92" t="str">
        <f t="shared" si="135"/>
        <v>Lopez Tomas,Francisco Javier</v>
      </c>
      <c r="X2002" s="95">
        <f t="shared" si="136"/>
        <v>6</v>
      </c>
      <c r="Y2002" s="95">
        <f t="shared" si="137"/>
        <v>2022</v>
      </c>
      <c r="Z2002" s="153" t="s">
        <v>266</v>
      </c>
      <c r="AA2002" t="str">
        <f>IF(Tabla1[[#This Row],[Kerma en aire acumulada (Gy)]]&gt;1,SUMIF(G:G,Tabla1[[#This Row],[SIP]],I:I)-Tabla1[[#This Row],[Kerma en aire acumulada (Gy)]],"")</f>
        <v/>
      </c>
    </row>
    <row r="2003" spans="3:27">
      <c r="C2003" s="144" t="str">
        <f t="shared" si="138"/>
        <v>Adulto</v>
      </c>
      <c r="D2003" s="145" t="s">
        <v>3173</v>
      </c>
      <c r="E2003" s="95" t="s">
        <v>3174</v>
      </c>
      <c r="F2003" s="145" t="s">
        <v>635</v>
      </c>
      <c r="G2003" s="145">
        <v>2595335</v>
      </c>
      <c r="H2003" s="146">
        <v>44731</v>
      </c>
      <c r="I2003" s="168">
        <v>1.3003800000000001</v>
      </c>
      <c r="J2003" s="145"/>
      <c r="K2003" s="145"/>
      <c r="L2003" s="145"/>
      <c r="M2003" s="145"/>
      <c r="N2003" s="145"/>
      <c r="O2003" s="145"/>
      <c r="P2003" s="145"/>
      <c r="Q2003" s="145"/>
      <c r="R2003" s="145"/>
      <c r="S2003" s="145"/>
      <c r="T2003" s="146">
        <v>20984</v>
      </c>
      <c r="U2003" s="145"/>
      <c r="V2003" s="145" t="s">
        <v>2383</v>
      </c>
      <c r="W2003" s="92" t="str">
        <f t="shared" si="135"/>
        <v>Royo Kringe,Enrique</v>
      </c>
      <c r="X2003" s="95">
        <f t="shared" si="136"/>
        <v>6</v>
      </c>
      <c r="Y2003" s="95">
        <f t="shared" si="137"/>
        <v>2022</v>
      </c>
      <c r="Z2003" s="153" t="s">
        <v>266</v>
      </c>
      <c r="AA2003">
        <f>IF(Tabla1[[#This Row],[Kerma en aire acumulada (Gy)]]&gt;1,SUMIF(G:G,Tabla1[[#This Row],[SIP]],I:I)-Tabla1[[#This Row],[Kerma en aire acumulada (Gy)]],"")</f>
        <v>0</v>
      </c>
    </row>
    <row r="2004" spans="3:27">
      <c r="C2004" s="144" t="str">
        <f t="shared" si="138"/>
        <v>Adulto</v>
      </c>
      <c r="D2004" s="145" t="s">
        <v>21</v>
      </c>
      <c r="E2004" s="145" t="s">
        <v>2259</v>
      </c>
      <c r="F2004" s="145" t="s">
        <v>71</v>
      </c>
      <c r="G2004" s="145">
        <v>2448220</v>
      </c>
      <c r="H2004" s="146">
        <v>44731</v>
      </c>
      <c r="I2004" s="145">
        <v>0.46031</v>
      </c>
      <c r="J2004" s="145"/>
      <c r="K2004" s="145"/>
      <c r="L2004" s="145"/>
      <c r="M2004" s="145"/>
      <c r="N2004" s="145"/>
      <c r="O2004" s="145"/>
      <c r="P2004" s="145"/>
      <c r="Q2004" s="145"/>
      <c r="R2004" s="145"/>
      <c r="S2004" s="145"/>
      <c r="T2004" s="146">
        <v>26802</v>
      </c>
      <c r="U2004" s="145"/>
      <c r="V2004" s="145" t="s">
        <v>2383</v>
      </c>
      <c r="W2004" s="92" t="str">
        <f t="shared" si="135"/>
        <v>Cervera Devis,Rafael</v>
      </c>
      <c r="X2004" s="95">
        <f t="shared" si="136"/>
        <v>6</v>
      </c>
      <c r="Y2004" s="95">
        <f t="shared" si="137"/>
        <v>2022</v>
      </c>
      <c r="Z2004" s="153" t="s">
        <v>266</v>
      </c>
      <c r="AA2004" t="str">
        <f>IF(Tabla1[[#This Row],[Kerma en aire acumulada (Gy)]]&gt;1,SUMIF(G:G,Tabla1[[#This Row],[SIP]],I:I)-Tabla1[[#This Row],[Kerma en aire acumulada (Gy)]],"")</f>
        <v/>
      </c>
    </row>
    <row r="2005" spans="3:27">
      <c r="C2005" s="144" t="str">
        <f t="shared" si="138"/>
        <v>Adulto</v>
      </c>
      <c r="D2005" s="145" t="s">
        <v>1262</v>
      </c>
      <c r="E2005" s="95" t="s">
        <v>3171</v>
      </c>
      <c r="F2005" s="145" t="s">
        <v>3172</v>
      </c>
      <c r="G2005" s="145">
        <v>2936152</v>
      </c>
      <c r="H2005" s="146">
        <v>44731</v>
      </c>
      <c r="I2005" s="168">
        <v>1.0830200000000001</v>
      </c>
      <c r="J2005" s="145"/>
      <c r="K2005" s="145"/>
      <c r="L2005" s="145"/>
      <c r="M2005" s="145"/>
      <c r="N2005" s="145"/>
      <c r="O2005" s="145"/>
      <c r="P2005" s="145"/>
      <c r="Q2005" s="145"/>
      <c r="R2005" s="145"/>
      <c r="S2005" s="145"/>
      <c r="T2005" s="146">
        <v>22923</v>
      </c>
      <c r="U2005" s="145"/>
      <c r="V2005" s="145" t="s">
        <v>2383</v>
      </c>
      <c r="W2005" s="92" t="str">
        <f t="shared" si="135"/>
        <v>Diaz Tapiador,Feliciano</v>
      </c>
      <c r="X2005" s="95">
        <f t="shared" si="136"/>
        <v>6</v>
      </c>
      <c r="Y2005" s="95">
        <f t="shared" si="137"/>
        <v>2022</v>
      </c>
      <c r="Z2005" s="153" t="s">
        <v>266</v>
      </c>
      <c r="AA2005">
        <f>IF(Tabla1[[#This Row],[Kerma en aire acumulada (Gy)]]&gt;1,SUMIF(G:G,Tabla1[[#This Row],[SIP]],I:I)-Tabla1[[#This Row],[Kerma en aire acumulada (Gy)]],"")</f>
        <v>0.53720999999999997</v>
      </c>
    </row>
    <row r="2006" spans="3:27">
      <c r="C2006" s="144" t="str">
        <f t="shared" si="138"/>
        <v>Adulto</v>
      </c>
      <c r="D2006" s="145" t="s">
        <v>3184</v>
      </c>
      <c r="E2006" s="145" t="s">
        <v>1623</v>
      </c>
      <c r="F2006" s="145" t="s">
        <v>3185</v>
      </c>
      <c r="G2006" s="145">
        <v>3364745</v>
      </c>
      <c r="H2006" s="146">
        <v>44732</v>
      </c>
      <c r="I2006" s="145">
        <v>2.47E-3</v>
      </c>
      <c r="J2006" s="145"/>
      <c r="K2006" s="145"/>
      <c r="L2006" s="145"/>
      <c r="M2006" s="145"/>
      <c r="N2006" s="145"/>
      <c r="O2006" s="145"/>
      <c r="P2006" s="145"/>
      <c r="Q2006" s="145"/>
      <c r="R2006" s="145"/>
      <c r="S2006" s="145"/>
      <c r="T2006" s="146">
        <v>17520</v>
      </c>
      <c r="U2006" s="145"/>
      <c r="V2006" s="145" t="s">
        <v>2309</v>
      </c>
      <c r="W2006" s="92" t="str">
        <f t="shared" si="135"/>
        <v>Villoslada Aguado,Jose Luis Manu</v>
      </c>
      <c r="X2006" s="95">
        <f t="shared" si="136"/>
        <v>6</v>
      </c>
      <c r="Y2006" s="95">
        <f t="shared" si="137"/>
        <v>2022</v>
      </c>
      <c r="Z2006" s="153" t="s">
        <v>2238</v>
      </c>
      <c r="AA2006" t="str">
        <f>IF(Tabla1[[#This Row],[Kerma en aire acumulada (Gy)]]&gt;1,SUMIF(G:G,Tabla1[[#This Row],[SIP]],I:I)-Tabla1[[#This Row],[Kerma en aire acumulada (Gy)]],"")</f>
        <v/>
      </c>
    </row>
    <row r="2007" spans="3:27">
      <c r="C2007" s="144" t="str">
        <f t="shared" si="138"/>
        <v>Adulto</v>
      </c>
      <c r="D2007" s="145" t="s">
        <v>3182</v>
      </c>
      <c r="E2007" s="145"/>
      <c r="F2007" s="145" t="s">
        <v>3183</v>
      </c>
      <c r="G2007" s="145">
        <v>11515321</v>
      </c>
      <c r="H2007" s="146">
        <v>44732</v>
      </c>
      <c r="I2007" s="145">
        <v>8.9539999999999995E-2</v>
      </c>
      <c r="J2007" s="145"/>
      <c r="K2007" s="145"/>
      <c r="L2007" s="145"/>
      <c r="M2007" s="145"/>
      <c r="N2007" s="145"/>
      <c r="O2007" s="145"/>
      <c r="P2007" s="145"/>
      <c r="Q2007" s="145"/>
      <c r="R2007" s="145"/>
      <c r="S2007" s="145"/>
      <c r="T2007" s="146">
        <v>15183</v>
      </c>
      <c r="U2007" s="145"/>
      <c r="V2007" s="145" t="s">
        <v>2309</v>
      </c>
      <c r="W2007" s="92" t="str">
        <f t="shared" si="135"/>
        <v>Sadovskij ,Alexej</v>
      </c>
      <c r="X2007" s="95">
        <f t="shared" si="136"/>
        <v>6</v>
      </c>
      <c r="Y2007" s="95">
        <f t="shared" si="137"/>
        <v>2022</v>
      </c>
      <c r="Z2007" s="153" t="s">
        <v>2238</v>
      </c>
      <c r="AA2007" t="str">
        <f>IF(Tabla1[[#This Row],[Kerma en aire acumulada (Gy)]]&gt;1,SUMIF(G:G,Tabla1[[#This Row],[SIP]],I:I)-Tabla1[[#This Row],[Kerma en aire acumulada (Gy)]],"")</f>
        <v/>
      </c>
    </row>
    <row r="2008" spans="3:27">
      <c r="C2008" s="144" t="str">
        <f t="shared" si="138"/>
        <v>Adulto</v>
      </c>
      <c r="D2008" s="145" t="s">
        <v>962</v>
      </c>
      <c r="E2008" s="145" t="s">
        <v>3181</v>
      </c>
      <c r="F2008" s="145" t="s">
        <v>2134</v>
      </c>
      <c r="G2008" s="145">
        <v>3329698</v>
      </c>
      <c r="H2008" s="146">
        <v>44732</v>
      </c>
      <c r="I2008" s="145">
        <v>2.2190000000000001E-2</v>
      </c>
      <c r="J2008" s="145"/>
      <c r="K2008" s="145"/>
      <c r="L2008" s="145"/>
      <c r="M2008" s="145"/>
      <c r="N2008" s="145"/>
      <c r="O2008" s="145"/>
      <c r="P2008" s="145"/>
      <c r="Q2008" s="145"/>
      <c r="R2008" s="145"/>
      <c r="S2008" s="145"/>
      <c r="T2008" s="146">
        <v>15796</v>
      </c>
      <c r="U2008" s="145"/>
      <c r="V2008" s="145" t="s">
        <v>3031</v>
      </c>
      <c r="W2008" s="92" t="str">
        <f t="shared" si="135"/>
        <v>Garcia Lizcano,Benjamin</v>
      </c>
      <c r="X2008" s="95">
        <f t="shared" si="136"/>
        <v>6</v>
      </c>
      <c r="Y2008" s="95">
        <f t="shared" si="137"/>
        <v>2022</v>
      </c>
      <c r="Z2008" s="153" t="s">
        <v>2238</v>
      </c>
      <c r="AA2008" t="str">
        <f>IF(Tabla1[[#This Row],[Kerma en aire acumulada (Gy)]]&gt;1,SUMIF(G:G,Tabla1[[#This Row],[SIP]],I:I)-Tabla1[[#This Row],[Kerma en aire acumulada (Gy)]],"")</f>
        <v/>
      </c>
    </row>
    <row r="2009" spans="3:27">
      <c r="C2009" s="144" t="str">
        <f t="shared" si="138"/>
        <v>Adulto</v>
      </c>
      <c r="D2009" s="145" t="s">
        <v>3180</v>
      </c>
      <c r="E2009" s="145" t="s">
        <v>339</v>
      </c>
      <c r="F2009" s="145" t="s">
        <v>88</v>
      </c>
      <c r="G2009" s="145">
        <v>2353292</v>
      </c>
      <c r="H2009" s="146">
        <v>44732</v>
      </c>
      <c r="I2009" s="145">
        <v>0.13372999999999999</v>
      </c>
      <c r="J2009" s="145"/>
      <c r="K2009" s="145"/>
      <c r="L2009" s="145"/>
      <c r="M2009" s="145"/>
      <c r="N2009" s="145"/>
      <c r="O2009" s="145"/>
      <c r="P2009" s="145"/>
      <c r="Q2009" s="145"/>
      <c r="R2009" s="145"/>
      <c r="S2009" s="145"/>
      <c r="T2009" s="146">
        <v>24032</v>
      </c>
      <c r="U2009" s="145"/>
      <c r="V2009" s="145" t="s">
        <v>2383</v>
      </c>
      <c r="W2009" s="92" t="str">
        <f t="shared" si="135"/>
        <v>Novejarque Peñarrocha,Vicente</v>
      </c>
      <c r="X2009" s="95">
        <f t="shared" si="136"/>
        <v>6</v>
      </c>
      <c r="Y2009" s="95">
        <f t="shared" si="137"/>
        <v>2022</v>
      </c>
      <c r="Z2009" s="153" t="s">
        <v>266</v>
      </c>
      <c r="AA2009" t="str">
        <f>IF(Tabla1[[#This Row],[Kerma en aire acumulada (Gy)]]&gt;1,SUMIF(G:G,Tabla1[[#This Row],[SIP]],I:I)-Tabla1[[#This Row],[Kerma en aire acumulada (Gy)]],"")</f>
        <v/>
      </c>
    </row>
    <row r="2010" spans="3:27">
      <c r="C2010" s="144" t="str">
        <f t="shared" si="138"/>
        <v>Adulto</v>
      </c>
      <c r="D2010" s="145" t="s">
        <v>145</v>
      </c>
      <c r="E2010" s="145" t="s">
        <v>3179</v>
      </c>
      <c r="F2010" s="145" t="s">
        <v>521</v>
      </c>
      <c r="G2010" s="145">
        <v>2864538</v>
      </c>
      <c r="H2010" s="146">
        <v>44732</v>
      </c>
      <c r="I2010" s="145">
        <v>0.68284</v>
      </c>
      <c r="J2010" s="145"/>
      <c r="K2010" s="145"/>
      <c r="L2010" s="145"/>
      <c r="M2010" s="145"/>
      <c r="N2010" s="145"/>
      <c r="O2010" s="145"/>
      <c r="P2010" s="145"/>
      <c r="Q2010" s="145"/>
      <c r="R2010" s="145"/>
      <c r="S2010" s="145"/>
      <c r="T2010" s="146">
        <v>17315</v>
      </c>
      <c r="U2010" s="145"/>
      <c r="V2010" s="145" t="s">
        <v>2383</v>
      </c>
      <c r="W2010" s="92" t="str">
        <f t="shared" si="135"/>
        <v>Crespo Valls,Consuelo</v>
      </c>
      <c r="X2010" s="95">
        <f t="shared" si="136"/>
        <v>6</v>
      </c>
      <c r="Y2010" s="95">
        <f t="shared" si="137"/>
        <v>2022</v>
      </c>
      <c r="Z2010" s="153" t="s">
        <v>266</v>
      </c>
      <c r="AA2010" t="str">
        <f>IF(Tabla1[[#This Row],[Kerma en aire acumulada (Gy)]]&gt;1,SUMIF(G:G,Tabla1[[#This Row],[SIP]],I:I)-Tabla1[[#This Row],[Kerma en aire acumulada (Gy)]],"")</f>
        <v/>
      </c>
    </row>
    <row r="2011" spans="3:27">
      <c r="C2011" s="144" t="str">
        <f t="shared" si="138"/>
        <v>Adulto</v>
      </c>
      <c r="D2011" s="145" t="s">
        <v>948</v>
      </c>
      <c r="E2011" s="145" t="s">
        <v>181</v>
      </c>
      <c r="F2011" s="145" t="s">
        <v>3042</v>
      </c>
      <c r="G2011" s="145">
        <v>2273469</v>
      </c>
      <c r="H2011" s="146">
        <v>44732</v>
      </c>
      <c r="I2011" s="145">
        <v>0.21690999999999999</v>
      </c>
      <c r="J2011" s="145"/>
      <c r="K2011" s="145"/>
      <c r="L2011" s="145"/>
      <c r="M2011" s="145"/>
      <c r="N2011" s="145"/>
      <c r="O2011" s="145"/>
      <c r="P2011" s="145"/>
      <c r="Q2011" s="145"/>
      <c r="R2011" s="145"/>
      <c r="S2011" s="145"/>
      <c r="T2011" s="146">
        <v>21163</v>
      </c>
      <c r="U2011" s="145"/>
      <c r="V2011" s="145" t="s">
        <v>2383</v>
      </c>
      <c r="W2011" s="92" t="str">
        <f t="shared" si="135"/>
        <v>Martinez Castillo,Maria del Carmen</v>
      </c>
      <c r="X2011" s="95">
        <f t="shared" si="136"/>
        <v>6</v>
      </c>
      <c r="Y2011" s="95">
        <f t="shared" si="137"/>
        <v>2022</v>
      </c>
      <c r="Z2011" s="153" t="s">
        <v>266</v>
      </c>
      <c r="AA2011" t="str">
        <f>IF(Tabla1[[#This Row],[Kerma en aire acumulada (Gy)]]&gt;1,SUMIF(G:G,Tabla1[[#This Row],[SIP]],I:I)-Tabla1[[#This Row],[Kerma en aire acumulada (Gy)]],"")</f>
        <v/>
      </c>
    </row>
    <row r="2012" spans="3:27">
      <c r="C2012" s="144" t="str">
        <f t="shared" si="138"/>
        <v>Adulto</v>
      </c>
      <c r="D2012" s="145" t="s">
        <v>741</v>
      </c>
      <c r="E2012" s="145" t="s">
        <v>346</v>
      </c>
      <c r="F2012" s="145" t="s">
        <v>991</v>
      </c>
      <c r="G2012" s="145">
        <v>2264410</v>
      </c>
      <c r="H2012" s="146">
        <v>44732</v>
      </c>
      <c r="I2012" s="145">
        <v>0.187</v>
      </c>
      <c r="J2012" s="145"/>
      <c r="K2012" s="145"/>
      <c r="L2012" s="145"/>
      <c r="M2012" s="145"/>
      <c r="N2012" s="145"/>
      <c r="O2012" s="145"/>
      <c r="P2012" s="145"/>
      <c r="Q2012" s="145"/>
      <c r="R2012" s="145"/>
      <c r="S2012" s="145"/>
      <c r="T2012" s="146">
        <v>15998</v>
      </c>
      <c r="U2012" s="145"/>
      <c r="V2012" s="145" t="s">
        <v>2383</v>
      </c>
      <c r="W2012" s="92" t="str">
        <f t="shared" si="135"/>
        <v>Izquierdo Fuster,Jose</v>
      </c>
      <c r="X2012" s="95">
        <f t="shared" si="136"/>
        <v>6</v>
      </c>
      <c r="Y2012" s="95">
        <f t="shared" si="137"/>
        <v>2022</v>
      </c>
      <c r="Z2012" s="153" t="s">
        <v>266</v>
      </c>
      <c r="AA2012" t="str">
        <f>IF(Tabla1[[#This Row],[Kerma en aire acumulada (Gy)]]&gt;1,SUMIF(G:G,Tabla1[[#This Row],[SIP]],I:I)-Tabla1[[#This Row],[Kerma en aire acumulada (Gy)]],"")</f>
        <v/>
      </c>
    </row>
    <row r="2013" spans="3:27">
      <c r="C2013" s="144" t="str">
        <f t="shared" si="138"/>
        <v>Adulto</v>
      </c>
      <c r="D2013" s="145" t="s">
        <v>2694</v>
      </c>
      <c r="E2013" s="145" t="s">
        <v>15</v>
      </c>
      <c r="F2013" s="145" t="s">
        <v>1055</v>
      </c>
      <c r="G2013" s="145">
        <v>20377731</v>
      </c>
      <c r="H2013" s="146">
        <v>44732</v>
      </c>
      <c r="I2013" s="145">
        <v>0.11058</v>
      </c>
      <c r="J2013" s="145"/>
      <c r="K2013" s="145"/>
      <c r="L2013" s="145"/>
      <c r="M2013" s="145"/>
      <c r="N2013" s="145"/>
      <c r="O2013" s="145"/>
      <c r="P2013" s="145"/>
      <c r="Q2013" s="145"/>
      <c r="R2013" s="145"/>
      <c r="S2013" s="145"/>
      <c r="T2013" s="146">
        <v>18722</v>
      </c>
      <c r="U2013" s="145"/>
      <c r="V2013" s="145" t="s">
        <v>2383</v>
      </c>
      <c r="W2013" s="92" t="str">
        <f t="shared" si="135"/>
        <v>Espejo Moreno,Gloria</v>
      </c>
      <c r="X2013" s="95">
        <f t="shared" si="136"/>
        <v>6</v>
      </c>
      <c r="Y2013" s="95">
        <f t="shared" si="137"/>
        <v>2022</v>
      </c>
      <c r="Z2013" s="153" t="s">
        <v>266</v>
      </c>
      <c r="AA2013" t="str">
        <f>IF(Tabla1[[#This Row],[Kerma en aire acumulada (Gy)]]&gt;1,SUMIF(G:G,Tabla1[[#This Row],[SIP]],I:I)-Tabla1[[#This Row],[Kerma en aire acumulada (Gy)]],"")</f>
        <v/>
      </c>
    </row>
    <row r="2014" spans="3:27">
      <c r="C2014" s="144" t="str">
        <f t="shared" si="138"/>
        <v>Adulto</v>
      </c>
      <c r="D2014" s="145" t="s">
        <v>668</v>
      </c>
      <c r="E2014" s="145" t="s">
        <v>3178</v>
      </c>
      <c r="F2014" s="145" t="s">
        <v>20</v>
      </c>
      <c r="G2014" s="145">
        <v>2819933</v>
      </c>
      <c r="H2014" s="146">
        <v>44732</v>
      </c>
      <c r="I2014" s="145">
        <v>0.14721000000000001</v>
      </c>
      <c r="J2014" s="145"/>
      <c r="K2014" s="145"/>
      <c r="L2014" s="145"/>
      <c r="M2014" s="145"/>
      <c r="N2014" s="145"/>
      <c r="O2014" s="145"/>
      <c r="P2014" s="145"/>
      <c r="Q2014" s="145"/>
      <c r="R2014" s="145"/>
      <c r="S2014" s="145"/>
      <c r="T2014" s="146">
        <v>22684</v>
      </c>
      <c r="U2014" s="145"/>
      <c r="V2014" s="145" t="s">
        <v>2383</v>
      </c>
      <c r="W2014" s="92" t="str">
        <f t="shared" si="135"/>
        <v>Salcedo Escobar,Antonio</v>
      </c>
      <c r="X2014" s="95">
        <f t="shared" si="136"/>
        <v>6</v>
      </c>
      <c r="Y2014" s="95">
        <f t="shared" si="137"/>
        <v>2022</v>
      </c>
      <c r="Z2014" s="153" t="s">
        <v>266</v>
      </c>
      <c r="AA2014" t="str">
        <f>IF(Tabla1[[#This Row],[Kerma en aire acumulada (Gy)]]&gt;1,SUMIF(G:G,Tabla1[[#This Row],[SIP]],I:I)-Tabla1[[#This Row],[Kerma en aire acumulada (Gy)]],"")</f>
        <v/>
      </c>
    </row>
    <row r="2015" spans="3:27">
      <c r="C2015" s="144" t="str">
        <f t="shared" si="138"/>
        <v>Adulto</v>
      </c>
      <c r="D2015" s="145" t="s">
        <v>1003</v>
      </c>
      <c r="E2015" s="145" t="s">
        <v>1720</v>
      </c>
      <c r="F2015" s="145" t="s">
        <v>991</v>
      </c>
      <c r="G2015" s="145">
        <v>2279406</v>
      </c>
      <c r="H2015" s="146">
        <v>44732</v>
      </c>
      <c r="I2015" s="145">
        <f>959.16/1000</f>
        <v>0.95916000000000001</v>
      </c>
      <c r="J2015" s="145"/>
      <c r="K2015" s="145"/>
      <c r="L2015" s="145"/>
      <c r="M2015" s="145"/>
      <c r="N2015" s="145"/>
      <c r="O2015" s="145"/>
      <c r="P2015" s="145"/>
      <c r="Q2015" s="145"/>
      <c r="R2015" s="145"/>
      <c r="S2015" s="145"/>
      <c r="T2015" s="146">
        <v>19706</v>
      </c>
      <c r="U2015" s="145"/>
      <c r="V2015" s="145" t="s">
        <v>2383</v>
      </c>
      <c r="W2015" s="92" t="str">
        <f t="shared" si="135"/>
        <v>Romero Coronado,Jose</v>
      </c>
      <c r="X2015" s="95">
        <f t="shared" si="136"/>
        <v>6</v>
      </c>
      <c r="Y2015" s="95">
        <f t="shared" si="137"/>
        <v>2022</v>
      </c>
      <c r="Z2015" s="153" t="s">
        <v>266</v>
      </c>
      <c r="AA2015" t="str">
        <f>IF(Tabla1[[#This Row],[Kerma en aire acumulada (Gy)]]&gt;1,SUMIF(G:G,Tabla1[[#This Row],[SIP]],I:I)-Tabla1[[#This Row],[Kerma en aire acumulada (Gy)]],"")</f>
        <v/>
      </c>
    </row>
    <row r="2016" spans="3:27">
      <c r="C2016" s="144" t="str">
        <f t="shared" si="138"/>
        <v>Adulto</v>
      </c>
      <c r="D2016" s="145" t="s">
        <v>1003</v>
      </c>
      <c r="E2016" s="145" t="s">
        <v>2640</v>
      </c>
      <c r="F2016" s="145" t="s">
        <v>83</v>
      </c>
      <c r="G2016" s="145">
        <v>2269214</v>
      </c>
      <c r="H2016" s="146">
        <v>44732</v>
      </c>
      <c r="I2016" s="145">
        <v>0.28758</v>
      </c>
      <c r="J2016" s="145"/>
      <c r="K2016" s="145"/>
      <c r="L2016" s="145"/>
      <c r="M2016" s="145"/>
      <c r="N2016" s="145"/>
      <c r="O2016" s="145"/>
      <c r="P2016" s="145"/>
      <c r="Q2016" s="145"/>
      <c r="R2016" s="145"/>
      <c r="S2016" s="145"/>
      <c r="T2016" s="146">
        <v>19050</v>
      </c>
      <c r="U2016" s="145"/>
      <c r="V2016" s="145" t="s">
        <v>2383</v>
      </c>
      <c r="W2016" s="92" t="str">
        <f t="shared" si="135"/>
        <v>Romero Mejia,Francisco</v>
      </c>
      <c r="X2016" s="95">
        <f t="shared" si="136"/>
        <v>6</v>
      </c>
      <c r="Y2016" s="95">
        <f t="shared" si="137"/>
        <v>2022</v>
      </c>
      <c r="Z2016" s="153" t="s">
        <v>266</v>
      </c>
      <c r="AA2016" t="str">
        <f>IF(Tabla1[[#This Row],[Kerma en aire acumulada (Gy)]]&gt;1,SUMIF(G:G,Tabla1[[#This Row],[SIP]],I:I)-Tabla1[[#This Row],[Kerma en aire acumulada (Gy)]],"")</f>
        <v/>
      </c>
    </row>
    <row r="2017" spans="3:27">
      <c r="C2017" s="144" t="str">
        <f t="shared" si="138"/>
        <v>Adulto</v>
      </c>
      <c r="D2017" s="145" t="s">
        <v>917</v>
      </c>
      <c r="E2017" s="145" t="s">
        <v>1587</v>
      </c>
      <c r="F2017" s="145" t="s">
        <v>170</v>
      </c>
      <c r="G2017" s="145">
        <v>4840175</v>
      </c>
      <c r="H2017" s="146">
        <v>44732</v>
      </c>
      <c r="I2017" s="145">
        <v>0.16569999999999999</v>
      </c>
      <c r="J2017" s="145"/>
      <c r="K2017" s="145"/>
      <c r="L2017" s="145"/>
      <c r="M2017" s="145"/>
      <c r="N2017" s="145"/>
      <c r="O2017" s="145"/>
      <c r="P2017" s="145"/>
      <c r="Q2017" s="145"/>
      <c r="R2017" s="145"/>
      <c r="S2017" s="145"/>
      <c r="T2017" s="146">
        <v>17356</v>
      </c>
      <c r="U2017" s="145"/>
      <c r="V2017" s="145" t="s">
        <v>2383</v>
      </c>
      <c r="W2017" s="92" t="str">
        <f t="shared" si="135"/>
        <v>Carmona Jimenez,Diego</v>
      </c>
      <c r="X2017" s="95">
        <f t="shared" si="136"/>
        <v>6</v>
      </c>
      <c r="Y2017" s="95">
        <f t="shared" si="137"/>
        <v>2022</v>
      </c>
      <c r="Z2017" s="153" t="s">
        <v>266</v>
      </c>
      <c r="AA2017" t="str">
        <f>IF(Tabla1[[#This Row],[Kerma en aire acumulada (Gy)]]&gt;1,SUMIF(G:G,Tabla1[[#This Row],[SIP]],I:I)-Tabla1[[#This Row],[Kerma en aire acumulada (Gy)]],"")</f>
        <v/>
      </c>
    </row>
    <row r="2018" spans="3:27">
      <c r="C2018" s="144" t="str">
        <f t="shared" si="138"/>
        <v>Adulto</v>
      </c>
      <c r="D2018" s="145" t="s">
        <v>2004</v>
      </c>
      <c r="E2018" s="145" t="s">
        <v>2289</v>
      </c>
      <c r="F2018" s="145" t="s">
        <v>3177</v>
      </c>
      <c r="G2018" s="145">
        <v>4703292</v>
      </c>
      <c r="H2018" s="146">
        <v>44732</v>
      </c>
      <c r="I2018" s="145">
        <v>0.61623000000000006</v>
      </c>
      <c r="J2018" s="145"/>
      <c r="K2018" s="145"/>
      <c r="L2018" s="145"/>
      <c r="M2018" s="145"/>
      <c r="N2018" s="145"/>
      <c r="O2018" s="145"/>
      <c r="P2018" s="145"/>
      <c r="Q2018" s="145"/>
      <c r="R2018" s="145"/>
      <c r="S2018" s="145"/>
      <c r="T2018" s="146">
        <v>22140</v>
      </c>
      <c r="U2018" s="145"/>
      <c r="V2018" s="145" t="s">
        <v>260</v>
      </c>
      <c r="W2018" s="92" t="str">
        <f t="shared" si="135"/>
        <v>Moncho Mezquida,Francisco Salva</v>
      </c>
      <c r="X2018" s="95">
        <f t="shared" si="136"/>
        <v>6</v>
      </c>
      <c r="Y2018" s="95">
        <f t="shared" si="137"/>
        <v>2022</v>
      </c>
      <c r="Z2018" s="153" t="s">
        <v>265</v>
      </c>
      <c r="AA2018" t="str">
        <f>IF(Tabla1[[#This Row],[Kerma en aire acumulada (Gy)]]&gt;1,SUMIF(G:G,Tabla1[[#This Row],[SIP]],I:I)-Tabla1[[#This Row],[Kerma en aire acumulada (Gy)]],"")</f>
        <v/>
      </c>
    </row>
    <row r="2019" spans="3:27">
      <c r="C2019" s="144" t="str">
        <f t="shared" si="138"/>
        <v>Adulto</v>
      </c>
      <c r="D2019" s="145" t="s">
        <v>2221</v>
      </c>
      <c r="E2019" s="145" t="s">
        <v>694</v>
      </c>
      <c r="F2019" s="145" t="s">
        <v>798</v>
      </c>
      <c r="G2019" s="145">
        <v>336145</v>
      </c>
      <c r="H2019" s="146">
        <v>44732</v>
      </c>
      <c r="I2019" s="145">
        <v>5.6329999999999998E-2</v>
      </c>
      <c r="J2019" s="145"/>
      <c r="K2019" s="145"/>
      <c r="L2019" s="145"/>
      <c r="M2019" s="145"/>
      <c r="N2019" s="145"/>
      <c r="O2019" s="145"/>
      <c r="P2019" s="145"/>
      <c r="Q2019" s="145"/>
      <c r="R2019" s="145"/>
      <c r="S2019" s="145"/>
      <c r="T2019" s="146">
        <v>16311</v>
      </c>
      <c r="U2019" s="145"/>
      <c r="V2019" s="145" t="s">
        <v>1086</v>
      </c>
      <c r="W2019" s="92" t="str">
        <f t="shared" si="135"/>
        <v>Amer Llopis,Ana</v>
      </c>
      <c r="X2019" s="95">
        <f t="shared" si="136"/>
        <v>6</v>
      </c>
      <c r="Y2019" s="95">
        <f t="shared" si="137"/>
        <v>2022</v>
      </c>
      <c r="Z2019" s="153" t="s">
        <v>265</v>
      </c>
      <c r="AA2019" t="str">
        <f>IF(Tabla1[[#This Row],[Kerma en aire acumulada (Gy)]]&gt;1,SUMIF(G:G,Tabla1[[#This Row],[SIP]],I:I)-Tabla1[[#This Row],[Kerma en aire acumulada (Gy)]],"")</f>
        <v/>
      </c>
    </row>
    <row r="2020" spans="3:27">
      <c r="C2020" s="144" t="str">
        <f t="shared" si="138"/>
        <v>Adulto</v>
      </c>
      <c r="D2020" s="145" t="s">
        <v>772</v>
      </c>
      <c r="E2020" s="145" t="s">
        <v>962</v>
      </c>
      <c r="F2020" s="145" t="s">
        <v>322</v>
      </c>
      <c r="G2020" s="145">
        <v>3380340</v>
      </c>
      <c r="H2020" s="146">
        <v>44732</v>
      </c>
      <c r="I2020" s="145">
        <v>7.45E-3</v>
      </c>
      <c r="J2020" s="145"/>
      <c r="K2020" s="145"/>
      <c r="L2020" s="145"/>
      <c r="M2020" s="145"/>
      <c r="N2020" s="145"/>
      <c r="O2020" s="145"/>
      <c r="P2020" s="145"/>
      <c r="Q2020" s="145"/>
      <c r="R2020" s="145"/>
      <c r="S2020" s="145"/>
      <c r="T2020" s="146">
        <v>14258</v>
      </c>
      <c r="U2020" s="145"/>
      <c r="V2020" s="145" t="s">
        <v>1284</v>
      </c>
      <c r="W2020" s="92" t="str">
        <f t="shared" si="135"/>
        <v>Sanchez Garcia,Juana</v>
      </c>
      <c r="X2020" s="95">
        <f t="shared" si="136"/>
        <v>6</v>
      </c>
      <c r="Y2020" s="95">
        <f t="shared" si="137"/>
        <v>2022</v>
      </c>
      <c r="Z2020" s="153" t="s">
        <v>265</v>
      </c>
      <c r="AA2020" t="str">
        <f>IF(Tabla1[[#This Row],[Kerma en aire acumulada (Gy)]]&gt;1,SUMIF(G:G,Tabla1[[#This Row],[SIP]],I:I)-Tabla1[[#This Row],[Kerma en aire acumulada (Gy)]],"")</f>
        <v/>
      </c>
    </row>
    <row r="2021" spans="3:27">
      <c r="C2021" s="144" t="str">
        <f t="shared" si="138"/>
        <v>Adulto</v>
      </c>
      <c r="D2021" s="145" t="s">
        <v>2308</v>
      </c>
      <c r="E2021" s="145" t="s">
        <v>634</v>
      </c>
      <c r="F2021" s="145" t="s">
        <v>1192</v>
      </c>
      <c r="G2021" s="145">
        <v>3305652</v>
      </c>
      <c r="H2021" s="146">
        <v>44732</v>
      </c>
      <c r="I2021" s="145">
        <v>6.8930000000000005E-2</v>
      </c>
      <c r="J2021" s="145"/>
      <c r="K2021" s="145"/>
      <c r="L2021" s="145"/>
      <c r="M2021" s="145"/>
      <c r="N2021" s="145"/>
      <c r="O2021" s="145"/>
      <c r="P2021" s="145"/>
      <c r="Q2021" s="145"/>
      <c r="R2021" s="145"/>
      <c r="S2021" s="145"/>
      <c r="T2021" s="146">
        <v>30685</v>
      </c>
      <c r="U2021" s="145"/>
      <c r="V2021" s="145" t="s">
        <v>2995</v>
      </c>
      <c r="W2021" s="92" t="str">
        <f t="shared" si="135"/>
        <v>Rozalen Gil,M Teresa</v>
      </c>
      <c r="X2021" s="95">
        <f t="shared" si="136"/>
        <v>6</v>
      </c>
      <c r="Y2021" s="95">
        <f t="shared" si="137"/>
        <v>2022</v>
      </c>
      <c r="Z2021" s="153" t="s">
        <v>265</v>
      </c>
      <c r="AA2021" t="str">
        <f>IF(Tabla1[[#This Row],[Kerma en aire acumulada (Gy)]]&gt;1,SUMIF(G:G,Tabla1[[#This Row],[SIP]],I:I)-Tabla1[[#This Row],[Kerma en aire acumulada (Gy)]],"")</f>
        <v/>
      </c>
    </row>
    <row r="2022" spans="3:27">
      <c r="C2022" s="144" t="str">
        <f t="shared" si="138"/>
        <v>Adulto</v>
      </c>
      <c r="D2022" s="145" t="s">
        <v>1227</v>
      </c>
      <c r="E2022" s="145" t="s">
        <v>1662</v>
      </c>
      <c r="F2022" s="145" t="s">
        <v>131</v>
      </c>
      <c r="G2022" s="145">
        <v>114223</v>
      </c>
      <c r="H2022" s="146">
        <v>44732</v>
      </c>
      <c r="I2022" s="145">
        <f>330.82/1000</f>
        <v>0.33082</v>
      </c>
      <c r="J2022" s="145"/>
      <c r="K2022" s="145"/>
      <c r="L2022" s="145"/>
      <c r="M2022" s="145"/>
      <c r="N2022" s="145"/>
      <c r="O2022" s="145"/>
      <c r="P2022" s="145"/>
      <c r="Q2022" s="145"/>
      <c r="R2022" s="145"/>
      <c r="S2022" s="145"/>
      <c r="T2022" s="146">
        <v>13941</v>
      </c>
      <c r="U2022" s="145"/>
      <c r="V2022" s="145" t="s">
        <v>1711</v>
      </c>
      <c r="W2022" s="92" t="str">
        <f t="shared" si="135"/>
        <v>Galvez Vazquez,Salvador</v>
      </c>
      <c r="X2022" s="95">
        <f t="shared" si="136"/>
        <v>6</v>
      </c>
      <c r="Y2022" s="95">
        <f t="shared" si="137"/>
        <v>2022</v>
      </c>
      <c r="Z2022" s="153" t="s">
        <v>265</v>
      </c>
      <c r="AA2022" t="str">
        <f>IF(Tabla1[[#This Row],[Kerma en aire acumulada (Gy)]]&gt;1,SUMIF(G:G,Tabla1[[#This Row],[SIP]],I:I)-Tabla1[[#This Row],[Kerma en aire acumulada (Gy)]],"")</f>
        <v/>
      </c>
    </row>
    <row r="2023" spans="3:27">
      <c r="C2023" s="144" t="str">
        <f t="shared" si="138"/>
        <v>Adulto</v>
      </c>
      <c r="D2023" s="145" t="s">
        <v>946</v>
      </c>
      <c r="E2023" s="145" t="s">
        <v>77</v>
      </c>
      <c r="F2023" s="145" t="s">
        <v>71</v>
      </c>
      <c r="G2023" s="145">
        <v>1857136</v>
      </c>
      <c r="H2023" s="146">
        <v>44733</v>
      </c>
      <c r="I2023" s="145" t="s">
        <v>3176</v>
      </c>
      <c r="J2023" s="145"/>
      <c r="K2023" s="145"/>
      <c r="L2023" s="145"/>
      <c r="M2023" s="145"/>
      <c r="N2023" s="145"/>
      <c r="O2023" s="145"/>
      <c r="P2023" s="145"/>
      <c r="Q2023" s="145"/>
      <c r="R2023" s="145"/>
      <c r="S2023" s="145"/>
      <c r="T2023" s="146">
        <v>19897</v>
      </c>
      <c r="U2023" s="145"/>
      <c r="V2023" s="145" t="s">
        <v>2383</v>
      </c>
      <c r="W2023" s="92" t="str">
        <f t="shared" si="135"/>
        <v>Aranda Torres,Rafael</v>
      </c>
      <c r="X2023" s="95">
        <f t="shared" si="136"/>
        <v>6</v>
      </c>
      <c r="Y2023" s="95">
        <f t="shared" si="137"/>
        <v>2022</v>
      </c>
      <c r="Z2023" s="153" t="s">
        <v>266</v>
      </c>
      <c r="AA2023" t="e">
        <f>IF(Tabla1[[#This Row],[Kerma en aire acumulada (Gy)]]&gt;1,SUMIF(G:G,Tabla1[[#This Row],[SIP]],I:I)-Tabla1[[#This Row],[Kerma en aire acumulada (Gy)]],"")</f>
        <v>#VALUE!</v>
      </c>
    </row>
    <row r="2024" spans="3:27">
      <c r="C2024" s="144" t="str">
        <f t="shared" si="138"/>
        <v>Adulto</v>
      </c>
      <c r="D2024" s="145" t="s">
        <v>3193</v>
      </c>
      <c r="E2024" s="145" t="s">
        <v>176</v>
      </c>
      <c r="F2024" s="145" t="s">
        <v>88</v>
      </c>
      <c r="G2024" s="145">
        <v>2979491</v>
      </c>
      <c r="H2024" s="146">
        <v>44733</v>
      </c>
      <c r="I2024" s="145">
        <v>0.42360999999999999</v>
      </c>
      <c r="J2024" s="145"/>
      <c r="K2024" s="145"/>
      <c r="L2024" s="145"/>
      <c r="M2024" s="145"/>
      <c r="N2024" s="145"/>
      <c r="O2024" s="145"/>
      <c r="P2024" s="145"/>
      <c r="Q2024" s="145"/>
      <c r="R2024" s="145"/>
      <c r="S2024" s="145"/>
      <c r="T2024" s="146">
        <v>27159</v>
      </c>
      <c r="U2024" s="145"/>
      <c r="V2024" s="145" t="s">
        <v>2383</v>
      </c>
      <c r="W2024" s="92" t="str">
        <f t="shared" si="135"/>
        <v>Cerrillo Campos,Vicente</v>
      </c>
      <c r="X2024" s="95">
        <f t="shared" si="136"/>
        <v>6</v>
      </c>
      <c r="Y2024" s="95">
        <f t="shared" si="137"/>
        <v>2022</v>
      </c>
      <c r="Z2024" s="153" t="s">
        <v>266</v>
      </c>
      <c r="AA2024" t="str">
        <f>IF(Tabla1[[#This Row],[Kerma en aire acumulada (Gy)]]&gt;1,SUMIF(G:G,Tabla1[[#This Row],[SIP]],I:I)-Tabla1[[#This Row],[Kerma en aire acumulada (Gy)]],"")</f>
        <v/>
      </c>
    </row>
    <row r="2025" spans="3:27">
      <c r="C2025" s="144" t="str">
        <f t="shared" si="138"/>
        <v>Adulto</v>
      </c>
      <c r="D2025" s="145" t="s">
        <v>3192</v>
      </c>
      <c r="E2025" s="145" t="s">
        <v>1180</v>
      </c>
      <c r="F2025" s="145" t="s">
        <v>2315</v>
      </c>
      <c r="G2025" s="145">
        <v>2636661</v>
      </c>
      <c r="H2025" s="146">
        <v>44733</v>
      </c>
      <c r="I2025" s="145">
        <v>0.12598999999999999</v>
      </c>
      <c r="J2025" s="145"/>
      <c r="K2025" s="145"/>
      <c r="L2025" s="145"/>
      <c r="M2025" s="145"/>
      <c r="N2025" s="145"/>
      <c r="O2025" s="145"/>
      <c r="P2025" s="145"/>
      <c r="Q2025" s="145"/>
      <c r="R2025" s="145"/>
      <c r="S2025" s="145"/>
      <c r="T2025" s="146">
        <v>18944</v>
      </c>
      <c r="U2025" s="145"/>
      <c r="V2025" s="145" t="s">
        <v>2383</v>
      </c>
      <c r="W2025" s="92" t="str">
        <f t="shared" si="135"/>
        <v>Alonso Casado,M Dolores</v>
      </c>
      <c r="X2025" s="95">
        <f t="shared" si="136"/>
        <v>6</v>
      </c>
      <c r="Y2025" s="95">
        <f t="shared" si="137"/>
        <v>2022</v>
      </c>
      <c r="Z2025" s="153" t="s">
        <v>266</v>
      </c>
      <c r="AA2025" t="str">
        <f>IF(Tabla1[[#This Row],[Kerma en aire acumulada (Gy)]]&gt;1,SUMIF(G:G,Tabla1[[#This Row],[SIP]],I:I)-Tabla1[[#This Row],[Kerma en aire acumulada (Gy)]],"")</f>
        <v/>
      </c>
    </row>
    <row r="2026" spans="3:27">
      <c r="C2026" s="144" t="str">
        <f t="shared" si="138"/>
        <v>Adulto</v>
      </c>
      <c r="D2026" s="145" t="s">
        <v>353</v>
      </c>
      <c r="E2026" s="145" t="s">
        <v>3191</v>
      </c>
      <c r="F2026" s="145" t="s">
        <v>2315</v>
      </c>
      <c r="G2026" s="145">
        <v>3291207</v>
      </c>
      <c r="H2026" s="146">
        <v>44733</v>
      </c>
      <c r="I2026" s="145">
        <v>0.13227</v>
      </c>
      <c r="J2026" s="145"/>
      <c r="K2026" s="145"/>
      <c r="L2026" s="145"/>
      <c r="M2026" s="145"/>
      <c r="N2026" s="145"/>
      <c r="O2026" s="145"/>
      <c r="P2026" s="145"/>
      <c r="Q2026" s="145"/>
      <c r="R2026" s="145"/>
      <c r="S2026" s="145"/>
      <c r="T2026" s="146">
        <v>16991</v>
      </c>
      <c r="U2026" s="145"/>
      <c r="V2026" s="145" t="s">
        <v>2383</v>
      </c>
      <c r="W2026" s="92" t="str">
        <f t="shared" ref="W2026:W2089" si="139">CONCATENATE(D2026,$A$591,E2026,",",F2026)</f>
        <v>Muñoz Barbera,M Dolores</v>
      </c>
      <c r="X2026" s="95">
        <f t="shared" ref="X2026:X2089" si="140">MONTH(H2026)</f>
        <v>6</v>
      </c>
      <c r="Y2026" s="95">
        <f t="shared" ref="Y2026:Y2089" si="141">YEAR(H2026)</f>
        <v>2022</v>
      </c>
      <c r="Z2026" s="153" t="s">
        <v>266</v>
      </c>
      <c r="AA2026" t="str">
        <f>IF(Tabla1[[#This Row],[Kerma en aire acumulada (Gy)]]&gt;1,SUMIF(G:G,Tabla1[[#This Row],[SIP]],I:I)-Tabla1[[#This Row],[Kerma en aire acumulada (Gy)]],"")</f>
        <v/>
      </c>
    </row>
    <row r="2027" spans="3:27">
      <c r="C2027" s="144" t="str">
        <f t="shared" si="138"/>
        <v>Adulto</v>
      </c>
      <c r="D2027" s="145" t="s">
        <v>1216</v>
      </c>
      <c r="E2027" s="145" t="s">
        <v>1275</v>
      </c>
      <c r="F2027" s="145" t="s">
        <v>83</v>
      </c>
      <c r="G2027" s="145">
        <v>2398234</v>
      </c>
      <c r="H2027" s="146">
        <v>44733</v>
      </c>
      <c r="I2027" s="145">
        <f>198.35/1000</f>
        <v>0.19835</v>
      </c>
      <c r="J2027" s="145"/>
      <c r="K2027" s="145"/>
      <c r="L2027" s="145"/>
      <c r="M2027" s="145"/>
      <c r="N2027" s="145"/>
      <c r="O2027" s="145"/>
      <c r="P2027" s="145"/>
      <c r="Q2027" s="145"/>
      <c r="R2027" s="145"/>
      <c r="S2027" s="145"/>
      <c r="T2027" s="146">
        <v>15333</v>
      </c>
      <c r="U2027" s="145"/>
      <c r="V2027" s="145" t="s">
        <v>2383</v>
      </c>
      <c r="W2027" s="92" t="str">
        <f t="shared" si="139"/>
        <v>Guerra Ramirez,Francisco</v>
      </c>
      <c r="X2027" s="95">
        <f t="shared" si="140"/>
        <v>6</v>
      </c>
      <c r="Y2027" s="95">
        <f t="shared" si="141"/>
        <v>2022</v>
      </c>
      <c r="Z2027" s="153" t="s">
        <v>266</v>
      </c>
      <c r="AA2027" t="str">
        <f>IF(Tabla1[[#This Row],[Kerma en aire acumulada (Gy)]]&gt;1,SUMIF(G:G,Tabla1[[#This Row],[SIP]],I:I)-Tabla1[[#This Row],[Kerma en aire acumulada (Gy)]],"")</f>
        <v/>
      </c>
    </row>
    <row r="2028" spans="3:27">
      <c r="C2028" s="144" t="str">
        <f t="shared" si="138"/>
        <v>Adulto</v>
      </c>
      <c r="D2028" s="145" t="s">
        <v>2694</v>
      </c>
      <c r="E2028" s="145" t="s">
        <v>1837</v>
      </c>
      <c r="F2028" s="145" t="s">
        <v>20</v>
      </c>
      <c r="G2028" s="145">
        <v>3009460</v>
      </c>
      <c r="H2028" s="146">
        <v>44733</v>
      </c>
      <c r="I2028" s="145">
        <f>75.15/1000</f>
        <v>7.5150000000000008E-2</v>
      </c>
      <c r="J2028" s="145"/>
      <c r="K2028" s="145"/>
      <c r="L2028" s="145"/>
      <c r="M2028" s="145"/>
      <c r="N2028" s="145"/>
      <c r="O2028" s="145"/>
      <c r="P2028" s="145"/>
      <c r="Q2028" s="145"/>
      <c r="R2028" s="145"/>
      <c r="S2028" s="145"/>
      <c r="T2028" s="146">
        <v>16713</v>
      </c>
      <c r="U2028" s="145"/>
      <c r="V2028" s="145" t="s">
        <v>2383</v>
      </c>
      <c r="W2028" s="92" t="str">
        <f t="shared" si="139"/>
        <v>Espejo Rodriguez,Antonio</v>
      </c>
      <c r="X2028" s="95">
        <f t="shared" si="140"/>
        <v>6</v>
      </c>
      <c r="Y2028" s="95">
        <f t="shared" si="141"/>
        <v>2022</v>
      </c>
      <c r="Z2028" s="153" t="s">
        <v>266</v>
      </c>
      <c r="AA2028" t="str">
        <f>IF(Tabla1[[#This Row],[Kerma en aire acumulada (Gy)]]&gt;1,SUMIF(G:G,Tabla1[[#This Row],[SIP]],I:I)-Tabla1[[#This Row],[Kerma en aire acumulada (Gy)]],"")</f>
        <v/>
      </c>
    </row>
    <row r="2029" spans="3:27">
      <c r="C2029" s="144" t="str">
        <f t="shared" si="138"/>
        <v>Adulto</v>
      </c>
      <c r="D2029" s="145" t="s">
        <v>634</v>
      </c>
      <c r="E2029" s="145" t="s">
        <v>3037</v>
      </c>
      <c r="F2029" s="145" t="s">
        <v>1196</v>
      </c>
      <c r="G2029" s="145">
        <v>3082970</v>
      </c>
      <c r="H2029" s="146">
        <v>44733</v>
      </c>
      <c r="I2029" s="145">
        <f>86.26/1000</f>
        <v>8.6260000000000003E-2</v>
      </c>
      <c r="J2029" s="145"/>
      <c r="K2029" s="145"/>
      <c r="L2029" s="145"/>
      <c r="M2029" s="145"/>
      <c r="N2029" s="145"/>
      <c r="O2029" s="145"/>
      <c r="P2029" s="145"/>
      <c r="Q2029" s="145"/>
      <c r="R2029" s="145"/>
      <c r="S2029" s="145"/>
      <c r="T2029" s="146">
        <v>17995</v>
      </c>
      <c r="U2029" s="145"/>
      <c r="V2029" s="145" t="s">
        <v>2383</v>
      </c>
      <c r="W2029" s="92" t="str">
        <f t="shared" si="139"/>
        <v>Gil Almenar,Emilia</v>
      </c>
      <c r="X2029" s="95">
        <f t="shared" si="140"/>
        <v>6</v>
      </c>
      <c r="Y2029" s="95">
        <f t="shared" si="141"/>
        <v>2022</v>
      </c>
      <c r="Z2029" s="153" t="s">
        <v>266</v>
      </c>
      <c r="AA2029" t="str">
        <f>IF(Tabla1[[#This Row],[Kerma en aire acumulada (Gy)]]&gt;1,SUMIF(G:G,Tabla1[[#This Row],[SIP]],I:I)-Tabla1[[#This Row],[Kerma en aire acumulada (Gy)]],"")</f>
        <v/>
      </c>
    </row>
    <row r="2030" spans="3:27">
      <c r="C2030" s="144" t="str">
        <f t="shared" si="138"/>
        <v>Adulto</v>
      </c>
      <c r="D2030" s="145" t="s">
        <v>3087</v>
      </c>
      <c r="E2030" s="145" t="s">
        <v>3088</v>
      </c>
      <c r="F2030" s="145" t="s">
        <v>2028</v>
      </c>
      <c r="G2030" s="145">
        <v>2427107</v>
      </c>
      <c r="H2030" s="146">
        <v>44733</v>
      </c>
      <c r="I2030" s="145">
        <v>0.27705999999999997</v>
      </c>
      <c r="J2030" s="145"/>
      <c r="K2030" s="145"/>
      <c r="L2030" s="145"/>
      <c r="M2030" s="145"/>
      <c r="N2030" s="145"/>
      <c r="O2030" s="145"/>
      <c r="P2030" s="145"/>
      <c r="Q2030" s="145"/>
      <c r="R2030" s="145"/>
      <c r="S2030" s="145"/>
      <c r="T2030" s="146">
        <v>23591</v>
      </c>
      <c r="U2030" s="145"/>
      <c r="V2030" s="145" t="s">
        <v>2383</v>
      </c>
      <c r="W2030" s="92" t="str">
        <f t="shared" si="139"/>
        <v>Sahuquillo Roberto,M Angeles</v>
      </c>
      <c r="X2030" s="95">
        <f t="shared" si="140"/>
        <v>6</v>
      </c>
      <c r="Y2030" s="95">
        <f t="shared" si="141"/>
        <v>2022</v>
      </c>
      <c r="Z2030" s="153" t="s">
        <v>266</v>
      </c>
      <c r="AA2030" t="str">
        <f>IF(Tabla1[[#This Row],[Kerma en aire acumulada (Gy)]]&gt;1,SUMIF(G:G,Tabla1[[#This Row],[SIP]],I:I)-Tabla1[[#This Row],[Kerma en aire acumulada (Gy)]],"")</f>
        <v/>
      </c>
    </row>
    <row r="2031" spans="3:27">
      <c r="C2031" s="144" t="str">
        <f t="shared" si="138"/>
        <v>Adulto</v>
      </c>
      <c r="D2031" s="145" t="s">
        <v>1060</v>
      </c>
      <c r="E2031" s="145" t="s">
        <v>966</v>
      </c>
      <c r="F2031" s="145" t="s">
        <v>1664</v>
      </c>
      <c r="G2031" s="145">
        <v>4667635</v>
      </c>
      <c r="H2031" s="146">
        <v>44733</v>
      </c>
      <c r="I2031" s="145">
        <v>0.16728000000000001</v>
      </c>
      <c r="J2031" s="145"/>
      <c r="K2031" s="145"/>
      <c r="L2031" s="145"/>
      <c r="M2031" s="145"/>
      <c r="N2031" s="145"/>
      <c r="O2031" s="145"/>
      <c r="P2031" s="145"/>
      <c r="Q2031" s="145"/>
      <c r="R2031" s="145"/>
      <c r="S2031" s="145"/>
      <c r="T2031" s="146">
        <v>18963</v>
      </c>
      <c r="U2031" s="145"/>
      <c r="V2031" s="145" t="s">
        <v>2383</v>
      </c>
      <c r="W2031" s="92" t="str">
        <f t="shared" si="139"/>
        <v>Rubio Marco,Dolores</v>
      </c>
      <c r="X2031" s="95">
        <f t="shared" si="140"/>
        <v>6</v>
      </c>
      <c r="Y2031" s="95">
        <f t="shared" si="141"/>
        <v>2022</v>
      </c>
      <c r="Z2031" s="153" t="s">
        <v>266</v>
      </c>
      <c r="AA2031" t="str">
        <f>IF(Tabla1[[#This Row],[Kerma en aire acumulada (Gy)]]&gt;1,SUMIF(G:G,Tabla1[[#This Row],[SIP]],I:I)-Tabla1[[#This Row],[Kerma en aire acumulada (Gy)]],"")</f>
        <v/>
      </c>
    </row>
    <row r="2032" spans="3:27">
      <c r="C2032" s="144" t="str">
        <f t="shared" si="138"/>
        <v>Adulto</v>
      </c>
      <c r="D2032" s="145" t="s">
        <v>960</v>
      </c>
      <c r="E2032" s="145" t="s">
        <v>637</v>
      </c>
      <c r="F2032" s="145" t="s">
        <v>991</v>
      </c>
      <c r="G2032" s="145">
        <v>3548642</v>
      </c>
      <c r="H2032" s="146">
        <v>44733</v>
      </c>
      <c r="I2032" s="145">
        <v>9.9860000000000004E-2</v>
      </c>
      <c r="J2032" s="145"/>
      <c r="K2032" s="145"/>
      <c r="L2032" s="145"/>
      <c r="M2032" s="145"/>
      <c r="N2032" s="145"/>
      <c r="O2032" s="145"/>
      <c r="P2032" s="145"/>
      <c r="Q2032" s="145"/>
      <c r="R2032" s="145"/>
      <c r="S2032" s="145"/>
      <c r="T2032" s="146">
        <v>23372</v>
      </c>
      <c r="U2032" s="145"/>
      <c r="V2032" s="145" t="s">
        <v>2383</v>
      </c>
      <c r="W2032" s="92" t="str">
        <f t="shared" si="139"/>
        <v>Lopez Sola,Jose</v>
      </c>
      <c r="X2032" s="95">
        <f t="shared" si="140"/>
        <v>6</v>
      </c>
      <c r="Y2032" s="95">
        <f t="shared" si="141"/>
        <v>2022</v>
      </c>
      <c r="Z2032" s="153" t="s">
        <v>266</v>
      </c>
      <c r="AA2032" t="str">
        <f>IF(Tabla1[[#This Row],[Kerma en aire acumulada (Gy)]]&gt;1,SUMIF(G:G,Tabla1[[#This Row],[SIP]],I:I)-Tabla1[[#This Row],[Kerma en aire acumulada (Gy)]],"")</f>
        <v/>
      </c>
    </row>
    <row r="2033" spans="3:27">
      <c r="C2033" s="144" t="str">
        <f t="shared" si="138"/>
        <v>Adulto</v>
      </c>
      <c r="D2033" s="145" t="s">
        <v>1001</v>
      </c>
      <c r="E2033" s="145" t="s">
        <v>3189</v>
      </c>
      <c r="F2033" s="145" t="s">
        <v>3190</v>
      </c>
      <c r="G2033" s="145">
        <v>12892702</v>
      </c>
      <c r="H2033" s="146">
        <v>44733</v>
      </c>
      <c r="I2033" s="145">
        <f>711.56/1000</f>
        <v>0.71155999999999997</v>
      </c>
      <c r="J2033" s="145"/>
      <c r="K2033" s="145"/>
      <c r="L2033" s="145"/>
      <c r="M2033" s="145"/>
      <c r="N2033" s="145"/>
      <c r="O2033" s="145"/>
      <c r="P2033" s="145"/>
      <c r="Q2033" s="145"/>
      <c r="R2033" s="145"/>
      <c r="S2033" s="145"/>
      <c r="T2033" s="146">
        <v>23705</v>
      </c>
      <c r="U2033" s="145"/>
      <c r="V2033" s="145" t="s">
        <v>2383</v>
      </c>
      <c r="W2033" s="92" t="str">
        <f t="shared" si="139"/>
        <v>Perez Batista,Ramona Clotilde</v>
      </c>
      <c r="X2033" s="95">
        <f t="shared" si="140"/>
        <v>6</v>
      </c>
      <c r="Y2033" s="95">
        <f t="shared" si="141"/>
        <v>2022</v>
      </c>
      <c r="Z2033" s="153" t="s">
        <v>266</v>
      </c>
      <c r="AA2033" t="str">
        <f>IF(Tabla1[[#This Row],[Kerma en aire acumulada (Gy)]]&gt;1,SUMIF(G:G,Tabla1[[#This Row],[SIP]],I:I)-Tabla1[[#This Row],[Kerma en aire acumulada (Gy)]],"")</f>
        <v/>
      </c>
    </row>
    <row r="2034" spans="3:27">
      <c r="C2034" s="144" t="str">
        <f t="shared" si="138"/>
        <v>Adulto</v>
      </c>
      <c r="D2034" s="145" t="s">
        <v>2003</v>
      </c>
      <c r="E2034" s="145" t="s">
        <v>133</v>
      </c>
      <c r="F2034" s="145" t="s">
        <v>2348</v>
      </c>
      <c r="G2034" s="145">
        <v>2413701</v>
      </c>
      <c r="H2034" s="146">
        <v>44733</v>
      </c>
      <c r="I2034" s="145">
        <v>0.30545</v>
      </c>
      <c r="J2034" s="145"/>
      <c r="K2034" s="145"/>
      <c r="L2034" s="145"/>
      <c r="M2034" s="145"/>
      <c r="N2034" s="145"/>
      <c r="O2034" s="145"/>
      <c r="P2034" s="145"/>
      <c r="Q2034" s="145"/>
      <c r="R2034" s="145"/>
      <c r="S2034" s="145"/>
      <c r="T2034" s="146">
        <v>18152</v>
      </c>
      <c r="U2034" s="145"/>
      <c r="V2034" s="145" t="s">
        <v>2383</v>
      </c>
      <c r="W2034" s="92" t="str">
        <f t="shared" si="139"/>
        <v>Palacios Rodilla,Valentin</v>
      </c>
      <c r="X2034" s="95">
        <f t="shared" si="140"/>
        <v>6</v>
      </c>
      <c r="Y2034" s="95">
        <f t="shared" si="141"/>
        <v>2022</v>
      </c>
      <c r="Z2034" s="153" t="s">
        <v>266</v>
      </c>
      <c r="AA2034" t="str">
        <f>IF(Tabla1[[#This Row],[Kerma en aire acumulada (Gy)]]&gt;1,SUMIF(G:G,Tabla1[[#This Row],[SIP]],I:I)-Tabla1[[#This Row],[Kerma en aire acumulada (Gy)]],"")</f>
        <v/>
      </c>
    </row>
    <row r="2035" spans="3:27">
      <c r="C2035" s="144" t="str">
        <f t="shared" si="138"/>
        <v>Adulto</v>
      </c>
      <c r="D2035" s="145" t="s">
        <v>116</v>
      </c>
      <c r="E2035" s="145" t="s">
        <v>1006</v>
      </c>
      <c r="F2035" s="145" t="s">
        <v>1787</v>
      </c>
      <c r="G2035" s="145">
        <v>3093305</v>
      </c>
      <c r="H2035" s="146">
        <v>44733</v>
      </c>
      <c r="I2035" s="145">
        <v>0.80718999999999996</v>
      </c>
      <c r="J2035" s="145"/>
      <c r="K2035" s="145"/>
      <c r="L2035" s="145"/>
      <c r="M2035" s="145"/>
      <c r="N2035" s="145"/>
      <c r="O2035" s="145"/>
      <c r="P2035" s="145"/>
      <c r="Q2035" s="145"/>
      <c r="R2035" s="145"/>
      <c r="S2035" s="145"/>
      <c r="T2035" s="146">
        <v>30820</v>
      </c>
      <c r="U2035" s="145"/>
      <c r="V2035" s="145" t="s">
        <v>3188</v>
      </c>
      <c r="W2035" s="92" t="str">
        <f t="shared" si="139"/>
        <v>Serrano Victoria,Laura</v>
      </c>
      <c r="X2035" s="95">
        <f t="shared" si="140"/>
        <v>6</v>
      </c>
      <c r="Y2035" s="95">
        <f t="shared" si="141"/>
        <v>2022</v>
      </c>
      <c r="Z2035" s="153" t="s">
        <v>265</v>
      </c>
      <c r="AA2035" t="str">
        <f>IF(Tabla1[[#This Row],[Kerma en aire acumulada (Gy)]]&gt;1,SUMIF(G:G,Tabla1[[#This Row],[SIP]],I:I)-Tabla1[[#This Row],[Kerma en aire acumulada (Gy)]],"")</f>
        <v/>
      </c>
    </row>
    <row r="2036" spans="3:27">
      <c r="C2036" s="144" t="str">
        <f t="shared" si="138"/>
        <v>Adulto</v>
      </c>
      <c r="D2036" s="145" t="s">
        <v>799</v>
      </c>
      <c r="E2036" s="145" t="s">
        <v>3187</v>
      </c>
      <c r="F2036" s="145" t="s">
        <v>106</v>
      </c>
      <c r="G2036" s="145">
        <v>2409111</v>
      </c>
      <c r="H2036" s="146">
        <v>44733</v>
      </c>
      <c r="I2036" s="145" t="s">
        <v>3176</v>
      </c>
      <c r="J2036" s="145"/>
      <c r="K2036" s="145"/>
      <c r="L2036" s="145"/>
      <c r="M2036" s="145"/>
      <c r="N2036" s="145"/>
      <c r="O2036" s="145"/>
      <c r="P2036" s="145"/>
      <c r="Q2036" s="145"/>
      <c r="R2036" s="145"/>
      <c r="S2036" s="145"/>
      <c r="T2036" s="146">
        <v>21132</v>
      </c>
      <c r="U2036" s="145"/>
      <c r="V2036" s="145" t="s">
        <v>1742</v>
      </c>
      <c r="W2036" s="92" t="str">
        <f t="shared" si="139"/>
        <v>Lacruz Hermoso,Carmen</v>
      </c>
      <c r="X2036" s="95">
        <f t="shared" si="140"/>
        <v>6</v>
      </c>
      <c r="Y2036" s="95">
        <f t="shared" si="141"/>
        <v>2022</v>
      </c>
      <c r="Z2036" s="153" t="s">
        <v>265</v>
      </c>
      <c r="AA2036" t="e">
        <f>IF(Tabla1[[#This Row],[Kerma en aire acumulada (Gy)]]&gt;1,SUMIF(G:G,Tabla1[[#This Row],[SIP]],I:I)-Tabla1[[#This Row],[Kerma en aire acumulada (Gy)]],"")</f>
        <v>#VALUE!</v>
      </c>
    </row>
    <row r="2037" spans="3:27">
      <c r="C2037" s="144" t="str">
        <f t="shared" si="138"/>
        <v>Adulto</v>
      </c>
      <c r="D2037" s="145" t="s">
        <v>2613</v>
      </c>
      <c r="E2037" s="145" t="s">
        <v>3186</v>
      </c>
      <c r="F2037" s="145" t="s">
        <v>3070</v>
      </c>
      <c r="G2037" s="145">
        <v>4477449</v>
      </c>
      <c r="H2037" s="146">
        <v>44733</v>
      </c>
      <c r="I2037" s="145">
        <f>144.32/1000</f>
        <v>0.14432</v>
      </c>
      <c r="J2037" s="145"/>
      <c r="K2037" s="145"/>
      <c r="L2037" s="145"/>
      <c r="M2037" s="145"/>
      <c r="N2037" s="145"/>
      <c r="O2037" s="145"/>
      <c r="P2037" s="145"/>
      <c r="Q2037" s="145"/>
      <c r="R2037" s="145"/>
      <c r="S2037" s="145"/>
      <c r="T2037" s="146">
        <v>20183</v>
      </c>
      <c r="U2037" s="145"/>
      <c r="V2037" s="145" t="s">
        <v>2995</v>
      </c>
      <c r="W2037" s="92" t="str">
        <f t="shared" si="139"/>
        <v>Andujar Vivancos,Angeles</v>
      </c>
      <c r="X2037" s="95">
        <f t="shared" si="140"/>
        <v>6</v>
      </c>
      <c r="Y2037" s="95">
        <f t="shared" si="141"/>
        <v>2022</v>
      </c>
      <c r="Z2037" s="153" t="s">
        <v>265</v>
      </c>
      <c r="AA2037" t="str">
        <f>IF(Tabla1[[#This Row],[Kerma en aire acumulada (Gy)]]&gt;1,SUMIF(G:G,Tabla1[[#This Row],[SIP]],I:I)-Tabla1[[#This Row],[Kerma en aire acumulada (Gy)]],"")</f>
        <v/>
      </c>
    </row>
    <row r="2038" spans="3:27">
      <c r="C2038" s="144" t="str">
        <f t="shared" si="138"/>
        <v>Adulto</v>
      </c>
      <c r="D2038" s="145" t="s">
        <v>1908</v>
      </c>
      <c r="E2038" s="145" t="s">
        <v>1308</v>
      </c>
      <c r="F2038" s="145" t="s">
        <v>546</v>
      </c>
      <c r="G2038" s="145">
        <v>2826611</v>
      </c>
      <c r="H2038" s="146">
        <v>44733</v>
      </c>
      <c r="I2038" s="145">
        <f>186.13/1000</f>
        <v>0.18612999999999999</v>
      </c>
      <c r="J2038" s="145"/>
      <c r="K2038" s="145"/>
      <c r="L2038" s="145"/>
      <c r="M2038" s="145"/>
      <c r="N2038" s="145"/>
      <c r="O2038" s="145"/>
      <c r="P2038" s="145"/>
      <c r="Q2038" s="145"/>
      <c r="R2038" s="145"/>
      <c r="S2038" s="145"/>
      <c r="T2038" s="146">
        <v>19591</v>
      </c>
      <c r="U2038" s="145"/>
      <c r="V2038" s="145" t="s">
        <v>1246</v>
      </c>
      <c r="W2038" s="92" t="str">
        <f t="shared" si="139"/>
        <v>Merino Segovia,Luis</v>
      </c>
      <c r="X2038" s="95">
        <f t="shared" si="140"/>
        <v>6</v>
      </c>
      <c r="Y2038" s="95">
        <f t="shared" si="141"/>
        <v>2022</v>
      </c>
      <c r="Z2038" s="153" t="s">
        <v>265</v>
      </c>
      <c r="AA2038" t="str">
        <f>IF(Tabla1[[#This Row],[Kerma en aire acumulada (Gy)]]&gt;1,SUMIF(G:G,Tabla1[[#This Row],[SIP]],I:I)-Tabla1[[#This Row],[Kerma en aire acumulada (Gy)]],"")</f>
        <v/>
      </c>
    </row>
    <row r="2039" spans="3:27">
      <c r="C2039" s="144" t="str">
        <f t="shared" si="138"/>
        <v>Pediátrico</v>
      </c>
      <c r="D2039" s="95" t="s">
        <v>3204</v>
      </c>
      <c r="E2039" s="95" t="s">
        <v>3205</v>
      </c>
      <c r="F2039" s="95" t="s">
        <v>1155</v>
      </c>
      <c r="G2039" s="95">
        <v>11878110</v>
      </c>
      <c r="H2039" s="146">
        <v>44734</v>
      </c>
      <c r="I2039" s="95">
        <v>1.4999999999999999E-4</v>
      </c>
      <c r="J2039" s="95"/>
      <c r="K2039" s="95"/>
      <c r="L2039" s="95"/>
      <c r="M2039" s="95"/>
      <c r="N2039" s="95"/>
      <c r="O2039" s="95"/>
      <c r="P2039" s="95"/>
      <c r="Q2039" s="95"/>
      <c r="R2039" s="95"/>
      <c r="S2039" s="95"/>
      <c r="T2039" s="96">
        <v>42837</v>
      </c>
      <c r="U2039" s="95"/>
      <c r="V2039" s="95" t="s">
        <v>3077</v>
      </c>
      <c r="W2039" s="92" t="str">
        <f t="shared" si="139"/>
        <v>Salinas Mellado,Maria</v>
      </c>
      <c r="X2039" s="95">
        <f t="shared" si="140"/>
        <v>6</v>
      </c>
      <c r="Y2039" s="95">
        <f t="shared" si="141"/>
        <v>2022</v>
      </c>
      <c r="Z2039" s="97" t="s">
        <v>2238</v>
      </c>
      <c r="AA2039" t="str">
        <f>IF(Tabla1[[#This Row],[Kerma en aire acumulada (Gy)]]&gt;1,SUMIF(G:G,Tabla1[[#This Row],[SIP]],I:I)-Tabla1[[#This Row],[Kerma en aire acumulada (Gy)]],"")</f>
        <v/>
      </c>
    </row>
    <row r="2040" spans="3:27">
      <c r="C2040" s="144" t="str">
        <f t="shared" si="138"/>
        <v>Adulto</v>
      </c>
      <c r="D2040" s="95" t="s">
        <v>856</v>
      </c>
      <c r="E2040" s="95" t="s">
        <v>1930</v>
      </c>
      <c r="F2040" s="95" t="s">
        <v>106</v>
      </c>
      <c r="G2040" s="95">
        <v>3676151</v>
      </c>
      <c r="H2040" s="146">
        <v>44734</v>
      </c>
      <c r="I2040" s="95">
        <v>2.0299999999999999E-2</v>
      </c>
      <c r="J2040" s="95"/>
      <c r="K2040" s="95"/>
      <c r="L2040" s="95"/>
      <c r="M2040" s="95"/>
      <c r="N2040" s="95"/>
      <c r="O2040" s="95"/>
      <c r="P2040" s="95"/>
      <c r="Q2040" s="95"/>
      <c r="R2040" s="95"/>
      <c r="S2040" s="95"/>
      <c r="T2040" s="96">
        <v>15765</v>
      </c>
      <c r="U2040" s="95"/>
      <c r="V2040" s="95" t="s">
        <v>2962</v>
      </c>
      <c r="W2040" s="92" t="str">
        <f t="shared" si="139"/>
        <v>Gomez Medina,Carmen</v>
      </c>
      <c r="X2040" s="95">
        <f t="shared" si="140"/>
        <v>6</v>
      </c>
      <c r="Y2040" s="95">
        <f t="shared" si="141"/>
        <v>2022</v>
      </c>
      <c r="Z2040" s="97" t="s">
        <v>2238</v>
      </c>
      <c r="AA2040" t="str">
        <f>IF(Tabla1[[#This Row],[Kerma en aire acumulada (Gy)]]&gt;1,SUMIF(G:G,Tabla1[[#This Row],[SIP]],I:I)-Tabla1[[#This Row],[Kerma en aire acumulada (Gy)]],"")</f>
        <v/>
      </c>
    </row>
    <row r="2041" spans="3:27">
      <c r="C2041" s="144" t="str">
        <f t="shared" si="138"/>
        <v>Adulto</v>
      </c>
      <c r="D2041" s="95" t="s">
        <v>840</v>
      </c>
      <c r="E2041" s="95" t="s">
        <v>1009</v>
      </c>
      <c r="F2041" s="95" t="s">
        <v>20</v>
      </c>
      <c r="G2041" s="95">
        <v>3308707</v>
      </c>
      <c r="H2041" s="146">
        <v>44734</v>
      </c>
      <c r="I2041" s="95">
        <v>0.25263999999999998</v>
      </c>
      <c r="J2041" s="95"/>
      <c r="K2041" s="95"/>
      <c r="L2041" s="95"/>
      <c r="M2041" s="95"/>
      <c r="N2041" s="95"/>
      <c r="O2041" s="95"/>
      <c r="P2041" s="95"/>
      <c r="Q2041" s="95"/>
      <c r="R2041" s="95"/>
      <c r="S2041" s="95"/>
      <c r="T2041" s="96">
        <v>17788</v>
      </c>
      <c r="U2041" s="95"/>
      <c r="V2041" s="145" t="s">
        <v>2383</v>
      </c>
      <c r="W2041" s="92" t="str">
        <f t="shared" si="139"/>
        <v>Santiago Fernandez,Antonio</v>
      </c>
      <c r="X2041" s="95">
        <f t="shared" si="140"/>
        <v>6</v>
      </c>
      <c r="Y2041" s="95">
        <f t="shared" si="141"/>
        <v>2022</v>
      </c>
      <c r="Z2041" s="153" t="s">
        <v>266</v>
      </c>
      <c r="AA2041" t="str">
        <f>IF(Tabla1[[#This Row],[Kerma en aire acumulada (Gy)]]&gt;1,SUMIF(G:G,Tabla1[[#This Row],[SIP]],I:I)-Tabla1[[#This Row],[Kerma en aire acumulada (Gy)]],"")</f>
        <v/>
      </c>
    </row>
    <row r="2042" spans="3:27">
      <c r="C2042" s="144" t="str">
        <f t="shared" si="138"/>
        <v>Adulto</v>
      </c>
      <c r="D2042" s="95" t="s">
        <v>3203</v>
      </c>
      <c r="E2042" s="95" t="s">
        <v>2143</v>
      </c>
      <c r="F2042" s="95" t="s">
        <v>1848</v>
      </c>
      <c r="G2042" s="95">
        <v>1204490</v>
      </c>
      <c r="H2042" s="146">
        <v>44734</v>
      </c>
      <c r="I2042" s="95">
        <v>0.17788999999999999</v>
      </c>
      <c r="J2042" s="95"/>
      <c r="K2042" s="95"/>
      <c r="L2042" s="95"/>
      <c r="M2042" s="95"/>
      <c r="N2042" s="95"/>
      <c r="O2042" s="95"/>
      <c r="P2042" s="95"/>
      <c r="Q2042" s="95"/>
      <c r="R2042" s="95"/>
      <c r="S2042" s="95"/>
      <c r="T2042" s="96">
        <v>16698</v>
      </c>
      <c r="U2042" s="95"/>
      <c r="V2042" s="145" t="s">
        <v>2383</v>
      </c>
      <c r="W2042" s="92" t="str">
        <f t="shared" si="139"/>
        <v>Agea Dominguez,Fuensanta</v>
      </c>
      <c r="X2042" s="95">
        <f t="shared" si="140"/>
        <v>6</v>
      </c>
      <c r="Y2042" s="95">
        <f t="shared" si="141"/>
        <v>2022</v>
      </c>
      <c r="Z2042" s="153" t="s">
        <v>266</v>
      </c>
      <c r="AA2042" t="str">
        <f>IF(Tabla1[[#This Row],[Kerma en aire acumulada (Gy)]]&gt;1,SUMIF(G:G,Tabla1[[#This Row],[SIP]],I:I)-Tabla1[[#This Row],[Kerma en aire acumulada (Gy)]],"")</f>
        <v/>
      </c>
    </row>
    <row r="2043" spans="3:27">
      <c r="C2043" s="144" t="str">
        <f t="shared" si="138"/>
        <v>Adulto</v>
      </c>
      <c r="D2043" s="95" t="s">
        <v>677</v>
      </c>
      <c r="E2043" s="95" t="s">
        <v>81</v>
      </c>
      <c r="F2043" s="95" t="s">
        <v>1078</v>
      </c>
      <c r="G2043" s="95">
        <v>2376341</v>
      </c>
      <c r="H2043" s="146">
        <v>44734</v>
      </c>
      <c r="I2043" s="95">
        <v>0.15007999999999999</v>
      </c>
      <c r="J2043" s="95"/>
      <c r="K2043" s="95"/>
      <c r="L2043" s="95"/>
      <c r="M2043" s="95"/>
      <c r="N2043" s="95"/>
      <c r="O2043" s="95"/>
      <c r="P2043" s="95"/>
      <c r="Q2043" s="95"/>
      <c r="R2043" s="95"/>
      <c r="S2043" s="95"/>
      <c r="T2043" s="96">
        <v>27926</v>
      </c>
      <c r="U2043" s="95"/>
      <c r="V2043" s="145" t="s">
        <v>2383</v>
      </c>
      <c r="W2043" s="92" t="str">
        <f t="shared" si="139"/>
        <v>Aliaga Palanca,Marcos</v>
      </c>
      <c r="X2043" s="95">
        <f t="shared" si="140"/>
        <v>6</v>
      </c>
      <c r="Y2043" s="95">
        <f t="shared" si="141"/>
        <v>2022</v>
      </c>
      <c r="Z2043" s="153" t="s">
        <v>266</v>
      </c>
      <c r="AA2043" t="str">
        <f>IF(Tabla1[[#This Row],[Kerma en aire acumulada (Gy)]]&gt;1,SUMIF(G:G,Tabla1[[#This Row],[SIP]],I:I)-Tabla1[[#This Row],[Kerma en aire acumulada (Gy)]],"")</f>
        <v/>
      </c>
    </row>
    <row r="2044" spans="3:27">
      <c r="C2044" s="144" t="str">
        <f t="shared" si="138"/>
        <v>Adulto</v>
      </c>
      <c r="D2044" s="95" t="s">
        <v>3200</v>
      </c>
      <c r="E2044" s="95" t="s">
        <v>3201</v>
      </c>
      <c r="F2044" s="95" t="s">
        <v>3202</v>
      </c>
      <c r="G2044" s="95">
        <v>3306257</v>
      </c>
      <c r="H2044" s="146">
        <v>44734</v>
      </c>
      <c r="I2044" s="95">
        <v>0.16843</v>
      </c>
      <c r="J2044" s="95"/>
      <c r="K2044" s="95"/>
      <c r="L2044" s="95"/>
      <c r="M2044" s="95"/>
      <c r="N2044" s="95"/>
      <c r="O2044" s="95"/>
      <c r="P2044" s="95"/>
      <c r="Q2044" s="95"/>
      <c r="R2044" s="95"/>
      <c r="S2044" s="95"/>
      <c r="T2044" s="96">
        <v>16100</v>
      </c>
      <c r="U2044" s="95"/>
      <c r="V2044" s="145" t="s">
        <v>2383</v>
      </c>
      <c r="W2044" s="92" t="str">
        <f t="shared" si="139"/>
        <v>Legaspi Abelleira,Olegario Vicente</v>
      </c>
      <c r="X2044" s="95">
        <f t="shared" si="140"/>
        <v>6</v>
      </c>
      <c r="Y2044" s="95">
        <f t="shared" si="141"/>
        <v>2022</v>
      </c>
      <c r="Z2044" s="153" t="s">
        <v>266</v>
      </c>
      <c r="AA2044" t="str">
        <f>IF(Tabla1[[#This Row],[Kerma en aire acumulada (Gy)]]&gt;1,SUMIF(G:G,Tabla1[[#This Row],[SIP]],I:I)-Tabla1[[#This Row],[Kerma en aire acumulada (Gy)]],"")</f>
        <v/>
      </c>
    </row>
    <row r="2045" spans="3:27">
      <c r="C2045" s="144" t="str">
        <f t="shared" si="138"/>
        <v>Adulto</v>
      </c>
      <c r="D2045" s="95" t="s">
        <v>1759</v>
      </c>
      <c r="E2045" s="95" t="s">
        <v>3199</v>
      </c>
      <c r="F2045" s="95" t="s">
        <v>519</v>
      </c>
      <c r="G2045" s="95">
        <v>3261418</v>
      </c>
      <c r="H2045" s="146">
        <v>44734</v>
      </c>
      <c r="I2045" s="95">
        <v>0.56440000000000001</v>
      </c>
      <c r="J2045" s="95"/>
      <c r="K2045" s="95"/>
      <c r="L2045" s="95"/>
      <c r="M2045" s="95"/>
      <c r="N2045" s="95"/>
      <c r="O2045" s="95"/>
      <c r="P2045" s="95"/>
      <c r="Q2045" s="95"/>
      <c r="R2045" s="95"/>
      <c r="S2045" s="95"/>
      <c r="T2045" s="96">
        <v>14989</v>
      </c>
      <c r="U2045" s="95"/>
      <c r="V2045" s="145" t="s">
        <v>2383</v>
      </c>
      <c r="W2045" s="92" t="str">
        <f t="shared" si="139"/>
        <v>Martin Brines,Fernando</v>
      </c>
      <c r="X2045" s="95">
        <f t="shared" si="140"/>
        <v>6</v>
      </c>
      <c r="Y2045" s="95">
        <f t="shared" si="141"/>
        <v>2022</v>
      </c>
      <c r="Z2045" s="153" t="s">
        <v>266</v>
      </c>
      <c r="AA2045" t="str">
        <f>IF(Tabla1[[#This Row],[Kerma en aire acumulada (Gy)]]&gt;1,SUMIF(G:G,Tabla1[[#This Row],[SIP]],I:I)-Tabla1[[#This Row],[Kerma en aire acumulada (Gy)]],"")</f>
        <v/>
      </c>
    </row>
    <row r="2046" spans="3:27">
      <c r="C2046" s="144" t="str">
        <f t="shared" si="138"/>
        <v>Adulto</v>
      </c>
      <c r="D2046" s="95" t="s">
        <v>2579</v>
      </c>
      <c r="E2046" s="95" t="s">
        <v>2579</v>
      </c>
      <c r="F2046" s="95" t="s">
        <v>131</v>
      </c>
      <c r="G2046" s="95">
        <v>2215474</v>
      </c>
      <c r="H2046" s="146">
        <v>44734</v>
      </c>
      <c r="I2046" s="95">
        <v>0.58206999999999998</v>
      </c>
      <c r="J2046" s="95"/>
      <c r="K2046" s="95"/>
      <c r="L2046" s="95"/>
      <c r="M2046" s="95"/>
      <c r="N2046" s="95"/>
      <c r="O2046" s="95"/>
      <c r="P2046" s="95"/>
      <c r="Q2046" s="95"/>
      <c r="R2046" s="95"/>
      <c r="S2046" s="95"/>
      <c r="T2046" s="96">
        <v>14627</v>
      </c>
      <c r="U2046" s="95"/>
      <c r="V2046" s="145" t="s">
        <v>2383</v>
      </c>
      <c r="W2046" s="92" t="str">
        <f t="shared" si="139"/>
        <v>Millet Millet,Salvador</v>
      </c>
      <c r="X2046" s="95">
        <f t="shared" si="140"/>
        <v>6</v>
      </c>
      <c r="Y2046" s="95">
        <f t="shared" si="141"/>
        <v>2022</v>
      </c>
      <c r="Z2046" s="153" t="s">
        <v>266</v>
      </c>
      <c r="AA2046" t="str">
        <f>IF(Tabla1[[#This Row],[Kerma en aire acumulada (Gy)]]&gt;1,SUMIF(G:G,Tabla1[[#This Row],[SIP]],I:I)-Tabla1[[#This Row],[Kerma en aire acumulada (Gy)]],"")</f>
        <v/>
      </c>
    </row>
    <row r="2047" spans="3:27">
      <c r="C2047" s="144" t="str">
        <f t="shared" si="138"/>
        <v>Adulto</v>
      </c>
      <c r="D2047" s="95" t="s">
        <v>3158</v>
      </c>
      <c r="E2047" s="95" t="s">
        <v>948</v>
      </c>
      <c r="F2047" s="95" t="s">
        <v>377</v>
      </c>
      <c r="G2047" s="95">
        <v>2828037</v>
      </c>
      <c r="H2047" s="146">
        <v>44734</v>
      </c>
      <c r="I2047" s="95">
        <v>0.31263999999999997</v>
      </c>
      <c r="J2047" s="95"/>
      <c r="K2047" s="95"/>
      <c r="L2047" s="95"/>
      <c r="M2047" s="95"/>
      <c r="N2047" s="95"/>
      <c r="O2047" s="95"/>
      <c r="P2047" s="95"/>
      <c r="Q2047" s="95"/>
      <c r="R2047" s="95"/>
      <c r="S2047" s="95"/>
      <c r="T2047" s="96">
        <v>16787</v>
      </c>
      <c r="U2047" s="95"/>
      <c r="V2047" s="145" t="s">
        <v>2383</v>
      </c>
      <c r="W2047" s="92" t="str">
        <f t="shared" si="139"/>
        <v>Punter Martinez,Pilar</v>
      </c>
      <c r="X2047" s="95">
        <f t="shared" si="140"/>
        <v>6</v>
      </c>
      <c r="Y2047" s="95">
        <f t="shared" si="141"/>
        <v>2022</v>
      </c>
      <c r="Z2047" s="153" t="s">
        <v>266</v>
      </c>
      <c r="AA2047" t="str">
        <f>IF(Tabla1[[#This Row],[Kerma en aire acumulada (Gy)]]&gt;1,SUMIF(G:G,Tabla1[[#This Row],[SIP]],I:I)-Tabla1[[#This Row],[Kerma en aire acumulada (Gy)]],"")</f>
        <v/>
      </c>
    </row>
    <row r="2048" spans="3:27">
      <c r="C2048" s="144" t="str">
        <f t="shared" si="138"/>
        <v>Adulto</v>
      </c>
      <c r="D2048" s="95" t="s">
        <v>3197</v>
      </c>
      <c r="E2048" s="95"/>
      <c r="F2048" s="95" t="s">
        <v>3198</v>
      </c>
      <c r="G2048" s="95">
        <v>5162387</v>
      </c>
      <c r="H2048" s="146">
        <v>44734</v>
      </c>
      <c r="I2048" s="95">
        <v>8.9910000000000004E-2</v>
      </c>
      <c r="J2048" s="95"/>
      <c r="K2048" s="95"/>
      <c r="L2048" s="95"/>
      <c r="M2048" s="95"/>
      <c r="N2048" s="95"/>
      <c r="O2048" s="95"/>
      <c r="P2048" s="95"/>
      <c r="Q2048" s="95"/>
      <c r="R2048" s="95"/>
      <c r="S2048" s="95"/>
      <c r="T2048" s="96">
        <v>24483</v>
      </c>
      <c r="U2048" s="95"/>
      <c r="V2048" s="145" t="s">
        <v>2383</v>
      </c>
      <c r="W2048" s="92" t="str">
        <f t="shared" si="139"/>
        <v>Boria ,Walter Pablo</v>
      </c>
      <c r="X2048" s="95">
        <f t="shared" si="140"/>
        <v>6</v>
      </c>
      <c r="Y2048" s="95">
        <f t="shared" si="141"/>
        <v>2022</v>
      </c>
      <c r="Z2048" s="153" t="s">
        <v>266</v>
      </c>
      <c r="AA2048" t="str">
        <f>IF(Tabla1[[#This Row],[Kerma en aire acumulada (Gy)]]&gt;1,SUMIF(G:G,Tabla1[[#This Row],[SIP]],I:I)-Tabla1[[#This Row],[Kerma en aire acumulada (Gy)]],"")</f>
        <v/>
      </c>
    </row>
    <row r="2049" spans="3:27">
      <c r="C2049" s="144" t="str">
        <f t="shared" si="138"/>
        <v>Adulto</v>
      </c>
      <c r="D2049" s="95" t="s">
        <v>66</v>
      </c>
      <c r="E2049" s="95" t="s">
        <v>1275</v>
      </c>
      <c r="F2049" s="95" t="s">
        <v>2315</v>
      </c>
      <c r="G2049" s="145">
        <v>3605138</v>
      </c>
      <c r="H2049" s="146">
        <v>44734</v>
      </c>
      <c r="I2049" s="145">
        <v>7.3590000000000003E-2</v>
      </c>
      <c r="J2049" s="145"/>
      <c r="K2049" s="145"/>
      <c r="L2049" s="145"/>
      <c r="M2049" s="145"/>
      <c r="N2049" s="145"/>
      <c r="O2049" s="145"/>
      <c r="P2049" s="145"/>
      <c r="Q2049" s="145"/>
      <c r="R2049" s="145"/>
      <c r="S2049" s="145"/>
      <c r="T2049" s="146">
        <v>16491</v>
      </c>
      <c r="U2049" s="145"/>
      <c r="V2049" s="145" t="s">
        <v>2383</v>
      </c>
      <c r="W2049" s="92" t="str">
        <f t="shared" si="139"/>
        <v>Navarro Ramirez,M Dolores</v>
      </c>
      <c r="X2049" s="95">
        <f t="shared" si="140"/>
        <v>6</v>
      </c>
      <c r="Y2049" s="95">
        <f t="shared" si="141"/>
        <v>2022</v>
      </c>
      <c r="Z2049" s="153" t="s">
        <v>266</v>
      </c>
      <c r="AA2049" t="str">
        <f>IF(Tabla1[[#This Row],[Kerma en aire acumulada (Gy)]]&gt;1,SUMIF(G:G,Tabla1[[#This Row],[SIP]],I:I)-Tabla1[[#This Row],[Kerma en aire acumulada (Gy)]],"")</f>
        <v/>
      </c>
    </row>
    <row r="2050" spans="3:27">
      <c r="C2050" s="144" t="str">
        <f t="shared" ref="C2050:C2113" si="142">IF(OR(H2050="",T2050=""),"",IF((H2050-T2050)/12/30&lt;18,"Pediátrico","Adulto"))</f>
        <v>Adulto</v>
      </c>
      <c r="D2050" s="95" t="s">
        <v>3195</v>
      </c>
      <c r="E2050" s="95" t="s">
        <v>1837</v>
      </c>
      <c r="F2050" s="95" t="s">
        <v>3196</v>
      </c>
      <c r="G2050" s="145">
        <v>12510681</v>
      </c>
      <c r="H2050" s="146">
        <v>44734</v>
      </c>
      <c r="I2050" s="95">
        <f>299.93/1000</f>
        <v>0.29993000000000003</v>
      </c>
      <c r="J2050" s="145"/>
      <c r="K2050" s="145"/>
      <c r="L2050" s="145"/>
      <c r="M2050" s="145"/>
      <c r="N2050" s="145"/>
      <c r="O2050" s="145"/>
      <c r="P2050" s="145"/>
      <c r="Q2050" s="145"/>
      <c r="R2050" s="145"/>
      <c r="S2050" s="145"/>
      <c r="T2050" s="146">
        <v>25781</v>
      </c>
      <c r="U2050" s="145"/>
      <c r="V2050" s="145" t="s">
        <v>2383</v>
      </c>
      <c r="W2050" s="92" t="str">
        <f t="shared" si="139"/>
        <v>Alvarado Rodriguez,Hugo Alexis</v>
      </c>
      <c r="X2050" s="95">
        <f t="shared" si="140"/>
        <v>6</v>
      </c>
      <c r="Y2050" s="95">
        <f t="shared" si="141"/>
        <v>2022</v>
      </c>
      <c r="Z2050" s="153" t="s">
        <v>266</v>
      </c>
      <c r="AA2050" t="str">
        <f>IF(Tabla1[[#This Row],[Kerma en aire acumulada (Gy)]]&gt;1,SUMIF(G:G,Tabla1[[#This Row],[SIP]],I:I)-Tabla1[[#This Row],[Kerma en aire acumulada (Gy)]],"")</f>
        <v/>
      </c>
    </row>
    <row r="2051" spans="3:27">
      <c r="C2051" s="144" t="str">
        <f t="shared" si="142"/>
        <v>Adulto</v>
      </c>
      <c r="D2051" s="95" t="s">
        <v>328</v>
      </c>
      <c r="E2051" s="95" t="s">
        <v>2414</v>
      </c>
      <c r="F2051" s="95" t="s">
        <v>20</v>
      </c>
      <c r="G2051" s="145">
        <v>2807647</v>
      </c>
      <c r="H2051" s="146">
        <v>44734</v>
      </c>
      <c r="I2051" s="95">
        <f>305.03/1000</f>
        <v>0.30502999999999997</v>
      </c>
      <c r="J2051" s="145"/>
      <c r="K2051" s="145"/>
      <c r="L2051" s="145"/>
      <c r="M2051" s="145"/>
      <c r="N2051" s="145"/>
      <c r="O2051" s="145"/>
      <c r="P2051" s="145"/>
      <c r="Q2051" s="145"/>
      <c r="R2051" s="145"/>
      <c r="S2051" s="145"/>
      <c r="T2051" s="146">
        <v>12253</v>
      </c>
      <c r="U2051" s="145"/>
      <c r="V2051" s="145" t="s">
        <v>2383</v>
      </c>
      <c r="W2051" s="92" t="str">
        <f t="shared" si="139"/>
        <v>Prieto Bernabe,Antonio</v>
      </c>
      <c r="X2051" s="95">
        <f t="shared" si="140"/>
        <v>6</v>
      </c>
      <c r="Y2051" s="95">
        <f t="shared" si="141"/>
        <v>2022</v>
      </c>
      <c r="Z2051" s="153" t="s">
        <v>266</v>
      </c>
      <c r="AA2051" t="str">
        <f>IF(Tabla1[[#This Row],[Kerma en aire acumulada (Gy)]]&gt;1,SUMIF(G:G,Tabla1[[#This Row],[SIP]],I:I)-Tabla1[[#This Row],[Kerma en aire acumulada (Gy)]],"")</f>
        <v/>
      </c>
    </row>
    <row r="2052" spans="3:27">
      <c r="C2052" s="144" t="str">
        <f t="shared" si="142"/>
        <v>Adulto</v>
      </c>
      <c r="D2052" s="145" t="s">
        <v>962</v>
      </c>
      <c r="E2052" s="145" t="s">
        <v>1716</v>
      </c>
      <c r="F2052" s="145" t="s">
        <v>967</v>
      </c>
      <c r="G2052" s="145">
        <v>3540490</v>
      </c>
      <c r="H2052" s="146">
        <v>44734</v>
      </c>
      <c r="I2052" s="168">
        <v>2.2700200000000001</v>
      </c>
      <c r="J2052" s="145"/>
      <c r="K2052" s="145"/>
      <c r="L2052" s="145"/>
      <c r="M2052" s="145"/>
      <c r="N2052" s="145"/>
      <c r="O2052" s="145"/>
      <c r="P2052" s="145"/>
      <c r="Q2052" s="145"/>
      <c r="R2052" s="145"/>
      <c r="S2052" s="145"/>
      <c r="T2052" s="146">
        <v>22380</v>
      </c>
      <c r="U2052" s="145"/>
      <c r="V2052" s="145" t="s">
        <v>2383</v>
      </c>
      <c r="W2052" s="92" t="str">
        <f t="shared" si="139"/>
        <v>Garcia Mañez,Jose Manuel</v>
      </c>
      <c r="X2052" s="95">
        <f t="shared" si="140"/>
        <v>6</v>
      </c>
      <c r="Y2052" s="95">
        <f t="shared" si="141"/>
        <v>2022</v>
      </c>
      <c r="Z2052" s="153" t="s">
        <v>266</v>
      </c>
      <c r="AA2052">
        <f>IF(Tabla1[[#This Row],[Kerma en aire acumulada (Gy)]]&gt;1,SUMIF(G:G,Tabla1[[#This Row],[SIP]],I:I)-Tabla1[[#This Row],[Kerma en aire acumulada (Gy)]],"")</f>
        <v>0</v>
      </c>
    </row>
    <row r="2053" spans="3:27">
      <c r="C2053" s="144" t="str">
        <f t="shared" si="142"/>
        <v>Adulto</v>
      </c>
      <c r="D2053" s="145" t="s">
        <v>1607</v>
      </c>
      <c r="E2053" s="145" t="s">
        <v>1084</v>
      </c>
      <c r="F2053" s="145" t="s">
        <v>88</v>
      </c>
      <c r="G2053" s="145">
        <v>2905419</v>
      </c>
      <c r="H2053" s="146">
        <v>44734</v>
      </c>
      <c r="I2053" s="145">
        <v>8.6800000000000002E-2</v>
      </c>
      <c r="J2053" s="145"/>
      <c r="K2053" s="145"/>
      <c r="L2053" s="145"/>
      <c r="M2053" s="145"/>
      <c r="N2053" s="145"/>
      <c r="O2053" s="145"/>
      <c r="P2053" s="145"/>
      <c r="Q2053" s="145"/>
      <c r="R2053" s="145"/>
      <c r="S2053" s="145"/>
      <c r="T2053" s="146">
        <v>19105</v>
      </c>
      <c r="U2053" s="145"/>
      <c r="V2053" s="145" t="s">
        <v>1174</v>
      </c>
      <c r="W2053" s="92" t="str">
        <f t="shared" si="139"/>
        <v>Reyes Tudela,Vicente</v>
      </c>
      <c r="X2053" s="95">
        <f t="shared" si="140"/>
        <v>6</v>
      </c>
      <c r="Y2053" s="95">
        <f t="shared" si="141"/>
        <v>2022</v>
      </c>
      <c r="Z2053" s="153" t="s">
        <v>265</v>
      </c>
      <c r="AA2053" t="str">
        <f>IF(Tabla1[[#This Row],[Kerma en aire acumulada (Gy)]]&gt;1,SUMIF(G:G,Tabla1[[#This Row],[SIP]],I:I)-Tabla1[[#This Row],[Kerma en aire acumulada (Gy)]],"")</f>
        <v/>
      </c>
    </row>
    <row r="2054" spans="3:27">
      <c r="C2054" s="144" t="str">
        <f t="shared" si="142"/>
        <v>Adulto</v>
      </c>
      <c r="D2054" s="145" t="s">
        <v>2005</v>
      </c>
      <c r="E2054" s="145" t="s">
        <v>1740</v>
      </c>
      <c r="F2054" s="145" t="s">
        <v>7</v>
      </c>
      <c r="G2054" s="145">
        <v>1746954</v>
      </c>
      <c r="H2054" s="146">
        <v>44734</v>
      </c>
      <c r="I2054" s="145">
        <v>0.24873999999999999</v>
      </c>
      <c r="J2054" s="145"/>
      <c r="K2054" s="145"/>
      <c r="L2054" s="145"/>
      <c r="M2054" s="145"/>
      <c r="N2054" s="145"/>
      <c r="O2054" s="145"/>
      <c r="P2054" s="145"/>
      <c r="Q2054" s="145"/>
      <c r="R2054" s="145"/>
      <c r="S2054" s="145"/>
      <c r="T2054" s="146">
        <v>18966</v>
      </c>
      <c r="U2054" s="145"/>
      <c r="V2054" s="145" t="s">
        <v>3051</v>
      </c>
      <c r="W2054" s="92" t="str">
        <f t="shared" si="139"/>
        <v>Caballer Vila,Francisca</v>
      </c>
      <c r="X2054" s="95">
        <f t="shared" si="140"/>
        <v>6</v>
      </c>
      <c r="Y2054" s="95">
        <f t="shared" si="141"/>
        <v>2022</v>
      </c>
      <c r="Z2054" s="153" t="s">
        <v>265</v>
      </c>
      <c r="AA2054" t="str">
        <f>IF(Tabla1[[#This Row],[Kerma en aire acumulada (Gy)]]&gt;1,SUMIF(G:G,Tabla1[[#This Row],[SIP]],I:I)-Tabla1[[#This Row],[Kerma en aire acumulada (Gy)]],"")</f>
        <v/>
      </c>
    </row>
    <row r="2055" spans="3:27">
      <c r="C2055" s="144" t="str">
        <f t="shared" si="142"/>
        <v>Adulto</v>
      </c>
      <c r="D2055" s="145" t="s">
        <v>856</v>
      </c>
      <c r="E2055" s="145"/>
      <c r="F2055" s="145" t="s">
        <v>3194</v>
      </c>
      <c r="G2055" s="145">
        <v>5532108</v>
      </c>
      <c r="H2055" s="146">
        <v>44734</v>
      </c>
      <c r="I2055" s="145">
        <v>0.31467000000000001</v>
      </c>
      <c r="J2055" s="145"/>
      <c r="K2055" s="145"/>
      <c r="L2055" s="145"/>
      <c r="M2055" s="145"/>
      <c r="N2055" s="145"/>
      <c r="O2055" s="145"/>
      <c r="P2055" s="145"/>
      <c r="Q2055" s="145"/>
      <c r="R2055" s="145"/>
      <c r="S2055" s="145"/>
      <c r="T2055" s="146">
        <v>20459</v>
      </c>
      <c r="U2055" s="145"/>
      <c r="V2055" s="145" t="s">
        <v>1622</v>
      </c>
      <c r="W2055" s="92" t="str">
        <f t="shared" si="139"/>
        <v>Gomez ,Carole Margaret</v>
      </c>
      <c r="X2055" s="95">
        <f t="shared" si="140"/>
        <v>6</v>
      </c>
      <c r="Y2055" s="95">
        <f t="shared" si="141"/>
        <v>2022</v>
      </c>
      <c r="Z2055" s="153" t="s">
        <v>265</v>
      </c>
      <c r="AA2055" t="str">
        <f>IF(Tabla1[[#This Row],[Kerma en aire acumulada (Gy)]]&gt;1,SUMIF(G:G,Tabla1[[#This Row],[SIP]],I:I)-Tabla1[[#This Row],[Kerma en aire acumulada (Gy)]],"")</f>
        <v/>
      </c>
    </row>
    <row r="2056" spans="3:27">
      <c r="C2056" s="144" t="str">
        <f t="shared" si="142"/>
        <v>Adulto</v>
      </c>
      <c r="D2056" s="145" t="s">
        <v>68</v>
      </c>
      <c r="E2056" s="145" t="s">
        <v>319</v>
      </c>
      <c r="F2056" s="145" t="s">
        <v>3032</v>
      </c>
      <c r="G2056" s="145">
        <v>3970521</v>
      </c>
      <c r="H2056" s="146">
        <v>44734</v>
      </c>
      <c r="I2056" s="145">
        <v>1.81E-3</v>
      </c>
      <c r="J2056" s="145"/>
      <c r="K2056" s="145"/>
      <c r="L2056" s="145"/>
      <c r="M2056" s="145"/>
      <c r="N2056" s="145"/>
      <c r="O2056" s="145"/>
      <c r="P2056" s="145"/>
      <c r="Q2056" s="145"/>
      <c r="R2056" s="145"/>
      <c r="S2056" s="145"/>
      <c r="T2056" s="146">
        <v>31744</v>
      </c>
      <c r="U2056" s="145"/>
      <c r="V2056" s="145" t="s">
        <v>1758</v>
      </c>
      <c r="W2056" s="92" t="str">
        <f t="shared" si="139"/>
        <v>Juan Gonzalez,Monica</v>
      </c>
      <c r="X2056" s="95">
        <f t="shared" si="140"/>
        <v>6</v>
      </c>
      <c r="Y2056" s="95">
        <f t="shared" si="141"/>
        <v>2022</v>
      </c>
      <c r="Z2056" s="153" t="s">
        <v>265</v>
      </c>
      <c r="AA2056" t="str">
        <f>IF(Tabla1[[#This Row],[Kerma en aire acumulada (Gy)]]&gt;1,SUMIF(G:G,Tabla1[[#This Row],[SIP]],I:I)-Tabla1[[#This Row],[Kerma en aire acumulada (Gy)]],"")</f>
        <v/>
      </c>
    </row>
    <row r="2057" spans="3:27">
      <c r="C2057" s="144" t="str">
        <f t="shared" si="142"/>
        <v>Adulto</v>
      </c>
      <c r="D2057" s="145" t="s">
        <v>2080</v>
      </c>
      <c r="E2057" s="145" t="s">
        <v>90</v>
      </c>
      <c r="F2057" s="145" t="s">
        <v>3042</v>
      </c>
      <c r="G2057" s="145">
        <v>2417753</v>
      </c>
      <c r="H2057" s="146">
        <v>44734</v>
      </c>
      <c r="I2057" s="145">
        <v>0.21360999999999999</v>
      </c>
      <c r="J2057" s="145"/>
      <c r="K2057" s="145"/>
      <c r="L2057" s="145"/>
      <c r="M2057" s="145"/>
      <c r="N2057" s="145"/>
      <c r="O2057" s="145"/>
      <c r="P2057" s="145"/>
      <c r="Q2057" s="145"/>
      <c r="R2057" s="145"/>
      <c r="S2057" s="145"/>
      <c r="T2057" s="146">
        <v>20770</v>
      </c>
      <c r="U2057" s="145"/>
      <c r="V2057" s="145" t="s">
        <v>2995</v>
      </c>
      <c r="W2057" s="92" t="str">
        <f t="shared" si="139"/>
        <v>Hervas Nieto,Maria del Carmen</v>
      </c>
      <c r="X2057" s="95">
        <f t="shared" si="140"/>
        <v>6</v>
      </c>
      <c r="Y2057" s="95">
        <f t="shared" si="141"/>
        <v>2022</v>
      </c>
      <c r="Z2057" s="153" t="s">
        <v>265</v>
      </c>
      <c r="AA2057" t="str">
        <f>IF(Tabla1[[#This Row],[Kerma en aire acumulada (Gy)]]&gt;1,SUMIF(G:G,Tabla1[[#This Row],[SIP]],I:I)-Tabla1[[#This Row],[Kerma en aire acumulada (Gy)]],"")</f>
        <v/>
      </c>
    </row>
    <row r="2058" spans="3:27">
      <c r="C2058" s="144" t="str">
        <f t="shared" si="142"/>
        <v>Adulto</v>
      </c>
      <c r="D2058" s="145" t="s">
        <v>1587</v>
      </c>
      <c r="E2058" s="145" t="s">
        <v>948</v>
      </c>
      <c r="F2058" s="145" t="s">
        <v>991</v>
      </c>
      <c r="G2058" s="145">
        <v>3190274</v>
      </c>
      <c r="H2058" s="146">
        <v>44734</v>
      </c>
      <c r="I2058" s="145">
        <v>0.23153000000000001</v>
      </c>
      <c r="J2058" s="145"/>
      <c r="K2058" s="145"/>
      <c r="L2058" s="145"/>
      <c r="M2058" s="145"/>
      <c r="N2058" s="145"/>
      <c r="O2058" s="145"/>
      <c r="P2058" s="145"/>
      <c r="Q2058" s="145"/>
      <c r="R2058" s="145"/>
      <c r="S2058" s="145"/>
      <c r="T2058" s="146">
        <v>15213</v>
      </c>
      <c r="U2058" s="145"/>
      <c r="V2058" s="145" t="s">
        <v>1923</v>
      </c>
      <c r="W2058" s="92" t="str">
        <f t="shared" si="139"/>
        <v>Jimenez Martinez,Jose</v>
      </c>
      <c r="X2058" s="95">
        <f t="shared" si="140"/>
        <v>6</v>
      </c>
      <c r="Y2058" s="95">
        <f t="shared" si="141"/>
        <v>2022</v>
      </c>
      <c r="Z2058" s="153" t="s">
        <v>265</v>
      </c>
      <c r="AA2058" t="str">
        <f>IF(Tabla1[[#This Row],[Kerma en aire acumulada (Gy)]]&gt;1,SUMIF(G:G,Tabla1[[#This Row],[SIP]],I:I)-Tabla1[[#This Row],[Kerma en aire acumulada (Gy)]],"")</f>
        <v/>
      </c>
    </row>
    <row r="2059" spans="3:27">
      <c r="C2059" s="144" t="str">
        <f t="shared" si="142"/>
        <v>Adulto</v>
      </c>
      <c r="D2059" s="95" t="s">
        <v>2285</v>
      </c>
      <c r="E2059" s="95" t="s">
        <v>35</v>
      </c>
      <c r="F2059" s="95" t="s">
        <v>88</v>
      </c>
      <c r="G2059" s="95">
        <v>2464475</v>
      </c>
      <c r="H2059" s="146">
        <v>44735</v>
      </c>
      <c r="I2059" s="95">
        <v>2.3990000000000001E-2</v>
      </c>
      <c r="J2059" s="95"/>
      <c r="K2059" s="95"/>
      <c r="L2059" s="95"/>
      <c r="M2059" s="95"/>
      <c r="N2059" s="95"/>
      <c r="O2059" s="95"/>
      <c r="P2059" s="95"/>
      <c r="Q2059" s="95"/>
      <c r="R2059" s="95"/>
      <c r="S2059" s="95"/>
      <c r="T2059" s="96">
        <v>23710</v>
      </c>
      <c r="U2059" s="95"/>
      <c r="V2059" s="95" t="s">
        <v>3077</v>
      </c>
      <c r="W2059" s="92" t="str">
        <f t="shared" si="139"/>
        <v>Alarcon Lozano,Vicente</v>
      </c>
      <c r="X2059" s="95">
        <f t="shared" si="140"/>
        <v>6</v>
      </c>
      <c r="Y2059" s="95">
        <f t="shared" si="141"/>
        <v>2022</v>
      </c>
      <c r="Z2059" s="97" t="s">
        <v>2238</v>
      </c>
      <c r="AA2059" t="str">
        <f>IF(Tabla1[[#This Row],[Kerma en aire acumulada (Gy)]]&gt;1,SUMIF(G:G,Tabla1[[#This Row],[SIP]],I:I)-Tabla1[[#This Row],[Kerma en aire acumulada (Gy)]],"")</f>
        <v/>
      </c>
    </row>
    <row r="2060" spans="3:27">
      <c r="C2060" s="144" t="str">
        <f t="shared" si="142"/>
        <v>Adulto</v>
      </c>
      <c r="D2060" s="95" t="s">
        <v>1216</v>
      </c>
      <c r="E2060" s="95" t="s">
        <v>1275</v>
      </c>
      <c r="F2060" s="95" t="s">
        <v>83</v>
      </c>
      <c r="G2060" s="95">
        <v>2398234</v>
      </c>
      <c r="H2060" s="146">
        <v>44735</v>
      </c>
      <c r="I2060" s="95">
        <f>15.12/1000</f>
        <v>1.512E-2</v>
      </c>
      <c r="J2060" s="95"/>
      <c r="K2060" s="95"/>
      <c r="L2060" s="95"/>
      <c r="M2060" s="95"/>
      <c r="N2060" s="95"/>
      <c r="O2060" s="95"/>
      <c r="P2060" s="95"/>
      <c r="Q2060" s="95"/>
      <c r="R2060" s="95"/>
      <c r="S2060" s="95"/>
      <c r="T2060" s="96">
        <v>15333</v>
      </c>
      <c r="U2060" s="95"/>
      <c r="V2060" s="95" t="s">
        <v>2309</v>
      </c>
      <c r="W2060" s="92" t="str">
        <f t="shared" si="139"/>
        <v>Guerra Ramirez,Francisco</v>
      </c>
      <c r="X2060" s="95">
        <f t="shared" si="140"/>
        <v>6</v>
      </c>
      <c r="Y2060" s="95">
        <f t="shared" si="141"/>
        <v>2022</v>
      </c>
      <c r="Z2060" s="97" t="s">
        <v>2238</v>
      </c>
      <c r="AA2060" t="str">
        <f>IF(Tabla1[[#This Row],[Kerma en aire acumulada (Gy)]]&gt;1,SUMIF(G:G,Tabla1[[#This Row],[SIP]],I:I)-Tabla1[[#This Row],[Kerma en aire acumulada (Gy)]],"")</f>
        <v/>
      </c>
    </row>
    <row r="2061" spans="3:27">
      <c r="C2061" s="144" t="str">
        <f t="shared" si="142"/>
        <v>Adulto</v>
      </c>
      <c r="D2061" s="95" t="s">
        <v>3214</v>
      </c>
      <c r="E2061" s="95" t="s">
        <v>1220</v>
      </c>
      <c r="F2061" s="95" t="s">
        <v>98</v>
      </c>
      <c r="G2061" s="95">
        <v>1205244</v>
      </c>
      <c r="H2061" s="146">
        <v>44735</v>
      </c>
      <c r="I2061" s="95">
        <v>0.85323000000000004</v>
      </c>
      <c r="J2061" s="95"/>
      <c r="K2061" s="95"/>
      <c r="L2061" s="95"/>
      <c r="M2061" s="95"/>
      <c r="N2061" s="95"/>
      <c r="O2061" s="95"/>
      <c r="P2061" s="95"/>
      <c r="Q2061" s="95"/>
      <c r="R2061" s="95"/>
      <c r="S2061" s="95"/>
      <c r="T2061" s="96">
        <v>14712</v>
      </c>
      <c r="U2061" s="95"/>
      <c r="V2061" s="95" t="s">
        <v>2383</v>
      </c>
      <c r="W2061" s="92" t="str">
        <f t="shared" si="139"/>
        <v>Pato Iglesias,Felipe</v>
      </c>
      <c r="X2061" s="95">
        <f t="shared" si="140"/>
        <v>6</v>
      </c>
      <c r="Y2061" s="95">
        <f t="shared" si="141"/>
        <v>2022</v>
      </c>
      <c r="Z2061" s="153" t="s">
        <v>266</v>
      </c>
      <c r="AA2061" t="str">
        <f>IF(Tabla1[[#This Row],[Kerma en aire acumulada (Gy)]]&gt;1,SUMIF(G:G,Tabla1[[#This Row],[SIP]],I:I)-Tabla1[[#This Row],[Kerma en aire acumulada (Gy)]],"")</f>
        <v/>
      </c>
    </row>
    <row r="2062" spans="3:27">
      <c r="C2062" s="144" t="str">
        <f t="shared" si="142"/>
        <v>Adulto</v>
      </c>
      <c r="D2062" s="95" t="s">
        <v>604</v>
      </c>
      <c r="E2062" s="95" t="s">
        <v>1001</v>
      </c>
      <c r="F2062" s="95" t="s">
        <v>3213</v>
      </c>
      <c r="G2062" s="95">
        <v>164237</v>
      </c>
      <c r="H2062" s="146">
        <v>44735</v>
      </c>
      <c r="I2062" s="95">
        <v>0.40154000000000001</v>
      </c>
      <c r="J2062" s="95"/>
      <c r="K2062" s="95"/>
      <c r="L2062" s="95"/>
      <c r="M2062" s="95"/>
      <c r="N2062" s="95"/>
      <c r="O2062" s="95"/>
      <c r="P2062" s="95"/>
      <c r="Q2062" s="95"/>
      <c r="R2062" s="95"/>
      <c r="S2062" s="95"/>
      <c r="T2062" s="96">
        <v>15790</v>
      </c>
      <c r="U2062" s="95"/>
      <c r="V2062" s="95" t="s">
        <v>2383</v>
      </c>
      <c r="W2062" s="92" t="str">
        <f t="shared" si="139"/>
        <v>Esteve Perez,Jeannete Pilar</v>
      </c>
      <c r="X2062" s="95">
        <f t="shared" si="140"/>
        <v>6</v>
      </c>
      <c r="Y2062" s="95">
        <f t="shared" si="141"/>
        <v>2022</v>
      </c>
      <c r="Z2062" s="153" t="s">
        <v>266</v>
      </c>
      <c r="AA2062" t="str">
        <f>IF(Tabla1[[#This Row],[Kerma en aire acumulada (Gy)]]&gt;1,SUMIF(G:G,Tabla1[[#This Row],[SIP]],I:I)-Tabla1[[#This Row],[Kerma en aire acumulada (Gy)]],"")</f>
        <v/>
      </c>
    </row>
    <row r="2063" spans="3:27">
      <c r="C2063" s="144" t="str">
        <f t="shared" si="142"/>
        <v>Adulto</v>
      </c>
      <c r="D2063" s="95" t="s">
        <v>1010</v>
      </c>
      <c r="E2063" s="95" t="s">
        <v>1809</v>
      </c>
      <c r="F2063" s="95" t="s">
        <v>2974</v>
      </c>
      <c r="G2063" s="95">
        <v>1166054</v>
      </c>
      <c r="H2063" s="146">
        <v>44735</v>
      </c>
      <c r="I2063" s="95">
        <v>0.21312999999999999</v>
      </c>
      <c r="J2063" s="95"/>
      <c r="K2063" s="95"/>
      <c r="L2063" s="95"/>
      <c r="M2063" s="95"/>
      <c r="N2063" s="95"/>
      <c r="O2063" s="95"/>
      <c r="P2063" s="95"/>
      <c r="Q2063" s="95"/>
      <c r="R2063" s="95"/>
      <c r="S2063" s="95"/>
      <c r="T2063" s="96">
        <v>18650</v>
      </c>
      <c r="U2063" s="95"/>
      <c r="V2063" s="95" t="s">
        <v>2383</v>
      </c>
      <c r="W2063" s="92" t="str">
        <f t="shared" si="139"/>
        <v>Bautista Herrero,Vicente Jose</v>
      </c>
      <c r="X2063" s="95">
        <f t="shared" si="140"/>
        <v>6</v>
      </c>
      <c r="Y2063" s="95">
        <f t="shared" si="141"/>
        <v>2022</v>
      </c>
      <c r="Z2063" s="153" t="s">
        <v>266</v>
      </c>
      <c r="AA2063" t="str">
        <f>IF(Tabla1[[#This Row],[Kerma en aire acumulada (Gy)]]&gt;1,SUMIF(G:G,Tabla1[[#This Row],[SIP]],I:I)-Tabla1[[#This Row],[Kerma en aire acumulada (Gy)]],"")</f>
        <v/>
      </c>
    </row>
    <row r="2064" spans="3:27">
      <c r="C2064" s="144" t="str">
        <f t="shared" si="142"/>
        <v>Adulto</v>
      </c>
      <c r="D2064" s="95" t="s">
        <v>2838</v>
      </c>
      <c r="E2064" s="95" t="s">
        <v>3212</v>
      </c>
      <c r="F2064" s="95" t="s">
        <v>715</v>
      </c>
      <c r="G2064" s="95">
        <v>3223849</v>
      </c>
      <c r="H2064" s="146">
        <v>44735</v>
      </c>
      <c r="I2064" s="168">
        <v>1.28609</v>
      </c>
      <c r="J2064" s="95"/>
      <c r="K2064" s="95"/>
      <c r="L2064" s="95"/>
      <c r="M2064" s="95"/>
      <c r="N2064" s="95"/>
      <c r="O2064" s="95"/>
      <c r="P2064" s="95"/>
      <c r="Q2064" s="95"/>
      <c r="R2064" s="95"/>
      <c r="S2064" s="95"/>
      <c r="T2064" s="96">
        <v>11721</v>
      </c>
      <c r="U2064" s="95"/>
      <c r="V2064" s="95" t="s">
        <v>2383</v>
      </c>
      <c r="W2064" s="92" t="str">
        <f t="shared" si="139"/>
        <v>Mocholi Chisvert,Amparo</v>
      </c>
      <c r="X2064" s="95">
        <f t="shared" si="140"/>
        <v>6</v>
      </c>
      <c r="Y2064" s="95">
        <f t="shared" si="141"/>
        <v>2022</v>
      </c>
      <c r="Z2064" s="153" t="s">
        <v>266</v>
      </c>
      <c r="AA2064">
        <f>IF(Tabla1[[#This Row],[Kerma en aire acumulada (Gy)]]&gt;1,SUMIF(G:G,Tabla1[[#This Row],[SIP]],I:I)-Tabla1[[#This Row],[Kerma en aire acumulada (Gy)]],"")</f>
        <v>0</v>
      </c>
    </row>
    <row r="2065" spans="3:27">
      <c r="C2065" s="144" t="str">
        <f t="shared" si="142"/>
        <v>Adulto</v>
      </c>
      <c r="D2065" s="95" t="s">
        <v>528</v>
      </c>
      <c r="E2065" s="95"/>
      <c r="F2065" s="95" t="s">
        <v>529</v>
      </c>
      <c r="G2065" s="95">
        <v>6771491</v>
      </c>
      <c r="H2065" s="146">
        <v>44735</v>
      </c>
      <c r="I2065" s="95">
        <v>3.9300000000000002E-2</v>
      </c>
      <c r="J2065" s="95"/>
      <c r="K2065" s="95"/>
      <c r="L2065" s="95"/>
      <c r="M2065" s="95"/>
      <c r="N2065" s="95"/>
      <c r="O2065" s="95"/>
      <c r="P2065" s="95"/>
      <c r="Q2065" s="95"/>
      <c r="R2065" s="95"/>
      <c r="S2065" s="95"/>
      <c r="T2065" s="96">
        <v>26442</v>
      </c>
      <c r="U2065" s="95"/>
      <c r="V2065" s="95" t="s">
        <v>2383</v>
      </c>
      <c r="W2065" s="92" t="str">
        <f t="shared" si="139"/>
        <v>Lamallem ,Jamil</v>
      </c>
      <c r="X2065" s="95">
        <f t="shared" si="140"/>
        <v>6</v>
      </c>
      <c r="Y2065" s="95">
        <f t="shared" si="141"/>
        <v>2022</v>
      </c>
      <c r="Z2065" s="153" t="s">
        <v>266</v>
      </c>
      <c r="AA2065" t="str">
        <f>IF(Tabla1[[#This Row],[Kerma en aire acumulada (Gy)]]&gt;1,SUMIF(G:G,Tabla1[[#This Row],[SIP]],I:I)-Tabla1[[#This Row],[Kerma en aire acumulada (Gy)]],"")</f>
        <v/>
      </c>
    </row>
    <row r="2066" spans="3:27">
      <c r="C2066" s="144" t="str">
        <f t="shared" si="142"/>
        <v>Adulto</v>
      </c>
      <c r="D2066" s="95" t="s">
        <v>2575</v>
      </c>
      <c r="E2066" s="95" t="s">
        <v>77</v>
      </c>
      <c r="F2066" s="95" t="s">
        <v>28</v>
      </c>
      <c r="G2066" s="95">
        <v>5762057</v>
      </c>
      <c r="H2066" s="146">
        <v>44735</v>
      </c>
      <c r="I2066" s="95">
        <v>0.14610000000000001</v>
      </c>
      <c r="J2066" s="95"/>
      <c r="K2066" s="95"/>
      <c r="L2066" s="95"/>
      <c r="M2066" s="95"/>
      <c r="N2066" s="95"/>
      <c r="O2066" s="95"/>
      <c r="P2066" s="95"/>
      <c r="Q2066" s="95"/>
      <c r="R2066" s="95"/>
      <c r="S2066" s="95"/>
      <c r="T2066" s="96">
        <v>13890</v>
      </c>
      <c r="U2066" s="95"/>
      <c r="V2066" s="95" t="s">
        <v>2383</v>
      </c>
      <c r="W2066" s="92" t="str">
        <f t="shared" si="139"/>
        <v>Cebolla Torres,Josefa</v>
      </c>
      <c r="X2066" s="95">
        <f t="shared" si="140"/>
        <v>6</v>
      </c>
      <c r="Y2066" s="95">
        <f t="shared" si="141"/>
        <v>2022</v>
      </c>
      <c r="Z2066" s="153" t="s">
        <v>266</v>
      </c>
      <c r="AA2066" t="str">
        <f>IF(Tabla1[[#This Row],[Kerma en aire acumulada (Gy)]]&gt;1,SUMIF(G:G,Tabla1[[#This Row],[SIP]],I:I)-Tabla1[[#This Row],[Kerma en aire acumulada (Gy)]],"")</f>
        <v/>
      </c>
    </row>
    <row r="2067" spans="3:27">
      <c r="C2067" s="144" t="str">
        <f t="shared" si="142"/>
        <v>Adulto</v>
      </c>
      <c r="D2067" s="95" t="s">
        <v>3211</v>
      </c>
      <c r="E2067" s="95" t="s">
        <v>2084</v>
      </c>
      <c r="F2067" s="95" t="s">
        <v>2756</v>
      </c>
      <c r="G2067" s="95">
        <v>4270344</v>
      </c>
      <c r="H2067" s="146">
        <v>44735</v>
      </c>
      <c r="I2067" s="95">
        <v>0.11885999999999999</v>
      </c>
      <c r="J2067" s="95"/>
      <c r="K2067" s="95"/>
      <c r="L2067" s="95"/>
      <c r="M2067" s="95"/>
      <c r="N2067" s="95"/>
      <c r="O2067" s="95"/>
      <c r="P2067" s="95"/>
      <c r="Q2067" s="95"/>
      <c r="R2067" s="95"/>
      <c r="S2067" s="95"/>
      <c r="T2067" s="96">
        <v>21603</v>
      </c>
      <c r="U2067" s="95"/>
      <c r="V2067" s="95" t="s">
        <v>2383</v>
      </c>
      <c r="W2067" s="92" t="str">
        <f t="shared" si="139"/>
        <v>Casillas Gutierrez,Pablo</v>
      </c>
      <c r="X2067" s="95">
        <f t="shared" si="140"/>
        <v>6</v>
      </c>
      <c r="Y2067" s="95">
        <f t="shared" si="141"/>
        <v>2022</v>
      </c>
      <c r="Z2067" s="153" t="s">
        <v>266</v>
      </c>
      <c r="AA2067" t="str">
        <f>IF(Tabla1[[#This Row],[Kerma en aire acumulada (Gy)]]&gt;1,SUMIF(G:G,Tabla1[[#This Row],[SIP]],I:I)-Tabla1[[#This Row],[Kerma en aire acumulada (Gy)]],"")</f>
        <v/>
      </c>
    </row>
    <row r="2068" spans="3:27">
      <c r="C2068" s="144" t="str">
        <f t="shared" si="142"/>
        <v>Adulto</v>
      </c>
      <c r="D2068" s="95" t="s">
        <v>36</v>
      </c>
      <c r="E2068" s="95" t="s">
        <v>3209</v>
      </c>
      <c r="F2068" s="95" t="s">
        <v>3210</v>
      </c>
      <c r="G2068" s="95">
        <v>645204</v>
      </c>
      <c r="H2068" s="146">
        <v>44735</v>
      </c>
      <c r="I2068" s="95">
        <v>7.6800000000000002E-3</v>
      </c>
      <c r="J2068" s="95"/>
      <c r="K2068" s="95"/>
      <c r="L2068" s="95"/>
      <c r="M2068" s="95"/>
      <c r="N2068" s="95"/>
      <c r="O2068" s="95"/>
      <c r="P2068" s="95"/>
      <c r="Q2068" s="95"/>
      <c r="R2068" s="95"/>
      <c r="S2068" s="95"/>
      <c r="T2068" s="96">
        <v>25013</v>
      </c>
      <c r="U2068" s="95"/>
      <c r="V2068" s="95" t="s">
        <v>2383</v>
      </c>
      <c r="W2068" s="92" t="str">
        <f t="shared" si="139"/>
        <v>Ramos Compañ ,Maria Amparo</v>
      </c>
      <c r="X2068" s="95">
        <f t="shared" si="140"/>
        <v>6</v>
      </c>
      <c r="Y2068" s="95">
        <f t="shared" si="141"/>
        <v>2022</v>
      </c>
      <c r="Z2068" s="153" t="s">
        <v>266</v>
      </c>
      <c r="AA2068" t="str">
        <f>IF(Tabla1[[#This Row],[Kerma en aire acumulada (Gy)]]&gt;1,SUMIF(G:G,Tabla1[[#This Row],[SIP]],I:I)-Tabla1[[#This Row],[Kerma en aire acumulada (Gy)]],"")</f>
        <v/>
      </c>
    </row>
    <row r="2069" spans="3:27">
      <c r="C2069" s="144" t="str">
        <f t="shared" si="142"/>
        <v>Adulto</v>
      </c>
      <c r="D2069" s="95" t="s">
        <v>2887</v>
      </c>
      <c r="E2069" s="95" t="s">
        <v>1621</v>
      </c>
      <c r="F2069" s="95" t="s">
        <v>2183</v>
      </c>
      <c r="G2069" s="95">
        <v>2400056</v>
      </c>
      <c r="H2069" s="146">
        <v>44735</v>
      </c>
      <c r="I2069" s="95">
        <v>0.11985</v>
      </c>
      <c r="J2069" s="95"/>
      <c r="K2069" s="95"/>
      <c r="L2069" s="95"/>
      <c r="M2069" s="95"/>
      <c r="N2069" s="95"/>
      <c r="O2069" s="95"/>
      <c r="P2069" s="95"/>
      <c r="Q2069" s="95"/>
      <c r="R2069" s="95"/>
      <c r="S2069" s="95"/>
      <c r="T2069" s="96">
        <v>20147</v>
      </c>
      <c r="U2069" s="95"/>
      <c r="V2069" s="95" t="s">
        <v>1152</v>
      </c>
      <c r="W2069" s="92" t="str">
        <f t="shared" si="139"/>
        <v>Comes Ramon,Agustin</v>
      </c>
      <c r="X2069" s="95">
        <f t="shared" si="140"/>
        <v>6</v>
      </c>
      <c r="Y2069" s="95">
        <f t="shared" si="141"/>
        <v>2022</v>
      </c>
      <c r="Z2069" s="97" t="s">
        <v>265</v>
      </c>
      <c r="AA2069" t="str">
        <f>IF(Tabla1[[#This Row],[Kerma en aire acumulada (Gy)]]&gt;1,SUMIF(G:G,Tabla1[[#This Row],[SIP]],I:I)-Tabla1[[#This Row],[Kerma en aire acumulada (Gy)]],"")</f>
        <v/>
      </c>
    </row>
    <row r="2070" spans="3:27">
      <c r="C2070" s="144" t="str">
        <f t="shared" si="142"/>
        <v>Adulto</v>
      </c>
      <c r="D2070" s="95" t="s">
        <v>772</v>
      </c>
      <c r="E2070" s="95" t="s">
        <v>1275</v>
      </c>
      <c r="F2070" s="95" t="s">
        <v>3208</v>
      </c>
      <c r="G2070" s="95">
        <v>2872936</v>
      </c>
      <c r="H2070" s="146">
        <v>44735</v>
      </c>
      <c r="I2070" s="168">
        <v>1.0719700000000001</v>
      </c>
      <c r="J2070" s="95"/>
      <c r="K2070" s="95"/>
      <c r="L2070" s="95"/>
      <c r="M2070" s="95"/>
      <c r="N2070" s="95"/>
      <c r="O2070" s="95"/>
      <c r="P2070" s="95"/>
      <c r="Q2070" s="95"/>
      <c r="R2070" s="95"/>
      <c r="S2070" s="95"/>
      <c r="T2070" s="96">
        <v>20710</v>
      </c>
      <c r="U2070" s="95"/>
      <c r="V2070" s="95" t="s">
        <v>2995</v>
      </c>
      <c r="W2070" s="92" t="str">
        <f t="shared" si="139"/>
        <v>Sanchez Ramirez,Jesus Maria</v>
      </c>
      <c r="X2070" s="95">
        <f t="shared" si="140"/>
        <v>6</v>
      </c>
      <c r="Y2070" s="95">
        <f t="shared" si="141"/>
        <v>2022</v>
      </c>
      <c r="Z2070" s="97" t="s">
        <v>265</v>
      </c>
      <c r="AA2070">
        <f>IF(Tabla1[[#This Row],[Kerma en aire acumulada (Gy)]]&gt;1,SUMIF(G:G,Tabla1[[#This Row],[SIP]],I:I)-Tabla1[[#This Row],[Kerma en aire acumulada (Gy)]],"")</f>
        <v>0.74795999999999996</v>
      </c>
    </row>
    <row r="2071" spans="3:27">
      <c r="C2071" s="144" t="str">
        <f t="shared" si="142"/>
        <v>Adulto</v>
      </c>
      <c r="D2071" s="95" t="s">
        <v>3207</v>
      </c>
      <c r="E2071" s="95" t="s">
        <v>3206</v>
      </c>
      <c r="F2071" s="95" t="s">
        <v>664</v>
      </c>
      <c r="G2071" s="95">
        <v>3680137</v>
      </c>
      <c r="H2071" s="146">
        <v>44735</v>
      </c>
      <c r="I2071" s="95">
        <v>5.0680000000000003E-2</v>
      </c>
      <c r="J2071" s="95"/>
      <c r="K2071" s="95"/>
      <c r="L2071" s="95"/>
      <c r="M2071" s="95"/>
      <c r="N2071" s="95"/>
      <c r="O2071" s="95"/>
      <c r="P2071" s="95"/>
      <c r="Q2071" s="95"/>
      <c r="R2071" s="95"/>
      <c r="S2071" s="95"/>
      <c r="T2071" s="96">
        <v>11895</v>
      </c>
      <c r="U2071" s="95"/>
      <c r="V2071" s="95" t="s">
        <v>502</v>
      </c>
      <c r="W2071" s="92" t="str">
        <f t="shared" si="139"/>
        <v>Aleman Argudo,Jaime</v>
      </c>
      <c r="X2071" s="95">
        <f t="shared" si="140"/>
        <v>6</v>
      </c>
      <c r="Y2071" s="95">
        <f t="shared" si="141"/>
        <v>2022</v>
      </c>
      <c r="Z2071" s="97" t="s">
        <v>265</v>
      </c>
      <c r="AA2071" t="str">
        <f>IF(Tabla1[[#This Row],[Kerma en aire acumulada (Gy)]]&gt;1,SUMIF(G:G,Tabla1[[#This Row],[SIP]],I:I)-Tabla1[[#This Row],[Kerma en aire acumulada (Gy)]],"")</f>
        <v/>
      </c>
    </row>
    <row r="2072" spans="3:27">
      <c r="C2072" s="144" t="str">
        <f t="shared" si="142"/>
        <v>Adulto</v>
      </c>
      <c r="D2072" s="95" t="s">
        <v>1720</v>
      </c>
      <c r="E2072" s="95" t="s">
        <v>2910</v>
      </c>
      <c r="F2072" s="95" t="s">
        <v>774</v>
      </c>
      <c r="G2072" s="95">
        <v>2271062</v>
      </c>
      <c r="H2072" s="146">
        <v>44735</v>
      </c>
      <c r="I2072" s="95">
        <v>6.2100000000000002E-2</v>
      </c>
      <c r="J2072" s="95"/>
      <c r="K2072" s="95"/>
      <c r="L2072" s="95"/>
      <c r="M2072" s="95"/>
      <c r="N2072" s="95"/>
      <c r="O2072" s="95"/>
      <c r="P2072" s="95"/>
      <c r="Q2072" s="95"/>
      <c r="R2072" s="95"/>
      <c r="S2072" s="95"/>
      <c r="T2072" s="96">
        <v>23725</v>
      </c>
      <c r="U2072" s="95"/>
      <c r="V2072" s="95" t="s">
        <v>3052</v>
      </c>
      <c r="W2072" s="92" t="str">
        <f t="shared" si="139"/>
        <v>Coronado Macias,Antonia</v>
      </c>
      <c r="X2072" s="95">
        <f t="shared" si="140"/>
        <v>6</v>
      </c>
      <c r="Y2072" s="95">
        <f t="shared" si="141"/>
        <v>2022</v>
      </c>
      <c r="Z2072" s="97" t="s">
        <v>265</v>
      </c>
      <c r="AA2072" t="str">
        <f>IF(Tabla1[[#This Row],[Kerma en aire acumulada (Gy)]]&gt;1,SUMIF(G:G,Tabla1[[#This Row],[SIP]],I:I)-Tabla1[[#This Row],[Kerma en aire acumulada (Gy)]],"")</f>
        <v/>
      </c>
    </row>
    <row r="2073" spans="3:27">
      <c r="C2073" s="144" t="str">
        <f t="shared" si="142"/>
        <v>Adulto</v>
      </c>
      <c r="D2073" s="95" t="s">
        <v>3217</v>
      </c>
      <c r="E2073" s="95"/>
      <c r="F2073" s="95" t="s">
        <v>3218</v>
      </c>
      <c r="G2073" s="95">
        <v>13536845</v>
      </c>
      <c r="H2073" s="96">
        <v>44736</v>
      </c>
      <c r="I2073" s="95">
        <v>9.8559999999999995E-2</v>
      </c>
      <c r="J2073" s="95"/>
      <c r="K2073" s="95"/>
      <c r="L2073" s="95"/>
      <c r="M2073" s="95"/>
      <c r="N2073" s="95"/>
      <c r="O2073" s="95"/>
      <c r="P2073" s="95"/>
      <c r="Q2073" s="95"/>
      <c r="R2073" s="95"/>
      <c r="S2073" s="95"/>
      <c r="T2073" s="96">
        <v>18078</v>
      </c>
      <c r="U2073" s="95"/>
      <c r="V2073" s="95" t="s">
        <v>2383</v>
      </c>
      <c r="W2073" s="92" t="str">
        <f t="shared" si="139"/>
        <v>Gowers ,Christine Patricia</v>
      </c>
      <c r="X2073" s="95">
        <f t="shared" si="140"/>
        <v>6</v>
      </c>
      <c r="Y2073" s="95">
        <f t="shared" si="141"/>
        <v>2022</v>
      </c>
      <c r="Z2073" s="97" t="s">
        <v>266</v>
      </c>
      <c r="AA2073" t="str">
        <f>IF(Tabla1[[#This Row],[Kerma en aire acumulada (Gy)]]&gt;1,SUMIF(G:G,Tabla1[[#This Row],[SIP]],I:I)-Tabla1[[#This Row],[Kerma en aire acumulada (Gy)]],"")</f>
        <v/>
      </c>
    </row>
    <row r="2074" spans="3:27">
      <c r="C2074" s="144" t="str">
        <f t="shared" si="142"/>
        <v>Adulto</v>
      </c>
      <c r="D2074" s="95" t="s">
        <v>3215</v>
      </c>
      <c r="E2074" s="95"/>
      <c r="F2074" s="95" t="s">
        <v>3216</v>
      </c>
      <c r="G2074" s="95">
        <v>13536665</v>
      </c>
      <c r="H2074" s="96">
        <v>44736</v>
      </c>
      <c r="I2074" s="95">
        <v>0.80845999999999996</v>
      </c>
      <c r="J2074" s="95"/>
      <c r="K2074" s="95"/>
      <c r="L2074" s="95"/>
      <c r="M2074" s="95"/>
      <c r="N2074" s="95"/>
      <c r="O2074" s="95"/>
      <c r="P2074" s="95"/>
      <c r="Q2074" s="95"/>
      <c r="R2074" s="95"/>
      <c r="S2074" s="95"/>
      <c r="T2074" s="96">
        <v>37447</v>
      </c>
      <c r="U2074" s="95"/>
      <c r="V2074" s="95" t="s">
        <v>107</v>
      </c>
      <c r="W2074" s="92" t="str">
        <f t="shared" si="139"/>
        <v>Boulanger ,Evan Alan Emile</v>
      </c>
      <c r="X2074" s="95">
        <f t="shared" si="140"/>
        <v>6</v>
      </c>
      <c r="Y2074" s="95">
        <f t="shared" si="141"/>
        <v>2022</v>
      </c>
      <c r="Z2074" s="97" t="s">
        <v>265</v>
      </c>
      <c r="AA2074" t="str">
        <f>IF(Tabla1[[#This Row],[Kerma en aire acumulada (Gy)]]&gt;1,SUMIF(G:G,Tabla1[[#This Row],[SIP]],I:I)-Tabla1[[#This Row],[Kerma en aire acumulada (Gy)]],"")</f>
        <v/>
      </c>
    </row>
    <row r="2075" spans="3:27">
      <c r="C2075" s="94" t="str">
        <f t="shared" si="142"/>
        <v>Adulto</v>
      </c>
      <c r="D2075" s="95" t="s">
        <v>3219</v>
      </c>
      <c r="E2075" s="95"/>
      <c r="F2075" s="95" t="s">
        <v>3220</v>
      </c>
      <c r="G2075" s="95">
        <v>7680954</v>
      </c>
      <c r="H2075" s="96">
        <v>44737</v>
      </c>
      <c r="I2075" s="95">
        <v>0.22412000000000001</v>
      </c>
      <c r="J2075" s="95"/>
      <c r="K2075" s="95"/>
      <c r="L2075" s="95"/>
      <c r="M2075" s="95"/>
      <c r="N2075" s="95"/>
      <c r="O2075" s="95"/>
      <c r="P2075" s="95"/>
      <c r="Q2075" s="95"/>
      <c r="R2075" s="95"/>
      <c r="S2075" s="95"/>
      <c r="T2075" s="96">
        <v>27926</v>
      </c>
      <c r="U2075" s="95"/>
      <c r="V2075" s="95" t="s">
        <v>2383</v>
      </c>
      <c r="W2075" s="92" t="str">
        <f t="shared" si="139"/>
        <v>Khan ,Tasawar Ali</v>
      </c>
      <c r="X2075" s="95">
        <f t="shared" si="140"/>
        <v>6</v>
      </c>
      <c r="Y2075" s="95">
        <f t="shared" si="141"/>
        <v>2022</v>
      </c>
      <c r="Z2075" s="97" t="s">
        <v>266</v>
      </c>
      <c r="AA2075" t="str">
        <f>IF(Tabla1[[#This Row],[Kerma en aire acumulada (Gy)]]&gt;1,SUMIF(G:G,Tabla1[[#This Row],[SIP]],I:I)-Tabla1[[#This Row],[Kerma en aire acumulada (Gy)]],"")</f>
        <v/>
      </c>
    </row>
    <row r="2076" spans="3:27">
      <c r="C2076" s="94" t="str">
        <f t="shared" si="142"/>
        <v>Adulto</v>
      </c>
      <c r="D2076" s="95" t="s">
        <v>1601</v>
      </c>
      <c r="E2076" s="95" t="s">
        <v>354</v>
      </c>
      <c r="F2076" s="95" t="s">
        <v>546</v>
      </c>
      <c r="G2076" s="95">
        <v>249961</v>
      </c>
      <c r="H2076" s="96">
        <v>44737</v>
      </c>
      <c r="I2076" s="95">
        <v>0.29322999999999999</v>
      </c>
      <c r="J2076" s="95"/>
      <c r="K2076" s="95"/>
      <c r="L2076" s="95"/>
      <c r="M2076" s="95"/>
      <c r="N2076" s="95"/>
      <c r="O2076" s="95"/>
      <c r="P2076" s="95"/>
      <c r="Q2076" s="95"/>
      <c r="R2076" s="95"/>
      <c r="S2076" s="95"/>
      <c r="T2076" s="96">
        <v>22091</v>
      </c>
      <c r="U2076" s="95"/>
      <c r="V2076" s="95" t="s">
        <v>2383</v>
      </c>
      <c r="W2076" s="92" t="str">
        <f t="shared" si="139"/>
        <v>Fort Valverde,Luis</v>
      </c>
      <c r="X2076" s="95">
        <f t="shared" si="140"/>
        <v>6</v>
      </c>
      <c r="Y2076" s="95">
        <f t="shared" si="141"/>
        <v>2022</v>
      </c>
      <c r="Z2076" s="97" t="s">
        <v>266</v>
      </c>
      <c r="AA2076" t="str">
        <f>IF(Tabla1[[#This Row],[Kerma en aire acumulada (Gy)]]&gt;1,SUMIF(G:G,Tabla1[[#This Row],[SIP]],I:I)-Tabla1[[#This Row],[Kerma en aire acumulada (Gy)]],"")</f>
        <v/>
      </c>
    </row>
    <row r="2077" spans="3:27">
      <c r="C2077" s="94" t="str">
        <f t="shared" si="142"/>
        <v>Adulto</v>
      </c>
      <c r="D2077" s="95" t="s">
        <v>3226</v>
      </c>
      <c r="E2077" s="95"/>
      <c r="F2077" s="95" t="s">
        <v>3225</v>
      </c>
      <c r="G2077" s="95">
        <v>4763947</v>
      </c>
      <c r="H2077" s="96">
        <v>44738</v>
      </c>
      <c r="I2077" s="95">
        <v>0.51836000000000004</v>
      </c>
      <c r="J2077" s="95"/>
      <c r="K2077" s="95"/>
      <c r="L2077" s="95"/>
      <c r="M2077" s="95"/>
      <c r="N2077" s="95"/>
      <c r="O2077" s="95"/>
      <c r="P2077" s="95"/>
      <c r="Q2077" s="95"/>
      <c r="R2077" s="95"/>
      <c r="S2077" s="95"/>
      <c r="T2077" s="96">
        <v>27475</v>
      </c>
      <c r="U2077" s="95"/>
      <c r="V2077" s="95" t="s">
        <v>2383</v>
      </c>
      <c r="W2077" s="92" t="str">
        <f t="shared" si="139"/>
        <v>Isipato ,Angelo</v>
      </c>
      <c r="X2077" s="95">
        <f t="shared" si="140"/>
        <v>6</v>
      </c>
      <c r="Y2077" s="95">
        <f t="shared" si="141"/>
        <v>2022</v>
      </c>
      <c r="Z2077" s="97" t="s">
        <v>266</v>
      </c>
      <c r="AA2077" t="str">
        <f>IF(Tabla1[[#This Row],[Kerma en aire acumulada (Gy)]]&gt;1,SUMIF(G:G,Tabla1[[#This Row],[SIP]],I:I)-Tabla1[[#This Row],[Kerma en aire acumulada (Gy)]],"")</f>
        <v/>
      </c>
    </row>
    <row r="2078" spans="3:27">
      <c r="C2078" s="94" t="str">
        <f t="shared" si="142"/>
        <v>Adulto</v>
      </c>
      <c r="D2078" s="95" t="s">
        <v>3227</v>
      </c>
      <c r="E2078" s="95"/>
      <c r="F2078" s="95" t="s">
        <v>3224</v>
      </c>
      <c r="G2078" s="95">
        <v>9716529</v>
      </c>
      <c r="H2078" s="96">
        <v>44738</v>
      </c>
      <c r="I2078" s="95">
        <v>0.59377999999999997</v>
      </c>
      <c r="J2078" s="95"/>
      <c r="K2078" s="95"/>
      <c r="L2078" s="95"/>
      <c r="M2078" s="95"/>
      <c r="N2078" s="95"/>
      <c r="O2078" s="95"/>
      <c r="P2078" s="95"/>
      <c r="Q2078" s="95"/>
      <c r="R2078" s="95"/>
      <c r="S2078" s="95"/>
      <c r="T2078" s="96">
        <v>27332</v>
      </c>
      <c r="U2078" s="95"/>
      <c r="V2078" s="95" t="s">
        <v>2383</v>
      </c>
      <c r="W2078" s="92" t="str">
        <f t="shared" si="139"/>
        <v>Karapetyan ,Artur</v>
      </c>
      <c r="X2078" s="95">
        <f t="shared" si="140"/>
        <v>6</v>
      </c>
      <c r="Y2078" s="95">
        <f t="shared" si="141"/>
        <v>2022</v>
      </c>
      <c r="Z2078" s="97" t="s">
        <v>266</v>
      </c>
      <c r="AA2078" t="str">
        <f>IF(Tabla1[[#This Row],[Kerma en aire acumulada (Gy)]]&gt;1,SUMIF(G:G,Tabla1[[#This Row],[SIP]],I:I)-Tabla1[[#This Row],[Kerma en aire acumulada (Gy)]],"")</f>
        <v/>
      </c>
    </row>
    <row r="2079" spans="3:27">
      <c r="C2079" s="94" t="str">
        <f t="shared" si="142"/>
        <v>Adulto</v>
      </c>
      <c r="D2079" s="95" t="s">
        <v>539</v>
      </c>
      <c r="E2079" s="95" t="s">
        <v>2545</v>
      </c>
      <c r="F2079" s="95" t="s">
        <v>1104</v>
      </c>
      <c r="G2079" s="95">
        <v>4221864</v>
      </c>
      <c r="H2079" s="96">
        <v>44738</v>
      </c>
      <c r="I2079" s="95">
        <v>0.60892000000000002</v>
      </c>
      <c r="J2079" s="95"/>
      <c r="K2079" s="95"/>
      <c r="L2079" s="95"/>
      <c r="M2079" s="95"/>
      <c r="N2079" s="95"/>
      <c r="O2079" s="95"/>
      <c r="P2079" s="95"/>
      <c r="Q2079" s="95"/>
      <c r="R2079" s="95"/>
      <c r="S2079" s="95"/>
      <c r="T2079" s="96">
        <v>25312</v>
      </c>
      <c r="U2079" s="95"/>
      <c r="V2079" s="95" t="s">
        <v>2383</v>
      </c>
      <c r="W2079" s="92" t="str">
        <f t="shared" si="139"/>
        <v>Yuste Sebastian,Jose Luis</v>
      </c>
      <c r="X2079" s="95">
        <f t="shared" si="140"/>
        <v>6</v>
      </c>
      <c r="Y2079" s="95">
        <f t="shared" si="141"/>
        <v>2022</v>
      </c>
      <c r="Z2079" s="97" t="s">
        <v>266</v>
      </c>
      <c r="AA2079" t="str">
        <f>IF(Tabla1[[#This Row],[Kerma en aire acumulada (Gy)]]&gt;1,SUMIF(G:G,Tabla1[[#This Row],[SIP]],I:I)-Tabla1[[#This Row],[Kerma en aire acumulada (Gy)]],"")</f>
        <v/>
      </c>
    </row>
    <row r="2080" spans="3:27">
      <c r="C2080" s="94" t="str">
        <f t="shared" si="142"/>
        <v>Adulto</v>
      </c>
      <c r="D2080" s="95" t="s">
        <v>3222</v>
      </c>
      <c r="E2080" s="95" t="s">
        <v>3223</v>
      </c>
      <c r="F2080" s="95" t="s">
        <v>3010</v>
      </c>
      <c r="G2080" s="95">
        <v>13538348</v>
      </c>
      <c r="H2080" s="96">
        <v>44738</v>
      </c>
      <c r="I2080" s="95">
        <v>0.20555999999999999</v>
      </c>
      <c r="J2080" s="95"/>
      <c r="K2080" s="95"/>
      <c r="L2080" s="95"/>
      <c r="M2080" s="95"/>
      <c r="N2080" s="95"/>
      <c r="O2080" s="95"/>
      <c r="P2080" s="95"/>
      <c r="Q2080" s="95"/>
      <c r="R2080" s="95"/>
      <c r="S2080" s="95"/>
      <c r="T2080" s="96">
        <v>25204</v>
      </c>
      <c r="U2080" s="95"/>
      <c r="V2080" s="95" t="s">
        <v>2383</v>
      </c>
      <c r="W2080" s="92" t="str">
        <f t="shared" si="139"/>
        <v>Riaz Miamap,Mohamed</v>
      </c>
      <c r="X2080" s="95">
        <f t="shared" si="140"/>
        <v>6</v>
      </c>
      <c r="Y2080" s="95">
        <f t="shared" si="141"/>
        <v>2022</v>
      </c>
      <c r="Z2080" s="97" t="s">
        <v>266</v>
      </c>
      <c r="AA2080" t="str">
        <f>IF(Tabla1[[#This Row],[Kerma en aire acumulada (Gy)]]&gt;1,SUMIF(G:G,Tabla1[[#This Row],[SIP]],I:I)-Tabla1[[#This Row],[Kerma en aire acumulada (Gy)]],"")</f>
        <v/>
      </c>
    </row>
    <row r="2081" spans="3:27">
      <c r="C2081" s="94" t="str">
        <f t="shared" si="142"/>
        <v>Adulto</v>
      </c>
      <c r="D2081" s="95" t="s">
        <v>800</v>
      </c>
      <c r="E2081" s="95" t="s">
        <v>2491</v>
      </c>
      <c r="F2081" s="95" t="s">
        <v>2492</v>
      </c>
      <c r="G2081" s="95">
        <v>5297266</v>
      </c>
      <c r="H2081" s="96">
        <v>44738</v>
      </c>
      <c r="I2081" s="95">
        <v>0.57110000000000005</v>
      </c>
      <c r="J2081" s="95"/>
      <c r="K2081" s="95"/>
      <c r="L2081" s="95"/>
      <c r="M2081" s="95"/>
      <c r="N2081" s="95"/>
      <c r="O2081" s="95"/>
      <c r="P2081" s="95"/>
      <c r="Q2081" s="95"/>
      <c r="R2081" s="95"/>
      <c r="S2081" s="95"/>
      <c r="T2081" s="96">
        <v>22477</v>
      </c>
      <c r="U2081" s="95"/>
      <c r="V2081" s="95" t="s">
        <v>3221</v>
      </c>
      <c r="W2081" s="92" t="str">
        <f t="shared" si="139"/>
        <v>Zamora Sabadin,Hugo Ricardo</v>
      </c>
      <c r="X2081" s="95">
        <f t="shared" si="140"/>
        <v>6</v>
      </c>
      <c r="Y2081" s="95">
        <f t="shared" si="141"/>
        <v>2022</v>
      </c>
      <c r="Z2081" s="97" t="s">
        <v>265</v>
      </c>
      <c r="AA2081" t="str">
        <f>IF(Tabla1[[#This Row],[Kerma en aire acumulada (Gy)]]&gt;1,SUMIF(G:G,Tabla1[[#This Row],[SIP]],I:I)-Tabla1[[#This Row],[Kerma en aire acumulada (Gy)]],"")</f>
        <v/>
      </c>
    </row>
    <row r="2082" spans="3:27">
      <c r="C2082" s="94" t="str">
        <f t="shared" si="142"/>
        <v>Adulto</v>
      </c>
      <c r="D2082" s="95" t="s">
        <v>66</v>
      </c>
      <c r="E2082" s="95" t="s">
        <v>66</v>
      </c>
      <c r="F2082" s="95" t="s">
        <v>2815</v>
      </c>
      <c r="G2082" s="95">
        <v>2459629</v>
      </c>
      <c r="H2082" s="96">
        <v>44738</v>
      </c>
      <c r="I2082" s="95">
        <v>0.61392000000000002</v>
      </c>
      <c r="J2082" s="95"/>
      <c r="K2082" s="95"/>
      <c r="L2082" s="95"/>
      <c r="M2082" s="95"/>
      <c r="N2082" s="95"/>
      <c r="O2082" s="95"/>
      <c r="P2082" s="95"/>
      <c r="Q2082" s="95"/>
      <c r="R2082" s="95"/>
      <c r="S2082" s="95"/>
      <c r="T2082" s="96">
        <v>16156</v>
      </c>
      <c r="U2082" s="95"/>
      <c r="V2082" s="95" t="s">
        <v>3052</v>
      </c>
      <c r="W2082" s="92" t="str">
        <f t="shared" si="139"/>
        <v>Navarro Navarro,Encarnacion</v>
      </c>
      <c r="X2082" s="95">
        <f t="shared" si="140"/>
        <v>6</v>
      </c>
      <c r="Y2082" s="95">
        <f t="shared" si="141"/>
        <v>2022</v>
      </c>
      <c r="Z2082" s="97" t="s">
        <v>265</v>
      </c>
      <c r="AA2082" t="str">
        <f>IF(Tabla1[[#This Row],[Kerma en aire acumulada (Gy)]]&gt;1,SUMIF(G:G,Tabla1[[#This Row],[SIP]],I:I)-Tabla1[[#This Row],[Kerma en aire acumulada (Gy)]],"")</f>
        <v/>
      </c>
    </row>
    <row r="2083" spans="3:27">
      <c r="C2083" s="94" t="str">
        <f t="shared" si="142"/>
        <v>Adulto</v>
      </c>
      <c r="D2083" s="95" t="s">
        <v>2759</v>
      </c>
      <c r="E2083" s="95" t="s">
        <v>2901</v>
      </c>
      <c r="F2083" s="95" t="s">
        <v>2410</v>
      </c>
      <c r="G2083" s="95">
        <v>7481408</v>
      </c>
      <c r="H2083" s="96">
        <v>44739</v>
      </c>
      <c r="I2083" s="95">
        <v>2.094E-2</v>
      </c>
      <c r="J2083" s="95"/>
      <c r="K2083" s="95"/>
      <c r="L2083" s="95"/>
      <c r="M2083" s="95"/>
      <c r="N2083" s="95"/>
      <c r="O2083" s="95"/>
      <c r="P2083" s="95"/>
      <c r="Q2083" s="95"/>
      <c r="R2083" s="95"/>
      <c r="S2083" s="95"/>
      <c r="T2083" s="96">
        <v>19545</v>
      </c>
      <c r="U2083" s="95"/>
      <c r="V2083" s="95" t="s">
        <v>2309</v>
      </c>
      <c r="W2083" s="92" t="str">
        <f t="shared" si="139"/>
        <v>Vega Llorente,Jose Maria</v>
      </c>
      <c r="X2083" s="95">
        <f t="shared" si="140"/>
        <v>6</v>
      </c>
      <c r="Y2083" s="95">
        <f t="shared" si="141"/>
        <v>2022</v>
      </c>
      <c r="Z2083" s="97" t="s">
        <v>2238</v>
      </c>
      <c r="AA2083" t="str">
        <f>IF(Tabla1[[#This Row],[Kerma en aire acumulada (Gy)]]&gt;1,SUMIF(G:G,Tabla1[[#This Row],[SIP]],I:I)-Tabla1[[#This Row],[Kerma en aire acumulada (Gy)]],"")</f>
        <v/>
      </c>
    </row>
    <row r="2084" spans="3:27">
      <c r="C2084" s="94" t="str">
        <f t="shared" si="142"/>
        <v>Adulto</v>
      </c>
      <c r="D2084" s="95" t="s">
        <v>17</v>
      </c>
      <c r="E2084" s="95" t="s">
        <v>3239</v>
      </c>
      <c r="F2084" s="95" t="s">
        <v>88</v>
      </c>
      <c r="G2084" s="95">
        <v>3187866</v>
      </c>
      <c r="H2084" s="96">
        <v>44739</v>
      </c>
      <c r="I2084" s="95">
        <v>0.46887000000000001</v>
      </c>
      <c r="J2084" s="95"/>
      <c r="K2084" s="95"/>
      <c r="L2084" s="95"/>
      <c r="M2084" s="95"/>
      <c r="N2084" s="95"/>
      <c r="O2084" s="95"/>
      <c r="P2084" s="95"/>
      <c r="Q2084" s="95"/>
      <c r="R2084" s="95"/>
      <c r="S2084" s="95"/>
      <c r="T2084" s="96">
        <v>16628</v>
      </c>
      <c r="U2084" s="95"/>
      <c r="V2084" s="95" t="s">
        <v>2309</v>
      </c>
      <c r="W2084" s="92" t="str">
        <f t="shared" si="139"/>
        <v>Vicent Pradillas,Vicente</v>
      </c>
      <c r="X2084" s="95">
        <f t="shared" si="140"/>
        <v>6</v>
      </c>
      <c r="Y2084" s="95">
        <f t="shared" si="141"/>
        <v>2022</v>
      </c>
      <c r="Z2084" s="97" t="s">
        <v>2238</v>
      </c>
      <c r="AA2084" t="str">
        <f>IF(Tabla1[[#This Row],[Kerma en aire acumulada (Gy)]]&gt;1,SUMIF(G:G,Tabla1[[#This Row],[SIP]],I:I)-Tabla1[[#This Row],[Kerma en aire acumulada (Gy)]],"")</f>
        <v/>
      </c>
    </row>
    <row r="2085" spans="3:27">
      <c r="C2085" s="94" t="str">
        <f t="shared" si="142"/>
        <v>Adulto</v>
      </c>
      <c r="D2085" s="95" t="s">
        <v>43</v>
      </c>
      <c r="E2085" s="95" t="s">
        <v>2143</v>
      </c>
      <c r="F2085" s="95" t="s">
        <v>1771</v>
      </c>
      <c r="G2085" s="95">
        <v>3128984</v>
      </c>
      <c r="H2085" s="96">
        <v>44739</v>
      </c>
      <c r="I2085" s="176">
        <v>3.3574600000000001</v>
      </c>
      <c r="J2085" s="95"/>
      <c r="K2085" s="95"/>
      <c r="L2085" s="95"/>
      <c r="M2085" s="95"/>
      <c r="N2085" s="95"/>
      <c r="O2085" s="95"/>
      <c r="P2085" s="95"/>
      <c r="Q2085" s="95"/>
      <c r="R2085" s="95"/>
      <c r="S2085" s="95"/>
      <c r="T2085" s="96">
        <v>15552</v>
      </c>
      <c r="U2085" s="95"/>
      <c r="V2085" s="95" t="s">
        <v>2383</v>
      </c>
      <c r="W2085" s="92" t="str">
        <f t="shared" si="139"/>
        <v>Cuenca Dominguez,Tomas</v>
      </c>
      <c r="X2085" s="95">
        <f t="shared" si="140"/>
        <v>6</v>
      </c>
      <c r="Y2085" s="95">
        <f t="shared" si="141"/>
        <v>2022</v>
      </c>
      <c r="Z2085" s="97" t="s">
        <v>266</v>
      </c>
      <c r="AA2085">
        <f>IF(Tabla1[[#This Row],[Kerma en aire acumulada (Gy)]]&gt;1,SUMIF(G:G,Tabla1[[#This Row],[SIP]],I:I)-Tabla1[[#This Row],[Kerma en aire acumulada (Gy)]],"")</f>
        <v>0.26526000000000005</v>
      </c>
    </row>
    <row r="2086" spans="3:27">
      <c r="C2086" s="94" t="str">
        <f t="shared" si="142"/>
        <v>Adulto</v>
      </c>
      <c r="D2086" s="95" t="s">
        <v>3195</v>
      </c>
      <c r="E2086" s="95" t="s">
        <v>1837</v>
      </c>
      <c r="F2086" s="95" t="s">
        <v>3196</v>
      </c>
      <c r="G2086" s="95">
        <v>12510681</v>
      </c>
      <c r="H2086" s="96">
        <v>44739</v>
      </c>
      <c r="I2086" s="168">
        <v>2.5406399999999998</v>
      </c>
      <c r="J2086" s="95"/>
      <c r="K2086" s="95"/>
      <c r="L2086" s="95"/>
      <c r="M2086" s="95"/>
      <c r="N2086" s="95"/>
      <c r="O2086" s="95"/>
      <c r="P2086" s="95"/>
      <c r="Q2086" s="95"/>
      <c r="R2086" s="95"/>
      <c r="S2086" s="95"/>
      <c r="T2086" s="96">
        <v>25781</v>
      </c>
      <c r="U2086" s="95"/>
      <c r="V2086" s="95" t="s">
        <v>2383</v>
      </c>
      <c r="W2086" s="92" t="str">
        <f t="shared" si="139"/>
        <v>Alvarado Rodriguez,Hugo Alexis</v>
      </c>
      <c r="X2086" s="95">
        <f t="shared" si="140"/>
        <v>6</v>
      </c>
      <c r="Y2086" s="95">
        <f t="shared" si="141"/>
        <v>2022</v>
      </c>
      <c r="Z2086" s="97" t="s">
        <v>266</v>
      </c>
      <c r="AA2086">
        <f>IF(Tabla1[[#This Row],[Kerma en aire acumulada (Gy)]]&gt;1,SUMIF(G:G,Tabla1[[#This Row],[SIP]],I:I)-Tabla1[[#This Row],[Kerma en aire acumulada (Gy)]],"")</f>
        <v>0.29992999999999981</v>
      </c>
    </row>
    <row r="2087" spans="3:27">
      <c r="C2087" s="94" t="str">
        <f t="shared" si="142"/>
        <v>Adulto</v>
      </c>
      <c r="D2087" s="95" t="s">
        <v>3212</v>
      </c>
      <c r="E2087" s="95" t="s">
        <v>839</v>
      </c>
      <c r="F2087" s="95" t="s">
        <v>1196</v>
      </c>
      <c r="G2087" s="95">
        <v>3724710</v>
      </c>
      <c r="H2087" s="96">
        <v>44739</v>
      </c>
      <c r="I2087" s="168">
        <v>1.15235</v>
      </c>
      <c r="J2087" s="95"/>
      <c r="K2087" s="95"/>
      <c r="L2087" s="95"/>
      <c r="M2087" s="95"/>
      <c r="N2087" s="95"/>
      <c r="O2087" s="95"/>
      <c r="P2087" s="95"/>
      <c r="Q2087" s="95"/>
      <c r="R2087" s="95"/>
      <c r="S2087" s="95"/>
      <c r="T2087" s="96">
        <v>20075</v>
      </c>
      <c r="U2087" s="95"/>
      <c r="V2087" s="95" t="s">
        <v>2383</v>
      </c>
      <c r="W2087" s="92" t="str">
        <f t="shared" si="139"/>
        <v>Chisvert Ferrer,Emilia</v>
      </c>
      <c r="X2087" s="95">
        <f t="shared" si="140"/>
        <v>6</v>
      </c>
      <c r="Y2087" s="95">
        <f t="shared" si="141"/>
        <v>2022</v>
      </c>
      <c r="Z2087" s="97" t="s">
        <v>266</v>
      </c>
      <c r="AA2087">
        <f>IF(Tabla1[[#This Row],[Kerma en aire acumulada (Gy)]]&gt;1,SUMIF(G:G,Tabla1[[#This Row],[SIP]],I:I)-Tabla1[[#This Row],[Kerma en aire acumulada (Gy)]],"")</f>
        <v>0</v>
      </c>
    </row>
    <row r="2088" spans="3:27">
      <c r="C2088" s="94" t="str">
        <f t="shared" si="142"/>
        <v>Adulto</v>
      </c>
      <c r="D2088" s="95" t="s">
        <v>1891</v>
      </c>
      <c r="E2088" s="95" t="s">
        <v>3044</v>
      </c>
      <c r="F2088" s="95" t="s">
        <v>1023</v>
      </c>
      <c r="G2088" s="95">
        <v>2070752</v>
      </c>
      <c r="H2088" s="96">
        <v>44739</v>
      </c>
      <c r="I2088" s="95">
        <v>0.12792000000000001</v>
      </c>
      <c r="J2088" s="95"/>
      <c r="K2088" s="95"/>
      <c r="L2088" s="95"/>
      <c r="M2088" s="95"/>
      <c r="N2088" s="95"/>
      <c r="O2088" s="95"/>
      <c r="P2088" s="95"/>
      <c r="Q2088" s="95"/>
      <c r="R2088" s="95"/>
      <c r="S2088" s="95"/>
      <c r="T2088" s="96">
        <v>16669</v>
      </c>
      <c r="U2088" s="95"/>
      <c r="V2088" s="95" t="s">
        <v>2383</v>
      </c>
      <c r="W2088" s="92" t="str">
        <f t="shared" si="139"/>
        <v>Segura Serra,Desamparados</v>
      </c>
      <c r="X2088" s="95">
        <f t="shared" si="140"/>
        <v>6</v>
      </c>
      <c r="Y2088" s="95">
        <f t="shared" si="141"/>
        <v>2022</v>
      </c>
      <c r="Z2088" s="97" t="s">
        <v>266</v>
      </c>
      <c r="AA2088" t="str">
        <f>IF(Tabla1[[#This Row],[Kerma en aire acumulada (Gy)]]&gt;1,SUMIF(G:G,Tabla1[[#This Row],[SIP]],I:I)-Tabla1[[#This Row],[Kerma en aire acumulada (Gy)]],"")</f>
        <v/>
      </c>
    </row>
    <row r="2089" spans="3:27">
      <c r="C2089" s="94" t="str">
        <f t="shared" si="142"/>
        <v>Adulto</v>
      </c>
      <c r="D2089" s="95" t="s">
        <v>3179</v>
      </c>
      <c r="E2089" s="95" t="s">
        <v>3238</v>
      </c>
      <c r="F2089" s="95" t="s">
        <v>356</v>
      </c>
      <c r="G2089" s="95">
        <v>2913996</v>
      </c>
      <c r="H2089" s="96">
        <v>44739</v>
      </c>
      <c r="I2089" s="95">
        <v>0.90246999999999999</v>
      </c>
      <c r="J2089" s="95"/>
      <c r="K2089" s="95"/>
      <c r="L2089" s="95"/>
      <c r="M2089" s="95"/>
      <c r="N2089" s="95"/>
      <c r="O2089" s="95"/>
      <c r="P2089" s="95"/>
      <c r="Q2089" s="95"/>
      <c r="R2089" s="95"/>
      <c r="S2089" s="95"/>
      <c r="T2089" s="96">
        <v>22327</v>
      </c>
      <c r="U2089" s="95"/>
      <c r="V2089" s="95" t="s">
        <v>2383</v>
      </c>
      <c r="W2089" s="92" t="str">
        <f t="shared" si="139"/>
        <v>Valls Sangeronimo,Manuel</v>
      </c>
      <c r="X2089" s="95">
        <f t="shared" si="140"/>
        <v>6</v>
      </c>
      <c r="Y2089" s="95">
        <f t="shared" si="141"/>
        <v>2022</v>
      </c>
      <c r="Z2089" s="97" t="s">
        <v>266</v>
      </c>
      <c r="AA2089" t="str">
        <f>IF(Tabla1[[#This Row],[Kerma en aire acumulada (Gy)]]&gt;1,SUMIF(G:G,Tabla1[[#This Row],[SIP]],I:I)-Tabla1[[#This Row],[Kerma en aire acumulada (Gy)]],"")</f>
        <v/>
      </c>
    </row>
    <row r="2090" spans="3:27">
      <c r="C2090" s="94" t="str">
        <f t="shared" si="142"/>
        <v>Adulto</v>
      </c>
      <c r="D2090" s="95" t="s">
        <v>1262</v>
      </c>
      <c r="E2090" s="95" t="s">
        <v>3171</v>
      </c>
      <c r="F2090" s="95" t="s">
        <v>3172</v>
      </c>
      <c r="G2090" s="95">
        <v>2936152</v>
      </c>
      <c r="H2090" s="96">
        <v>44739</v>
      </c>
      <c r="I2090" s="95">
        <v>0.53720999999999997</v>
      </c>
      <c r="J2090" s="95"/>
      <c r="K2090" s="95"/>
      <c r="L2090" s="95"/>
      <c r="M2090" s="95"/>
      <c r="N2090" s="95"/>
      <c r="O2090" s="95"/>
      <c r="P2090" s="95"/>
      <c r="Q2090" s="95"/>
      <c r="R2090" s="95"/>
      <c r="S2090" s="95"/>
      <c r="T2090" s="96">
        <v>22923</v>
      </c>
      <c r="U2090" s="95"/>
      <c r="V2090" s="95" t="s">
        <v>2383</v>
      </c>
      <c r="W2090" s="92" t="str">
        <f t="shared" ref="W2090:W2153" si="143">CONCATENATE(D2090,$A$591,E2090,",",F2090)</f>
        <v>Diaz Tapiador,Feliciano</v>
      </c>
      <c r="X2090" s="95">
        <f t="shared" ref="X2090:X2153" si="144">MONTH(H2090)</f>
        <v>6</v>
      </c>
      <c r="Y2090" s="95">
        <f t="shared" ref="Y2090:Y2153" si="145">YEAR(H2090)</f>
        <v>2022</v>
      </c>
      <c r="Z2090" s="97" t="s">
        <v>266</v>
      </c>
      <c r="AA2090" t="str">
        <f>IF(Tabla1[[#This Row],[Kerma en aire acumulada (Gy)]]&gt;1,SUMIF(G:G,Tabla1[[#This Row],[SIP]],I:I)-Tabla1[[#This Row],[Kerma en aire acumulada (Gy)]],"")</f>
        <v/>
      </c>
    </row>
    <row r="2091" spans="3:27">
      <c r="C2091" s="94" t="str">
        <f t="shared" si="142"/>
        <v>Adulto</v>
      </c>
      <c r="D2091" s="95" t="s">
        <v>960</v>
      </c>
      <c r="E2091" s="95" t="s">
        <v>1164</v>
      </c>
      <c r="F2091" s="95" t="s">
        <v>3237</v>
      </c>
      <c r="G2091" s="95">
        <v>2889757</v>
      </c>
      <c r="H2091" s="96">
        <v>44739</v>
      </c>
      <c r="I2091" s="95">
        <v>0.14052000000000001</v>
      </c>
      <c r="J2091" s="95"/>
      <c r="K2091" s="95"/>
      <c r="L2091" s="95"/>
      <c r="M2091" s="95"/>
      <c r="N2091" s="95"/>
      <c r="O2091" s="95"/>
      <c r="P2091" s="95"/>
      <c r="Q2091" s="95"/>
      <c r="R2091" s="95"/>
      <c r="S2091" s="95"/>
      <c r="T2091" s="96">
        <v>25037</v>
      </c>
      <c r="U2091" s="95"/>
      <c r="V2091" s="95" t="s">
        <v>2383</v>
      </c>
      <c r="W2091" s="92" t="str">
        <f t="shared" si="143"/>
        <v>Lopez Olmos,Vicente Javier</v>
      </c>
      <c r="X2091" s="95">
        <f t="shared" si="144"/>
        <v>6</v>
      </c>
      <c r="Y2091" s="95">
        <f t="shared" si="145"/>
        <v>2022</v>
      </c>
      <c r="Z2091" s="97" t="s">
        <v>266</v>
      </c>
      <c r="AA2091" t="str">
        <f>IF(Tabla1[[#This Row],[Kerma en aire acumulada (Gy)]]&gt;1,SUMIF(G:G,Tabla1[[#This Row],[SIP]],I:I)-Tabla1[[#This Row],[Kerma en aire acumulada (Gy)]],"")</f>
        <v/>
      </c>
    </row>
    <row r="2092" spans="3:27">
      <c r="C2092" s="94" t="str">
        <f t="shared" si="142"/>
        <v>Adulto</v>
      </c>
      <c r="D2092" s="95" t="s">
        <v>3080</v>
      </c>
      <c r="E2092" s="95" t="s">
        <v>1103</v>
      </c>
      <c r="F2092" s="95" t="s">
        <v>1155</v>
      </c>
      <c r="G2092" s="95">
        <v>3127372</v>
      </c>
      <c r="H2092" s="96">
        <v>44739</v>
      </c>
      <c r="I2092" s="95">
        <v>0.13888</v>
      </c>
      <c r="J2092" s="95"/>
      <c r="K2092" s="95"/>
      <c r="L2092" s="95"/>
      <c r="M2092" s="95"/>
      <c r="N2092" s="95"/>
      <c r="O2092" s="95"/>
      <c r="P2092" s="95"/>
      <c r="Q2092" s="95"/>
      <c r="R2092" s="95"/>
      <c r="S2092" s="95"/>
      <c r="T2092" s="96">
        <v>11303</v>
      </c>
      <c r="U2092" s="95"/>
      <c r="V2092" s="95" t="s">
        <v>2383</v>
      </c>
      <c r="W2092" s="92" t="str">
        <f t="shared" si="143"/>
        <v>Forner Flores,Maria</v>
      </c>
      <c r="X2092" s="95">
        <f t="shared" si="144"/>
        <v>6</v>
      </c>
      <c r="Y2092" s="95">
        <f t="shared" si="145"/>
        <v>2022</v>
      </c>
      <c r="Z2092" s="97" t="s">
        <v>266</v>
      </c>
      <c r="AA2092" t="str">
        <f>IF(Tabla1[[#This Row],[Kerma en aire acumulada (Gy)]]&gt;1,SUMIF(G:G,Tabla1[[#This Row],[SIP]],I:I)-Tabla1[[#This Row],[Kerma en aire acumulada (Gy)]],"")</f>
        <v/>
      </c>
    </row>
    <row r="2093" spans="3:27">
      <c r="C2093" s="94" t="str">
        <f t="shared" si="142"/>
        <v>Adulto</v>
      </c>
      <c r="D2093" s="95" t="s">
        <v>3235</v>
      </c>
      <c r="E2093" s="95" t="s">
        <v>2779</v>
      </c>
      <c r="F2093" s="95" t="s">
        <v>3236</v>
      </c>
      <c r="G2093" s="95">
        <v>1862156</v>
      </c>
      <c r="H2093" s="96">
        <v>44739</v>
      </c>
      <c r="I2093" s="95">
        <v>0.11372</v>
      </c>
      <c r="J2093" s="95"/>
      <c r="K2093" s="95"/>
      <c r="L2093" s="95"/>
      <c r="M2093" s="95"/>
      <c r="N2093" s="95"/>
      <c r="O2093" s="95"/>
      <c r="P2093" s="95"/>
      <c r="Q2093" s="95"/>
      <c r="R2093" s="95"/>
      <c r="S2093" s="95"/>
      <c r="T2093" s="96">
        <v>19617</v>
      </c>
      <c r="U2093" s="95"/>
      <c r="V2093" s="95" t="s">
        <v>2383</v>
      </c>
      <c r="W2093" s="92" t="str">
        <f t="shared" si="143"/>
        <v>Motes Mulet,Alfonso Coran</v>
      </c>
      <c r="X2093" s="95">
        <f t="shared" si="144"/>
        <v>6</v>
      </c>
      <c r="Y2093" s="95">
        <f t="shared" si="145"/>
        <v>2022</v>
      </c>
      <c r="Z2093" s="97" t="s">
        <v>266</v>
      </c>
      <c r="AA2093" t="str">
        <f>IF(Tabla1[[#This Row],[Kerma en aire acumulada (Gy)]]&gt;1,SUMIF(G:G,Tabla1[[#This Row],[SIP]],I:I)-Tabla1[[#This Row],[Kerma en aire acumulada (Gy)]],"")</f>
        <v/>
      </c>
    </row>
    <row r="2094" spans="3:27">
      <c r="C2094" s="94" t="str">
        <f t="shared" si="142"/>
        <v>Adulto</v>
      </c>
      <c r="D2094" s="95" t="s">
        <v>985</v>
      </c>
      <c r="E2094" s="95" t="s">
        <v>3234</v>
      </c>
      <c r="F2094" s="95" t="s">
        <v>2082</v>
      </c>
      <c r="G2094" s="95">
        <v>5525826</v>
      </c>
      <c r="H2094" s="96">
        <v>44739</v>
      </c>
      <c r="I2094" s="95">
        <v>0.94111999999999996</v>
      </c>
      <c r="J2094" s="95"/>
      <c r="K2094" s="95"/>
      <c r="L2094" s="95"/>
      <c r="M2094" s="95"/>
      <c r="N2094" s="95"/>
      <c r="O2094" s="95"/>
      <c r="P2094" s="95"/>
      <c r="Q2094" s="95"/>
      <c r="R2094" s="95"/>
      <c r="S2094" s="95"/>
      <c r="T2094" s="96">
        <v>21679</v>
      </c>
      <c r="U2094" s="95"/>
      <c r="V2094" s="95" t="s">
        <v>260</v>
      </c>
      <c r="W2094" s="92" t="str">
        <f t="shared" si="143"/>
        <v>Plaza Ocaña,Maria Jesus</v>
      </c>
      <c r="X2094" s="95">
        <f t="shared" si="144"/>
        <v>6</v>
      </c>
      <c r="Y2094" s="95">
        <f t="shared" si="145"/>
        <v>2022</v>
      </c>
      <c r="Z2094" s="97" t="s">
        <v>265</v>
      </c>
      <c r="AA2094" t="str">
        <f>IF(Tabla1[[#This Row],[Kerma en aire acumulada (Gy)]]&gt;1,SUMIF(G:G,Tabla1[[#This Row],[SIP]],I:I)-Tabla1[[#This Row],[Kerma en aire acumulada (Gy)]],"")</f>
        <v/>
      </c>
    </row>
    <row r="2095" spans="3:27">
      <c r="C2095" s="94" t="str">
        <f t="shared" si="142"/>
        <v>Adulto</v>
      </c>
      <c r="D2095" s="95" t="s">
        <v>2697</v>
      </c>
      <c r="E2095" s="95" t="s">
        <v>1639</v>
      </c>
      <c r="F2095" s="95" t="s">
        <v>1658</v>
      </c>
      <c r="G2095" s="95">
        <v>2464026</v>
      </c>
      <c r="H2095" s="96">
        <v>44739</v>
      </c>
      <c r="I2095" s="95">
        <v>1.137E-2</v>
      </c>
      <c r="J2095" s="95"/>
      <c r="K2095" s="95"/>
      <c r="L2095" s="95"/>
      <c r="M2095" s="95"/>
      <c r="N2095" s="95"/>
      <c r="O2095" s="95"/>
      <c r="P2095" s="95"/>
      <c r="Q2095" s="95"/>
      <c r="R2095" s="95"/>
      <c r="S2095" s="95"/>
      <c r="T2095" s="96">
        <v>21924</v>
      </c>
      <c r="U2095" s="95"/>
      <c r="V2095" s="95" t="s">
        <v>1113</v>
      </c>
      <c r="W2095" s="92" t="str">
        <f t="shared" si="143"/>
        <v>Tormos Zarzo,Alfredo</v>
      </c>
      <c r="X2095" s="95">
        <f t="shared" si="144"/>
        <v>6</v>
      </c>
      <c r="Y2095" s="95">
        <f t="shared" si="145"/>
        <v>2022</v>
      </c>
      <c r="Z2095" s="97" t="s">
        <v>265</v>
      </c>
      <c r="AA2095" t="str">
        <f>IF(Tabla1[[#This Row],[Kerma en aire acumulada (Gy)]]&gt;1,SUMIF(G:G,Tabla1[[#This Row],[SIP]],I:I)-Tabla1[[#This Row],[Kerma en aire acumulada (Gy)]],"")</f>
        <v/>
      </c>
    </row>
    <row r="2096" spans="3:27">
      <c r="C2096" s="94" t="str">
        <f t="shared" si="142"/>
        <v>Adulto</v>
      </c>
      <c r="D2096" s="175" t="s">
        <v>105</v>
      </c>
      <c r="E2096" s="95" t="s">
        <v>3233</v>
      </c>
      <c r="F2096" s="95" t="s">
        <v>635</v>
      </c>
      <c r="G2096" s="95">
        <v>3736050</v>
      </c>
      <c r="H2096" s="96">
        <v>44739</v>
      </c>
      <c r="I2096" s="95">
        <v>0.24983</v>
      </c>
      <c r="J2096" s="95"/>
      <c r="K2096" s="95"/>
      <c r="L2096" s="95"/>
      <c r="M2096" s="95"/>
      <c r="N2096" s="95"/>
      <c r="O2096" s="95"/>
      <c r="P2096" s="95"/>
      <c r="Q2096" s="95"/>
      <c r="R2096" s="95"/>
      <c r="S2096" s="95"/>
      <c r="T2096" s="96">
        <v>20345</v>
      </c>
      <c r="U2096" s="95"/>
      <c r="V2096" s="95" t="s">
        <v>2995</v>
      </c>
      <c r="W2096" s="92" t="str">
        <f t="shared" si="143"/>
        <v>Soriano Barquero,Enrique</v>
      </c>
      <c r="X2096" s="95">
        <f t="shared" si="144"/>
        <v>6</v>
      </c>
      <c r="Y2096" s="95">
        <f t="shared" si="145"/>
        <v>2022</v>
      </c>
      <c r="Z2096" s="97" t="s">
        <v>265</v>
      </c>
      <c r="AA2096" t="str">
        <f>IF(Tabla1[[#This Row],[Kerma en aire acumulada (Gy)]]&gt;1,SUMIF(G:G,Tabla1[[#This Row],[SIP]],I:I)-Tabla1[[#This Row],[Kerma en aire acumulada (Gy)]],"")</f>
        <v/>
      </c>
    </row>
    <row r="2097" spans="3:27">
      <c r="C2097" s="94" t="str">
        <f t="shared" si="142"/>
        <v>Adulto</v>
      </c>
      <c r="D2097" s="95" t="s">
        <v>3231</v>
      </c>
      <c r="E2097" s="95" t="s">
        <v>1587</v>
      </c>
      <c r="F2097" s="95" t="s">
        <v>3232</v>
      </c>
      <c r="G2097" s="95">
        <v>4951563</v>
      </c>
      <c r="H2097" s="96">
        <v>44739</v>
      </c>
      <c r="I2097" s="95">
        <v>0.12386999999999999</v>
      </c>
      <c r="J2097" s="95"/>
      <c r="K2097" s="95"/>
      <c r="L2097" s="95"/>
      <c r="M2097" s="95"/>
      <c r="N2097" s="95"/>
      <c r="O2097" s="95"/>
      <c r="P2097" s="95"/>
      <c r="Q2097" s="95"/>
      <c r="R2097" s="95"/>
      <c r="S2097" s="95"/>
      <c r="T2097" s="96">
        <v>32777</v>
      </c>
      <c r="U2097" s="95"/>
      <c r="V2097" s="95" t="s">
        <v>2995</v>
      </c>
      <c r="W2097" s="92" t="str">
        <f t="shared" si="143"/>
        <v>Cruz  Jimenez,Regina Angelica</v>
      </c>
      <c r="X2097" s="95">
        <f t="shared" si="144"/>
        <v>6</v>
      </c>
      <c r="Y2097" s="95">
        <f t="shared" si="145"/>
        <v>2022</v>
      </c>
      <c r="Z2097" s="97" t="s">
        <v>265</v>
      </c>
      <c r="AA2097" t="str">
        <f>IF(Tabla1[[#This Row],[Kerma en aire acumulada (Gy)]]&gt;1,SUMIF(G:G,Tabla1[[#This Row],[SIP]],I:I)-Tabla1[[#This Row],[Kerma en aire acumulada (Gy)]],"")</f>
        <v/>
      </c>
    </row>
    <row r="2098" spans="3:27">
      <c r="C2098" s="94" t="str">
        <f t="shared" si="142"/>
        <v>Adulto</v>
      </c>
      <c r="D2098" s="95" t="s">
        <v>772</v>
      </c>
      <c r="E2098" s="95" t="s">
        <v>1275</v>
      </c>
      <c r="F2098" s="95" t="s">
        <v>3208</v>
      </c>
      <c r="G2098" s="95">
        <v>2872936</v>
      </c>
      <c r="H2098" s="96">
        <v>44739</v>
      </c>
      <c r="I2098" s="95">
        <v>0.74795999999999996</v>
      </c>
      <c r="J2098" s="95"/>
      <c r="K2098" s="95"/>
      <c r="L2098" s="95"/>
      <c r="M2098" s="95"/>
      <c r="N2098" s="95"/>
      <c r="O2098" s="95"/>
      <c r="P2098" s="95"/>
      <c r="Q2098" s="95"/>
      <c r="R2098" s="95"/>
      <c r="S2098" s="95"/>
      <c r="T2098" s="96">
        <v>20710</v>
      </c>
      <c r="U2098" s="95"/>
      <c r="V2098" s="95" t="s">
        <v>3230</v>
      </c>
      <c r="W2098" s="92" t="str">
        <f t="shared" si="143"/>
        <v>Sanchez Ramirez,Jesus Maria</v>
      </c>
      <c r="X2098" s="95">
        <f t="shared" si="144"/>
        <v>6</v>
      </c>
      <c r="Y2098" s="95">
        <f t="shared" si="145"/>
        <v>2022</v>
      </c>
      <c r="Z2098" s="97" t="s">
        <v>265</v>
      </c>
      <c r="AA2098" t="str">
        <f>IF(Tabla1[[#This Row],[Kerma en aire acumulada (Gy)]]&gt;1,SUMIF(G:G,Tabla1[[#This Row],[SIP]],I:I)-Tabla1[[#This Row],[Kerma en aire acumulada (Gy)]],"")</f>
        <v/>
      </c>
    </row>
    <row r="2099" spans="3:27">
      <c r="C2099" s="94" t="str">
        <f t="shared" si="142"/>
        <v>Adulto</v>
      </c>
      <c r="D2099" s="95" t="s">
        <v>152</v>
      </c>
      <c r="E2099" s="95" t="s">
        <v>1740</v>
      </c>
      <c r="F2099" s="95" t="s">
        <v>3228</v>
      </c>
      <c r="G2099" s="95">
        <v>4987381</v>
      </c>
      <c r="H2099" s="96">
        <v>44739</v>
      </c>
      <c r="I2099" s="95">
        <v>0.31272</v>
      </c>
      <c r="J2099" s="95"/>
      <c r="K2099" s="95"/>
      <c r="L2099" s="95"/>
      <c r="M2099" s="95"/>
      <c r="N2099" s="95"/>
      <c r="O2099" s="95"/>
      <c r="P2099" s="95"/>
      <c r="Q2099" s="95"/>
      <c r="R2099" s="95"/>
      <c r="S2099" s="95"/>
      <c r="T2099" s="96">
        <v>24678</v>
      </c>
      <c r="U2099" s="95"/>
      <c r="V2099" s="95" t="s">
        <v>3229</v>
      </c>
      <c r="W2099" s="92" t="str">
        <f t="shared" si="143"/>
        <v>Vidal Vila,Jose Pascual</v>
      </c>
      <c r="X2099" s="95">
        <f t="shared" si="144"/>
        <v>6</v>
      </c>
      <c r="Y2099" s="95">
        <f t="shared" si="145"/>
        <v>2022</v>
      </c>
      <c r="Z2099" s="97" t="s">
        <v>265</v>
      </c>
      <c r="AA2099" t="str">
        <f>IF(Tabla1[[#This Row],[Kerma en aire acumulada (Gy)]]&gt;1,SUMIF(G:G,Tabla1[[#This Row],[SIP]],I:I)-Tabla1[[#This Row],[Kerma en aire acumulada (Gy)]],"")</f>
        <v/>
      </c>
    </row>
    <row r="2100" spans="3:27">
      <c r="C2100" s="144" t="str">
        <f t="shared" si="142"/>
        <v>Adulto</v>
      </c>
      <c r="D2100" s="95" t="s">
        <v>839</v>
      </c>
      <c r="E2100" s="95" t="s">
        <v>3255</v>
      </c>
      <c r="F2100" s="95" t="s">
        <v>106</v>
      </c>
      <c r="G2100" s="95">
        <v>6101861</v>
      </c>
      <c r="H2100" s="96">
        <v>44740</v>
      </c>
      <c r="I2100" s="95">
        <v>2.3E-2</v>
      </c>
      <c r="J2100" s="95"/>
      <c r="K2100" s="95"/>
      <c r="L2100" s="95"/>
      <c r="M2100" s="95"/>
      <c r="N2100" s="95"/>
      <c r="O2100" s="95"/>
      <c r="P2100" s="95"/>
      <c r="Q2100" s="95"/>
      <c r="R2100" s="95"/>
      <c r="S2100" s="95"/>
      <c r="T2100" s="96">
        <v>13970</v>
      </c>
      <c r="U2100" s="95"/>
      <c r="V2100" s="95" t="s">
        <v>2962</v>
      </c>
      <c r="W2100" s="92" t="str">
        <f t="shared" si="143"/>
        <v>Ferrer Escriba,Carmen</v>
      </c>
      <c r="X2100" s="95">
        <f t="shared" si="144"/>
        <v>6</v>
      </c>
      <c r="Y2100" s="95">
        <f t="shared" si="145"/>
        <v>2022</v>
      </c>
      <c r="Z2100" s="97" t="s">
        <v>2238</v>
      </c>
      <c r="AA2100" t="str">
        <f>IF(Tabla1[[#This Row],[Kerma en aire acumulada (Gy)]]&gt;1,SUMIF(G:G,Tabla1[[#This Row],[SIP]],I:I)-Tabla1[[#This Row],[Kerma en aire acumulada (Gy)]],"")</f>
        <v/>
      </c>
    </row>
    <row r="2101" spans="3:27">
      <c r="C2101" s="144" t="str">
        <f t="shared" si="142"/>
        <v>Adulto</v>
      </c>
      <c r="D2101" s="95" t="s">
        <v>587</v>
      </c>
      <c r="E2101" s="95" t="s">
        <v>15</v>
      </c>
      <c r="F2101" s="95" t="s">
        <v>117</v>
      </c>
      <c r="G2101" s="95">
        <v>3203752</v>
      </c>
      <c r="H2101" s="96">
        <v>44740</v>
      </c>
      <c r="I2101" s="95">
        <v>0.10557999999999999</v>
      </c>
      <c r="J2101" s="95"/>
      <c r="K2101" s="95"/>
      <c r="L2101" s="95"/>
      <c r="M2101" s="95"/>
      <c r="N2101" s="95"/>
      <c r="O2101" s="95"/>
      <c r="P2101" s="95"/>
      <c r="Q2101" s="95"/>
      <c r="R2101" s="95"/>
      <c r="S2101" s="95"/>
      <c r="T2101" s="96">
        <v>15911</v>
      </c>
      <c r="U2101" s="95"/>
      <c r="V2101" s="95" t="s">
        <v>2962</v>
      </c>
      <c r="W2101" s="92" t="str">
        <f t="shared" si="143"/>
        <v>Calabuig Moreno,M Carmen</v>
      </c>
      <c r="X2101" s="95">
        <f t="shared" si="144"/>
        <v>6</v>
      </c>
      <c r="Y2101" s="95">
        <f t="shared" si="145"/>
        <v>2022</v>
      </c>
      <c r="Z2101" s="97" t="s">
        <v>2238</v>
      </c>
      <c r="AA2101" t="str">
        <f>IF(Tabla1[[#This Row],[Kerma en aire acumulada (Gy)]]&gt;1,SUMIF(G:G,Tabla1[[#This Row],[SIP]],I:I)-Tabla1[[#This Row],[Kerma en aire acumulada (Gy)]],"")</f>
        <v/>
      </c>
    </row>
    <row r="2102" spans="3:27">
      <c r="C2102" s="144" t="str">
        <f t="shared" si="142"/>
        <v>Adulto</v>
      </c>
      <c r="D2102" s="95" t="s">
        <v>2971</v>
      </c>
      <c r="E2102" s="95" t="s">
        <v>890</v>
      </c>
      <c r="F2102" s="95" t="s">
        <v>635</v>
      </c>
      <c r="G2102" s="95">
        <v>2817498</v>
      </c>
      <c r="H2102" s="96">
        <v>44740</v>
      </c>
      <c r="I2102" s="95">
        <v>0.53930999999999996</v>
      </c>
      <c r="J2102" s="95"/>
      <c r="K2102" s="95"/>
      <c r="L2102" s="95"/>
      <c r="M2102" s="95"/>
      <c r="N2102" s="95"/>
      <c r="O2102" s="95"/>
      <c r="P2102" s="95"/>
      <c r="Q2102" s="95"/>
      <c r="R2102" s="95"/>
      <c r="S2102" s="95"/>
      <c r="T2102" s="96">
        <v>20968</v>
      </c>
      <c r="U2102" s="95"/>
      <c r="V2102" s="95" t="s">
        <v>2383</v>
      </c>
      <c r="W2102" s="92" t="str">
        <f t="shared" si="143"/>
        <v>Guardiola Belenguer,Enrique</v>
      </c>
      <c r="X2102" s="95">
        <f t="shared" si="144"/>
        <v>6</v>
      </c>
      <c r="Y2102" s="95">
        <f t="shared" si="145"/>
        <v>2022</v>
      </c>
      <c r="Z2102" s="97" t="s">
        <v>266</v>
      </c>
      <c r="AA2102" t="str">
        <f>IF(Tabla1[[#This Row],[Kerma en aire acumulada (Gy)]]&gt;1,SUMIF(G:G,Tabla1[[#This Row],[SIP]],I:I)-Tabla1[[#This Row],[Kerma en aire acumulada (Gy)]],"")</f>
        <v/>
      </c>
    </row>
    <row r="2103" spans="3:27">
      <c r="C2103" s="144" t="str">
        <f t="shared" si="142"/>
        <v>Adulto</v>
      </c>
      <c r="D2103" s="95" t="s">
        <v>51</v>
      </c>
      <c r="E2103" s="95" t="s">
        <v>3253</v>
      </c>
      <c r="F2103" s="95" t="s">
        <v>3254</v>
      </c>
      <c r="G2103" s="95">
        <v>5496668</v>
      </c>
      <c r="H2103" s="96">
        <v>44740</v>
      </c>
      <c r="I2103" s="168">
        <v>1.5271699999999999</v>
      </c>
      <c r="J2103" s="95"/>
      <c r="K2103" s="95"/>
      <c r="L2103" s="95"/>
      <c r="M2103" s="95"/>
      <c r="N2103" s="95"/>
      <c r="O2103" s="95"/>
      <c r="P2103" s="95"/>
      <c r="Q2103" s="95"/>
      <c r="R2103" s="95"/>
      <c r="S2103" s="95"/>
      <c r="T2103" s="96">
        <v>15007</v>
      </c>
      <c r="U2103" s="95"/>
      <c r="V2103" s="95" t="s">
        <v>2383</v>
      </c>
      <c r="W2103" s="92" t="str">
        <f t="shared" si="143"/>
        <v>Acosta Cuadrado,Petrona Arasi</v>
      </c>
      <c r="X2103" s="95">
        <f t="shared" si="144"/>
        <v>6</v>
      </c>
      <c r="Y2103" s="95">
        <f t="shared" si="145"/>
        <v>2022</v>
      </c>
      <c r="Z2103" s="97" t="s">
        <v>266</v>
      </c>
      <c r="AA2103">
        <f>IF(Tabla1[[#This Row],[Kerma en aire acumulada (Gy)]]&gt;1,SUMIF(G:G,Tabla1[[#This Row],[SIP]],I:I)-Tabla1[[#This Row],[Kerma en aire acumulada (Gy)]],"")</f>
        <v>0</v>
      </c>
    </row>
    <row r="2104" spans="3:27">
      <c r="C2104" s="144" t="str">
        <f t="shared" si="142"/>
        <v>Adulto</v>
      </c>
      <c r="D2104" s="95" t="s">
        <v>3251</v>
      </c>
      <c r="E2104" s="95" t="s">
        <v>3252</v>
      </c>
      <c r="F2104" s="95" t="s">
        <v>1889</v>
      </c>
      <c r="G2104" s="95">
        <v>3330520</v>
      </c>
      <c r="H2104" s="96">
        <v>44740</v>
      </c>
      <c r="I2104" s="95">
        <v>0.19617999999999999</v>
      </c>
      <c r="J2104" s="95"/>
      <c r="K2104" s="95"/>
      <c r="L2104" s="95"/>
      <c r="M2104" s="95"/>
      <c r="N2104" s="95"/>
      <c r="O2104" s="95"/>
      <c r="P2104" s="95"/>
      <c r="Q2104" s="95"/>
      <c r="R2104" s="95"/>
      <c r="S2104" s="95"/>
      <c r="T2104" s="96">
        <v>25908</v>
      </c>
      <c r="U2104" s="95"/>
      <c r="V2104" s="95" t="s">
        <v>2383</v>
      </c>
      <c r="W2104" s="92" t="str">
        <f t="shared" si="143"/>
        <v>Viñas Solano,Miguel Angel</v>
      </c>
      <c r="X2104" s="95">
        <f t="shared" si="144"/>
        <v>6</v>
      </c>
      <c r="Y2104" s="95">
        <f t="shared" si="145"/>
        <v>2022</v>
      </c>
      <c r="Z2104" s="97" t="s">
        <v>266</v>
      </c>
      <c r="AA2104" t="str">
        <f>IF(Tabla1[[#This Row],[Kerma en aire acumulada (Gy)]]&gt;1,SUMIF(G:G,Tabla1[[#This Row],[SIP]],I:I)-Tabla1[[#This Row],[Kerma en aire acumulada (Gy)]],"")</f>
        <v/>
      </c>
    </row>
    <row r="2105" spans="3:27">
      <c r="C2105" s="144" t="str">
        <f t="shared" si="142"/>
        <v>Adulto</v>
      </c>
      <c r="D2105" s="95" t="s">
        <v>3249</v>
      </c>
      <c r="E2105" s="95" t="s">
        <v>3250</v>
      </c>
      <c r="F2105" s="95" t="s">
        <v>356</v>
      </c>
      <c r="G2105" s="95">
        <v>2819158</v>
      </c>
      <c r="H2105" s="96">
        <v>44740</v>
      </c>
      <c r="I2105" s="95">
        <v>6.6659999999999997E-2</v>
      </c>
      <c r="J2105" s="95"/>
      <c r="K2105" s="95"/>
      <c r="L2105" s="95"/>
      <c r="M2105" s="95"/>
      <c r="N2105" s="95"/>
      <c r="O2105" s="95"/>
      <c r="P2105" s="95"/>
      <c r="Q2105" s="95"/>
      <c r="R2105" s="95"/>
      <c r="S2105" s="95"/>
      <c r="T2105" s="96">
        <v>22023</v>
      </c>
      <c r="U2105" s="95"/>
      <c r="V2105" s="95" t="s">
        <v>2383</v>
      </c>
      <c r="W2105" s="92" t="str">
        <f t="shared" si="143"/>
        <v>Goerlich Tio,Manuel</v>
      </c>
      <c r="X2105" s="95">
        <f t="shared" si="144"/>
        <v>6</v>
      </c>
      <c r="Y2105" s="95">
        <f t="shared" si="145"/>
        <v>2022</v>
      </c>
      <c r="Z2105" s="97" t="s">
        <v>266</v>
      </c>
      <c r="AA2105" t="str">
        <f>IF(Tabla1[[#This Row],[Kerma en aire acumulada (Gy)]]&gt;1,SUMIF(G:G,Tabla1[[#This Row],[SIP]],I:I)-Tabla1[[#This Row],[Kerma en aire acumulada (Gy)]],"")</f>
        <v/>
      </c>
    </row>
    <row r="2106" spans="3:27">
      <c r="C2106" s="144" t="str">
        <f t="shared" si="142"/>
        <v>Adulto</v>
      </c>
      <c r="D2106" s="95" t="s">
        <v>3248</v>
      </c>
      <c r="E2106" s="95" t="s">
        <v>3134</v>
      </c>
      <c r="F2106" s="95" t="s">
        <v>369</v>
      </c>
      <c r="G2106" s="95">
        <v>2299209</v>
      </c>
      <c r="H2106" s="96">
        <v>44740</v>
      </c>
      <c r="I2106" s="95">
        <v>0.33482000000000001</v>
      </c>
      <c r="J2106" s="95"/>
      <c r="K2106" s="95"/>
      <c r="L2106" s="95"/>
      <c r="M2106" s="95"/>
      <c r="N2106" s="95"/>
      <c r="O2106" s="95"/>
      <c r="P2106" s="95"/>
      <c r="Q2106" s="95"/>
      <c r="R2106" s="95"/>
      <c r="S2106" s="95"/>
      <c r="T2106" s="96">
        <v>21585</v>
      </c>
      <c r="U2106" s="95"/>
      <c r="V2106" s="95" t="s">
        <v>2383</v>
      </c>
      <c r="W2106" s="92" t="str">
        <f t="shared" si="143"/>
        <v>Sarrion Font,Alejandro</v>
      </c>
      <c r="X2106" s="95">
        <f t="shared" si="144"/>
        <v>6</v>
      </c>
      <c r="Y2106" s="95">
        <f t="shared" si="145"/>
        <v>2022</v>
      </c>
      <c r="Z2106" s="97" t="s">
        <v>266</v>
      </c>
      <c r="AA2106" t="str">
        <f>IF(Tabla1[[#This Row],[Kerma en aire acumulada (Gy)]]&gt;1,SUMIF(G:G,Tabla1[[#This Row],[SIP]],I:I)-Tabla1[[#This Row],[Kerma en aire acumulada (Gy)]],"")</f>
        <v/>
      </c>
    </row>
    <row r="2107" spans="3:27">
      <c r="C2107" s="144" t="str">
        <f t="shared" si="142"/>
        <v>Adulto</v>
      </c>
      <c r="D2107" s="95" t="s">
        <v>960</v>
      </c>
      <c r="E2107" s="95" t="s">
        <v>3247</v>
      </c>
      <c r="F2107" s="95" t="s">
        <v>1038</v>
      </c>
      <c r="G2107" s="95">
        <v>2914920</v>
      </c>
      <c r="H2107" s="96">
        <v>44740</v>
      </c>
      <c r="I2107" s="95">
        <v>0.42898999999999998</v>
      </c>
      <c r="J2107" s="95"/>
      <c r="K2107" s="95"/>
      <c r="L2107" s="95"/>
      <c r="M2107" s="95"/>
      <c r="N2107" s="95"/>
      <c r="O2107" s="95"/>
      <c r="P2107" s="95"/>
      <c r="Q2107" s="95"/>
      <c r="R2107" s="95"/>
      <c r="S2107" s="95"/>
      <c r="T2107" s="96">
        <v>19523</v>
      </c>
      <c r="U2107" s="95"/>
      <c r="V2107" s="95" t="s">
        <v>2383</v>
      </c>
      <c r="W2107" s="92" t="str">
        <f t="shared" si="143"/>
        <v>Lopez Idañez,Juan Antonio</v>
      </c>
      <c r="X2107" s="95">
        <f t="shared" si="144"/>
        <v>6</v>
      </c>
      <c r="Y2107" s="95">
        <f t="shared" si="145"/>
        <v>2022</v>
      </c>
      <c r="Z2107" s="97" t="s">
        <v>266</v>
      </c>
      <c r="AA2107" t="str">
        <f>IF(Tabla1[[#This Row],[Kerma en aire acumulada (Gy)]]&gt;1,SUMIF(G:G,Tabla1[[#This Row],[SIP]],I:I)-Tabla1[[#This Row],[Kerma en aire acumulada (Gy)]],"")</f>
        <v/>
      </c>
    </row>
    <row r="2108" spans="3:27">
      <c r="C2108" s="144" t="str">
        <f t="shared" si="142"/>
        <v>Adulto</v>
      </c>
      <c r="D2108" s="95" t="s">
        <v>2156</v>
      </c>
      <c r="E2108" s="95" t="s">
        <v>3246</v>
      </c>
      <c r="F2108" s="95" t="s">
        <v>2189</v>
      </c>
      <c r="G2108" s="95">
        <v>4884599</v>
      </c>
      <c r="H2108" s="96">
        <v>44740</v>
      </c>
      <c r="I2108" s="95">
        <v>0.22140000000000001</v>
      </c>
      <c r="J2108" s="95"/>
      <c r="K2108" s="95"/>
      <c r="L2108" s="95"/>
      <c r="M2108" s="95"/>
      <c r="N2108" s="95"/>
      <c r="O2108" s="95"/>
      <c r="P2108" s="95"/>
      <c r="Q2108" s="95"/>
      <c r="R2108" s="95"/>
      <c r="S2108" s="95"/>
      <c r="T2108" s="96">
        <v>18935</v>
      </c>
      <c r="U2108" s="95"/>
      <c r="V2108" s="95" t="s">
        <v>2383</v>
      </c>
      <c r="W2108" s="92" t="str">
        <f t="shared" si="143"/>
        <v>Vela Castilla,Juan Jose</v>
      </c>
      <c r="X2108" s="95">
        <f t="shared" si="144"/>
        <v>6</v>
      </c>
      <c r="Y2108" s="95">
        <f t="shared" si="145"/>
        <v>2022</v>
      </c>
      <c r="Z2108" s="97" t="s">
        <v>266</v>
      </c>
      <c r="AA2108" t="str">
        <f>IF(Tabla1[[#This Row],[Kerma en aire acumulada (Gy)]]&gt;1,SUMIF(G:G,Tabla1[[#This Row],[SIP]],I:I)-Tabla1[[#This Row],[Kerma en aire acumulada (Gy)]],"")</f>
        <v/>
      </c>
    </row>
    <row r="2109" spans="3:27">
      <c r="C2109" s="144" t="str">
        <f t="shared" si="142"/>
        <v>Adulto</v>
      </c>
      <c r="D2109" s="95" t="s">
        <v>319</v>
      </c>
      <c r="E2109" s="95" t="s">
        <v>962</v>
      </c>
      <c r="F2109" s="95" t="s">
        <v>3245</v>
      </c>
      <c r="G2109" s="95">
        <v>5404259</v>
      </c>
      <c r="H2109" s="96">
        <v>44740</v>
      </c>
      <c r="I2109" s="95">
        <v>0.44728000000000001</v>
      </c>
      <c r="J2109" s="95"/>
      <c r="K2109" s="95"/>
      <c r="L2109" s="95"/>
      <c r="M2109" s="95"/>
      <c r="N2109" s="95"/>
      <c r="O2109" s="95"/>
      <c r="P2109" s="95"/>
      <c r="Q2109" s="95"/>
      <c r="R2109" s="95"/>
      <c r="S2109" s="95"/>
      <c r="T2109" s="96">
        <v>26078</v>
      </c>
      <c r="U2109" s="95"/>
      <c r="V2109" s="95" t="s">
        <v>2383</v>
      </c>
      <c r="W2109" s="92" t="str">
        <f t="shared" si="143"/>
        <v>Gonzalez Garcia,Oscar Luis</v>
      </c>
      <c r="X2109" s="95">
        <f t="shared" si="144"/>
        <v>6</v>
      </c>
      <c r="Y2109" s="95">
        <f t="shared" si="145"/>
        <v>2022</v>
      </c>
      <c r="Z2109" s="97" t="s">
        <v>266</v>
      </c>
      <c r="AA2109" t="str">
        <f>IF(Tabla1[[#This Row],[Kerma en aire acumulada (Gy)]]&gt;1,SUMIF(G:G,Tabla1[[#This Row],[SIP]],I:I)-Tabla1[[#This Row],[Kerma en aire acumulada (Gy)]],"")</f>
        <v/>
      </c>
    </row>
    <row r="2110" spans="3:27">
      <c r="C2110" s="144" t="str">
        <f t="shared" si="142"/>
        <v>Adulto</v>
      </c>
      <c r="D2110" s="95" t="s">
        <v>3243</v>
      </c>
      <c r="E2110" s="95" t="s">
        <v>962</v>
      </c>
      <c r="F2110" s="95" t="s">
        <v>71</v>
      </c>
      <c r="G2110" s="95">
        <v>1254698</v>
      </c>
      <c r="H2110" s="96">
        <v>44740</v>
      </c>
      <c r="I2110" s="168">
        <v>2.6644100000000002</v>
      </c>
      <c r="J2110" s="95"/>
      <c r="K2110" s="95"/>
      <c r="L2110" s="95"/>
      <c r="M2110" s="95"/>
      <c r="N2110" s="95"/>
      <c r="O2110" s="95"/>
      <c r="P2110" s="95"/>
      <c r="Q2110" s="95"/>
      <c r="R2110" s="95"/>
      <c r="S2110" s="95"/>
      <c r="T2110" s="96">
        <v>23799</v>
      </c>
      <c r="U2110" s="95"/>
      <c r="V2110" s="95" t="s">
        <v>3244</v>
      </c>
      <c r="W2110" s="92" t="str">
        <f t="shared" si="143"/>
        <v>Del Val Garcia,Rafael</v>
      </c>
      <c r="X2110" s="95">
        <f t="shared" si="144"/>
        <v>6</v>
      </c>
      <c r="Y2110" s="95">
        <f t="shared" si="145"/>
        <v>2022</v>
      </c>
      <c r="Z2110" s="97" t="s">
        <v>265</v>
      </c>
      <c r="AA2110">
        <f>IF(Tabla1[[#This Row],[Kerma en aire acumulada (Gy)]]&gt;1,SUMIF(G:G,Tabla1[[#This Row],[SIP]],I:I)-Tabla1[[#This Row],[Kerma en aire acumulada (Gy)]],"")</f>
        <v>4.8499999999997989E-3</v>
      </c>
    </row>
    <row r="2111" spans="3:27">
      <c r="C2111" s="144" t="str">
        <f t="shared" si="142"/>
        <v>Adulto</v>
      </c>
      <c r="D2111" s="95" t="s">
        <v>1942</v>
      </c>
      <c r="E2111" s="95" t="s">
        <v>1294</v>
      </c>
      <c r="F2111" s="95" t="s">
        <v>818</v>
      </c>
      <c r="G2111" s="95">
        <v>6711570</v>
      </c>
      <c r="H2111" s="96">
        <v>44740</v>
      </c>
      <c r="I2111" s="95">
        <v>1.3939999999999999E-2</v>
      </c>
      <c r="J2111" s="95"/>
      <c r="K2111" s="95"/>
      <c r="L2111" s="95"/>
      <c r="M2111" s="95"/>
      <c r="N2111" s="95"/>
      <c r="O2111" s="95"/>
      <c r="P2111" s="95"/>
      <c r="Q2111" s="95"/>
      <c r="R2111" s="95"/>
      <c r="S2111" s="95"/>
      <c r="T2111" s="96">
        <v>26948</v>
      </c>
      <c r="U2111" s="95"/>
      <c r="V2111" s="95" t="s">
        <v>1087</v>
      </c>
      <c r="W2111" s="92" t="str">
        <f t="shared" si="143"/>
        <v>Mendez Roca,Luisa</v>
      </c>
      <c r="X2111" s="95">
        <f t="shared" si="144"/>
        <v>6</v>
      </c>
      <c r="Y2111" s="95">
        <f t="shared" si="145"/>
        <v>2022</v>
      </c>
      <c r="Z2111" s="97" t="s">
        <v>265</v>
      </c>
      <c r="AA2111" t="str">
        <f>IF(Tabla1[[#This Row],[Kerma en aire acumulada (Gy)]]&gt;1,SUMIF(G:G,Tabla1[[#This Row],[SIP]],I:I)-Tabla1[[#This Row],[Kerma en aire acumulada (Gy)]],"")</f>
        <v/>
      </c>
    </row>
    <row r="2112" spans="3:27">
      <c r="C2112" s="144" t="str">
        <f t="shared" si="142"/>
        <v>Adulto</v>
      </c>
      <c r="D2112" s="95" t="s">
        <v>1975</v>
      </c>
      <c r="E2112" s="95" t="s">
        <v>948</v>
      </c>
      <c r="F2112" s="95" t="s">
        <v>3242</v>
      </c>
      <c r="G2112" s="95">
        <v>3365434</v>
      </c>
      <c r="H2112" s="96">
        <v>44740</v>
      </c>
      <c r="I2112" s="95">
        <v>0.27087</v>
      </c>
      <c r="J2112" s="95"/>
      <c r="K2112" s="95"/>
      <c r="L2112" s="95"/>
      <c r="M2112" s="95"/>
      <c r="N2112" s="95"/>
      <c r="O2112" s="95"/>
      <c r="P2112" s="95"/>
      <c r="Q2112" s="95"/>
      <c r="R2112" s="95"/>
      <c r="S2112" s="95"/>
      <c r="T2112" s="96">
        <v>20883</v>
      </c>
      <c r="U2112" s="95"/>
      <c r="V2112" s="95" t="s">
        <v>2995</v>
      </c>
      <c r="W2112" s="92" t="str">
        <f t="shared" si="143"/>
        <v>Berga Martinez,Vicente Eduard</v>
      </c>
      <c r="X2112" s="95">
        <f t="shared" si="144"/>
        <v>6</v>
      </c>
      <c r="Y2112" s="95">
        <f t="shared" si="145"/>
        <v>2022</v>
      </c>
      <c r="Z2112" s="97" t="s">
        <v>265</v>
      </c>
      <c r="AA2112" t="str">
        <f>IF(Tabla1[[#This Row],[Kerma en aire acumulada (Gy)]]&gt;1,SUMIF(G:G,Tabla1[[#This Row],[SIP]],I:I)-Tabla1[[#This Row],[Kerma en aire acumulada (Gy)]],"")</f>
        <v/>
      </c>
    </row>
    <row r="2113" spans="3:27">
      <c r="C2113" s="144" t="str">
        <f t="shared" si="142"/>
        <v>Adulto</v>
      </c>
      <c r="D2113" s="95" t="s">
        <v>3241</v>
      </c>
      <c r="E2113" s="95" t="s">
        <v>2976</v>
      </c>
      <c r="F2113" s="95" t="s">
        <v>1139</v>
      </c>
      <c r="G2113" s="95">
        <v>2570110</v>
      </c>
      <c r="H2113" s="96">
        <v>44740</v>
      </c>
      <c r="I2113" s="95">
        <v>0.30579000000000001</v>
      </c>
      <c r="J2113" s="95"/>
      <c r="K2113" s="95"/>
      <c r="L2113" s="95"/>
      <c r="M2113" s="95"/>
      <c r="N2113" s="95"/>
      <c r="O2113" s="95"/>
      <c r="P2113" s="95"/>
      <c r="Q2113" s="95"/>
      <c r="R2113" s="95"/>
      <c r="S2113" s="95"/>
      <c r="T2113" s="96">
        <v>21918</v>
      </c>
      <c r="U2113" s="95"/>
      <c r="V2113" s="95" t="s">
        <v>2995</v>
      </c>
      <c r="W2113" s="92" t="str">
        <f t="shared" si="143"/>
        <v>Solanas Prats,Jose Vicente</v>
      </c>
      <c r="X2113" s="95">
        <f t="shared" si="144"/>
        <v>6</v>
      </c>
      <c r="Y2113" s="95">
        <f t="shared" si="145"/>
        <v>2022</v>
      </c>
      <c r="Z2113" s="97" t="s">
        <v>265</v>
      </c>
      <c r="AA2113" t="str">
        <f>IF(Tabla1[[#This Row],[Kerma en aire acumulada (Gy)]]&gt;1,SUMIF(G:G,Tabla1[[#This Row],[SIP]],I:I)-Tabla1[[#This Row],[Kerma en aire acumulada (Gy)]],"")</f>
        <v/>
      </c>
    </row>
    <row r="2114" spans="3:27">
      <c r="C2114" s="94" t="str">
        <f t="shared" ref="C2114:C2177" si="146">IF(OR(H2114="",T2114=""),"",IF((H2114-T2114)/12/30&lt;18,"Pediátrico","Adulto"))</f>
        <v>Adulto</v>
      </c>
      <c r="D2114" s="95" t="s">
        <v>962</v>
      </c>
      <c r="E2114" s="95" t="s">
        <v>3240</v>
      </c>
      <c r="F2114" s="95" t="s">
        <v>20</v>
      </c>
      <c r="G2114" s="95">
        <v>2255113</v>
      </c>
      <c r="H2114" s="96">
        <v>44740</v>
      </c>
      <c r="I2114" s="95">
        <v>0.29865999999999998</v>
      </c>
      <c r="J2114" s="95"/>
      <c r="K2114" s="95"/>
      <c r="L2114" s="95"/>
      <c r="M2114" s="95"/>
      <c r="N2114" s="95"/>
      <c r="O2114" s="95"/>
      <c r="P2114" s="95"/>
      <c r="Q2114" s="95"/>
      <c r="R2114" s="95"/>
      <c r="S2114" s="95"/>
      <c r="T2114" s="96">
        <v>17959</v>
      </c>
      <c r="U2114" s="95"/>
      <c r="V2114" s="95" t="s">
        <v>1711</v>
      </c>
      <c r="W2114" s="92" t="str">
        <f t="shared" si="143"/>
        <v>Garcia Bayer,Antonio</v>
      </c>
      <c r="X2114" s="95">
        <f t="shared" si="144"/>
        <v>6</v>
      </c>
      <c r="Y2114" s="95">
        <f t="shared" si="145"/>
        <v>2022</v>
      </c>
      <c r="Z2114" s="97" t="s">
        <v>265</v>
      </c>
      <c r="AA2114" t="str">
        <f>IF(Tabla1[[#This Row],[Kerma en aire acumulada (Gy)]]&gt;1,SUMIF(G:G,Tabla1[[#This Row],[SIP]],I:I)-Tabla1[[#This Row],[Kerma en aire acumulada (Gy)]],"")</f>
        <v/>
      </c>
    </row>
    <row r="2115" spans="3:27">
      <c r="C2115" s="94" t="str">
        <f t="shared" si="146"/>
        <v>Adulto</v>
      </c>
      <c r="D2115" s="95" t="s">
        <v>2104</v>
      </c>
      <c r="E2115" s="95" t="s">
        <v>3271</v>
      </c>
      <c r="F2115" s="95" t="s">
        <v>1038</v>
      </c>
      <c r="G2115" s="95">
        <v>4356687</v>
      </c>
      <c r="H2115" s="96">
        <v>44741</v>
      </c>
      <c r="I2115" s="95">
        <v>0.21562000000000001</v>
      </c>
      <c r="J2115" s="95"/>
      <c r="K2115" s="95"/>
      <c r="L2115" s="95"/>
      <c r="M2115" s="95"/>
      <c r="N2115" s="95"/>
      <c r="O2115" s="95"/>
      <c r="P2115" s="95"/>
      <c r="Q2115" s="95"/>
      <c r="R2115" s="95"/>
      <c r="S2115" s="95"/>
      <c r="T2115" s="96">
        <v>22773</v>
      </c>
      <c r="U2115" s="95"/>
      <c r="V2115" s="95" t="s">
        <v>3077</v>
      </c>
      <c r="W2115" s="92" t="str">
        <f t="shared" si="143"/>
        <v>Lorente Boluda,Juan Antonio</v>
      </c>
      <c r="X2115" s="95">
        <f t="shared" si="144"/>
        <v>6</v>
      </c>
      <c r="Y2115" s="95">
        <f t="shared" si="145"/>
        <v>2022</v>
      </c>
      <c r="Z2115" s="97" t="s">
        <v>2238</v>
      </c>
      <c r="AA2115" t="str">
        <f>IF(Tabla1[[#This Row],[Kerma en aire acumulada (Gy)]]&gt;1,SUMIF(G:G,Tabla1[[#This Row],[SIP]],I:I)-Tabla1[[#This Row],[Kerma en aire acumulada (Gy)]],"")</f>
        <v/>
      </c>
    </row>
    <row r="2116" spans="3:27">
      <c r="C2116" s="94" t="str">
        <f t="shared" si="146"/>
        <v>Adulto</v>
      </c>
      <c r="D2116" s="95" t="s">
        <v>800</v>
      </c>
      <c r="E2116" s="95" t="s">
        <v>3270</v>
      </c>
      <c r="F2116" s="95" t="s">
        <v>106</v>
      </c>
      <c r="G2116" s="95">
        <v>3420804</v>
      </c>
      <c r="H2116" s="96">
        <v>44741</v>
      </c>
      <c r="I2116" s="95">
        <v>5.2650000000000002E-2</v>
      </c>
      <c r="J2116" s="95"/>
      <c r="K2116" s="95"/>
      <c r="L2116" s="95"/>
      <c r="M2116" s="95"/>
      <c r="N2116" s="95"/>
      <c r="O2116" s="95"/>
      <c r="P2116" s="95"/>
      <c r="Q2116" s="95"/>
      <c r="R2116" s="95"/>
      <c r="S2116" s="95"/>
      <c r="T2116" s="96">
        <v>16158</v>
      </c>
      <c r="U2116" s="95"/>
      <c r="V2116" s="95" t="s">
        <v>3077</v>
      </c>
      <c r="W2116" s="92" t="str">
        <f t="shared" si="143"/>
        <v>Zamora Estudillo,Carmen</v>
      </c>
      <c r="X2116" s="95">
        <f t="shared" si="144"/>
        <v>6</v>
      </c>
      <c r="Y2116" s="95">
        <f t="shared" si="145"/>
        <v>2022</v>
      </c>
      <c r="Z2116" s="97" t="s">
        <v>2238</v>
      </c>
      <c r="AA2116" t="str">
        <f>IF(Tabla1[[#This Row],[Kerma en aire acumulada (Gy)]]&gt;1,SUMIF(G:G,Tabla1[[#This Row],[SIP]],I:I)-Tabla1[[#This Row],[Kerma en aire acumulada (Gy)]],"")</f>
        <v/>
      </c>
    </row>
    <row r="2117" spans="3:27">
      <c r="C2117" s="94" t="str">
        <f t="shared" si="146"/>
        <v>Adulto</v>
      </c>
      <c r="D2117" s="95" t="s">
        <v>2594</v>
      </c>
      <c r="E2117" s="95" t="s">
        <v>1309</v>
      </c>
      <c r="F2117" s="95" t="s">
        <v>1038</v>
      </c>
      <c r="G2117" s="95">
        <v>2360515</v>
      </c>
      <c r="H2117" s="96">
        <v>44741</v>
      </c>
      <c r="I2117" s="95">
        <v>0.59797999999999996</v>
      </c>
      <c r="J2117" s="95"/>
      <c r="K2117" s="95"/>
      <c r="L2117" s="95"/>
      <c r="M2117" s="95"/>
      <c r="N2117" s="95"/>
      <c r="O2117" s="95"/>
      <c r="P2117" s="95"/>
      <c r="Q2117" s="95"/>
      <c r="R2117" s="95"/>
      <c r="S2117" s="95"/>
      <c r="T2117" s="96">
        <v>24480</v>
      </c>
      <c r="U2117" s="95"/>
      <c r="V2117" s="95" t="s">
        <v>2383</v>
      </c>
      <c r="W2117" s="92" t="str">
        <f t="shared" si="143"/>
        <v>Espinosa Gallardo,Juan Antonio</v>
      </c>
      <c r="X2117" s="95">
        <f t="shared" si="144"/>
        <v>6</v>
      </c>
      <c r="Y2117" s="95">
        <f t="shared" si="145"/>
        <v>2022</v>
      </c>
      <c r="Z2117" s="97" t="s">
        <v>266</v>
      </c>
      <c r="AA2117" t="str">
        <f>IF(Tabla1[[#This Row],[Kerma en aire acumulada (Gy)]]&gt;1,SUMIF(G:G,Tabla1[[#This Row],[SIP]],I:I)-Tabla1[[#This Row],[Kerma en aire acumulada (Gy)]],"")</f>
        <v/>
      </c>
    </row>
    <row r="2118" spans="3:27">
      <c r="C2118" s="94" t="str">
        <f t="shared" si="146"/>
        <v>Adulto</v>
      </c>
      <c r="D2118" s="95" t="s">
        <v>1844</v>
      </c>
      <c r="E2118" s="95" t="s">
        <v>1001</v>
      </c>
      <c r="F2118" s="95" t="s">
        <v>2105</v>
      </c>
      <c r="G2118" s="95">
        <v>2249221</v>
      </c>
      <c r="H2118" s="96">
        <v>44741</v>
      </c>
      <c r="I2118" s="95">
        <v>0.46793000000000001</v>
      </c>
      <c r="J2118" s="95"/>
      <c r="K2118" s="95"/>
      <c r="L2118" s="95"/>
      <c r="M2118" s="95"/>
      <c r="N2118" s="95"/>
      <c r="O2118" s="95"/>
      <c r="P2118" s="95"/>
      <c r="Q2118" s="95"/>
      <c r="R2118" s="95"/>
      <c r="S2118" s="95"/>
      <c r="T2118" s="96">
        <v>18000</v>
      </c>
      <c r="U2118" s="95"/>
      <c r="V2118" s="95" t="s">
        <v>2383</v>
      </c>
      <c r="W2118" s="92" t="str">
        <f t="shared" si="143"/>
        <v>Miralles Perez,Juan Francisco</v>
      </c>
      <c r="X2118" s="95">
        <f t="shared" si="144"/>
        <v>6</v>
      </c>
      <c r="Y2118" s="95">
        <f t="shared" si="145"/>
        <v>2022</v>
      </c>
      <c r="Z2118" s="97" t="s">
        <v>266</v>
      </c>
      <c r="AA2118" t="str">
        <f>IF(Tabla1[[#This Row],[Kerma en aire acumulada (Gy)]]&gt;1,SUMIF(G:G,Tabla1[[#This Row],[SIP]],I:I)-Tabla1[[#This Row],[Kerma en aire acumulada (Gy)]],"")</f>
        <v/>
      </c>
    </row>
    <row r="2119" spans="3:27">
      <c r="C2119" s="94" t="str">
        <f t="shared" si="146"/>
        <v>Adulto</v>
      </c>
      <c r="D2119" s="95" t="s">
        <v>3260</v>
      </c>
      <c r="E2119" s="95"/>
      <c r="F2119" s="95" t="s">
        <v>3261</v>
      </c>
      <c r="G2119" s="95">
        <v>12927732</v>
      </c>
      <c r="H2119" s="96">
        <v>44741</v>
      </c>
      <c r="I2119" s="95">
        <v>0.19253999999999999</v>
      </c>
      <c r="J2119" s="95"/>
      <c r="K2119" s="95"/>
      <c r="L2119" s="95"/>
      <c r="M2119" s="95"/>
      <c r="N2119" s="95"/>
      <c r="O2119" s="95"/>
      <c r="P2119" s="95"/>
      <c r="Q2119" s="95"/>
      <c r="R2119" s="95"/>
      <c r="S2119" s="95"/>
      <c r="T2119" s="96">
        <v>19480</v>
      </c>
      <c r="U2119" s="95"/>
      <c r="V2119" s="95" t="s">
        <v>2383</v>
      </c>
      <c r="W2119" s="92" t="str">
        <f t="shared" si="143"/>
        <v>Kahrel ,Pieter Johannus</v>
      </c>
      <c r="X2119" s="95">
        <f t="shared" si="144"/>
        <v>6</v>
      </c>
      <c r="Y2119" s="95">
        <f t="shared" si="145"/>
        <v>2022</v>
      </c>
      <c r="Z2119" s="97" t="s">
        <v>266</v>
      </c>
      <c r="AA2119" t="str">
        <f>IF(Tabla1[[#This Row],[Kerma en aire acumulada (Gy)]]&gt;1,SUMIF(G:G,Tabla1[[#This Row],[SIP]],I:I)-Tabla1[[#This Row],[Kerma en aire acumulada (Gy)]],"")</f>
        <v/>
      </c>
    </row>
    <row r="2120" spans="3:27">
      <c r="C2120" s="94" t="str">
        <f t="shared" si="146"/>
        <v>Adulto</v>
      </c>
      <c r="D2120" s="95" t="s">
        <v>1278</v>
      </c>
      <c r="E2120" s="95" t="s">
        <v>3269</v>
      </c>
      <c r="F2120" s="95" t="s">
        <v>279</v>
      </c>
      <c r="G2120" s="95">
        <v>3683023</v>
      </c>
      <c r="H2120" s="96">
        <v>44741</v>
      </c>
      <c r="I2120" s="95">
        <v>0.14657000000000001</v>
      </c>
      <c r="J2120" s="95"/>
      <c r="K2120" s="95"/>
      <c r="L2120" s="95"/>
      <c r="M2120" s="95"/>
      <c r="N2120" s="95"/>
      <c r="O2120" s="95"/>
      <c r="P2120" s="95"/>
      <c r="Q2120" s="95"/>
      <c r="R2120" s="95"/>
      <c r="S2120" s="95"/>
      <c r="T2120" s="96">
        <v>15777</v>
      </c>
      <c r="U2120" s="95"/>
      <c r="V2120" s="95" t="s">
        <v>2383</v>
      </c>
      <c r="W2120" s="92" t="str">
        <f t="shared" si="143"/>
        <v>Contreras Pescador,Gregorio</v>
      </c>
      <c r="X2120" s="95">
        <f t="shared" si="144"/>
        <v>6</v>
      </c>
      <c r="Y2120" s="95">
        <f t="shared" si="145"/>
        <v>2022</v>
      </c>
      <c r="Z2120" s="97" t="s">
        <v>266</v>
      </c>
      <c r="AA2120" t="str">
        <f>IF(Tabla1[[#This Row],[Kerma en aire acumulada (Gy)]]&gt;1,SUMIF(G:G,Tabla1[[#This Row],[SIP]],I:I)-Tabla1[[#This Row],[Kerma en aire acumulada (Gy)]],"")</f>
        <v/>
      </c>
    </row>
    <row r="2121" spans="3:27">
      <c r="C2121" s="94" t="str">
        <f t="shared" si="146"/>
        <v>Adulto</v>
      </c>
      <c r="D2121" s="95" t="s">
        <v>1776</v>
      </c>
      <c r="E2121" s="95" t="s">
        <v>3268</v>
      </c>
      <c r="F2121" s="95" t="s">
        <v>20</v>
      </c>
      <c r="G2121" s="95">
        <v>2808270</v>
      </c>
      <c r="H2121" s="96">
        <v>44741</v>
      </c>
      <c r="I2121" s="95">
        <v>0.66644000000000003</v>
      </c>
      <c r="J2121" s="95"/>
      <c r="K2121" s="95"/>
      <c r="L2121" s="95"/>
      <c r="M2121" s="95"/>
      <c r="N2121" s="95"/>
      <c r="O2121" s="95"/>
      <c r="P2121" s="95"/>
      <c r="Q2121" s="95"/>
      <c r="R2121" s="95"/>
      <c r="S2121" s="95"/>
      <c r="T2121" s="96">
        <v>15827</v>
      </c>
      <c r="U2121" s="95"/>
      <c r="V2121" s="95" t="s">
        <v>2383</v>
      </c>
      <c r="W2121" s="92" t="str">
        <f t="shared" si="143"/>
        <v>Escribano Chumillas,Antonio</v>
      </c>
      <c r="X2121" s="95">
        <f t="shared" si="144"/>
        <v>6</v>
      </c>
      <c r="Y2121" s="95">
        <f t="shared" si="145"/>
        <v>2022</v>
      </c>
      <c r="Z2121" s="97" t="s">
        <v>266</v>
      </c>
      <c r="AA2121" t="str">
        <f>IF(Tabla1[[#This Row],[Kerma en aire acumulada (Gy)]]&gt;1,SUMIF(G:G,Tabla1[[#This Row],[SIP]],I:I)-Tabla1[[#This Row],[Kerma en aire acumulada (Gy)]],"")</f>
        <v/>
      </c>
    </row>
    <row r="2122" spans="3:27">
      <c r="C2122" s="144" t="str">
        <f t="shared" si="146"/>
        <v>Adulto</v>
      </c>
      <c r="D2122" s="95" t="s">
        <v>3266</v>
      </c>
      <c r="E2122" s="95" t="s">
        <v>3267</v>
      </c>
      <c r="F2122" s="95" t="s">
        <v>83</v>
      </c>
      <c r="G2122" s="95">
        <v>2230143</v>
      </c>
      <c r="H2122" s="96">
        <v>44741</v>
      </c>
      <c r="I2122" s="95">
        <v>0.84066399999999997</v>
      </c>
      <c r="J2122" s="95"/>
      <c r="K2122" s="95"/>
      <c r="L2122" s="95"/>
      <c r="M2122" s="95"/>
      <c r="N2122" s="95"/>
      <c r="O2122" s="95"/>
      <c r="P2122" s="95"/>
      <c r="Q2122" s="95"/>
      <c r="R2122" s="95"/>
      <c r="S2122" s="95"/>
      <c r="T2122" s="96">
        <v>14443</v>
      </c>
      <c r="U2122" s="95"/>
      <c r="V2122" s="95" t="s">
        <v>2383</v>
      </c>
      <c r="W2122" s="92" t="str">
        <f t="shared" si="143"/>
        <v>Dasi Aloy,Francisco</v>
      </c>
      <c r="X2122" s="95">
        <f t="shared" si="144"/>
        <v>6</v>
      </c>
      <c r="Y2122" s="95">
        <f t="shared" si="145"/>
        <v>2022</v>
      </c>
      <c r="Z2122" s="97" t="s">
        <v>266</v>
      </c>
      <c r="AA2122" t="str">
        <f>IF(Tabla1[[#This Row],[Kerma en aire acumulada (Gy)]]&gt;1,SUMIF(G:G,Tabla1[[#This Row],[SIP]],I:I)-Tabla1[[#This Row],[Kerma en aire acumulada (Gy)]],"")</f>
        <v/>
      </c>
    </row>
    <row r="2123" spans="3:27">
      <c r="C2123" s="144" t="str">
        <f t="shared" si="146"/>
        <v>Adulto</v>
      </c>
      <c r="D2123" s="95" t="s">
        <v>1809</v>
      </c>
      <c r="E2123" s="95" t="s">
        <v>1759</v>
      </c>
      <c r="F2123" s="95" t="s">
        <v>1104</v>
      </c>
      <c r="G2123" s="95">
        <v>1974758</v>
      </c>
      <c r="H2123" s="96">
        <v>44741</v>
      </c>
      <c r="I2123" s="95">
        <v>0.22866</v>
      </c>
      <c r="J2123" s="95"/>
      <c r="K2123" s="95"/>
      <c r="L2123" s="95"/>
      <c r="M2123" s="95"/>
      <c r="N2123" s="95"/>
      <c r="O2123" s="95"/>
      <c r="P2123" s="95"/>
      <c r="Q2123" s="95"/>
      <c r="R2123" s="95"/>
      <c r="S2123" s="95"/>
      <c r="T2123" s="96">
        <v>24605</v>
      </c>
      <c r="U2123" s="95"/>
      <c r="V2123" s="95" t="s">
        <v>2383</v>
      </c>
      <c r="W2123" s="92" t="str">
        <f t="shared" si="143"/>
        <v>Herrero Martin,Jose Luis</v>
      </c>
      <c r="X2123" s="95">
        <f t="shared" si="144"/>
        <v>6</v>
      </c>
      <c r="Y2123" s="95">
        <f t="shared" si="145"/>
        <v>2022</v>
      </c>
      <c r="Z2123" s="97" t="s">
        <v>266</v>
      </c>
      <c r="AA2123" t="str">
        <f>IF(Tabla1[[#This Row],[Kerma en aire acumulada (Gy)]]&gt;1,SUMIF(G:G,Tabla1[[#This Row],[SIP]],I:I)-Tabla1[[#This Row],[Kerma en aire acumulada (Gy)]],"")</f>
        <v/>
      </c>
    </row>
    <row r="2124" spans="3:27">
      <c r="C2124" s="144" t="str">
        <f t="shared" si="146"/>
        <v>Adulto</v>
      </c>
      <c r="D2124" s="95" t="s">
        <v>2914</v>
      </c>
      <c r="E2124" s="95" t="s">
        <v>36</v>
      </c>
      <c r="F2124" s="95" t="s">
        <v>106</v>
      </c>
      <c r="G2124" s="95">
        <v>3464909</v>
      </c>
      <c r="H2124" s="96">
        <v>44741</v>
      </c>
      <c r="I2124" s="95">
        <v>0.57757999999999998</v>
      </c>
      <c r="J2124" s="95"/>
      <c r="K2124" s="95"/>
      <c r="L2124" s="95"/>
      <c r="M2124" s="95"/>
      <c r="N2124" s="95"/>
      <c r="O2124" s="95"/>
      <c r="P2124" s="95"/>
      <c r="Q2124" s="95"/>
      <c r="R2124" s="95"/>
      <c r="S2124" s="95"/>
      <c r="T2124" s="96">
        <v>13542</v>
      </c>
      <c r="U2124" s="95"/>
      <c r="V2124" s="95" t="s">
        <v>2383</v>
      </c>
      <c r="W2124" s="92" t="str">
        <f t="shared" si="143"/>
        <v>Barrero Ramos,Carmen</v>
      </c>
      <c r="X2124" s="95">
        <f t="shared" si="144"/>
        <v>6</v>
      </c>
      <c r="Y2124" s="95">
        <f t="shared" si="145"/>
        <v>2022</v>
      </c>
      <c r="Z2124" s="97" t="s">
        <v>266</v>
      </c>
      <c r="AA2124" t="str">
        <f>IF(Tabla1[[#This Row],[Kerma en aire acumulada (Gy)]]&gt;1,SUMIF(G:G,Tabla1[[#This Row],[SIP]],I:I)-Tabla1[[#This Row],[Kerma en aire acumulada (Gy)]],"")</f>
        <v/>
      </c>
    </row>
    <row r="2125" spans="3:27">
      <c r="C2125" s="144" t="str">
        <f t="shared" si="146"/>
        <v>Adulto</v>
      </c>
      <c r="D2125" s="95" t="s">
        <v>3264</v>
      </c>
      <c r="E2125" s="95" t="s">
        <v>3265</v>
      </c>
      <c r="F2125" s="95" t="s">
        <v>991</v>
      </c>
      <c r="G2125" s="95">
        <v>2312292</v>
      </c>
      <c r="H2125" s="96">
        <v>44741</v>
      </c>
      <c r="I2125" s="95">
        <v>0.20301</v>
      </c>
      <c r="J2125" s="95"/>
      <c r="K2125" s="95"/>
      <c r="L2125" s="95"/>
      <c r="M2125" s="95"/>
      <c r="N2125" s="95"/>
      <c r="O2125" s="95"/>
      <c r="P2125" s="95"/>
      <c r="Q2125" s="95"/>
      <c r="R2125" s="95"/>
      <c r="S2125" s="95"/>
      <c r="T2125" s="96">
        <v>21963</v>
      </c>
      <c r="U2125" s="95"/>
      <c r="V2125" s="95" t="s">
        <v>2383</v>
      </c>
      <c r="W2125" s="92" t="str">
        <f t="shared" si="143"/>
        <v>Morilla Castañeda,Jose</v>
      </c>
      <c r="X2125" s="95">
        <f t="shared" si="144"/>
        <v>6</v>
      </c>
      <c r="Y2125" s="95">
        <f t="shared" si="145"/>
        <v>2022</v>
      </c>
      <c r="Z2125" s="97" t="s">
        <v>266</v>
      </c>
      <c r="AA2125" t="str">
        <f>IF(Tabla1[[#This Row],[Kerma en aire acumulada (Gy)]]&gt;1,SUMIF(G:G,Tabla1[[#This Row],[SIP]],I:I)-Tabla1[[#This Row],[Kerma en aire acumulada (Gy)]],"")</f>
        <v/>
      </c>
    </row>
    <row r="2126" spans="3:27">
      <c r="C2126" s="144" t="str">
        <f t="shared" si="146"/>
        <v>Adulto</v>
      </c>
      <c r="D2126" s="95" t="s">
        <v>346</v>
      </c>
      <c r="E2126" s="95" t="s">
        <v>997</v>
      </c>
      <c r="F2126" s="95" t="s">
        <v>356</v>
      </c>
      <c r="G2126" s="95">
        <v>2347086</v>
      </c>
      <c r="H2126" s="96">
        <v>44741</v>
      </c>
      <c r="I2126" s="95">
        <v>0.251</v>
      </c>
      <c r="J2126" s="95"/>
      <c r="K2126" s="95"/>
      <c r="L2126" s="95"/>
      <c r="M2126" s="95"/>
      <c r="N2126" s="95"/>
      <c r="O2126" s="95"/>
      <c r="P2126" s="95"/>
      <c r="Q2126" s="95"/>
      <c r="R2126" s="95"/>
      <c r="S2126" s="95"/>
      <c r="T2126" s="96">
        <v>24555</v>
      </c>
      <c r="U2126" s="95"/>
      <c r="V2126" s="95" t="s">
        <v>2383</v>
      </c>
      <c r="W2126" s="92" t="str">
        <f t="shared" si="143"/>
        <v>Fuster Real,Manuel</v>
      </c>
      <c r="X2126" s="95">
        <f t="shared" si="144"/>
        <v>6</v>
      </c>
      <c r="Y2126" s="95">
        <f t="shared" si="145"/>
        <v>2022</v>
      </c>
      <c r="Z2126" s="97" t="s">
        <v>266</v>
      </c>
      <c r="AA2126" t="str">
        <f>IF(Tabla1[[#This Row],[Kerma en aire acumulada (Gy)]]&gt;1,SUMIF(G:G,Tabla1[[#This Row],[SIP]],I:I)-Tabla1[[#This Row],[Kerma en aire acumulada (Gy)]],"")</f>
        <v/>
      </c>
    </row>
    <row r="2127" spans="3:27">
      <c r="C2127" s="144" t="str">
        <f t="shared" si="146"/>
        <v>Adulto</v>
      </c>
      <c r="D2127" s="95" t="s">
        <v>1011</v>
      </c>
      <c r="E2127" s="95" t="s">
        <v>3263</v>
      </c>
      <c r="F2127" s="95" t="s">
        <v>1104</v>
      </c>
      <c r="G2127" s="95">
        <v>3192159</v>
      </c>
      <c r="H2127" s="96">
        <v>44741</v>
      </c>
      <c r="I2127" s="95">
        <v>0.13746</v>
      </c>
      <c r="J2127" s="95"/>
      <c r="K2127" s="95"/>
      <c r="L2127" s="95"/>
      <c r="M2127" s="95"/>
      <c r="N2127" s="95"/>
      <c r="O2127" s="95"/>
      <c r="P2127" s="95"/>
      <c r="Q2127" s="95"/>
      <c r="R2127" s="95"/>
      <c r="S2127" s="95"/>
      <c r="T2127" s="96">
        <v>17853</v>
      </c>
      <c r="U2127" s="95"/>
      <c r="V2127" s="95" t="s">
        <v>2383</v>
      </c>
      <c r="W2127" s="92" t="str">
        <f t="shared" si="143"/>
        <v>Andres Escrivano,Jose Luis</v>
      </c>
      <c r="X2127" s="95">
        <f t="shared" si="144"/>
        <v>6</v>
      </c>
      <c r="Y2127" s="95">
        <f t="shared" si="145"/>
        <v>2022</v>
      </c>
      <c r="Z2127" s="97" t="s">
        <v>266</v>
      </c>
      <c r="AA2127" t="str">
        <f>IF(Tabla1[[#This Row],[Kerma en aire acumulada (Gy)]]&gt;1,SUMIF(G:G,Tabla1[[#This Row],[SIP]],I:I)-Tabla1[[#This Row],[Kerma en aire acumulada (Gy)]],"")</f>
        <v/>
      </c>
    </row>
    <row r="2128" spans="3:27">
      <c r="C2128" s="144" t="str">
        <f t="shared" si="146"/>
        <v>Adulto</v>
      </c>
      <c r="D2128" s="95" t="s">
        <v>960</v>
      </c>
      <c r="E2128" s="95" t="s">
        <v>105</v>
      </c>
      <c r="F2128" s="95" t="s">
        <v>2778</v>
      </c>
      <c r="G2128" s="95">
        <v>2037044</v>
      </c>
      <c r="H2128" s="96">
        <v>44741</v>
      </c>
      <c r="I2128" s="95">
        <v>0.11486</v>
      </c>
      <c r="J2128" s="95"/>
      <c r="K2128" s="95"/>
      <c r="L2128" s="95"/>
      <c r="M2128" s="95"/>
      <c r="N2128" s="95"/>
      <c r="O2128" s="95"/>
      <c r="P2128" s="95"/>
      <c r="Q2128" s="95"/>
      <c r="R2128" s="95"/>
      <c r="S2128" s="95"/>
      <c r="T2128" s="96">
        <v>14303</v>
      </c>
      <c r="U2128" s="95"/>
      <c r="V2128" s="95" t="s">
        <v>2383</v>
      </c>
      <c r="W2128" s="92" t="str">
        <f t="shared" si="143"/>
        <v>Lopez Soriano,Purificacion</v>
      </c>
      <c r="X2128" s="95">
        <f t="shared" si="144"/>
        <v>6</v>
      </c>
      <c r="Y2128" s="95">
        <f t="shared" si="145"/>
        <v>2022</v>
      </c>
      <c r="Z2128" s="97" t="s">
        <v>266</v>
      </c>
      <c r="AA2128" t="str">
        <f>IF(Tabla1[[#This Row],[Kerma en aire acumulada (Gy)]]&gt;1,SUMIF(G:G,Tabla1[[#This Row],[SIP]],I:I)-Tabla1[[#This Row],[Kerma en aire acumulada (Gy)]],"")</f>
        <v/>
      </c>
    </row>
    <row r="2129" spans="3:27">
      <c r="C2129" s="144" t="str">
        <f t="shared" si="146"/>
        <v>Adulto</v>
      </c>
      <c r="D2129" s="95" t="s">
        <v>966</v>
      </c>
      <c r="E2129" s="95" t="s">
        <v>3262</v>
      </c>
      <c r="F2129" s="95" t="s">
        <v>1664</v>
      </c>
      <c r="G2129" s="95">
        <v>3498173</v>
      </c>
      <c r="H2129" s="96">
        <v>44741</v>
      </c>
      <c r="I2129" s="95">
        <v>0.69260999999999995</v>
      </c>
      <c r="J2129" s="95"/>
      <c r="K2129" s="95"/>
      <c r="L2129" s="95"/>
      <c r="M2129" s="95"/>
      <c r="N2129" s="95"/>
      <c r="O2129" s="95"/>
      <c r="P2129" s="95"/>
      <c r="Q2129" s="95"/>
      <c r="R2129" s="95"/>
      <c r="S2129" s="95"/>
      <c r="T2129" s="96">
        <v>16087</v>
      </c>
      <c r="U2129" s="95"/>
      <c r="V2129" s="95" t="s">
        <v>2383</v>
      </c>
      <c r="W2129" s="92" t="str">
        <f t="shared" si="143"/>
        <v>Marco Desco,Dolores</v>
      </c>
      <c r="X2129" s="95">
        <f t="shared" si="144"/>
        <v>6</v>
      </c>
      <c r="Y2129" s="95">
        <f t="shared" si="145"/>
        <v>2022</v>
      </c>
      <c r="Z2129" s="97" t="s">
        <v>266</v>
      </c>
      <c r="AA2129" t="str">
        <f>IF(Tabla1[[#This Row],[Kerma en aire acumulada (Gy)]]&gt;1,SUMIF(G:G,Tabla1[[#This Row],[SIP]],I:I)-Tabla1[[#This Row],[Kerma en aire acumulada (Gy)]],"")</f>
        <v/>
      </c>
    </row>
    <row r="2130" spans="3:27">
      <c r="C2130" s="144" t="str">
        <f t="shared" si="146"/>
        <v>Adulto</v>
      </c>
      <c r="D2130" s="95" t="s">
        <v>3260</v>
      </c>
      <c r="E2130" s="95"/>
      <c r="F2130" s="95" t="s">
        <v>3261</v>
      </c>
      <c r="G2130" s="95">
        <v>12927732</v>
      </c>
      <c r="H2130" s="96">
        <v>44741</v>
      </c>
      <c r="I2130" s="95">
        <v>0.38873999999999997</v>
      </c>
      <c r="J2130" s="95"/>
      <c r="K2130" s="95"/>
      <c r="L2130" s="95"/>
      <c r="M2130" s="95"/>
      <c r="N2130" s="95"/>
      <c r="O2130" s="95"/>
      <c r="P2130" s="95"/>
      <c r="Q2130" s="95"/>
      <c r="R2130" s="95"/>
      <c r="S2130" s="95"/>
      <c r="T2130" s="96">
        <v>19480</v>
      </c>
      <c r="U2130" s="95"/>
      <c r="V2130" s="95" t="s">
        <v>2383</v>
      </c>
      <c r="W2130" s="92" t="str">
        <f t="shared" si="143"/>
        <v>Kahrel ,Pieter Johannus</v>
      </c>
      <c r="X2130" s="95">
        <f t="shared" si="144"/>
        <v>6</v>
      </c>
      <c r="Y2130" s="95">
        <f t="shared" si="145"/>
        <v>2022</v>
      </c>
      <c r="Z2130" s="97" t="s">
        <v>266</v>
      </c>
      <c r="AA2130" t="str">
        <f>IF(Tabla1[[#This Row],[Kerma en aire acumulada (Gy)]]&gt;1,SUMIF(G:G,Tabla1[[#This Row],[SIP]],I:I)-Tabla1[[#This Row],[Kerma en aire acumulada (Gy)]],"")</f>
        <v/>
      </c>
    </row>
    <row r="2131" spans="3:27">
      <c r="C2131" s="144" t="str">
        <f t="shared" si="146"/>
        <v>Adulto</v>
      </c>
      <c r="D2131" s="95" t="s">
        <v>319</v>
      </c>
      <c r="E2131" s="95" t="s">
        <v>3258</v>
      </c>
      <c r="F2131" s="95" t="s">
        <v>3259</v>
      </c>
      <c r="G2131" s="95">
        <v>4745055</v>
      </c>
      <c r="H2131" s="96">
        <v>44741</v>
      </c>
      <c r="I2131" s="95">
        <v>9.1340000000000005E-2</v>
      </c>
      <c r="J2131" s="95"/>
      <c r="K2131" s="95"/>
      <c r="L2131" s="95"/>
      <c r="M2131" s="95"/>
      <c r="N2131" s="95"/>
      <c r="O2131" s="95"/>
      <c r="P2131" s="95"/>
      <c r="Q2131" s="95"/>
      <c r="R2131" s="95"/>
      <c r="S2131" s="95"/>
      <c r="T2131" s="96">
        <v>25510</v>
      </c>
      <c r="U2131" s="95"/>
      <c r="V2131" s="95" t="s">
        <v>2383</v>
      </c>
      <c r="W2131" s="92" t="str">
        <f t="shared" si="143"/>
        <v>Gonzalez Estarlich,Conrado Valentin</v>
      </c>
      <c r="X2131" s="95">
        <f t="shared" si="144"/>
        <v>6</v>
      </c>
      <c r="Y2131" s="95">
        <f t="shared" si="145"/>
        <v>2022</v>
      </c>
      <c r="Z2131" s="97" t="s">
        <v>266</v>
      </c>
      <c r="AA2131" t="str">
        <f>IF(Tabla1[[#This Row],[Kerma en aire acumulada (Gy)]]&gt;1,SUMIF(G:G,Tabla1[[#This Row],[SIP]],I:I)-Tabla1[[#This Row],[Kerma en aire acumulada (Gy)]],"")</f>
        <v/>
      </c>
    </row>
    <row r="2132" spans="3:27">
      <c r="C2132" s="144" t="str">
        <f t="shared" si="146"/>
        <v>Adulto</v>
      </c>
      <c r="D2132" s="95" t="s">
        <v>726</v>
      </c>
      <c r="E2132" s="95" t="s">
        <v>1930</v>
      </c>
      <c r="F2132" s="95" t="s">
        <v>1946</v>
      </c>
      <c r="G2132" s="95">
        <v>2322310</v>
      </c>
      <c r="H2132" s="96">
        <v>44741</v>
      </c>
      <c r="I2132" s="95">
        <v>0.20558999999999999</v>
      </c>
      <c r="J2132" s="95"/>
      <c r="K2132" s="95"/>
      <c r="L2132" s="95"/>
      <c r="M2132" s="95"/>
      <c r="N2132" s="95"/>
      <c r="O2132" s="95"/>
      <c r="P2132" s="95"/>
      <c r="Q2132" s="95"/>
      <c r="R2132" s="95"/>
      <c r="S2132" s="95"/>
      <c r="T2132" s="96">
        <v>23195</v>
      </c>
      <c r="U2132" s="95"/>
      <c r="V2132" s="95" t="s">
        <v>2190</v>
      </c>
      <c r="W2132" s="92" t="str">
        <f t="shared" si="143"/>
        <v>Ballesteros Medina,Joaquin</v>
      </c>
      <c r="X2132" s="95">
        <f t="shared" si="144"/>
        <v>6</v>
      </c>
      <c r="Y2132" s="95">
        <f t="shared" si="145"/>
        <v>2022</v>
      </c>
      <c r="Z2132" s="97" t="s">
        <v>265</v>
      </c>
      <c r="AA2132" t="str">
        <f>IF(Tabla1[[#This Row],[Kerma en aire acumulada (Gy)]]&gt;1,SUMIF(G:G,Tabla1[[#This Row],[SIP]],I:I)-Tabla1[[#This Row],[Kerma en aire acumulada (Gy)]],"")</f>
        <v/>
      </c>
    </row>
    <row r="2133" spans="3:27">
      <c r="C2133" s="144" t="str">
        <f t="shared" si="146"/>
        <v>Adulto</v>
      </c>
      <c r="D2133" s="95" t="s">
        <v>1012</v>
      </c>
      <c r="E2133" s="95" t="s">
        <v>948</v>
      </c>
      <c r="F2133" s="95" t="s">
        <v>7</v>
      </c>
      <c r="G2133" s="95">
        <v>3708150</v>
      </c>
      <c r="H2133" s="96">
        <v>44741</v>
      </c>
      <c r="I2133" s="95">
        <v>3.0300000000000001E-3</v>
      </c>
      <c r="J2133" s="95"/>
      <c r="K2133" s="95"/>
      <c r="L2133" s="95"/>
      <c r="M2133" s="95"/>
      <c r="N2133" s="95"/>
      <c r="O2133" s="95"/>
      <c r="P2133" s="95"/>
      <c r="Q2133" s="95"/>
      <c r="R2133" s="95"/>
      <c r="S2133" s="95"/>
      <c r="T2133" s="96">
        <v>17198</v>
      </c>
      <c r="U2133" s="95"/>
      <c r="V2133" s="95" t="s">
        <v>1100</v>
      </c>
      <c r="W2133" s="92" t="str">
        <f t="shared" si="143"/>
        <v>Ros Martinez,Francisca</v>
      </c>
      <c r="X2133" s="95">
        <f t="shared" si="144"/>
        <v>6</v>
      </c>
      <c r="Y2133" s="95">
        <f t="shared" si="145"/>
        <v>2022</v>
      </c>
      <c r="Z2133" s="97" t="s">
        <v>265</v>
      </c>
      <c r="AA2133" t="str">
        <f>IF(Tabla1[[#This Row],[Kerma en aire acumulada (Gy)]]&gt;1,SUMIF(G:G,Tabla1[[#This Row],[SIP]],I:I)-Tabla1[[#This Row],[Kerma en aire acumulada (Gy)]],"")</f>
        <v/>
      </c>
    </row>
    <row r="2134" spans="3:27">
      <c r="C2134" s="144" t="str">
        <f t="shared" si="146"/>
        <v>Adulto</v>
      </c>
      <c r="D2134" s="95" t="s">
        <v>3014</v>
      </c>
      <c r="E2134" s="95" t="s">
        <v>937</v>
      </c>
      <c r="F2134" s="95" t="s">
        <v>991</v>
      </c>
      <c r="G2134" s="95">
        <v>61573</v>
      </c>
      <c r="H2134" s="96">
        <v>44741</v>
      </c>
      <c r="I2134" s="95">
        <v>0.41237000000000001</v>
      </c>
      <c r="J2134" s="95"/>
      <c r="K2134" s="95"/>
      <c r="L2134" s="95"/>
      <c r="M2134" s="95"/>
      <c r="N2134" s="95"/>
      <c r="O2134" s="95"/>
      <c r="P2134" s="95"/>
      <c r="Q2134" s="95"/>
      <c r="R2134" s="95"/>
      <c r="S2134" s="95"/>
      <c r="T2134" s="96">
        <v>22158</v>
      </c>
      <c r="U2134" s="95"/>
      <c r="V2134" s="95" t="s">
        <v>2190</v>
      </c>
      <c r="W2134" s="92" t="str">
        <f t="shared" si="143"/>
        <v>Pedros Sales,Jose</v>
      </c>
      <c r="X2134" s="95">
        <f t="shared" si="144"/>
        <v>6</v>
      </c>
      <c r="Y2134" s="95">
        <f t="shared" si="145"/>
        <v>2022</v>
      </c>
      <c r="Z2134" s="97" t="s">
        <v>265</v>
      </c>
      <c r="AA2134" t="str">
        <f>IF(Tabla1[[#This Row],[Kerma en aire acumulada (Gy)]]&gt;1,SUMIF(G:G,Tabla1[[#This Row],[SIP]],I:I)-Tabla1[[#This Row],[Kerma en aire acumulada (Gy)]],"")</f>
        <v/>
      </c>
    </row>
    <row r="2135" spans="3:27">
      <c r="C2135" s="144" t="str">
        <f t="shared" si="146"/>
        <v>Adulto</v>
      </c>
      <c r="D2135" s="95" t="s">
        <v>1837</v>
      </c>
      <c r="E2135" s="95" t="s">
        <v>3257</v>
      </c>
      <c r="F2135" s="95" t="s">
        <v>961</v>
      </c>
      <c r="G2135" s="95">
        <v>2370380</v>
      </c>
      <c r="H2135" s="96">
        <v>44741</v>
      </c>
      <c r="I2135" s="95">
        <v>0.10871</v>
      </c>
      <c r="J2135" s="95"/>
      <c r="K2135" s="95"/>
      <c r="L2135" s="95"/>
      <c r="M2135" s="95"/>
      <c r="N2135" s="95"/>
      <c r="O2135" s="95"/>
      <c r="P2135" s="95"/>
      <c r="Q2135" s="95"/>
      <c r="R2135" s="95"/>
      <c r="S2135" s="95"/>
      <c r="T2135" s="96">
        <v>17116</v>
      </c>
      <c r="U2135" s="95"/>
      <c r="V2135" s="95" t="s">
        <v>3221</v>
      </c>
      <c r="W2135" s="92" t="str">
        <f t="shared" si="143"/>
        <v>Rodriguez del Campo,Teresa</v>
      </c>
      <c r="X2135" s="95">
        <f t="shared" si="144"/>
        <v>6</v>
      </c>
      <c r="Y2135" s="95">
        <f t="shared" si="145"/>
        <v>2022</v>
      </c>
      <c r="Z2135" s="97" t="s">
        <v>265</v>
      </c>
      <c r="AA2135" t="str">
        <f>IF(Tabla1[[#This Row],[Kerma en aire acumulada (Gy)]]&gt;1,SUMIF(G:G,Tabla1[[#This Row],[SIP]],I:I)-Tabla1[[#This Row],[Kerma en aire acumulada (Gy)]],"")</f>
        <v/>
      </c>
    </row>
    <row r="2136" spans="3:27">
      <c r="C2136" s="144" t="str">
        <f t="shared" si="146"/>
        <v>Adulto</v>
      </c>
      <c r="D2136" s="95" t="s">
        <v>288</v>
      </c>
      <c r="E2136" s="95" t="s">
        <v>3192</v>
      </c>
      <c r="F2136" s="95" t="s">
        <v>635</v>
      </c>
      <c r="G2136" s="95">
        <v>5766778</v>
      </c>
      <c r="H2136" s="96">
        <v>44741</v>
      </c>
      <c r="I2136" s="95">
        <v>5.8869999999999999E-2</v>
      </c>
      <c r="J2136" s="95"/>
      <c r="K2136" s="95"/>
      <c r="L2136" s="95"/>
      <c r="M2136" s="95"/>
      <c r="N2136" s="95"/>
      <c r="O2136" s="95"/>
      <c r="P2136" s="95"/>
      <c r="Q2136" s="95"/>
      <c r="R2136" s="95"/>
      <c r="S2136" s="95"/>
      <c r="T2136" s="96">
        <v>21442</v>
      </c>
      <c r="U2136" s="95"/>
      <c r="V2136" s="95" t="s">
        <v>3256</v>
      </c>
      <c r="W2136" s="92" t="str">
        <f t="shared" si="143"/>
        <v>Ortiz Alonso,Enrique</v>
      </c>
      <c r="X2136" s="95">
        <f t="shared" si="144"/>
        <v>6</v>
      </c>
      <c r="Y2136" s="95">
        <f t="shared" si="145"/>
        <v>2022</v>
      </c>
      <c r="Z2136" s="97" t="s">
        <v>265</v>
      </c>
      <c r="AA2136" t="str">
        <f>IF(Tabla1[[#This Row],[Kerma en aire acumulada (Gy)]]&gt;1,SUMIF(G:G,Tabla1[[#This Row],[SIP]],I:I)-Tabla1[[#This Row],[Kerma en aire acumulada (Gy)]],"")</f>
        <v/>
      </c>
    </row>
    <row r="2137" spans="3:27">
      <c r="C2137" s="94" t="str">
        <f t="shared" si="146"/>
        <v>Adulto</v>
      </c>
      <c r="D2137" s="145" t="s">
        <v>181</v>
      </c>
      <c r="E2137" s="145" t="s">
        <v>66</v>
      </c>
      <c r="F2137" s="145" t="s">
        <v>1155</v>
      </c>
      <c r="G2137" s="145">
        <v>2267674</v>
      </c>
      <c r="H2137" s="96">
        <v>44742</v>
      </c>
      <c r="I2137" s="145">
        <v>7.6139999999999999E-2</v>
      </c>
      <c r="J2137" s="145"/>
      <c r="K2137" s="145"/>
      <c r="L2137" s="145"/>
      <c r="M2137" s="145"/>
      <c r="N2137" s="145"/>
      <c r="O2137" s="145"/>
      <c r="P2137" s="145"/>
      <c r="Q2137" s="145"/>
      <c r="R2137" s="145"/>
      <c r="S2137" s="145"/>
      <c r="T2137" s="146">
        <v>19944</v>
      </c>
      <c r="U2137" s="145"/>
      <c r="V2137" s="145" t="s">
        <v>2309</v>
      </c>
      <c r="W2137" s="92" t="str">
        <f t="shared" si="143"/>
        <v>Castillo Navarro,Maria</v>
      </c>
      <c r="X2137" s="95">
        <f t="shared" si="144"/>
        <v>6</v>
      </c>
      <c r="Y2137" s="95">
        <f t="shared" si="145"/>
        <v>2022</v>
      </c>
      <c r="Z2137" s="153" t="s">
        <v>2238</v>
      </c>
      <c r="AA2137" t="str">
        <f>IF(Tabla1[[#This Row],[Kerma en aire acumulada (Gy)]]&gt;1,SUMIF(G:G,Tabla1[[#This Row],[SIP]],I:I)-Tabla1[[#This Row],[Kerma en aire acumulada (Gy)]],"")</f>
        <v/>
      </c>
    </row>
    <row r="2138" spans="3:27">
      <c r="C2138" s="94" t="str">
        <f t="shared" si="146"/>
        <v>Adulto</v>
      </c>
      <c r="D2138" s="145" t="s">
        <v>3279</v>
      </c>
      <c r="E2138" s="145" t="s">
        <v>3280</v>
      </c>
      <c r="F2138" s="145" t="s">
        <v>3281</v>
      </c>
      <c r="G2138" s="145">
        <v>2816657</v>
      </c>
      <c r="H2138" s="96">
        <v>44742</v>
      </c>
      <c r="I2138" s="145">
        <v>0.36487999999999998</v>
      </c>
      <c r="J2138" s="145"/>
      <c r="K2138" s="145"/>
      <c r="L2138" s="145"/>
      <c r="M2138" s="145"/>
      <c r="N2138" s="145"/>
      <c r="O2138" s="145"/>
      <c r="P2138" s="145"/>
      <c r="Q2138" s="145"/>
      <c r="R2138" s="145"/>
      <c r="S2138" s="145"/>
      <c r="T2138" s="146">
        <v>20666</v>
      </c>
      <c r="U2138" s="145"/>
      <c r="V2138" s="95" t="s">
        <v>2383</v>
      </c>
      <c r="W2138" s="92" t="str">
        <f t="shared" si="143"/>
        <v>Graner Carbona,Vicente Angel</v>
      </c>
      <c r="X2138" s="95">
        <f t="shared" si="144"/>
        <v>6</v>
      </c>
      <c r="Y2138" s="95">
        <f t="shared" si="145"/>
        <v>2022</v>
      </c>
      <c r="Z2138" s="97" t="s">
        <v>266</v>
      </c>
      <c r="AA2138" t="str">
        <f>IF(Tabla1[[#This Row],[Kerma en aire acumulada (Gy)]]&gt;1,SUMIF(G:G,Tabla1[[#This Row],[SIP]],I:I)-Tabla1[[#This Row],[Kerma en aire acumulada (Gy)]],"")</f>
        <v/>
      </c>
    </row>
    <row r="2139" spans="3:27">
      <c r="C2139" s="94" t="str">
        <f t="shared" si="146"/>
        <v>Adulto</v>
      </c>
      <c r="D2139" s="145" t="s">
        <v>1271</v>
      </c>
      <c r="E2139" s="145" t="s">
        <v>1011</v>
      </c>
      <c r="F2139" s="145" t="s">
        <v>282</v>
      </c>
      <c r="G2139" s="145">
        <v>3484735</v>
      </c>
      <c r="H2139" s="96">
        <v>44742</v>
      </c>
      <c r="I2139" s="145">
        <v>0.67820999999999998</v>
      </c>
      <c r="J2139" s="145"/>
      <c r="K2139" s="145"/>
      <c r="L2139" s="145"/>
      <c r="M2139" s="145"/>
      <c r="N2139" s="145"/>
      <c r="O2139" s="145"/>
      <c r="P2139" s="145"/>
      <c r="Q2139" s="145"/>
      <c r="R2139" s="145"/>
      <c r="S2139" s="145"/>
      <c r="T2139" s="146">
        <v>13509</v>
      </c>
      <c r="U2139" s="145"/>
      <c r="V2139" s="95" t="s">
        <v>2383</v>
      </c>
      <c r="W2139" s="92" t="str">
        <f t="shared" si="143"/>
        <v>Sierra Andres,Natividad</v>
      </c>
      <c r="X2139" s="95">
        <f t="shared" si="144"/>
        <v>6</v>
      </c>
      <c r="Y2139" s="95">
        <f t="shared" si="145"/>
        <v>2022</v>
      </c>
      <c r="Z2139" s="97" t="s">
        <v>266</v>
      </c>
      <c r="AA2139" t="str">
        <f>IF(Tabla1[[#This Row],[Kerma en aire acumulada (Gy)]]&gt;1,SUMIF(G:G,Tabla1[[#This Row],[SIP]],I:I)-Tabla1[[#This Row],[Kerma en aire acumulada (Gy)]],"")</f>
        <v/>
      </c>
    </row>
    <row r="2140" spans="3:27">
      <c r="C2140" s="94" t="str">
        <f t="shared" si="146"/>
        <v>Adulto</v>
      </c>
      <c r="D2140" s="145" t="s">
        <v>2402</v>
      </c>
      <c r="E2140" s="145" t="s">
        <v>2342</v>
      </c>
      <c r="F2140" s="145" t="s">
        <v>1206</v>
      </c>
      <c r="G2140" s="145">
        <v>3182668</v>
      </c>
      <c r="H2140" s="96">
        <v>44742</v>
      </c>
      <c r="I2140" s="145">
        <v>7.6550000000000007E-2</v>
      </c>
      <c r="J2140" s="145"/>
      <c r="K2140" s="145"/>
      <c r="L2140" s="145"/>
      <c r="M2140" s="145"/>
      <c r="N2140" s="145"/>
      <c r="O2140" s="145"/>
      <c r="P2140" s="145"/>
      <c r="Q2140" s="145"/>
      <c r="R2140" s="145"/>
      <c r="S2140" s="145"/>
      <c r="T2140" s="146">
        <v>12229</v>
      </c>
      <c r="U2140" s="145"/>
      <c r="V2140" s="95" t="s">
        <v>2383</v>
      </c>
      <c r="W2140" s="92" t="str">
        <f t="shared" si="143"/>
        <v>Alandes Domenech,Rosalia</v>
      </c>
      <c r="X2140" s="95">
        <f t="shared" si="144"/>
        <v>6</v>
      </c>
      <c r="Y2140" s="95">
        <f t="shared" si="145"/>
        <v>2022</v>
      </c>
      <c r="Z2140" s="97" t="s">
        <v>266</v>
      </c>
      <c r="AA2140" t="str">
        <f>IF(Tabla1[[#This Row],[Kerma en aire acumulada (Gy)]]&gt;1,SUMIF(G:G,Tabla1[[#This Row],[SIP]],I:I)-Tabla1[[#This Row],[Kerma en aire acumulada (Gy)]],"")</f>
        <v/>
      </c>
    </row>
    <row r="2141" spans="3:27">
      <c r="C2141" s="94" t="str">
        <f t="shared" si="146"/>
        <v>Adulto</v>
      </c>
      <c r="D2141" s="145" t="s">
        <v>960</v>
      </c>
      <c r="E2141" s="145" t="s">
        <v>3192</v>
      </c>
      <c r="F2141" s="145" t="s">
        <v>20</v>
      </c>
      <c r="G2141" s="145">
        <v>2922934</v>
      </c>
      <c r="H2141" s="96">
        <v>44742</v>
      </c>
      <c r="I2141" s="145">
        <v>0.13599</v>
      </c>
      <c r="J2141" s="145"/>
      <c r="K2141" s="145"/>
      <c r="L2141" s="145"/>
      <c r="M2141" s="145"/>
      <c r="N2141" s="145"/>
      <c r="O2141" s="145"/>
      <c r="P2141" s="145"/>
      <c r="Q2141" s="145"/>
      <c r="R2141" s="145"/>
      <c r="S2141" s="145"/>
      <c r="T2141" s="146">
        <v>22522</v>
      </c>
      <c r="U2141" s="145"/>
      <c r="V2141" s="95" t="s">
        <v>2383</v>
      </c>
      <c r="W2141" s="92" t="str">
        <f t="shared" si="143"/>
        <v>Lopez Alonso,Antonio</v>
      </c>
      <c r="X2141" s="95">
        <f t="shared" si="144"/>
        <v>6</v>
      </c>
      <c r="Y2141" s="95">
        <f t="shared" si="145"/>
        <v>2022</v>
      </c>
      <c r="Z2141" s="97" t="s">
        <v>266</v>
      </c>
      <c r="AA2141" t="str">
        <f>IF(Tabla1[[#This Row],[Kerma en aire acumulada (Gy)]]&gt;1,SUMIF(G:G,Tabla1[[#This Row],[SIP]],I:I)-Tabla1[[#This Row],[Kerma en aire acumulada (Gy)]],"")</f>
        <v/>
      </c>
    </row>
    <row r="2142" spans="3:27">
      <c r="C2142" s="94" t="str">
        <f t="shared" si="146"/>
        <v>Adulto</v>
      </c>
      <c r="D2142" s="145" t="s">
        <v>868</v>
      </c>
      <c r="E2142" s="145" t="s">
        <v>159</v>
      </c>
      <c r="F2142" s="145" t="s">
        <v>106</v>
      </c>
      <c r="G2142" s="145">
        <v>3179653</v>
      </c>
      <c r="H2142" s="96">
        <v>44742</v>
      </c>
      <c r="I2142" s="145">
        <v>3.7199999999999997E-2</v>
      </c>
      <c r="J2142" s="145"/>
      <c r="K2142" s="145"/>
      <c r="L2142" s="145"/>
      <c r="M2142" s="145"/>
      <c r="N2142" s="145"/>
      <c r="O2142" s="145"/>
      <c r="P2142" s="145"/>
      <c r="Q2142" s="145"/>
      <c r="R2142" s="145"/>
      <c r="S2142" s="145"/>
      <c r="T2142" s="146">
        <v>14121</v>
      </c>
      <c r="U2142" s="145"/>
      <c r="V2142" s="95" t="s">
        <v>2383</v>
      </c>
      <c r="W2142" s="92" t="str">
        <f t="shared" si="143"/>
        <v>Peñalver Villar,Carmen</v>
      </c>
      <c r="X2142" s="95">
        <f t="shared" si="144"/>
        <v>6</v>
      </c>
      <c r="Y2142" s="95">
        <f t="shared" si="145"/>
        <v>2022</v>
      </c>
      <c r="Z2142" s="97" t="s">
        <v>266</v>
      </c>
      <c r="AA2142" t="str">
        <f>IF(Tabla1[[#This Row],[Kerma en aire acumulada (Gy)]]&gt;1,SUMIF(G:G,Tabla1[[#This Row],[SIP]],I:I)-Tabla1[[#This Row],[Kerma en aire acumulada (Gy)]],"")</f>
        <v/>
      </c>
    </row>
    <row r="2143" spans="3:27">
      <c r="C2143" s="94" t="str">
        <f t="shared" si="146"/>
        <v>Adulto</v>
      </c>
      <c r="D2143" s="145" t="s">
        <v>319</v>
      </c>
      <c r="E2143" s="145" t="s">
        <v>3278</v>
      </c>
      <c r="F2143" s="145" t="s">
        <v>117</v>
      </c>
      <c r="G2143" s="145">
        <v>3371669</v>
      </c>
      <c r="H2143" s="96">
        <v>44742</v>
      </c>
      <c r="I2143" s="145">
        <v>6.0810000000000003E-2</v>
      </c>
      <c r="J2143" s="145"/>
      <c r="K2143" s="145"/>
      <c r="L2143" s="145"/>
      <c r="M2143" s="145"/>
      <c r="N2143" s="145"/>
      <c r="O2143" s="145"/>
      <c r="P2143" s="145"/>
      <c r="Q2143" s="145"/>
      <c r="R2143" s="145"/>
      <c r="S2143" s="145"/>
      <c r="T2143" s="146">
        <v>19865</v>
      </c>
      <c r="U2143" s="145"/>
      <c r="V2143" s="95" t="s">
        <v>2383</v>
      </c>
      <c r="W2143" s="92" t="str">
        <f t="shared" si="143"/>
        <v>Gonzalez Egido,M Carmen</v>
      </c>
      <c r="X2143" s="95">
        <f t="shared" si="144"/>
        <v>6</v>
      </c>
      <c r="Y2143" s="95">
        <f t="shared" si="145"/>
        <v>2022</v>
      </c>
      <c r="Z2143" s="97" t="s">
        <v>266</v>
      </c>
      <c r="AA2143" t="str">
        <f>IF(Tabla1[[#This Row],[Kerma en aire acumulada (Gy)]]&gt;1,SUMIF(G:G,Tabla1[[#This Row],[SIP]],I:I)-Tabla1[[#This Row],[Kerma en aire acumulada (Gy)]],"")</f>
        <v/>
      </c>
    </row>
    <row r="2144" spans="3:27">
      <c r="C2144" s="94" t="str">
        <f t="shared" si="146"/>
        <v>Adulto</v>
      </c>
      <c r="D2144" s="145" t="s">
        <v>1764</v>
      </c>
      <c r="E2144" s="145" t="s">
        <v>346</v>
      </c>
      <c r="F2144" s="145" t="s">
        <v>1747</v>
      </c>
      <c r="G2144" s="145">
        <v>450467</v>
      </c>
      <c r="H2144" s="96">
        <v>44742</v>
      </c>
      <c r="I2144" s="145">
        <v>4.4769999999999997E-2</v>
      </c>
      <c r="J2144" s="145"/>
      <c r="K2144" s="145"/>
      <c r="L2144" s="145"/>
      <c r="M2144" s="145"/>
      <c r="N2144" s="145"/>
      <c r="O2144" s="145"/>
      <c r="P2144" s="145"/>
      <c r="Q2144" s="145"/>
      <c r="R2144" s="145"/>
      <c r="S2144" s="145"/>
      <c r="T2144" s="146">
        <v>25548</v>
      </c>
      <c r="U2144" s="145"/>
      <c r="V2144" s="95" t="s">
        <v>2383</v>
      </c>
      <c r="W2144" s="92" t="str">
        <f t="shared" si="143"/>
        <v>Vaño Fuster,Alvaro</v>
      </c>
      <c r="X2144" s="95">
        <f t="shared" si="144"/>
        <v>6</v>
      </c>
      <c r="Y2144" s="95">
        <f t="shared" si="145"/>
        <v>2022</v>
      </c>
      <c r="Z2144" s="97" t="s">
        <v>266</v>
      </c>
      <c r="AA2144" t="str">
        <f>IF(Tabla1[[#This Row],[Kerma en aire acumulada (Gy)]]&gt;1,SUMIF(G:G,Tabla1[[#This Row],[SIP]],I:I)-Tabla1[[#This Row],[Kerma en aire acumulada (Gy)]],"")</f>
        <v/>
      </c>
    </row>
    <row r="2145" spans="3:27">
      <c r="C2145" s="94" t="str">
        <f t="shared" si="146"/>
        <v>Adulto</v>
      </c>
      <c r="D2145" s="95" t="s">
        <v>3276</v>
      </c>
      <c r="E2145" s="95" t="s">
        <v>3277</v>
      </c>
      <c r="F2145" s="95" t="s">
        <v>1694</v>
      </c>
      <c r="G2145" s="95">
        <v>2040103</v>
      </c>
      <c r="H2145" s="96">
        <v>44742</v>
      </c>
      <c r="I2145" s="95">
        <v>4.5690000000000001E-2</v>
      </c>
      <c r="J2145" s="95"/>
      <c r="K2145" s="95"/>
      <c r="L2145" s="95"/>
      <c r="M2145" s="95"/>
      <c r="N2145" s="95"/>
      <c r="O2145" s="95"/>
      <c r="P2145" s="95"/>
      <c r="Q2145" s="95"/>
      <c r="R2145" s="95"/>
      <c r="S2145" s="95"/>
      <c r="T2145" s="96">
        <v>22509</v>
      </c>
      <c r="U2145" s="95"/>
      <c r="V2145" s="95" t="s">
        <v>2383</v>
      </c>
      <c r="W2145" s="92" t="str">
        <f t="shared" si="143"/>
        <v>Cambronero Berbel,Concepcion</v>
      </c>
      <c r="X2145" s="95">
        <f t="shared" si="144"/>
        <v>6</v>
      </c>
      <c r="Y2145" s="95">
        <f t="shared" si="145"/>
        <v>2022</v>
      </c>
      <c r="Z2145" s="97" t="s">
        <v>266</v>
      </c>
      <c r="AA2145" t="str">
        <f>IF(Tabla1[[#This Row],[Kerma en aire acumulada (Gy)]]&gt;1,SUMIF(G:G,Tabla1[[#This Row],[SIP]],I:I)-Tabla1[[#This Row],[Kerma en aire acumulada (Gy)]],"")</f>
        <v/>
      </c>
    </row>
    <row r="2146" spans="3:27">
      <c r="C2146" s="94" t="str">
        <f t="shared" si="146"/>
        <v>Adulto</v>
      </c>
      <c r="D2146" s="95" t="s">
        <v>74</v>
      </c>
      <c r="E2146" s="95" t="s">
        <v>948</v>
      </c>
      <c r="F2146" s="95" t="s">
        <v>2450</v>
      </c>
      <c r="G2146" s="95">
        <v>66728</v>
      </c>
      <c r="H2146" s="96">
        <v>44742</v>
      </c>
      <c r="I2146" s="95">
        <v>9.7750000000000004E-2</v>
      </c>
      <c r="J2146" s="95"/>
      <c r="K2146" s="95"/>
      <c r="L2146" s="95"/>
      <c r="M2146" s="95"/>
      <c r="N2146" s="95"/>
      <c r="O2146" s="95"/>
      <c r="P2146" s="95"/>
      <c r="Q2146" s="95"/>
      <c r="R2146" s="95"/>
      <c r="S2146" s="95"/>
      <c r="T2146" s="96">
        <v>18707</v>
      </c>
      <c r="U2146" s="95"/>
      <c r="V2146" s="95" t="s">
        <v>2383</v>
      </c>
      <c r="W2146" s="92" t="str">
        <f t="shared" si="143"/>
        <v>Delgado Martinez,Julian</v>
      </c>
      <c r="X2146" s="95">
        <f t="shared" si="144"/>
        <v>6</v>
      </c>
      <c r="Y2146" s="95">
        <f t="shared" si="145"/>
        <v>2022</v>
      </c>
      <c r="Z2146" s="97" t="s">
        <v>266</v>
      </c>
      <c r="AA2146" t="str">
        <f>IF(Tabla1[[#This Row],[Kerma en aire acumulada (Gy)]]&gt;1,SUMIF(G:G,Tabla1[[#This Row],[SIP]],I:I)-Tabla1[[#This Row],[Kerma en aire acumulada (Gy)]],"")</f>
        <v/>
      </c>
    </row>
    <row r="2147" spans="3:27">
      <c r="C2147" s="94" t="str">
        <f t="shared" si="146"/>
        <v>Adulto</v>
      </c>
      <c r="D2147" s="95" t="s">
        <v>1001</v>
      </c>
      <c r="E2147" s="95" t="s">
        <v>1060</v>
      </c>
      <c r="F2147" s="95" t="s">
        <v>356</v>
      </c>
      <c r="G2147" s="95">
        <v>2345481</v>
      </c>
      <c r="H2147" s="96">
        <v>44742</v>
      </c>
      <c r="I2147" s="95">
        <v>0.52861000000000002</v>
      </c>
      <c r="J2147" s="95"/>
      <c r="K2147" s="95"/>
      <c r="L2147" s="95"/>
      <c r="M2147" s="95"/>
      <c r="N2147" s="95"/>
      <c r="O2147" s="95"/>
      <c r="P2147" s="95"/>
      <c r="Q2147" s="95"/>
      <c r="R2147" s="95"/>
      <c r="S2147" s="95"/>
      <c r="T2147" s="96">
        <v>24013</v>
      </c>
      <c r="U2147" s="95"/>
      <c r="V2147" s="95" t="s">
        <v>2383</v>
      </c>
      <c r="W2147" s="92" t="str">
        <f t="shared" si="143"/>
        <v>Perez Rubio,Manuel</v>
      </c>
      <c r="X2147" s="95">
        <f t="shared" si="144"/>
        <v>6</v>
      </c>
      <c r="Y2147" s="95">
        <f t="shared" si="145"/>
        <v>2022</v>
      </c>
      <c r="Z2147" s="97" t="s">
        <v>266</v>
      </c>
      <c r="AA2147" t="str">
        <f>IF(Tabla1[[#This Row],[Kerma en aire acumulada (Gy)]]&gt;1,SUMIF(G:G,Tabla1[[#This Row],[SIP]],I:I)-Tabla1[[#This Row],[Kerma en aire acumulada (Gy)]],"")</f>
        <v/>
      </c>
    </row>
    <row r="2148" spans="3:27">
      <c r="C2148" s="94" t="str">
        <f t="shared" si="146"/>
        <v>Adulto</v>
      </c>
      <c r="D2148" s="95" t="s">
        <v>993</v>
      </c>
      <c r="E2148" s="95" t="s">
        <v>856</v>
      </c>
      <c r="F2148" s="95" t="s">
        <v>785</v>
      </c>
      <c r="G2148" s="95">
        <v>2883771</v>
      </c>
      <c r="H2148" s="96">
        <v>44742</v>
      </c>
      <c r="I2148" s="95">
        <v>0.65678000000000003</v>
      </c>
      <c r="J2148" s="95"/>
      <c r="K2148" s="95"/>
      <c r="L2148" s="95"/>
      <c r="M2148" s="95"/>
      <c r="N2148" s="95"/>
      <c r="O2148" s="95"/>
      <c r="P2148" s="95"/>
      <c r="Q2148" s="95"/>
      <c r="R2148" s="95"/>
      <c r="S2148" s="95"/>
      <c r="T2148" s="96">
        <v>22894</v>
      </c>
      <c r="U2148" s="95"/>
      <c r="V2148" s="95" t="s">
        <v>2383</v>
      </c>
      <c r="W2148" s="92" t="str">
        <f t="shared" si="143"/>
        <v>Blanch Gomez,Hilario</v>
      </c>
      <c r="X2148" s="95">
        <f t="shared" si="144"/>
        <v>6</v>
      </c>
      <c r="Y2148" s="95">
        <f t="shared" si="145"/>
        <v>2022</v>
      </c>
      <c r="Z2148" s="97" t="s">
        <v>266</v>
      </c>
      <c r="AA2148" t="str">
        <f>IF(Tabla1[[#This Row],[Kerma en aire acumulada (Gy)]]&gt;1,SUMIF(G:G,Tabla1[[#This Row],[SIP]],I:I)-Tabla1[[#This Row],[Kerma en aire acumulada (Gy)]],"")</f>
        <v/>
      </c>
    </row>
    <row r="2149" spans="3:27">
      <c r="C2149" s="94" t="str">
        <f t="shared" si="146"/>
        <v>Adulto</v>
      </c>
      <c r="D2149" s="95" t="s">
        <v>3274</v>
      </c>
      <c r="E2149" s="95" t="s">
        <v>3274</v>
      </c>
      <c r="F2149" s="95" t="s">
        <v>3275</v>
      </c>
      <c r="G2149" s="95">
        <v>5114118</v>
      </c>
      <c r="H2149" s="96">
        <v>44742</v>
      </c>
      <c r="I2149" s="95">
        <v>1.188E-2</v>
      </c>
      <c r="J2149" s="95"/>
      <c r="K2149" s="95"/>
      <c r="L2149" s="95"/>
      <c r="M2149" s="95"/>
      <c r="N2149" s="95"/>
      <c r="O2149" s="95"/>
      <c r="P2149" s="95"/>
      <c r="Q2149" s="95"/>
      <c r="R2149" s="95"/>
      <c r="S2149" s="95"/>
      <c r="T2149" s="96">
        <v>23701</v>
      </c>
      <c r="U2149" s="95"/>
      <c r="V2149" s="95" t="s">
        <v>2861</v>
      </c>
      <c r="W2149" s="92" t="str">
        <f t="shared" si="143"/>
        <v>Pallo Pallo,Luis Rosalino</v>
      </c>
      <c r="X2149" s="95">
        <f t="shared" si="144"/>
        <v>6</v>
      </c>
      <c r="Y2149" s="95">
        <f t="shared" si="145"/>
        <v>2022</v>
      </c>
      <c r="Z2149" s="97" t="s">
        <v>265</v>
      </c>
      <c r="AA2149" t="str">
        <f>IF(Tabla1[[#This Row],[Kerma en aire acumulada (Gy)]]&gt;1,SUMIF(G:G,Tabla1[[#This Row],[SIP]],I:I)-Tabla1[[#This Row],[Kerma en aire acumulada (Gy)]],"")</f>
        <v/>
      </c>
    </row>
    <row r="2150" spans="3:27">
      <c r="C2150" s="94" t="str">
        <f t="shared" si="146"/>
        <v>Adulto</v>
      </c>
      <c r="D2150" s="95" t="s">
        <v>3272</v>
      </c>
      <c r="E2150" s="95" t="s">
        <v>2003</v>
      </c>
      <c r="F2150" s="95" t="s">
        <v>3273</v>
      </c>
      <c r="G2150" s="95">
        <v>4371434</v>
      </c>
      <c r="H2150" s="96">
        <v>44742</v>
      </c>
      <c r="I2150" s="95">
        <v>5.9899999999999997E-3</v>
      </c>
      <c r="J2150" s="95"/>
      <c r="K2150" s="95"/>
      <c r="L2150" s="95"/>
      <c r="M2150" s="95"/>
      <c r="N2150" s="95"/>
      <c r="O2150" s="95"/>
      <c r="P2150" s="95"/>
      <c r="Q2150" s="95"/>
      <c r="R2150" s="95"/>
      <c r="S2150" s="95"/>
      <c r="T2150" s="96">
        <v>24375</v>
      </c>
      <c r="U2150" s="95"/>
      <c r="V2150" s="95" t="s">
        <v>1100</v>
      </c>
      <c r="W2150" s="92" t="str">
        <f t="shared" si="143"/>
        <v>Parrales Palacios,Cecilia Judith</v>
      </c>
      <c r="X2150" s="95">
        <f t="shared" si="144"/>
        <v>6</v>
      </c>
      <c r="Y2150" s="95">
        <f t="shared" si="145"/>
        <v>2022</v>
      </c>
      <c r="Z2150" s="97" t="s">
        <v>265</v>
      </c>
      <c r="AA2150" t="str">
        <f>IF(Tabla1[[#This Row],[Kerma en aire acumulada (Gy)]]&gt;1,SUMIF(G:G,Tabla1[[#This Row],[SIP]],I:I)-Tabla1[[#This Row],[Kerma en aire acumulada (Gy)]],"")</f>
        <v/>
      </c>
    </row>
    <row r="2151" spans="3:27">
      <c r="C2151" s="94" t="str">
        <f t="shared" si="146"/>
        <v>Adulto</v>
      </c>
      <c r="D2151" s="95" t="s">
        <v>8</v>
      </c>
      <c r="E2151" s="95"/>
      <c r="F2151" s="95" t="s">
        <v>9</v>
      </c>
      <c r="G2151" s="95">
        <v>6733815</v>
      </c>
      <c r="H2151" s="96">
        <v>44742</v>
      </c>
      <c r="I2151" s="95">
        <v>4.4999999999999999E-4</v>
      </c>
      <c r="J2151" s="95"/>
      <c r="K2151" s="95"/>
      <c r="L2151" s="95"/>
      <c r="M2151" s="95"/>
      <c r="N2151" s="95"/>
      <c r="O2151" s="95"/>
      <c r="P2151" s="95"/>
      <c r="Q2151" s="95"/>
      <c r="R2151" s="95"/>
      <c r="S2151" s="95"/>
      <c r="T2151" s="96">
        <v>31498</v>
      </c>
      <c r="U2151" s="95"/>
      <c r="V2151" s="95" t="s">
        <v>1100</v>
      </c>
      <c r="W2151" s="92" t="str">
        <f t="shared" si="143"/>
        <v>Paraschiv ,Mihaela Florentina</v>
      </c>
      <c r="X2151" s="95">
        <f t="shared" si="144"/>
        <v>6</v>
      </c>
      <c r="Y2151" s="95">
        <f t="shared" si="145"/>
        <v>2022</v>
      </c>
      <c r="Z2151" s="97" t="s">
        <v>265</v>
      </c>
      <c r="AA2151" t="str">
        <f>IF(Tabla1[[#This Row],[Kerma en aire acumulada (Gy)]]&gt;1,SUMIF(G:G,Tabla1[[#This Row],[SIP]],I:I)-Tabla1[[#This Row],[Kerma en aire acumulada (Gy)]],"")</f>
        <v/>
      </c>
    </row>
    <row r="2152" spans="3:27">
      <c r="C2152" s="94" t="str">
        <f t="shared" si="146"/>
        <v>Adulto</v>
      </c>
      <c r="D2152" s="95" t="s">
        <v>3243</v>
      </c>
      <c r="E2152" s="95" t="s">
        <v>962</v>
      </c>
      <c r="F2152" s="95" t="s">
        <v>71</v>
      </c>
      <c r="G2152" s="95">
        <v>1254698</v>
      </c>
      <c r="H2152" s="96">
        <v>44742</v>
      </c>
      <c r="I2152" s="95">
        <v>4.8500000000000001E-3</v>
      </c>
      <c r="J2152" s="95"/>
      <c r="K2152" s="95"/>
      <c r="L2152" s="95"/>
      <c r="M2152" s="95"/>
      <c r="N2152" s="95"/>
      <c r="O2152" s="95"/>
      <c r="P2152" s="95"/>
      <c r="Q2152" s="95"/>
      <c r="R2152" s="95"/>
      <c r="S2152" s="95"/>
      <c r="T2152" s="96">
        <v>23799</v>
      </c>
      <c r="U2152" s="95"/>
      <c r="V2152" s="95" t="s">
        <v>3244</v>
      </c>
      <c r="W2152" s="92" t="str">
        <f t="shared" si="143"/>
        <v>Del Val Garcia,Rafael</v>
      </c>
      <c r="X2152" s="95">
        <f t="shared" si="144"/>
        <v>6</v>
      </c>
      <c r="Y2152" s="95">
        <f t="shared" si="145"/>
        <v>2022</v>
      </c>
      <c r="Z2152" s="97" t="s">
        <v>265</v>
      </c>
      <c r="AA2152" t="str">
        <f>IF(Tabla1[[#This Row],[Kerma en aire acumulada (Gy)]]&gt;1,SUMIF(G:G,Tabla1[[#This Row],[SIP]],I:I)-Tabla1[[#This Row],[Kerma en aire acumulada (Gy)]],"")</f>
        <v/>
      </c>
    </row>
    <row r="2153" spans="3:27">
      <c r="C2153" s="144" t="str">
        <f t="shared" si="146"/>
        <v>Adulto</v>
      </c>
      <c r="D2153" s="145" t="s">
        <v>3292</v>
      </c>
      <c r="E2153" s="145" t="s">
        <v>3293</v>
      </c>
      <c r="F2153" s="145" t="s">
        <v>3294</v>
      </c>
      <c r="G2153" s="145">
        <v>13339566</v>
      </c>
      <c r="H2153" s="146">
        <v>44743</v>
      </c>
      <c r="I2153" s="145">
        <v>4.82E-2</v>
      </c>
      <c r="J2153" s="145"/>
      <c r="K2153" s="145"/>
      <c r="L2153" s="145"/>
      <c r="M2153" s="145"/>
      <c r="N2153" s="145"/>
      <c r="O2153" s="145"/>
      <c r="P2153" s="145"/>
      <c r="Q2153" s="145"/>
      <c r="R2153" s="145"/>
      <c r="S2153" s="145"/>
      <c r="T2153" s="146">
        <v>25829</v>
      </c>
      <c r="U2153" s="145"/>
      <c r="V2153" s="145" t="s">
        <v>3077</v>
      </c>
      <c r="W2153" s="92" t="str">
        <f t="shared" si="143"/>
        <v>Goncalves do Estreito,Antonio Dionicio</v>
      </c>
      <c r="X2153" s="95">
        <f t="shared" si="144"/>
        <v>7</v>
      </c>
      <c r="Y2153" s="95">
        <f t="shared" si="145"/>
        <v>2022</v>
      </c>
      <c r="Z2153" s="153" t="s">
        <v>2238</v>
      </c>
      <c r="AA2153" t="str">
        <f>IF(Tabla1[[#This Row],[Kerma en aire acumulada (Gy)]]&gt;1,SUMIF(G:G,Tabla1[[#This Row],[SIP]],I:I)-Tabla1[[#This Row],[Kerma en aire acumulada (Gy)]],"")</f>
        <v/>
      </c>
    </row>
    <row r="2154" spans="3:27">
      <c r="C2154" s="144" t="str">
        <f t="shared" si="146"/>
        <v>Adulto</v>
      </c>
      <c r="D2154" s="145" t="s">
        <v>2670</v>
      </c>
      <c r="E2154" s="145" t="s">
        <v>772</v>
      </c>
      <c r="F2154" s="145" t="s">
        <v>131</v>
      </c>
      <c r="G2154" s="145">
        <v>3596437</v>
      </c>
      <c r="H2154" s="146">
        <v>44743</v>
      </c>
      <c r="I2154" s="145">
        <v>7.2160000000000002E-2</v>
      </c>
      <c r="J2154" s="145"/>
      <c r="K2154" s="145"/>
      <c r="L2154" s="145"/>
      <c r="M2154" s="145"/>
      <c r="N2154" s="145"/>
      <c r="O2154" s="145"/>
      <c r="P2154" s="145"/>
      <c r="Q2154" s="145"/>
      <c r="R2154" s="145"/>
      <c r="S2154" s="145"/>
      <c r="T2154" s="146">
        <v>15329</v>
      </c>
      <c r="U2154" s="145"/>
      <c r="V2154" s="145" t="s">
        <v>2309</v>
      </c>
      <c r="W2154" s="92" t="str">
        <f>CONCATENATE(D2154,$A$591,E2153,",",F2153)</f>
        <v>Catala do Estreito,Antonio Dionicio</v>
      </c>
      <c r="X2154" s="95">
        <f t="shared" ref="X2154:X2217" si="147">MONTH(H2154)</f>
        <v>7</v>
      </c>
      <c r="Y2154" s="95">
        <f t="shared" ref="Y2154:Y2217" si="148">YEAR(H2154)</f>
        <v>2022</v>
      </c>
      <c r="Z2154" s="153" t="s">
        <v>2238</v>
      </c>
      <c r="AA2154" t="str">
        <f>IF(Tabla1[[#This Row],[Kerma en aire acumulada (Gy)]]&gt;1,SUMIF(G:G,Tabla1[[#This Row],[SIP]],I:I)-Tabla1[[#This Row],[Kerma en aire acumulada (Gy)]],"")</f>
        <v/>
      </c>
    </row>
    <row r="2155" spans="3:27">
      <c r="C2155" s="144" t="str">
        <f t="shared" si="146"/>
        <v>Adulto</v>
      </c>
      <c r="D2155" s="145" t="s">
        <v>3291</v>
      </c>
      <c r="E2155" s="145"/>
      <c r="F2155" s="145" t="s">
        <v>1785</v>
      </c>
      <c r="G2155" s="145">
        <v>2466184</v>
      </c>
      <c r="H2155" s="146">
        <v>44743</v>
      </c>
      <c r="I2155" s="145">
        <v>0.12103999999999999</v>
      </c>
      <c r="J2155" s="145"/>
      <c r="K2155" s="145"/>
      <c r="L2155" s="145"/>
      <c r="M2155" s="145"/>
      <c r="N2155" s="145"/>
      <c r="O2155" s="145"/>
      <c r="P2155" s="145"/>
      <c r="Q2155" s="145"/>
      <c r="R2155" s="145"/>
      <c r="S2155" s="145"/>
      <c r="T2155" s="146">
        <v>24944</v>
      </c>
      <c r="U2155" s="145"/>
      <c r="V2155" s="145" t="s">
        <v>2383</v>
      </c>
      <c r="W2155" s="92" t="str">
        <f>CONCATENATE(D2155,$A$591,E2155,",",F2155)</f>
        <v>Toader ,Liviu</v>
      </c>
      <c r="X2155" s="95">
        <f t="shared" si="147"/>
        <v>7</v>
      </c>
      <c r="Y2155" s="95">
        <f t="shared" si="148"/>
        <v>2022</v>
      </c>
      <c r="Z2155" s="153" t="s">
        <v>266</v>
      </c>
      <c r="AA2155" t="str">
        <f>IF(Tabla1[[#This Row],[Kerma en aire acumulada (Gy)]]&gt;1,SUMIF(G:G,Tabla1[[#This Row],[SIP]],I:I)-Tabla1[[#This Row],[Kerma en aire acumulada (Gy)]],"")</f>
        <v/>
      </c>
    </row>
    <row r="2156" spans="3:27">
      <c r="C2156" s="144" t="str">
        <f t="shared" si="146"/>
        <v>Adulto</v>
      </c>
      <c r="D2156" s="145" t="s">
        <v>1693</v>
      </c>
      <c r="E2156" s="145" t="s">
        <v>2323</v>
      </c>
      <c r="F2156" s="145" t="s">
        <v>88</v>
      </c>
      <c r="G2156" s="145">
        <v>4701502</v>
      </c>
      <c r="H2156" s="146">
        <v>44743</v>
      </c>
      <c r="I2156" s="145">
        <v>0.19431000000000001</v>
      </c>
      <c r="J2156" s="145"/>
      <c r="K2156" s="145"/>
      <c r="L2156" s="145"/>
      <c r="M2156" s="145"/>
      <c r="N2156" s="145"/>
      <c r="O2156" s="145"/>
      <c r="P2156" s="145"/>
      <c r="Q2156" s="145"/>
      <c r="R2156" s="145"/>
      <c r="S2156" s="145"/>
      <c r="T2156" s="146">
        <v>16949</v>
      </c>
      <c r="U2156" s="145"/>
      <c r="V2156" s="145" t="s">
        <v>2383</v>
      </c>
      <c r="W2156" s="92" t="str">
        <f>CONCATENATE(D2156,$A$591,E2155,",",F2155)</f>
        <v>Almudever ,Liviu</v>
      </c>
      <c r="X2156" s="95">
        <f t="shared" si="147"/>
        <v>7</v>
      </c>
      <c r="Y2156" s="95">
        <f t="shared" si="148"/>
        <v>2022</v>
      </c>
      <c r="Z2156" s="153" t="s">
        <v>266</v>
      </c>
      <c r="AA2156" t="str">
        <f>IF(Tabla1[[#This Row],[Kerma en aire acumulada (Gy)]]&gt;1,SUMIF(G:G,Tabla1[[#This Row],[SIP]],I:I)-Tabla1[[#This Row],[Kerma en aire acumulada (Gy)]],"")</f>
        <v/>
      </c>
    </row>
    <row r="2157" spans="3:27">
      <c r="C2157" s="144" t="str">
        <f t="shared" si="146"/>
        <v>Adulto</v>
      </c>
      <c r="D2157" s="145" t="s">
        <v>3290</v>
      </c>
      <c r="E2157" s="145" t="s">
        <v>776</v>
      </c>
      <c r="F2157" s="145" t="s">
        <v>2571</v>
      </c>
      <c r="G2157" s="145">
        <v>2816814</v>
      </c>
      <c r="H2157" s="146">
        <v>44743</v>
      </c>
      <c r="I2157" s="145">
        <v>0.17405999999999999</v>
      </c>
      <c r="J2157" s="145"/>
      <c r="K2157" s="145"/>
      <c r="L2157" s="145"/>
      <c r="M2157" s="145"/>
      <c r="N2157" s="145"/>
      <c r="O2157" s="145"/>
      <c r="P2157" s="145"/>
      <c r="Q2157" s="145"/>
      <c r="R2157" s="145"/>
      <c r="S2157" s="145"/>
      <c r="T2157" s="146">
        <v>21639</v>
      </c>
      <c r="U2157" s="145"/>
      <c r="V2157" s="145" t="s">
        <v>2383</v>
      </c>
      <c r="W2157" s="92" t="str">
        <f>CONCATENATE(D2157,$A$591,E2157,",",F2157)</f>
        <v>Naharro Alfonso,Francisco Jose</v>
      </c>
      <c r="X2157" s="95">
        <f t="shared" si="147"/>
        <v>7</v>
      </c>
      <c r="Y2157" s="95">
        <f t="shared" si="148"/>
        <v>2022</v>
      </c>
      <c r="Z2157" s="153" t="s">
        <v>266</v>
      </c>
      <c r="AA2157" t="str">
        <f>IF(Tabla1[[#This Row],[Kerma en aire acumulada (Gy)]]&gt;1,SUMIF(G:G,Tabla1[[#This Row],[SIP]],I:I)-Tabla1[[#This Row],[Kerma en aire acumulada (Gy)]],"")</f>
        <v/>
      </c>
    </row>
    <row r="2158" spans="3:27">
      <c r="C2158" s="144" t="str">
        <f t="shared" si="146"/>
        <v>Adulto</v>
      </c>
      <c r="D2158" s="145" t="s">
        <v>1764</v>
      </c>
      <c r="E2158" s="145" t="s">
        <v>3289</v>
      </c>
      <c r="F2158" s="145" t="s">
        <v>83</v>
      </c>
      <c r="G2158" s="145">
        <v>326612</v>
      </c>
      <c r="H2158" s="146">
        <v>44743</v>
      </c>
      <c r="I2158" s="145">
        <v>0.15418999999999999</v>
      </c>
      <c r="J2158" s="145"/>
      <c r="K2158" s="145"/>
      <c r="L2158" s="145"/>
      <c r="M2158" s="145"/>
      <c r="N2158" s="145"/>
      <c r="O2158" s="145"/>
      <c r="P2158" s="145"/>
      <c r="Q2158" s="145"/>
      <c r="R2158" s="145"/>
      <c r="S2158" s="145"/>
      <c r="T2158" s="146">
        <v>16075</v>
      </c>
      <c r="U2158" s="145"/>
      <c r="V2158" s="145" t="s">
        <v>2383</v>
      </c>
      <c r="W2158" s="92" t="str">
        <f>CONCATENATE(D2158,$A$591,E2158,",",F2158)</f>
        <v>Vaño Santonja,Francisco</v>
      </c>
      <c r="X2158" s="95">
        <f t="shared" si="147"/>
        <v>7</v>
      </c>
      <c r="Y2158" s="95">
        <f t="shared" si="148"/>
        <v>2022</v>
      </c>
      <c r="Z2158" s="153" t="s">
        <v>266</v>
      </c>
      <c r="AA2158" t="str">
        <f>IF(Tabla1[[#This Row],[Kerma en aire acumulada (Gy)]]&gt;1,SUMIF(G:G,Tabla1[[#This Row],[SIP]],I:I)-Tabla1[[#This Row],[Kerma en aire acumulada (Gy)]],"")</f>
        <v/>
      </c>
    </row>
    <row r="2159" spans="3:27">
      <c r="C2159" s="144" t="str">
        <f t="shared" si="146"/>
        <v>Adulto</v>
      </c>
      <c r="D2159" s="145" t="s">
        <v>1837</v>
      </c>
      <c r="E2159" s="145" t="s">
        <v>891</v>
      </c>
      <c r="F2159" s="145" t="s">
        <v>1667</v>
      </c>
      <c r="G2159" s="145">
        <v>2811683</v>
      </c>
      <c r="H2159" s="146">
        <v>44743</v>
      </c>
      <c r="I2159" s="145">
        <v>0.27793000000000001</v>
      </c>
      <c r="J2159" s="145"/>
      <c r="K2159" s="145"/>
      <c r="L2159" s="145"/>
      <c r="M2159" s="145"/>
      <c r="N2159" s="145"/>
      <c r="O2159" s="145"/>
      <c r="P2159" s="145"/>
      <c r="Q2159" s="145"/>
      <c r="R2159" s="145"/>
      <c r="S2159" s="145"/>
      <c r="T2159" s="146">
        <v>17841</v>
      </c>
      <c r="U2159" s="145"/>
      <c r="V2159" s="145" t="s">
        <v>2383</v>
      </c>
      <c r="W2159" s="92" t="str">
        <f>CONCATENATE(D2159,$A$591,E2158,",",F2158)</f>
        <v>Rodriguez Santonja,Francisco</v>
      </c>
      <c r="X2159" s="95">
        <f t="shared" si="147"/>
        <v>7</v>
      </c>
      <c r="Y2159" s="95">
        <f t="shared" si="148"/>
        <v>2022</v>
      </c>
      <c r="Z2159" s="153" t="s">
        <v>266</v>
      </c>
      <c r="AA2159" t="str">
        <f>IF(Tabla1[[#This Row],[Kerma en aire acumulada (Gy)]]&gt;1,SUMIF(G:G,Tabla1[[#This Row],[SIP]],I:I)-Tabla1[[#This Row],[Kerma en aire acumulada (Gy)]],"")</f>
        <v/>
      </c>
    </row>
    <row r="2160" spans="3:27">
      <c r="C2160" s="94" t="str">
        <f t="shared" si="146"/>
        <v>Adulto</v>
      </c>
      <c r="D2160" s="145" t="s">
        <v>2339</v>
      </c>
      <c r="E2160" s="145" t="s">
        <v>3288</v>
      </c>
      <c r="F2160" s="145" t="s">
        <v>54</v>
      </c>
      <c r="G2160" s="145">
        <v>2248436</v>
      </c>
      <c r="H2160" s="146">
        <v>44743</v>
      </c>
      <c r="I2160" s="145">
        <v>0.11609999999999999</v>
      </c>
      <c r="J2160" s="145"/>
      <c r="K2160" s="145"/>
      <c r="L2160" s="145"/>
      <c r="M2160" s="145"/>
      <c r="N2160" s="145"/>
      <c r="O2160" s="145"/>
      <c r="P2160" s="145"/>
      <c r="Q2160" s="145"/>
      <c r="R2160" s="145"/>
      <c r="S2160" s="145"/>
      <c r="T2160" s="146">
        <v>19216</v>
      </c>
      <c r="U2160" s="145"/>
      <c r="V2160" s="145" t="s">
        <v>2383</v>
      </c>
      <c r="W2160" s="92" t="str">
        <f>CONCATENATE(D2160,$A$591,E2160,",",F2160)</f>
        <v>Simon Carricondo,Isabel</v>
      </c>
      <c r="X2160" s="95">
        <f t="shared" si="147"/>
        <v>7</v>
      </c>
      <c r="Y2160" s="95">
        <f t="shared" si="148"/>
        <v>2022</v>
      </c>
      <c r="Z2160" s="153" t="s">
        <v>266</v>
      </c>
      <c r="AA2160" t="str">
        <f>IF(Tabla1[[#This Row],[Kerma en aire acumulada (Gy)]]&gt;1,SUMIF(G:G,Tabla1[[#This Row],[SIP]],I:I)-Tabla1[[#This Row],[Kerma en aire acumulada (Gy)]],"")</f>
        <v/>
      </c>
    </row>
    <row r="2161" spans="3:27">
      <c r="C2161" s="94" t="str">
        <f t="shared" si="146"/>
        <v>Adulto</v>
      </c>
      <c r="D2161" s="145" t="s">
        <v>3285</v>
      </c>
      <c r="E2161" s="145" t="s">
        <v>22</v>
      </c>
      <c r="F2161" s="145" t="s">
        <v>88</v>
      </c>
      <c r="G2161" s="145">
        <v>3732079</v>
      </c>
      <c r="H2161" s="146">
        <v>44743</v>
      </c>
      <c r="I2161" s="145">
        <v>0.15553</v>
      </c>
      <c r="J2161" s="145"/>
      <c r="K2161" s="145"/>
      <c r="L2161" s="145"/>
      <c r="M2161" s="145"/>
      <c r="N2161" s="145"/>
      <c r="O2161" s="145"/>
      <c r="P2161" s="145"/>
      <c r="Q2161" s="145"/>
      <c r="R2161" s="145"/>
      <c r="S2161" s="145"/>
      <c r="T2161" s="146">
        <v>18834</v>
      </c>
      <c r="U2161" s="145"/>
      <c r="V2161" s="145" t="s">
        <v>2383</v>
      </c>
      <c r="W2161" s="92" t="str">
        <f>CONCATENATE(D2161,$A$591,E2161,",",F2161)</f>
        <v>Atienza Ruiz,Vicente</v>
      </c>
      <c r="X2161" s="95">
        <f t="shared" si="147"/>
        <v>7</v>
      </c>
      <c r="Y2161" s="95">
        <f t="shared" si="148"/>
        <v>2022</v>
      </c>
      <c r="Z2161" s="153" t="s">
        <v>266</v>
      </c>
      <c r="AA2161" t="str">
        <f>IF(Tabla1[[#This Row],[Kerma en aire acumulada (Gy)]]&gt;1,SUMIF(G:G,Tabla1[[#This Row],[SIP]],I:I)-Tabla1[[#This Row],[Kerma en aire acumulada (Gy)]],"")</f>
        <v/>
      </c>
    </row>
    <row r="2162" spans="3:27">
      <c r="C2162" s="94" t="str">
        <f t="shared" si="146"/>
        <v>Adulto</v>
      </c>
      <c r="D2162" s="145" t="s">
        <v>3284</v>
      </c>
      <c r="E2162" s="145" t="s">
        <v>3286</v>
      </c>
      <c r="F2162" s="145" t="s">
        <v>3287</v>
      </c>
      <c r="G2162" s="145">
        <v>3732079</v>
      </c>
      <c r="H2162" s="146">
        <v>44743</v>
      </c>
      <c r="I2162" s="145">
        <v>0.15204999999999999</v>
      </c>
      <c r="J2162" s="145"/>
      <c r="K2162" s="145"/>
      <c r="L2162" s="145"/>
      <c r="M2162" s="145"/>
      <c r="N2162" s="145"/>
      <c r="O2162" s="145"/>
      <c r="P2162" s="145"/>
      <c r="Q2162" s="145"/>
      <c r="R2162" s="145"/>
      <c r="S2162" s="145"/>
      <c r="T2162" s="146">
        <v>16202</v>
      </c>
      <c r="U2162" s="145"/>
      <c r="V2162" s="145" t="s">
        <v>2383</v>
      </c>
      <c r="W2162" s="92" t="str">
        <f>CONCATENATE(D2162,$A$591,E2161,",",F2161)</f>
        <v>Valterra Ruiz,Vicente</v>
      </c>
      <c r="X2162" s="95">
        <f t="shared" si="147"/>
        <v>7</v>
      </c>
      <c r="Y2162" s="95">
        <f t="shared" si="148"/>
        <v>2022</v>
      </c>
      <c r="Z2162" s="153" t="s">
        <v>266</v>
      </c>
      <c r="AA2162" t="str">
        <f>IF(Tabla1[[#This Row],[Kerma en aire acumulada (Gy)]]&gt;1,SUMIF(G:G,Tabla1[[#This Row],[SIP]],I:I)-Tabla1[[#This Row],[Kerma en aire acumulada (Gy)]],"")</f>
        <v/>
      </c>
    </row>
    <row r="2163" spans="3:27">
      <c r="C2163" s="94" t="str">
        <f t="shared" si="146"/>
        <v>Adulto</v>
      </c>
      <c r="D2163" s="145" t="s">
        <v>960</v>
      </c>
      <c r="E2163" s="145" t="s">
        <v>954</v>
      </c>
      <c r="F2163" s="145" t="s">
        <v>779</v>
      </c>
      <c r="G2163" s="145">
        <v>2953995</v>
      </c>
      <c r="H2163" s="146">
        <v>44743</v>
      </c>
      <c r="I2163" s="145">
        <v>3.058E-2</v>
      </c>
      <c r="J2163" s="145"/>
      <c r="K2163" s="145"/>
      <c r="L2163" s="145"/>
      <c r="M2163" s="145"/>
      <c r="N2163" s="145"/>
      <c r="O2163" s="145"/>
      <c r="P2163" s="145"/>
      <c r="Q2163" s="145"/>
      <c r="R2163" s="145"/>
      <c r="S2163" s="145"/>
      <c r="T2163" s="146">
        <v>26304</v>
      </c>
      <c r="U2163" s="145"/>
      <c r="V2163" s="145" t="s">
        <v>1116</v>
      </c>
      <c r="W2163" s="92" t="str">
        <f>CONCATENATE(D2163,$A$591,E2163,",",F2163)</f>
        <v>Lopez Carbonell,Samuel</v>
      </c>
      <c r="X2163" s="95">
        <f t="shared" si="147"/>
        <v>7</v>
      </c>
      <c r="Y2163" s="95">
        <f t="shared" si="148"/>
        <v>2022</v>
      </c>
      <c r="Z2163" s="153" t="s">
        <v>265</v>
      </c>
      <c r="AA2163" t="str">
        <f>IF(Tabla1[[#This Row],[Kerma en aire acumulada (Gy)]]&gt;1,SUMIF(G:G,Tabla1[[#This Row],[SIP]],I:I)-Tabla1[[#This Row],[Kerma en aire acumulada (Gy)]],"")</f>
        <v/>
      </c>
    </row>
    <row r="2164" spans="3:27">
      <c r="C2164" s="94" t="str">
        <f t="shared" si="146"/>
        <v>Adulto</v>
      </c>
      <c r="D2164" s="145" t="s">
        <v>3282</v>
      </c>
      <c r="E2164" s="145" t="s">
        <v>3283</v>
      </c>
      <c r="F2164" s="145" t="s">
        <v>117</v>
      </c>
      <c r="G2164" s="145">
        <v>2391051</v>
      </c>
      <c r="H2164" s="146">
        <v>44743</v>
      </c>
      <c r="I2164" s="145">
        <v>0.59601000000000004</v>
      </c>
      <c r="J2164" s="145"/>
      <c r="K2164" s="145"/>
      <c r="L2164" s="145"/>
      <c r="M2164" s="145"/>
      <c r="N2164" s="145"/>
      <c r="O2164" s="145"/>
      <c r="P2164" s="145"/>
      <c r="Q2164" s="145"/>
      <c r="R2164" s="145"/>
      <c r="S2164" s="145"/>
      <c r="T2164" s="146">
        <v>18297</v>
      </c>
      <c r="U2164" s="145"/>
      <c r="V2164" s="145" t="s">
        <v>259</v>
      </c>
      <c r="W2164" s="92" t="str">
        <f>CONCATENATE(D2164,$A$591,E2164,",",F2164)</f>
        <v>Rio del Alba,M Carmen</v>
      </c>
      <c r="X2164" s="95">
        <f t="shared" si="147"/>
        <v>7</v>
      </c>
      <c r="Y2164" s="95">
        <f t="shared" si="148"/>
        <v>2022</v>
      </c>
      <c r="Z2164" s="153" t="s">
        <v>265</v>
      </c>
      <c r="AA2164" t="str">
        <f>IF(Tabla1[[#This Row],[Kerma en aire acumulada (Gy)]]&gt;1,SUMIF(G:G,Tabla1[[#This Row],[SIP]],I:I)-Tabla1[[#This Row],[Kerma en aire acumulada (Gy)]],"")</f>
        <v/>
      </c>
    </row>
    <row r="2165" spans="3:27">
      <c r="C2165" s="94" t="str">
        <f t="shared" si="146"/>
        <v>Adulto</v>
      </c>
      <c r="D2165" s="145" t="s">
        <v>784</v>
      </c>
      <c r="E2165" s="145" t="s">
        <v>723</v>
      </c>
      <c r="F2165" s="145" t="s">
        <v>1104</v>
      </c>
      <c r="G2165" s="145">
        <v>2268610</v>
      </c>
      <c r="H2165" s="146">
        <v>44743</v>
      </c>
      <c r="I2165" s="145">
        <v>1.3699999999999999E-3</v>
      </c>
      <c r="J2165" s="145"/>
      <c r="K2165" s="145"/>
      <c r="L2165" s="145"/>
      <c r="M2165" s="145"/>
      <c r="N2165" s="145"/>
      <c r="O2165" s="145"/>
      <c r="P2165" s="145"/>
      <c r="Q2165" s="145"/>
      <c r="R2165" s="145"/>
      <c r="S2165" s="145"/>
      <c r="T2165" s="146">
        <v>19062</v>
      </c>
      <c r="U2165" s="145"/>
      <c r="V2165" s="145" t="s">
        <v>1113</v>
      </c>
      <c r="W2165" s="92" t="str">
        <f>CONCATENATE(D2165,$A$591,E2165,",",F2165)</f>
        <v>Coll Moscardo,Jose Luis</v>
      </c>
      <c r="X2165" s="95">
        <f t="shared" si="147"/>
        <v>7</v>
      </c>
      <c r="Y2165" s="95">
        <f t="shared" si="148"/>
        <v>2022</v>
      </c>
      <c r="Z2165" s="153" t="s">
        <v>265</v>
      </c>
      <c r="AA2165" t="str">
        <f>IF(Tabla1[[#This Row],[Kerma en aire acumulada (Gy)]]&gt;1,SUMIF(G:G,Tabla1[[#This Row],[SIP]],I:I)-Tabla1[[#This Row],[Kerma en aire acumulada (Gy)]],"")</f>
        <v/>
      </c>
    </row>
    <row r="2166" spans="3:27">
      <c r="C2166" s="144" t="str">
        <f t="shared" si="146"/>
        <v>Adulto</v>
      </c>
      <c r="D2166" s="95" t="s">
        <v>1309</v>
      </c>
      <c r="E2166" s="95" t="s">
        <v>2893</v>
      </c>
      <c r="F2166" s="95" t="s">
        <v>3296</v>
      </c>
      <c r="G2166" s="145">
        <v>3086802</v>
      </c>
      <c r="H2166" s="146">
        <v>44744</v>
      </c>
      <c r="I2166" s="168">
        <v>1.5165599999999999</v>
      </c>
      <c r="J2166" s="145"/>
      <c r="K2166" s="145"/>
      <c r="L2166" s="145"/>
      <c r="M2166" s="145"/>
      <c r="N2166" s="145"/>
      <c r="O2166" s="145"/>
      <c r="P2166" s="145"/>
      <c r="Q2166" s="145"/>
      <c r="R2166" s="145"/>
      <c r="S2166" s="145"/>
      <c r="T2166" s="146">
        <v>28300</v>
      </c>
      <c r="U2166" s="145"/>
      <c r="V2166" s="95" t="s">
        <v>2383</v>
      </c>
      <c r="W2166" s="92" t="str">
        <f>CONCATENATE(D2166,$A$591,E2166,",",F2166)</f>
        <v>Gallardo Llorens,Jordi Joan</v>
      </c>
      <c r="X2166" s="95">
        <f t="shared" si="147"/>
        <v>7</v>
      </c>
      <c r="Y2166" s="95">
        <f t="shared" si="148"/>
        <v>2022</v>
      </c>
      <c r="Z2166" s="153" t="s">
        <v>266</v>
      </c>
      <c r="AA2166">
        <f>IF(Tabla1[[#This Row],[Kerma en aire acumulada (Gy)]]&gt;1,SUMIF(G:G,Tabla1[[#This Row],[SIP]],I:I)-Tabla1[[#This Row],[Kerma en aire acumulada (Gy)]],"")</f>
        <v>0.13358000000000003</v>
      </c>
    </row>
    <row r="2167" spans="3:27">
      <c r="C2167" s="144" t="str">
        <f t="shared" si="146"/>
        <v>Adulto</v>
      </c>
      <c r="D2167" s="145" t="s">
        <v>772</v>
      </c>
      <c r="E2167" s="145" t="s">
        <v>3295</v>
      </c>
      <c r="F2167" s="145" t="s">
        <v>106</v>
      </c>
      <c r="G2167" s="145">
        <v>6259389</v>
      </c>
      <c r="H2167" s="146">
        <v>44744</v>
      </c>
      <c r="I2167" s="145">
        <v>0.42004999999999998</v>
      </c>
      <c r="J2167" s="145"/>
      <c r="K2167" s="145"/>
      <c r="L2167" s="145"/>
      <c r="M2167" s="145"/>
      <c r="N2167" s="145"/>
      <c r="O2167" s="145"/>
      <c r="P2167" s="145"/>
      <c r="Q2167" s="145"/>
      <c r="R2167" s="145"/>
      <c r="S2167" s="145"/>
      <c r="T2167" s="146">
        <v>19021</v>
      </c>
      <c r="U2167" s="145"/>
      <c r="V2167" s="145" t="s">
        <v>107</v>
      </c>
      <c r="W2167" s="92" t="str">
        <f>CONCATENATE(D2167,$A$591,E2166,",",F2166)</f>
        <v>Sanchez Llorens,Jordi Joan</v>
      </c>
      <c r="X2167" s="95">
        <f t="shared" si="147"/>
        <v>7</v>
      </c>
      <c r="Y2167" s="95">
        <f t="shared" si="148"/>
        <v>2022</v>
      </c>
      <c r="Z2167" s="153" t="s">
        <v>265</v>
      </c>
      <c r="AA2167" t="str">
        <f>IF(Tabla1[[#This Row],[Kerma en aire acumulada (Gy)]]&gt;1,SUMIF(G:G,Tabla1[[#This Row],[SIP]],I:I)-Tabla1[[#This Row],[Kerma en aire acumulada (Gy)]],"")</f>
        <v/>
      </c>
    </row>
    <row r="2168" spans="3:27">
      <c r="C2168" s="144" t="str">
        <f t="shared" si="146"/>
        <v>Adulto</v>
      </c>
      <c r="D2168" s="95" t="s">
        <v>3297</v>
      </c>
      <c r="E2168" s="145"/>
      <c r="F2168" s="95" t="s">
        <v>3298</v>
      </c>
      <c r="G2168" s="145">
        <v>7123522</v>
      </c>
      <c r="H2168" s="146">
        <v>44745</v>
      </c>
      <c r="I2168" s="145">
        <v>0.72719999999999996</v>
      </c>
      <c r="J2168" s="145"/>
      <c r="K2168" s="145"/>
      <c r="L2168" s="145"/>
      <c r="M2168" s="145"/>
      <c r="N2168" s="145"/>
      <c r="O2168" s="145"/>
      <c r="P2168" s="145"/>
      <c r="Q2168" s="145"/>
      <c r="R2168" s="145"/>
      <c r="S2168" s="145"/>
      <c r="T2168" s="146">
        <v>30418</v>
      </c>
      <c r="U2168" s="145"/>
      <c r="V2168" s="95" t="s">
        <v>2383</v>
      </c>
      <c r="W2168" s="92" t="str">
        <f>CONCATENATE(D2168,$A$591,E2168,",",F2168)</f>
        <v>Chahboub ,Abdelfattah</v>
      </c>
      <c r="X2168" s="95">
        <f t="shared" si="147"/>
        <v>7</v>
      </c>
      <c r="Y2168" s="95">
        <f t="shared" si="148"/>
        <v>2022</v>
      </c>
      <c r="Z2168" s="97" t="s">
        <v>266</v>
      </c>
      <c r="AA2168" t="str">
        <f>IF(Tabla1[[#This Row],[Kerma en aire acumulada (Gy)]]&gt;1,SUMIF(G:G,Tabla1[[#This Row],[SIP]],I:I)-Tabla1[[#This Row],[Kerma en aire acumulada (Gy)]],"")</f>
        <v/>
      </c>
    </row>
    <row r="2169" spans="3:27">
      <c r="C2169" s="144" t="str">
        <f t="shared" si="146"/>
        <v>Adulto</v>
      </c>
      <c r="D2169" s="95" t="s">
        <v>2342</v>
      </c>
      <c r="E2169" s="95" t="s">
        <v>77</v>
      </c>
      <c r="F2169" s="95" t="s">
        <v>1621</v>
      </c>
      <c r="G2169" s="145">
        <v>3145251</v>
      </c>
      <c r="H2169" s="146">
        <v>44746</v>
      </c>
      <c r="I2169" s="145">
        <v>7.0499999999999998E-3</v>
      </c>
      <c r="J2169" s="145"/>
      <c r="K2169" s="145"/>
      <c r="L2169" s="145"/>
      <c r="M2169" s="145"/>
      <c r="N2169" s="145"/>
      <c r="O2169" s="145"/>
      <c r="P2169" s="145"/>
      <c r="Q2169" s="145"/>
      <c r="R2169" s="145"/>
      <c r="S2169" s="145"/>
      <c r="T2169" s="146">
        <v>12299</v>
      </c>
      <c r="U2169" s="145"/>
      <c r="V2169" s="95" t="s">
        <v>2962</v>
      </c>
      <c r="W2169" s="92" t="str">
        <f>CONCATENATE(D2169,$A$591,E2169,",",F2169)</f>
        <v>Domenech Torres,Ramon</v>
      </c>
      <c r="X2169" s="95">
        <f t="shared" si="147"/>
        <v>7</v>
      </c>
      <c r="Y2169" s="95">
        <f t="shared" si="148"/>
        <v>2022</v>
      </c>
      <c r="Z2169" s="97" t="s">
        <v>2238</v>
      </c>
      <c r="AA2169" t="str">
        <f>IF(Tabla1[[#This Row],[Kerma en aire acumulada (Gy)]]&gt;1,SUMIF(G:G,Tabla1[[#This Row],[SIP]],I:I)-Tabla1[[#This Row],[Kerma en aire acumulada (Gy)]],"")</f>
        <v/>
      </c>
    </row>
    <row r="2170" spans="3:27">
      <c r="C2170" s="144" t="str">
        <f t="shared" si="146"/>
        <v>Adulto</v>
      </c>
      <c r="D2170" s="145" t="s">
        <v>3308</v>
      </c>
      <c r="E2170" s="145" t="s">
        <v>3309</v>
      </c>
      <c r="F2170" s="145" t="s">
        <v>991</v>
      </c>
      <c r="G2170" s="145">
        <v>6535087</v>
      </c>
      <c r="H2170" s="146">
        <v>44746</v>
      </c>
      <c r="I2170" s="176">
        <v>4.5420999999999996</v>
      </c>
      <c r="J2170" s="145"/>
      <c r="K2170" s="145"/>
      <c r="L2170" s="145"/>
      <c r="M2170" s="145"/>
      <c r="N2170" s="145"/>
      <c r="O2170" s="145"/>
      <c r="P2170" s="145"/>
      <c r="Q2170" s="145"/>
      <c r="R2170" s="145"/>
      <c r="S2170" s="145"/>
      <c r="T2170" s="146">
        <v>14453</v>
      </c>
      <c r="U2170" s="145"/>
      <c r="V2170" s="145" t="s">
        <v>2383</v>
      </c>
      <c r="W2170" s="92" t="str">
        <f>CONCATENATE(D2170,$A$591,E2170,",",F2170)</f>
        <v>de la Concepcion Solera,Jose</v>
      </c>
      <c r="X2170" s="95">
        <f t="shared" si="147"/>
        <v>7</v>
      </c>
      <c r="Y2170" s="95">
        <f t="shared" si="148"/>
        <v>2022</v>
      </c>
      <c r="Z2170" s="153" t="s">
        <v>266</v>
      </c>
      <c r="AA2170">
        <f>IF(Tabla1[[#This Row],[Kerma en aire acumulada (Gy)]]&gt;1,SUMIF(G:G,Tabla1[[#This Row],[SIP]],I:I)-Tabla1[[#This Row],[Kerma en aire acumulada (Gy)]],"")</f>
        <v>0</v>
      </c>
    </row>
    <row r="2171" spans="3:27">
      <c r="C2171" s="144" t="str">
        <f t="shared" si="146"/>
        <v>Adulto</v>
      </c>
      <c r="D2171" s="145" t="s">
        <v>97</v>
      </c>
      <c r="E2171" s="145" t="s">
        <v>319</v>
      </c>
      <c r="F2171" s="145" t="s">
        <v>3307</v>
      </c>
      <c r="G2171" s="145">
        <v>1193794</v>
      </c>
      <c r="H2171" s="146">
        <v>44746</v>
      </c>
      <c r="I2171" s="145">
        <v>0.15140000000000001</v>
      </c>
      <c r="J2171" s="145"/>
      <c r="K2171" s="145"/>
      <c r="L2171" s="145"/>
      <c r="M2171" s="145"/>
      <c r="N2171" s="145"/>
      <c r="O2171" s="145"/>
      <c r="P2171" s="145"/>
      <c r="Q2171" s="145"/>
      <c r="R2171" s="145"/>
      <c r="S2171" s="145"/>
      <c r="T2171" s="146">
        <v>33683</v>
      </c>
      <c r="U2171" s="145"/>
      <c r="V2171" s="145" t="s">
        <v>2383</v>
      </c>
      <c r="W2171" s="92" t="e">
        <f>CONCATENATE(D2171,$A$591,#REF!,",",#REF!)</f>
        <v>#REF!</v>
      </c>
      <c r="X2171" s="95">
        <f t="shared" si="147"/>
        <v>7</v>
      </c>
      <c r="Y2171" s="95">
        <f t="shared" si="148"/>
        <v>2022</v>
      </c>
      <c r="Z2171" s="153" t="s">
        <v>266</v>
      </c>
      <c r="AA2171" t="str">
        <f>IF(Tabla1[[#This Row],[Kerma en aire acumulada (Gy)]]&gt;1,SUMIF(G:G,Tabla1[[#This Row],[SIP]],I:I)-Tabla1[[#This Row],[Kerma en aire acumulada (Gy)]],"")</f>
        <v/>
      </c>
    </row>
    <row r="2172" spans="3:27">
      <c r="C2172" s="144" t="str">
        <f t="shared" si="146"/>
        <v>Adulto</v>
      </c>
      <c r="D2172" s="145" t="s">
        <v>772</v>
      </c>
      <c r="E2172" s="145" t="s">
        <v>3306</v>
      </c>
      <c r="F2172" s="145" t="s">
        <v>98</v>
      </c>
      <c r="G2172" s="145">
        <v>3121136</v>
      </c>
      <c r="H2172" s="146">
        <v>44746</v>
      </c>
      <c r="I2172" s="145">
        <v>0.61960000000000004</v>
      </c>
      <c r="J2172" s="145"/>
      <c r="K2172" s="145"/>
      <c r="L2172" s="145"/>
      <c r="M2172" s="145"/>
      <c r="N2172" s="145"/>
      <c r="O2172" s="145"/>
      <c r="P2172" s="145"/>
      <c r="Q2172" s="145"/>
      <c r="R2172" s="145"/>
      <c r="S2172" s="145"/>
      <c r="T2172" s="146">
        <v>14998</v>
      </c>
      <c r="U2172" s="145"/>
      <c r="V2172" s="145" t="s">
        <v>2383</v>
      </c>
      <c r="W2172" s="92" t="str">
        <f>CONCATENATE(D2172,$A$591,E2172,",",F2172)</f>
        <v>Sanchez del Burgo,Felipe</v>
      </c>
      <c r="X2172" s="95">
        <f t="shared" si="147"/>
        <v>7</v>
      </c>
      <c r="Y2172" s="95">
        <f t="shared" si="148"/>
        <v>2022</v>
      </c>
      <c r="Z2172" s="153" t="s">
        <v>266</v>
      </c>
      <c r="AA2172" t="str">
        <f>IF(Tabla1[[#This Row],[Kerma en aire acumulada (Gy)]]&gt;1,SUMIF(G:G,Tabla1[[#This Row],[SIP]],I:I)-Tabla1[[#This Row],[Kerma en aire acumulada (Gy)]],"")</f>
        <v/>
      </c>
    </row>
    <row r="2173" spans="3:27">
      <c r="C2173" s="144" t="str">
        <f t="shared" si="146"/>
        <v>Adulto</v>
      </c>
      <c r="D2173" s="145" t="s">
        <v>772</v>
      </c>
      <c r="E2173" s="145" t="s">
        <v>2308</v>
      </c>
      <c r="F2173" s="145" t="s">
        <v>2777</v>
      </c>
      <c r="G2173" s="145">
        <v>2236766</v>
      </c>
      <c r="H2173" s="146">
        <v>44746</v>
      </c>
      <c r="I2173" s="145">
        <v>1.431E-2</v>
      </c>
      <c r="J2173" s="145"/>
      <c r="K2173" s="145"/>
      <c r="L2173" s="145"/>
      <c r="M2173" s="145"/>
      <c r="N2173" s="145"/>
      <c r="O2173" s="145"/>
      <c r="P2173" s="145"/>
      <c r="Q2173" s="145"/>
      <c r="R2173" s="145"/>
      <c r="S2173" s="145"/>
      <c r="T2173" s="146">
        <v>14975</v>
      </c>
      <c r="U2173" s="145"/>
      <c r="V2173" s="145" t="s">
        <v>3305</v>
      </c>
      <c r="W2173" s="92" t="str">
        <f>CONCATENATE(D2173,$A$591,E2173,",",F2173)</f>
        <v>Sanchez Rozalen,Liberto</v>
      </c>
      <c r="X2173" s="95">
        <f t="shared" si="147"/>
        <v>7</v>
      </c>
      <c r="Y2173" s="95">
        <f t="shared" si="148"/>
        <v>2022</v>
      </c>
      <c r="Z2173" s="153" t="s">
        <v>265</v>
      </c>
      <c r="AA2173" t="str">
        <f>IF(Tabla1[[#This Row],[Kerma en aire acumulada (Gy)]]&gt;1,SUMIF(G:G,Tabla1[[#This Row],[SIP]],I:I)-Tabla1[[#This Row],[Kerma en aire acumulada (Gy)]],"")</f>
        <v/>
      </c>
    </row>
    <row r="2174" spans="3:27">
      <c r="C2174" s="144" t="str">
        <f t="shared" si="146"/>
        <v>Adulto</v>
      </c>
      <c r="D2174" s="145" t="s">
        <v>3302</v>
      </c>
      <c r="E2174" s="145" t="s">
        <v>3303</v>
      </c>
      <c r="F2174" s="145" t="s">
        <v>3304</v>
      </c>
      <c r="G2174" s="145">
        <v>2950401</v>
      </c>
      <c r="H2174" s="146">
        <v>44746</v>
      </c>
      <c r="I2174" s="145">
        <v>4.4990000000000002E-2</v>
      </c>
      <c r="J2174" s="145"/>
      <c r="K2174" s="145"/>
      <c r="L2174" s="145"/>
      <c r="M2174" s="145"/>
      <c r="N2174" s="145"/>
      <c r="O2174" s="145"/>
      <c r="P2174" s="145"/>
      <c r="Q2174" s="145"/>
      <c r="R2174" s="145"/>
      <c r="S2174" s="145"/>
      <c r="T2174" s="146">
        <v>26686</v>
      </c>
      <c r="U2174" s="145"/>
      <c r="V2174" s="145" t="s">
        <v>3051</v>
      </c>
      <c r="W2174" s="92" t="e">
        <f>CONCATENATE(D2174,$A$591,#REF!,",",#REF!)</f>
        <v>#REF!</v>
      </c>
      <c r="X2174" s="95">
        <f t="shared" si="147"/>
        <v>7</v>
      </c>
      <c r="Y2174" s="95">
        <f t="shared" si="148"/>
        <v>2022</v>
      </c>
      <c r="Z2174" s="153" t="s">
        <v>265</v>
      </c>
      <c r="AA2174" t="str">
        <f>IF(Tabla1[[#This Row],[Kerma en aire acumulada (Gy)]]&gt;1,SUMIF(G:G,Tabla1[[#This Row],[SIP]],I:I)-Tabla1[[#This Row],[Kerma en aire acumulada (Gy)]],"")</f>
        <v/>
      </c>
    </row>
    <row r="2175" spans="3:27">
      <c r="C2175" s="144" t="str">
        <f t="shared" si="146"/>
        <v>Adulto</v>
      </c>
      <c r="D2175" s="145" t="s">
        <v>3301</v>
      </c>
      <c r="E2175" s="145" t="s">
        <v>77</v>
      </c>
      <c r="F2175" s="145" t="s">
        <v>2728</v>
      </c>
      <c r="G2175" s="145">
        <v>2648415</v>
      </c>
      <c r="H2175" s="146">
        <v>44746</v>
      </c>
      <c r="I2175" s="145">
        <v>1.0970000000000001E-2</v>
      </c>
      <c r="J2175" s="145"/>
      <c r="K2175" s="145"/>
      <c r="L2175" s="145"/>
      <c r="M2175" s="145"/>
      <c r="N2175" s="145"/>
      <c r="O2175" s="145"/>
      <c r="P2175" s="145"/>
      <c r="Q2175" s="145"/>
      <c r="R2175" s="145"/>
      <c r="S2175" s="145"/>
      <c r="T2175" s="146">
        <v>34368</v>
      </c>
      <c r="U2175" s="145"/>
      <c r="V2175" s="145" t="s">
        <v>1174</v>
      </c>
      <c r="W2175" s="92" t="str">
        <f t="shared" ref="W2175:W2206" si="149">CONCATENATE(D2175,$A$591,E2175,",",F2175)</f>
        <v>Casasempere Torres,Maria Luisa</v>
      </c>
      <c r="X2175" s="95">
        <f t="shared" si="147"/>
        <v>7</v>
      </c>
      <c r="Y2175" s="95">
        <f t="shared" si="148"/>
        <v>2022</v>
      </c>
      <c r="Z2175" s="153" t="s">
        <v>265</v>
      </c>
      <c r="AA2175" t="str">
        <f>IF(Tabla1[[#This Row],[Kerma en aire acumulada (Gy)]]&gt;1,SUMIF(G:G,Tabla1[[#This Row],[SIP]],I:I)-Tabla1[[#This Row],[Kerma en aire acumulada (Gy)]],"")</f>
        <v/>
      </c>
    </row>
    <row r="2176" spans="3:27">
      <c r="C2176" s="144" t="str">
        <f t="shared" si="146"/>
        <v>Adulto</v>
      </c>
      <c r="D2176" s="145" t="s">
        <v>3299</v>
      </c>
      <c r="E2176" s="145" t="s">
        <v>3300</v>
      </c>
      <c r="F2176" s="145" t="s">
        <v>991</v>
      </c>
      <c r="G2176" s="145">
        <v>2867166</v>
      </c>
      <c r="H2176" s="146">
        <v>44746</v>
      </c>
      <c r="I2176" s="145">
        <v>3.9440000000000003E-2</v>
      </c>
      <c r="J2176" s="145"/>
      <c r="K2176" s="145"/>
      <c r="L2176" s="145"/>
      <c r="M2176" s="145"/>
      <c r="N2176" s="145"/>
      <c r="O2176" s="145"/>
      <c r="P2176" s="145"/>
      <c r="Q2176" s="145"/>
      <c r="R2176" s="145"/>
      <c r="S2176" s="145"/>
      <c r="T2176" s="146">
        <v>18530</v>
      </c>
      <c r="U2176" s="145"/>
      <c r="V2176" s="145" t="s">
        <v>1853</v>
      </c>
      <c r="W2176" s="92" t="str">
        <f t="shared" si="149"/>
        <v>Gramaje Juesas,Jose</v>
      </c>
      <c r="X2176" s="95">
        <f t="shared" si="147"/>
        <v>7</v>
      </c>
      <c r="Y2176" s="95">
        <f t="shared" si="148"/>
        <v>2022</v>
      </c>
      <c r="Z2176" s="153" t="s">
        <v>265</v>
      </c>
      <c r="AA2176" t="str">
        <f>IF(Tabla1[[#This Row],[Kerma en aire acumulada (Gy)]]&gt;1,SUMIF(G:G,Tabla1[[#This Row],[SIP]],I:I)-Tabla1[[#This Row],[Kerma en aire acumulada (Gy)]],"")</f>
        <v/>
      </c>
    </row>
    <row r="2177" spans="3:27">
      <c r="C2177" s="144" t="str">
        <f t="shared" si="146"/>
        <v>Adulto</v>
      </c>
      <c r="D2177" s="145" t="s">
        <v>796</v>
      </c>
      <c r="E2177" s="145" t="s">
        <v>2306</v>
      </c>
      <c r="F2177" s="145" t="s">
        <v>519</v>
      </c>
      <c r="G2177" s="145">
        <v>7643605</v>
      </c>
      <c r="H2177" s="146">
        <v>44746</v>
      </c>
      <c r="I2177" s="145">
        <v>0.12520999999999999</v>
      </c>
      <c r="J2177" s="145"/>
      <c r="K2177" s="145"/>
      <c r="L2177" s="145"/>
      <c r="M2177" s="145"/>
      <c r="N2177" s="145"/>
      <c r="O2177" s="145"/>
      <c r="P2177" s="145"/>
      <c r="Q2177" s="145"/>
      <c r="R2177" s="145"/>
      <c r="S2177" s="145"/>
      <c r="T2177" s="146">
        <v>19278</v>
      </c>
      <c r="U2177" s="145"/>
      <c r="V2177" s="145" t="s">
        <v>552</v>
      </c>
      <c r="W2177" s="92" t="str">
        <f t="shared" si="149"/>
        <v>Quesada Bayona,Fernando</v>
      </c>
      <c r="X2177" s="95">
        <f t="shared" si="147"/>
        <v>7</v>
      </c>
      <c r="Y2177" s="95">
        <f t="shared" si="148"/>
        <v>2022</v>
      </c>
      <c r="Z2177" s="153" t="s">
        <v>265</v>
      </c>
      <c r="AA2177" t="str">
        <f>IF(Tabla1[[#This Row],[Kerma en aire acumulada (Gy)]]&gt;1,SUMIF(G:G,Tabla1[[#This Row],[SIP]],I:I)-Tabla1[[#This Row],[Kerma en aire acumulada (Gy)]],"")</f>
        <v/>
      </c>
    </row>
    <row r="2178" spans="3:27">
      <c r="C2178" s="144" t="str">
        <f t="shared" ref="C2178:C2241" si="150">IF(OR(H2178="",T2178=""),"",IF((H2178-T2178)/12/30&lt;18,"Pediátrico","Adulto"))</f>
        <v>Adulto</v>
      </c>
      <c r="D2178" s="95" t="s">
        <v>3318</v>
      </c>
      <c r="E2178" s="95" t="s">
        <v>1248</v>
      </c>
      <c r="F2178" s="95" t="s">
        <v>3319</v>
      </c>
      <c r="G2178" s="95">
        <v>1962465</v>
      </c>
      <c r="H2178" s="146">
        <v>44747</v>
      </c>
      <c r="I2178" s="95">
        <v>0.30070000000000002</v>
      </c>
      <c r="J2178" s="95"/>
      <c r="K2178" s="95"/>
      <c r="L2178" s="95"/>
      <c r="M2178" s="95"/>
      <c r="N2178" s="95"/>
      <c r="O2178" s="95"/>
      <c r="P2178" s="95"/>
      <c r="Q2178" s="95"/>
      <c r="R2178" s="95"/>
      <c r="S2178" s="95"/>
      <c r="T2178" s="96">
        <v>22723</v>
      </c>
      <c r="U2178" s="95"/>
      <c r="V2178" s="95" t="s">
        <v>3077</v>
      </c>
      <c r="W2178" s="92" t="str">
        <f t="shared" si="149"/>
        <v>Gradoli Marti,Pilar Josefa</v>
      </c>
      <c r="X2178" s="95">
        <f t="shared" si="147"/>
        <v>7</v>
      </c>
      <c r="Y2178" s="95">
        <f t="shared" si="148"/>
        <v>2022</v>
      </c>
      <c r="Z2178" s="97" t="s">
        <v>2238</v>
      </c>
      <c r="AA2178" t="str">
        <f>IF(Tabla1[[#This Row],[Kerma en aire acumulada (Gy)]]&gt;1,SUMIF(G:G,Tabla1[[#This Row],[SIP]],I:I)-Tabla1[[#This Row],[Kerma en aire acumulada (Gy)]],"")</f>
        <v/>
      </c>
    </row>
    <row r="2179" spans="3:27">
      <c r="C2179" s="144" t="str">
        <f t="shared" si="150"/>
        <v>Adulto</v>
      </c>
      <c r="D2179" s="95" t="s">
        <v>3317</v>
      </c>
      <c r="E2179" s="95" t="s">
        <v>1904</v>
      </c>
      <c r="F2179" s="95" t="s">
        <v>991</v>
      </c>
      <c r="G2179" s="95">
        <v>2307657</v>
      </c>
      <c r="H2179" s="146">
        <v>44747</v>
      </c>
      <c r="I2179" s="95">
        <v>0.32625999999999999</v>
      </c>
      <c r="J2179" s="95"/>
      <c r="K2179" s="95"/>
      <c r="L2179" s="95"/>
      <c r="M2179" s="95"/>
      <c r="N2179" s="95"/>
      <c r="O2179" s="95"/>
      <c r="P2179" s="95"/>
      <c r="Q2179" s="95"/>
      <c r="R2179" s="95"/>
      <c r="S2179" s="95"/>
      <c r="T2179" s="96">
        <v>22226</v>
      </c>
      <c r="U2179" s="95"/>
      <c r="V2179" s="95" t="s">
        <v>3077</v>
      </c>
      <c r="W2179" s="92" t="str">
        <f t="shared" si="149"/>
        <v>Alegre Nuñez,Jose</v>
      </c>
      <c r="X2179" s="95">
        <f t="shared" si="147"/>
        <v>7</v>
      </c>
      <c r="Y2179" s="95">
        <f t="shared" si="148"/>
        <v>2022</v>
      </c>
      <c r="Z2179" s="97" t="s">
        <v>2238</v>
      </c>
      <c r="AA2179" t="str">
        <f>IF(Tabla1[[#This Row],[Kerma en aire acumulada (Gy)]]&gt;1,SUMIF(G:G,Tabla1[[#This Row],[SIP]],I:I)-Tabla1[[#This Row],[Kerma en aire acumulada (Gy)]],"")</f>
        <v/>
      </c>
    </row>
    <row r="2180" spans="3:27">
      <c r="C2180" s="144" t="str">
        <f t="shared" si="150"/>
        <v>Adulto</v>
      </c>
      <c r="D2180" s="95" t="s">
        <v>3316</v>
      </c>
      <c r="E2180" s="95" t="s">
        <v>1011</v>
      </c>
      <c r="F2180" s="95" t="s">
        <v>2141</v>
      </c>
      <c r="G2180" s="95">
        <v>2450622</v>
      </c>
      <c r="H2180" s="146">
        <v>44747</v>
      </c>
      <c r="I2180" s="95">
        <v>0.27062000000000003</v>
      </c>
      <c r="J2180" s="95"/>
      <c r="K2180" s="95"/>
      <c r="L2180" s="95"/>
      <c r="M2180" s="95"/>
      <c r="N2180" s="95"/>
      <c r="O2180" s="95"/>
      <c r="P2180" s="95"/>
      <c r="Q2180" s="95"/>
      <c r="R2180" s="95"/>
      <c r="S2180" s="95"/>
      <c r="T2180" s="96">
        <v>23513</v>
      </c>
      <c r="U2180" s="95"/>
      <c r="V2180" s="95" t="s">
        <v>2383</v>
      </c>
      <c r="W2180" s="92" t="str">
        <f t="shared" si="149"/>
        <v>Senent Andres,Jesus</v>
      </c>
      <c r="X2180" s="95">
        <f t="shared" si="147"/>
        <v>7</v>
      </c>
      <c r="Y2180" s="95">
        <f t="shared" si="148"/>
        <v>2022</v>
      </c>
      <c r="Z2180" s="97" t="s">
        <v>266</v>
      </c>
      <c r="AA2180" t="str">
        <f>IF(Tabla1[[#This Row],[Kerma en aire acumulada (Gy)]]&gt;1,SUMIF(G:G,Tabla1[[#This Row],[SIP]],I:I)-Tabla1[[#This Row],[Kerma en aire acumulada (Gy)]],"")</f>
        <v/>
      </c>
    </row>
    <row r="2181" spans="3:27">
      <c r="C2181" s="144" t="str">
        <f t="shared" si="150"/>
        <v>Adulto</v>
      </c>
      <c r="D2181" s="95" t="s">
        <v>17</v>
      </c>
      <c r="E2181" s="95" t="s">
        <v>1745</v>
      </c>
      <c r="F2181" s="95" t="s">
        <v>803</v>
      </c>
      <c r="G2181" s="95">
        <v>1900054</v>
      </c>
      <c r="H2181" s="146">
        <v>44747</v>
      </c>
      <c r="I2181" s="95">
        <v>0.15296999999999999</v>
      </c>
      <c r="J2181" s="95"/>
      <c r="K2181" s="95"/>
      <c r="L2181" s="95"/>
      <c r="M2181" s="95"/>
      <c r="N2181" s="95"/>
      <c r="O2181" s="95"/>
      <c r="P2181" s="95"/>
      <c r="Q2181" s="95"/>
      <c r="R2181" s="95"/>
      <c r="S2181" s="95"/>
      <c r="T2181" s="96">
        <v>21230</v>
      </c>
      <c r="U2181" s="95"/>
      <c r="V2181" s="95" t="s">
        <v>2383</v>
      </c>
      <c r="W2181" s="92" t="str">
        <f t="shared" si="149"/>
        <v>Vicent Beneyto,Inmaculada</v>
      </c>
      <c r="X2181" s="95">
        <f t="shared" si="147"/>
        <v>7</v>
      </c>
      <c r="Y2181" s="95">
        <f t="shared" si="148"/>
        <v>2022</v>
      </c>
      <c r="Z2181" s="97" t="s">
        <v>266</v>
      </c>
      <c r="AA2181" t="str">
        <f>IF(Tabla1[[#This Row],[Kerma en aire acumulada (Gy)]]&gt;1,SUMIF(G:G,Tabla1[[#This Row],[SIP]],I:I)-Tabla1[[#This Row],[Kerma en aire acumulada (Gy)]],"")</f>
        <v/>
      </c>
    </row>
    <row r="2182" spans="3:27">
      <c r="C2182" s="144" t="str">
        <f t="shared" si="150"/>
        <v>Adulto</v>
      </c>
      <c r="D2182" s="95" t="s">
        <v>105</v>
      </c>
      <c r="E2182" s="95" t="s">
        <v>101</v>
      </c>
      <c r="F2182" s="95" t="s">
        <v>83</v>
      </c>
      <c r="G2182" s="95">
        <v>2803723</v>
      </c>
      <c r="H2182" s="146">
        <v>44747</v>
      </c>
      <c r="I2182" s="95">
        <v>0.46827999999999997</v>
      </c>
      <c r="J2182" s="95"/>
      <c r="K2182" s="95"/>
      <c r="L2182" s="95"/>
      <c r="M2182" s="95"/>
      <c r="N2182" s="95"/>
      <c r="O2182" s="95"/>
      <c r="P2182" s="95"/>
      <c r="Q2182" s="95"/>
      <c r="R2182" s="95"/>
      <c r="S2182" s="95"/>
      <c r="T2182" s="96">
        <v>13921</v>
      </c>
      <c r="U2182" s="95"/>
      <c r="V2182" s="95" t="s">
        <v>2383</v>
      </c>
      <c r="W2182" s="92" t="str">
        <f t="shared" si="149"/>
        <v>Soriano Calvo,Francisco</v>
      </c>
      <c r="X2182" s="95">
        <f t="shared" si="147"/>
        <v>7</v>
      </c>
      <c r="Y2182" s="95">
        <f t="shared" si="148"/>
        <v>2022</v>
      </c>
      <c r="Z2182" s="97" t="s">
        <v>266</v>
      </c>
      <c r="AA2182" t="str">
        <f>IF(Tabla1[[#This Row],[Kerma en aire acumulada (Gy)]]&gt;1,SUMIF(G:G,Tabla1[[#This Row],[SIP]],I:I)-Tabla1[[#This Row],[Kerma en aire acumulada (Gy)]],"")</f>
        <v/>
      </c>
    </row>
    <row r="2183" spans="3:27">
      <c r="C2183" s="144" t="str">
        <f t="shared" si="150"/>
        <v>Adulto</v>
      </c>
      <c r="D2183" s="95" t="s">
        <v>3314</v>
      </c>
      <c r="E2183" s="95" t="s">
        <v>3204</v>
      </c>
      <c r="F2183" s="95" t="s">
        <v>3315</v>
      </c>
      <c r="G2183" s="95">
        <v>2392091</v>
      </c>
      <c r="H2183" s="146">
        <v>44747</v>
      </c>
      <c r="I2183" s="95">
        <v>7.4090000000000003E-2</v>
      </c>
      <c r="J2183" s="95"/>
      <c r="K2183" s="95"/>
      <c r="L2183" s="95"/>
      <c r="M2183" s="95"/>
      <c r="N2183" s="95"/>
      <c r="O2183" s="95"/>
      <c r="P2183" s="95"/>
      <c r="Q2183" s="95"/>
      <c r="R2183" s="95"/>
      <c r="S2183" s="95"/>
      <c r="T2183" s="96">
        <v>20368</v>
      </c>
      <c r="U2183" s="95"/>
      <c r="V2183" s="95" t="s">
        <v>2383</v>
      </c>
      <c r="W2183" s="92" t="str">
        <f t="shared" si="149"/>
        <v>Jurado Salinas,Begoña</v>
      </c>
      <c r="X2183" s="95">
        <f t="shared" si="147"/>
        <v>7</v>
      </c>
      <c r="Y2183" s="95">
        <f t="shared" si="148"/>
        <v>2022</v>
      </c>
      <c r="Z2183" s="97" t="s">
        <v>266</v>
      </c>
      <c r="AA2183" t="str">
        <f>IF(Tabla1[[#This Row],[Kerma en aire acumulada (Gy)]]&gt;1,SUMIF(G:G,Tabla1[[#This Row],[SIP]],I:I)-Tabla1[[#This Row],[Kerma en aire acumulada (Gy)]],"")</f>
        <v/>
      </c>
    </row>
    <row r="2184" spans="3:27">
      <c r="C2184" s="144" t="str">
        <f t="shared" si="150"/>
        <v>Adulto</v>
      </c>
      <c r="D2184" s="95" t="s">
        <v>148</v>
      </c>
      <c r="E2184" s="95" t="s">
        <v>149</v>
      </c>
      <c r="F2184" s="95" t="s">
        <v>150</v>
      </c>
      <c r="G2184" s="95">
        <v>4023574</v>
      </c>
      <c r="H2184" s="146">
        <v>44747</v>
      </c>
      <c r="I2184" s="95">
        <v>9.3450000000000005E-2</v>
      </c>
      <c r="J2184" s="95"/>
      <c r="K2184" s="95"/>
      <c r="L2184" s="95"/>
      <c r="M2184" s="95"/>
      <c r="N2184" s="95"/>
      <c r="O2184" s="95"/>
      <c r="P2184" s="95"/>
      <c r="Q2184" s="95"/>
      <c r="R2184" s="95"/>
      <c r="S2184" s="95"/>
      <c r="T2184" s="96">
        <v>24782</v>
      </c>
      <c r="U2184" s="95"/>
      <c r="V2184" s="95" t="s">
        <v>2383</v>
      </c>
      <c r="W2184" s="92" t="str">
        <f t="shared" si="149"/>
        <v>Andreu Soñer,Paloma</v>
      </c>
      <c r="X2184" s="95">
        <f t="shared" si="147"/>
        <v>7</v>
      </c>
      <c r="Y2184" s="95">
        <f t="shared" si="148"/>
        <v>2022</v>
      </c>
      <c r="Z2184" s="97" t="s">
        <v>266</v>
      </c>
      <c r="AA2184" t="str">
        <f>IF(Tabla1[[#This Row],[Kerma en aire acumulada (Gy)]]&gt;1,SUMIF(G:G,Tabla1[[#This Row],[SIP]],I:I)-Tabla1[[#This Row],[Kerma en aire acumulada (Gy)]],"")</f>
        <v/>
      </c>
    </row>
    <row r="2185" spans="3:27">
      <c r="C2185" s="144" t="str">
        <f t="shared" si="150"/>
        <v>Adulto</v>
      </c>
      <c r="D2185" s="95" t="s">
        <v>116</v>
      </c>
      <c r="E2185" s="95" t="s">
        <v>1248</v>
      </c>
      <c r="F2185" s="95" t="s">
        <v>3313</v>
      </c>
      <c r="G2185" s="95">
        <v>2582723</v>
      </c>
      <c r="H2185" s="146">
        <v>44747</v>
      </c>
      <c r="I2185" s="95">
        <v>0.24354999999999999</v>
      </c>
      <c r="J2185" s="95"/>
      <c r="K2185" s="95"/>
      <c r="L2185" s="95"/>
      <c r="M2185" s="95"/>
      <c r="N2185" s="95"/>
      <c r="O2185" s="95"/>
      <c r="P2185" s="95"/>
      <c r="Q2185" s="95"/>
      <c r="R2185" s="95"/>
      <c r="S2185" s="95"/>
      <c r="T2185" s="96">
        <v>23366</v>
      </c>
      <c r="U2185" s="95"/>
      <c r="V2185" s="95" t="s">
        <v>2383</v>
      </c>
      <c r="W2185" s="92" t="str">
        <f t="shared" si="149"/>
        <v>Serrano Marti,Belen</v>
      </c>
      <c r="X2185" s="95">
        <f t="shared" si="147"/>
        <v>7</v>
      </c>
      <c r="Y2185" s="95">
        <f t="shared" si="148"/>
        <v>2022</v>
      </c>
      <c r="Z2185" s="97" t="s">
        <v>266</v>
      </c>
      <c r="AA2185" t="str">
        <f>IF(Tabla1[[#This Row],[Kerma en aire acumulada (Gy)]]&gt;1,SUMIF(G:G,Tabla1[[#This Row],[SIP]],I:I)-Tabla1[[#This Row],[Kerma en aire acumulada (Gy)]],"")</f>
        <v/>
      </c>
    </row>
    <row r="2186" spans="3:27">
      <c r="C2186" s="144" t="str">
        <f t="shared" si="150"/>
        <v>Adulto</v>
      </c>
      <c r="D2186" s="95" t="s">
        <v>3311</v>
      </c>
      <c r="E2186" s="95" t="s">
        <v>3312</v>
      </c>
      <c r="F2186" s="95" t="s">
        <v>88</v>
      </c>
      <c r="G2186" s="145">
        <v>3783482</v>
      </c>
      <c r="H2186" s="146">
        <v>44747</v>
      </c>
      <c r="I2186" s="95">
        <v>0.51639999999999997</v>
      </c>
      <c r="J2186" s="145"/>
      <c r="K2186" s="145"/>
      <c r="L2186" s="145"/>
      <c r="M2186" s="145"/>
      <c r="N2186" s="145"/>
      <c r="O2186" s="145"/>
      <c r="P2186" s="145"/>
      <c r="Q2186" s="145"/>
      <c r="R2186" s="145"/>
      <c r="S2186" s="145"/>
      <c r="T2186" s="146">
        <v>18927</v>
      </c>
      <c r="U2186" s="145"/>
      <c r="V2186" s="95" t="s">
        <v>2383</v>
      </c>
      <c r="W2186" s="92" t="str">
        <f t="shared" si="149"/>
        <v>Alcoy Gordon,Vicente</v>
      </c>
      <c r="X2186" s="95">
        <f t="shared" si="147"/>
        <v>7</v>
      </c>
      <c r="Y2186" s="95">
        <f t="shared" si="148"/>
        <v>2022</v>
      </c>
      <c r="Z2186" s="97" t="s">
        <v>266</v>
      </c>
      <c r="AA2186" t="str">
        <f>IF(Tabla1[[#This Row],[Kerma en aire acumulada (Gy)]]&gt;1,SUMIF(G:G,Tabla1[[#This Row],[SIP]],I:I)-Tabla1[[#This Row],[Kerma en aire acumulada (Gy)]],"")</f>
        <v/>
      </c>
    </row>
    <row r="2187" spans="3:27">
      <c r="C2187" s="144" t="str">
        <f t="shared" si="150"/>
        <v>Adulto</v>
      </c>
      <c r="D2187" s="95" t="s">
        <v>2100</v>
      </c>
      <c r="E2187" s="95" t="s">
        <v>962</v>
      </c>
      <c r="F2187" s="95" t="s">
        <v>75</v>
      </c>
      <c r="G2187" s="145">
        <v>2943813</v>
      </c>
      <c r="H2187" s="146">
        <v>44747</v>
      </c>
      <c r="I2187" s="95">
        <v>0.72628000000000004</v>
      </c>
      <c r="J2187" s="145"/>
      <c r="K2187" s="145"/>
      <c r="L2187" s="145"/>
      <c r="M2187" s="145"/>
      <c r="N2187" s="145"/>
      <c r="O2187" s="145"/>
      <c r="P2187" s="145"/>
      <c r="Q2187" s="145"/>
      <c r="R2187" s="145"/>
      <c r="S2187" s="145"/>
      <c r="T2187" s="146">
        <v>25113</v>
      </c>
      <c r="U2187" s="145"/>
      <c r="V2187" s="95" t="s">
        <v>2383</v>
      </c>
      <c r="W2187" s="92" t="str">
        <f t="shared" si="149"/>
        <v>Montesinos Garcia,Javier</v>
      </c>
      <c r="X2187" s="95">
        <f t="shared" si="147"/>
        <v>7</v>
      </c>
      <c r="Y2187" s="95">
        <f t="shared" si="148"/>
        <v>2022</v>
      </c>
      <c r="Z2187" s="97" t="s">
        <v>266</v>
      </c>
      <c r="AA2187" t="str">
        <f>IF(Tabla1[[#This Row],[Kerma en aire acumulada (Gy)]]&gt;1,SUMIF(G:G,Tabla1[[#This Row],[SIP]],I:I)-Tabla1[[#This Row],[Kerma en aire acumulada (Gy)]],"")</f>
        <v/>
      </c>
    </row>
    <row r="2188" spans="3:27">
      <c r="C2188" s="144" t="str">
        <f t="shared" si="150"/>
        <v>Adulto</v>
      </c>
      <c r="D2188" s="95" t="s">
        <v>3062</v>
      </c>
      <c r="E2188" s="95" t="s">
        <v>3063</v>
      </c>
      <c r="F2188" s="95" t="s">
        <v>3064</v>
      </c>
      <c r="G2188" s="145">
        <v>11285575</v>
      </c>
      <c r="H2188" s="146">
        <v>44747</v>
      </c>
      <c r="I2188" s="145">
        <v>8.3599999999999994E-3</v>
      </c>
      <c r="J2188" s="145"/>
      <c r="K2188" s="145"/>
      <c r="L2188" s="145"/>
      <c r="M2188" s="145"/>
      <c r="N2188" s="145"/>
      <c r="O2188" s="145"/>
      <c r="P2188" s="145"/>
      <c r="Q2188" s="145"/>
      <c r="R2188" s="145"/>
      <c r="S2188" s="145"/>
      <c r="T2188" s="146">
        <v>38175</v>
      </c>
      <c r="U2188" s="145"/>
      <c r="V2188" s="95" t="s">
        <v>1923</v>
      </c>
      <c r="W2188" s="92" t="str">
        <f t="shared" si="149"/>
        <v>Calisaya Intriago,Alexia Niurka</v>
      </c>
      <c r="X2188" s="95">
        <f t="shared" si="147"/>
        <v>7</v>
      </c>
      <c r="Y2188" s="95">
        <f t="shared" si="148"/>
        <v>2022</v>
      </c>
      <c r="Z2188" s="97" t="s">
        <v>265</v>
      </c>
      <c r="AA2188" t="str">
        <f>IF(Tabla1[[#This Row],[Kerma en aire acumulada (Gy)]]&gt;1,SUMIF(G:G,Tabla1[[#This Row],[SIP]],I:I)-Tabla1[[#This Row],[Kerma en aire acumulada (Gy)]],"")</f>
        <v/>
      </c>
    </row>
    <row r="2189" spans="3:27">
      <c r="C2189" s="144" t="str">
        <f t="shared" si="150"/>
        <v>Adulto</v>
      </c>
      <c r="D2189" s="95" t="s">
        <v>3310</v>
      </c>
      <c r="E2189" s="95" t="s">
        <v>3193</v>
      </c>
      <c r="F2189" s="95" t="s">
        <v>715</v>
      </c>
      <c r="G2189" s="145">
        <v>1022017</v>
      </c>
      <c r="H2189" s="146">
        <v>44747</v>
      </c>
      <c r="I2189" s="145">
        <v>0.1457</v>
      </c>
      <c r="J2189" s="145"/>
      <c r="K2189" s="145"/>
      <c r="L2189" s="145"/>
      <c r="M2189" s="145"/>
      <c r="N2189" s="145"/>
      <c r="O2189" s="145"/>
      <c r="P2189" s="145"/>
      <c r="Q2189" s="145"/>
      <c r="R2189" s="145"/>
      <c r="S2189" s="145"/>
      <c r="T2189" s="146">
        <v>23968</v>
      </c>
      <c r="U2189" s="145"/>
      <c r="V2189" s="95" t="s">
        <v>107</v>
      </c>
      <c r="W2189" s="92" t="str">
        <f t="shared" si="149"/>
        <v>Bustamante Cerrillo,Amparo</v>
      </c>
      <c r="X2189" s="95">
        <f t="shared" si="147"/>
        <v>7</v>
      </c>
      <c r="Y2189" s="95">
        <f t="shared" si="148"/>
        <v>2022</v>
      </c>
      <c r="Z2189" s="97" t="s">
        <v>265</v>
      </c>
      <c r="AA2189" t="str">
        <f>IF(Tabla1[[#This Row],[Kerma en aire acumulada (Gy)]]&gt;1,SUMIF(G:G,Tabla1[[#This Row],[SIP]],I:I)-Tabla1[[#This Row],[Kerma en aire acumulada (Gy)]],"")</f>
        <v/>
      </c>
    </row>
    <row r="2190" spans="3:27">
      <c r="C2190" s="144" t="str">
        <f t="shared" si="150"/>
        <v>Adulto</v>
      </c>
      <c r="D2190" s="95" t="s">
        <v>3325</v>
      </c>
      <c r="E2190" s="95" t="s">
        <v>3028</v>
      </c>
      <c r="F2190" s="95" t="s">
        <v>961</v>
      </c>
      <c r="G2190" s="95">
        <v>2418108</v>
      </c>
      <c r="H2190" s="96">
        <v>44748</v>
      </c>
      <c r="I2190" s="95">
        <v>1.9980000000000001E-2</v>
      </c>
      <c r="J2190" s="95"/>
      <c r="K2190" s="95"/>
      <c r="L2190" s="95"/>
      <c r="M2190" s="95"/>
      <c r="N2190" s="95"/>
      <c r="O2190" s="95"/>
      <c r="P2190" s="95"/>
      <c r="Q2190" s="95"/>
      <c r="R2190" s="95"/>
      <c r="S2190" s="95"/>
      <c r="T2190" s="96">
        <v>20655</v>
      </c>
      <c r="U2190" s="95"/>
      <c r="V2190" s="95" t="s">
        <v>3077</v>
      </c>
      <c r="W2190" s="92" t="str">
        <f t="shared" si="149"/>
        <v>Such Albiñana,Teresa</v>
      </c>
      <c r="X2190" s="95">
        <f t="shared" si="147"/>
        <v>7</v>
      </c>
      <c r="Y2190" s="95">
        <f t="shared" si="148"/>
        <v>2022</v>
      </c>
      <c r="Z2190" s="97" t="s">
        <v>2238</v>
      </c>
      <c r="AA2190" t="str">
        <f>IF(Tabla1[[#This Row],[Kerma en aire acumulada (Gy)]]&gt;1,SUMIF(G:G,Tabla1[[#This Row],[SIP]],I:I)-Tabla1[[#This Row],[Kerma en aire acumulada (Gy)]],"")</f>
        <v/>
      </c>
    </row>
    <row r="2191" spans="3:27">
      <c r="C2191" s="144" t="str">
        <f t="shared" si="150"/>
        <v>Adulto</v>
      </c>
      <c r="D2191" s="95" t="s">
        <v>29</v>
      </c>
      <c r="E2191" s="95" t="s">
        <v>3324</v>
      </c>
      <c r="F2191" s="95" t="s">
        <v>585</v>
      </c>
      <c r="G2191" s="95">
        <v>3380460</v>
      </c>
      <c r="H2191" s="96">
        <v>44748</v>
      </c>
      <c r="I2191" s="95">
        <v>0.11931</v>
      </c>
      <c r="J2191" s="95"/>
      <c r="K2191" s="95"/>
      <c r="L2191" s="95"/>
      <c r="M2191" s="95"/>
      <c r="N2191" s="95"/>
      <c r="O2191" s="95"/>
      <c r="P2191" s="95"/>
      <c r="Q2191" s="95"/>
      <c r="R2191" s="95"/>
      <c r="S2191" s="95"/>
      <c r="T2191" s="96">
        <v>23278</v>
      </c>
      <c r="U2191" s="95"/>
      <c r="V2191" s="95" t="s">
        <v>3077</v>
      </c>
      <c r="W2191" s="92" t="str">
        <f t="shared" si="149"/>
        <v>Castro Docampo,Ricardo</v>
      </c>
      <c r="X2191" s="95">
        <f t="shared" si="147"/>
        <v>7</v>
      </c>
      <c r="Y2191" s="95">
        <f t="shared" si="148"/>
        <v>2022</v>
      </c>
      <c r="Z2191" s="97" t="s">
        <v>2238</v>
      </c>
      <c r="AA2191" t="str">
        <f>IF(Tabla1[[#This Row],[Kerma en aire acumulada (Gy)]]&gt;1,SUMIF(G:G,Tabla1[[#This Row],[SIP]],I:I)-Tabla1[[#This Row],[Kerma en aire acumulada (Gy)]],"")</f>
        <v/>
      </c>
    </row>
    <row r="2192" spans="3:27">
      <c r="C2192" s="144" t="str">
        <f t="shared" si="150"/>
        <v>Adulto</v>
      </c>
      <c r="D2192" s="95" t="s">
        <v>145</v>
      </c>
      <c r="E2192" s="95" t="s">
        <v>962</v>
      </c>
      <c r="F2192" s="95" t="s">
        <v>3323</v>
      </c>
      <c r="G2192" s="95">
        <v>324158</v>
      </c>
      <c r="H2192" s="96">
        <v>44748</v>
      </c>
      <c r="I2192" s="95">
        <v>0.55742999999999998</v>
      </c>
      <c r="J2192" s="95"/>
      <c r="K2192" s="95"/>
      <c r="L2192" s="95"/>
      <c r="M2192" s="95"/>
      <c r="N2192" s="95"/>
      <c r="O2192" s="95"/>
      <c r="P2192" s="95"/>
      <c r="Q2192" s="95"/>
      <c r="R2192" s="95"/>
      <c r="S2192" s="95"/>
      <c r="T2192" s="96">
        <v>24276</v>
      </c>
      <c r="U2192" s="95"/>
      <c r="V2192" s="95" t="s">
        <v>2383</v>
      </c>
      <c r="W2192" s="92" t="str">
        <f t="shared" si="149"/>
        <v>Crespo Garcia,Ramon Vicente</v>
      </c>
      <c r="X2192" s="95">
        <f t="shared" si="147"/>
        <v>7</v>
      </c>
      <c r="Y2192" s="95">
        <f t="shared" si="148"/>
        <v>2022</v>
      </c>
      <c r="Z2192" s="97" t="s">
        <v>266</v>
      </c>
      <c r="AA2192" t="str">
        <f>IF(Tabla1[[#This Row],[Kerma en aire acumulada (Gy)]]&gt;1,SUMIF(G:G,Tabla1[[#This Row],[SIP]],I:I)-Tabla1[[#This Row],[Kerma en aire acumulada (Gy)]],"")</f>
        <v/>
      </c>
    </row>
    <row r="2193" spans="3:27">
      <c r="C2193" s="144" t="str">
        <f t="shared" si="150"/>
        <v>Adulto</v>
      </c>
      <c r="D2193" s="95" t="s">
        <v>77</v>
      </c>
      <c r="E2193" s="95" t="s">
        <v>3124</v>
      </c>
      <c r="F2193" s="95" t="s">
        <v>634</v>
      </c>
      <c r="G2193" s="95">
        <v>3309509</v>
      </c>
      <c r="H2193" s="96">
        <v>44748</v>
      </c>
      <c r="I2193" s="95">
        <v>0.16019</v>
      </c>
      <c r="J2193" s="95"/>
      <c r="K2193" s="95"/>
      <c r="L2193" s="95"/>
      <c r="M2193" s="95"/>
      <c r="N2193" s="95"/>
      <c r="O2193" s="95"/>
      <c r="P2193" s="95"/>
      <c r="Q2193" s="95"/>
      <c r="R2193" s="95"/>
      <c r="S2193" s="95"/>
      <c r="T2193" s="96">
        <v>15755</v>
      </c>
      <c r="U2193" s="95"/>
      <c r="V2193" s="95" t="s">
        <v>2383</v>
      </c>
      <c r="W2193" s="92" t="str">
        <f t="shared" si="149"/>
        <v>Torres Martos,Gil</v>
      </c>
      <c r="X2193" s="95">
        <f t="shared" si="147"/>
        <v>7</v>
      </c>
      <c r="Y2193" s="95">
        <f t="shared" si="148"/>
        <v>2022</v>
      </c>
      <c r="Z2193" s="97" t="s">
        <v>266</v>
      </c>
      <c r="AA2193" t="str">
        <f>IF(Tabla1[[#This Row],[Kerma en aire acumulada (Gy)]]&gt;1,SUMIF(G:G,Tabla1[[#This Row],[SIP]],I:I)-Tabla1[[#This Row],[Kerma en aire acumulada (Gy)]],"")</f>
        <v/>
      </c>
    </row>
    <row r="2194" spans="3:27">
      <c r="C2194" s="144" t="str">
        <f t="shared" si="150"/>
        <v>Adulto</v>
      </c>
      <c r="D2194" s="95" t="s">
        <v>3321</v>
      </c>
      <c r="E2194" s="95" t="s">
        <v>3322</v>
      </c>
      <c r="F2194" s="95" t="s">
        <v>2820</v>
      </c>
      <c r="G2194" s="95">
        <v>2920105</v>
      </c>
      <c r="H2194" s="96">
        <v>44748</v>
      </c>
      <c r="I2194" s="95">
        <v>0.12642999999999999</v>
      </c>
      <c r="J2194" s="95"/>
      <c r="K2194" s="95"/>
      <c r="L2194" s="95"/>
      <c r="M2194" s="95"/>
      <c r="N2194" s="95"/>
      <c r="O2194" s="95"/>
      <c r="P2194" s="95"/>
      <c r="Q2194" s="95"/>
      <c r="R2194" s="95"/>
      <c r="S2194" s="95"/>
      <c r="T2194" s="96">
        <v>21157</v>
      </c>
      <c r="U2194" s="95"/>
      <c r="V2194" s="95" t="s">
        <v>2383</v>
      </c>
      <c r="W2194" s="92" t="str">
        <f t="shared" si="149"/>
        <v>Dios de Diaz,Victoriano</v>
      </c>
      <c r="X2194" s="95">
        <f t="shared" si="147"/>
        <v>7</v>
      </c>
      <c r="Y2194" s="95">
        <f t="shared" si="148"/>
        <v>2022</v>
      </c>
      <c r="Z2194" s="97" t="s">
        <v>266</v>
      </c>
      <c r="AA2194" t="str">
        <f>IF(Tabla1[[#This Row],[Kerma en aire acumulada (Gy)]]&gt;1,SUMIF(G:G,Tabla1[[#This Row],[SIP]],I:I)-Tabla1[[#This Row],[Kerma en aire acumulada (Gy)]],"")</f>
        <v/>
      </c>
    </row>
    <row r="2195" spans="3:27">
      <c r="C2195" s="144" t="str">
        <f t="shared" si="150"/>
        <v>Adulto</v>
      </c>
      <c r="D2195" s="95" t="s">
        <v>960</v>
      </c>
      <c r="E2195" s="95" t="s">
        <v>2417</v>
      </c>
      <c r="F2195" s="95" t="s">
        <v>54</v>
      </c>
      <c r="G2195" s="95">
        <v>3179270</v>
      </c>
      <c r="H2195" s="96">
        <v>44748</v>
      </c>
      <c r="I2195" s="95">
        <v>0.41532999999999998</v>
      </c>
      <c r="J2195" s="95"/>
      <c r="K2195" s="95"/>
      <c r="L2195" s="95"/>
      <c r="M2195" s="95"/>
      <c r="N2195" s="95"/>
      <c r="O2195" s="95"/>
      <c r="P2195" s="95"/>
      <c r="Q2195" s="95"/>
      <c r="R2195" s="95"/>
      <c r="S2195" s="95"/>
      <c r="T2195" s="96">
        <v>14822</v>
      </c>
      <c r="U2195" s="95"/>
      <c r="V2195" s="95" t="s">
        <v>2383</v>
      </c>
      <c r="W2195" s="92" t="str">
        <f t="shared" si="149"/>
        <v>Lopez Murcia,Isabel</v>
      </c>
      <c r="X2195" s="95">
        <f t="shared" si="147"/>
        <v>7</v>
      </c>
      <c r="Y2195" s="95">
        <f t="shared" si="148"/>
        <v>2022</v>
      </c>
      <c r="Z2195" s="97" t="s">
        <v>266</v>
      </c>
      <c r="AA2195" t="str">
        <f>IF(Tabla1[[#This Row],[Kerma en aire acumulada (Gy)]]&gt;1,SUMIF(G:G,Tabla1[[#This Row],[SIP]],I:I)-Tabla1[[#This Row],[Kerma en aire acumulada (Gy)]],"")</f>
        <v/>
      </c>
    </row>
    <row r="2196" spans="3:27">
      <c r="C2196" s="144" t="str">
        <f t="shared" si="150"/>
        <v>Adulto</v>
      </c>
      <c r="D2196" s="95" t="s">
        <v>15</v>
      </c>
      <c r="E2196" s="95" t="s">
        <v>948</v>
      </c>
      <c r="F2196" s="95" t="s">
        <v>815</v>
      </c>
      <c r="G2196" s="95">
        <v>7437275</v>
      </c>
      <c r="H2196" s="96">
        <v>44748</v>
      </c>
      <c r="I2196" s="95">
        <v>0.39723999999999998</v>
      </c>
      <c r="J2196" s="95"/>
      <c r="K2196" s="95"/>
      <c r="L2196" s="95"/>
      <c r="M2196" s="95"/>
      <c r="N2196" s="95"/>
      <c r="O2196" s="95"/>
      <c r="P2196" s="95"/>
      <c r="Q2196" s="95"/>
      <c r="R2196" s="95"/>
      <c r="S2196" s="95"/>
      <c r="T2196" s="96">
        <v>21813</v>
      </c>
      <c r="U2196" s="95"/>
      <c r="V2196" s="95" t="s">
        <v>2383</v>
      </c>
      <c r="W2196" s="92" t="str">
        <f t="shared" si="149"/>
        <v>Moreno Martinez,Alicia</v>
      </c>
      <c r="X2196" s="95">
        <f t="shared" si="147"/>
        <v>7</v>
      </c>
      <c r="Y2196" s="95">
        <f t="shared" si="148"/>
        <v>2022</v>
      </c>
      <c r="Z2196" s="97" t="s">
        <v>266</v>
      </c>
      <c r="AA2196" t="str">
        <f>IF(Tabla1[[#This Row],[Kerma en aire acumulada (Gy)]]&gt;1,SUMIF(G:G,Tabla1[[#This Row],[SIP]],I:I)-Tabla1[[#This Row],[Kerma en aire acumulada (Gy)]],"")</f>
        <v/>
      </c>
    </row>
    <row r="2197" spans="3:27">
      <c r="C2197" s="144" t="str">
        <f t="shared" si="150"/>
        <v>Adulto</v>
      </c>
      <c r="D2197" s="95" t="s">
        <v>156</v>
      </c>
      <c r="E2197" s="95" t="s">
        <v>921</v>
      </c>
      <c r="F2197" s="95" t="s">
        <v>131</v>
      </c>
      <c r="G2197" s="95">
        <v>3438469</v>
      </c>
      <c r="H2197" s="96">
        <v>44748</v>
      </c>
      <c r="I2197" s="95">
        <v>0.12409000000000001</v>
      </c>
      <c r="J2197" s="95"/>
      <c r="K2197" s="95"/>
      <c r="L2197" s="95"/>
      <c r="M2197" s="95"/>
      <c r="N2197" s="95"/>
      <c r="O2197" s="95"/>
      <c r="P2197" s="95"/>
      <c r="Q2197" s="95"/>
      <c r="R2197" s="95"/>
      <c r="S2197" s="95"/>
      <c r="T2197" s="96">
        <v>27934</v>
      </c>
      <c r="U2197" s="95"/>
      <c r="V2197" s="95" t="s">
        <v>2383</v>
      </c>
      <c r="W2197" s="92" t="str">
        <f t="shared" si="149"/>
        <v>Pastor Mateu,Salvador</v>
      </c>
      <c r="X2197" s="95">
        <f t="shared" si="147"/>
        <v>7</v>
      </c>
      <c r="Y2197" s="95">
        <f t="shared" si="148"/>
        <v>2022</v>
      </c>
      <c r="Z2197" s="97" t="s">
        <v>266</v>
      </c>
      <c r="AA2197" t="str">
        <f>IF(Tabla1[[#This Row],[Kerma en aire acumulada (Gy)]]&gt;1,SUMIF(G:G,Tabla1[[#This Row],[SIP]],I:I)-Tabla1[[#This Row],[Kerma en aire acumulada (Gy)]],"")</f>
        <v/>
      </c>
    </row>
    <row r="2198" spans="3:27">
      <c r="C2198" s="144" t="str">
        <f t="shared" si="150"/>
        <v>Adulto</v>
      </c>
      <c r="D2198" s="95" t="s">
        <v>962</v>
      </c>
      <c r="E2198" s="95" t="s">
        <v>340</v>
      </c>
      <c r="F2198" s="95" t="s">
        <v>3081</v>
      </c>
      <c r="G2198" s="95">
        <v>1861443</v>
      </c>
      <c r="H2198" s="96">
        <v>44748</v>
      </c>
      <c r="I2198" s="95">
        <v>7.5929999999999997E-2</v>
      </c>
      <c r="J2198" s="95"/>
      <c r="K2198" s="95"/>
      <c r="L2198" s="95"/>
      <c r="M2198" s="95"/>
      <c r="N2198" s="95"/>
      <c r="O2198" s="95"/>
      <c r="P2198" s="95"/>
      <c r="Q2198" s="95"/>
      <c r="R2198" s="95"/>
      <c r="S2198" s="95"/>
      <c r="T2198" s="96">
        <v>24351</v>
      </c>
      <c r="U2198" s="95"/>
      <c r="V2198" s="95" t="s">
        <v>1174</v>
      </c>
      <c r="W2198" s="92" t="str">
        <f t="shared" si="149"/>
        <v>Garcia Piqueras,Casimiro</v>
      </c>
      <c r="X2198" s="95">
        <f t="shared" si="147"/>
        <v>7</v>
      </c>
      <c r="Y2198" s="95">
        <f t="shared" si="148"/>
        <v>2022</v>
      </c>
      <c r="Z2198" s="97" t="s">
        <v>265</v>
      </c>
      <c r="AA2198" t="str">
        <f>IF(Tabla1[[#This Row],[Kerma en aire acumulada (Gy)]]&gt;1,SUMIF(G:G,Tabla1[[#This Row],[SIP]],I:I)-Tabla1[[#This Row],[Kerma en aire acumulada (Gy)]],"")</f>
        <v/>
      </c>
    </row>
    <row r="2199" spans="3:27">
      <c r="C2199" s="144" t="str">
        <f t="shared" si="150"/>
        <v>Adulto</v>
      </c>
      <c r="D2199" s="95" t="s">
        <v>1003</v>
      </c>
      <c r="E2199" s="95" t="s">
        <v>2670</v>
      </c>
      <c r="F2199" s="95" t="s">
        <v>3320</v>
      </c>
      <c r="G2199" s="95">
        <v>2342072</v>
      </c>
      <c r="H2199" s="96">
        <v>44748</v>
      </c>
      <c r="I2199" s="95">
        <v>1.98E-3</v>
      </c>
      <c r="J2199" s="95"/>
      <c r="K2199" s="95"/>
      <c r="L2199" s="95"/>
      <c r="M2199" s="95"/>
      <c r="N2199" s="95"/>
      <c r="O2199" s="95"/>
      <c r="P2199" s="95"/>
      <c r="Q2199" s="95"/>
      <c r="R2199" s="95"/>
      <c r="S2199" s="95"/>
      <c r="T2199" s="96">
        <v>24215</v>
      </c>
      <c r="U2199" s="95"/>
      <c r="V2199" s="95" t="s">
        <v>1113</v>
      </c>
      <c r="W2199" s="92" t="str">
        <f t="shared" si="149"/>
        <v>Romero Catala,Miguel Vicente</v>
      </c>
      <c r="X2199" s="95">
        <f t="shared" si="147"/>
        <v>7</v>
      </c>
      <c r="Y2199" s="95">
        <f t="shared" si="148"/>
        <v>2022</v>
      </c>
      <c r="Z2199" s="97" t="s">
        <v>265</v>
      </c>
      <c r="AA2199" t="str">
        <f>IF(Tabla1[[#This Row],[Kerma en aire acumulada (Gy)]]&gt;1,SUMIF(G:G,Tabla1[[#This Row],[SIP]],I:I)-Tabla1[[#This Row],[Kerma en aire acumulada (Gy)]],"")</f>
        <v/>
      </c>
    </row>
    <row r="2200" spans="3:27">
      <c r="C2200" s="144" t="str">
        <f t="shared" si="150"/>
        <v>Adulto</v>
      </c>
      <c r="D2200" s="145" t="s">
        <v>962</v>
      </c>
      <c r="E2200" s="145" t="s">
        <v>3329</v>
      </c>
      <c r="F2200" s="145" t="s">
        <v>991</v>
      </c>
      <c r="G2200" s="145">
        <v>2919317</v>
      </c>
      <c r="H2200" s="146">
        <v>44749</v>
      </c>
      <c r="I2200" s="145">
        <v>1.392E-2</v>
      </c>
      <c r="J2200" s="145"/>
      <c r="K2200" s="145"/>
      <c r="L2200" s="145"/>
      <c r="M2200" s="145"/>
      <c r="N2200" s="145"/>
      <c r="O2200" s="145"/>
      <c r="P2200" s="145"/>
      <c r="Q2200" s="145"/>
      <c r="R2200" s="145"/>
      <c r="S2200" s="145"/>
      <c r="T2200" s="146">
        <v>21322</v>
      </c>
      <c r="U2200" s="145"/>
      <c r="V2200" s="95" t="s">
        <v>3077</v>
      </c>
      <c r="W2200" s="92" t="str">
        <f t="shared" si="149"/>
        <v>Garcia Arocas,Jose</v>
      </c>
      <c r="X2200" s="95">
        <f t="shared" si="147"/>
        <v>7</v>
      </c>
      <c r="Y2200" s="95">
        <f t="shared" si="148"/>
        <v>2022</v>
      </c>
      <c r="Z2200" s="153" t="s">
        <v>2238</v>
      </c>
      <c r="AA2200" t="str">
        <f>IF(Tabla1[[#This Row],[Kerma en aire acumulada (Gy)]]&gt;1,SUMIF(G:G,Tabla1[[#This Row],[SIP]],I:I)-Tabla1[[#This Row],[Kerma en aire acumulada (Gy)]],"")</f>
        <v/>
      </c>
    </row>
    <row r="2201" spans="3:27">
      <c r="C2201" s="144" t="str">
        <f t="shared" si="150"/>
        <v>Adulto</v>
      </c>
      <c r="D2201" s="145" t="s">
        <v>2370</v>
      </c>
      <c r="E2201" s="145" t="s">
        <v>2371</v>
      </c>
      <c r="F2201" s="145" t="s">
        <v>2168</v>
      </c>
      <c r="G2201" s="145">
        <v>2186988</v>
      </c>
      <c r="H2201" s="146">
        <v>44749</v>
      </c>
      <c r="I2201" s="145">
        <v>0.50824000000000003</v>
      </c>
      <c r="J2201" s="145"/>
      <c r="K2201" s="145"/>
      <c r="L2201" s="145"/>
      <c r="M2201" s="145"/>
      <c r="N2201" s="145"/>
      <c r="O2201" s="145"/>
      <c r="P2201" s="145"/>
      <c r="Q2201" s="145"/>
      <c r="R2201" s="145"/>
      <c r="S2201" s="145"/>
      <c r="T2201" s="146">
        <v>11995</v>
      </c>
      <c r="U2201" s="145"/>
      <c r="V2201" s="145" t="s">
        <v>2383</v>
      </c>
      <c r="W2201" s="92" t="str">
        <f t="shared" si="149"/>
        <v>Rapado Toro,Leonides</v>
      </c>
      <c r="X2201" s="95">
        <f t="shared" si="147"/>
        <v>7</v>
      </c>
      <c r="Y2201" s="95">
        <f t="shared" si="148"/>
        <v>2022</v>
      </c>
      <c r="Z2201" s="153" t="s">
        <v>266</v>
      </c>
      <c r="AA2201" t="str">
        <f>IF(Tabla1[[#This Row],[Kerma en aire acumulada (Gy)]]&gt;1,SUMIF(G:G,Tabla1[[#This Row],[SIP]],I:I)-Tabla1[[#This Row],[Kerma en aire acumulada (Gy)]],"")</f>
        <v/>
      </c>
    </row>
    <row r="2202" spans="3:27">
      <c r="C2202" s="144" t="str">
        <f t="shared" si="150"/>
        <v>Adulto</v>
      </c>
      <c r="D2202" s="145" t="s">
        <v>2366</v>
      </c>
      <c r="E2202" s="145" t="s">
        <v>3152</v>
      </c>
      <c r="F2202" s="145" t="s">
        <v>356</v>
      </c>
      <c r="G2202" s="145">
        <v>2711538</v>
      </c>
      <c r="H2202" s="146">
        <v>44749</v>
      </c>
      <c r="I2202" s="145">
        <v>0.51975000000000005</v>
      </c>
      <c r="J2202" s="145"/>
      <c r="K2202" s="145"/>
      <c r="L2202" s="145"/>
      <c r="M2202" s="145"/>
      <c r="N2202" s="145"/>
      <c r="O2202" s="145"/>
      <c r="P2202" s="145"/>
      <c r="Q2202" s="145"/>
      <c r="R2202" s="145"/>
      <c r="S2202" s="145"/>
      <c r="T2202" s="146">
        <v>14161</v>
      </c>
      <c r="U2202" s="145"/>
      <c r="V2202" s="145" t="s">
        <v>2383</v>
      </c>
      <c r="W2202" s="92" t="str">
        <f t="shared" si="149"/>
        <v>Gimeno Tatay,Manuel</v>
      </c>
      <c r="X2202" s="95">
        <f t="shared" si="147"/>
        <v>7</v>
      </c>
      <c r="Y2202" s="95">
        <f t="shared" si="148"/>
        <v>2022</v>
      </c>
      <c r="Z2202" s="153" t="s">
        <v>266</v>
      </c>
      <c r="AA2202" t="str">
        <f>IF(Tabla1[[#This Row],[Kerma en aire acumulada (Gy)]]&gt;1,SUMIF(G:G,Tabla1[[#This Row],[SIP]],I:I)-Tabla1[[#This Row],[Kerma en aire acumulada (Gy)]],"")</f>
        <v/>
      </c>
    </row>
    <row r="2203" spans="3:27">
      <c r="C2203" s="144" t="str">
        <f t="shared" si="150"/>
        <v>Adulto</v>
      </c>
      <c r="D2203" s="145" t="s">
        <v>1309</v>
      </c>
      <c r="E2203" s="145" t="s">
        <v>2893</v>
      </c>
      <c r="F2203" s="145" t="s">
        <v>3296</v>
      </c>
      <c r="G2203" s="145">
        <v>3086802</v>
      </c>
      <c r="H2203" s="146">
        <v>44749</v>
      </c>
      <c r="I2203" s="145">
        <v>0.13358</v>
      </c>
      <c r="J2203" s="145"/>
      <c r="K2203" s="145"/>
      <c r="L2203" s="145"/>
      <c r="M2203" s="145"/>
      <c r="N2203" s="145"/>
      <c r="O2203" s="145"/>
      <c r="P2203" s="145"/>
      <c r="Q2203" s="145"/>
      <c r="R2203" s="145"/>
      <c r="S2203" s="145"/>
      <c r="T2203" s="146">
        <v>28300</v>
      </c>
      <c r="U2203" s="145"/>
      <c r="V2203" s="145" t="s">
        <v>2383</v>
      </c>
      <c r="W2203" s="92" t="str">
        <f t="shared" si="149"/>
        <v>Gallardo Llorens,Jordi Joan</v>
      </c>
      <c r="X2203" s="95">
        <f t="shared" si="147"/>
        <v>7</v>
      </c>
      <c r="Y2203" s="95">
        <f t="shared" si="148"/>
        <v>2022</v>
      </c>
      <c r="Z2203" s="153" t="s">
        <v>266</v>
      </c>
      <c r="AA2203" t="str">
        <f>IF(Tabla1[[#This Row],[Kerma en aire acumulada (Gy)]]&gt;1,SUMIF(G:G,Tabla1[[#This Row],[SIP]],I:I)-Tabla1[[#This Row],[Kerma en aire acumulada (Gy)]],"")</f>
        <v/>
      </c>
    </row>
    <row r="2204" spans="3:27">
      <c r="C2204" s="144" t="str">
        <f t="shared" si="150"/>
        <v>Adulto</v>
      </c>
      <c r="D2204" s="145" t="s">
        <v>3327</v>
      </c>
      <c r="E2204" s="145" t="s">
        <v>3328</v>
      </c>
      <c r="F2204" s="145" t="s">
        <v>1251</v>
      </c>
      <c r="G2204" s="145">
        <v>2410905</v>
      </c>
      <c r="H2204" s="146">
        <v>44749</v>
      </c>
      <c r="I2204" s="145">
        <v>0.25892999999999999</v>
      </c>
      <c r="J2204" s="145"/>
      <c r="K2204" s="145"/>
      <c r="L2204" s="145"/>
      <c r="M2204" s="145"/>
      <c r="N2204" s="145"/>
      <c r="O2204" s="145"/>
      <c r="P2204" s="145"/>
      <c r="Q2204" s="145"/>
      <c r="R2204" s="145"/>
      <c r="S2204" s="145"/>
      <c r="T2204" s="146">
        <v>25227</v>
      </c>
      <c r="U2204" s="145"/>
      <c r="V2204" s="145" t="s">
        <v>2383</v>
      </c>
      <c r="W2204" s="92" t="str">
        <f t="shared" si="149"/>
        <v>Bono Altalaguerri,Jorge</v>
      </c>
      <c r="X2204" s="95">
        <f t="shared" si="147"/>
        <v>7</v>
      </c>
      <c r="Y2204" s="95">
        <f t="shared" si="148"/>
        <v>2022</v>
      </c>
      <c r="Z2204" s="153" t="s">
        <v>266</v>
      </c>
      <c r="AA2204" t="str">
        <f>IF(Tabla1[[#This Row],[Kerma en aire acumulada (Gy)]]&gt;1,SUMIF(G:G,Tabla1[[#This Row],[SIP]],I:I)-Tabla1[[#This Row],[Kerma en aire acumulada (Gy)]],"")</f>
        <v/>
      </c>
    </row>
    <row r="2205" spans="3:27">
      <c r="C2205" s="144" t="str">
        <f t="shared" si="150"/>
        <v>Adulto</v>
      </c>
      <c r="D2205" s="145" t="s">
        <v>2342</v>
      </c>
      <c r="E2205" s="145" t="s">
        <v>986</v>
      </c>
      <c r="F2205" s="145" t="s">
        <v>7</v>
      </c>
      <c r="G2205" s="145">
        <v>2407212</v>
      </c>
      <c r="H2205" s="146">
        <v>44749</v>
      </c>
      <c r="I2205" s="145">
        <v>0.30581999999999998</v>
      </c>
      <c r="J2205" s="145"/>
      <c r="K2205" s="145"/>
      <c r="L2205" s="145"/>
      <c r="M2205" s="145"/>
      <c r="N2205" s="145"/>
      <c r="O2205" s="145"/>
      <c r="P2205" s="145"/>
      <c r="Q2205" s="145"/>
      <c r="R2205" s="145"/>
      <c r="S2205" s="145"/>
      <c r="T2205" s="146">
        <v>20366</v>
      </c>
      <c r="U2205" s="145"/>
      <c r="V2205" s="145" t="s">
        <v>2383</v>
      </c>
      <c r="W2205" s="92" t="str">
        <f t="shared" si="149"/>
        <v>Domenech Lluesma,Francisca</v>
      </c>
      <c r="X2205" s="95">
        <f t="shared" si="147"/>
        <v>7</v>
      </c>
      <c r="Y2205" s="95">
        <f t="shared" si="148"/>
        <v>2022</v>
      </c>
      <c r="Z2205" s="153" t="s">
        <v>266</v>
      </c>
      <c r="AA2205" t="str">
        <f>IF(Tabla1[[#This Row],[Kerma en aire acumulada (Gy)]]&gt;1,SUMIF(G:G,Tabla1[[#This Row],[SIP]],I:I)-Tabla1[[#This Row],[Kerma en aire acumulada (Gy)]],"")</f>
        <v/>
      </c>
    </row>
    <row r="2206" spans="3:27">
      <c r="C2206" s="144" t="str">
        <f t="shared" si="150"/>
        <v>Adulto</v>
      </c>
      <c r="D2206" s="145" t="s">
        <v>2431</v>
      </c>
      <c r="E2206" s="145" t="s">
        <v>1837</v>
      </c>
      <c r="F2206" s="145" t="s">
        <v>2433</v>
      </c>
      <c r="G2206" s="145">
        <v>4559411</v>
      </c>
      <c r="H2206" s="146">
        <v>44749</v>
      </c>
      <c r="I2206" s="145">
        <v>4.6299999999999996E-3</v>
      </c>
      <c r="J2206" s="145"/>
      <c r="K2206" s="145"/>
      <c r="L2206" s="145"/>
      <c r="M2206" s="145"/>
      <c r="N2206" s="145"/>
      <c r="O2206" s="145"/>
      <c r="P2206" s="145"/>
      <c r="Q2206" s="145"/>
      <c r="R2206" s="145"/>
      <c r="S2206" s="145"/>
      <c r="T2206" s="146">
        <v>24774</v>
      </c>
      <c r="U2206" s="145"/>
      <c r="V2206" s="145" t="s">
        <v>2434</v>
      </c>
      <c r="W2206" s="92" t="str">
        <f t="shared" si="149"/>
        <v>Aiteur Rodriguez,Alain</v>
      </c>
      <c r="X2206" s="95">
        <f t="shared" si="147"/>
        <v>7</v>
      </c>
      <c r="Y2206" s="95">
        <f t="shared" si="148"/>
        <v>2022</v>
      </c>
      <c r="Z2206" s="153" t="s">
        <v>265</v>
      </c>
      <c r="AA2206" t="str">
        <f>IF(Tabla1[[#This Row],[Kerma en aire acumulada (Gy)]]&gt;1,SUMIF(G:G,Tabla1[[#This Row],[SIP]],I:I)-Tabla1[[#This Row],[Kerma en aire acumulada (Gy)]],"")</f>
        <v/>
      </c>
    </row>
    <row r="2207" spans="3:27">
      <c r="C2207" s="144" t="str">
        <f t="shared" si="150"/>
        <v>Adulto</v>
      </c>
      <c r="D2207" s="145" t="s">
        <v>996</v>
      </c>
      <c r="E2207" s="145" t="s">
        <v>997</v>
      </c>
      <c r="F2207" s="145" t="s">
        <v>2072</v>
      </c>
      <c r="G2207" s="145">
        <v>3079957</v>
      </c>
      <c r="H2207" s="146">
        <v>44749</v>
      </c>
      <c r="I2207" s="145">
        <v>3.9879999999999999E-2</v>
      </c>
      <c r="J2207" s="145"/>
      <c r="K2207" s="145"/>
      <c r="L2207" s="145"/>
      <c r="M2207" s="145"/>
      <c r="N2207" s="145"/>
      <c r="O2207" s="145"/>
      <c r="P2207" s="145"/>
      <c r="Q2207" s="145"/>
      <c r="R2207" s="145"/>
      <c r="S2207" s="145"/>
      <c r="T2207" s="146">
        <v>28048</v>
      </c>
      <c r="U2207" s="145"/>
      <c r="V2207" s="145" t="s">
        <v>3326</v>
      </c>
      <c r="W2207" s="92" t="str">
        <f t="shared" ref="W2207:W2238" si="151">CONCATENATE(D2207,$A$591,E2207,",",F2207)</f>
        <v>Zacares Real,M Amparo</v>
      </c>
      <c r="X2207" s="95">
        <f t="shared" si="147"/>
        <v>7</v>
      </c>
      <c r="Y2207" s="95">
        <f t="shared" si="148"/>
        <v>2022</v>
      </c>
      <c r="Z2207" s="153" t="s">
        <v>265</v>
      </c>
      <c r="AA2207" t="str">
        <f>IF(Tabla1[[#This Row],[Kerma en aire acumulada (Gy)]]&gt;1,SUMIF(G:G,Tabla1[[#This Row],[SIP]],I:I)-Tabla1[[#This Row],[Kerma en aire acumulada (Gy)]],"")</f>
        <v/>
      </c>
    </row>
    <row r="2208" spans="3:27">
      <c r="C2208" s="144" t="str">
        <f t="shared" si="150"/>
        <v>Adulto</v>
      </c>
      <c r="D2208" s="145" t="s">
        <v>1878</v>
      </c>
      <c r="E2208" s="145" t="s">
        <v>1879</v>
      </c>
      <c r="F2208" s="145" t="s">
        <v>1146</v>
      </c>
      <c r="G2208" s="145">
        <v>4591248</v>
      </c>
      <c r="H2208" s="146">
        <v>44749</v>
      </c>
      <c r="I2208" s="145">
        <v>1.1209999999999999E-2</v>
      </c>
      <c r="J2208" s="145"/>
      <c r="K2208" s="145"/>
      <c r="L2208" s="145"/>
      <c r="M2208" s="145"/>
      <c r="N2208" s="145"/>
      <c r="O2208" s="145"/>
      <c r="P2208" s="145"/>
      <c r="Q2208" s="145"/>
      <c r="R2208" s="145"/>
      <c r="S2208" s="145"/>
      <c r="T2208" s="146">
        <v>30900</v>
      </c>
      <c r="U2208" s="145"/>
      <c r="V2208" s="145" t="s">
        <v>1880</v>
      </c>
      <c r="W2208" s="92" t="str">
        <f t="shared" si="151"/>
        <v>Samit Castellet,Patricia</v>
      </c>
      <c r="X2208" s="95">
        <f t="shared" si="147"/>
        <v>7</v>
      </c>
      <c r="Y2208" s="95">
        <f t="shared" si="148"/>
        <v>2022</v>
      </c>
      <c r="Z2208" s="153" t="s">
        <v>265</v>
      </c>
      <c r="AA2208" t="str">
        <f>IF(Tabla1[[#This Row],[Kerma en aire acumulada (Gy)]]&gt;1,SUMIF(G:G,Tabla1[[#This Row],[SIP]],I:I)-Tabla1[[#This Row],[Kerma en aire acumulada (Gy)]],"")</f>
        <v/>
      </c>
    </row>
    <row r="2209" spans="3:27">
      <c r="C2209" s="144" t="str">
        <f t="shared" si="150"/>
        <v>Adulto</v>
      </c>
      <c r="D2209" s="95" t="s">
        <v>353</v>
      </c>
      <c r="E2209" s="95" t="s">
        <v>169</v>
      </c>
      <c r="F2209" s="95" t="s">
        <v>1139</v>
      </c>
      <c r="G2209" s="145">
        <v>2191107</v>
      </c>
      <c r="H2209" s="146">
        <v>44750</v>
      </c>
      <c r="I2209" s="145">
        <v>4.8300000000000001E-3</v>
      </c>
      <c r="J2209" s="145"/>
      <c r="K2209" s="145"/>
      <c r="L2209" s="145"/>
      <c r="M2209" s="145"/>
      <c r="N2209" s="145"/>
      <c r="O2209" s="145"/>
      <c r="P2209" s="145"/>
      <c r="Q2209" s="145"/>
      <c r="R2209" s="145"/>
      <c r="S2209" s="145"/>
      <c r="T2209" s="146">
        <v>20052</v>
      </c>
      <c r="U2209" s="145"/>
      <c r="V2209" s="95" t="s">
        <v>2309</v>
      </c>
      <c r="W2209" s="92" t="str">
        <f t="shared" si="151"/>
        <v>Muñoz Valero,Jose Vicente</v>
      </c>
      <c r="X2209" s="95">
        <f t="shared" si="147"/>
        <v>7</v>
      </c>
      <c r="Y2209" s="95">
        <f t="shared" si="148"/>
        <v>2022</v>
      </c>
      <c r="Z2209" s="97" t="s">
        <v>2238</v>
      </c>
      <c r="AA2209" t="str">
        <f>IF(Tabla1[[#This Row],[Kerma en aire acumulada (Gy)]]&gt;1,SUMIF(G:G,Tabla1[[#This Row],[SIP]],I:I)-Tabla1[[#This Row],[Kerma en aire acumulada (Gy)]],"")</f>
        <v/>
      </c>
    </row>
    <row r="2210" spans="3:27">
      <c r="C2210" s="144" t="str">
        <f t="shared" si="150"/>
        <v>Adulto</v>
      </c>
      <c r="D2210" s="95" t="s">
        <v>1864</v>
      </c>
      <c r="E2210" s="95" t="s">
        <v>66</v>
      </c>
      <c r="F2210" s="95" t="s">
        <v>1704</v>
      </c>
      <c r="G2210" s="145">
        <v>3614606</v>
      </c>
      <c r="H2210" s="146">
        <v>44750</v>
      </c>
      <c r="I2210" s="145">
        <v>0.12388</v>
      </c>
      <c r="J2210" s="145"/>
      <c r="K2210" s="145"/>
      <c r="L2210" s="145"/>
      <c r="M2210" s="145"/>
      <c r="N2210" s="145"/>
      <c r="O2210" s="145"/>
      <c r="P2210" s="145"/>
      <c r="Q2210" s="145"/>
      <c r="R2210" s="145"/>
      <c r="S2210" s="145"/>
      <c r="T2210" s="146">
        <v>19163</v>
      </c>
      <c r="U2210" s="145"/>
      <c r="V2210" s="95" t="s">
        <v>2309</v>
      </c>
      <c r="W2210" s="92" t="str">
        <f t="shared" si="151"/>
        <v>Cebrian Navarro,Maria Dolores</v>
      </c>
      <c r="X2210" s="95">
        <f t="shared" si="147"/>
        <v>7</v>
      </c>
      <c r="Y2210" s="95">
        <f t="shared" si="148"/>
        <v>2022</v>
      </c>
      <c r="Z2210" s="97" t="s">
        <v>2238</v>
      </c>
      <c r="AA2210" t="str">
        <f>IF(Tabla1[[#This Row],[Kerma en aire acumulada (Gy)]]&gt;1,SUMIF(G:G,Tabla1[[#This Row],[SIP]],I:I)-Tabla1[[#This Row],[Kerma en aire acumulada (Gy)]],"")</f>
        <v/>
      </c>
    </row>
    <row r="2211" spans="3:27">
      <c r="C2211" s="144" t="str">
        <f t="shared" si="150"/>
        <v>Adulto</v>
      </c>
      <c r="D2211" s="145" t="s">
        <v>992</v>
      </c>
      <c r="E2211" s="145" t="s">
        <v>1727</v>
      </c>
      <c r="F2211" s="145" t="s">
        <v>624</v>
      </c>
      <c r="G2211" s="145">
        <v>1858515</v>
      </c>
      <c r="H2211" s="146">
        <v>44750</v>
      </c>
      <c r="I2211" s="145">
        <v>0.44491999999999998</v>
      </c>
      <c r="J2211" s="145"/>
      <c r="K2211" s="145"/>
      <c r="L2211" s="145"/>
      <c r="M2211" s="145"/>
      <c r="N2211" s="145"/>
      <c r="O2211" s="145"/>
      <c r="P2211" s="145"/>
      <c r="Q2211" s="145"/>
      <c r="R2211" s="145"/>
      <c r="S2211" s="145"/>
      <c r="T2211" s="146">
        <v>20302</v>
      </c>
      <c r="U2211" s="145"/>
      <c r="V2211" s="145" t="s">
        <v>2383</v>
      </c>
      <c r="W2211" s="92" t="str">
        <f t="shared" si="151"/>
        <v>Costa Mompo,Mario</v>
      </c>
      <c r="X2211" s="95">
        <f t="shared" si="147"/>
        <v>7</v>
      </c>
      <c r="Y2211" s="95">
        <f t="shared" si="148"/>
        <v>2022</v>
      </c>
      <c r="Z2211" s="153" t="s">
        <v>266</v>
      </c>
      <c r="AA2211" t="str">
        <f>IF(Tabla1[[#This Row],[Kerma en aire acumulada (Gy)]]&gt;1,SUMIF(G:G,Tabla1[[#This Row],[SIP]],I:I)-Tabla1[[#This Row],[Kerma en aire acumulada (Gy)]],"")</f>
        <v/>
      </c>
    </row>
    <row r="2212" spans="3:27">
      <c r="C2212" s="144" t="str">
        <f t="shared" si="150"/>
        <v>Adulto</v>
      </c>
      <c r="D2212" s="145" t="s">
        <v>948</v>
      </c>
      <c r="E2212" s="145" t="s">
        <v>3179</v>
      </c>
      <c r="F2212" s="145" t="s">
        <v>3342</v>
      </c>
      <c r="G2212" s="145">
        <v>3032836</v>
      </c>
      <c r="H2212" s="146">
        <v>44750</v>
      </c>
      <c r="I2212" s="145">
        <v>0.28316999999999998</v>
      </c>
      <c r="J2212" s="145"/>
      <c r="K2212" s="145"/>
      <c r="L2212" s="145"/>
      <c r="M2212" s="145"/>
      <c r="N2212" s="145"/>
      <c r="O2212" s="145"/>
      <c r="P2212" s="145"/>
      <c r="Q2212" s="145"/>
      <c r="R2212" s="145"/>
      <c r="S2212" s="145"/>
      <c r="T2212" s="146">
        <v>25328</v>
      </c>
      <c r="U2212" s="145"/>
      <c r="V2212" s="145" t="s">
        <v>2383</v>
      </c>
      <c r="W2212" s="92" t="str">
        <f t="shared" si="151"/>
        <v>Martinez Valls,Antonio F</v>
      </c>
      <c r="X2212" s="95">
        <f t="shared" si="147"/>
        <v>7</v>
      </c>
      <c r="Y2212" s="95">
        <f t="shared" si="148"/>
        <v>2022</v>
      </c>
      <c r="Z2212" s="153" t="s">
        <v>266</v>
      </c>
      <c r="AA2212" t="str">
        <f>IF(Tabla1[[#This Row],[Kerma en aire acumulada (Gy)]]&gt;1,SUMIF(G:G,Tabla1[[#This Row],[SIP]],I:I)-Tabla1[[#This Row],[Kerma en aire acumulada (Gy)]],"")</f>
        <v/>
      </c>
    </row>
    <row r="2213" spans="3:27">
      <c r="C2213" s="144" t="str">
        <f t="shared" si="150"/>
        <v>Adulto</v>
      </c>
      <c r="D2213" s="145" t="s">
        <v>948</v>
      </c>
      <c r="E2213" s="145" t="s">
        <v>148</v>
      </c>
      <c r="F2213" s="145" t="s">
        <v>83</v>
      </c>
      <c r="G2213" s="145">
        <v>2830455</v>
      </c>
      <c r="H2213" s="146">
        <v>44750</v>
      </c>
      <c r="I2213" s="168">
        <v>1.17963</v>
      </c>
      <c r="J2213" s="145"/>
      <c r="K2213" s="145"/>
      <c r="L2213" s="145"/>
      <c r="M2213" s="145"/>
      <c r="N2213" s="145"/>
      <c r="O2213" s="145"/>
      <c r="P2213" s="145"/>
      <c r="Q2213" s="145"/>
      <c r="R2213" s="145"/>
      <c r="S2213" s="145"/>
      <c r="T2213" s="146">
        <v>21259</v>
      </c>
      <c r="U2213" s="145"/>
      <c r="V2213" s="145" t="s">
        <v>2383</v>
      </c>
      <c r="W2213" s="92" t="str">
        <f t="shared" si="151"/>
        <v>Martinez Andreu,Francisco</v>
      </c>
      <c r="X2213" s="95">
        <f t="shared" si="147"/>
        <v>7</v>
      </c>
      <c r="Y2213" s="95">
        <f t="shared" si="148"/>
        <v>2022</v>
      </c>
      <c r="Z2213" s="153" t="s">
        <v>266</v>
      </c>
      <c r="AA2213">
        <f>IF(Tabla1[[#This Row],[Kerma en aire acumulada (Gy)]]&gt;1,SUMIF(G:G,Tabla1[[#This Row],[SIP]],I:I)-Tabla1[[#This Row],[Kerma en aire acumulada (Gy)]],"")</f>
        <v>0</v>
      </c>
    </row>
    <row r="2214" spans="3:27">
      <c r="C2214" s="144" t="str">
        <f t="shared" si="150"/>
        <v>Adulto</v>
      </c>
      <c r="D2214" s="145" t="s">
        <v>1672</v>
      </c>
      <c r="E2214" s="145" t="s">
        <v>3341</v>
      </c>
      <c r="F2214" s="145" t="s">
        <v>131</v>
      </c>
      <c r="G2214" s="145">
        <v>2270814</v>
      </c>
      <c r="H2214" s="146">
        <v>44750</v>
      </c>
      <c r="I2214" s="145">
        <v>0.81747000000000003</v>
      </c>
      <c r="J2214" s="145"/>
      <c r="K2214" s="145"/>
      <c r="L2214" s="145"/>
      <c r="M2214" s="145"/>
      <c r="N2214" s="145"/>
      <c r="O2214" s="145"/>
      <c r="P2214" s="145"/>
      <c r="Q2214" s="145"/>
      <c r="R2214" s="145"/>
      <c r="S2214" s="145"/>
      <c r="T2214" s="146">
        <v>15332</v>
      </c>
      <c r="U2214" s="145"/>
      <c r="V2214" s="145" t="s">
        <v>2383</v>
      </c>
      <c r="W2214" s="92" t="str">
        <f t="shared" si="151"/>
        <v>Lazaro Gabarda,Salvador</v>
      </c>
      <c r="X2214" s="95">
        <f t="shared" si="147"/>
        <v>7</v>
      </c>
      <c r="Y2214" s="95">
        <f t="shared" si="148"/>
        <v>2022</v>
      </c>
      <c r="Z2214" s="153" t="s">
        <v>266</v>
      </c>
      <c r="AA2214" t="str">
        <f>IF(Tabla1[[#This Row],[Kerma en aire acumulada (Gy)]]&gt;1,SUMIF(G:G,Tabla1[[#This Row],[SIP]],I:I)-Tabla1[[#This Row],[Kerma en aire acumulada (Gy)]],"")</f>
        <v/>
      </c>
    </row>
    <row r="2215" spans="3:27">
      <c r="C2215" s="144" t="str">
        <f t="shared" si="150"/>
        <v>Adulto</v>
      </c>
      <c r="D2215" s="145" t="s">
        <v>3340</v>
      </c>
      <c r="E2215" s="145" t="s">
        <v>15</v>
      </c>
      <c r="F2215" s="145" t="s">
        <v>83</v>
      </c>
      <c r="G2215" s="145">
        <v>2414051</v>
      </c>
      <c r="H2215" s="146">
        <v>44750</v>
      </c>
      <c r="I2215" s="145">
        <v>0.26967999999999998</v>
      </c>
      <c r="J2215" s="145"/>
      <c r="K2215" s="145"/>
      <c r="L2215" s="145"/>
      <c r="M2215" s="145"/>
      <c r="N2215" s="145"/>
      <c r="O2215" s="145"/>
      <c r="P2215" s="145"/>
      <c r="Q2215" s="145"/>
      <c r="R2215" s="145"/>
      <c r="S2215" s="145"/>
      <c r="T2215" s="146">
        <v>18845</v>
      </c>
      <c r="U2215" s="145"/>
      <c r="V2215" s="145" t="s">
        <v>2383</v>
      </c>
      <c r="W2215" s="92" t="str">
        <f t="shared" si="151"/>
        <v>Orellano Moreno,Francisco</v>
      </c>
      <c r="X2215" s="95">
        <f t="shared" si="147"/>
        <v>7</v>
      </c>
      <c r="Y2215" s="95">
        <f t="shared" si="148"/>
        <v>2022</v>
      </c>
      <c r="Z2215" s="153" t="s">
        <v>266</v>
      </c>
      <c r="AA2215" t="str">
        <f>IF(Tabla1[[#This Row],[Kerma en aire acumulada (Gy)]]&gt;1,SUMIF(G:G,Tabla1[[#This Row],[SIP]],I:I)-Tabla1[[#This Row],[Kerma en aire acumulada (Gy)]],"")</f>
        <v/>
      </c>
    </row>
    <row r="2216" spans="3:27">
      <c r="C2216" s="144" t="str">
        <f t="shared" si="150"/>
        <v>Pediátrico</v>
      </c>
      <c r="D2216" s="145" t="s">
        <v>993</v>
      </c>
      <c r="E2216" s="145" t="s">
        <v>2342</v>
      </c>
      <c r="F2216" s="145" t="s">
        <v>1254</v>
      </c>
      <c r="G2216" s="145">
        <v>6013305</v>
      </c>
      <c r="H2216" s="146">
        <v>44750</v>
      </c>
      <c r="I2216" s="145">
        <v>6.0099999999999997E-3</v>
      </c>
      <c r="J2216" s="145"/>
      <c r="K2216" s="145"/>
      <c r="L2216" s="145"/>
      <c r="M2216" s="145"/>
      <c r="N2216" s="145"/>
      <c r="O2216" s="145"/>
      <c r="P2216" s="145"/>
      <c r="Q2216" s="145"/>
      <c r="R2216" s="145"/>
      <c r="S2216" s="145"/>
      <c r="T2216" s="146">
        <v>38600</v>
      </c>
      <c r="U2216" s="145"/>
      <c r="V2216" s="145" t="s">
        <v>1836</v>
      </c>
      <c r="W2216" s="92" t="str">
        <f t="shared" si="151"/>
        <v>Blanch Domenech,Elena</v>
      </c>
      <c r="X2216" s="95">
        <f t="shared" si="147"/>
        <v>7</v>
      </c>
      <c r="Y2216" s="95">
        <f t="shared" si="148"/>
        <v>2022</v>
      </c>
      <c r="Z2216" s="153" t="s">
        <v>265</v>
      </c>
      <c r="AA2216" t="str">
        <f>IF(Tabla1[[#This Row],[Kerma en aire acumulada (Gy)]]&gt;1,SUMIF(G:G,Tabla1[[#This Row],[SIP]],I:I)-Tabla1[[#This Row],[Kerma en aire acumulada (Gy)]],"")</f>
        <v/>
      </c>
    </row>
    <row r="2217" spans="3:27">
      <c r="C2217" s="144" t="str">
        <f t="shared" si="150"/>
        <v>Adulto</v>
      </c>
      <c r="D2217" s="145" t="s">
        <v>962</v>
      </c>
      <c r="E2217" s="145" t="s">
        <v>2235</v>
      </c>
      <c r="F2217" s="145" t="s">
        <v>818</v>
      </c>
      <c r="G2217" s="145">
        <v>3335665</v>
      </c>
      <c r="H2217" s="146">
        <v>44750</v>
      </c>
      <c r="I2217" s="145">
        <v>1.7559999999999999E-2</v>
      </c>
      <c r="J2217" s="145"/>
      <c r="K2217" s="145"/>
      <c r="L2217" s="145"/>
      <c r="M2217" s="145"/>
      <c r="N2217" s="145"/>
      <c r="O2217" s="145"/>
      <c r="P2217" s="145"/>
      <c r="Q2217" s="145"/>
      <c r="R2217" s="145"/>
      <c r="S2217" s="145"/>
      <c r="T2217" s="146">
        <v>18784</v>
      </c>
      <c r="U2217" s="145"/>
      <c r="V2217" s="145" t="s">
        <v>1679</v>
      </c>
      <c r="W2217" s="92" t="str">
        <f t="shared" si="151"/>
        <v>Garcia Herranz,Luisa</v>
      </c>
      <c r="X2217" s="95">
        <f t="shared" si="147"/>
        <v>7</v>
      </c>
      <c r="Y2217" s="95">
        <f t="shared" si="148"/>
        <v>2022</v>
      </c>
      <c r="Z2217" s="153" t="s">
        <v>265</v>
      </c>
      <c r="AA2217" t="str">
        <f>IF(Tabla1[[#This Row],[Kerma en aire acumulada (Gy)]]&gt;1,SUMIF(G:G,Tabla1[[#This Row],[SIP]],I:I)-Tabla1[[#This Row],[Kerma en aire acumulada (Gy)]],"")</f>
        <v/>
      </c>
    </row>
    <row r="2218" spans="3:27">
      <c r="C2218" s="144" t="str">
        <f t="shared" si="150"/>
        <v>Adulto</v>
      </c>
      <c r="D2218" s="145" t="s">
        <v>3125</v>
      </c>
      <c r="E2218" s="145" t="s">
        <v>2171</v>
      </c>
      <c r="F2218" s="145" t="s">
        <v>2189</v>
      </c>
      <c r="G2218" s="145">
        <v>2610857</v>
      </c>
      <c r="H2218" s="146">
        <v>44750</v>
      </c>
      <c r="I2218" s="145">
        <v>3.8010000000000002E-2</v>
      </c>
      <c r="J2218" s="145"/>
      <c r="K2218" s="145"/>
      <c r="L2218" s="145"/>
      <c r="M2218" s="145"/>
      <c r="N2218" s="145"/>
      <c r="O2218" s="145"/>
      <c r="P2218" s="145"/>
      <c r="Q2218" s="145"/>
      <c r="R2218" s="145"/>
      <c r="S2218" s="145"/>
      <c r="T2218" s="146">
        <v>20018</v>
      </c>
      <c r="U2218" s="145"/>
      <c r="V2218" s="145" t="s">
        <v>1152</v>
      </c>
      <c r="W2218" s="92" t="str">
        <f t="shared" si="151"/>
        <v>Monteagudo Suarez,Juan Jose</v>
      </c>
      <c r="X2218" s="95">
        <f t="shared" ref="X2218:X2281" si="152">MONTH(H2218)</f>
        <v>7</v>
      </c>
      <c r="Y2218" s="95">
        <f t="shared" ref="Y2218:Y2281" si="153">YEAR(H2218)</f>
        <v>2022</v>
      </c>
      <c r="Z2218" s="153" t="s">
        <v>265</v>
      </c>
      <c r="AA2218" t="str">
        <f>IF(Tabla1[[#This Row],[Kerma en aire acumulada (Gy)]]&gt;1,SUMIF(G:G,Tabla1[[#This Row],[SIP]],I:I)-Tabla1[[#This Row],[Kerma en aire acumulada (Gy)]],"")</f>
        <v/>
      </c>
    </row>
    <row r="2219" spans="3:27">
      <c r="C2219" s="144" t="str">
        <f t="shared" si="150"/>
        <v>Adulto</v>
      </c>
      <c r="D2219" s="145" t="s">
        <v>3338</v>
      </c>
      <c r="E2219" s="145" t="s">
        <v>1942</v>
      </c>
      <c r="F2219" s="145" t="s">
        <v>3339</v>
      </c>
      <c r="G2219" s="145">
        <v>3722962</v>
      </c>
      <c r="H2219" s="146">
        <v>44750</v>
      </c>
      <c r="I2219" s="145">
        <v>1.9359999999999999E-2</v>
      </c>
      <c r="J2219" s="145"/>
      <c r="K2219" s="145"/>
      <c r="L2219" s="145"/>
      <c r="M2219" s="145"/>
      <c r="N2219" s="145"/>
      <c r="O2219" s="145"/>
      <c r="P2219" s="145"/>
      <c r="Q2219" s="145"/>
      <c r="R2219" s="145"/>
      <c r="S2219" s="145"/>
      <c r="T2219" s="146">
        <v>18454</v>
      </c>
      <c r="U2219" s="145"/>
      <c r="V2219" s="145" t="s">
        <v>1679</v>
      </c>
      <c r="W2219" s="92" t="str">
        <f t="shared" si="151"/>
        <v>Mesa Mendez,Placido</v>
      </c>
      <c r="X2219" s="95">
        <f t="shared" si="152"/>
        <v>7</v>
      </c>
      <c r="Y2219" s="95">
        <f t="shared" si="153"/>
        <v>2022</v>
      </c>
      <c r="Z2219" s="153" t="s">
        <v>265</v>
      </c>
      <c r="AA2219" t="str">
        <f>IF(Tabla1[[#This Row],[Kerma en aire acumulada (Gy)]]&gt;1,SUMIF(G:G,Tabla1[[#This Row],[SIP]],I:I)-Tabla1[[#This Row],[Kerma en aire acumulada (Gy)]],"")</f>
        <v/>
      </c>
    </row>
    <row r="2220" spans="3:27">
      <c r="C2220" s="144" t="str">
        <f t="shared" si="150"/>
        <v>Adulto</v>
      </c>
      <c r="D2220" s="145" t="s">
        <v>2107</v>
      </c>
      <c r="E2220" s="145" t="s">
        <v>3337</v>
      </c>
      <c r="F2220" s="145" t="s">
        <v>635</v>
      </c>
      <c r="G2220" s="145">
        <v>419516</v>
      </c>
      <c r="H2220" s="146">
        <v>44750</v>
      </c>
      <c r="I2220" s="145">
        <v>8.5000000000000006E-3</v>
      </c>
      <c r="J2220" s="145"/>
      <c r="K2220" s="145"/>
      <c r="L2220" s="145"/>
      <c r="M2220" s="145"/>
      <c r="N2220" s="145"/>
      <c r="O2220" s="145"/>
      <c r="P2220" s="145"/>
      <c r="Q2220" s="145"/>
      <c r="R2220" s="145"/>
      <c r="S2220" s="145"/>
      <c r="T2220" s="146">
        <v>29162</v>
      </c>
      <c r="U2220" s="145"/>
      <c r="V2220" s="145" t="s">
        <v>1203</v>
      </c>
      <c r="W2220" s="92" t="str">
        <f t="shared" si="151"/>
        <v>Llinares Molto,Enrique</v>
      </c>
      <c r="X2220" s="95">
        <f t="shared" si="152"/>
        <v>7</v>
      </c>
      <c r="Y2220" s="95">
        <f t="shared" si="153"/>
        <v>2022</v>
      </c>
      <c r="Z2220" s="153" t="s">
        <v>265</v>
      </c>
      <c r="AA2220" t="str">
        <f>IF(Tabla1[[#This Row],[Kerma en aire acumulada (Gy)]]&gt;1,SUMIF(G:G,Tabla1[[#This Row],[SIP]],I:I)-Tabla1[[#This Row],[Kerma en aire acumulada (Gy)]],"")</f>
        <v/>
      </c>
    </row>
    <row r="2221" spans="3:27">
      <c r="C2221" s="144" t="str">
        <f t="shared" si="150"/>
        <v>Adulto</v>
      </c>
      <c r="D2221" s="145" t="s">
        <v>1837</v>
      </c>
      <c r="E2221" s="145" t="s">
        <v>2787</v>
      </c>
      <c r="F2221" s="145" t="s">
        <v>2302</v>
      </c>
      <c r="G2221" s="145">
        <v>3400343</v>
      </c>
      <c r="H2221" s="146">
        <v>44750</v>
      </c>
      <c r="I2221" s="145">
        <v>1.0869999999999999E-2</v>
      </c>
      <c r="J2221" s="145"/>
      <c r="K2221" s="145"/>
      <c r="L2221" s="145"/>
      <c r="M2221" s="145"/>
      <c r="N2221" s="145"/>
      <c r="O2221" s="145"/>
      <c r="P2221" s="145"/>
      <c r="Q2221" s="145"/>
      <c r="R2221" s="145"/>
      <c r="S2221" s="145"/>
      <c r="T2221" s="146">
        <v>24147</v>
      </c>
      <c r="U2221" s="145"/>
      <c r="V2221" s="145" t="s">
        <v>1679</v>
      </c>
      <c r="W2221" s="92" t="str">
        <f t="shared" si="151"/>
        <v>Rodriguez Slimani,Ismael</v>
      </c>
      <c r="X2221" s="95">
        <f t="shared" si="152"/>
        <v>7</v>
      </c>
      <c r="Y2221" s="95">
        <f t="shared" si="153"/>
        <v>2022</v>
      </c>
      <c r="Z2221" s="153" t="s">
        <v>265</v>
      </c>
      <c r="AA2221" t="str">
        <f>IF(Tabla1[[#This Row],[Kerma en aire acumulada (Gy)]]&gt;1,SUMIF(G:G,Tabla1[[#This Row],[SIP]],I:I)-Tabla1[[#This Row],[Kerma en aire acumulada (Gy)]],"")</f>
        <v/>
      </c>
    </row>
    <row r="2222" spans="3:27">
      <c r="C2222" s="144" t="str">
        <f t="shared" si="150"/>
        <v>Adulto</v>
      </c>
      <c r="D2222" s="145" t="s">
        <v>3335</v>
      </c>
      <c r="E2222" s="145" t="s">
        <v>3336</v>
      </c>
      <c r="F2222" s="145" t="s">
        <v>117</v>
      </c>
      <c r="G2222" s="145">
        <v>2452556</v>
      </c>
      <c r="H2222" s="146">
        <v>44750</v>
      </c>
      <c r="I2222" s="145">
        <v>0.69357999999999997</v>
      </c>
      <c r="J2222" s="145"/>
      <c r="K2222" s="145"/>
      <c r="L2222" s="145"/>
      <c r="M2222" s="145"/>
      <c r="N2222" s="145"/>
      <c r="O2222" s="145"/>
      <c r="P2222" s="145"/>
      <c r="Q2222" s="145"/>
      <c r="R2222" s="145"/>
      <c r="S2222" s="145"/>
      <c r="T2222" s="146">
        <v>26860</v>
      </c>
      <c r="U2222" s="145"/>
      <c r="V2222" s="145" t="s">
        <v>259</v>
      </c>
      <c r="W2222" s="92" t="str">
        <f t="shared" si="151"/>
        <v>Equiza Castell,M Carmen</v>
      </c>
      <c r="X2222" s="95">
        <f t="shared" si="152"/>
        <v>7</v>
      </c>
      <c r="Y2222" s="95">
        <f t="shared" si="153"/>
        <v>2022</v>
      </c>
      <c r="Z2222" s="153" t="s">
        <v>265</v>
      </c>
      <c r="AA2222" t="str">
        <f>IF(Tabla1[[#This Row],[Kerma en aire acumulada (Gy)]]&gt;1,SUMIF(G:G,Tabla1[[#This Row],[SIP]],I:I)-Tabla1[[#This Row],[Kerma en aire acumulada (Gy)]],"")</f>
        <v/>
      </c>
    </row>
    <row r="2223" spans="3:27">
      <c r="C2223" s="144" t="str">
        <f t="shared" si="150"/>
        <v>Adulto</v>
      </c>
      <c r="D2223" s="95" t="s">
        <v>3343</v>
      </c>
      <c r="E2223" s="95" t="s">
        <v>156</v>
      </c>
      <c r="F2223" s="95" t="s">
        <v>1139</v>
      </c>
      <c r="G2223" s="95">
        <v>398271</v>
      </c>
      <c r="H2223" s="96">
        <v>44751</v>
      </c>
      <c r="I2223" s="95">
        <v>0.31313000000000002</v>
      </c>
      <c r="J2223" s="95"/>
      <c r="K2223" s="95"/>
      <c r="L2223" s="95"/>
      <c r="M2223" s="95"/>
      <c r="N2223" s="95"/>
      <c r="O2223" s="95"/>
      <c r="P2223" s="95"/>
      <c r="Q2223" s="95"/>
      <c r="R2223" s="95"/>
      <c r="S2223" s="95"/>
      <c r="T2223" s="96">
        <v>26569</v>
      </c>
      <c r="U2223" s="95"/>
      <c r="V2223" s="95" t="s">
        <v>2383</v>
      </c>
      <c r="W2223" s="92" t="str">
        <f t="shared" si="151"/>
        <v>Sanjuan Pastor,Jose Vicente</v>
      </c>
      <c r="X2223" s="95">
        <f t="shared" si="152"/>
        <v>7</v>
      </c>
      <c r="Y2223" s="95">
        <f t="shared" si="153"/>
        <v>2022</v>
      </c>
      <c r="Z2223" s="97" t="s">
        <v>266</v>
      </c>
      <c r="AA2223" t="str">
        <f>IF(Tabla1[[#This Row],[Kerma en aire acumulada (Gy)]]&gt;1,SUMIF(G:G,Tabla1[[#This Row],[SIP]],I:I)-Tabla1[[#This Row],[Kerma en aire acumulada (Gy)]],"")</f>
        <v/>
      </c>
    </row>
    <row r="2224" spans="3:27">
      <c r="C2224" s="144" t="str">
        <f t="shared" si="150"/>
        <v>Adulto</v>
      </c>
      <c r="D2224" s="95" t="s">
        <v>1248</v>
      </c>
      <c r="E2224" s="95" t="s">
        <v>1884</v>
      </c>
      <c r="F2224" s="95" t="s">
        <v>861</v>
      </c>
      <c r="G2224" s="95">
        <v>333314</v>
      </c>
      <c r="H2224" s="96">
        <v>44752</v>
      </c>
      <c r="I2224" s="168">
        <v>1.0376399999999999</v>
      </c>
      <c r="J2224" s="95"/>
      <c r="K2224" s="95"/>
      <c r="L2224" s="95"/>
      <c r="M2224" s="95"/>
      <c r="N2224" s="95"/>
      <c r="O2224" s="95"/>
      <c r="P2224" s="95"/>
      <c r="Q2224" s="95"/>
      <c r="R2224" s="95"/>
      <c r="S2224" s="95"/>
      <c r="T2224" s="96">
        <v>20672</v>
      </c>
      <c r="U2224" s="95"/>
      <c r="V2224" s="95" t="s">
        <v>3221</v>
      </c>
      <c r="W2224" s="92" t="str">
        <f t="shared" si="151"/>
        <v>Marti Jordan,Juan Carlos</v>
      </c>
      <c r="X2224" s="95">
        <f t="shared" si="152"/>
        <v>7</v>
      </c>
      <c r="Y2224" s="95">
        <f t="shared" si="153"/>
        <v>2022</v>
      </c>
      <c r="Z2224" s="97" t="s">
        <v>265</v>
      </c>
      <c r="AA2224">
        <f>IF(Tabla1[[#This Row],[Kerma en aire acumulada (Gy)]]&gt;1,SUMIF(G:G,Tabla1[[#This Row],[SIP]],I:I)-Tabla1[[#This Row],[Kerma en aire acumulada (Gy)]],"")</f>
        <v>0</v>
      </c>
    </row>
    <row r="2225" spans="3:27">
      <c r="C2225" s="94" t="str">
        <f t="shared" si="150"/>
        <v>Adulto</v>
      </c>
      <c r="D2225" s="95" t="s">
        <v>3353</v>
      </c>
      <c r="E2225" s="95" t="s">
        <v>3354</v>
      </c>
      <c r="F2225" s="95" t="s">
        <v>546</v>
      </c>
      <c r="G2225" s="95">
        <v>3264834</v>
      </c>
      <c r="H2225" s="96">
        <v>44753</v>
      </c>
      <c r="I2225" s="95">
        <v>3.5090000000000003E-2</v>
      </c>
      <c r="J2225" s="95"/>
      <c r="K2225" s="95"/>
      <c r="L2225" s="95"/>
      <c r="M2225" s="95"/>
      <c r="N2225" s="95"/>
      <c r="O2225" s="95"/>
      <c r="P2225" s="95"/>
      <c r="Q2225" s="95"/>
      <c r="R2225" s="95"/>
      <c r="S2225" s="95"/>
      <c r="T2225" s="96">
        <v>15952</v>
      </c>
      <c r="U2225" s="95"/>
      <c r="V2225" s="95" t="s">
        <v>2962</v>
      </c>
      <c r="W2225" s="92" t="str">
        <f t="shared" si="151"/>
        <v>Revuelto Munera,Luis</v>
      </c>
      <c r="X2225" s="95">
        <f t="shared" si="152"/>
        <v>7</v>
      </c>
      <c r="Y2225" s="95">
        <f t="shared" si="153"/>
        <v>2022</v>
      </c>
      <c r="Z2225" s="97" t="s">
        <v>2238</v>
      </c>
      <c r="AA2225" t="str">
        <f>IF(Tabla1[[#This Row],[Kerma en aire acumulada (Gy)]]&gt;1,SUMIF(G:G,Tabla1[[#This Row],[SIP]],I:I)-Tabla1[[#This Row],[Kerma en aire acumulada (Gy)]],"")</f>
        <v/>
      </c>
    </row>
    <row r="2226" spans="3:27">
      <c r="C2226" s="144" t="str">
        <f t="shared" si="150"/>
        <v>Adulto</v>
      </c>
      <c r="D2226" s="95" t="s">
        <v>1720</v>
      </c>
      <c r="E2226" s="95" t="s">
        <v>3352</v>
      </c>
      <c r="F2226" s="95" t="s">
        <v>184</v>
      </c>
      <c r="G2226" s="95">
        <v>1855707</v>
      </c>
      <c r="H2226" s="96">
        <v>44753</v>
      </c>
      <c r="I2226" s="95">
        <v>0.24873999999999999</v>
      </c>
      <c r="J2226" s="95"/>
      <c r="K2226" s="95"/>
      <c r="L2226" s="95"/>
      <c r="M2226" s="95"/>
      <c r="N2226" s="95"/>
      <c r="O2226" s="95"/>
      <c r="P2226" s="95"/>
      <c r="Q2226" s="95"/>
      <c r="R2226" s="95"/>
      <c r="S2226" s="95"/>
      <c r="T2226" s="96">
        <v>16732</v>
      </c>
      <c r="U2226" s="95"/>
      <c r="V2226" s="95" t="s">
        <v>3077</v>
      </c>
      <c r="W2226" s="92" t="str">
        <f t="shared" si="151"/>
        <v>Coronado Yagüe,Amadeo</v>
      </c>
      <c r="X2226" s="95">
        <f t="shared" si="152"/>
        <v>7</v>
      </c>
      <c r="Y2226" s="95">
        <f t="shared" si="153"/>
        <v>2022</v>
      </c>
      <c r="Z2226" s="97" t="s">
        <v>2238</v>
      </c>
      <c r="AA2226" t="str">
        <f>IF(Tabla1[[#This Row],[Kerma en aire acumulada (Gy)]]&gt;1,SUMIF(G:G,Tabla1[[#This Row],[SIP]],I:I)-Tabla1[[#This Row],[Kerma en aire acumulada (Gy)]],"")</f>
        <v/>
      </c>
    </row>
    <row r="2227" spans="3:27">
      <c r="C2227" s="144" t="str">
        <f t="shared" si="150"/>
        <v>Adulto</v>
      </c>
      <c r="D2227" s="95" t="s">
        <v>3338</v>
      </c>
      <c r="E2227" s="95" t="s">
        <v>3148</v>
      </c>
      <c r="F2227" s="95" t="s">
        <v>1708</v>
      </c>
      <c r="G2227" s="95">
        <v>2316872</v>
      </c>
      <c r="H2227" s="96">
        <v>44753</v>
      </c>
      <c r="I2227" s="176">
        <v>4.9175399999999998</v>
      </c>
      <c r="J2227" s="95"/>
      <c r="K2227" s="95"/>
      <c r="L2227" s="95"/>
      <c r="M2227" s="95"/>
      <c r="N2227" s="95"/>
      <c r="O2227" s="95"/>
      <c r="P2227" s="95"/>
      <c r="Q2227" s="95"/>
      <c r="R2227" s="95"/>
      <c r="S2227" s="95"/>
      <c r="T2227" s="96">
        <v>21913</v>
      </c>
      <c r="U2227" s="95"/>
      <c r="V2227" s="95" t="s">
        <v>2383</v>
      </c>
      <c r="W2227" s="92" t="str">
        <f t="shared" si="151"/>
        <v>Mesa de la Torre,M Antonia</v>
      </c>
      <c r="X2227" s="95">
        <f t="shared" si="152"/>
        <v>7</v>
      </c>
      <c r="Y2227" s="95">
        <f t="shared" si="153"/>
        <v>2022</v>
      </c>
      <c r="Z2227" s="97" t="s">
        <v>266</v>
      </c>
      <c r="AA2227">
        <f>IF(Tabla1[[#This Row],[Kerma en aire acumulada (Gy)]]&gt;1,SUMIF(G:G,Tabla1[[#This Row],[SIP]],I:I)-Tabla1[[#This Row],[Kerma en aire acumulada (Gy)]],"")</f>
        <v>0</v>
      </c>
    </row>
    <row r="2228" spans="3:27">
      <c r="C2228" s="144" t="str">
        <f t="shared" si="150"/>
        <v>Adulto</v>
      </c>
      <c r="D2228" s="95" t="s">
        <v>772</v>
      </c>
      <c r="E2228" s="95" t="s">
        <v>3351</v>
      </c>
      <c r="F2228" s="95" t="s">
        <v>1104</v>
      </c>
      <c r="G2228" s="95">
        <v>3780510</v>
      </c>
      <c r="H2228" s="96">
        <v>44753</v>
      </c>
      <c r="I2228" s="95">
        <v>0.26216</v>
      </c>
      <c r="J2228" s="95"/>
      <c r="K2228" s="95"/>
      <c r="L2228" s="95"/>
      <c r="M2228" s="95"/>
      <c r="N2228" s="95"/>
      <c r="O2228" s="95"/>
      <c r="P2228" s="95"/>
      <c r="Q2228" s="95"/>
      <c r="R2228" s="95"/>
      <c r="S2228" s="95"/>
      <c r="T2228" s="96">
        <v>26754</v>
      </c>
      <c r="U2228" s="95"/>
      <c r="V2228" s="95" t="s">
        <v>2383</v>
      </c>
      <c r="W2228" s="92" t="str">
        <f t="shared" si="151"/>
        <v>Sanchez Faubell,Jose Luis</v>
      </c>
      <c r="X2228" s="95">
        <f t="shared" si="152"/>
        <v>7</v>
      </c>
      <c r="Y2228" s="95">
        <f t="shared" si="153"/>
        <v>2022</v>
      </c>
      <c r="Z2228" s="97" t="s">
        <v>266</v>
      </c>
      <c r="AA2228" t="str">
        <f>IF(Tabla1[[#This Row],[Kerma en aire acumulada (Gy)]]&gt;1,SUMIF(G:G,Tabla1[[#This Row],[SIP]],I:I)-Tabla1[[#This Row],[Kerma en aire acumulada (Gy)]],"")</f>
        <v/>
      </c>
    </row>
    <row r="2229" spans="3:27">
      <c r="C2229" s="144" t="str">
        <f t="shared" si="150"/>
        <v>Adulto</v>
      </c>
      <c r="D2229" s="95" t="s">
        <v>1262</v>
      </c>
      <c r="E2229" s="95" t="s">
        <v>2143</v>
      </c>
      <c r="F2229" s="95" t="s">
        <v>71</v>
      </c>
      <c r="G2229" s="95">
        <v>2960684</v>
      </c>
      <c r="H2229" s="96">
        <v>44753</v>
      </c>
      <c r="I2229" s="95">
        <v>0.38042999999999999</v>
      </c>
      <c r="J2229" s="95"/>
      <c r="K2229" s="95"/>
      <c r="L2229" s="95"/>
      <c r="M2229" s="95"/>
      <c r="N2229" s="95"/>
      <c r="O2229" s="95"/>
      <c r="P2229" s="95"/>
      <c r="Q2229" s="95"/>
      <c r="R2229" s="95"/>
      <c r="S2229" s="95"/>
      <c r="T2229" s="96">
        <v>14256</v>
      </c>
      <c r="U2229" s="95"/>
      <c r="V2229" s="95" t="s">
        <v>2383</v>
      </c>
      <c r="W2229" s="92" t="str">
        <f t="shared" si="151"/>
        <v>Diaz Dominguez,Rafael</v>
      </c>
      <c r="X2229" s="95">
        <f t="shared" si="152"/>
        <v>7</v>
      </c>
      <c r="Y2229" s="95">
        <f t="shared" si="153"/>
        <v>2022</v>
      </c>
      <c r="Z2229" s="97" t="s">
        <v>266</v>
      </c>
      <c r="AA2229" t="str">
        <f>IF(Tabla1[[#This Row],[Kerma en aire acumulada (Gy)]]&gt;1,SUMIF(G:G,Tabla1[[#This Row],[SIP]],I:I)-Tabla1[[#This Row],[Kerma en aire acumulada (Gy)]],"")</f>
        <v/>
      </c>
    </row>
    <row r="2230" spans="3:27">
      <c r="C2230" s="144" t="str">
        <f t="shared" si="150"/>
        <v>Adulto</v>
      </c>
      <c r="D2230" s="95" t="s">
        <v>3349</v>
      </c>
      <c r="E2230" s="95"/>
      <c r="F2230" s="95" t="s">
        <v>3350</v>
      </c>
      <c r="G2230" s="95">
        <v>6062524</v>
      </c>
      <c r="H2230" s="96">
        <v>44753</v>
      </c>
      <c r="I2230" s="95">
        <v>0.72392999999999996</v>
      </c>
      <c r="J2230" s="95"/>
      <c r="K2230" s="95"/>
      <c r="L2230" s="95"/>
      <c r="M2230" s="95"/>
      <c r="N2230" s="95"/>
      <c r="O2230" s="95"/>
      <c r="P2230" s="95"/>
      <c r="Q2230" s="95"/>
      <c r="R2230" s="95"/>
      <c r="S2230" s="95"/>
      <c r="T2230" s="96">
        <v>29625</v>
      </c>
      <c r="U2230" s="95"/>
      <c r="V2230" s="95" t="s">
        <v>2383</v>
      </c>
      <c r="W2230" s="92" t="str">
        <f t="shared" si="151"/>
        <v>Stropus ,Bronius</v>
      </c>
      <c r="X2230" s="95">
        <f t="shared" si="152"/>
        <v>7</v>
      </c>
      <c r="Y2230" s="95">
        <f t="shared" si="153"/>
        <v>2022</v>
      </c>
      <c r="Z2230" s="97" t="s">
        <v>266</v>
      </c>
      <c r="AA2230" t="str">
        <f>IF(Tabla1[[#This Row],[Kerma en aire acumulada (Gy)]]&gt;1,SUMIF(G:G,Tabla1[[#This Row],[SIP]],I:I)-Tabla1[[#This Row],[Kerma en aire acumulada (Gy)]],"")</f>
        <v/>
      </c>
    </row>
    <row r="2231" spans="3:27">
      <c r="C2231" s="144" t="str">
        <f t="shared" si="150"/>
        <v>Adulto</v>
      </c>
      <c r="D2231" s="95" t="s">
        <v>3347</v>
      </c>
      <c r="E2231" s="95" t="s">
        <v>181</v>
      </c>
      <c r="F2231" s="95" t="s">
        <v>3348</v>
      </c>
      <c r="G2231" s="95">
        <v>2480851</v>
      </c>
      <c r="H2231" s="96">
        <v>44753</v>
      </c>
      <c r="I2231" s="95">
        <v>0.60975000000000001</v>
      </c>
      <c r="J2231" s="95"/>
      <c r="K2231" s="95"/>
      <c r="L2231" s="95"/>
      <c r="M2231" s="95"/>
      <c r="N2231" s="95"/>
      <c r="O2231" s="95"/>
      <c r="P2231" s="95"/>
      <c r="Q2231" s="95"/>
      <c r="R2231" s="95"/>
      <c r="S2231" s="95"/>
      <c r="T2231" s="96">
        <v>30187</v>
      </c>
      <c r="U2231" s="95"/>
      <c r="V2231" s="95" t="s">
        <v>2383</v>
      </c>
      <c r="W2231" s="92" t="str">
        <f t="shared" si="151"/>
        <v>Llopes Castillo,Sofia</v>
      </c>
      <c r="X2231" s="95">
        <f t="shared" si="152"/>
        <v>7</v>
      </c>
      <c r="Y2231" s="95">
        <f t="shared" si="153"/>
        <v>2022</v>
      </c>
      <c r="Z2231" s="97" t="s">
        <v>266</v>
      </c>
      <c r="AA2231" t="str">
        <f>IF(Tabla1[[#This Row],[Kerma en aire acumulada (Gy)]]&gt;1,SUMIF(G:G,Tabla1[[#This Row],[SIP]],I:I)-Tabla1[[#This Row],[Kerma en aire acumulada (Gy)]],"")</f>
        <v/>
      </c>
    </row>
    <row r="2232" spans="3:27">
      <c r="C2232" s="144" t="str">
        <f t="shared" si="150"/>
        <v>Adulto</v>
      </c>
      <c r="D2232" s="95" t="s">
        <v>1969</v>
      </c>
      <c r="E2232" s="95" t="s">
        <v>3346</v>
      </c>
      <c r="F2232" s="95" t="s">
        <v>2446</v>
      </c>
      <c r="G2232" s="95">
        <v>5164275</v>
      </c>
      <c r="H2232" s="96">
        <v>44753</v>
      </c>
      <c r="I2232" s="95">
        <v>0.16714999999999999</v>
      </c>
      <c r="J2232" s="95"/>
      <c r="K2232" s="95"/>
      <c r="L2232" s="95"/>
      <c r="M2232" s="95"/>
      <c r="N2232" s="95"/>
      <c r="O2232" s="95"/>
      <c r="P2232" s="95"/>
      <c r="Q2232" s="95"/>
      <c r="R2232" s="95"/>
      <c r="S2232" s="95"/>
      <c r="T2232" s="96">
        <v>12812</v>
      </c>
      <c r="U2232" s="95"/>
      <c r="V2232" s="95" t="s">
        <v>2383</v>
      </c>
      <c r="W2232" s="92" t="str">
        <f t="shared" si="151"/>
        <v>Nogueira Lamas,Arturo</v>
      </c>
      <c r="X2232" s="95">
        <f t="shared" si="152"/>
        <v>7</v>
      </c>
      <c r="Y2232" s="95">
        <f t="shared" si="153"/>
        <v>2022</v>
      </c>
      <c r="Z2232" s="97" t="s">
        <v>266</v>
      </c>
      <c r="AA2232" t="str">
        <f>IF(Tabla1[[#This Row],[Kerma en aire acumulada (Gy)]]&gt;1,SUMIF(G:G,Tabla1[[#This Row],[SIP]],I:I)-Tabla1[[#This Row],[Kerma en aire acumulada (Gy)]],"")</f>
        <v/>
      </c>
    </row>
    <row r="2233" spans="3:27">
      <c r="C2233" s="144" t="str">
        <f t="shared" si="150"/>
        <v>Adulto</v>
      </c>
      <c r="D2233" s="95" t="s">
        <v>948</v>
      </c>
      <c r="E2233" s="95" t="s">
        <v>962</v>
      </c>
      <c r="F2233" s="95" t="s">
        <v>71</v>
      </c>
      <c r="G2233" s="95">
        <v>2931232</v>
      </c>
      <c r="H2233" s="96">
        <v>44753</v>
      </c>
      <c r="I2233" s="95" t="s">
        <v>3332</v>
      </c>
      <c r="J2233" s="95"/>
      <c r="K2233" s="95"/>
      <c r="L2233" s="95"/>
      <c r="M2233" s="95"/>
      <c r="N2233" s="95"/>
      <c r="O2233" s="95"/>
      <c r="P2233" s="95"/>
      <c r="Q2233" s="95"/>
      <c r="R2233" s="95"/>
      <c r="S2233" s="95"/>
      <c r="T2233" s="96">
        <v>21623</v>
      </c>
      <c r="U2233" s="95"/>
      <c r="V2233" s="95" t="s">
        <v>1174</v>
      </c>
      <c r="W2233" s="92" t="str">
        <f t="shared" si="151"/>
        <v>Martinez Garcia,Rafael</v>
      </c>
      <c r="X2233" s="95">
        <f t="shared" si="152"/>
        <v>7</v>
      </c>
      <c r="Y2233" s="95">
        <f t="shared" si="153"/>
        <v>2022</v>
      </c>
      <c r="Z2233" s="97" t="s">
        <v>265</v>
      </c>
      <c r="AA2233" t="e">
        <f>IF(Tabla1[[#This Row],[Kerma en aire acumulada (Gy)]]&gt;1,SUMIF(G:G,Tabla1[[#This Row],[SIP]],I:I)-Tabla1[[#This Row],[Kerma en aire acumulada (Gy)]],"")</f>
        <v>#VALUE!</v>
      </c>
    </row>
    <row r="2234" spans="3:27">
      <c r="C2234" s="144" t="str">
        <f t="shared" si="150"/>
        <v>Adulto</v>
      </c>
      <c r="D2234" s="95" t="s">
        <v>3345</v>
      </c>
      <c r="E2234" s="95" t="s">
        <v>948</v>
      </c>
      <c r="F2234" s="95" t="s">
        <v>3344</v>
      </c>
      <c r="G2234" s="95">
        <v>3376802</v>
      </c>
      <c r="H2234" s="96">
        <v>44753</v>
      </c>
      <c r="I2234" s="95">
        <v>7.5490000000000002E-2</v>
      </c>
      <c r="J2234" s="95"/>
      <c r="K2234" s="95"/>
      <c r="L2234" s="95"/>
      <c r="M2234" s="95"/>
      <c r="N2234" s="95"/>
      <c r="O2234" s="95"/>
      <c r="P2234" s="95"/>
      <c r="Q2234" s="95"/>
      <c r="R2234" s="95"/>
      <c r="S2234" s="95"/>
      <c r="T2234" s="96">
        <v>16406</v>
      </c>
      <c r="U2234" s="95"/>
      <c r="V2234" s="95" t="s">
        <v>1174</v>
      </c>
      <c r="W2234" s="92" t="str">
        <f t="shared" si="151"/>
        <v>Olivas Martinez,Eustaquio</v>
      </c>
      <c r="X2234" s="95">
        <f t="shared" si="152"/>
        <v>7</v>
      </c>
      <c r="Y2234" s="95">
        <f t="shared" si="153"/>
        <v>2022</v>
      </c>
      <c r="Z2234" s="97" t="s">
        <v>265</v>
      </c>
      <c r="AA2234" t="str">
        <f>IF(Tabla1[[#This Row],[Kerma en aire acumulada (Gy)]]&gt;1,SUMIF(G:G,Tabla1[[#This Row],[SIP]],I:I)-Tabla1[[#This Row],[Kerma en aire acumulada (Gy)]],"")</f>
        <v/>
      </c>
    </row>
    <row r="2235" spans="3:27">
      <c r="C2235" s="144" t="str">
        <f t="shared" si="150"/>
        <v>Adulto</v>
      </c>
      <c r="D2235" s="95" t="s">
        <v>856</v>
      </c>
      <c r="E2235" s="95" t="s">
        <v>1001</v>
      </c>
      <c r="F2235" s="95" t="s">
        <v>98</v>
      </c>
      <c r="G2235" s="95">
        <v>1182216</v>
      </c>
      <c r="H2235" s="96">
        <v>44753</v>
      </c>
      <c r="I2235" s="95">
        <v>8.5540000000000005E-2</v>
      </c>
      <c r="J2235" s="95"/>
      <c r="K2235" s="95"/>
      <c r="L2235" s="95"/>
      <c r="M2235" s="95"/>
      <c r="N2235" s="95"/>
      <c r="O2235" s="95"/>
      <c r="P2235" s="95"/>
      <c r="Q2235" s="95"/>
      <c r="R2235" s="95"/>
      <c r="S2235" s="95"/>
      <c r="T2235" s="96">
        <v>18796</v>
      </c>
      <c r="U2235" s="95"/>
      <c r="V2235" s="95" t="s">
        <v>1116</v>
      </c>
      <c r="W2235" s="92" t="str">
        <f t="shared" si="151"/>
        <v>Gomez Perez,Felipe</v>
      </c>
      <c r="X2235" s="95">
        <f t="shared" si="152"/>
        <v>7</v>
      </c>
      <c r="Y2235" s="95">
        <f t="shared" si="153"/>
        <v>2022</v>
      </c>
      <c r="Z2235" s="97" t="s">
        <v>265</v>
      </c>
      <c r="AA2235" t="str">
        <f>IF(Tabla1[[#This Row],[Kerma en aire acumulada (Gy)]]&gt;1,SUMIF(G:G,Tabla1[[#This Row],[SIP]],I:I)-Tabla1[[#This Row],[Kerma en aire acumulada (Gy)]],"")</f>
        <v/>
      </c>
    </row>
    <row r="2236" spans="3:27">
      <c r="C2236" s="144" t="str">
        <f t="shared" si="150"/>
        <v>Adulto</v>
      </c>
      <c r="D2236" s="95" t="s">
        <v>1896</v>
      </c>
      <c r="E2236" s="95" t="s">
        <v>962</v>
      </c>
      <c r="F2236" s="95" t="s">
        <v>1963</v>
      </c>
      <c r="G2236" s="95">
        <v>2358339</v>
      </c>
      <c r="H2236" s="96">
        <v>44754</v>
      </c>
      <c r="I2236" s="95">
        <v>3.9890000000000002E-2</v>
      </c>
      <c r="J2236" s="95"/>
      <c r="K2236" s="95"/>
      <c r="L2236" s="95"/>
      <c r="M2236" s="95"/>
      <c r="N2236" s="95"/>
      <c r="O2236" s="95"/>
      <c r="P2236" s="95"/>
      <c r="Q2236" s="95"/>
      <c r="R2236" s="95"/>
      <c r="S2236" s="95"/>
      <c r="T2236" s="96">
        <v>27750</v>
      </c>
      <c r="U2236" s="95"/>
      <c r="V2236" s="95" t="s">
        <v>3077</v>
      </c>
      <c r="W2236" s="92" t="str">
        <f t="shared" si="151"/>
        <v>Corrales Garcia,Remedios</v>
      </c>
      <c r="X2236" s="95">
        <f t="shared" si="152"/>
        <v>7</v>
      </c>
      <c r="Y2236" s="95">
        <f t="shared" si="153"/>
        <v>2022</v>
      </c>
      <c r="Z2236" s="97" t="s">
        <v>2238</v>
      </c>
      <c r="AA2236" t="str">
        <f>IF(Tabla1[[#This Row],[Kerma en aire acumulada (Gy)]]&gt;1,SUMIF(G:G,Tabla1[[#This Row],[SIP]],I:I)-Tabla1[[#This Row],[Kerma en aire acumulada (Gy)]],"")</f>
        <v/>
      </c>
    </row>
    <row r="2237" spans="3:27">
      <c r="C2237" s="144" t="str">
        <f t="shared" si="150"/>
        <v>Adulto</v>
      </c>
      <c r="D2237" s="95" t="s">
        <v>1001</v>
      </c>
      <c r="E2237" s="95" t="s">
        <v>2465</v>
      </c>
      <c r="F2237" s="95" t="s">
        <v>1137</v>
      </c>
      <c r="G2237" s="95">
        <v>2429187</v>
      </c>
      <c r="H2237" s="96">
        <v>44754</v>
      </c>
      <c r="I2237" s="95">
        <v>5.7509999999999999E-2</v>
      </c>
      <c r="J2237" s="95"/>
      <c r="K2237" s="95"/>
      <c r="L2237" s="95"/>
      <c r="M2237" s="95"/>
      <c r="N2237" s="95"/>
      <c r="O2237" s="95"/>
      <c r="P2237" s="95"/>
      <c r="Q2237" s="95"/>
      <c r="R2237" s="95"/>
      <c r="S2237" s="95"/>
      <c r="T2237" s="96">
        <v>16784</v>
      </c>
      <c r="U2237" s="95"/>
      <c r="V2237" s="95" t="s">
        <v>2309</v>
      </c>
      <c r="W2237" s="92" t="str">
        <f t="shared" si="151"/>
        <v>Perez Miron,Lucia</v>
      </c>
      <c r="X2237" s="95">
        <f t="shared" si="152"/>
        <v>7</v>
      </c>
      <c r="Y2237" s="95">
        <f t="shared" si="153"/>
        <v>2022</v>
      </c>
      <c r="Z2237" s="97" t="s">
        <v>2238</v>
      </c>
      <c r="AA2237" t="str">
        <f>IF(Tabla1[[#This Row],[Kerma en aire acumulada (Gy)]]&gt;1,SUMIF(G:G,Tabla1[[#This Row],[SIP]],I:I)-Tabla1[[#This Row],[Kerma en aire acumulada (Gy)]],"")</f>
        <v/>
      </c>
    </row>
    <row r="2238" spans="3:27">
      <c r="C2238" s="144" t="str">
        <f t="shared" si="150"/>
        <v>Adulto</v>
      </c>
      <c r="D2238" s="95" t="s">
        <v>1721</v>
      </c>
      <c r="E2238" s="95" t="s">
        <v>772</v>
      </c>
      <c r="F2238" s="95" t="s">
        <v>3367</v>
      </c>
      <c r="G2238" s="95">
        <v>2313297</v>
      </c>
      <c r="H2238" s="96">
        <v>44754</v>
      </c>
      <c r="I2238" s="95">
        <v>0.41400999999999999</v>
      </c>
      <c r="J2238" s="95"/>
      <c r="K2238" s="95"/>
      <c r="L2238" s="95"/>
      <c r="M2238" s="95"/>
      <c r="N2238" s="95"/>
      <c r="O2238" s="95"/>
      <c r="P2238" s="95"/>
      <c r="Q2238" s="95"/>
      <c r="R2238" s="95"/>
      <c r="S2238" s="95"/>
      <c r="T2238" s="96">
        <v>21268</v>
      </c>
      <c r="U2238" s="95"/>
      <c r="V2238" s="95" t="s">
        <v>2383</v>
      </c>
      <c r="W2238" s="92" t="str">
        <f t="shared" si="151"/>
        <v>Requena Sanchez,Antonio Gabriel</v>
      </c>
      <c r="X2238" s="95">
        <f t="shared" si="152"/>
        <v>7</v>
      </c>
      <c r="Y2238" s="95">
        <f t="shared" si="153"/>
        <v>2022</v>
      </c>
      <c r="Z2238" s="97" t="s">
        <v>266</v>
      </c>
      <c r="AA2238" t="str">
        <f>IF(Tabla1[[#This Row],[Kerma en aire acumulada (Gy)]]&gt;1,SUMIF(G:G,Tabla1[[#This Row],[SIP]],I:I)-Tabla1[[#This Row],[Kerma en aire acumulada (Gy)]],"")</f>
        <v/>
      </c>
    </row>
    <row r="2239" spans="3:27">
      <c r="C2239" s="94" t="str">
        <f t="shared" si="150"/>
        <v>Adulto</v>
      </c>
      <c r="D2239" s="95" t="s">
        <v>346</v>
      </c>
      <c r="E2239" s="95" t="s">
        <v>152</v>
      </c>
      <c r="F2239" s="95" t="s">
        <v>142</v>
      </c>
      <c r="G2239" s="95">
        <v>4762200</v>
      </c>
      <c r="H2239" s="96">
        <v>44754</v>
      </c>
      <c r="I2239" s="95">
        <v>0.20408000000000001</v>
      </c>
      <c r="J2239" s="95"/>
      <c r="K2239" s="95"/>
      <c r="L2239" s="95"/>
      <c r="M2239" s="95"/>
      <c r="N2239" s="95"/>
      <c r="O2239" s="95"/>
      <c r="P2239" s="95"/>
      <c r="Q2239" s="95"/>
      <c r="R2239" s="95"/>
      <c r="S2239" s="95"/>
      <c r="T2239" s="96">
        <v>36871</v>
      </c>
      <c r="U2239" s="95"/>
      <c r="V2239" s="95" t="s">
        <v>2383</v>
      </c>
      <c r="W2239" s="92" t="str">
        <f t="shared" ref="W2239:W2270" si="154">CONCATENATE(D2239,$A$591,E2239,",",F2239)</f>
        <v>Fuster Vidal,David</v>
      </c>
      <c r="X2239" s="95">
        <f t="shared" si="152"/>
        <v>7</v>
      </c>
      <c r="Y2239" s="95">
        <f t="shared" si="153"/>
        <v>2022</v>
      </c>
      <c r="Z2239" s="97" t="s">
        <v>266</v>
      </c>
      <c r="AA2239" t="str">
        <f>IF(Tabla1[[#This Row],[Kerma en aire acumulada (Gy)]]&gt;1,SUMIF(G:G,Tabla1[[#This Row],[SIP]],I:I)-Tabla1[[#This Row],[Kerma en aire acumulada (Gy)]],"")</f>
        <v/>
      </c>
    </row>
    <row r="2240" spans="3:27">
      <c r="C2240" s="144" t="str">
        <f t="shared" si="150"/>
        <v>Adulto</v>
      </c>
      <c r="D2240" s="95" t="s">
        <v>2659</v>
      </c>
      <c r="E2240" s="95" t="s">
        <v>2235</v>
      </c>
      <c r="F2240" s="95" t="s">
        <v>3366</v>
      </c>
      <c r="G2240" s="95">
        <v>2867533</v>
      </c>
      <c r="H2240" s="96">
        <v>44754</v>
      </c>
      <c r="I2240" s="95">
        <v>0.17873</v>
      </c>
      <c r="J2240" s="95"/>
      <c r="K2240" s="95"/>
      <c r="L2240" s="95"/>
      <c r="M2240" s="95"/>
      <c r="N2240" s="95"/>
      <c r="O2240" s="95"/>
      <c r="P2240" s="95"/>
      <c r="Q2240" s="95"/>
      <c r="R2240" s="95"/>
      <c r="S2240" s="95"/>
      <c r="T2240" s="96">
        <v>19146</v>
      </c>
      <c r="U2240" s="95"/>
      <c r="V2240" s="95" t="s">
        <v>2383</v>
      </c>
      <c r="W2240" s="92" t="str">
        <f t="shared" si="154"/>
        <v>Bernardo Herranz,Gregorio Javier</v>
      </c>
      <c r="X2240" s="95">
        <f t="shared" si="152"/>
        <v>7</v>
      </c>
      <c r="Y2240" s="95">
        <f t="shared" si="153"/>
        <v>2022</v>
      </c>
      <c r="Z2240" s="97" t="s">
        <v>266</v>
      </c>
      <c r="AA2240" t="str">
        <f>IF(Tabla1[[#This Row],[Kerma en aire acumulada (Gy)]]&gt;1,SUMIF(G:G,Tabla1[[#This Row],[SIP]],I:I)-Tabla1[[#This Row],[Kerma en aire acumulada (Gy)]],"")</f>
        <v/>
      </c>
    </row>
    <row r="2241" spans="3:27">
      <c r="C2241" s="144" t="str">
        <f t="shared" si="150"/>
        <v>Adulto</v>
      </c>
      <c r="D2241" s="95" t="s">
        <v>631</v>
      </c>
      <c r="E2241" s="95" t="s">
        <v>3364</v>
      </c>
      <c r="F2241" s="95" t="s">
        <v>3365</v>
      </c>
      <c r="G2241" s="95">
        <v>7618120</v>
      </c>
      <c r="H2241" s="96">
        <v>44754</v>
      </c>
      <c r="I2241" s="95">
        <v>0.57457000000000003</v>
      </c>
      <c r="J2241" s="95"/>
      <c r="K2241" s="95"/>
      <c r="L2241" s="95"/>
      <c r="M2241" s="95"/>
      <c r="N2241" s="95"/>
      <c r="O2241" s="95"/>
      <c r="P2241" s="95"/>
      <c r="Q2241" s="95"/>
      <c r="R2241" s="95"/>
      <c r="S2241" s="95"/>
      <c r="T2241" s="96">
        <v>24506</v>
      </c>
      <c r="U2241" s="95"/>
      <c r="V2241" s="95" t="s">
        <v>2383</v>
      </c>
      <c r="W2241" s="92" t="str">
        <f t="shared" si="154"/>
        <v>Molina Mosquera,Fredy</v>
      </c>
      <c r="X2241" s="95">
        <f t="shared" si="152"/>
        <v>7</v>
      </c>
      <c r="Y2241" s="95">
        <f t="shared" si="153"/>
        <v>2022</v>
      </c>
      <c r="Z2241" s="97" t="s">
        <v>266</v>
      </c>
      <c r="AA2241" t="str">
        <f>IF(Tabla1[[#This Row],[Kerma en aire acumulada (Gy)]]&gt;1,SUMIF(G:G,Tabla1[[#This Row],[SIP]],I:I)-Tabla1[[#This Row],[Kerma en aire acumulada (Gy)]],"")</f>
        <v/>
      </c>
    </row>
    <row r="2242" spans="3:27">
      <c r="C2242" s="144" t="str">
        <f t="shared" ref="C2242:C2301" si="155">IF(OR(H2242="",T2242=""),"",IF((H2242-T2242)/12/30&lt;18,"Pediátrico","Adulto"))</f>
        <v>Adulto</v>
      </c>
      <c r="D2242" s="95" t="s">
        <v>97</v>
      </c>
      <c r="E2242" s="95" t="s">
        <v>2661</v>
      </c>
      <c r="F2242" s="95" t="s">
        <v>546</v>
      </c>
      <c r="G2242" s="95">
        <v>3087055</v>
      </c>
      <c r="H2242" s="96">
        <v>44754</v>
      </c>
      <c r="I2242" s="95">
        <v>0.26382</v>
      </c>
      <c r="J2242" s="95"/>
      <c r="K2242" s="95"/>
      <c r="L2242" s="95"/>
      <c r="M2242" s="95"/>
      <c r="N2242" s="95"/>
      <c r="O2242" s="95"/>
      <c r="P2242" s="95"/>
      <c r="Q2242" s="95"/>
      <c r="R2242" s="95"/>
      <c r="S2242" s="95"/>
      <c r="T2242" s="96">
        <v>21209</v>
      </c>
      <c r="U2242" s="95"/>
      <c r="V2242" s="95" t="s">
        <v>2383</v>
      </c>
      <c r="W2242" s="92" t="str">
        <f t="shared" si="154"/>
        <v>Egea Fabuel,Luis</v>
      </c>
      <c r="X2242" s="95">
        <f t="shared" si="152"/>
        <v>7</v>
      </c>
      <c r="Y2242" s="95">
        <f t="shared" si="153"/>
        <v>2022</v>
      </c>
      <c r="Z2242" s="97" t="s">
        <v>266</v>
      </c>
      <c r="AA2242" t="str">
        <f>IF(Tabla1[[#This Row],[Kerma en aire acumulada (Gy)]]&gt;1,SUMIF(G:G,Tabla1[[#This Row],[SIP]],I:I)-Tabla1[[#This Row],[Kerma en aire acumulada (Gy)]],"")</f>
        <v/>
      </c>
    </row>
    <row r="2243" spans="3:27">
      <c r="C2243" s="94" t="str">
        <f t="shared" si="155"/>
        <v>Adulto</v>
      </c>
      <c r="D2243" s="95" t="s">
        <v>1931</v>
      </c>
      <c r="E2243" s="95" t="s">
        <v>948</v>
      </c>
      <c r="F2243" s="95" t="s">
        <v>2105</v>
      </c>
      <c r="G2243" s="95">
        <v>3598140</v>
      </c>
      <c r="H2243" s="96">
        <v>44754</v>
      </c>
      <c r="I2243" s="168">
        <v>1.38001</v>
      </c>
      <c r="J2243" s="95"/>
      <c r="K2243" s="95"/>
      <c r="L2243" s="95"/>
      <c r="M2243" s="95"/>
      <c r="N2243" s="95"/>
      <c r="O2243" s="95"/>
      <c r="P2243" s="95"/>
      <c r="Q2243" s="95"/>
      <c r="R2243" s="95"/>
      <c r="S2243" s="95"/>
      <c r="T2243" s="96">
        <v>16591</v>
      </c>
      <c r="U2243" s="95"/>
      <c r="V2243" s="95" t="s">
        <v>2383</v>
      </c>
      <c r="W2243" s="92" t="str">
        <f t="shared" si="154"/>
        <v>Candel Martinez,Juan Francisco</v>
      </c>
      <c r="X2243" s="95">
        <f t="shared" si="152"/>
        <v>7</v>
      </c>
      <c r="Y2243" s="95">
        <f t="shared" si="153"/>
        <v>2022</v>
      </c>
      <c r="Z2243" s="97" t="s">
        <v>266</v>
      </c>
      <c r="AA2243">
        <f>IF(Tabla1[[#This Row],[Kerma en aire acumulada (Gy)]]&gt;1,SUMIF(G:G,Tabla1[[#This Row],[SIP]],I:I)-Tabla1[[#This Row],[Kerma en aire acumulada (Gy)]],"")</f>
        <v>0</v>
      </c>
    </row>
    <row r="2244" spans="3:27">
      <c r="C2244" s="144" t="str">
        <f t="shared" si="155"/>
        <v>Adulto</v>
      </c>
      <c r="D2244" s="95" t="s">
        <v>1228</v>
      </c>
      <c r="E2244" s="95" t="s">
        <v>3362</v>
      </c>
      <c r="F2244" s="95" t="s">
        <v>3363</v>
      </c>
      <c r="G2244" s="95">
        <v>2425539</v>
      </c>
      <c r="H2244" s="96">
        <v>44754</v>
      </c>
      <c r="I2244" s="95">
        <v>0.55103999999999997</v>
      </c>
      <c r="J2244" s="95"/>
      <c r="K2244" s="95"/>
      <c r="L2244" s="95"/>
      <c r="M2244" s="95"/>
      <c r="N2244" s="95"/>
      <c r="O2244" s="95"/>
      <c r="P2244" s="95"/>
      <c r="Q2244" s="95"/>
      <c r="R2244" s="95"/>
      <c r="S2244" s="95"/>
      <c r="T2244" s="96">
        <v>18766</v>
      </c>
      <c r="U2244" s="95"/>
      <c r="V2244" s="95" t="s">
        <v>2383</v>
      </c>
      <c r="W2244" s="92" t="str">
        <f t="shared" si="154"/>
        <v>Guillen Barrionuevo,Sergio Gustavo</v>
      </c>
      <c r="X2244" s="95">
        <f t="shared" si="152"/>
        <v>7</v>
      </c>
      <c r="Y2244" s="95">
        <f t="shared" si="153"/>
        <v>2022</v>
      </c>
      <c r="Z2244" s="97" t="s">
        <v>266</v>
      </c>
      <c r="AA2244" t="str">
        <f>IF(Tabla1[[#This Row],[Kerma en aire acumulada (Gy)]]&gt;1,SUMIF(G:G,Tabla1[[#This Row],[SIP]],I:I)-Tabla1[[#This Row],[Kerma en aire acumulada (Gy)]],"")</f>
        <v/>
      </c>
    </row>
    <row r="2245" spans="3:27">
      <c r="C2245" s="144" t="str">
        <f t="shared" si="155"/>
        <v>Adulto</v>
      </c>
      <c r="D2245" s="95" t="s">
        <v>3360</v>
      </c>
      <c r="E2245" s="95" t="s">
        <v>3361</v>
      </c>
      <c r="F2245" s="95" t="s">
        <v>991</v>
      </c>
      <c r="G2245" s="95">
        <v>1859461</v>
      </c>
      <c r="H2245" s="96">
        <v>44754</v>
      </c>
      <c r="I2245" s="95">
        <v>4.0280000000000003E-2</v>
      </c>
      <c r="J2245" s="95"/>
      <c r="K2245" s="95"/>
      <c r="L2245" s="95"/>
      <c r="M2245" s="95"/>
      <c r="N2245" s="95"/>
      <c r="O2245" s="95"/>
      <c r="P2245" s="95"/>
      <c r="Q2245" s="95"/>
      <c r="R2245" s="95"/>
      <c r="S2245" s="95"/>
      <c r="T2245" s="96">
        <v>15849</v>
      </c>
      <c r="U2245" s="95"/>
      <c r="V2245" s="95" t="s">
        <v>1923</v>
      </c>
      <c r="W2245" s="92" t="str">
        <f t="shared" si="154"/>
        <v>Sanlorenzo Alaver,Jose</v>
      </c>
      <c r="X2245" s="95">
        <f t="shared" si="152"/>
        <v>7</v>
      </c>
      <c r="Y2245" s="95">
        <f t="shared" si="153"/>
        <v>2022</v>
      </c>
      <c r="Z2245" s="97" t="s">
        <v>265</v>
      </c>
      <c r="AA2245" t="str">
        <f>IF(Tabla1[[#This Row],[Kerma en aire acumulada (Gy)]]&gt;1,SUMIF(G:G,Tabla1[[#This Row],[SIP]],I:I)-Tabla1[[#This Row],[Kerma en aire acumulada (Gy)]],"")</f>
        <v/>
      </c>
    </row>
    <row r="2246" spans="3:27">
      <c r="C2246" s="144" t="str">
        <f t="shared" si="155"/>
        <v>Pediátrico</v>
      </c>
      <c r="D2246" s="95" t="s">
        <v>3359</v>
      </c>
      <c r="E2246" s="95" t="s">
        <v>2767</v>
      </c>
      <c r="F2246" s="95" t="s">
        <v>1155</v>
      </c>
      <c r="G2246" s="95">
        <v>630236</v>
      </c>
      <c r="H2246" s="96">
        <v>44754</v>
      </c>
      <c r="I2246" s="95">
        <v>6.9989999999999997E-2</v>
      </c>
      <c r="J2246" s="95"/>
      <c r="K2246" s="95"/>
      <c r="L2246" s="95"/>
      <c r="M2246" s="95"/>
      <c r="N2246" s="95"/>
      <c r="O2246" s="95"/>
      <c r="P2246" s="95"/>
      <c r="Q2246" s="95"/>
      <c r="R2246" s="95"/>
      <c r="S2246" s="95"/>
      <c r="T2246" s="96">
        <v>38862</v>
      </c>
      <c r="U2246" s="95"/>
      <c r="V2246" s="95" t="s">
        <v>2073</v>
      </c>
      <c r="W2246" s="92" t="str">
        <f t="shared" si="154"/>
        <v>Boronat Rivera,Maria</v>
      </c>
      <c r="X2246" s="95">
        <f t="shared" si="152"/>
        <v>7</v>
      </c>
      <c r="Y2246" s="95">
        <f t="shared" si="153"/>
        <v>2022</v>
      </c>
      <c r="Z2246" s="97" t="s">
        <v>265</v>
      </c>
      <c r="AA2246" t="str">
        <f>IF(Tabla1[[#This Row],[Kerma en aire acumulada (Gy)]]&gt;1,SUMIF(G:G,Tabla1[[#This Row],[SIP]],I:I)-Tabla1[[#This Row],[Kerma en aire acumulada (Gy)]],"")</f>
        <v/>
      </c>
    </row>
    <row r="2247" spans="3:27">
      <c r="C2247" s="144" t="str">
        <f t="shared" si="155"/>
        <v>Adulto</v>
      </c>
      <c r="D2247" s="95" t="s">
        <v>129</v>
      </c>
      <c r="E2247" s="95" t="s">
        <v>3358</v>
      </c>
      <c r="F2247" s="95" t="s">
        <v>3042</v>
      </c>
      <c r="G2247" s="95">
        <v>2397401</v>
      </c>
      <c r="H2247" s="96">
        <v>44754</v>
      </c>
      <c r="I2247" s="95">
        <v>4.7759999999999997E-2</v>
      </c>
      <c r="J2247" s="95"/>
      <c r="K2247" s="95"/>
      <c r="L2247" s="95"/>
      <c r="M2247" s="95"/>
      <c r="N2247" s="95"/>
      <c r="O2247" s="95"/>
      <c r="P2247" s="95"/>
      <c r="Q2247" s="95"/>
      <c r="R2247" s="95"/>
      <c r="S2247" s="95"/>
      <c r="T2247" s="96">
        <v>15411</v>
      </c>
      <c r="U2247" s="95"/>
      <c r="V2247" s="95" t="s">
        <v>1203</v>
      </c>
      <c r="W2247" s="92" t="str">
        <f t="shared" si="154"/>
        <v>Gallego Fornes,Maria del Carmen</v>
      </c>
      <c r="X2247" s="95">
        <f t="shared" si="152"/>
        <v>7</v>
      </c>
      <c r="Y2247" s="95">
        <f t="shared" si="153"/>
        <v>2022</v>
      </c>
      <c r="Z2247" s="97" t="s">
        <v>265</v>
      </c>
      <c r="AA2247" t="str">
        <f>IF(Tabla1[[#This Row],[Kerma en aire acumulada (Gy)]]&gt;1,SUMIF(G:G,Tabla1[[#This Row],[SIP]],I:I)-Tabla1[[#This Row],[Kerma en aire acumulada (Gy)]],"")</f>
        <v/>
      </c>
    </row>
    <row r="2248" spans="3:27">
      <c r="C2248" s="144" t="str">
        <f t="shared" si="155"/>
        <v>Adulto</v>
      </c>
      <c r="D2248" s="95" t="s">
        <v>3355</v>
      </c>
      <c r="E2248" s="95" t="s">
        <v>3356</v>
      </c>
      <c r="F2248" s="95" t="s">
        <v>88</v>
      </c>
      <c r="G2248" s="95">
        <v>722684</v>
      </c>
      <c r="H2248" s="96">
        <v>44754</v>
      </c>
      <c r="I2248" s="168">
        <v>1.1242099999999999</v>
      </c>
      <c r="J2248" s="95"/>
      <c r="K2248" s="95"/>
      <c r="L2248" s="95"/>
      <c r="M2248" s="95"/>
      <c r="N2248" s="95"/>
      <c r="O2248" s="95"/>
      <c r="P2248" s="95"/>
      <c r="Q2248" s="95"/>
      <c r="R2248" s="95"/>
      <c r="S2248" s="95"/>
      <c r="T2248" s="96">
        <v>19061</v>
      </c>
      <c r="U2248" s="95"/>
      <c r="V2248" s="95" t="s">
        <v>3357</v>
      </c>
      <c r="W2248" s="92" t="str">
        <f t="shared" si="154"/>
        <v>Bardisa Fraces,Vicente</v>
      </c>
      <c r="X2248" s="95">
        <f t="shared" si="152"/>
        <v>7</v>
      </c>
      <c r="Y2248" s="95">
        <f t="shared" si="153"/>
        <v>2022</v>
      </c>
      <c r="Z2248" s="97" t="s">
        <v>265</v>
      </c>
      <c r="AA2248">
        <f>IF(Tabla1[[#This Row],[Kerma en aire acumulada (Gy)]]&gt;1,SUMIF(G:G,Tabla1[[#This Row],[SIP]],I:I)-Tabla1[[#This Row],[Kerma en aire acumulada (Gy)]],"")</f>
        <v>0</v>
      </c>
    </row>
    <row r="2249" spans="3:27">
      <c r="C2249" s="144" t="str">
        <f t="shared" si="155"/>
        <v>Adulto</v>
      </c>
      <c r="D2249" s="95" t="s">
        <v>1003</v>
      </c>
      <c r="E2249" s="95" t="s">
        <v>1891</v>
      </c>
      <c r="F2249" s="95" t="s">
        <v>117</v>
      </c>
      <c r="G2249" s="95">
        <v>3360406</v>
      </c>
      <c r="H2249" s="96">
        <v>44755</v>
      </c>
      <c r="I2249" s="95">
        <v>0.11385000000000001</v>
      </c>
      <c r="J2249" s="95"/>
      <c r="K2249" s="95"/>
      <c r="L2249" s="95"/>
      <c r="M2249" s="95"/>
      <c r="N2249" s="95"/>
      <c r="O2249" s="95"/>
      <c r="P2249" s="95"/>
      <c r="Q2249" s="95"/>
      <c r="R2249" s="95"/>
      <c r="S2249" s="95"/>
      <c r="T2249" s="96">
        <v>19939</v>
      </c>
      <c r="U2249" s="95"/>
      <c r="V2249" s="95" t="s">
        <v>3077</v>
      </c>
      <c r="W2249" s="92" t="str">
        <f t="shared" si="154"/>
        <v>Romero Segura,M Carmen</v>
      </c>
      <c r="X2249" s="95">
        <f t="shared" si="152"/>
        <v>7</v>
      </c>
      <c r="Y2249" s="95">
        <f t="shared" si="153"/>
        <v>2022</v>
      </c>
      <c r="Z2249" s="97" t="s">
        <v>2238</v>
      </c>
      <c r="AA2249" t="str">
        <f>IF(Tabla1[[#This Row],[Kerma en aire acumulada (Gy)]]&gt;1,SUMIF(G:G,Tabla1[[#This Row],[SIP]],I:I)-Tabla1[[#This Row],[Kerma en aire acumulada (Gy)]],"")</f>
        <v/>
      </c>
    </row>
    <row r="2250" spans="3:27">
      <c r="C2250" s="94" t="str">
        <f t="shared" si="155"/>
        <v>Adulto</v>
      </c>
      <c r="D2250" s="95" t="s">
        <v>319</v>
      </c>
      <c r="E2250" s="95" t="s">
        <v>962</v>
      </c>
      <c r="F2250" s="95" t="s">
        <v>3245</v>
      </c>
      <c r="G2250" s="95">
        <v>5404259</v>
      </c>
      <c r="H2250" s="96">
        <v>44755</v>
      </c>
      <c r="I2250" s="176">
        <v>3.8858899999999998</v>
      </c>
      <c r="J2250" s="95"/>
      <c r="K2250" s="95"/>
      <c r="L2250" s="95"/>
      <c r="M2250" s="95"/>
      <c r="N2250" s="95"/>
      <c r="O2250" s="95"/>
      <c r="P2250" s="95"/>
      <c r="Q2250" s="95"/>
      <c r="R2250" s="95"/>
      <c r="S2250" s="95"/>
      <c r="T2250" s="96">
        <v>26078</v>
      </c>
      <c r="U2250" s="95"/>
      <c r="V2250" s="95" t="s">
        <v>2383</v>
      </c>
      <c r="W2250" s="92" t="str">
        <f t="shared" si="154"/>
        <v>Gonzalez Garcia,Oscar Luis</v>
      </c>
      <c r="X2250" s="95">
        <f t="shared" si="152"/>
        <v>7</v>
      </c>
      <c r="Y2250" s="95">
        <f t="shared" si="153"/>
        <v>2022</v>
      </c>
      <c r="Z2250" s="97" t="s">
        <v>266</v>
      </c>
      <c r="AA2250">
        <f>IF(Tabla1[[#This Row],[Kerma en aire acumulada (Gy)]]&gt;1,SUMIF(G:G,Tabla1[[#This Row],[SIP]],I:I)-Tabla1[[#This Row],[Kerma en aire acumulada (Gy)]],"")</f>
        <v>0.44728000000000012</v>
      </c>
    </row>
    <row r="2251" spans="3:27">
      <c r="C2251" s="144" t="str">
        <f t="shared" si="155"/>
        <v>Adulto</v>
      </c>
      <c r="D2251" s="95" t="s">
        <v>3203</v>
      </c>
      <c r="E2251" s="95" t="s">
        <v>2143</v>
      </c>
      <c r="F2251" s="95" t="s">
        <v>1848</v>
      </c>
      <c r="G2251" s="95">
        <v>1204490</v>
      </c>
      <c r="H2251" s="96">
        <v>44755</v>
      </c>
      <c r="I2251" s="95">
        <v>0.33511999999999997</v>
      </c>
      <c r="J2251" s="95"/>
      <c r="K2251" s="95"/>
      <c r="L2251" s="95"/>
      <c r="M2251" s="95"/>
      <c r="N2251" s="95"/>
      <c r="O2251" s="95"/>
      <c r="P2251" s="95"/>
      <c r="Q2251" s="95"/>
      <c r="R2251" s="95"/>
      <c r="S2251" s="95"/>
      <c r="T2251" s="96">
        <v>16698</v>
      </c>
      <c r="U2251" s="95"/>
      <c r="V2251" s="95" t="s">
        <v>2383</v>
      </c>
      <c r="W2251" s="92" t="str">
        <f t="shared" si="154"/>
        <v>Agea Dominguez,Fuensanta</v>
      </c>
      <c r="X2251" s="95">
        <f t="shared" si="152"/>
        <v>7</v>
      </c>
      <c r="Y2251" s="95">
        <f t="shared" si="153"/>
        <v>2022</v>
      </c>
      <c r="Z2251" s="97" t="s">
        <v>266</v>
      </c>
      <c r="AA2251" t="str">
        <f>IF(Tabla1[[#This Row],[Kerma en aire acumulada (Gy)]]&gt;1,SUMIF(G:G,Tabla1[[#This Row],[SIP]],I:I)-Tabla1[[#This Row],[Kerma en aire acumulada (Gy)]],"")</f>
        <v/>
      </c>
    </row>
    <row r="2252" spans="3:27">
      <c r="C2252" s="144" t="str">
        <f t="shared" si="155"/>
        <v>Adulto</v>
      </c>
      <c r="D2252" s="95" t="s">
        <v>3377</v>
      </c>
      <c r="E2252" s="95" t="s">
        <v>1740</v>
      </c>
      <c r="F2252" s="95" t="s">
        <v>83</v>
      </c>
      <c r="G2252" s="95">
        <v>3712568</v>
      </c>
      <c r="H2252" s="96">
        <v>44755</v>
      </c>
      <c r="I2252" s="95">
        <v>0.89083000000000001</v>
      </c>
      <c r="J2252" s="95"/>
      <c r="K2252" s="95"/>
      <c r="L2252" s="95"/>
      <c r="M2252" s="95"/>
      <c r="N2252" s="95"/>
      <c r="O2252" s="95"/>
      <c r="P2252" s="95"/>
      <c r="Q2252" s="95"/>
      <c r="R2252" s="95"/>
      <c r="S2252" s="95"/>
      <c r="T2252" s="96">
        <v>16835</v>
      </c>
      <c r="U2252" s="95"/>
      <c r="V2252" s="95" t="s">
        <v>2383</v>
      </c>
      <c r="W2252" s="92" t="str">
        <f t="shared" si="154"/>
        <v>Duato Vila,Francisco</v>
      </c>
      <c r="X2252" s="95">
        <f t="shared" si="152"/>
        <v>7</v>
      </c>
      <c r="Y2252" s="95">
        <f t="shared" si="153"/>
        <v>2022</v>
      </c>
      <c r="Z2252" s="97" t="s">
        <v>266</v>
      </c>
      <c r="AA2252" t="str">
        <f>IF(Tabla1[[#This Row],[Kerma en aire acumulada (Gy)]]&gt;1,SUMIF(G:G,Tabla1[[#This Row],[SIP]],I:I)-Tabla1[[#This Row],[Kerma en aire acumulada (Gy)]],"")</f>
        <v/>
      </c>
    </row>
    <row r="2253" spans="3:27">
      <c r="C2253" s="144" t="str">
        <f t="shared" si="155"/>
        <v>Adulto</v>
      </c>
      <c r="D2253" s="95" t="s">
        <v>2084</v>
      </c>
      <c r="E2253" s="95" t="s">
        <v>1001</v>
      </c>
      <c r="F2253" s="95" t="s">
        <v>2189</v>
      </c>
      <c r="G2253" s="95">
        <v>3010345</v>
      </c>
      <c r="H2253" s="96">
        <v>44755</v>
      </c>
      <c r="I2253" s="95">
        <v>0.28115000000000001</v>
      </c>
      <c r="J2253" s="95"/>
      <c r="K2253" s="95"/>
      <c r="L2253" s="95"/>
      <c r="M2253" s="95"/>
      <c r="N2253" s="95"/>
      <c r="O2253" s="95"/>
      <c r="P2253" s="95"/>
      <c r="Q2253" s="95"/>
      <c r="R2253" s="95"/>
      <c r="S2253" s="95"/>
      <c r="T2253" s="96">
        <v>21904</v>
      </c>
      <c r="U2253" s="95"/>
      <c r="V2253" s="95" t="s">
        <v>2383</v>
      </c>
      <c r="W2253" s="92" t="str">
        <f t="shared" si="154"/>
        <v>Gutierrez Perez,Juan Jose</v>
      </c>
      <c r="X2253" s="95">
        <f t="shared" si="152"/>
        <v>7</v>
      </c>
      <c r="Y2253" s="95">
        <f t="shared" si="153"/>
        <v>2022</v>
      </c>
      <c r="Z2253" s="97" t="s">
        <v>266</v>
      </c>
      <c r="AA2253" t="str">
        <f>IF(Tabla1[[#This Row],[Kerma en aire acumulada (Gy)]]&gt;1,SUMIF(G:G,Tabla1[[#This Row],[SIP]],I:I)-Tabla1[[#This Row],[Kerma en aire acumulada (Gy)]],"")</f>
        <v/>
      </c>
    </row>
    <row r="2254" spans="3:27">
      <c r="C2254" s="144" t="str">
        <f t="shared" si="155"/>
        <v>Adulto</v>
      </c>
      <c r="D2254" s="95" t="s">
        <v>3374</v>
      </c>
      <c r="E2254" s="95" t="s">
        <v>3375</v>
      </c>
      <c r="F2254" s="95" t="s">
        <v>3376</v>
      </c>
      <c r="G2254" s="95">
        <v>6810936</v>
      </c>
      <c r="H2254" s="96">
        <v>44755</v>
      </c>
      <c r="I2254" s="95">
        <v>0.23710999999999999</v>
      </c>
      <c r="J2254" s="95"/>
      <c r="K2254" s="95"/>
      <c r="L2254" s="95"/>
      <c r="M2254" s="95"/>
      <c r="N2254" s="95"/>
      <c r="O2254" s="95"/>
      <c r="P2254" s="95"/>
      <c r="Q2254" s="95"/>
      <c r="R2254" s="95"/>
      <c r="S2254" s="95"/>
      <c r="T2254" s="96">
        <v>24106</v>
      </c>
      <c r="U2254" s="95"/>
      <c r="V2254" s="95" t="s">
        <v>2383</v>
      </c>
      <c r="W2254" s="92" t="str">
        <f t="shared" si="154"/>
        <v>Pereira da Costa Ginja,Maria Alice</v>
      </c>
      <c r="X2254" s="95">
        <f t="shared" si="152"/>
        <v>7</v>
      </c>
      <c r="Y2254" s="95">
        <f t="shared" si="153"/>
        <v>2022</v>
      </c>
      <c r="Z2254" s="97" t="s">
        <v>266</v>
      </c>
      <c r="AA2254" t="str">
        <f>IF(Tabla1[[#This Row],[Kerma en aire acumulada (Gy)]]&gt;1,SUMIF(G:G,Tabla1[[#This Row],[SIP]],I:I)-Tabla1[[#This Row],[Kerma en aire acumulada (Gy)]],"")</f>
        <v/>
      </c>
    </row>
    <row r="2255" spans="3:27">
      <c r="C2255" s="144" t="str">
        <f t="shared" si="155"/>
        <v>Adulto</v>
      </c>
      <c r="D2255" s="95" t="s">
        <v>960</v>
      </c>
      <c r="E2255" s="95" t="s">
        <v>1837</v>
      </c>
      <c r="F2255" s="95" t="s">
        <v>3373</v>
      </c>
      <c r="G2255" s="95">
        <v>12056192</v>
      </c>
      <c r="H2255" s="96">
        <v>44755</v>
      </c>
      <c r="I2255" s="95">
        <v>0.39816000000000001</v>
      </c>
      <c r="J2255" s="95"/>
      <c r="K2255" s="95"/>
      <c r="L2255" s="95"/>
      <c r="M2255" s="95"/>
      <c r="N2255" s="95"/>
      <c r="O2255" s="95"/>
      <c r="P2255" s="95"/>
      <c r="Q2255" s="95"/>
      <c r="R2255" s="95"/>
      <c r="S2255" s="95"/>
      <c r="T2255" s="96">
        <v>18767</v>
      </c>
      <c r="U2255" s="95"/>
      <c r="V2255" s="95" t="s">
        <v>2383</v>
      </c>
      <c r="W2255" s="92" t="str">
        <f t="shared" si="154"/>
        <v>Lopez Rodriguez,Maria Luz</v>
      </c>
      <c r="X2255" s="95">
        <f t="shared" si="152"/>
        <v>7</v>
      </c>
      <c r="Y2255" s="95">
        <f t="shared" si="153"/>
        <v>2022</v>
      </c>
      <c r="Z2255" s="97" t="s">
        <v>266</v>
      </c>
      <c r="AA2255" t="str">
        <f>IF(Tabla1[[#This Row],[Kerma en aire acumulada (Gy)]]&gt;1,SUMIF(G:G,Tabla1[[#This Row],[SIP]],I:I)-Tabla1[[#This Row],[Kerma en aire acumulada (Gy)]],"")</f>
        <v/>
      </c>
    </row>
    <row r="2256" spans="3:27">
      <c r="C2256" s="94" t="str">
        <f t="shared" si="155"/>
        <v>Adulto</v>
      </c>
      <c r="D2256" s="95" t="s">
        <v>985</v>
      </c>
      <c r="E2256" s="95" t="s">
        <v>152</v>
      </c>
      <c r="F2256" s="95" t="s">
        <v>991</v>
      </c>
      <c r="G2256" s="95">
        <v>2807796</v>
      </c>
      <c r="H2256" s="96">
        <v>44755</v>
      </c>
      <c r="I2256" s="95">
        <v>0.158</v>
      </c>
      <c r="J2256" s="95"/>
      <c r="K2256" s="95"/>
      <c r="L2256" s="95"/>
      <c r="M2256" s="95"/>
      <c r="N2256" s="95"/>
      <c r="O2256" s="95"/>
      <c r="P2256" s="95"/>
      <c r="Q2256" s="95"/>
      <c r="R2256" s="95"/>
      <c r="S2256" s="95"/>
      <c r="T2256" s="96">
        <v>16515</v>
      </c>
      <c r="U2256" s="95"/>
      <c r="V2256" s="95" t="s">
        <v>2383</v>
      </c>
      <c r="W2256" s="92" t="str">
        <f t="shared" si="154"/>
        <v>Plaza Vidal,Jose</v>
      </c>
      <c r="X2256" s="95">
        <f t="shared" si="152"/>
        <v>7</v>
      </c>
      <c r="Y2256" s="95">
        <f t="shared" si="153"/>
        <v>2022</v>
      </c>
      <c r="Z2256" s="97" t="s">
        <v>266</v>
      </c>
      <c r="AA2256" t="str">
        <f>IF(Tabla1[[#This Row],[Kerma en aire acumulada (Gy)]]&gt;1,SUMIF(G:G,Tabla1[[#This Row],[SIP]],I:I)-Tabla1[[#This Row],[Kerma en aire acumulada (Gy)]],"")</f>
        <v/>
      </c>
    </row>
    <row r="2257" spans="3:27">
      <c r="C2257" s="144" t="str">
        <f t="shared" si="155"/>
        <v>Adulto</v>
      </c>
      <c r="D2257" s="95" t="s">
        <v>1942</v>
      </c>
      <c r="E2257" s="95" t="s">
        <v>1294</v>
      </c>
      <c r="F2257" s="95" t="s">
        <v>818</v>
      </c>
      <c r="G2257" s="95">
        <v>6711570</v>
      </c>
      <c r="H2257" s="96">
        <v>44755</v>
      </c>
      <c r="I2257" s="95">
        <v>1.2319999999999999E-2</v>
      </c>
      <c r="J2257" s="95"/>
      <c r="K2257" s="95"/>
      <c r="L2257" s="95"/>
      <c r="M2257" s="95"/>
      <c r="N2257" s="95"/>
      <c r="O2257" s="95"/>
      <c r="P2257" s="95"/>
      <c r="Q2257" s="95"/>
      <c r="R2257" s="95"/>
      <c r="S2257" s="95"/>
      <c r="T2257" s="96">
        <v>26948</v>
      </c>
      <c r="U2257" s="95"/>
      <c r="V2257" s="95" t="s">
        <v>3154</v>
      </c>
      <c r="W2257" s="92" t="str">
        <f t="shared" si="154"/>
        <v>Mendez Roca,Luisa</v>
      </c>
      <c r="X2257" s="95">
        <f t="shared" si="152"/>
        <v>7</v>
      </c>
      <c r="Y2257" s="95">
        <f t="shared" si="153"/>
        <v>2022</v>
      </c>
      <c r="Z2257" s="97" t="s">
        <v>265</v>
      </c>
      <c r="AA2257" t="str">
        <f>IF(Tabla1[[#This Row],[Kerma en aire acumulada (Gy)]]&gt;1,SUMIF(G:G,Tabla1[[#This Row],[SIP]],I:I)-Tabla1[[#This Row],[Kerma en aire acumulada (Gy)]],"")</f>
        <v/>
      </c>
    </row>
    <row r="2258" spans="3:27">
      <c r="C2258" s="144" t="str">
        <f t="shared" si="155"/>
        <v>Adulto</v>
      </c>
      <c r="D2258" s="95" t="s">
        <v>1759</v>
      </c>
      <c r="E2258" s="95" t="s">
        <v>3372</v>
      </c>
      <c r="F2258" s="95" t="s">
        <v>1694</v>
      </c>
      <c r="G2258" s="95">
        <v>2574253</v>
      </c>
      <c r="H2258" s="96">
        <v>44755</v>
      </c>
      <c r="I2258" s="95">
        <v>1.9E-3</v>
      </c>
      <c r="J2258" s="95"/>
      <c r="K2258" s="95"/>
      <c r="L2258" s="95"/>
      <c r="M2258" s="95"/>
      <c r="N2258" s="95"/>
      <c r="O2258" s="95"/>
      <c r="P2258" s="95"/>
      <c r="Q2258" s="95"/>
      <c r="R2258" s="95"/>
      <c r="S2258" s="95"/>
      <c r="T2258" s="96">
        <v>22453</v>
      </c>
      <c r="U2258" s="95"/>
      <c r="V2258" s="95" t="s">
        <v>1100</v>
      </c>
      <c r="W2258" s="92" t="str">
        <f t="shared" si="154"/>
        <v>Martin Requeni,Concepcion</v>
      </c>
      <c r="X2258" s="95">
        <f t="shared" si="152"/>
        <v>7</v>
      </c>
      <c r="Y2258" s="95">
        <f t="shared" si="153"/>
        <v>2022</v>
      </c>
      <c r="Z2258" s="97" t="s">
        <v>265</v>
      </c>
      <c r="AA2258" t="str">
        <f>IF(Tabla1[[#This Row],[Kerma en aire acumulada (Gy)]]&gt;1,SUMIF(G:G,Tabla1[[#This Row],[SIP]],I:I)-Tabla1[[#This Row],[Kerma en aire acumulada (Gy)]],"")</f>
        <v/>
      </c>
    </row>
    <row r="2259" spans="3:27">
      <c r="C2259" s="144" t="str">
        <f t="shared" si="155"/>
        <v>Adulto</v>
      </c>
      <c r="D2259" s="95" t="s">
        <v>1001</v>
      </c>
      <c r="E2259" s="95" t="s">
        <v>3371</v>
      </c>
      <c r="F2259" s="95" t="s">
        <v>356</v>
      </c>
      <c r="G2259" s="95">
        <v>2919885</v>
      </c>
      <c r="H2259" s="96">
        <v>44755</v>
      </c>
      <c r="I2259" s="95">
        <v>4.6000000000000001E-4</v>
      </c>
      <c r="J2259" s="95"/>
      <c r="K2259" s="95"/>
      <c r="L2259" s="95"/>
      <c r="M2259" s="95"/>
      <c r="N2259" s="95"/>
      <c r="O2259" s="95"/>
      <c r="P2259" s="95"/>
      <c r="Q2259" s="95"/>
      <c r="R2259" s="95"/>
      <c r="S2259" s="95"/>
      <c r="T2259" s="96">
        <v>21171</v>
      </c>
      <c r="U2259" s="95"/>
      <c r="V2259" s="95" t="s">
        <v>1100</v>
      </c>
      <c r="W2259" s="92" t="str">
        <f t="shared" si="154"/>
        <v>Perez Cerveron,Manuel</v>
      </c>
      <c r="X2259" s="95">
        <f t="shared" si="152"/>
        <v>7</v>
      </c>
      <c r="Y2259" s="95">
        <f t="shared" si="153"/>
        <v>2022</v>
      </c>
      <c r="Z2259" s="97" t="s">
        <v>265</v>
      </c>
      <c r="AA2259" t="str">
        <f>IF(Tabla1[[#This Row],[Kerma en aire acumulada (Gy)]]&gt;1,SUMIF(G:G,Tabla1[[#This Row],[SIP]],I:I)-Tabla1[[#This Row],[Kerma en aire acumulada (Gy)]],"")</f>
        <v/>
      </c>
    </row>
    <row r="2260" spans="3:27">
      <c r="C2260" s="94" t="str">
        <f t="shared" si="155"/>
        <v>Adulto</v>
      </c>
      <c r="D2260" s="95" t="s">
        <v>115</v>
      </c>
      <c r="E2260" s="95" t="s">
        <v>2143</v>
      </c>
      <c r="F2260" s="95" t="s">
        <v>3370</v>
      </c>
      <c r="G2260" s="95">
        <v>191125</v>
      </c>
      <c r="H2260" s="96">
        <v>44755</v>
      </c>
      <c r="I2260" s="95">
        <v>0.22331000000000001</v>
      </c>
      <c r="J2260" s="95"/>
      <c r="K2260" s="95"/>
      <c r="L2260" s="95"/>
      <c r="M2260" s="95"/>
      <c r="N2260" s="95"/>
      <c r="O2260" s="95"/>
      <c r="P2260" s="95"/>
      <c r="Q2260" s="95"/>
      <c r="R2260" s="95"/>
      <c r="S2260" s="95"/>
      <c r="T2260" s="96">
        <v>22605</v>
      </c>
      <c r="U2260" s="95"/>
      <c r="V2260" s="95" t="s">
        <v>1711</v>
      </c>
      <c r="W2260" s="92" t="str">
        <f t="shared" si="154"/>
        <v>Pardo Dominguez,Gonzalo</v>
      </c>
      <c r="X2260" s="95">
        <f t="shared" si="152"/>
        <v>7</v>
      </c>
      <c r="Y2260" s="95">
        <f t="shared" si="153"/>
        <v>2022</v>
      </c>
      <c r="Z2260" s="97" t="s">
        <v>265</v>
      </c>
      <c r="AA2260" t="str">
        <f>IF(Tabla1[[#This Row],[Kerma en aire acumulada (Gy)]]&gt;1,SUMIF(G:G,Tabla1[[#This Row],[SIP]],I:I)-Tabla1[[#This Row],[Kerma en aire acumulada (Gy)]],"")</f>
        <v/>
      </c>
    </row>
    <row r="2261" spans="3:27">
      <c r="C2261" s="144" t="str">
        <f t="shared" si="155"/>
        <v>Adulto</v>
      </c>
      <c r="D2261" s="95" t="s">
        <v>3125</v>
      </c>
      <c r="E2261" s="95" t="s">
        <v>2171</v>
      </c>
      <c r="F2261" s="95" t="s">
        <v>2189</v>
      </c>
      <c r="G2261" s="95">
        <v>2610857</v>
      </c>
      <c r="H2261" s="96">
        <v>44755</v>
      </c>
      <c r="I2261" s="95">
        <v>1.14E-3</v>
      </c>
      <c r="J2261" s="95"/>
      <c r="K2261" s="95"/>
      <c r="L2261" s="95"/>
      <c r="M2261" s="95"/>
      <c r="N2261" s="95"/>
      <c r="O2261" s="95"/>
      <c r="P2261" s="95"/>
      <c r="Q2261" s="95"/>
      <c r="R2261" s="95"/>
      <c r="S2261" s="95"/>
      <c r="T2261" s="96">
        <v>20018</v>
      </c>
      <c r="U2261" s="95"/>
      <c r="V2261" s="95" t="s">
        <v>1100</v>
      </c>
      <c r="W2261" s="92" t="str">
        <f t="shared" si="154"/>
        <v>Monteagudo Suarez,Juan Jose</v>
      </c>
      <c r="X2261" s="95">
        <f t="shared" si="152"/>
        <v>7</v>
      </c>
      <c r="Y2261" s="95">
        <f t="shared" si="153"/>
        <v>2022</v>
      </c>
      <c r="Z2261" s="97" t="s">
        <v>265</v>
      </c>
      <c r="AA2261" t="str">
        <f>IF(Tabla1[[#This Row],[Kerma en aire acumulada (Gy)]]&gt;1,SUMIF(G:G,Tabla1[[#This Row],[SIP]],I:I)-Tabla1[[#This Row],[Kerma en aire acumulada (Gy)]],"")</f>
        <v/>
      </c>
    </row>
    <row r="2262" spans="3:27">
      <c r="C2262" s="144" t="str">
        <f t="shared" si="155"/>
        <v>Adulto</v>
      </c>
      <c r="D2262" s="95" t="s">
        <v>3368</v>
      </c>
      <c r="E2262" s="95" t="s">
        <v>90</v>
      </c>
      <c r="F2262" s="95" t="s">
        <v>3369</v>
      </c>
      <c r="G2262" s="95">
        <v>3172365</v>
      </c>
      <c r="H2262" s="96">
        <v>44755</v>
      </c>
      <c r="I2262" s="95">
        <v>0.16508</v>
      </c>
      <c r="J2262" s="95"/>
      <c r="K2262" s="95"/>
      <c r="L2262" s="95"/>
      <c r="M2262" s="95"/>
      <c r="N2262" s="95"/>
      <c r="O2262" s="95"/>
      <c r="P2262" s="95"/>
      <c r="Q2262" s="95"/>
      <c r="R2262" s="95"/>
      <c r="S2262" s="95"/>
      <c r="T2262" s="96">
        <v>13653</v>
      </c>
      <c r="U2262" s="95"/>
      <c r="V2262" s="95" t="s">
        <v>1711</v>
      </c>
      <c r="W2262" s="92" t="str">
        <f t="shared" si="154"/>
        <v>Villarejo Nieto,Felipa</v>
      </c>
      <c r="X2262" s="95">
        <f t="shared" si="152"/>
        <v>7</v>
      </c>
      <c r="Y2262" s="95">
        <f t="shared" si="153"/>
        <v>2022</v>
      </c>
      <c r="Z2262" s="97" t="s">
        <v>265</v>
      </c>
      <c r="AA2262" t="str">
        <f>IF(Tabla1[[#This Row],[Kerma en aire acumulada (Gy)]]&gt;1,SUMIF(G:G,Tabla1[[#This Row],[SIP]],I:I)-Tabla1[[#This Row],[Kerma en aire acumulada (Gy)]],"")</f>
        <v/>
      </c>
    </row>
    <row r="2263" spans="3:27">
      <c r="C2263" s="144" t="str">
        <f t="shared" si="155"/>
        <v>Adulto</v>
      </c>
      <c r="D2263" s="95" t="s">
        <v>3384</v>
      </c>
      <c r="E2263" s="95" t="s">
        <v>960</v>
      </c>
      <c r="F2263" s="95" t="s">
        <v>68</v>
      </c>
      <c r="G2263" s="95">
        <v>2818506</v>
      </c>
      <c r="H2263" s="96">
        <v>44756</v>
      </c>
      <c r="I2263" s="95">
        <v>0.71287999999999996</v>
      </c>
      <c r="J2263" s="95"/>
      <c r="K2263" s="95"/>
      <c r="L2263" s="95"/>
      <c r="M2263" s="95"/>
      <c r="N2263" s="95"/>
      <c r="O2263" s="95"/>
      <c r="P2263" s="95"/>
      <c r="Q2263" s="95"/>
      <c r="R2263" s="95"/>
      <c r="S2263" s="95"/>
      <c r="T2263" s="96">
        <v>21679</v>
      </c>
      <c r="U2263" s="95"/>
      <c r="V2263" s="95" t="s">
        <v>2383</v>
      </c>
      <c r="W2263" s="92" t="str">
        <f t="shared" si="154"/>
        <v>de Rueda Lopez,Juan</v>
      </c>
      <c r="X2263" s="95">
        <f t="shared" si="152"/>
        <v>7</v>
      </c>
      <c r="Y2263" s="95">
        <f t="shared" si="153"/>
        <v>2022</v>
      </c>
      <c r="Z2263" s="97" t="s">
        <v>266</v>
      </c>
      <c r="AA2263" t="str">
        <f>IF(Tabla1[[#This Row],[Kerma en aire acumulada (Gy)]]&gt;1,SUMIF(G:G,Tabla1[[#This Row],[SIP]],I:I)-Tabla1[[#This Row],[Kerma en aire acumulada (Gy)]],"")</f>
        <v/>
      </c>
    </row>
    <row r="2264" spans="3:27">
      <c r="C2264" s="144" t="str">
        <f t="shared" si="155"/>
        <v>Adulto</v>
      </c>
      <c r="D2264" s="95" t="s">
        <v>3080</v>
      </c>
      <c r="E2264" s="95" t="s">
        <v>1103</v>
      </c>
      <c r="F2264" s="95" t="s">
        <v>1155</v>
      </c>
      <c r="G2264" s="95">
        <v>3127372</v>
      </c>
      <c r="H2264" s="96">
        <v>44756</v>
      </c>
      <c r="I2264" s="95">
        <v>0.59233000000000002</v>
      </c>
      <c r="J2264" s="95"/>
      <c r="K2264" s="95"/>
      <c r="L2264" s="95"/>
      <c r="M2264" s="95"/>
      <c r="N2264" s="95"/>
      <c r="O2264" s="95"/>
      <c r="P2264" s="95"/>
      <c r="Q2264" s="95"/>
      <c r="R2264" s="95"/>
      <c r="S2264" s="95"/>
      <c r="T2264" s="96">
        <v>11303</v>
      </c>
      <c r="U2264" s="95"/>
      <c r="V2264" s="95" t="s">
        <v>2383</v>
      </c>
      <c r="W2264" s="92" t="str">
        <f t="shared" si="154"/>
        <v>Forner Flores,Maria</v>
      </c>
      <c r="X2264" s="95">
        <f t="shared" si="152"/>
        <v>7</v>
      </c>
      <c r="Y2264" s="95">
        <f t="shared" si="153"/>
        <v>2022</v>
      </c>
      <c r="Z2264" s="97" t="s">
        <v>266</v>
      </c>
      <c r="AA2264" t="str">
        <f>IF(Tabla1[[#This Row],[Kerma en aire acumulada (Gy)]]&gt;1,SUMIF(G:G,Tabla1[[#This Row],[SIP]],I:I)-Tabla1[[#This Row],[Kerma en aire acumulada (Gy)]],"")</f>
        <v/>
      </c>
    </row>
    <row r="2265" spans="3:27">
      <c r="C2265" s="144" t="str">
        <f t="shared" si="155"/>
        <v>Adulto</v>
      </c>
      <c r="D2265" s="95" t="s">
        <v>1261</v>
      </c>
      <c r="E2265" s="95" t="s">
        <v>948</v>
      </c>
      <c r="F2265" s="95" t="s">
        <v>3383</v>
      </c>
      <c r="G2265" s="95">
        <v>5258228</v>
      </c>
      <c r="H2265" s="96">
        <v>44756</v>
      </c>
      <c r="I2265" s="95">
        <v>0.54354000000000002</v>
      </c>
      <c r="J2265" s="95"/>
      <c r="K2265" s="95"/>
      <c r="L2265" s="95"/>
      <c r="M2265" s="95"/>
      <c r="N2265" s="95"/>
      <c r="O2265" s="95"/>
      <c r="P2265" s="95"/>
      <c r="Q2265" s="95"/>
      <c r="R2265" s="95"/>
      <c r="S2265" s="95"/>
      <c r="T2265" s="96">
        <v>25048</v>
      </c>
      <c r="U2265" s="95"/>
      <c r="V2265" s="95" t="s">
        <v>2383</v>
      </c>
      <c r="W2265" s="92" t="str">
        <f t="shared" si="154"/>
        <v>Hernandez Martinez,Antonio Vte</v>
      </c>
      <c r="X2265" s="95">
        <f t="shared" si="152"/>
        <v>7</v>
      </c>
      <c r="Y2265" s="95">
        <f t="shared" si="153"/>
        <v>2022</v>
      </c>
      <c r="Z2265" s="97" t="s">
        <v>266</v>
      </c>
      <c r="AA2265" t="str">
        <f>IF(Tabla1[[#This Row],[Kerma en aire acumulada (Gy)]]&gt;1,SUMIF(G:G,Tabla1[[#This Row],[SIP]],I:I)-Tabla1[[#This Row],[Kerma en aire acumulada (Gy)]],"")</f>
        <v/>
      </c>
    </row>
    <row r="2266" spans="3:27">
      <c r="C2266" s="94" t="str">
        <f t="shared" si="155"/>
        <v>Adulto</v>
      </c>
      <c r="D2266" s="95" t="s">
        <v>1857</v>
      </c>
      <c r="E2266" s="95" t="s">
        <v>3382</v>
      </c>
      <c r="F2266" s="95" t="s">
        <v>715</v>
      </c>
      <c r="G2266" s="95">
        <v>2400073</v>
      </c>
      <c r="H2266" s="96">
        <v>44756</v>
      </c>
      <c r="I2266" s="95">
        <v>0.40792</v>
      </c>
      <c r="J2266" s="95"/>
      <c r="K2266" s="95"/>
      <c r="L2266" s="95"/>
      <c r="M2266" s="95"/>
      <c r="N2266" s="95"/>
      <c r="O2266" s="95"/>
      <c r="P2266" s="95"/>
      <c r="Q2266" s="95"/>
      <c r="R2266" s="95"/>
      <c r="S2266" s="95"/>
      <c r="T2266" s="96">
        <v>20525</v>
      </c>
      <c r="U2266" s="95"/>
      <c r="V2266" s="95" t="s">
        <v>2383</v>
      </c>
      <c r="W2266" s="92" t="str">
        <f t="shared" si="154"/>
        <v>Camacho Sinisterra,Amparo</v>
      </c>
      <c r="X2266" s="95">
        <f t="shared" si="152"/>
        <v>7</v>
      </c>
      <c r="Y2266" s="95">
        <f t="shared" si="153"/>
        <v>2022</v>
      </c>
      <c r="Z2266" s="97" t="s">
        <v>266</v>
      </c>
      <c r="AA2266" t="str">
        <f>IF(Tabla1[[#This Row],[Kerma en aire acumulada (Gy)]]&gt;1,SUMIF(G:G,Tabla1[[#This Row],[SIP]],I:I)-Tabla1[[#This Row],[Kerma en aire acumulada (Gy)]],"")</f>
        <v/>
      </c>
    </row>
    <row r="2267" spans="3:27">
      <c r="C2267" s="144" t="str">
        <f t="shared" si="155"/>
        <v>Adulto</v>
      </c>
      <c r="D2267" s="95" t="s">
        <v>3381</v>
      </c>
      <c r="E2267" s="95"/>
      <c r="F2267" s="95" t="s">
        <v>65</v>
      </c>
      <c r="G2267" s="95">
        <v>7592476</v>
      </c>
      <c r="H2267" s="96">
        <v>44756</v>
      </c>
      <c r="I2267" s="95">
        <v>0.19053999999999999</v>
      </c>
      <c r="J2267" s="95"/>
      <c r="K2267" s="95"/>
      <c r="L2267" s="95"/>
      <c r="M2267" s="95"/>
      <c r="N2267" s="95"/>
      <c r="O2267" s="95"/>
      <c r="P2267" s="95"/>
      <c r="Q2267" s="95"/>
      <c r="R2267" s="95"/>
      <c r="S2267" s="95"/>
      <c r="T2267" s="96">
        <v>28126</v>
      </c>
      <c r="U2267" s="95"/>
      <c r="V2267" s="95" t="s">
        <v>2383</v>
      </c>
      <c r="W2267" s="92" t="str">
        <f t="shared" si="154"/>
        <v>El Aouny ,Hamid</v>
      </c>
      <c r="X2267" s="95">
        <f t="shared" si="152"/>
        <v>7</v>
      </c>
      <c r="Y2267" s="95">
        <f t="shared" si="153"/>
        <v>2022</v>
      </c>
      <c r="Z2267" s="97" t="s">
        <v>266</v>
      </c>
      <c r="AA2267" t="str">
        <f>IF(Tabla1[[#This Row],[Kerma en aire acumulada (Gy)]]&gt;1,SUMIF(G:G,Tabla1[[#This Row],[SIP]],I:I)-Tabla1[[#This Row],[Kerma en aire acumulada (Gy)]],"")</f>
        <v/>
      </c>
    </row>
    <row r="2268" spans="3:27">
      <c r="C2268" s="144" t="str">
        <f t="shared" si="155"/>
        <v>Pediátrico</v>
      </c>
      <c r="D2268" s="95" t="s">
        <v>948</v>
      </c>
      <c r="E2268" s="95" t="s">
        <v>3379</v>
      </c>
      <c r="F2268" s="95" t="s">
        <v>3380</v>
      </c>
      <c r="G2268" s="95">
        <v>5671991</v>
      </c>
      <c r="H2268" s="96">
        <v>44756</v>
      </c>
      <c r="I2268" s="95">
        <v>0.17247999999999999</v>
      </c>
      <c r="J2268" s="95"/>
      <c r="K2268" s="95"/>
      <c r="L2268" s="95"/>
      <c r="M2268" s="95"/>
      <c r="N2268" s="95"/>
      <c r="O2268" s="95"/>
      <c r="P2268" s="95"/>
      <c r="Q2268" s="95"/>
      <c r="R2268" s="95"/>
      <c r="S2268" s="95"/>
      <c r="T2268" s="96">
        <v>38332</v>
      </c>
      <c r="U2268" s="95"/>
      <c r="V2268" s="95" t="s">
        <v>1132</v>
      </c>
      <c r="W2268" s="92" t="str">
        <f t="shared" si="154"/>
        <v>Martinez Carrera,Aroha Pamela</v>
      </c>
      <c r="X2268" s="95">
        <f t="shared" si="152"/>
        <v>7</v>
      </c>
      <c r="Y2268" s="95">
        <f t="shared" si="153"/>
        <v>2022</v>
      </c>
      <c r="Z2268" s="97" t="s">
        <v>265</v>
      </c>
      <c r="AA2268" t="str">
        <f>IF(Tabla1[[#This Row],[Kerma en aire acumulada (Gy)]]&gt;1,SUMIF(G:G,Tabla1[[#This Row],[SIP]],I:I)-Tabla1[[#This Row],[Kerma en aire acumulada (Gy)]],"")</f>
        <v/>
      </c>
    </row>
    <row r="2269" spans="3:27">
      <c r="C2269" s="144" t="str">
        <f t="shared" si="155"/>
        <v>Adulto</v>
      </c>
      <c r="D2269" s="95" t="s">
        <v>772</v>
      </c>
      <c r="E2269" s="95" t="s">
        <v>962</v>
      </c>
      <c r="F2269" s="95" t="s">
        <v>322</v>
      </c>
      <c r="G2269" s="95">
        <v>3380340</v>
      </c>
      <c r="H2269" s="96">
        <v>44756</v>
      </c>
      <c r="I2269" s="95">
        <v>3.0839999999999999E-2</v>
      </c>
      <c r="J2269" s="95"/>
      <c r="K2269" s="95"/>
      <c r="L2269" s="95"/>
      <c r="M2269" s="95"/>
      <c r="N2269" s="95"/>
      <c r="O2269" s="95"/>
      <c r="P2269" s="95"/>
      <c r="Q2269" s="95"/>
      <c r="R2269" s="95"/>
      <c r="S2269" s="95"/>
      <c r="T2269" s="96">
        <v>14258</v>
      </c>
      <c r="U2269" s="95"/>
      <c r="V2269" s="95" t="s">
        <v>1742</v>
      </c>
      <c r="W2269" s="92" t="str">
        <f t="shared" si="154"/>
        <v>Sanchez Garcia,Juana</v>
      </c>
      <c r="X2269" s="95">
        <f t="shared" si="152"/>
        <v>7</v>
      </c>
      <c r="Y2269" s="95">
        <f t="shared" si="153"/>
        <v>2022</v>
      </c>
      <c r="Z2269" s="97" t="s">
        <v>265</v>
      </c>
      <c r="AA2269" t="str">
        <f>IF(Tabla1[[#This Row],[Kerma en aire acumulada (Gy)]]&gt;1,SUMIF(G:G,Tabla1[[#This Row],[SIP]],I:I)-Tabla1[[#This Row],[Kerma en aire acumulada (Gy)]],"")</f>
        <v/>
      </c>
    </row>
    <row r="2270" spans="3:27">
      <c r="C2270" s="144" t="str">
        <f t="shared" si="155"/>
        <v>Adulto</v>
      </c>
      <c r="D2270" s="95" t="s">
        <v>615</v>
      </c>
      <c r="E2270" s="95" t="s">
        <v>3378</v>
      </c>
      <c r="F2270" s="95" t="s">
        <v>20</v>
      </c>
      <c r="G2270" s="95">
        <v>3312813</v>
      </c>
      <c r="H2270" s="96">
        <v>44756</v>
      </c>
      <c r="I2270" s="95">
        <v>9.5560000000000006E-2</v>
      </c>
      <c r="J2270" s="95"/>
      <c r="K2270" s="95"/>
      <c r="L2270" s="95"/>
      <c r="M2270" s="95"/>
      <c r="N2270" s="95"/>
      <c r="O2270" s="95"/>
      <c r="P2270" s="95"/>
      <c r="Q2270" s="95"/>
      <c r="R2270" s="95"/>
      <c r="S2270" s="95"/>
      <c r="T2270" s="96">
        <v>14949</v>
      </c>
      <c r="U2270" s="95"/>
      <c r="V2270" s="95" t="s">
        <v>1895</v>
      </c>
      <c r="W2270" s="92" t="str">
        <f t="shared" si="154"/>
        <v>Mancebo Arnedo,Antonio</v>
      </c>
      <c r="X2270" s="95">
        <f t="shared" si="152"/>
        <v>7</v>
      </c>
      <c r="Y2270" s="95">
        <f t="shared" si="153"/>
        <v>2022</v>
      </c>
      <c r="Z2270" s="97" t="s">
        <v>265</v>
      </c>
      <c r="AA2270" t="str">
        <f>IF(Tabla1[[#This Row],[Kerma en aire acumulada (Gy)]]&gt;1,SUMIF(G:G,Tabla1[[#This Row],[SIP]],I:I)-Tabla1[[#This Row],[Kerma en aire acumulada (Gy)]],"")</f>
        <v/>
      </c>
    </row>
    <row r="2271" spans="3:27">
      <c r="C2271" s="144" t="str">
        <f t="shared" si="155"/>
        <v>Adulto</v>
      </c>
      <c r="D2271" s="145" t="s">
        <v>3397</v>
      </c>
      <c r="E2271" s="145" t="s">
        <v>1090</v>
      </c>
      <c r="F2271" s="145" t="s">
        <v>635</v>
      </c>
      <c r="G2271" s="145">
        <v>3180543</v>
      </c>
      <c r="H2271" s="96">
        <v>44757</v>
      </c>
      <c r="I2271" s="145">
        <v>6.0449999999999997E-2</v>
      </c>
      <c r="J2271" s="145"/>
      <c r="K2271" s="145"/>
      <c r="L2271" s="145"/>
      <c r="M2271" s="145"/>
      <c r="N2271" s="145"/>
      <c r="O2271" s="145"/>
      <c r="P2271" s="145"/>
      <c r="Q2271" s="145"/>
      <c r="R2271" s="145"/>
      <c r="S2271" s="145"/>
      <c r="T2271" s="146">
        <v>15675</v>
      </c>
      <c r="U2271" s="145"/>
      <c r="V2271" s="145" t="s">
        <v>3077</v>
      </c>
      <c r="W2271" s="92" t="str">
        <f t="shared" ref="W2271:W2302" si="156">CONCATENATE(D2271,$A$591,E2271,",",F2271)</f>
        <v>Santafosa Ibañez,Enrique</v>
      </c>
      <c r="X2271" s="95">
        <f t="shared" si="152"/>
        <v>7</v>
      </c>
      <c r="Y2271" s="95">
        <f t="shared" si="153"/>
        <v>2022</v>
      </c>
      <c r="Z2271" s="153" t="s">
        <v>2238</v>
      </c>
      <c r="AA2271" t="str">
        <f>IF(Tabla1[[#This Row],[Kerma en aire acumulada (Gy)]]&gt;1,SUMIF(G:G,Tabla1[[#This Row],[SIP]],I:I)-Tabla1[[#This Row],[Kerma en aire acumulada (Gy)]],"")</f>
        <v/>
      </c>
    </row>
    <row r="2272" spans="3:27">
      <c r="C2272" s="144" t="str">
        <f t="shared" si="155"/>
        <v>Adulto</v>
      </c>
      <c r="D2272" s="145" t="s">
        <v>3396</v>
      </c>
      <c r="E2272" s="145" t="s">
        <v>2585</v>
      </c>
      <c r="F2272" s="145" t="s">
        <v>861</v>
      </c>
      <c r="G2272" s="145">
        <v>1187462</v>
      </c>
      <c r="H2272" s="96">
        <v>44757</v>
      </c>
      <c r="I2272" s="145">
        <v>0.24940000000000001</v>
      </c>
      <c r="J2272" s="145"/>
      <c r="K2272" s="145"/>
      <c r="L2272" s="145"/>
      <c r="M2272" s="145"/>
      <c r="N2272" s="145"/>
      <c r="O2272" s="145"/>
      <c r="P2272" s="145"/>
      <c r="Q2272" s="145"/>
      <c r="R2272" s="145"/>
      <c r="S2272" s="145"/>
      <c r="T2272" s="146">
        <v>26154</v>
      </c>
      <c r="U2272" s="145"/>
      <c r="V2272" s="95" t="s">
        <v>2383</v>
      </c>
      <c r="W2272" s="92" t="str">
        <f t="shared" si="156"/>
        <v>Galera Navalon,Juan Carlos</v>
      </c>
      <c r="X2272" s="95">
        <f t="shared" si="152"/>
        <v>7</v>
      </c>
      <c r="Y2272" s="95">
        <f t="shared" si="153"/>
        <v>2022</v>
      </c>
      <c r="Z2272" s="153" t="s">
        <v>266</v>
      </c>
      <c r="AA2272" t="str">
        <f>IF(Tabla1[[#This Row],[Kerma en aire acumulada (Gy)]]&gt;1,SUMIF(G:G,Tabla1[[#This Row],[SIP]],I:I)-Tabla1[[#This Row],[Kerma en aire acumulada (Gy)]],"")</f>
        <v/>
      </c>
    </row>
    <row r="2273" spans="3:27">
      <c r="C2273" s="144" t="str">
        <f t="shared" si="155"/>
        <v>Adulto</v>
      </c>
      <c r="D2273" s="145" t="s">
        <v>1764</v>
      </c>
      <c r="E2273" s="145" t="s">
        <v>2342</v>
      </c>
      <c r="F2273" s="145" t="s">
        <v>19</v>
      </c>
      <c r="G2273" s="145">
        <v>3269090</v>
      </c>
      <c r="H2273" s="96">
        <v>44757</v>
      </c>
      <c r="I2273" s="145">
        <v>0.97599000000000002</v>
      </c>
      <c r="J2273" s="145"/>
      <c r="K2273" s="145"/>
      <c r="L2273" s="145"/>
      <c r="M2273" s="145"/>
      <c r="N2273" s="145"/>
      <c r="O2273" s="145"/>
      <c r="P2273" s="145"/>
      <c r="Q2273" s="145"/>
      <c r="R2273" s="145"/>
      <c r="S2273" s="145"/>
      <c r="T2273" s="146">
        <v>20266</v>
      </c>
      <c r="U2273" s="145"/>
      <c r="V2273" s="95" t="s">
        <v>2383</v>
      </c>
      <c r="W2273" s="92" t="str">
        <f t="shared" si="156"/>
        <v>Vaño Domenech,Elvira</v>
      </c>
      <c r="X2273" s="95">
        <f t="shared" si="152"/>
        <v>7</v>
      </c>
      <c r="Y2273" s="95">
        <f t="shared" si="153"/>
        <v>2022</v>
      </c>
      <c r="Z2273" s="153" t="s">
        <v>266</v>
      </c>
      <c r="AA2273" t="str">
        <f>IF(Tabla1[[#This Row],[Kerma en aire acumulada (Gy)]]&gt;1,SUMIF(G:G,Tabla1[[#This Row],[SIP]],I:I)-Tabla1[[#This Row],[Kerma en aire acumulada (Gy)]],"")</f>
        <v/>
      </c>
    </row>
    <row r="2274" spans="3:27">
      <c r="C2274" s="144" t="str">
        <f t="shared" si="155"/>
        <v>Adulto</v>
      </c>
      <c r="D2274" s="145" t="s">
        <v>3394</v>
      </c>
      <c r="E2274" s="145"/>
      <c r="F2274" s="145" t="s">
        <v>3395</v>
      </c>
      <c r="G2274" s="145">
        <v>5227994</v>
      </c>
      <c r="H2274" s="96">
        <v>44757</v>
      </c>
      <c r="I2274" s="145">
        <v>0.24689</v>
      </c>
      <c r="J2274" s="145"/>
      <c r="K2274" s="145"/>
      <c r="L2274" s="145"/>
      <c r="M2274" s="145"/>
      <c r="N2274" s="145"/>
      <c r="O2274" s="145"/>
      <c r="P2274" s="145"/>
      <c r="Q2274" s="145"/>
      <c r="R2274" s="145"/>
      <c r="S2274" s="145"/>
      <c r="T2274" s="146">
        <v>27399</v>
      </c>
      <c r="U2274" s="145"/>
      <c r="V2274" s="95" t="s">
        <v>2383</v>
      </c>
      <c r="W2274" s="92" t="str">
        <f t="shared" si="156"/>
        <v>Sevov ,Sevo Dimitrov</v>
      </c>
      <c r="X2274" s="95">
        <f t="shared" si="152"/>
        <v>7</v>
      </c>
      <c r="Y2274" s="95">
        <f t="shared" si="153"/>
        <v>2022</v>
      </c>
      <c r="Z2274" s="153" t="s">
        <v>266</v>
      </c>
      <c r="AA2274" t="str">
        <f>IF(Tabla1[[#This Row],[Kerma en aire acumulada (Gy)]]&gt;1,SUMIF(G:G,Tabla1[[#This Row],[SIP]],I:I)-Tabla1[[#This Row],[Kerma en aire acumulada (Gy)]],"")</f>
        <v/>
      </c>
    </row>
    <row r="2275" spans="3:27">
      <c r="C2275" s="144" t="str">
        <f t="shared" si="155"/>
        <v>Adulto</v>
      </c>
      <c r="D2275" s="145" t="s">
        <v>1841</v>
      </c>
      <c r="E2275" s="145" t="s">
        <v>539</v>
      </c>
      <c r="F2275" s="145" t="s">
        <v>585</v>
      </c>
      <c r="G2275" s="145">
        <v>4695491</v>
      </c>
      <c r="H2275" s="96">
        <v>44757</v>
      </c>
      <c r="I2275" s="145">
        <v>7.0069999999999993E-2</v>
      </c>
      <c r="J2275" s="145"/>
      <c r="K2275" s="145"/>
      <c r="L2275" s="145"/>
      <c r="M2275" s="145"/>
      <c r="N2275" s="145"/>
      <c r="O2275" s="145"/>
      <c r="P2275" s="145"/>
      <c r="Q2275" s="145"/>
      <c r="R2275" s="145"/>
      <c r="S2275" s="145"/>
      <c r="T2275" s="146">
        <v>18356</v>
      </c>
      <c r="U2275" s="145"/>
      <c r="V2275" s="95" t="s">
        <v>2383</v>
      </c>
      <c r="W2275" s="92" t="str">
        <f t="shared" si="156"/>
        <v>Rueda Yuste,Ricardo</v>
      </c>
      <c r="X2275" s="95">
        <f t="shared" si="152"/>
        <v>7</v>
      </c>
      <c r="Y2275" s="95">
        <f t="shared" si="153"/>
        <v>2022</v>
      </c>
      <c r="Z2275" s="153" t="s">
        <v>266</v>
      </c>
      <c r="AA2275" t="str">
        <f>IF(Tabla1[[#This Row],[Kerma en aire acumulada (Gy)]]&gt;1,SUMIF(G:G,Tabla1[[#This Row],[SIP]],I:I)-Tabla1[[#This Row],[Kerma en aire acumulada (Gy)]],"")</f>
        <v/>
      </c>
    </row>
    <row r="2276" spans="3:27">
      <c r="C2276" s="144" t="str">
        <f t="shared" si="155"/>
        <v>Adulto</v>
      </c>
      <c r="D2276" s="95" t="s">
        <v>3392</v>
      </c>
      <c r="E2276" s="95"/>
      <c r="F2276" s="95" t="s">
        <v>3393</v>
      </c>
      <c r="G2276" s="95">
        <v>5413174</v>
      </c>
      <c r="H2276" s="96">
        <v>44757</v>
      </c>
      <c r="I2276" s="95">
        <v>0.1026</v>
      </c>
      <c r="J2276" s="95"/>
      <c r="K2276" s="95"/>
      <c r="L2276" s="95"/>
      <c r="M2276" s="95"/>
      <c r="N2276" s="95"/>
      <c r="O2276" s="95"/>
      <c r="P2276" s="95"/>
      <c r="Q2276" s="95"/>
      <c r="R2276" s="95"/>
      <c r="S2276" s="95"/>
      <c r="T2276" s="96">
        <v>22745</v>
      </c>
      <c r="U2276" s="95"/>
      <c r="V2276" s="95" t="s">
        <v>2383</v>
      </c>
      <c r="W2276" s="92" t="str">
        <f t="shared" si="156"/>
        <v>Yordanov ,Georgi Yordanov</v>
      </c>
      <c r="X2276" s="95">
        <f t="shared" si="152"/>
        <v>7</v>
      </c>
      <c r="Y2276" s="95">
        <f t="shared" si="153"/>
        <v>2022</v>
      </c>
      <c r="Z2276" s="153" t="s">
        <v>266</v>
      </c>
      <c r="AA2276" t="str">
        <f>IF(Tabla1[[#This Row],[Kerma en aire acumulada (Gy)]]&gt;1,SUMIF(G:G,Tabla1[[#This Row],[SIP]],I:I)-Tabla1[[#This Row],[Kerma en aire acumulada (Gy)]],"")</f>
        <v/>
      </c>
    </row>
    <row r="2277" spans="3:27">
      <c r="C2277" s="144" t="str">
        <f t="shared" si="155"/>
        <v>Adulto</v>
      </c>
      <c r="D2277" s="95" t="s">
        <v>960</v>
      </c>
      <c r="E2277" s="95" t="s">
        <v>3391</v>
      </c>
      <c r="F2277" s="95" t="s">
        <v>54</v>
      </c>
      <c r="G2277" s="95">
        <v>3179270</v>
      </c>
      <c r="H2277" s="96">
        <v>44757</v>
      </c>
      <c r="I2277" s="95">
        <v>0.96140999999999999</v>
      </c>
      <c r="J2277" s="95"/>
      <c r="K2277" s="95"/>
      <c r="L2277" s="95"/>
      <c r="M2277" s="95"/>
      <c r="N2277" s="95"/>
      <c r="O2277" s="95"/>
      <c r="P2277" s="95"/>
      <c r="Q2277" s="95"/>
      <c r="R2277" s="95"/>
      <c r="S2277" s="95"/>
      <c r="T2277" s="96">
        <v>14822</v>
      </c>
      <c r="U2277" s="95"/>
      <c r="V2277" s="95" t="s">
        <v>2383</v>
      </c>
      <c r="W2277" s="92" t="str">
        <f t="shared" si="156"/>
        <v>Lopez Mucia,Isabel</v>
      </c>
      <c r="X2277" s="95">
        <f t="shared" si="152"/>
        <v>7</v>
      </c>
      <c r="Y2277" s="95">
        <f t="shared" si="153"/>
        <v>2022</v>
      </c>
      <c r="Z2277" s="153" t="s">
        <v>266</v>
      </c>
      <c r="AA2277" t="str">
        <f>IF(Tabla1[[#This Row],[Kerma en aire acumulada (Gy)]]&gt;1,SUMIF(G:G,Tabla1[[#This Row],[SIP]],I:I)-Tabla1[[#This Row],[Kerma en aire acumulada (Gy)]],"")</f>
        <v/>
      </c>
    </row>
    <row r="2278" spans="3:27">
      <c r="C2278" s="144" t="str">
        <f t="shared" si="155"/>
        <v>Adulto</v>
      </c>
      <c r="D2278" s="95" t="s">
        <v>3390</v>
      </c>
      <c r="E2278" s="95" t="s">
        <v>3044</v>
      </c>
      <c r="F2278" s="95" t="s">
        <v>2082</v>
      </c>
      <c r="G2278" s="95">
        <v>4264620</v>
      </c>
      <c r="H2278" s="96">
        <v>44757</v>
      </c>
      <c r="I2278" s="95">
        <v>0.24990999999999999</v>
      </c>
      <c r="J2278" s="95"/>
      <c r="K2278" s="95"/>
      <c r="L2278" s="95"/>
      <c r="M2278" s="95"/>
      <c r="N2278" s="95"/>
      <c r="O2278" s="95"/>
      <c r="P2278" s="95"/>
      <c r="Q2278" s="95"/>
      <c r="R2278" s="95"/>
      <c r="S2278" s="95"/>
      <c r="T2278" s="96">
        <v>12715</v>
      </c>
      <c r="U2278" s="95"/>
      <c r="V2278" s="95" t="s">
        <v>2383</v>
      </c>
      <c r="W2278" s="92" t="str">
        <f t="shared" si="156"/>
        <v>Llimera Serra,Maria Jesus</v>
      </c>
      <c r="X2278" s="95">
        <f t="shared" si="152"/>
        <v>7</v>
      </c>
      <c r="Y2278" s="95">
        <f t="shared" si="153"/>
        <v>2022</v>
      </c>
      <c r="Z2278" s="97" t="s">
        <v>266</v>
      </c>
      <c r="AA2278" t="str">
        <f>IF(Tabla1[[#This Row],[Kerma en aire acumulada (Gy)]]&gt;1,SUMIF(G:G,Tabla1[[#This Row],[SIP]],I:I)-Tabla1[[#This Row],[Kerma en aire acumulada (Gy)]],"")</f>
        <v/>
      </c>
    </row>
    <row r="2279" spans="3:27">
      <c r="C2279" s="144" t="str">
        <f t="shared" si="155"/>
        <v>Adulto</v>
      </c>
      <c r="D2279" s="95" t="s">
        <v>1316</v>
      </c>
      <c r="E2279" s="95" t="s">
        <v>3388</v>
      </c>
      <c r="F2279" s="95" t="s">
        <v>3389</v>
      </c>
      <c r="G2279" s="95">
        <v>1681877</v>
      </c>
      <c r="H2279" s="96">
        <v>44757</v>
      </c>
      <c r="I2279" s="95">
        <v>4.0000000000000002E-4</v>
      </c>
      <c r="J2279" s="95"/>
      <c r="K2279" s="95"/>
      <c r="L2279" s="95"/>
      <c r="M2279" s="95"/>
      <c r="N2279" s="95"/>
      <c r="O2279" s="95"/>
      <c r="P2279" s="95"/>
      <c r="Q2279" s="95"/>
      <c r="R2279" s="95"/>
      <c r="S2279" s="95"/>
      <c r="T2279" s="96">
        <v>27527</v>
      </c>
      <c r="U2279" s="95"/>
      <c r="V2279" s="95" t="s">
        <v>2075</v>
      </c>
      <c r="W2279" s="92" t="str">
        <f t="shared" si="156"/>
        <v>Monterde Saurina,Roberto Carlos</v>
      </c>
      <c r="X2279" s="95">
        <f t="shared" si="152"/>
        <v>7</v>
      </c>
      <c r="Y2279" s="95">
        <f t="shared" si="153"/>
        <v>2022</v>
      </c>
      <c r="Z2279" s="97" t="s">
        <v>265</v>
      </c>
      <c r="AA2279" t="str">
        <f>IF(Tabla1[[#This Row],[Kerma en aire acumulada (Gy)]]&gt;1,SUMIF(G:G,Tabla1[[#This Row],[SIP]],I:I)-Tabla1[[#This Row],[Kerma en aire acumulada (Gy)]],"")</f>
        <v/>
      </c>
    </row>
    <row r="2280" spans="3:27">
      <c r="C2280" s="144" t="str">
        <f t="shared" si="155"/>
        <v>Adulto</v>
      </c>
      <c r="D2280" s="95" t="s">
        <v>3386</v>
      </c>
      <c r="E2280" s="95" t="s">
        <v>3387</v>
      </c>
      <c r="F2280" s="95" t="s">
        <v>3064</v>
      </c>
      <c r="G2280" s="95">
        <v>3410802</v>
      </c>
      <c r="H2280" s="96">
        <v>44757</v>
      </c>
      <c r="I2280" s="95">
        <v>6.0999999999999997E-4</v>
      </c>
      <c r="J2280" s="95"/>
      <c r="K2280" s="95"/>
      <c r="L2280" s="95"/>
      <c r="M2280" s="95"/>
      <c r="N2280" s="95"/>
      <c r="O2280" s="95"/>
      <c r="P2280" s="95"/>
      <c r="Q2280" s="95"/>
      <c r="R2280" s="95"/>
      <c r="S2280" s="95"/>
      <c r="T2280" s="96">
        <v>31140</v>
      </c>
      <c r="U2280" s="95"/>
      <c r="V2280" s="95" t="s">
        <v>1100</v>
      </c>
      <c r="W2280" s="92" t="str">
        <f t="shared" si="156"/>
        <v>Silla Martorell,Alexia Niurka</v>
      </c>
      <c r="X2280" s="95">
        <f t="shared" si="152"/>
        <v>7</v>
      </c>
      <c r="Y2280" s="95">
        <f t="shared" si="153"/>
        <v>2022</v>
      </c>
      <c r="Z2280" s="97" t="s">
        <v>265</v>
      </c>
      <c r="AA2280" t="str">
        <f>IF(Tabla1[[#This Row],[Kerma en aire acumulada (Gy)]]&gt;1,SUMIF(G:G,Tabla1[[#This Row],[SIP]],I:I)-Tabla1[[#This Row],[Kerma en aire acumulada (Gy)]],"")</f>
        <v/>
      </c>
    </row>
    <row r="2281" spans="3:27">
      <c r="C2281" s="144" t="str">
        <f t="shared" si="155"/>
        <v>Adulto</v>
      </c>
      <c r="D2281" s="95" t="s">
        <v>3385</v>
      </c>
      <c r="E2281" s="95" t="s">
        <v>2064</v>
      </c>
      <c r="F2281" s="95" t="s">
        <v>2065</v>
      </c>
      <c r="G2281" s="95">
        <v>2334642</v>
      </c>
      <c r="H2281" s="96">
        <v>44757</v>
      </c>
      <c r="I2281" s="95">
        <v>6.3460000000000003E-2</v>
      </c>
      <c r="J2281" s="95"/>
      <c r="K2281" s="95"/>
      <c r="L2281" s="95"/>
      <c r="M2281" s="95"/>
      <c r="N2281" s="95"/>
      <c r="O2281" s="95"/>
      <c r="P2281" s="95"/>
      <c r="Q2281" s="95"/>
      <c r="R2281" s="95"/>
      <c r="S2281" s="95"/>
      <c r="T2281" s="96">
        <v>23524</v>
      </c>
      <c r="U2281" s="95"/>
      <c r="V2281" s="95" t="s">
        <v>3034</v>
      </c>
      <c r="W2281" s="92" t="str">
        <f t="shared" si="156"/>
        <v>Comendador Lomas,Felisa</v>
      </c>
      <c r="X2281" s="95">
        <f t="shared" si="152"/>
        <v>7</v>
      </c>
      <c r="Y2281" s="95">
        <f t="shared" si="153"/>
        <v>2022</v>
      </c>
      <c r="Z2281" s="97" t="s">
        <v>265</v>
      </c>
      <c r="AA2281" t="str">
        <f>IF(Tabla1[[#This Row],[Kerma en aire acumulada (Gy)]]&gt;1,SUMIF(G:G,Tabla1[[#This Row],[SIP]],I:I)-Tabla1[[#This Row],[Kerma en aire acumulada (Gy)]],"")</f>
        <v/>
      </c>
    </row>
    <row r="2282" spans="3:27">
      <c r="C2282" s="144" t="str">
        <f t="shared" si="155"/>
        <v>Adulto</v>
      </c>
      <c r="D2282" s="95" t="s">
        <v>1156</v>
      </c>
      <c r="E2282" s="95" t="s">
        <v>1157</v>
      </c>
      <c r="F2282" s="95" t="s">
        <v>1158</v>
      </c>
      <c r="G2282" s="95">
        <v>3370639</v>
      </c>
      <c r="H2282" s="96">
        <v>44757</v>
      </c>
      <c r="I2282" s="95">
        <v>1.7780000000000001E-2</v>
      </c>
      <c r="J2282" s="95"/>
      <c r="K2282" s="95"/>
      <c r="L2282" s="95"/>
      <c r="M2282" s="95"/>
      <c r="N2282" s="95"/>
      <c r="O2282" s="95"/>
      <c r="P2282" s="95"/>
      <c r="Q2282" s="95"/>
      <c r="R2282" s="95"/>
      <c r="S2282" s="95"/>
      <c r="T2282" s="96">
        <v>15928</v>
      </c>
      <c r="U2282" s="95"/>
      <c r="V2282" s="95" t="s">
        <v>502</v>
      </c>
      <c r="W2282" s="92" t="str">
        <f t="shared" si="156"/>
        <v>Santafe Galindo,Ramiro</v>
      </c>
      <c r="X2282" s="95">
        <f t="shared" ref="X2282:X2301" si="157">MONTH(H2282)</f>
        <v>7</v>
      </c>
      <c r="Y2282" s="95">
        <f t="shared" ref="Y2282:Y2301" si="158">YEAR(H2282)</f>
        <v>2022</v>
      </c>
      <c r="Z2282" s="97" t="s">
        <v>265</v>
      </c>
      <c r="AA2282" t="str">
        <f>IF(Tabla1[[#This Row],[Kerma en aire acumulada (Gy)]]&gt;1,SUMIF(G:G,Tabla1[[#This Row],[SIP]],I:I)-Tabla1[[#This Row],[Kerma en aire acumulada (Gy)]],"")</f>
        <v/>
      </c>
    </row>
    <row r="2283" spans="3:27">
      <c r="C2283" s="144" t="str">
        <f t="shared" si="155"/>
        <v>Adulto</v>
      </c>
      <c r="D2283" s="145" t="s">
        <v>948</v>
      </c>
      <c r="E2283" s="145" t="s">
        <v>1837</v>
      </c>
      <c r="F2283" s="145" t="s">
        <v>3399</v>
      </c>
      <c r="G2283" s="145">
        <v>12867515</v>
      </c>
      <c r="H2283" s="146">
        <v>44758</v>
      </c>
      <c r="I2283" s="145">
        <v>9.9290000000000003E-2</v>
      </c>
      <c r="J2283" s="145"/>
      <c r="K2283" s="145"/>
      <c r="L2283" s="145"/>
      <c r="M2283" s="145"/>
      <c r="N2283" s="145"/>
      <c r="O2283" s="145"/>
      <c r="P2283" s="145"/>
      <c r="Q2283" s="145"/>
      <c r="R2283" s="145"/>
      <c r="S2283" s="145"/>
      <c r="T2283" s="146">
        <v>26631</v>
      </c>
      <c r="U2283" s="145"/>
      <c r="V2283" s="145" t="s">
        <v>2383</v>
      </c>
      <c r="W2283" s="92" t="str">
        <f t="shared" si="156"/>
        <v>Martinez Rodriguez,Luis Eduardo</v>
      </c>
      <c r="X2283" s="95">
        <f t="shared" si="157"/>
        <v>7</v>
      </c>
      <c r="Y2283" s="95">
        <f t="shared" si="158"/>
        <v>2022</v>
      </c>
      <c r="Z2283" s="153" t="s">
        <v>266</v>
      </c>
      <c r="AA2283" t="str">
        <f>IF(Tabla1[[#This Row],[Kerma en aire acumulada (Gy)]]&gt;1,SUMIF(G:G,Tabla1[[#This Row],[SIP]],I:I)-Tabla1[[#This Row],[Kerma en aire acumulada (Gy)]],"")</f>
        <v/>
      </c>
    </row>
    <row r="2284" spans="3:27">
      <c r="C2284" s="144" t="str">
        <f t="shared" si="155"/>
        <v>Adulto</v>
      </c>
      <c r="D2284" s="145" t="s">
        <v>181</v>
      </c>
      <c r="E2284" s="145" t="s">
        <v>3398</v>
      </c>
      <c r="F2284" s="145" t="s">
        <v>1052</v>
      </c>
      <c r="G2284" s="145">
        <v>4250662</v>
      </c>
      <c r="H2284" s="146">
        <v>44758</v>
      </c>
      <c r="I2284" s="145">
        <v>0.86775999999999998</v>
      </c>
      <c r="J2284" s="145"/>
      <c r="K2284" s="145"/>
      <c r="L2284" s="145"/>
      <c r="M2284" s="145"/>
      <c r="N2284" s="145"/>
      <c r="O2284" s="145"/>
      <c r="P2284" s="145"/>
      <c r="Q2284" s="145"/>
      <c r="R2284" s="145"/>
      <c r="S2284" s="145"/>
      <c r="T2284" s="146">
        <v>24437</v>
      </c>
      <c r="U2284" s="145"/>
      <c r="V2284" s="145" t="s">
        <v>2383</v>
      </c>
      <c r="W2284" s="92" t="str">
        <f t="shared" si="156"/>
        <v>Castillo Minguez,Manuel Fernando</v>
      </c>
      <c r="X2284" s="95">
        <f t="shared" si="157"/>
        <v>7</v>
      </c>
      <c r="Y2284" s="95">
        <f t="shared" si="158"/>
        <v>2022</v>
      </c>
      <c r="Z2284" s="153" t="s">
        <v>266</v>
      </c>
      <c r="AA2284" t="str">
        <f>IF(Tabla1[[#This Row],[Kerma en aire acumulada (Gy)]]&gt;1,SUMIF(G:G,Tabla1[[#This Row],[SIP]],I:I)-Tabla1[[#This Row],[Kerma en aire acumulada (Gy)]],"")</f>
        <v/>
      </c>
    </row>
    <row r="2285" spans="3:27">
      <c r="C2285" s="144" t="str">
        <f t="shared" si="155"/>
        <v>Adulto</v>
      </c>
      <c r="D2285" s="145" t="s">
        <v>3400</v>
      </c>
      <c r="E2285" s="145"/>
      <c r="F2285" s="145" t="s">
        <v>1766</v>
      </c>
      <c r="G2285" s="145">
        <v>7222874</v>
      </c>
      <c r="H2285" s="146">
        <v>44759</v>
      </c>
      <c r="I2285" s="145">
        <v>0.23430999999999999</v>
      </c>
      <c r="J2285" s="145"/>
      <c r="K2285" s="145"/>
      <c r="L2285" s="145"/>
      <c r="M2285" s="145"/>
      <c r="N2285" s="145"/>
      <c r="O2285" s="145"/>
      <c r="P2285" s="145"/>
      <c r="Q2285" s="145"/>
      <c r="R2285" s="145"/>
      <c r="S2285" s="145"/>
      <c r="T2285" s="146">
        <v>28221</v>
      </c>
      <c r="U2285" s="145"/>
      <c r="V2285" s="145" t="s">
        <v>2383</v>
      </c>
      <c r="W2285" s="92" t="str">
        <f t="shared" si="156"/>
        <v>Lazar ,Gabriel</v>
      </c>
      <c r="X2285" s="95">
        <f t="shared" si="157"/>
        <v>7</v>
      </c>
      <c r="Y2285" s="95">
        <f t="shared" si="158"/>
        <v>2022</v>
      </c>
      <c r="Z2285" s="153" t="s">
        <v>266</v>
      </c>
      <c r="AA2285" t="str">
        <f>IF(Tabla1[[#This Row],[Kerma en aire acumulada (Gy)]]&gt;1,SUMIF(G:G,Tabla1[[#This Row],[SIP]],I:I)-Tabla1[[#This Row],[Kerma en aire acumulada (Gy)]],"")</f>
        <v/>
      </c>
    </row>
    <row r="2286" spans="3:27">
      <c r="C2286" s="144" t="str">
        <f t="shared" si="155"/>
        <v>Adulto</v>
      </c>
      <c r="D2286" s="95" t="s">
        <v>3410</v>
      </c>
      <c r="E2286" s="95" t="s">
        <v>3411</v>
      </c>
      <c r="F2286" s="95" t="s">
        <v>3412</v>
      </c>
      <c r="G2286" s="145">
        <v>9549989</v>
      </c>
      <c r="H2286" s="146">
        <v>44760</v>
      </c>
      <c r="I2286" s="145">
        <v>8.6989999999999998E-2</v>
      </c>
      <c r="J2286" s="145"/>
      <c r="K2286" s="145"/>
      <c r="L2286" s="145"/>
      <c r="M2286" s="145"/>
      <c r="N2286" s="145"/>
      <c r="O2286" s="145"/>
      <c r="P2286" s="145"/>
      <c r="Q2286" s="145"/>
      <c r="R2286" s="145"/>
      <c r="S2286" s="145"/>
      <c r="T2286" s="146">
        <v>22689</v>
      </c>
      <c r="U2286" s="145"/>
      <c r="V2286" s="95" t="s">
        <v>2408</v>
      </c>
      <c r="W2286" s="92" t="str">
        <f t="shared" si="156"/>
        <v>Londoño Quiroz,Javier de Jesus</v>
      </c>
      <c r="X2286" s="95">
        <f t="shared" si="157"/>
        <v>7</v>
      </c>
      <c r="Y2286" s="95">
        <f t="shared" si="158"/>
        <v>2022</v>
      </c>
      <c r="Z2286" s="97" t="s">
        <v>2238</v>
      </c>
      <c r="AA2286" t="str">
        <f>IF(Tabla1[[#This Row],[Kerma en aire acumulada (Gy)]]&gt;1,SUMIF(G:G,Tabla1[[#This Row],[SIP]],I:I)-Tabla1[[#This Row],[Kerma en aire acumulada (Gy)]],"")</f>
        <v/>
      </c>
    </row>
    <row r="2287" spans="3:27">
      <c r="C2287" s="144" t="str">
        <f t="shared" si="155"/>
        <v>Adulto</v>
      </c>
      <c r="D2287" s="95" t="s">
        <v>1612</v>
      </c>
      <c r="E2287" s="95" t="s">
        <v>1972</v>
      </c>
      <c r="F2287" s="95" t="s">
        <v>68</v>
      </c>
      <c r="G2287" s="145">
        <v>2264732</v>
      </c>
      <c r="H2287" s="146">
        <v>44760</v>
      </c>
      <c r="I2287" s="95">
        <v>4.4240000000000002E-2</v>
      </c>
      <c r="J2287" s="145"/>
      <c r="K2287" s="145"/>
      <c r="L2287" s="145"/>
      <c r="M2287" s="145"/>
      <c r="N2287" s="145"/>
      <c r="O2287" s="145"/>
      <c r="P2287" s="145"/>
      <c r="Q2287" s="145"/>
      <c r="R2287" s="145"/>
      <c r="S2287" s="145"/>
      <c r="T2287" s="146">
        <v>18112</v>
      </c>
      <c r="U2287" s="145"/>
      <c r="V2287" s="95" t="s">
        <v>2309</v>
      </c>
      <c r="W2287" s="92" t="str">
        <f t="shared" si="156"/>
        <v>Alfaro Saez,Juan</v>
      </c>
      <c r="X2287" s="95">
        <f t="shared" si="157"/>
        <v>7</v>
      </c>
      <c r="Y2287" s="95">
        <f t="shared" si="158"/>
        <v>2022</v>
      </c>
      <c r="Z2287" s="97" t="s">
        <v>2238</v>
      </c>
      <c r="AA2287" t="str">
        <f>IF(Tabla1[[#This Row],[Kerma en aire acumulada (Gy)]]&gt;1,SUMIF(G:G,Tabla1[[#This Row],[SIP]],I:I)-Tabla1[[#This Row],[Kerma en aire acumulada (Gy)]],"")</f>
        <v/>
      </c>
    </row>
    <row r="2288" spans="3:27">
      <c r="C2288" s="144" t="str">
        <f t="shared" si="155"/>
        <v>Adulto</v>
      </c>
      <c r="D2288" s="95" t="s">
        <v>1017</v>
      </c>
      <c r="E2288" s="95" t="s">
        <v>3409</v>
      </c>
      <c r="F2288" s="95" t="s">
        <v>83</v>
      </c>
      <c r="G2288" s="145">
        <v>3339646</v>
      </c>
      <c r="H2288" s="146">
        <v>44760</v>
      </c>
      <c r="I2288" s="145">
        <v>1.5789999999999998E-2</v>
      </c>
      <c r="J2288" s="145"/>
      <c r="K2288" s="145"/>
      <c r="L2288" s="145"/>
      <c r="M2288" s="145"/>
      <c r="N2288" s="145"/>
      <c r="O2288" s="145"/>
      <c r="P2288" s="145"/>
      <c r="Q2288" s="145"/>
      <c r="R2288" s="145"/>
      <c r="S2288" s="145"/>
      <c r="T2288" s="146">
        <v>12524</v>
      </c>
      <c r="U2288" s="145"/>
      <c r="V2288" s="95" t="s">
        <v>2408</v>
      </c>
      <c r="W2288" s="92" t="str">
        <f t="shared" si="156"/>
        <v>Clemente Gento,Francisco</v>
      </c>
      <c r="X2288" s="95">
        <f t="shared" si="157"/>
        <v>7</v>
      </c>
      <c r="Y2288" s="95">
        <f t="shared" si="158"/>
        <v>2022</v>
      </c>
      <c r="Z2288" s="97" t="s">
        <v>2238</v>
      </c>
      <c r="AA2288" t="str">
        <f>IF(Tabla1[[#This Row],[Kerma en aire acumulada (Gy)]]&gt;1,SUMIF(G:G,Tabla1[[#This Row],[SIP]],I:I)-Tabla1[[#This Row],[Kerma en aire acumulada (Gy)]],"")</f>
        <v/>
      </c>
    </row>
    <row r="2289" spans="3:27">
      <c r="C2289" s="144" t="str">
        <f t="shared" si="155"/>
        <v>Adulto</v>
      </c>
      <c r="D2289" s="95" t="s">
        <v>1760</v>
      </c>
      <c r="E2289" s="95" t="s">
        <v>1759</v>
      </c>
      <c r="F2289" s="95" t="s">
        <v>3408</v>
      </c>
      <c r="G2289" s="145">
        <v>6160151</v>
      </c>
      <c r="H2289" s="146">
        <v>44760</v>
      </c>
      <c r="I2289" s="145">
        <v>6.0350000000000001E-2</v>
      </c>
      <c r="J2289" s="145"/>
      <c r="K2289" s="145"/>
      <c r="L2289" s="145"/>
      <c r="M2289" s="145"/>
      <c r="N2289" s="145"/>
      <c r="O2289" s="145"/>
      <c r="P2289" s="145"/>
      <c r="Q2289" s="145"/>
      <c r="R2289" s="145"/>
      <c r="S2289" s="145"/>
      <c r="T2289" s="146">
        <v>21681</v>
      </c>
      <c r="U2289" s="145"/>
      <c r="V2289" s="145" t="s">
        <v>2383</v>
      </c>
      <c r="W2289" s="92" t="str">
        <f t="shared" si="156"/>
        <v>Exposito Martin,Feliz</v>
      </c>
      <c r="X2289" s="95">
        <f t="shared" si="157"/>
        <v>7</v>
      </c>
      <c r="Y2289" s="95">
        <f t="shared" si="158"/>
        <v>2022</v>
      </c>
      <c r="Z2289" s="153" t="s">
        <v>266</v>
      </c>
      <c r="AA2289" t="str">
        <f>IF(Tabla1[[#This Row],[Kerma en aire acumulada (Gy)]]&gt;1,SUMIF(G:G,Tabla1[[#This Row],[SIP]],I:I)-Tabla1[[#This Row],[Kerma en aire acumulada (Gy)]],"")</f>
        <v/>
      </c>
    </row>
    <row r="2290" spans="3:27">
      <c r="C2290" s="144" t="str">
        <f t="shared" si="155"/>
        <v>Adulto</v>
      </c>
      <c r="D2290" s="95" t="s">
        <v>1752</v>
      </c>
      <c r="E2290" s="95" t="s">
        <v>891</v>
      </c>
      <c r="F2290" s="95" t="s">
        <v>965</v>
      </c>
      <c r="G2290" s="145">
        <v>3573173</v>
      </c>
      <c r="H2290" s="146">
        <v>44760</v>
      </c>
      <c r="I2290" s="145">
        <v>0.30531999999999998</v>
      </c>
      <c r="J2290" s="145"/>
      <c r="K2290" s="145"/>
      <c r="L2290" s="145"/>
      <c r="M2290" s="145"/>
      <c r="N2290" s="145"/>
      <c r="O2290" s="145"/>
      <c r="P2290" s="145"/>
      <c r="Q2290" s="145"/>
      <c r="R2290" s="145"/>
      <c r="S2290" s="145"/>
      <c r="T2290" s="146">
        <v>26348</v>
      </c>
      <c r="U2290" s="145"/>
      <c r="V2290" s="145" t="s">
        <v>2383</v>
      </c>
      <c r="W2290" s="92" t="str">
        <f t="shared" si="156"/>
        <v>Molla Morales,Juan Bautista</v>
      </c>
      <c r="X2290" s="95">
        <f t="shared" si="157"/>
        <v>7</v>
      </c>
      <c r="Y2290" s="95">
        <f t="shared" si="158"/>
        <v>2022</v>
      </c>
      <c r="Z2290" s="153" t="s">
        <v>266</v>
      </c>
      <c r="AA2290" t="str">
        <f>IF(Tabla1[[#This Row],[Kerma en aire acumulada (Gy)]]&gt;1,SUMIF(G:G,Tabla1[[#This Row],[SIP]],I:I)-Tabla1[[#This Row],[Kerma en aire acumulada (Gy)]],"")</f>
        <v/>
      </c>
    </row>
    <row r="2291" spans="3:27">
      <c r="C2291" s="144" t="str">
        <f t="shared" si="155"/>
        <v>Adulto</v>
      </c>
      <c r="D2291" s="95" t="s">
        <v>3406</v>
      </c>
      <c r="E2291" s="95" t="s">
        <v>3407</v>
      </c>
      <c r="F2291" s="95" t="s">
        <v>2183</v>
      </c>
      <c r="G2291" s="145">
        <v>2664492</v>
      </c>
      <c r="H2291" s="146">
        <v>44760</v>
      </c>
      <c r="I2291" s="95">
        <v>0.62461</v>
      </c>
      <c r="J2291" s="145"/>
      <c r="K2291" s="145"/>
      <c r="L2291" s="145"/>
      <c r="M2291" s="145"/>
      <c r="N2291" s="145"/>
      <c r="O2291" s="145"/>
      <c r="P2291" s="145"/>
      <c r="Q2291" s="145"/>
      <c r="R2291" s="145"/>
      <c r="S2291" s="145"/>
      <c r="T2291" s="146">
        <v>23331</v>
      </c>
      <c r="U2291" s="145"/>
      <c r="V2291" s="145" t="s">
        <v>2383</v>
      </c>
      <c r="W2291" s="92" t="str">
        <f t="shared" si="156"/>
        <v>Moral Godoy,Agustin</v>
      </c>
      <c r="X2291" s="95">
        <f t="shared" si="157"/>
        <v>7</v>
      </c>
      <c r="Y2291" s="95">
        <f t="shared" si="158"/>
        <v>2022</v>
      </c>
      <c r="Z2291" s="153" t="s">
        <v>266</v>
      </c>
      <c r="AA2291" t="str">
        <f>IF(Tabla1[[#This Row],[Kerma en aire acumulada (Gy)]]&gt;1,SUMIF(G:G,Tabla1[[#This Row],[SIP]],I:I)-Tabla1[[#This Row],[Kerma en aire acumulada (Gy)]],"")</f>
        <v/>
      </c>
    </row>
    <row r="2292" spans="3:27">
      <c r="C2292" s="144" t="str">
        <f t="shared" si="155"/>
        <v>Adulto</v>
      </c>
      <c r="D2292" s="95" t="s">
        <v>3404</v>
      </c>
      <c r="E2292" s="95" t="s">
        <v>3405</v>
      </c>
      <c r="F2292" s="95" t="s">
        <v>3088</v>
      </c>
      <c r="G2292" s="145">
        <v>1856811</v>
      </c>
      <c r="H2292" s="146">
        <v>44760</v>
      </c>
      <c r="I2292" s="145">
        <v>0.31151000000000001</v>
      </c>
      <c r="J2292" s="145"/>
      <c r="K2292" s="145"/>
      <c r="L2292" s="145"/>
      <c r="M2292" s="145"/>
      <c r="N2292" s="145"/>
      <c r="O2292" s="145"/>
      <c r="P2292" s="145"/>
      <c r="Q2292" s="145"/>
      <c r="R2292" s="145"/>
      <c r="S2292" s="145"/>
      <c r="T2292" s="146">
        <v>14944</v>
      </c>
      <c r="U2292" s="145"/>
      <c r="V2292" s="145" t="s">
        <v>2383</v>
      </c>
      <c r="W2292" s="92" t="str">
        <f t="shared" si="156"/>
        <v>Lahoz San Pedro,Roberto</v>
      </c>
      <c r="X2292" s="95">
        <f t="shared" si="157"/>
        <v>7</v>
      </c>
      <c r="Y2292" s="95">
        <f t="shared" si="158"/>
        <v>2022</v>
      </c>
      <c r="Z2292" s="153" t="s">
        <v>266</v>
      </c>
      <c r="AA2292" t="str">
        <f>IF(Tabla1[[#This Row],[Kerma en aire acumulada (Gy)]]&gt;1,SUMIF(G:G,Tabla1[[#This Row],[SIP]],I:I)-Tabla1[[#This Row],[Kerma en aire acumulada (Gy)]],"")</f>
        <v/>
      </c>
    </row>
    <row r="2293" spans="3:27">
      <c r="C2293" s="144" t="str">
        <f t="shared" si="155"/>
        <v>Adulto</v>
      </c>
      <c r="D2293" s="95" t="s">
        <v>1060</v>
      </c>
      <c r="E2293" s="95" t="s">
        <v>3403</v>
      </c>
      <c r="F2293" s="95" t="s">
        <v>20</v>
      </c>
      <c r="G2293" s="145">
        <v>2180112</v>
      </c>
      <c r="H2293" s="146">
        <v>44760</v>
      </c>
      <c r="I2293" s="145">
        <v>0.59418000000000004</v>
      </c>
      <c r="J2293" s="145"/>
      <c r="K2293" s="145"/>
      <c r="L2293" s="145"/>
      <c r="M2293" s="145"/>
      <c r="N2293" s="145"/>
      <c r="O2293" s="145"/>
      <c r="P2293" s="145"/>
      <c r="Q2293" s="145"/>
      <c r="R2293" s="145"/>
      <c r="S2293" s="145"/>
      <c r="T2293" s="146">
        <v>13608</v>
      </c>
      <c r="U2293" s="145"/>
      <c r="V2293" s="145" t="s">
        <v>2383</v>
      </c>
      <c r="W2293" s="92" t="str">
        <f t="shared" si="156"/>
        <v>Rubio Villareal,Antonio</v>
      </c>
      <c r="X2293" s="95">
        <f t="shared" si="157"/>
        <v>7</v>
      </c>
      <c r="Y2293" s="95">
        <f t="shared" si="158"/>
        <v>2022</v>
      </c>
      <c r="Z2293" s="153" t="s">
        <v>266</v>
      </c>
      <c r="AA2293" t="str">
        <f>IF(Tabla1[[#This Row],[Kerma en aire acumulada (Gy)]]&gt;1,SUMIF(G:G,Tabla1[[#This Row],[SIP]],I:I)-Tabla1[[#This Row],[Kerma en aire acumulada (Gy)]],"")</f>
        <v/>
      </c>
    </row>
    <row r="2294" spans="3:27">
      <c r="C2294" s="144" t="str">
        <f t="shared" si="155"/>
        <v>Adulto</v>
      </c>
      <c r="D2294" s="145" t="s">
        <v>702</v>
      </c>
      <c r="E2294" s="145" t="s">
        <v>751</v>
      </c>
      <c r="F2294" s="145" t="s">
        <v>3402</v>
      </c>
      <c r="G2294" s="145">
        <v>2878525</v>
      </c>
      <c r="H2294" s="146">
        <v>44760</v>
      </c>
      <c r="I2294" s="168">
        <v>1.79033</v>
      </c>
      <c r="J2294" s="145"/>
      <c r="K2294" s="145"/>
      <c r="L2294" s="145"/>
      <c r="M2294" s="145"/>
      <c r="N2294" s="145"/>
      <c r="O2294" s="145"/>
      <c r="P2294" s="145"/>
      <c r="Q2294" s="145"/>
      <c r="R2294" s="145"/>
      <c r="S2294" s="145"/>
      <c r="T2294" s="146">
        <v>22884</v>
      </c>
      <c r="U2294" s="145"/>
      <c r="V2294" s="145" t="s">
        <v>2383</v>
      </c>
      <c r="W2294" s="92" t="str">
        <f t="shared" si="156"/>
        <v>Guzman Zaragoza,Jorge Joaquin</v>
      </c>
      <c r="X2294" s="95">
        <f t="shared" si="157"/>
        <v>7</v>
      </c>
      <c r="Y2294" s="95">
        <f t="shared" si="158"/>
        <v>2022</v>
      </c>
      <c r="Z2294" s="153" t="s">
        <v>266</v>
      </c>
      <c r="AA2294">
        <f>IF(Tabla1[[#This Row],[Kerma en aire acumulada (Gy)]]&gt;1,SUMIF(G:G,Tabla1[[#This Row],[SIP]],I:I)-Tabla1[[#This Row],[Kerma en aire acumulada (Gy)]],"")</f>
        <v>0</v>
      </c>
    </row>
    <row r="2295" spans="3:27">
      <c r="C2295" s="144" t="str">
        <f t="shared" si="155"/>
        <v>Adulto</v>
      </c>
      <c r="D2295" s="145" t="s">
        <v>3401</v>
      </c>
      <c r="E2295" s="145" t="s">
        <v>376</v>
      </c>
      <c r="F2295" s="145" t="s">
        <v>2410</v>
      </c>
      <c r="G2295" s="145">
        <v>3331892</v>
      </c>
      <c r="H2295" s="146">
        <v>44760</v>
      </c>
      <c r="I2295" s="145">
        <v>0.10549</v>
      </c>
      <c r="J2295" s="145"/>
      <c r="K2295" s="145"/>
      <c r="L2295" s="145"/>
      <c r="M2295" s="145"/>
      <c r="N2295" s="145"/>
      <c r="O2295" s="145"/>
      <c r="P2295" s="145"/>
      <c r="Q2295" s="145"/>
      <c r="R2295" s="145"/>
      <c r="S2295" s="145"/>
      <c r="T2295" s="146">
        <v>18733</v>
      </c>
      <c r="U2295" s="145"/>
      <c r="V2295" s="145" t="s">
        <v>2383</v>
      </c>
      <c r="W2295" s="92" t="str">
        <f t="shared" si="156"/>
        <v>Bascuñana Saiz,Jose Maria</v>
      </c>
      <c r="X2295" s="95">
        <f t="shared" si="157"/>
        <v>7</v>
      </c>
      <c r="Y2295" s="95">
        <f t="shared" si="158"/>
        <v>2022</v>
      </c>
      <c r="Z2295" s="153" t="s">
        <v>266</v>
      </c>
      <c r="AA2295" t="str">
        <f>IF(Tabla1[[#This Row],[Kerma en aire acumulada (Gy)]]&gt;1,SUMIF(G:G,Tabla1[[#This Row],[SIP]],I:I)-Tabla1[[#This Row],[Kerma en aire acumulada (Gy)]],"")</f>
        <v/>
      </c>
    </row>
    <row r="2296" spans="3:27">
      <c r="C2296" s="144" t="str">
        <f t="shared" si="155"/>
        <v>Adulto</v>
      </c>
      <c r="D2296" s="145" t="s">
        <v>1740</v>
      </c>
      <c r="E2296" s="145" t="s">
        <v>968</v>
      </c>
      <c r="F2296" s="145" t="s">
        <v>2189</v>
      </c>
      <c r="G2296" s="145">
        <v>3762468</v>
      </c>
      <c r="H2296" s="146">
        <v>44760</v>
      </c>
      <c r="I2296" s="145">
        <v>0.52788999999999997</v>
      </c>
      <c r="J2296" s="145"/>
      <c r="K2296" s="145"/>
      <c r="L2296" s="145"/>
      <c r="M2296" s="145"/>
      <c r="N2296" s="145"/>
      <c r="O2296" s="145"/>
      <c r="P2296" s="145"/>
      <c r="Q2296" s="145"/>
      <c r="R2296" s="145"/>
      <c r="S2296" s="145"/>
      <c r="T2296" s="146">
        <v>23485</v>
      </c>
      <c r="U2296" s="145"/>
      <c r="V2296" s="145" t="s">
        <v>2383</v>
      </c>
      <c r="W2296" s="92" t="str">
        <f t="shared" si="156"/>
        <v>Vila Soria,Juan Jose</v>
      </c>
      <c r="X2296" s="95">
        <f t="shared" si="157"/>
        <v>7</v>
      </c>
      <c r="Y2296" s="95">
        <f t="shared" si="158"/>
        <v>2022</v>
      </c>
      <c r="Z2296" s="153" t="s">
        <v>266</v>
      </c>
      <c r="AA2296" t="str">
        <f>IF(Tabla1[[#This Row],[Kerma en aire acumulada (Gy)]]&gt;1,SUMIF(G:G,Tabla1[[#This Row],[SIP]],I:I)-Tabla1[[#This Row],[Kerma en aire acumulada (Gy)]],"")</f>
        <v/>
      </c>
    </row>
    <row r="2297" spans="3:27">
      <c r="C2297" s="144" t="str">
        <f t="shared" si="155"/>
        <v>Adulto</v>
      </c>
      <c r="D2297" s="145" t="s">
        <v>948</v>
      </c>
      <c r="E2297" s="145" t="s">
        <v>962</v>
      </c>
      <c r="F2297" s="145" t="s">
        <v>71</v>
      </c>
      <c r="G2297" s="145">
        <v>2931232</v>
      </c>
      <c r="H2297" s="146">
        <v>44760</v>
      </c>
      <c r="I2297" s="145">
        <v>1.1379999999999999E-2</v>
      </c>
      <c r="J2297" s="145"/>
      <c r="K2297" s="145"/>
      <c r="L2297" s="145"/>
      <c r="M2297" s="145"/>
      <c r="N2297" s="145"/>
      <c r="O2297" s="145"/>
      <c r="P2297" s="145"/>
      <c r="Q2297" s="145"/>
      <c r="R2297" s="145"/>
      <c r="S2297" s="145"/>
      <c r="T2297" s="146">
        <v>21623</v>
      </c>
      <c r="U2297" s="145"/>
      <c r="V2297" s="145" t="s">
        <v>1174</v>
      </c>
      <c r="W2297" s="92" t="str">
        <f t="shared" si="156"/>
        <v>Martinez Garcia,Rafael</v>
      </c>
      <c r="X2297" s="95">
        <f t="shared" si="157"/>
        <v>7</v>
      </c>
      <c r="Y2297" s="95">
        <f t="shared" si="158"/>
        <v>2022</v>
      </c>
      <c r="Z2297" s="153" t="s">
        <v>265</v>
      </c>
      <c r="AA2297" t="str">
        <f>IF(Tabla1[[#This Row],[Kerma en aire acumulada (Gy)]]&gt;1,SUMIF(G:G,Tabla1[[#This Row],[SIP]],I:I)-Tabla1[[#This Row],[Kerma en aire acumulada (Gy)]],"")</f>
        <v/>
      </c>
    </row>
    <row r="2298" spans="3:27">
      <c r="C2298" s="144" t="str">
        <f t="shared" si="155"/>
        <v>Adulto</v>
      </c>
      <c r="D2298" s="145" t="s">
        <v>856</v>
      </c>
      <c r="E2298" s="145" t="s">
        <v>1001</v>
      </c>
      <c r="F2298" s="145" t="s">
        <v>98</v>
      </c>
      <c r="G2298" s="145">
        <v>1182216</v>
      </c>
      <c r="H2298" s="146">
        <v>44760</v>
      </c>
      <c r="I2298" s="145">
        <v>0.30852000000000002</v>
      </c>
      <c r="J2298" s="145"/>
      <c r="K2298" s="145"/>
      <c r="L2298" s="145"/>
      <c r="M2298" s="145"/>
      <c r="N2298" s="145"/>
      <c r="O2298" s="145"/>
      <c r="P2298" s="145"/>
      <c r="Q2298" s="145"/>
      <c r="R2298" s="145"/>
      <c r="S2298" s="145"/>
      <c r="T2298" s="146">
        <v>18796</v>
      </c>
      <c r="U2298" s="145"/>
      <c r="V2298" s="145" t="s">
        <v>1116</v>
      </c>
      <c r="W2298" s="92" t="str">
        <f t="shared" si="156"/>
        <v>Gomez Perez,Felipe</v>
      </c>
      <c r="X2298" s="95">
        <f t="shared" si="157"/>
        <v>7</v>
      </c>
      <c r="Y2298" s="95">
        <f t="shared" si="158"/>
        <v>2022</v>
      </c>
      <c r="Z2298" s="153" t="s">
        <v>265</v>
      </c>
      <c r="AA2298" t="str">
        <f>IF(Tabla1[[#This Row],[Kerma en aire acumulada (Gy)]]&gt;1,SUMIF(G:G,Tabla1[[#This Row],[SIP]],I:I)-Tabla1[[#This Row],[Kerma en aire acumulada (Gy)]],"")</f>
        <v/>
      </c>
    </row>
    <row r="2299" spans="3:27">
      <c r="C2299" s="144" t="str">
        <f t="shared" si="155"/>
        <v>Adulto</v>
      </c>
      <c r="D2299" s="145" t="s">
        <v>985</v>
      </c>
      <c r="E2299" s="145" t="s">
        <v>3234</v>
      </c>
      <c r="F2299" s="145" t="s">
        <v>2082</v>
      </c>
      <c r="G2299" s="145">
        <v>5525826</v>
      </c>
      <c r="H2299" s="146">
        <v>44760</v>
      </c>
      <c r="I2299" s="145">
        <v>0.53878999999999999</v>
      </c>
      <c r="J2299" s="145"/>
      <c r="K2299" s="145"/>
      <c r="L2299" s="145"/>
      <c r="M2299" s="145"/>
      <c r="N2299" s="145"/>
      <c r="O2299" s="145"/>
      <c r="P2299" s="145"/>
      <c r="Q2299" s="145"/>
      <c r="R2299" s="145"/>
      <c r="S2299" s="145"/>
      <c r="T2299" s="146">
        <v>21679</v>
      </c>
      <c r="U2299" s="145"/>
      <c r="V2299" s="145" t="s">
        <v>260</v>
      </c>
      <c r="W2299" s="92" t="str">
        <f t="shared" si="156"/>
        <v>Plaza Ocaña,Maria Jesus</v>
      </c>
      <c r="X2299" s="95">
        <f t="shared" si="157"/>
        <v>7</v>
      </c>
      <c r="Y2299" s="95">
        <f t="shared" si="158"/>
        <v>2022</v>
      </c>
      <c r="Z2299" s="153" t="s">
        <v>265</v>
      </c>
      <c r="AA2299" t="str">
        <f>IF(Tabla1[[#This Row],[Kerma en aire acumulada (Gy)]]&gt;1,SUMIF(G:G,Tabla1[[#This Row],[SIP]],I:I)-Tabla1[[#This Row],[Kerma en aire acumulada (Gy)]],"")</f>
        <v/>
      </c>
    </row>
    <row r="2300" spans="3:27">
      <c r="C2300" s="144" t="str">
        <f t="shared" si="155"/>
        <v>Adulto</v>
      </c>
      <c r="D2300" s="95" t="s">
        <v>66</v>
      </c>
      <c r="E2300" s="95" t="s">
        <v>169</v>
      </c>
      <c r="F2300" s="95" t="s">
        <v>1196</v>
      </c>
      <c r="G2300" s="95">
        <v>2286956</v>
      </c>
      <c r="H2300" s="146">
        <v>44761</v>
      </c>
      <c r="I2300" s="95">
        <v>0.40759000000000001</v>
      </c>
      <c r="J2300" s="95"/>
      <c r="K2300" s="95"/>
      <c r="L2300" s="95"/>
      <c r="M2300" s="95"/>
      <c r="N2300" s="95"/>
      <c r="O2300" s="95"/>
      <c r="P2300" s="95"/>
      <c r="Q2300" s="95"/>
      <c r="R2300" s="95"/>
      <c r="S2300" s="95"/>
      <c r="T2300" s="96">
        <v>20930</v>
      </c>
      <c r="U2300" s="95"/>
      <c r="V2300" s="95" t="s">
        <v>2309</v>
      </c>
      <c r="W2300" s="92" t="str">
        <f t="shared" si="156"/>
        <v>Navarro Valero,Emilia</v>
      </c>
      <c r="X2300" s="95">
        <f t="shared" si="157"/>
        <v>7</v>
      </c>
      <c r="Y2300" s="95">
        <f t="shared" si="158"/>
        <v>2022</v>
      </c>
      <c r="Z2300" s="97" t="s">
        <v>2238</v>
      </c>
      <c r="AA2300" t="str">
        <f>IF(Tabla1[[#This Row],[Kerma en aire acumulada (Gy)]]&gt;1,SUMIF(G:G,Tabla1[[#This Row],[SIP]],I:I)-Tabla1[[#This Row],[Kerma en aire acumulada (Gy)]],"")</f>
        <v/>
      </c>
    </row>
    <row r="2301" spans="3:27">
      <c r="C2301" s="144" t="str">
        <f t="shared" si="155"/>
        <v>Adulto</v>
      </c>
      <c r="D2301" s="95" t="s">
        <v>3423</v>
      </c>
      <c r="E2301" s="95" t="s">
        <v>3424</v>
      </c>
      <c r="F2301" s="95" t="s">
        <v>715</v>
      </c>
      <c r="G2301" s="95">
        <v>3337327</v>
      </c>
      <c r="H2301" s="146">
        <v>44761</v>
      </c>
      <c r="I2301" s="95">
        <v>4.546E-2</v>
      </c>
      <c r="J2301" s="95"/>
      <c r="K2301" s="95"/>
      <c r="L2301" s="95"/>
      <c r="M2301" s="95"/>
      <c r="N2301" s="95"/>
      <c r="O2301" s="95"/>
      <c r="P2301" s="95"/>
      <c r="Q2301" s="95"/>
      <c r="R2301" s="95"/>
      <c r="S2301" s="95"/>
      <c r="T2301" s="96">
        <v>27958</v>
      </c>
      <c r="U2301" s="95"/>
      <c r="V2301" s="95" t="s">
        <v>2309</v>
      </c>
      <c r="W2301" s="92" t="str">
        <f t="shared" si="156"/>
        <v>Escolano Gorris,Amparo</v>
      </c>
      <c r="X2301" s="95">
        <f t="shared" si="157"/>
        <v>7</v>
      </c>
      <c r="Y2301" s="95">
        <f t="shared" si="158"/>
        <v>2022</v>
      </c>
      <c r="Z2301" s="97" t="s">
        <v>2238</v>
      </c>
      <c r="AA2301" t="str">
        <f>IF(Tabla1[[#This Row],[Kerma en aire acumulada (Gy)]]&gt;1,SUMIF(G:G,Tabla1[[#This Row],[SIP]],I:I)-Tabla1[[#This Row],[Kerma en aire acumulada (Gy)]],"")</f>
        <v/>
      </c>
    </row>
    <row r="2302" spans="3:27">
      <c r="C2302" s="144" t="str">
        <f>IF(OR(H2300="",T2302=""),"",IF((H2300-T2302)/12/30&lt;18,"Pediátrico","Adulto"))</f>
        <v>Adulto</v>
      </c>
      <c r="D2302" s="95" t="s">
        <v>1186</v>
      </c>
      <c r="E2302" s="95" t="s">
        <v>2796</v>
      </c>
      <c r="F2302" s="95" t="s">
        <v>2797</v>
      </c>
      <c r="G2302" s="95">
        <v>6733402</v>
      </c>
      <c r="H2302" s="146">
        <v>44761</v>
      </c>
      <c r="I2302" s="95">
        <v>1.5820000000000001E-2</v>
      </c>
      <c r="J2302" s="95"/>
      <c r="K2302" s="95"/>
      <c r="L2302" s="95"/>
      <c r="M2302" s="95"/>
      <c r="N2302" s="95"/>
      <c r="O2302" s="95"/>
      <c r="P2302" s="95"/>
      <c r="Q2302" s="95"/>
      <c r="R2302" s="95"/>
      <c r="S2302" s="95"/>
      <c r="T2302" s="96">
        <v>21612</v>
      </c>
      <c r="U2302" s="95"/>
      <c r="V2302" s="95" t="s">
        <v>2309</v>
      </c>
      <c r="W2302" s="92" t="str">
        <f t="shared" si="156"/>
        <v>Montero Cuellar,Percy</v>
      </c>
      <c r="X2302" s="95">
        <f>MONTH(H2300)</f>
        <v>7</v>
      </c>
      <c r="Y2302" s="95">
        <f>YEAR(H2300)</f>
        <v>2022</v>
      </c>
      <c r="Z2302" s="97" t="s">
        <v>2238</v>
      </c>
      <c r="AA2302" t="str">
        <f>IF(Tabla1[[#This Row],[Kerma en aire acumulada (Gy)]]&gt;1,SUMIF(G:G,Tabla1[[#This Row],[SIP]],I:I)-Tabla1[[#This Row],[Kerma en aire acumulada (Gy)]],"")</f>
        <v/>
      </c>
    </row>
    <row r="2303" spans="3:27">
      <c r="C2303" s="144" t="str">
        <f>IF(OR(H2301="",T2303=""),"",IF((H2301-T2303)/12/30&lt;18,"Pediátrico","Adulto"))</f>
        <v>Adulto</v>
      </c>
      <c r="D2303" s="95" t="s">
        <v>3422</v>
      </c>
      <c r="E2303" s="95" t="s">
        <v>1248</v>
      </c>
      <c r="F2303" s="95" t="s">
        <v>1963</v>
      </c>
      <c r="G2303" s="95">
        <v>1824809</v>
      </c>
      <c r="H2303" s="146">
        <v>44761</v>
      </c>
      <c r="I2303" s="95">
        <v>1.106E-2</v>
      </c>
      <c r="J2303" s="95"/>
      <c r="K2303" s="95"/>
      <c r="L2303" s="95"/>
      <c r="M2303" s="95"/>
      <c r="N2303" s="95"/>
      <c r="O2303" s="95"/>
      <c r="P2303" s="95"/>
      <c r="Q2303" s="95"/>
      <c r="R2303" s="95"/>
      <c r="S2303" s="95"/>
      <c r="T2303" s="96">
        <v>22488</v>
      </c>
      <c r="U2303" s="95"/>
      <c r="V2303" s="95" t="s">
        <v>2383</v>
      </c>
      <c r="W2303" s="92" t="str">
        <f t="shared" ref="W2303:W2334" si="159">CONCATENATE(D2303,$A$591,E2303,",",F2303)</f>
        <v>Casalta Marti,Remedios</v>
      </c>
      <c r="X2303" s="95">
        <f>MONTH(H2301)</f>
        <v>7</v>
      </c>
      <c r="Y2303" s="95">
        <f>YEAR(H2301)</f>
        <v>2022</v>
      </c>
      <c r="Z2303" s="97" t="s">
        <v>266</v>
      </c>
      <c r="AA2303" t="str">
        <f>IF(Tabla1[[#This Row],[Kerma en aire acumulada (Gy)]]&gt;1,SUMIF(G:G,Tabla1[[#This Row],[SIP]],I:I)-Tabla1[[#This Row],[Kerma en aire acumulada (Gy)]],"")</f>
        <v/>
      </c>
    </row>
    <row r="2304" spans="3:27">
      <c r="C2304" s="144" t="str">
        <f t="shared" ref="C2304:C2321" si="160">IF(OR(H2304="",T2304=""),"",IF((H2304-T2304)/12/30&lt;18,"Pediátrico","Adulto"))</f>
        <v>Adulto</v>
      </c>
      <c r="D2304" s="95" t="s">
        <v>1590</v>
      </c>
      <c r="E2304" s="95" t="s">
        <v>1001</v>
      </c>
      <c r="F2304" s="95" t="s">
        <v>2571</v>
      </c>
      <c r="G2304" s="95">
        <v>1871230</v>
      </c>
      <c r="H2304" s="146">
        <v>44761</v>
      </c>
      <c r="I2304" s="95">
        <v>8.3879999999999996E-2</v>
      </c>
      <c r="J2304" s="95"/>
      <c r="K2304" s="95"/>
      <c r="L2304" s="95"/>
      <c r="M2304" s="95"/>
      <c r="N2304" s="95"/>
      <c r="O2304" s="95"/>
      <c r="P2304" s="95"/>
      <c r="Q2304" s="95"/>
      <c r="R2304" s="95"/>
      <c r="S2304" s="95"/>
      <c r="T2304" s="96">
        <v>24393</v>
      </c>
      <c r="U2304" s="95"/>
      <c r="V2304" s="95" t="s">
        <v>2383</v>
      </c>
      <c r="W2304" s="92" t="str">
        <f t="shared" si="159"/>
        <v>Raga Perez,Francisco Jose</v>
      </c>
      <c r="X2304" s="95">
        <f t="shared" ref="X2304:X2317" si="161">MONTH(H2304)</f>
        <v>7</v>
      </c>
      <c r="Y2304" s="95">
        <f t="shared" ref="Y2304:Y2317" si="162">YEAR(H2304)</f>
        <v>2022</v>
      </c>
      <c r="Z2304" s="97" t="s">
        <v>266</v>
      </c>
      <c r="AA2304" t="str">
        <f>IF(Tabla1[[#This Row],[Kerma en aire acumulada (Gy)]]&gt;1,SUMIF(G:G,Tabla1[[#This Row],[SIP]],I:I)-Tabla1[[#This Row],[Kerma en aire acumulada (Gy)]],"")</f>
        <v/>
      </c>
    </row>
    <row r="2305" spans="3:27">
      <c r="C2305" s="144" t="str">
        <f t="shared" si="160"/>
        <v>Adulto</v>
      </c>
      <c r="D2305" s="95" t="s">
        <v>3421</v>
      </c>
      <c r="E2305" s="95" t="s">
        <v>962</v>
      </c>
      <c r="F2305" s="95" t="s">
        <v>803</v>
      </c>
      <c r="G2305" s="95">
        <v>2256855</v>
      </c>
      <c r="H2305" s="146">
        <v>44761</v>
      </c>
      <c r="I2305" s="95">
        <v>0.14818999999999999</v>
      </c>
      <c r="J2305" s="95"/>
      <c r="K2305" s="95"/>
      <c r="L2305" s="95"/>
      <c r="M2305" s="95"/>
      <c r="N2305" s="95"/>
      <c r="O2305" s="95"/>
      <c r="P2305" s="95"/>
      <c r="Q2305" s="95"/>
      <c r="R2305" s="95"/>
      <c r="S2305" s="95"/>
      <c r="T2305" s="96">
        <v>27487</v>
      </c>
      <c r="U2305" s="95"/>
      <c r="V2305" s="95" t="s">
        <v>2383</v>
      </c>
      <c r="W2305" s="92" t="str">
        <f t="shared" si="159"/>
        <v>del Olmo Garcia,Inmaculada</v>
      </c>
      <c r="X2305" s="95">
        <f t="shared" si="161"/>
        <v>7</v>
      </c>
      <c r="Y2305" s="95">
        <f t="shared" si="162"/>
        <v>2022</v>
      </c>
      <c r="Z2305" s="97" t="s">
        <v>266</v>
      </c>
      <c r="AA2305" t="str">
        <f>IF(Tabla1[[#This Row],[Kerma en aire acumulada (Gy)]]&gt;1,SUMIF(G:G,Tabla1[[#This Row],[SIP]],I:I)-Tabla1[[#This Row],[Kerma en aire acumulada (Gy)]],"")</f>
        <v/>
      </c>
    </row>
    <row r="2306" spans="3:27">
      <c r="C2306" s="144" t="str">
        <f t="shared" si="160"/>
        <v>Adulto</v>
      </c>
      <c r="D2306" s="95" t="s">
        <v>997</v>
      </c>
      <c r="E2306" s="95" t="s">
        <v>1003</v>
      </c>
      <c r="F2306" s="95" t="s">
        <v>2183</v>
      </c>
      <c r="G2306" s="95">
        <v>8153148</v>
      </c>
      <c r="H2306" s="146">
        <v>44761</v>
      </c>
      <c r="I2306" s="95">
        <v>5.9080000000000001E-2</v>
      </c>
      <c r="J2306" s="95"/>
      <c r="K2306" s="95"/>
      <c r="L2306" s="95"/>
      <c r="M2306" s="95"/>
      <c r="N2306" s="95"/>
      <c r="O2306" s="95"/>
      <c r="P2306" s="95"/>
      <c r="Q2306" s="95"/>
      <c r="R2306" s="95"/>
      <c r="S2306" s="95"/>
      <c r="T2306" s="96">
        <v>21938</v>
      </c>
      <c r="U2306" s="95"/>
      <c r="V2306" s="95" t="s">
        <v>2383</v>
      </c>
      <c r="W2306" s="92" t="str">
        <f t="shared" si="159"/>
        <v>Real Romero,Agustin</v>
      </c>
      <c r="X2306" s="95">
        <f t="shared" si="161"/>
        <v>7</v>
      </c>
      <c r="Y2306" s="95">
        <f t="shared" si="162"/>
        <v>2022</v>
      </c>
      <c r="Z2306" s="97" t="s">
        <v>266</v>
      </c>
      <c r="AA2306" t="str">
        <f>IF(Tabla1[[#This Row],[Kerma en aire acumulada (Gy)]]&gt;1,SUMIF(G:G,Tabla1[[#This Row],[SIP]],I:I)-Tabla1[[#This Row],[Kerma en aire acumulada (Gy)]],"")</f>
        <v/>
      </c>
    </row>
    <row r="2307" spans="3:27">
      <c r="C2307" s="144" t="str">
        <f t="shared" si="160"/>
        <v>Adulto</v>
      </c>
      <c r="D2307" s="95" t="s">
        <v>319</v>
      </c>
      <c r="E2307" s="95" t="s">
        <v>1617</v>
      </c>
      <c r="F2307" s="95" t="s">
        <v>1759</v>
      </c>
      <c r="G2307" s="145">
        <v>3732036</v>
      </c>
      <c r="H2307" s="146">
        <v>44761</v>
      </c>
      <c r="I2307" s="145">
        <v>0.14136000000000001</v>
      </c>
      <c r="J2307" s="145"/>
      <c r="K2307" s="145"/>
      <c r="L2307" s="145"/>
      <c r="M2307" s="145"/>
      <c r="N2307" s="145"/>
      <c r="O2307" s="145"/>
      <c r="P2307" s="145"/>
      <c r="Q2307" s="145"/>
      <c r="R2307" s="145"/>
      <c r="S2307" s="145"/>
      <c r="T2307" s="146">
        <v>18980</v>
      </c>
      <c r="U2307" s="145"/>
      <c r="V2307" s="95" t="s">
        <v>2383</v>
      </c>
      <c r="W2307" s="92" t="str">
        <f t="shared" si="159"/>
        <v>Gonzalez Adrian,Martin</v>
      </c>
      <c r="X2307" s="95">
        <f t="shared" si="161"/>
        <v>7</v>
      </c>
      <c r="Y2307" s="95">
        <f t="shared" si="162"/>
        <v>2022</v>
      </c>
      <c r="Z2307" s="97" t="s">
        <v>266</v>
      </c>
      <c r="AA2307" t="str">
        <f>IF(Tabla1[[#This Row],[Kerma en aire acumulada (Gy)]]&gt;1,SUMIF(G:G,Tabla1[[#This Row],[SIP]],I:I)-Tabla1[[#This Row],[Kerma en aire acumulada (Gy)]],"")</f>
        <v/>
      </c>
    </row>
    <row r="2308" spans="3:27">
      <c r="C2308" s="144" t="str">
        <f t="shared" si="160"/>
        <v>Adulto</v>
      </c>
      <c r="D2308" s="95" t="s">
        <v>3420</v>
      </c>
      <c r="E2308" s="145"/>
      <c r="F2308" s="95" t="s">
        <v>850</v>
      </c>
      <c r="G2308" s="145">
        <v>5337858</v>
      </c>
      <c r="H2308" s="146">
        <v>44761</v>
      </c>
      <c r="I2308" s="145">
        <v>0.36125000000000002</v>
      </c>
      <c r="J2308" s="145"/>
      <c r="K2308" s="145"/>
      <c r="L2308" s="145"/>
      <c r="M2308" s="145"/>
      <c r="N2308" s="145"/>
      <c r="O2308" s="145"/>
      <c r="P2308" s="145"/>
      <c r="Q2308" s="145"/>
      <c r="R2308" s="145"/>
      <c r="S2308" s="145"/>
      <c r="T2308" s="146">
        <v>22125</v>
      </c>
      <c r="U2308" s="145"/>
      <c r="V2308" s="95" t="s">
        <v>2383</v>
      </c>
      <c r="W2308" s="92" t="str">
        <f t="shared" si="159"/>
        <v>Chengzong ,Zhu</v>
      </c>
      <c r="X2308" s="95">
        <f t="shared" si="161"/>
        <v>7</v>
      </c>
      <c r="Y2308" s="95">
        <f t="shared" si="162"/>
        <v>2022</v>
      </c>
      <c r="Z2308" s="97" t="s">
        <v>266</v>
      </c>
      <c r="AA2308" t="str">
        <f>IF(Tabla1[[#This Row],[Kerma en aire acumulada (Gy)]]&gt;1,SUMIF(G:G,Tabla1[[#This Row],[SIP]],I:I)-Tabla1[[#This Row],[Kerma en aire acumulada (Gy)]],"")</f>
        <v/>
      </c>
    </row>
    <row r="2309" spans="3:27">
      <c r="C2309" s="144" t="str">
        <f t="shared" si="160"/>
        <v>Adulto</v>
      </c>
      <c r="D2309" s="95" t="s">
        <v>3419</v>
      </c>
      <c r="E2309" s="95" t="s">
        <v>1103</v>
      </c>
      <c r="F2309" s="95" t="s">
        <v>2561</v>
      </c>
      <c r="G2309" s="145">
        <v>3182608</v>
      </c>
      <c r="H2309" s="146">
        <v>44761</v>
      </c>
      <c r="I2309" s="168">
        <v>2.0366599999999999</v>
      </c>
      <c r="J2309" s="145"/>
      <c r="K2309" s="145"/>
      <c r="L2309" s="145"/>
      <c r="M2309" s="145"/>
      <c r="N2309" s="145"/>
      <c r="O2309" s="145"/>
      <c r="P2309" s="145"/>
      <c r="Q2309" s="145"/>
      <c r="R2309" s="145"/>
      <c r="S2309" s="145"/>
      <c r="T2309" s="146">
        <v>15264</v>
      </c>
      <c r="U2309" s="145"/>
      <c r="V2309" s="95" t="s">
        <v>2383</v>
      </c>
      <c r="W2309" s="92" t="str">
        <f t="shared" si="159"/>
        <v>Tort Flores,M Luisa</v>
      </c>
      <c r="X2309" s="95">
        <f t="shared" si="161"/>
        <v>7</v>
      </c>
      <c r="Y2309" s="95">
        <f t="shared" si="162"/>
        <v>2022</v>
      </c>
      <c r="Z2309" s="97" t="s">
        <v>266</v>
      </c>
      <c r="AA2309">
        <f>IF(Tabla1[[#This Row],[Kerma en aire acumulada (Gy)]]&gt;1,SUMIF(G:G,Tabla1[[#This Row],[SIP]],I:I)-Tabla1[[#This Row],[Kerma en aire acumulada (Gy)]],"")</f>
        <v>0</v>
      </c>
    </row>
    <row r="2310" spans="3:27">
      <c r="C2310" s="144" t="str">
        <f t="shared" si="160"/>
        <v>Adulto</v>
      </c>
      <c r="D2310" s="95" t="s">
        <v>328</v>
      </c>
      <c r="E2310" s="95" t="s">
        <v>2414</v>
      </c>
      <c r="F2310" s="95" t="s">
        <v>20</v>
      </c>
      <c r="G2310" s="145">
        <v>2807647</v>
      </c>
      <c r="H2310" s="146">
        <v>44761</v>
      </c>
      <c r="I2310" s="145">
        <v>0.22203999999999999</v>
      </c>
      <c r="J2310" s="145"/>
      <c r="K2310" s="145"/>
      <c r="L2310" s="145"/>
      <c r="M2310" s="145"/>
      <c r="N2310" s="145"/>
      <c r="O2310" s="145"/>
      <c r="P2310" s="145"/>
      <c r="Q2310" s="145"/>
      <c r="R2310" s="145"/>
      <c r="S2310" s="145"/>
      <c r="T2310" s="146">
        <v>12253</v>
      </c>
      <c r="U2310" s="145"/>
      <c r="V2310" s="95" t="s">
        <v>2383</v>
      </c>
      <c r="W2310" s="92" t="str">
        <f t="shared" si="159"/>
        <v>Prieto Bernabe,Antonio</v>
      </c>
      <c r="X2310" s="95">
        <f t="shared" si="161"/>
        <v>7</v>
      </c>
      <c r="Y2310" s="95">
        <f t="shared" si="162"/>
        <v>2022</v>
      </c>
      <c r="Z2310" s="97" t="s">
        <v>266</v>
      </c>
      <c r="AA2310" t="str">
        <f>IF(Tabla1[[#This Row],[Kerma en aire acumulada (Gy)]]&gt;1,SUMIF(G:G,Tabla1[[#This Row],[SIP]],I:I)-Tabla1[[#This Row],[Kerma en aire acumulada (Gy)]],"")</f>
        <v/>
      </c>
    </row>
    <row r="2311" spans="3:27">
      <c r="C2311" s="144" t="str">
        <f t="shared" si="160"/>
        <v>Adulto</v>
      </c>
      <c r="D2311" s="95" t="s">
        <v>3417</v>
      </c>
      <c r="E2311" s="95" t="s">
        <v>3286</v>
      </c>
      <c r="F2311" s="95" t="s">
        <v>3287</v>
      </c>
      <c r="G2311" s="145">
        <v>3202601</v>
      </c>
      <c r="H2311" s="146">
        <v>44761</v>
      </c>
      <c r="I2311" s="145">
        <v>0.92793999999999999</v>
      </c>
      <c r="J2311" s="145"/>
      <c r="K2311" s="145"/>
      <c r="L2311" s="145"/>
      <c r="M2311" s="145"/>
      <c r="N2311" s="145"/>
      <c r="O2311" s="145"/>
      <c r="P2311" s="145"/>
      <c r="Q2311" s="145"/>
      <c r="R2311" s="145"/>
      <c r="S2311" s="145"/>
      <c r="T2311" s="146">
        <v>16202</v>
      </c>
      <c r="U2311" s="145"/>
      <c r="V2311" s="95" t="s">
        <v>3418</v>
      </c>
      <c r="W2311" s="92" t="str">
        <f t="shared" si="159"/>
        <v>Vallterra Musoles,M Julia</v>
      </c>
      <c r="X2311" s="95">
        <f t="shared" si="161"/>
        <v>7</v>
      </c>
      <c r="Y2311" s="95">
        <f t="shared" si="162"/>
        <v>2022</v>
      </c>
      <c r="Z2311" s="97" t="s">
        <v>265</v>
      </c>
      <c r="AA2311" t="str">
        <f>IF(Tabla1[[#This Row],[Kerma en aire acumulada (Gy)]]&gt;1,SUMIF(G:G,Tabla1[[#This Row],[SIP]],I:I)-Tabla1[[#This Row],[Kerma en aire acumulada (Gy)]],"")</f>
        <v/>
      </c>
    </row>
    <row r="2312" spans="3:27">
      <c r="C2312" s="144" t="str">
        <f t="shared" si="160"/>
        <v>Adulto</v>
      </c>
      <c r="D2312" s="95" t="s">
        <v>3415</v>
      </c>
      <c r="E2312" s="95" t="s">
        <v>3416</v>
      </c>
      <c r="F2312" s="95" t="s">
        <v>71</v>
      </c>
      <c r="G2312" s="145">
        <v>297575</v>
      </c>
      <c r="H2312" s="146">
        <v>44761</v>
      </c>
      <c r="I2312" s="145">
        <v>0.14793000000000001</v>
      </c>
      <c r="J2312" s="145"/>
      <c r="K2312" s="145"/>
      <c r="L2312" s="145"/>
      <c r="M2312" s="145"/>
      <c r="N2312" s="145"/>
      <c r="O2312" s="145"/>
      <c r="P2312" s="145"/>
      <c r="Q2312" s="145"/>
      <c r="R2312" s="145"/>
      <c r="S2312" s="145"/>
      <c r="T2312" s="146">
        <v>24051</v>
      </c>
      <c r="U2312" s="145"/>
      <c r="V2312" s="95" t="s">
        <v>1116</v>
      </c>
      <c r="W2312" s="92" t="str">
        <f t="shared" si="159"/>
        <v>Gualde Sellens,Rafael</v>
      </c>
      <c r="X2312" s="95">
        <f t="shared" si="161"/>
        <v>7</v>
      </c>
      <c r="Y2312" s="95">
        <f t="shared" si="162"/>
        <v>2022</v>
      </c>
      <c r="Z2312" s="97" t="s">
        <v>265</v>
      </c>
      <c r="AA2312" t="str">
        <f>IF(Tabla1[[#This Row],[Kerma en aire acumulada (Gy)]]&gt;1,SUMIF(G:G,Tabla1[[#This Row],[SIP]],I:I)-Tabla1[[#This Row],[Kerma en aire acumulada (Gy)]],"")</f>
        <v/>
      </c>
    </row>
    <row r="2313" spans="3:27">
      <c r="C2313" s="144" t="str">
        <f t="shared" si="160"/>
        <v>Adulto</v>
      </c>
      <c r="D2313" s="95" t="s">
        <v>1294</v>
      </c>
      <c r="E2313" s="95" t="s">
        <v>694</v>
      </c>
      <c r="F2313" s="95" t="s">
        <v>834</v>
      </c>
      <c r="G2313" s="145">
        <v>3742908</v>
      </c>
      <c r="H2313" s="146">
        <v>44761</v>
      </c>
      <c r="I2313" s="145">
        <v>0.82660999999999996</v>
      </c>
      <c r="J2313" s="145"/>
      <c r="K2313" s="145"/>
      <c r="L2313" s="145"/>
      <c r="M2313" s="145"/>
      <c r="N2313" s="145"/>
      <c r="O2313" s="145"/>
      <c r="P2313" s="145"/>
      <c r="Q2313" s="145"/>
      <c r="R2313" s="145"/>
      <c r="S2313" s="145"/>
      <c r="T2313" s="146">
        <v>21141</v>
      </c>
      <c r="U2313" s="145"/>
      <c r="V2313" s="95" t="s">
        <v>260</v>
      </c>
      <c r="W2313" s="92" t="str">
        <f t="shared" si="159"/>
        <v>Roca Llopis,Pedro</v>
      </c>
      <c r="X2313" s="95">
        <f t="shared" si="161"/>
        <v>7</v>
      </c>
      <c r="Y2313" s="95">
        <f t="shared" si="162"/>
        <v>2022</v>
      </c>
      <c r="Z2313" s="97" t="s">
        <v>265</v>
      </c>
      <c r="AA2313" t="str">
        <f>IF(Tabla1[[#This Row],[Kerma en aire acumulada (Gy)]]&gt;1,SUMIF(G:G,Tabla1[[#This Row],[SIP]],I:I)-Tabla1[[#This Row],[Kerma en aire acumulada (Gy)]],"")</f>
        <v/>
      </c>
    </row>
    <row r="2314" spans="3:27">
      <c r="C2314" s="144" t="str">
        <f t="shared" si="160"/>
        <v>Adulto</v>
      </c>
      <c r="D2314" s="95" t="s">
        <v>57</v>
      </c>
      <c r="E2314" s="95" t="s">
        <v>1009</v>
      </c>
      <c r="F2314" s="95" t="s">
        <v>2183</v>
      </c>
      <c r="G2314" s="145">
        <v>2688951</v>
      </c>
      <c r="H2314" s="146">
        <v>44761</v>
      </c>
      <c r="I2314" s="145">
        <v>2.2669999999999999E-2</v>
      </c>
      <c r="J2314" s="145"/>
      <c r="K2314" s="145"/>
      <c r="L2314" s="145"/>
      <c r="M2314" s="145"/>
      <c r="N2314" s="145"/>
      <c r="O2314" s="145"/>
      <c r="P2314" s="145"/>
      <c r="Q2314" s="145"/>
      <c r="R2314" s="145"/>
      <c r="S2314" s="145"/>
      <c r="T2314" s="146">
        <v>16203</v>
      </c>
      <c r="U2314" s="145"/>
      <c r="V2314" s="95" t="s">
        <v>1622</v>
      </c>
      <c r="W2314" s="92" t="str">
        <f t="shared" si="159"/>
        <v>Miguel Fernandez,Agustin</v>
      </c>
      <c r="X2314" s="95">
        <f t="shared" si="161"/>
        <v>7</v>
      </c>
      <c r="Y2314" s="95">
        <f t="shared" si="162"/>
        <v>2022</v>
      </c>
      <c r="Z2314" s="97" t="s">
        <v>265</v>
      </c>
      <c r="AA2314" t="str">
        <f>IF(Tabla1[[#This Row],[Kerma en aire acumulada (Gy)]]&gt;1,SUMIF(G:G,Tabla1[[#This Row],[SIP]],I:I)-Tabla1[[#This Row],[Kerma en aire acumulada (Gy)]],"")</f>
        <v/>
      </c>
    </row>
    <row r="2315" spans="3:27">
      <c r="C2315" s="144" t="str">
        <f t="shared" si="160"/>
        <v>Adulto</v>
      </c>
      <c r="D2315" s="95" t="s">
        <v>3413</v>
      </c>
      <c r="E2315" s="95" t="s">
        <v>981</v>
      </c>
      <c r="F2315" s="95" t="s">
        <v>3414</v>
      </c>
      <c r="G2315" s="145">
        <v>2932608</v>
      </c>
      <c r="H2315" s="146">
        <v>44761</v>
      </c>
      <c r="I2315" s="145">
        <v>6.9599999999999995E-2</v>
      </c>
      <c r="J2315" s="145"/>
      <c r="K2315" s="145"/>
      <c r="L2315" s="145"/>
      <c r="M2315" s="145"/>
      <c r="N2315" s="145"/>
      <c r="O2315" s="145"/>
      <c r="P2315" s="145"/>
      <c r="Q2315" s="145"/>
      <c r="R2315" s="145"/>
      <c r="S2315" s="145"/>
      <c r="T2315" s="146">
        <v>20395</v>
      </c>
      <c r="U2315" s="145"/>
      <c r="V2315" s="95" t="s">
        <v>1086</v>
      </c>
      <c r="W2315" s="92" t="str">
        <f t="shared" si="159"/>
        <v>Falaguera Herraiz,Salvador Vicente</v>
      </c>
      <c r="X2315" s="95">
        <f t="shared" si="161"/>
        <v>7</v>
      </c>
      <c r="Y2315" s="95">
        <f t="shared" si="162"/>
        <v>2022</v>
      </c>
      <c r="Z2315" s="97" t="s">
        <v>265</v>
      </c>
      <c r="AA2315" t="str">
        <f>IF(Tabla1[[#This Row],[Kerma en aire acumulada (Gy)]]&gt;1,SUMIF(G:G,Tabla1[[#This Row],[SIP]],I:I)-Tabla1[[#This Row],[Kerma en aire acumulada (Gy)]],"")</f>
        <v/>
      </c>
    </row>
    <row r="2316" spans="3:27">
      <c r="C2316" s="144" t="str">
        <f t="shared" si="160"/>
        <v>Adulto</v>
      </c>
      <c r="D2316" s="95" t="s">
        <v>3437</v>
      </c>
      <c r="E2316" s="95" t="s">
        <v>169</v>
      </c>
      <c r="F2316" s="95" t="s">
        <v>3438</v>
      </c>
      <c r="G2316" s="95">
        <v>4119877</v>
      </c>
      <c r="H2316" s="96">
        <v>44762</v>
      </c>
      <c r="I2316" s="95">
        <v>2.8340000000000001E-2</v>
      </c>
      <c r="J2316" s="95"/>
      <c r="K2316" s="95"/>
      <c r="L2316" s="95"/>
      <c r="M2316" s="95"/>
      <c r="N2316" s="95"/>
      <c r="O2316" s="95"/>
      <c r="P2316" s="95"/>
      <c r="Q2316" s="95"/>
      <c r="R2316" s="95"/>
      <c r="S2316" s="95"/>
      <c r="T2316" s="96">
        <v>23179</v>
      </c>
      <c r="U2316" s="95"/>
      <c r="V2316" s="95" t="s">
        <v>3077</v>
      </c>
      <c r="W2316" s="92" t="str">
        <f t="shared" si="159"/>
        <v>Rizo Valero,Alfredo Elias</v>
      </c>
      <c r="X2316" s="95">
        <f t="shared" si="161"/>
        <v>7</v>
      </c>
      <c r="Y2316" s="95">
        <f t="shared" si="162"/>
        <v>2022</v>
      </c>
      <c r="Z2316" s="97" t="s">
        <v>2238</v>
      </c>
      <c r="AA2316" t="str">
        <f>IF(Tabla1[[#This Row],[Kerma en aire acumulada (Gy)]]&gt;1,SUMIF(G:G,Tabla1[[#This Row],[SIP]],I:I)-Tabla1[[#This Row],[Kerma en aire acumulada (Gy)]],"")</f>
        <v/>
      </c>
    </row>
    <row r="2317" spans="3:27">
      <c r="C2317" s="144" t="str">
        <f t="shared" si="160"/>
        <v>Adulto</v>
      </c>
      <c r="D2317" s="95" t="s">
        <v>3436</v>
      </c>
      <c r="E2317" s="95" t="s">
        <v>2111</v>
      </c>
      <c r="F2317" s="95" t="s">
        <v>88</v>
      </c>
      <c r="G2317" s="95">
        <v>1207927</v>
      </c>
      <c r="H2317" s="96">
        <v>44762</v>
      </c>
      <c r="I2317" s="95">
        <v>1.214E-2</v>
      </c>
      <c r="J2317" s="95"/>
      <c r="K2317" s="95"/>
      <c r="L2317" s="95"/>
      <c r="M2317" s="95"/>
      <c r="N2317" s="95"/>
      <c r="O2317" s="95"/>
      <c r="P2317" s="95"/>
      <c r="Q2317" s="95"/>
      <c r="R2317" s="95"/>
      <c r="S2317" s="95"/>
      <c r="T2317" s="96">
        <v>16331</v>
      </c>
      <c r="U2317" s="95"/>
      <c r="V2317" s="95" t="s">
        <v>2309</v>
      </c>
      <c r="W2317" s="92" t="str">
        <f t="shared" si="159"/>
        <v>Estors Guillot,Vicente</v>
      </c>
      <c r="X2317" s="95">
        <f t="shared" si="161"/>
        <v>7</v>
      </c>
      <c r="Y2317" s="95">
        <f t="shared" si="162"/>
        <v>2022</v>
      </c>
      <c r="Z2317" s="97" t="s">
        <v>2238</v>
      </c>
      <c r="AA2317" t="str">
        <f>IF(Tabla1[[#This Row],[Kerma en aire acumulada (Gy)]]&gt;1,SUMIF(G:G,Tabla1[[#This Row],[SIP]],I:I)-Tabla1[[#This Row],[Kerma en aire acumulada (Gy)]],"")</f>
        <v/>
      </c>
    </row>
    <row r="2318" spans="3:27">
      <c r="C2318" s="144" t="str">
        <f t="shared" si="160"/>
        <v>Adulto</v>
      </c>
      <c r="D2318" s="95" t="s">
        <v>772</v>
      </c>
      <c r="E2318" s="95" t="s">
        <v>641</v>
      </c>
      <c r="F2318" s="95" t="s">
        <v>3435</v>
      </c>
      <c r="G2318" s="95">
        <v>2594237</v>
      </c>
      <c r="H2318" s="96">
        <v>44762</v>
      </c>
      <c r="I2318" s="95">
        <v>0.11698</v>
      </c>
      <c r="J2318" s="95"/>
      <c r="K2318" s="95"/>
      <c r="L2318" s="95"/>
      <c r="M2318" s="95"/>
      <c r="N2318" s="95"/>
      <c r="O2318" s="95"/>
      <c r="P2318" s="95"/>
      <c r="Q2318" s="95"/>
      <c r="R2318" s="95"/>
      <c r="S2318" s="95"/>
      <c r="T2318" s="96">
        <v>24241</v>
      </c>
      <c r="U2318" s="95"/>
      <c r="V2318" s="95" t="s">
        <v>2383</v>
      </c>
      <c r="W2318" s="92" t="str">
        <f t="shared" si="159"/>
        <v>Sanchez Parra,Antonio Francisco</v>
      </c>
      <c r="X2318" s="95">
        <f>MONTH(H2316)</f>
        <v>7</v>
      </c>
      <c r="Y2318" s="95">
        <f>YEAR(H2316)</f>
        <v>2022</v>
      </c>
      <c r="Z2318" s="97" t="s">
        <v>266</v>
      </c>
      <c r="AA2318" t="str">
        <f>IF(Tabla1[[#This Row],[Kerma en aire acumulada (Gy)]]&gt;1,SUMIF(G:G,Tabla1[[#This Row],[SIP]],I:I)-Tabla1[[#This Row],[Kerma en aire acumulada (Gy)]],"")</f>
        <v/>
      </c>
    </row>
    <row r="2319" spans="3:27">
      <c r="C2319" s="144" t="str">
        <f t="shared" si="160"/>
        <v>Adulto</v>
      </c>
      <c r="D2319" s="95" t="s">
        <v>3434</v>
      </c>
      <c r="E2319" s="95" t="s">
        <v>962</v>
      </c>
      <c r="F2319" s="95" t="s">
        <v>774</v>
      </c>
      <c r="G2319" s="95">
        <v>2020095</v>
      </c>
      <c r="H2319" s="96">
        <v>44762</v>
      </c>
      <c r="I2319" s="95">
        <v>0.27338000000000001</v>
      </c>
      <c r="J2319" s="95"/>
      <c r="K2319" s="95"/>
      <c r="L2319" s="95"/>
      <c r="M2319" s="95"/>
      <c r="N2319" s="95"/>
      <c r="O2319" s="95"/>
      <c r="P2319" s="95"/>
      <c r="Q2319" s="95"/>
      <c r="R2319" s="95"/>
      <c r="S2319" s="95"/>
      <c r="T2319" s="96">
        <v>21688</v>
      </c>
      <c r="U2319" s="95"/>
      <c r="V2319" s="95" t="s">
        <v>2383</v>
      </c>
      <c r="W2319" s="92" t="str">
        <f t="shared" si="159"/>
        <v>Consuegra Garcia,Antonia</v>
      </c>
      <c r="X2319" s="95">
        <f>MONTH(H2319)</f>
        <v>7</v>
      </c>
      <c r="Y2319" s="95">
        <f>YEAR(H2319)</f>
        <v>2022</v>
      </c>
      <c r="Z2319" s="97" t="s">
        <v>266</v>
      </c>
      <c r="AA2319" t="str">
        <f>IF(Tabla1[[#This Row],[Kerma en aire acumulada (Gy)]]&gt;1,SUMIF(G:G,Tabla1[[#This Row],[SIP]],I:I)-Tabla1[[#This Row],[Kerma en aire acumulada (Gy)]],"")</f>
        <v/>
      </c>
    </row>
    <row r="2320" spans="3:27">
      <c r="C2320" s="144" t="str">
        <f t="shared" si="160"/>
        <v>Adulto</v>
      </c>
      <c r="D2320" s="95" t="s">
        <v>631</v>
      </c>
      <c r="E2320" s="95" t="s">
        <v>1275</v>
      </c>
      <c r="F2320" s="95" t="s">
        <v>3433</v>
      </c>
      <c r="G2320" s="95">
        <v>4234621</v>
      </c>
      <c r="H2320" s="96">
        <v>44762</v>
      </c>
      <c r="I2320" s="95">
        <v>6.5960000000000005E-2</v>
      </c>
      <c r="J2320" s="95"/>
      <c r="K2320" s="95"/>
      <c r="L2320" s="95"/>
      <c r="M2320" s="95"/>
      <c r="N2320" s="95"/>
      <c r="O2320" s="95"/>
      <c r="P2320" s="95"/>
      <c r="Q2320" s="95"/>
      <c r="R2320" s="95"/>
      <c r="S2320" s="95"/>
      <c r="T2320" s="96">
        <v>15731</v>
      </c>
      <c r="U2320" s="95"/>
      <c r="V2320" s="95" t="s">
        <v>2383</v>
      </c>
      <c r="W2320" s="92" t="str">
        <f t="shared" si="159"/>
        <v>Molina Ramirez,Paz</v>
      </c>
      <c r="X2320" s="95">
        <f>MONTH(H2320)</f>
        <v>7</v>
      </c>
      <c r="Y2320" s="95">
        <f>YEAR(H2320)</f>
        <v>2022</v>
      </c>
      <c r="Z2320" s="97" t="s">
        <v>266</v>
      </c>
      <c r="AA2320" t="str">
        <f>IF(Tabla1[[#This Row],[Kerma en aire acumulada (Gy)]]&gt;1,SUMIF(G:G,Tabla1[[#This Row],[SIP]],I:I)-Tabla1[[#This Row],[Kerma en aire acumulada (Gy)]],"")</f>
        <v/>
      </c>
    </row>
    <row r="2321" spans="3:27">
      <c r="C2321" s="144" t="str">
        <f t="shared" si="160"/>
        <v>Adulto</v>
      </c>
      <c r="D2321" s="95" t="s">
        <v>78</v>
      </c>
      <c r="E2321" s="95" t="s">
        <v>3192</v>
      </c>
      <c r="F2321" s="95" t="s">
        <v>3432</v>
      </c>
      <c r="G2321" s="95">
        <v>1202586</v>
      </c>
      <c r="H2321" s="96">
        <v>44762</v>
      </c>
      <c r="I2321" s="95">
        <v>7.4579999999999994E-2</v>
      </c>
      <c r="J2321" s="95"/>
      <c r="K2321" s="95"/>
      <c r="L2321" s="95"/>
      <c r="M2321" s="95"/>
      <c r="N2321" s="95"/>
      <c r="O2321" s="95"/>
      <c r="P2321" s="95"/>
      <c r="Q2321" s="95"/>
      <c r="R2321" s="95"/>
      <c r="S2321" s="95"/>
      <c r="T2321" s="96">
        <v>24216</v>
      </c>
      <c r="U2321" s="95"/>
      <c r="V2321" s="95" t="s">
        <v>2383</v>
      </c>
      <c r="W2321" s="92" t="str">
        <f t="shared" si="159"/>
        <v>Ballester Alonso,Francisco Ramon</v>
      </c>
      <c r="X2321" s="95">
        <f>MONTH(H2319)</f>
        <v>7</v>
      </c>
      <c r="Y2321" s="95">
        <f>YEAR(H2319)</f>
        <v>2022</v>
      </c>
      <c r="Z2321" s="97" t="s">
        <v>266</v>
      </c>
      <c r="AA2321" t="str">
        <f>IF(Tabla1[[#This Row],[Kerma en aire acumulada (Gy)]]&gt;1,SUMIF(G:G,Tabla1[[#This Row],[SIP]],I:I)-Tabla1[[#This Row],[Kerma en aire acumulada (Gy)]],"")</f>
        <v/>
      </c>
    </row>
    <row r="2322" spans="3:27">
      <c r="C2322" s="144" t="str">
        <f>IF(OR(H2320="",T2322=""),"",IF((H2320-T2322)/12/30&lt;18,"Pediátrico","Adulto"))</f>
        <v>Adulto</v>
      </c>
      <c r="D2322" s="95" t="s">
        <v>960</v>
      </c>
      <c r="E2322" s="95" t="s">
        <v>22</v>
      </c>
      <c r="F2322" s="95" t="s">
        <v>2189</v>
      </c>
      <c r="G2322" s="95">
        <v>3753083</v>
      </c>
      <c r="H2322" s="96">
        <v>44762</v>
      </c>
      <c r="I2322" s="168">
        <v>1.06938</v>
      </c>
      <c r="J2322" s="95"/>
      <c r="K2322" s="95"/>
      <c r="L2322" s="95"/>
      <c r="M2322" s="95"/>
      <c r="N2322" s="95"/>
      <c r="O2322" s="95"/>
      <c r="P2322" s="95"/>
      <c r="Q2322" s="95"/>
      <c r="R2322" s="95"/>
      <c r="S2322" s="95"/>
      <c r="T2322" s="96">
        <v>21276</v>
      </c>
      <c r="U2322" s="95"/>
      <c r="V2322" s="95" t="s">
        <v>2383</v>
      </c>
      <c r="W2322" s="92" t="str">
        <f t="shared" si="159"/>
        <v>Lopez Ruiz,Juan Jose</v>
      </c>
      <c r="X2322" s="95">
        <f>MONTH(H2322)</f>
        <v>7</v>
      </c>
      <c r="Y2322" s="95">
        <f>YEAR(H2322)</f>
        <v>2022</v>
      </c>
      <c r="Z2322" s="97" t="s">
        <v>266</v>
      </c>
      <c r="AA2322">
        <f>IF(Tabla1[[#This Row],[Kerma en aire acumulada (Gy)]]&gt;1,SUMIF(G:G,Tabla1[[#This Row],[SIP]],I:I)-Tabla1[[#This Row],[Kerma en aire acumulada (Gy)]],"")</f>
        <v>0</v>
      </c>
    </row>
    <row r="2323" spans="3:27">
      <c r="C2323" s="144" t="str">
        <f>IF(OR(H2321="",T2323=""),"",IF((H2321-T2323)/12/30&lt;18,"Pediátrico","Adulto"))</f>
        <v>Adulto</v>
      </c>
      <c r="D2323" s="95" t="s">
        <v>66</v>
      </c>
      <c r="E2323" s="95" t="s">
        <v>966</v>
      </c>
      <c r="F2323" s="95" t="s">
        <v>20</v>
      </c>
      <c r="G2323" s="95">
        <v>1060204</v>
      </c>
      <c r="H2323" s="96">
        <v>44762</v>
      </c>
      <c r="I2323" s="95">
        <v>0.37731999999999999</v>
      </c>
      <c r="J2323" s="95"/>
      <c r="K2323" s="95"/>
      <c r="L2323" s="95"/>
      <c r="M2323" s="95"/>
      <c r="N2323" s="95"/>
      <c r="O2323" s="95"/>
      <c r="P2323" s="95"/>
      <c r="Q2323" s="95"/>
      <c r="R2323" s="95"/>
      <c r="S2323" s="95"/>
      <c r="T2323" s="96">
        <v>23028</v>
      </c>
      <c r="U2323" s="95"/>
      <c r="V2323" s="95" t="s">
        <v>2383</v>
      </c>
      <c r="W2323" s="92" t="str">
        <f t="shared" si="159"/>
        <v>Navarro Marco,Antonio</v>
      </c>
      <c r="X2323" s="95">
        <f>MONTH(H2323)</f>
        <v>7</v>
      </c>
      <c r="Y2323" s="95">
        <f>YEAR(H2323)</f>
        <v>2022</v>
      </c>
      <c r="Z2323" s="97" t="s">
        <v>266</v>
      </c>
      <c r="AA2323" t="str">
        <f>IF(Tabla1[[#This Row],[Kerma en aire acumulada (Gy)]]&gt;1,SUMIF(G:G,Tabla1[[#This Row],[SIP]],I:I)-Tabla1[[#This Row],[Kerma en aire acumulada (Gy)]],"")</f>
        <v/>
      </c>
    </row>
    <row r="2324" spans="3:27">
      <c r="C2324" s="144" t="str">
        <f>IF(OR(H2324="",T2324=""),"",IF((H2324-T2324)/12/30&lt;18,"Pediátrico","Adulto"))</f>
        <v>Adulto</v>
      </c>
      <c r="D2324" s="95" t="s">
        <v>3430</v>
      </c>
      <c r="E2324" s="95"/>
      <c r="F2324" s="95" t="s">
        <v>3431</v>
      </c>
      <c r="G2324" s="95">
        <v>13150094</v>
      </c>
      <c r="H2324" s="96">
        <v>44762</v>
      </c>
      <c r="I2324" s="95">
        <v>0.22017999999999999</v>
      </c>
      <c r="J2324" s="95"/>
      <c r="K2324" s="95"/>
      <c r="L2324" s="95"/>
      <c r="M2324" s="95"/>
      <c r="N2324" s="95"/>
      <c r="O2324" s="95"/>
      <c r="P2324" s="95"/>
      <c r="Q2324" s="95"/>
      <c r="R2324" s="95"/>
      <c r="S2324" s="95"/>
      <c r="T2324" s="96">
        <v>24473</v>
      </c>
      <c r="U2324" s="95"/>
      <c r="V2324" s="95" t="s">
        <v>2383</v>
      </c>
      <c r="W2324" s="92" t="str">
        <f t="shared" si="159"/>
        <v>Guendoul ,Laid</v>
      </c>
      <c r="X2324" s="95">
        <f>MONTH(H2322)</f>
        <v>7</v>
      </c>
      <c r="Y2324" s="95">
        <f>YEAR(H2322)</f>
        <v>2022</v>
      </c>
      <c r="Z2324" s="97" t="s">
        <v>266</v>
      </c>
      <c r="AA2324" t="str">
        <f>IF(Tabla1[[#This Row],[Kerma en aire acumulada (Gy)]]&gt;1,SUMIF(G:G,Tabla1[[#This Row],[SIP]],I:I)-Tabla1[[#This Row],[Kerma en aire acumulada (Gy)]],"")</f>
        <v/>
      </c>
    </row>
    <row r="2325" spans="3:27">
      <c r="C2325" s="144" t="str">
        <f>IF(OR(H2323="",T2325=""),"",IF((H2323-T2325)/12/30&lt;18,"Pediátrico","Adulto"))</f>
        <v>Adulto</v>
      </c>
      <c r="D2325" s="95" t="s">
        <v>3428</v>
      </c>
      <c r="E2325" s="95" t="s">
        <v>3429</v>
      </c>
      <c r="F2325" s="95" t="s">
        <v>2444</v>
      </c>
      <c r="G2325" s="95">
        <v>4698759</v>
      </c>
      <c r="H2325" s="96">
        <v>44762</v>
      </c>
      <c r="I2325" s="95">
        <v>0.18953999999999999</v>
      </c>
      <c r="J2325" s="95"/>
      <c r="K2325" s="95"/>
      <c r="L2325" s="95"/>
      <c r="M2325" s="95"/>
      <c r="N2325" s="95"/>
      <c r="O2325" s="95"/>
      <c r="P2325" s="95"/>
      <c r="Q2325" s="95"/>
      <c r="R2325" s="95"/>
      <c r="S2325" s="95"/>
      <c r="T2325" s="96">
        <v>19719</v>
      </c>
      <c r="U2325" s="95"/>
      <c r="V2325" s="95" t="s">
        <v>2383</v>
      </c>
      <c r="W2325" s="92" t="str">
        <f t="shared" si="159"/>
        <v>Pelayo Machancoses,Francisco J</v>
      </c>
      <c r="X2325" s="95">
        <f>MONTH(H2325)</f>
        <v>7</v>
      </c>
      <c r="Y2325" s="95">
        <f>YEAR(H2325)</f>
        <v>2022</v>
      </c>
      <c r="Z2325" s="97" t="s">
        <v>266</v>
      </c>
      <c r="AA2325" t="str">
        <f>IF(Tabla1[[#This Row],[Kerma en aire acumulada (Gy)]]&gt;1,SUMIF(G:G,Tabla1[[#This Row],[SIP]],I:I)-Tabla1[[#This Row],[Kerma en aire acumulada (Gy)]],"")</f>
        <v/>
      </c>
    </row>
    <row r="2326" spans="3:27">
      <c r="C2326" s="144" t="str">
        <f t="shared" ref="C2326:C2333" si="163">IF(OR(H2326="",T2326=""),"",IF((H2326-T2326)/12/30&lt;18,"Pediátrico","Adulto"))</f>
        <v>Adulto</v>
      </c>
      <c r="D2326" s="95" t="s">
        <v>1719</v>
      </c>
      <c r="E2326" s="95" t="s">
        <v>3427</v>
      </c>
      <c r="F2326" s="95" t="s">
        <v>1238</v>
      </c>
      <c r="G2326" s="95">
        <v>3330257</v>
      </c>
      <c r="H2326" s="96">
        <v>44762</v>
      </c>
      <c r="I2326" s="95">
        <v>3.2419999999999997E-2</v>
      </c>
      <c r="J2326" s="95"/>
      <c r="K2326" s="95"/>
      <c r="L2326" s="95"/>
      <c r="M2326" s="95"/>
      <c r="N2326" s="95"/>
      <c r="O2326" s="95"/>
      <c r="P2326" s="95"/>
      <c r="Q2326" s="95"/>
      <c r="R2326" s="95"/>
      <c r="S2326" s="95"/>
      <c r="T2326" s="96">
        <v>16712</v>
      </c>
      <c r="U2326" s="95"/>
      <c r="V2326" s="95" t="s">
        <v>1174</v>
      </c>
      <c r="W2326" s="92" t="str">
        <f t="shared" si="159"/>
        <v>Sevilla Illana,Angel</v>
      </c>
      <c r="X2326" s="95">
        <f>MONTH(H2326)</f>
        <v>7</v>
      </c>
      <c r="Y2326" s="95">
        <f>YEAR(H2326)</f>
        <v>2022</v>
      </c>
      <c r="Z2326" s="97" t="s">
        <v>265</v>
      </c>
      <c r="AA2326" t="str">
        <f>IF(Tabla1[[#This Row],[Kerma en aire acumulada (Gy)]]&gt;1,SUMIF(G:G,Tabla1[[#This Row],[SIP]],I:I)-Tabla1[[#This Row],[Kerma en aire acumulada (Gy)]],"")</f>
        <v/>
      </c>
    </row>
    <row r="2327" spans="3:27">
      <c r="C2327" s="144" t="str">
        <f t="shared" si="163"/>
        <v>Adulto</v>
      </c>
      <c r="D2327" s="95" t="s">
        <v>3415</v>
      </c>
      <c r="E2327" s="95" t="s">
        <v>3416</v>
      </c>
      <c r="F2327" s="95" t="s">
        <v>71</v>
      </c>
      <c r="G2327" s="95">
        <v>297575</v>
      </c>
      <c r="H2327" s="96">
        <v>44762</v>
      </c>
      <c r="I2327" s="95">
        <v>5.3120000000000001E-2</v>
      </c>
      <c r="J2327" s="95"/>
      <c r="K2327" s="95"/>
      <c r="L2327" s="95"/>
      <c r="M2327" s="95"/>
      <c r="N2327" s="95"/>
      <c r="O2327" s="95"/>
      <c r="P2327" s="95"/>
      <c r="Q2327" s="95"/>
      <c r="R2327" s="95"/>
      <c r="S2327" s="95"/>
      <c r="T2327" s="96">
        <v>24051</v>
      </c>
      <c r="U2327" s="95"/>
      <c r="V2327" s="95" t="s">
        <v>1116</v>
      </c>
      <c r="W2327" s="92" t="str">
        <f t="shared" si="159"/>
        <v>Gualde Sellens,Rafael</v>
      </c>
      <c r="X2327" s="95">
        <f>MONTH(H2327)</f>
        <v>7</v>
      </c>
      <c r="Y2327" s="95">
        <f>YEAR(H2327)</f>
        <v>2022</v>
      </c>
      <c r="Z2327" s="97" t="s">
        <v>265</v>
      </c>
      <c r="AA2327" t="str">
        <f>IF(Tabla1[[#This Row],[Kerma en aire acumulada (Gy)]]&gt;1,SUMIF(G:G,Tabla1[[#This Row],[SIP]],I:I)-Tabla1[[#This Row],[Kerma en aire acumulada (Gy)]],"")</f>
        <v/>
      </c>
    </row>
    <row r="2328" spans="3:27">
      <c r="C2328" s="144" t="str">
        <f t="shared" si="163"/>
        <v>Adulto</v>
      </c>
      <c r="D2328" s="95" t="s">
        <v>2336</v>
      </c>
      <c r="E2328" s="95" t="s">
        <v>156</v>
      </c>
      <c r="F2328" s="95" t="s">
        <v>3426</v>
      </c>
      <c r="G2328" s="95">
        <v>2225963</v>
      </c>
      <c r="H2328" s="96">
        <v>44762</v>
      </c>
      <c r="I2328" s="95">
        <v>6.6E-4</v>
      </c>
      <c r="J2328" s="95"/>
      <c r="K2328" s="95"/>
      <c r="L2328" s="95"/>
      <c r="M2328" s="95"/>
      <c r="N2328" s="95"/>
      <c r="O2328" s="95"/>
      <c r="P2328" s="95"/>
      <c r="Q2328" s="95"/>
      <c r="R2328" s="95"/>
      <c r="S2328" s="95"/>
      <c r="T2328" s="96">
        <v>25610</v>
      </c>
      <c r="U2328" s="95"/>
      <c r="V2328" s="95" t="s">
        <v>1100</v>
      </c>
      <c r="W2328" s="92" t="str">
        <f t="shared" si="159"/>
        <v>Molins Pastor,Dolores M</v>
      </c>
      <c r="X2328" s="95">
        <f>MONTH(H2326)</f>
        <v>7</v>
      </c>
      <c r="Y2328" s="95">
        <f>YEAR(H2326)</f>
        <v>2022</v>
      </c>
      <c r="Z2328" s="97" t="s">
        <v>265</v>
      </c>
      <c r="AA2328" t="str">
        <f>IF(Tabla1[[#This Row],[Kerma en aire acumulada (Gy)]]&gt;1,SUMIF(G:G,Tabla1[[#This Row],[SIP]],I:I)-Tabla1[[#This Row],[Kerma en aire acumulada (Gy)]],"")</f>
        <v/>
      </c>
    </row>
    <row r="2329" spans="3:27">
      <c r="C2329" s="144" t="str">
        <f t="shared" si="163"/>
        <v>Adulto</v>
      </c>
      <c r="D2329" s="95" t="s">
        <v>944</v>
      </c>
      <c r="E2329" s="95" t="s">
        <v>158</v>
      </c>
      <c r="F2329" s="95" t="s">
        <v>991</v>
      </c>
      <c r="G2329" s="95">
        <v>1969709</v>
      </c>
      <c r="H2329" s="96">
        <v>44762</v>
      </c>
      <c r="I2329" s="95">
        <v>8.4100000000000008E-3</v>
      </c>
      <c r="J2329" s="95"/>
      <c r="K2329" s="95"/>
      <c r="L2329" s="95"/>
      <c r="M2329" s="95"/>
      <c r="N2329" s="95"/>
      <c r="O2329" s="95"/>
      <c r="P2329" s="95"/>
      <c r="Q2329" s="95"/>
      <c r="R2329" s="95"/>
      <c r="S2329" s="95"/>
      <c r="T2329" s="96">
        <v>18888</v>
      </c>
      <c r="U2329" s="95"/>
      <c r="V2329" s="95" t="s">
        <v>1086</v>
      </c>
      <c r="W2329" s="92" t="str">
        <f t="shared" si="159"/>
        <v>Peris Climent,Jose</v>
      </c>
      <c r="X2329" s="95">
        <f>MONTH(H2327)</f>
        <v>7</v>
      </c>
      <c r="Y2329" s="95">
        <f>YEAR(H2327)</f>
        <v>2022</v>
      </c>
      <c r="Z2329" s="97" t="s">
        <v>265</v>
      </c>
      <c r="AA2329" t="str">
        <f>IF(Tabla1[[#This Row],[Kerma en aire acumulada (Gy)]]&gt;1,SUMIF(G:G,Tabla1[[#This Row],[SIP]],I:I)-Tabla1[[#This Row],[Kerma en aire acumulada (Gy)]],"")</f>
        <v/>
      </c>
    </row>
    <row r="2330" spans="3:27" ht="15.75" thickBot="1">
      <c r="C2330" s="165" t="str">
        <f t="shared" si="163"/>
        <v>Adulto</v>
      </c>
      <c r="D2330" s="163" t="s">
        <v>1003</v>
      </c>
      <c r="E2330" s="163" t="s">
        <v>3425</v>
      </c>
      <c r="F2330" s="163" t="s">
        <v>1946</v>
      </c>
      <c r="G2330" s="163">
        <v>5021007</v>
      </c>
      <c r="H2330" s="173">
        <v>44762</v>
      </c>
      <c r="I2330" s="163">
        <v>1.225E-2</v>
      </c>
      <c r="J2330" s="163"/>
      <c r="K2330" s="163"/>
      <c r="L2330" s="163"/>
      <c r="M2330" s="163"/>
      <c r="N2330" s="163"/>
      <c r="O2330" s="163"/>
      <c r="P2330" s="163"/>
      <c r="Q2330" s="163"/>
      <c r="R2330" s="163"/>
      <c r="S2330" s="163"/>
      <c r="T2330" s="173">
        <v>31049</v>
      </c>
      <c r="U2330" s="163"/>
      <c r="V2330" s="163" t="s">
        <v>1086</v>
      </c>
      <c r="W2330" s="162" t="str">
        <f t="shared" si="159"/>
        <v>Romero Mayor,Joaquin</v>
      </c>
      <c r="X2330" s="163">
        <f>MONTH(H2330)</f>
        <v>7</v>
      </c>
      <c r="Y2330" s="163">
        <f>YEAR(H2330)</f>
        <v>2022</v>
      </c>
      <c r="Z2330" s="172" t="s">
        <v>265</v>
      </c>
      <c r="AA2330" s="252" t="str">
        <f>IF(Tabla1[[#This Row],[Kerma en aire acumulada (Gy)]]&gt;1,SUMIF(G:G,Tabla1[[#This Row],[SIP]],I:I)-Tabla1[[#This Row],[Kerma en aire acumulada (Gy)]],"")</f>
        <v/>
      </c>
    </row>
    <row r="2331" spans="3:27">
      <c r="C2331" s="152" t="str">
        <f t="shared" si="163"/>
        <v>Pediátrico</v>
      </c>
      <c r="D2331" s="154" t="s">
        <v>3444</v>
      </c>
      <c r="E2331" s="154" t="s">
        <v>1852</v>
      </c>
      <c r="F2331" s="154" t="s">
        <v>3445</v>
      </c>
      <c r="G2331" s="154">
        <v>8030615</v>
      </c>
      <c r="H2331" s="156">
        <v>44763</v>
      </c>
      <c r="I2331" s="154">
        <v>3.7100000000000002E-3</v>
      </c>
      <c r="J2331" s="154"/>
      <c r="K2331" s="154"/>
      <c r="L2331" s="154"/>
      <c r="M2331" s="154"/>
      <c r="N2331" s="154"/>
      <c r="O2331" s="154"/>
      <c r="P2331" s="154"/>
      <c r="Q2331" s="154"/>
      <c r="R2331" s="154"/>
      <c r="S2331" s="154"/>
      <c r="T2331" s="156">
        <v>40272</v>
      </c>
      <c r="U2331" s="154"/>
      <c r="V2331" s="154" t="s">
        <v>3077</v>
      </c>
      <c r="W2331" s="158" t="str">
        <f t="shared" si="159"/>
        <v>Piña Cardona,Empar</v>
      </c>
      <c r="X2331" s="154">
        <f>MONTH(H2329)</f>
        <v>7</v>
      </c>
      <c r="Y2331" s="154">
        <f t="shared" ref="Y2331" si="164">YEAR(H2331)</f>
        <v>2022</v>
      </c>
      <c r="Z2331" s="174" t="s">
        <v>2238</v>
      </c>
      <c r="AA2331" t="str">
        <f>IF(Tabla1[[#This Row],[Kerma en aire acumulada (Gy)]]&gt;1,SUMIF(G:G,Tabla1[[#This Row],[SIP]],I:I)-Tabla1[[#This Row],[Kerma en aire acumulada (Gy)]],"")</f>
        <v/>
      </c>
    </row>
    <row r="2332" spans="3:27">
      <c r="C2332" s="144" t="str">
        <f t="shared" si="163"/>
        <v>Adulto</v>
      </c>
      <c r="D2332" s="95" t="s">
        <v>3442</v>
      </c>
      <c r="E2332" s="95" t="s">
        <v>3443</v>
      </c>
      <c r="F2332" s="95" t="s">
        <v>991</v>
      </c>
      <c r="G2332" s="95">
        <v>2814474</v>
      </c>
      <c r="H2332" s="96">
        <v>44763</v>
      </c>
      <c r="I2332" s="95">
        <v>2.6720000000000001E-2</v>
      </c>
      <c r="J2332" s="95"/>
      <c r="K2332" s="95"/>
      <c r="L2332" s="95"/>
      <c r="M2332" s="95"/>
      <c r="N2332" s="95"/>
      <c r="O2332" s="95"/>
      <c r="P2332" s="95"/>
      <c r="Q2332" s="95"/>
      <c r="R2332" s="95"/>
      <c r="S2332" s="95"/>
      <c r="T2332" s="96">
        <v>19054</v>
      </c>
      <c r="U2332" s="95"/>
      <c r="V2332" s="95" t="s">
        <v>2962</v>
      </c>
      <c r="W2332" s="92" t="str">
        <f t="shared" si="159"/>
        <v>Nicolau Greses,Jose</v>
      </c>
      <c r="X2332" s="95">
        <f>MONTH(H2332)</f>
        <v>7</v>
      </c>
      <c r="Y2332" s="95">
        <f t="shared" ref="Y2332" si="165">YEAR(H2330)</f>
        <v>2022</v>
      </c>
      <c r="Z2332" s="97" t="s">
        <v>2238</v>
      </c>
      <c r="AA2332" t="str">
        <f>IF(Tabla1[[#This Row],[Kerma en aire acumulada (Gy)]]&gt;1,SUMIF(G:G,Tabla1[[#This Row],[SIP]],I:I)-Tabla1[[#This Row],[Kerma en aire acumulada (Gy)]],"")</f>
        <v/>
      </c>
    </row>
    <row r="2333" spans="3:27">
      <c r="C2333" s="144" t="str">
        <f t="shared" si="163"/>
        <v>Adulto</v>
      </c>
      <c r="D2333" s="95" t="s">
        <v>97</v>
      </c>
      <c r="E2333" s="95" t="s">
        <v>2661</v>
      </c>
      <c r="F2333" s="95" t="s">
        <v>546</v>
      </c>
      <c r="G2333" s="95">
        <v>3087055</v>
      </c>
      <c r="H2333" s="96">
        <v>44763</v>
      </c>
      <c r="I2333" s="95">
        <v>2.9409999999999999E-2</v>
      </c>
      <c r="J2333" s="95"/>
      <c r="K2333" s="95"/>
      <c r="L2333" s="95"/>
      <c r="M2333" s="95"/>
      <c r="N2333" s="95"/>
      <c r="O2333" s="95"/>
      <c r="P2333" s="95"/>
      <c r="Q2333" s="95"/>
      <c r="R2333" s="95"/>
      <c r="S2333" s="95"/>
      <c r="T2333" s="96">
        <v>21209</v>
      </c>
      <c r="U2333" s="95"/>
      <c r="V2333" s="95" t="s">
        <v>2962</v>
      </c>
      <c r="W2333" s="92" t="str">
        <f t="shared" si="159"/>
        <v>Egea Fabuel,Luis</v>
      </c>
      <c r="X2333" s="95">
        <f>MONTH(H2333)</f>
        <v>7</v>
      </c>
      <c r="Y2333" s="95">
        <f t="shared" ref="Y2333:Y2334" si="166">YEAR(H2333)</f>
        <v>2022</v>
      </c>
      <c r="Z2333" s="97" t="s">
        <v>2238</v>
      </c>
      <c r="AA2333" t="str">
        <f>IF(Tabla1[[#This Row],[Kerma en aire acumulada (Gy)]]&gt;1,SUMIF(G:G,Tabla1[[#This Row],[SIP]],I:I)-Tabla1[[#This Row],[Kerma en aire acumulada (Gy)]],"")</f>
        <v/>
      </c>
    </row>
    <row r="2334" spans="3:27">
      <c r="C2334" s="144" t="str">
        <f>IF(OR(H2332="",T2334=""),"",IF((H2332-T2334)/12/30&lt;18,"Pediátrico","Adulto"))</f>
        <v>Adulto</v>
      </c>
      <c r="D2334" s="95" t="s">
        <v>3441</v>
      </c>
      <c r="E2334" s="95" t="s">
        <v>1036</v>
      </c>
      <c r="F2334" s="95" t="s">
        <v>1694</v>
      </c>
      <c r="G2334" s="95">
        <v>50995</v>
      </c>
      <c r="H2334" s="96">
        <v>44763</v>
      </c>
      <c r="I2334" s="95">
        <v>0.44291000000000003</v>
      </c>
      <c r="J2334" s="95"/>
      <c r="K2334" s="95"/>
      <c r="L2334" s="95"/>
      <c r="M2334" s="95"/>
      <c r="N2334" s="95"/>
      <c r="O2334" s="95"/>
      <c r="P2334" s="95"/>
      <c r="Q2334" s="95"/>
      <c r="R2334" s="95"/>
      <c r="S2334" s="95"/>
      <c r="T2334" s="96">
        <v>15244</v>
      </c>
      <c r="U2334" s="95"/>
      <c r="V2334" s="95" t="s">
        <v>2383</v>
      </c>
      <c r="W2334" s="92" t="str">
        <f t="shared" si="159"/>
        <v>Vergara Palau,Concepcion</v>
      </c>
      <c r="X2334" s="95">
        <f>MONTH(H2332)</f>
        <v>7</v>
      </c>
      <c r="Y2334" s="95">
        <f t="shared" si="166"/>
        <v>2022</v>
      </c>
      <c r="Z2334" s="97" t="s">
        <v>266</v>
      </c>
      <c r="AA2334" t="str">
        <f>IF(Tabla1[[#This Row],[Kerma en aire acumulada (Gy)]]&gt;1,SUMIF(G:G,Tabla1[[#This Row],[SIP]],I:I)-Tabla1[[#This Row],[Kerma en aire acumulada (Gy)]],"")</f>
        <v/>
      </c>
    </row>
    <row r="2335" spans="3:27">
      <c r="C2335" s="144" t="str">
        <f t="shared" ref="C2335:C2341" si="167">IF(OR(H2335="",T2335=""),"",IF((H2335-T2335)/12/30&lt;18,"Pediátrico","Adulto"))</f>
        <v>Adulto</v>
      </c>
      <c r="D2335" s="95" t="s">
        <v>3440</v>
      </c>
      <c r="E2335" s="95" t="s">
        <v>6</v>
      </c>
      <c r="F2335" s="95" t="s">
        <v>2528</v>
      </c>
      <c r="G2335" s="95">
        <v>1871002</v>
      </c>
      <c r="H2335" s="96">
        <v>44763</v>
      </c>
      <c r="I2335" s="168">
        <v>1.6746000000000001</v>
      </c>
      <c r="J2335" s="95"/>
      <c r="K2335" s="95"/>
      <c r="L2335" s="95"/>
      <c r="M2335" s="95"/>
      <c r="N2335" s="95"/>
      <c r="O2335" s="95"/>
      <c r="P2335" s="95"/>
      <c r="Q2335" s="95"/>
      <c r="R2335" s="95"/>
      <c r="S2335" s="95"/>
      <c r="T2335" s="96">
        <v>22983</v>
      </c>
      <c r="U2335" s="95"/>
      <c r="V2335" s="95" t="s">
        <v>2383</v>
      </c>
      <c r="W2335" s="92" t="str">
        <f t="shared" ref="W2335:W2342" si="168">CONCATENATE(D2335,$A$591,E2335,",",F2335)</f>
        <v>Gamon Ortega,Antonio Jose</v>
      </c>
      <c r="X2335" s="95">
        <f>MONTH(H2333)</f>
        <v>7</v>
      </c>
      <c r="Y2335" s="95">
        <f>YEAR(H2333)</f>
        <v>2022</v>
      </c>
      <c r="Z2335" s="97" t="s">
        <v>266</v>
      </c>
      <c r="AA2335">
        <f>IF(Tabla1[[#This Row],[Kerma en aire acumulada (Gy)]]&gt;1,SUMIF(G:G,Tabla1[[#This Row],[SIP]],I:I)-Tabla1[[#This Row],[Kerma en aire acumulada (Gy)]],"")</f>
        <v>0</v>
      </c>
    </row>
    <row r="2336" spans="3:27">
      <c r="C2336" s="144" t="str">
        <f t="shared" si="167"/>
        <v>Adulto</v>
      </c>
      <c r="D2336" s="95" t="s">
        <v>960</v>
      </c>
      <c r="E2336" s="95" t="s">
        <v>1972</v>
      </c>
      <c r="F2336" s="95" t="s">
        <v>2888</v>
      </c>
      <c r="G2336" s="95">
        <v>2523157</v>
      </c>
      <c r="H2336" s="96">
        <v>44763</v>
      </c>
      <c r="I2336" s="95">
        <v>7.7609999999999998E-2</v>
      </c>
      <c r="J2336" s="95"/>
      <c r="K2336" s="95"/>
      <c r="L2336" s="95"/>
      <c r="M2336" s="95"/>
      <c r="N2336" s="95"/>
      <c r="O2336" s="95"/>
      <c r="P2336" s="95"/>
      <c r="Q2336" s="95"/>
      <c r="R2336" s="95"/>
      <c r="S2336" s="95"/>
      <c r="T2336" s="96">
        <v>23174</v>
      </c>
      <c r="U2336" s="95"/>
      <c r="V2336" s="95" t="s">
        <v>2383</v>
      </c>
      <c r="W2336" s="92" t="str">
        <f t="shared" si="168"/>
        <v>Lopez Saez,Rosa Maria</v>
      </c>
      <c r="X2336" s="95">
        <f>MONTH(H2336)</f>
        <v>7</v>
      </c>
      <c r="Y2336" s="95">
        <f>YEAR(H2336)</f>
        <v>2022</v>
      </c>
      <c r="Z2336" s="97" t="s">
        <v>266</v>
      </c>
      <c r="AA2336" t="str">
        <f>IF(Tabla1[[#This Row],[Kerma en aire acumulada (Gy)]]&gt;1,SUMIF(G:G,Tabla1[[#This Row],[SIP]],I:I)-Tabla1[[#This Row],[Kerma en aire acumulada (Gy)]],"")</f>
        <v/>
      </c>
    </row>
    <row r="2337" spans="3:27">
      <c r="C2337" s="144" t="str">
        <f t="shared" si="167"/>
        <v>Adulto</v>
      </c>
      <c r="D2337" s="95" t="s">
        <v>35</v>
      </c>
      <c r="E2337" s="95" t="s">
        <v>285</v>
      </c>
      <c r="F2337" s="95" t="s">
        <v>98</v>
      </c>
      <c r="G2337" s="95">
        <v>3159597</v>
      </c>
      <c r="H2337" s="96">
        <v>44763</v>
      </c>
      <c r="I2337">
        <v>0.40337000000000001</v>
      </c>
      <c r="J2337" s="95"/>
      <c r="K2337" s="95"/>
      <c r="L2337" s="95"/>
      <c r="M2337" s="95"/>
      <c r="N2337" s="95"/>
      <c r="O2337" s="95"/>
      <c r="P2337" s="95"/>
      <c r="Q2337" s="95"/>
      <c r="R2337" s="95"/>
      <c r="S2337" s="95"/>
      <c r="T2337" s="96">
        <v>12986</v>
      </c>
      <c r="U2337" s="95"/>
      <c r="V2337" s="95" t="s">
        <v>2383</v>
      </c>
      <c r="W2337" s="92" t="str">
        <f t="shared" si="168"/>
        <v>Lozano Defez,Felipe</v>
      </c>
      <c r="X2337" s="95">
        <f>MONTH(H2337)</f>
        <v>7</v>
      </c>
      <c r="Y2337" s="95">
        <f>YEAR(H2337)</f>
        <v>2022</v>
      </c>
      <c r="Z2337" s="97" t="s">
        <v>266</v>
      </c>
      <c r="AA2337" t="str">
        <f>IF(Tabla1[[#This Row],[Kerma en aire acumulada (Gy)]]&gt;1,SUMIF(G:G,Tabla1[[#This Row],[SIP]],I:I)-Tabla1[[#This Row],[Kerma en aire acumulada (Gy)]],"")</f>
        <v/>
      </c>
    </row>
    <row r="2338" spans="3:27">
      <c r="C2338" s="144" t="str">
        <f t="shared" si="167"/>
        <v>Adulto</v>
      </c>
      <c r="D2338" s="95" t="s">
        <v>3415</v>
      </c>
      <c r="E2338" s="95" t="s">
        <v>3416</v>
      </c>
      <c r="F2338" s="95" t="s">
        <v>71</v>
      </c>
      <c r="G2338" s="95">
        <v>297575</v>
      </c>
      <c r="H2338" s="96">
        <v>44763</v>
      </c>
      <c r="I2338" s="95">
        <v>1.4829999999999999E-2</v>
      </c>
      <c r="J2338" s="95"/>
      <c r="K2338" s="95"/>
      <c r="L2338" s="95"/>
      <c r="M2338" s="95"/>
      <c r="N2338" s="95"/>
      <c r="O2338" s="95"/>
      <c r="P2338" s="95"/>
      <c r="Q2338" s="95"/>
      <c r="R2338" s="95"/>
      <c r="S2338" s="95"/>
      <c r="T2338" s="96">
        <v>24051</v>
      </c>
      <c r="U2338" s="95"/>
      <c r="V2338" s="95" t="s">
        <v>1116</v>
      </c>
      <c r="W2338" s="92" t="str">
        <f t="shared" si="168"/>
        <v>Gualde Sellens,Rafael</v>
      </c>
      <c r="X2338" s="95">
        <f>MONTH(H2336)</f>
        <v>7</v>
      </c>
      <c r="Y2338" s="95">
        <f>YEAR(H2336)</f>
        <v>2022</v>
      </c>
      <c r="Z2338" s="97" t="s">
        <v>265</v>
      </c>
      <c r="AA2338" t="str">
        <f>IF(Tabla1[[#This Row],[Kerma en aire acumulada (Gy)]]&gt;1,SUMIF(G:G,Tabla1[[#This Row],[SIP]],I:I)-Tabla1[[#This Row],[Kerma en aire acumulada (Gy)]],"")</f>
        <v/>
      </c>
    </row>
    <row r="2339" spans="3:27">
      <c r="C2339" s="144" t="str">
        <f t="shared" si="167"/>
        <v>Adulto</v>
      </c>
      <c r="D2339" s="95" t="s">
        <v>83</v>
      </c>
      <c r="E2339" s="95" t="s">
        <v>3439</v>
      </c>
      <c r="F2339" s="95" t="s">
        <v>1192</v>
      </c>
      <c r="G2339" s="95">
        <v>2852493</v>
      </c>
      <c r="H2339" s="96">
        <v>44763</v>
      </c>
      <c r="I2339" s="95">
        <v>4.4400000000000004E-3</v>
      </c>
      <c r="J2339" s="95"/>
      <c r="K2339" s="95"/>
      <c r="L2339" s="95"/>
      <c r="M2339" s="95"/>
      <c r="N2339" s="95"/>
      <c r="O2339" s="95"/>
      <c r="P2339" s="95"/>
      <c r="Q2339" s="95"/>
      <c r="R2339" s="95"/>
      <c r="S2339" s="95"/>
      <c r="T2339" s="96">
        <v>18221</v>
      </c>
      <c r="U2339" s="95"/>
      <c r="V2339" s="95" t="s">
        <v>2434</v>
      </c>
      <c r="W2339" s="92" t="str">
        <f t="shared" si="168"/>
        <v>Francisco de Cordero,M Teresa</v>
      </c>
      <c r="X2339" s="95">
        <f>MONTH(H2339)</f>
        <v>7</v>
      </c>
      <c r="Y2339" s="95">
        <f>YEAR(H2339)</f>
        <v>2022</v>
      </c>
      <c r="Z2339" s="97" t="s">
        <v>265</v>
      </c>
      <c r="AA2339" t="str">
        <f>IF(Tabla1[[#This Row],[Kerma en aire acumulada (Gy)]]&gt;1,SUMIF(G:G,Tabla1[[#This Row],[SIP]],I:I)-Tabla1[[#This Row],[Kerma en aire acumulada (Gy)]],"")</f>
        <v/>
      </c>
    </row>
    <row r="2340" spans="3:27">
      <c r="C2340" s="144" t="str">
        <f t="shared" si="167"/>
        <v>Adulto</v>
      </c>
      <c r="D2340" s="95" t="s">
        <v>2284</v>
      </c>
      <c r="E2340" s="95" t="s">
        <v>2285</v>
      </c>
      <c r="F2340" s="95" t="s">
        <v>2286</v>
      </c>
      <c r="G2340" s="95">
        <v>2323595</v>
      </c>
      <c r="H2340" s="96">
        <v>44763</v>
      </c>
      <c r="I2340" s="95">
        <v>1.6979999999999999E-2</v>
      </c>
      <c r="J2340" s="95"/>
      <c r="K2340" s="95"/>
      <c r="L2340" s="95"/>
      <c r="M2340" s="95"/>
      <c r="N2340" s="95"/>
      <c r="O2340" s="95"/>
      <c r="P2340" s="95"/>
      <c r="Q2340" s="95"/>
      <c r="R2340" s="95"/>
      <c r="S2340" s="95"/>
      <c r="T2340" s="96">
        <v>18227</v>
      </c>
      <c r="U2340" s="95"/>
      <c r="V2340" s="95" t="s">
        <v>1086</v>
      </c>
      <c r="W2340" s="92" t="str">
        <f t="shared" si="168"/>
        <v>Araya Alarcon,Eladia de la Cruz</v>
      </c>
      <c r="X2340" s="95">
        <f>MONTH(H2340)</f>
        <v>7</v>
      </c>
      <c r="Y2340" s="95">
        <f>YEAR(H2340)</f>
        <v>2022</v>
      </c>
      <c r="Z2340" s="97" t="s">
        <v>265</v>
      </c>
      <c r="AA2340" t="str">
        <f>IF(Tabla1[[#This Row],[Kerma en aire acumulada (Gy)]]&gt;1,SUMIF(G:G,Tabla1[[#This Row],[SIP]],I:I)-Tabla1[[#This Row],[Kerma en aire acumulada (Gy)]],"")</f>
        <v/>
      </c>
    </row>
    <row r="2341" spans="3:27">
      <c r="C2341" s="246" t="str">
        <f t="shared" si="167"/>
        <v>Adulto</v>
      </c>
      <c r="D2341" s="247" t="s">
        <v>2506</v>
      </c>
      <c r="E2341" s="247" t="s">
        <v>1587</v>
      </c>
      <c r="F2341" s="247" t="s">
        <v>54</v>
      </c>
      <c r="G2341" s="247">
        <v>2570760</v>
      </c>
      <c r="H2341" s="248">
        <v>44763</v>
      </c>
      <c r="I2341" s="247">
        <v>3.0999999999999999E-3</v>
      </c>
      <c r="J2341" s="247"/>
      <c r="K2341" s="247"/>
      <c r="L2341" s="247"/>
      <c r="M2341" s="247"/>
      <c r="N2341" s="247"/>
      <c r="O2341" s="247"/>
      <c r="P2341" s="247"/>
      <c r="Q2341" s="247"/>
      <c r="R2341" s="247"/>
      <c r="S2341" s="247"/>
      <c r="T2341" s="248">
        <v>20544</v>
      </c>
      <c r="U2341" s="247"/>
      <c r="V2341" s="247" t="s">
        <v>1113</v>
      </c>
      <c r="W2341" s="249" t="str">
        <f t="shared" si="168"/>
        <v>Solaz Jimenez,Isabel</v>
      </c>
      <c r="X2341" s="247">
        <f>MONTH(H2339)</f>
        <v>7</v>
      </c>
      <c r="Y2341" s="247">
        <f>YEAR(H2339)</f>
        <v>2022</v>
      </c>
      <c r="Z2341" s="250" t="s">
        <v>265</v>
      </c>
      <c r="AA2341" s="251" t="str">
        <f>IF(Tabla1[[#This Row],[Kerma en aire acumulada (Gy)]]&gt;1,SUMIF(G:G,Tabla1[[#This Row],[SIP]],I:I)-Tabla1[[#This Row],[Kerma en aire acumulada (Gy)]],"")</f>
        <v/>
      </c>
    </row>
    <row r="2342" spans="3:27">
      <c r="C2342" s="152" t="str">
        <f t="shared" ref="C2342" si="169">IF(OR(H2342="",T2342=""),"",IF((H2342-T2342)/12/30&lt;18,"Pediátrico","Adulto"))</f>
        <v>Adulto</v>
      </c>
      <c r="D2342" s="154" t="s">
        <v>2516</v>
      </c>
      <c r="E2342" s="154" t="s">
        <v>2092</v>
      </c>
      <c r="F2342" s="154" t="s">
        <v>2815</v>
      </c>
      <c r="G2342" s="154">
        <v>2407977</v>
      </c>
      <c r="H2342" s="156">
        <v>44764</v>
      </c>
      <c r="I2342" s="154">
        <v>4.8399999999999997E-3</v>
      </c>
      <c r="J2342" s="154"/>
      <c r="K2342" s="154"/>
      <c r="L2342" s="154"/>
      <c r="M2342" s="154"/>
      <c r="N2342" s="154"/>
      <c r="O2342" s="154"/>
      <c r="P2342" s="154"/>
      <c r="Q2342" s="154"/>
      <c r="R2342" s="154"/>
      <c r="S2342" s="154"/>
      <c r="T2342" s="156">
        <v>23120</v>
      </c>
      <c r="U2342" s="154"/>
      <c r="V2342" s="154" t="s">
        <v>1622</v>
      </c>
      <c r="W2342" s="158" t="str">
        <f t="shared" si="168"/>
        <v>Ibar Franco,Encarnacion</v>
      </c>
      <c r="X2342" s="154">
        <f>MONTH(H2340)</f>
        <v>7</v>
      </c>
      <c r="Y2342" s="154">
        <f>YEAR(H2340)</f>
        <v>2022</v>
      </c>
      <c r="Z2342" s="174" t="s">
        <v>265</v>
      </c>
      <c r="AA2342" t="str">
        <f>IF(Tabla1[[#This Row],[Kerma en aire acumulada (Gy)]]&gt;1,SUMIF(G:G,Tabla1[[#This Row],[SIP]],I:I)-Tabla1[[#This Row],[Kerma en aire acumulada (Gy)]],"")</f>
        <v/>
      </c>
    </row>
    <row r="2343" spans="3:27">
      <c r="C2343" s="144" t="str">
        <f>IF(OR(H2341="",T2343=""),"",IF((H2341-T2343)/12/30&lt;18,"Pediátrico","Adulto"))</f>
        <v>Adulto</v>
      </c>
      <c r="D2343" s="95" t="s">
        <v>3415</v>
      </c>
      <c r="E2343" s="95" t="s">
        <v>3416</v>
      </c>
      <c r="F2343" s="95" t="s">
        <v>71</v>
      </c>
      <c r="G2343" s="95">
        <v>297575</v>
      </c>
      <c r="H2343" s="96">
        <v>44764</v>
      </c>
      <c r="I2343" s="95">
        <v>0.15923999999999999</v>
      </c>
      <c r="J2343" s="95"/>
      <c r="K2343" s="95"/>
      <c r="L2343" s="95"/>
      <c r="M2343" s="95"/>
      <c r="N2343" s="95"/>
      <c r="O2343" s="95"/>
      <c r="P2343" s="95"/>
      <c r="Q2343" s="95"/>
      <c r="R2343" s="95"/>
      <c r="S2343" s="95"/>
      <c r="T2343" s="96">
        <v>24051</v>
      </c>
      <c r="U2343" s="95"/>
      <c r="V2343" s="95" t="s">
        <v>1174</v>
      </c>
      <c r="W2343" s="92" t="str">
        <f t="shared" ref="W2343:W2352" si="170">CONCATENATE(D2343,$A$591,E2343,",",F2343)</f>
        <v>Gualde Sellens,Rafael</v>
      </c>
      <c r="X2343" s="95">
        <f t="shared" ref="X2343" si="171">MONTH(H2341)</f>
        <v>7</v>
      </c>
      <c r="Y2343" s="95">
        <f t="shared" ref="Y2343" si="172">YEAR(H2341)</f>
        <v>2022</v>
      </c>
      <c r="Z2343" s="97" t="s">
        <v>265</v>
      </c>
      <c r="AA2343" t="str">
        <f>IF(Tabla1[[#This Row],[Kerma en aire acumulada (Gy)]]&gt;1,SUMIF(G:G,Tabla1[[#This Row],[SIP]],I:I)-Tabla1[[#This Row],[Kerma en aire acumulada (Gy)]],"")</f>
        <v/>
      </c>
    </row>
    <row r="2344" spans="3:27">
      <c r="C2344" s="144" t="str">
        <f t="shared" ref="C2344:C2351" si="173">IF(OR(H2344="",T2344=""),"",IF((H2344-T2344)/12/30&lt;18,"Pediátrico","Adulto"))</f>
        <v>Adulto</v>
      </c>
      <c r="D2344" s="95" t="s">
        <v>3447</v>
      </c>
      <c r="E2344" s="95" t="s">
        <v>960</v>
      </c>
      <c r="F2344" s="95" t="s">
        <v>1050</v>
      </c>
      <c r="G2344" s="95">
        <v>769722</v>
      </c>
      <c r="H2344" s="96">
        <v>44764</v>
      </c>
      <c r="I2344" s="95">
        <v>3.1700000000000001E-3</v>
      </c>
      <c r="J2344" s="95"/>
      <c r="K2344" s="95"/>
      <c r="L2344" s="95"/>
      <c r="M2344" s="95"/>
      <c r="N2344" s="95"/>
      <c r="O2344" s="95"/>
      <c r="P2344" s="95"/>
      <c r="Q2344" s="95"/>
      <c r="R2344" s="95"/>
      <c r="S2344" s="95"/>
      <c r="T2344" s="96">
        <v>25716</v>
      </c>
      <c r="U2344" s="95"/>
      <c r="V2344" s="95" t="s">
        <v>1203</v>
      </c>
      <c r="W2344" s="92" t="str">
        <f t="shared" si="170"/>
        <v>Irurzun Lopez,Francisco Javier</v>
      </c>
      <c r="X2344" s="95">
        <f t="shared" ref="X2344:X2345" si="174">MONTH(H2344)</f>
        <v>7</v>
      </c>
      <c r="Y2344" s="95">
        <f t="shared" ref="Y2344:Y2345" si="175">YEAR(H2344)</f>
        <v>2022</v>
      </c>
      <c r="Z2344" s="97" t="s">
        <v>265</v>
      </c>
      <c r="AA2344" t="str">
        <f>IF(Tabla1[[#This Row],[Kerma en aire acumulada (Gy)]]&gt;1,SUMIF(G:G,Tabla1[[#This Row],[SIP]],I:I)-Tabla1[[#This Row],[Kerma en aire acumulada (Gy)]],"")</f>
        <v/>
      </c>
    </row>
    <row r="2345" spans="3:27">
      <c r="C2345" s="144" t="str">
        <f t="shared" si="173"/>
        <v>Adulto</v>
      </c>
      <c r="D2345" s="95" t="s">
        <v>917</v>
      </c>
      <c r="E2345" s="95" t="s">
        <v>772</v>
      </c>
      <c r="F2345" s="95" t="s">
        <v>2652</v>
      </c>
      <c r="G2345" s="95">
        <v>4269734</v>
      </c>
      <c r="H2345" s="96">
        <v>44764</v>
      </c>
      <c r="I2345" s="95">
        <v>6.9999999999999999E-4</v>
      </c>
      <c r="J2345" s="95"/>
      <c r="K2345" s="95"/>
      <c r="L2345" s="95"/>
      <c r="M2345" s="95"/>
      <c r="N2345" s="95"/>
      <c r="O2345" s="95"/>
      <c r="P2345" s="95"/>
      <c r="Q2345" s="95"/>
      <c r="R2345" s="95"/>
      <c r="S2345" s="95"/>
      <c r="T2345" s="96">
        <v>25722</v>
      </c>
      <c r="U2345" s="95"/>
      <c r="V2345" s="95" t="s">
        <v>1086</v>
      </c>
      <c r="W2345" s="92" t="str">
        <f t="shared" si="170"/>
        <v>Carmona Sanchez,Vicente Antonio</v>
      </c>
      <c r="X2345" s="95">
        <f t="shared" si="174"/>
        <v>7</v>
      </c>
      <c r="Y2345" s="95">
        <f t="shared" si="175"/>
        <v>2022</v>
      </c>
      <c r="Z2345" s="97" t="s">
        <v>265</v>
      </c>
      <c r="AA2345" t="str">
        <f>IF(Tabla1[[#This Row],[Kerma en aire acumulada (Gy)]]&gt;1,SUMIF(G:G,Tabla1[[#This Row],[SIP]],I:I)-Tabla1[[#This Row],[Kerma en aire acumulada (Gy)]],"")</f>
        <v/>
      </c>
    </row>
    <row r="2346" spans="3:27">
      <c r="C2346" s="144" t="str">
        <f t="shared" si="173"/>
        <v>Adulto</v>
      </c>
      <c r="D2346" s="95" t="s">
        <v>321</v>
      </c>
      <c r="E2346" s="95" t="s">
        <v>1322</v>
      </c>
      <c r="F2346" s="95" t="s">
        <v>3448</v>
      </c>
      <c r="G2346" s="95">
        <v>1810734</v>
      </c>
      <c r="H2346" s="96">
        <v>44764</v>
      </c>
      <c r="I2346" s="95">
        <v>3.2219999999999999E-2</v>
      </c>
      <c r="J2346" s="95"/>
      <c r="K2346" s="95"/>
      <c r="L2346" s="95"/>
      <c r="M2346" s="95"/>
      <c r="N2346" s="95"/>
      <c r="O2346" s="95"/>
      <c r="P2346" s="95"/>
      <c r="Q2346" s="95"/>
      <c r="R2346" s="95"/>
      <c r="S2346" s="95"/>
      <c r="T2346" s="96">
        <v>26162</v>
      </c>
      <c r="U2346" s="95"/>
      <c r="V2346" s="95" t="s">
        <v>1622</v>
      </c>
      <c r="W2346" s="92" t="str">
        <f t="shared" si="170"/>
        <v>Esteban Selva,Encarnacion Maria</v>
      </c>
      <c r="X2346" s="95">
        <f t="shared" ref="X2346:X2348" si="176">MONTH(H2344)</f>
        <v>7</v>
      </c>
      <c r="Y2346" s="95">
        <f t="shared" ref="Y2346:Y2348" si="177">YEAR(H2344)</f>
        <v>2022</v>
      </c>
      <c r="Z2346" s="97" t="s">
        <v>265</v>
      </c>
      <c r="AA2346" t="str">
        <f>IF(Tabla1[[#This Row],[Kerma en aire acumulada (Gy)]]&gt;1,SUMIF(G:G,Tabla1[[#This Row],[SIP]],I:I)-Tabla1[[#This Row],[Kerma en aire acumulada (Gy)]],"")</f>
        <v/>
      </c>
    </row>
    <row r="2347" spans="3:27">
      <c r="C2347" s="144" t="str">
        <f t="shared" si="173"/>
        <v>Adulto</v>
      </c>
      <c r="D2347" s="95" t="s">
        <v>189</v>
      </c>
      <c r="E2347" s="95" t="s">
        <v>663</v>
      </c>
      <c r="F2347" s="95" t="s">
        <v>2012</v>
      </c>
      <c r="G2347" s="95">
        <v>1858417</v>
      </c>
      <c r="H2347" s="96">
        <v>44764</v>
      </c>
      <c r="I2347" s="95">
        <v>0.12628</v>
      </c>
      <c r="J2347" s="95"/>
      <c r="K2347" s="95"/>
      <c r="L2347" s="95"/>
      <c r="M2347" s="95"/>
      <c r="N2347" s="95"/>
      <c r="O2347" s="95"/>
      <c r="P2347" s="95"/>
      <c r="Q2347" s="95"/>
      <c r="R2347" s="95"/>
      <c r="S2347" s="95"/>
      <c r="T2347" s="96">
        <v>22958</v>
      </c>
      <c r="U2347" s="95"/>
      <c r="V2347" s="95" t="s">
        <v>1152</v>
      </c>
      <c r="W2347" s="92" t="str">
        <f t="shared" si="170"/>
        <v>Giner Sanchis,Mari Carmen</v>
      </c>
      <c r="X2347" s="95">
        <f t="shared" si="176"/>
        <v>7</v>
      </c>
      <c r="Y2347" s="95">
        <f t="shared" si="177"/>
        <v>2022</v>
      </c>
      <c r="Z2347" s="97" t="s">
        <v>265</v>
      </c>
      <c r="AA2347" t="str">
        <f>IF(Tabla1[[#This Row],[Kerma en aire acumulada (Gy)]]&gt;1,SUMIF(G:G,Tabla1[[#This Row],[SIP]],I:I)-Tabla1[[#This Row],[Kerma en aire acumulada (Gy)]],"")</f>
        <v/>
      </c>
    </row>
    <row r="2348" spans="3:27">
      <c r="C2348" s="144" t="str">
        <f t="shared" si="173"/>
        <v>Adulto</v>
      </c>
      <c r="D2348" s="95" t="s">
        <v>741</v>
      </c>
      <c r="E2348" s="95" t="s">
        <v>2779</v>
      </c>
      <c r="F2348" s="95" t="s">
        <v>991</v>
      </c>
      <c r="G2348" s="95">
        <v>2805929</v>
      </c>
      <c r="H2348" s="96">
        <v>44764</v>
      </c>
      <c r="I2348" s="95" t="s">
        <v>3331</v>
      </c>
      <c r="J2348" s="95"/>
      <c r="K2348" s="95"/>
      <c r="L2348" s="95"/>
      <c r="M2348" s="95"/>
      <c r="N2348" s="95"/>
      <c r="O2348" s="95"/>
      <c r="P2348" s="95"/>
      <c r="Q2348" s="95"/>
      <c r="R2348" s="95"/>
      <c r="S2348" s="95"/>
      <c r="T2348" s="96">
        <v>13891</v>
      </c>
      <c r="U2348" s="95"/>
      <c r="V2348" s="95" t="s">
        <v>2383</v>
      </c>
      <c r="W2348" s="92" t="str">
        <f t="shared" si="170"/>
        <v>Izquierdo Mulet,Jose</v>
      </c>
      <c r="X2348" s="95">
        <f t="shared" si="176"/>
        <v>7</v>
      </c>
      <c r="Y2348" s="95">
        <f t="shared" si="177"/>
        <v>2022</v>
      </c>
      <c r="Z2348" s="97" t="s">
        <v>266</v>
      </c>
      <c r="AA2348" t="e">
        <f>IF(Tabla1[[#This Row],[Kerma en aire acumulada (Gy)]]&gt;1,SUMIF(G:G,Tabla1[[#This Row],[SIP]],I:I)-Tabla1[[#This Row],[Kerma en aire acumulada (Gy)]],"")</f>
        <v>#VALUE!</v>
      </c>
    </row>
    <row r="2349" spans="3:27">
      <c r="C2349" s="144" t="str">
        <f t="shared" si="173"/>
        <v>Adulto</v>
      </c>
      <c r="D2349" s="95" t="s">
        <v>3449</v>
      </c>
      <c r="E2349" s="95" t="s">
        <v>319</v>
      </c>
      <c r="F2349" s="95" t="s">
        <v>1946</v>
      </c>
      <c r="G2349" s="95">
        <v>950490</v>
      </c>
      <c r="H2349" s="96">
        <v>44764</v>
      </c>
      <c r="I2349" s="95">
        <v>0.42914999999999998</v>
      </c>
      <c r="J2349" s="95"/>
      <c r="K2349" s="95"/>
      <c r="L2349" s="95"/>
      <c r="M2349" s="95"/>
      <c r="N2349" s="95"/>
      <c r="O2349" s="95"/>
      <c r="P2349" s="95"/>
      <c r="Q2349" s="95"/>
      <c r="R2349" s="95"/>
      <c r="S2349" s="95"/>
      <c r="T2349" s="96">
        <v>20233</v>
      </c>
      <c r="U2349" s="95"/>
      <c r="V2349" s="95" t="s">
        <v>2383</v>
      </c>
      <c r="W2349" s="92" t="str">
        <f t="shared" si="170"/>
        <v>Herbosa Gonzalez,Joaquin</v>
      </c>
      <c r="X2349" s="95">
        <f t="shared" ref="X2349:X2350" si="178">MONTH(H2349)</f>
        <v>7</v>
      </c>
      <c r="Y2349" s="95">
        <f t="shared" ref="Y2349:Y2350" si="179">YEAR(H2349)</f>
        <v>2022</v>
      </c>
      <c r="Z2349" s="97" t="s">
        <v>266</v>
      </c>
      <c r="AA2349" t="str">
        <f>IF(Tabla1[[#This Row],[Kerma en aire acumulada (Gy)]]&gt;1,SUMIF(G:G,Tabla1[[#This Row],[SIP]],I:I)-Tabla1[[#This Row],[Kerma en aire acumulada (Gy)]],"")</f>
        <v/>
      </c>
    </row>
    <row r="2350" spans="3:27">
      <c r="C2350" s="144" t="str">
        <f t="shared" si="173"/>
        <v>Adulto</v>
      </c>
      <c r="D2350" s="95" t="s">
        <v>1721</v>
      </c>
      <c r="E2350" s="95" t="s">
        <v>1722</v>
      </c>
      <c r="F2350" s="95" t="s">
        <v>1112</v>
      </c>
      <c r="G2350" s="95">
        <v>2247191</v>
      </c>
      <c r="H2350" s="96">
        <v>44764</v>
      </c>
      <c r="I2350" s="95">
        <v>0.10299</v>
      </c>
      <c r="J2350" s="95"/>
      <c r="K2350" s="95"/>
      <c r="L2350" s="95"/>
      <c r="M2350" s="95"/>
      <c r="N2350" s="95"/>
      <c r="O2350" s="95"/>
      <c r="P2350" s="95"/>
      <c r="Q2350" s="95"/>
      <c r="R2350" s="95"/>
      <c r="S2350" s="95"/>
      <c r="T2350" s="96">
        <v>16952</v>
      </c>
      <c r="U2350" s="95"/>
      <c r="V2350" s="95" t="s">
        <v>2383</v>
      </c>
      <c r="W2350" s="92" t="str">
        <f t="shared" si="170"/>
        <v>Requena Centellas,Ascension</v>
      </c>
      <c r="X2350" s="95">
        <f t="shared" si="178"/>
        <v>7</v>
      </c>
      <c r="Y2350" s="95">
        <f t="shared" si="179"/>
        <v>2022</v>
      </c>
      <c r="Z2350" s="97" t="s">
        <v>266</v>
      </c>
      <c r="AA2350" t="str">
        <f>IF(Tabla1[[#This Row],[Kerma en aire acumulada (Gy)]]&gt;1,SUMIF(G:G,Tabla1[[#This Row],[SIP]],I:I)-Tabla1[[#This Row],[Kerma en aire acumulada (Gy)]],"")</f>
        <v/>
      </c>
    </row>
    <row r="2351" spans="3:27">
      <c r="C2351" s="144" t="str">
        <f t="shared" si="173"/>
        <v>Adulto</v>
      </c>
      <c r="D2351" s="95" t="s">
        <v>3450</v>
      </c>
      <c r="E2351" s="95" t="s">
        <v>3451</v>
      </c>
      <c r="F2351" s="95" t="s">
        <v>1050</v>
      </c>
      <c r="G2351" s="95">
        <v>2664891</v>
      </c>
      <c r="H2351" s="96">
        <v>44764</v>
      </c>
      <c r="I2351" s="95">
        <v>0.17942</v>
      </c>
      <c r="J2351" s="95"/>
      <c r="K2351" s="95"/>
      <c r="L2351" s="95"/>
      <c r="M2351" s="95"/>
      <c r="N2351" s="95"/>
      <c r="O2351" s="95"/>
      <c r="P2351" s="95"/>
      <c r="Q2351" s="95"/>
      <c r="R2351" s="95"/>
      <c r="S2351" s="95"/>
      <c r="T2351" s="96">
        <v>17052</v>
      </c>
      <c r="U2351" s="95"/>
      <c r="V2351" s="95" t="s">
        <v>2383</v>
      </c>
      <c r="W2351" s="92" t="str">
        <f t="shared" si="170"/>
        <v>Montull Aguaron,Francisco Javier</v>
      </c>
      <c r="X2351" s="95">
        <f t="shared" ref="X2351:X2352" si="180">MONTH(H2349)</f>
        <v>7</v>
      </c>
      <c r="Y2351" s="95">
        <f t="shared" ref="Y2351:Y2352" si="181">YEAR(H2349)</f>
        <v>2022</v>
      </c>
      <c r="Z2351" s="97" t="s">
        <v>266</v>
      </c>
      <c r="AA2351" t="str">
        <f>IF(Tabla1[[#This Row],[Kerma en aire acumulada (Gy)]]&gt;1,SUMIF(G:G,Tabla1[[#This Row],[SIP]],I:I)-Tabla1[[#This Row],[Kerma en aire acumulada (Gy)]],"")</f>
        <v/>
      </c>
    </row>
    <row r="2352" spans="3:27">
      <c r="C2352" s="144" t="str">
        <f t="shared" ref="C2352" si="182">IF(OR(H2350="",T2352=""),"",IF((H2350-T2352)/12/30&lt;18,"Pediátrico","Adulto"))</f>
        <v>Adulto</v>
      </c>
      <c r="D2352" s="95" t="s">
        <v>2597</v>
      </c>
      <c r="E2352" s="95" t="s">
        <v>641</v>
      </c>
      <c r="F2352" s="95" t="s">
        <v>3452</v>
      </c>
      <c r="G2352" s="95">
        <v>5065270</v>
      </c>
      <c r="H2352" s="96">
        <v>44764</v>
      </c>
      <c r="I2352" s="95">
        <v>0.11305999999999999</v>
      </c>
      <c r="J2352" s="95"/>
      <c r="K2352" s="95"/>
      <c r="L2352" s="95"/>
      <c r="M2352" s="95"/>
      <c r="N2352" s="95"/>
      <c r="O2352" s="95"/>
      <c r="P2352" s="95"/>
      <c r="Q2352" s="95"/>
      <c r="R2352" s="95"/>
      <c r="S2352" s="95"/>
      <c r="T2352" s="96">
        <v>23802</v>
      </c>
      <c r="U2352" s="95"/>
      <c r="V2352" s="95" t="s">
        <v>2383</v>
      </c>
      <c r="W2352" s="92" t="str">
        <f t="shared" si="170"/>
        <v>Osorio Parra,Carlos Hector</v>
      </c>
      <c r="X2352" s="95">
        <f t="shared" si="180"/>
        <v>7</v>
      </c>
      <c r="Y2352" s="95">
        <f t="shared" si="181"/>
        <v>2022</v>
      </c>
      <c r="Z2352" s="97" t="s">
        <v>266</v>
      </c>
      <c r="AA2352" t="str">
        <f>IF(Tabla1[[#This Row],[Kerma en aire acumulada (Gy)]]&gt;1,SUMIF(G:G,Tabla1[[#This Row],[SIP]],I:I)-Tabla1[[#This Row],[Kerma en aire acumulada (Gy)]],"")</f>
        <v/>
      </c>
    </row>
    <row r="2353" spans="3:27">
      <c r="C2353" s="144" t="str">
        <f>IF(OR(H2353="",T2353=""),"",IF((H2353-T2353)/12/30&lt;18,"Pediátrico","Adulto"))</f>
        <v>Adulto</v>
      </c>
      <c r="D2353" s="95" t="s">
        <v>2531</v>
      </c>
      <c r="E2353" s="95" t="s">
        <v>992</v>
      </c>
      <c r="F2353" s="95" t="s">
        <v>3453</v>
      </c>
      <c r="G2353" s="95">
        <v>3767295</v>
      </c>
      <c r="H2353" s="96">
        <v>44764</v>
      </c>
      <c r="I2353" s="95">
        <v>0.21471999999999999</v>
      </c>
      <c r="J2353" s="95"/>
      <c r="K2353" s="95"/>
      <c r="L2353" s="95"/>
      <c r="M2353" s="95"/>
      <c r="N2353" s="95"/>
      <c r="O2353" s="95"/>
      <c r="P2353" s="95"/>
      <c r="Q2353" s="95"/>
      <c r="R2353" s="95"/>
      <c r="S2353" s="95"/>
      <c r="T2353" s="96">
        <v>22481</v>
      </c>
      <c r="U2353" s="95"/>
      <c r="V2353" s="95" t="s">
        <v>2383</v>
      </c>
      <c r="W2353" s="92" t="str">
        <f t="shared" ref="W2353:W2355" si="183">CONCATENATE(D2353,$A$591,E2353,",",F2353)</f>
        <v>Selma Costa,Pelegrin Antoni</v>
      </c>
      <c r="X2353" s="95">
        <f t="shared" ref="X2353" si="184">MONTH(H2353)</f>
        <v>7</v>
      </c>
      <c r="Y2353" s="95">
        <f t="shared" ref="Y2353" si="185">YEAR(H2353)</f>
        <v>2022</v>
      </c>
      <c r="Z2353" s="97" t="s">
        <v>266</v>
      </c>
      <c r="AA2353" t="str">
        <f>IF(Tabla1[[#This Row],[Kerma en aire acumulada (Gy)]]&gt;1,SUMIF(G:G,Tabla1[[#This Row],[SIP]],I:I)-Tabla1[[#This Row],[Kerma en aire acumulada (Gy)]],"")</f>
        <v/>
      </c>
    </row>
    <row r="2354" spans="3:27">
      <c r="C2354" s="144" t="str">
        <f>IF(OR(H2354="",T2354=""),"",IF((H2354-T2354)/12/30&lt;18,"Pediátrico","Adulto"))</f>
        <v>Adulto</v>
      </c>
      <c r="D2354" s="145" t="s">
        <v>319</v>
      </c>
      <c r="E2354" s="145" t="s">
        <v>1617</v>
      </c>
      <c r="F2354" s="145" t="s">
        <v>1759</v>
      </c>
      <c r="G2354" s="145">
        <v>3732036</v>
      </c>
      <c r="H2354" s="96">
        <v>44764</v>
      </c>
      <c r="I2354" s="145">
        <v>0.11037</v>
      </c>
      <c r="J2354" s="145"/>
      <c r="K2354" s="145"/>
      <c r="L2354" s="145"/>
      <c r="M2354" s="145"/>
      <c r="N2354" s="145"/>
      <c r="O2354" s="145"/>
      <c r="P2354" s="145"/>
      <c r="Q2354" s="145"/>
      <c r="R2354" s="145"/>
      <c r="S2354" s="145"/>
      <c r="T2354" s="146">
        <v>18980</v>
      </c>
      <c r="U2354" s="145"/>
      <c r="V2354" s="145" t="s">
        <v>2962</v>
      </c>
      <c r="W2354" s="92" t="str">
        <f t="shared" si="183"/>
        <v>Gonzalez Adrian,Martin</v>
      </c>
      <c r="X2354" s="95">
        <f t="shared" ref="X2354:X2355" si="186">MONTH(H2352)</f>
        <v>7</v>
      </c>
      <c r="Y2354" s="95">
        <f t="shared" ref="Y2354:Y2355" si="187">YEAR(H2352)</f>
        <v>2022</v>
      </c>
      <c r="Z2354" s="153" t="s">
        <v>2238</v>
      </c>
      <c r="AA2354" s="253" t="str">
        <f>IF(Tabla1[[#This Row],[Kerma en aire acumulada (Gy)]]&gt;1,SUMIF(G:G,Tabla1[[#This Row],[SIP]],I:I)-Tabla1[[#This Row],[Kerma en aire acumulada (Gy)]],"")</f>
        <v/>
      </c>
    </row>
    <row r="2355" spans="3:27">
      <c r="C2355" s="246" t="str">
        <f>IF(OR(H2355="",T2355=""),"",IF((H2355-T2355)/12/30&lt;18,"Pediátrico","Adulto"))</f>
        <v>Adulto</v>
      </c>
      <c r="D2355" s="254" t="s">
        <v>1157</v>
      </c>
      <c r="E2355" s="254" t="s">
        <v>681</v>
      </c>
      <c r="F2355" s="254" t="s">
        <v>167</v>
      </c>
      <c r="G2355" s="254">
        <v>3122794</v>
      </c>
      <c r="H2355" s="248">
        <v>44764</v>
      </c>
      <c r="I2355" s="254">
        <v>1.3699999999999999E-3</v>
      </c>
      <c r="J2355" s="254"/>
      <c r="K2355" s="254"/>
      <c r="L2355" s="254"/>
      <c r="M2355" s="254"/>
      <c r="N2355" s="254"/>
      <c r="O2355" s="254"/>
      <c r="P2355" s="254"/>
      <c r="Q2355" s="254"/>
      <c r="R2355" s="254"/>
      <c r="S2355" s="254"/>
      <c r="T2355" s="255">
        <v>9324</v>
      </c>
      <c r="U2355" s="254"/>
      <c r="V2355" s="254" t="s">
        <v>2962</v>
      </c>
      <c r="W2355" s="249" t="str">
        <f t="shared" si="183"/>
        <v>Galindo Blasco,Milagros</v>
      </c>
      <c r="X2355" s="247">
        <f t="shared" si="186"/>
        <v>7</v>
      </c>
      <c r="Y2355" s="247">
        <f t="shared" si="187"/>
        <v>2022</v>
      </c>
      <c r="Z2355" s="256" t="s">
        <v>2238</v>
      </c>
      <c r="AA2355" s="257" t="str">
        <f>IF(Tabla1[[#This Row],[Kerma en aire acumulada (Gy)]]&gt;1,SUMIF(G:G,Tabla1[[#This Row],[SIP]],I:I)-Tabla1[[#This Row],[Kerma en aire acumulada (Gy)]],"")</f>
        <v/>
      </c>
    </row>
    <row r="2356" spans="3:27">
      <c r="C2356" s="258"/>
      <c r="D2356" s="259" t="s">
        <v>3454</v>
      </c>
      <c r="E2356" s="259"/>
      <c r="F2356" s="259" t="s">
        <v>3455</v>
      </c>
      <c r="G2356" s="259">
        <v>5390546</v>
      </c>
      <c r="H2356" s="260">
        <v>44765</v>
      </c>
      <c r="I2356" s="259">
        <v>1.19641</v>
      </c>
      <c r="J2356" s="259"/>
      <c r="K2356" s="259"/>
      <c r="L2356" s="259"/>
      <c r="M2356" s="259"/>
      <c r="N2356" s="259"/>
      <c r="O2356" s="259"/>
      <c r="P2356" s="259"/>
      <c r="Q2356" s="259"/>
      <c r="R2356" s="259"/>
      <c r="S2356" s="259"/>
      <c r="T2356" s="260">
        <v>14906</v>
      </c>
      <c r="U2356" s="259"/>
      <c r="V2356" s="259" t="s">
        <v>2383</v>
      </c>
      <c r="W2356" s="92" t="str">
        <f t="shared" ref="W2356:W2362" si="188">CONCATENATE(D2356,$A$591,E2356,",",F2356)</f>
        <v>Winbolt ,Leonard Sunley</v>
      </c>
      <c r="X2356" s="95">
        <f t="shared" ref="X2356:X2362" si="189">MONTH(H2354)</f>
        <v>7</v>
      </c>
      <c r="Y2356" s="95">
        <f t="shared" ref="Y2356:Y2362" si="190">YEAR(H2354)</f>
        <v>2022</v>
      </c>
      <c r="Z2356" s="261" t="s">
        <v>266</v>
      </c>
      <c r="AA2356" s="262">
        <f>IF(Tabla1[[#This Row],[Kerma en aire acumulada (Gy)]]&gt;1,SUMIF(G:G,Tabla1[[#This Row],[SIP]],I:I)-Tabla1[[#This Row],[Kerma en aire acumulada (Gy)]],"")</f>
        <v>0</v>
      </c>
    </row>
    <row r="2357" spans="3:27">
      <c r="C2357" s="144" t="str">
        <f>IF(OR(H2357="",T2357=""),"",IF((H2357-T2357)/12/30&lt;18,"Pediátrico","Adulto"))</f>
        <v>Adulto</v>
      </c>
      <c r="D2357" s="145" t="s">
        <v>1186</v>
      </c>
      <c r="E2357" s="145" t="s">
        <v>3456</v>
      </c>
      <c r="F2357" s="145" t="s">
        <v>1747</v>
      </c>
      <c r="G2357" s="145">
        <v>7461662</v>
      </c>
      <c r="H2357" s="146">
        <v>44766</v>
      </c>
      <c r="I2357" s="145">
        <v>8.3820000000000006E-2</v>
      </c>
      <c r="J2357" s="145"/>
      <c r="K2357" s="145"/>
      <c r="L2357" s="145"/>
      <c r="M2357" s="145"/>
      <c r="N2357" s="145"/>
      <c r="O2357" s="145"/>
      <c r="P2357" s="145"/>
      <c r="Q2357" s="145"/>
      <c r="R2357" s="145"/>
      <c r="S2357" s="145"/>
      <c r="T2357" s="146">
        <v>31776</v>
      </c>
      <c r="U2357" s="145"/>
      <c r="V2357" s="145" t="s">
        <v>2383</v>
      </c>
      <c r="W2357" s="249" t="str">
        <f t="shared" si="188"/>
        <v>Montero Cobo de Guzman,Alvaro</v>
      </c>
      <c r="X2357" s="247">
        <f t="shared" si="189"/>
        <v>7</v>
      </c>
      <c r="Y2357" s="247">
        <f t="shared" si="190"/>
        <v>2022</v>
      </c>
      <c r="Z2357" s="153" t="s">
        <v>266</v>
      </c>
      <c r="AA2357" s="253" t="str">
        <f>IF(Tabla1[[#This Row],[Kerma en aire acumulada (Gy)]]&gt;1,SUMIF(G:G,Tabla1[[#This Row],[SIP]],I:I)-Tabla1[[#This Row],[Kerma en aire acumulada (Gy)]],"")</f>
        <v/>
      </c>
    </row>
    <row r="2358" spans="3:27">
      <c r="C2358" s="144" t="str">
        <f>IF(OR(H2358="",T2358=""),"",IF((H2358-T2358)/12/30&lt;18,"Pediátrico","Adulto"))</f>
        <v>Adulto</v>
      </c>
      <c r="D2358" s="145" t="s">
        <v>960</v>
      </c>
      <c r="E2358" s="145" t="s">
        <v>3457</v>
      </c>
      <c r="F2358" s="145" t="s">
        <v>967</v>
      </c>
      <c r="G2358" s="145">
        <v>4974143</v>
      </c>
      <c r="H2358" s="146">
        <v>44766</v>
      </c>
      <c r="I2358" s="145">
        <v>0.15229999999999999</v>
      </c>
      <c r="J2358" s="145"/>
      <c r="K2358" s="145"/>
      <c r="L2358" s="145"/>
      <c r="M2358" s="145"/>
      <c r="N2358" s="145"/>
      <c r="O2358" s="145"/>
      <c r="P2358" s="145"/>
      <c r="Q2358" s="145"/>
      <c r="R2358" s="145"/>
      <c r="S2358" s="145"/>
      <c r="T2358" s="146">
        <v>25702</v>
      </c>
      <c r="U2358" s="145"/>
      <c r="V2358" s="145" t="s">
        <v>2383</v>
      </c>
      <c r="W2358" s="92" t="str">
        <f t="shared" si="188"/>
        <v>Lopez Doval,Jose Manuel</v>
      </c>
      <c r="X2358" s="95">
        <f t="shared" si="189"/>
        <v>7</v>
      </c>
      <c r="Y2358" s="95">
        <f t="shared" si="190"/>
        <v>2022</v>
      </c>
      <c r="Z2358" s="153" t="s">
        <v>266</v>
      </c>
      <c r="AA2358" s="253" t="str">
        <f>IF(Tabla1[[#This Row],[Kerma en aire acumulada (Gy)]]&gt;1,SUMIF(G:G,Tabla1[[#This Row],[SIP]],I:I)-Tabla1[[#This Row],[Kerma en aire acumulada (Gy)]],"")</f>
        <v/>
      </c>
    </row>
    <row r="2359" spans="3:27">
      <c r="C2359" s="144" t="str">
        <f t="shared" ref="C2359:C2360" si="191">IF(OR(H2359="",T2359=""),"",IF((H2359-T2359)/12/30&lt;18,"Pediátrico","Adulto"))</f>
        <v>Adulto</v>
      </c>
      <c r="D2359" s="145" t="s">
        <v>669</v>
      </c>
      <c r="E2359" s="145" t="s">
        <v>20</v>
      </c>
      <c r="F2359" s="145" t="s">
        <v>967</v>
      </c>
      <c r="G2359" s="145">
        <v>2944290</v>
      </c>
      <c r="H2359" s="146">
        <v>44766</v>
      </c>
      <c r="I2359" s="145">
        <v>0.11280999999999999</v>
      </c>
      <c r="J2359" s="145"/>
      <c r="K2359" s="145"/>
      <c r="L2359" s="145"/>
      <c r="M2359" s="145"/>
      <c r="N2359" s="145"/>
      <c r="O2359" s="145"/>
      <c r="P2359" s="145"/>
      <c r="Q2359" s="145"/>
      <c r="R2359" s="145"/>
      <c r="S2359" s="145"/>
      <c r="T2359" s="146">
        <v>21490</v>
      </c>
      <c r="U2359" s="145"/>
      <c r="V2359" s="145" t="s">
        <v>2383</v>
      </c>
      <c r="W2359" s="249" t="str">
        <f t="shared" si="188"/>
        <v>Santamaria Antonio,Jose Manuel</v>
      </c>
      <c r="X2359" s="247">
        <f t="shared" si="189"/>
        <v>7</v>
      </c>
      <c r="Y2359" s="247">
        <f t="shared" si="190"/>
        <v>2022</v>
      </c>
      <c r="Z2359" s="153" t="s">
        <v>266</v>
      </c>
      <c r="AA2359" s="253" t="str">
        <f>IF(Tabla1[[#This Row],[Kerma en aire acumulada (Gy)]]&gt;1,SUMIF(G:G,Tabla1[[#This Row],[SIP]],I:I)-Tabla1[[#This Row],[Kerma en aire acumulada (Gy)]],"")</f>
        <v/>
      </c>
    </row>
    <row r="2360" spans="3:27">
      <c r="C2360" s="246" t="str">
        <f t="shared" si="191"/>
        <v>Adulto</v>
      </c>
      <c r="D2360" s="254" t="s">
        <v>1186</v>
      </c>
      <c r="E2360" s="254" t="s">
        <v>3456</v>
      </c>
      <c r="F2360" s="254" t="s">
        <v>1747</v>
      </c>
      <c r="G2360" s="254">
        <v>7461662</v>
      </c>
      <c r="H2360" s="255">
        <v>44766</v>
      </c>
      <c r="I2360" s="254">
        <v>0.28277999999999998</v>
      </c>
      <c r="J2360" s="254"/>
      <c r="K2360" s="254"/>
      <c r="L2360" s="254"/>
      <c r="M2360" s="254"/>
      <c r="N2360" s="254"/>
      <c r="O2360" s="254"/>
      <c r="P2360" s="254"/>
      <c r="Q2360" s="254"/>
      <c r="R2360" s="254"/>
      <c r="S2360" s="254"/>
      <c r="T2360" s="255">
        <v>31776</v>
      </c>
      <c r="U2360" s="254"/>
      <c r="V2360" s="254" t="s">
        <v>2383</v>
      </c>
      <c r="W2360" s="92" t="str">
        <f t="shared" si="188"/>
        <v>Montero Cobo de Guzman,Alvaro</v>
      </c>
      <c r="X2360" s="95">
        <f t="shared" si="189"/>
        <v>7</v>
      </c>
      <c r="Y2360" s="95">
        <f t="shared" si="190"/>
        <v>2022</v>
      </c>
      <c r="Z2360" s="256" t="s">
        <v>266</v>
      </c>
      <c r="AA2360" s="264" t="str">
        <f>IF(Tabla1[[#This Row],[Kerma en aire acumulada (Gy)]]&gt;1,SUMIF(G:G,Tabla1[[#This Row],[SIP]],I:I)-Tabla1[[#This Row],[Kerma en aire acumulada (Gy)]],"")</f>
        <v/>
      </c>
    </row>
    <row r="2361" spans="3:27">
      <c r="C2361" s="144" t="str">
        <f>IF(OR(H2361="",T2361=""),"",IF((H2361-T2361)/12/30&lt;18,"Pediátrico","Adulto"))</f>
        <v>Adulto</v>
      </c>
      <c r="D2361" s="145" t="s">
        <v>21</v>
      </c>
      <c r="E2361" s="145" t="s">
        <v>3458</v>
      </c>
      <c r="F2361" s="145" t="s">
        <v>300</v>
      </c>
      <c r="G2361" s="145">
        <v>3272872</v>
      </c>
      <c r="H2361" s="146">
        <v>44767</v>
      </c>
      <c r="I2361" s="145">
        <v>0.6421</v>
      </c>
      <c r="J2361" s="145"/>
      <c r="K2361" s="145"/>
      <c r="L2361" s="145"/>
      <c r="M2361" s="145"/>
      <c r="N2361" s="145"/>
      <c r="O2361" s="145"/>
      <c r="P2361" s="145"/>
      <c r="Q2361" s="145"/>
      <c r="R2361" s="145"/>
      <c r="S2361" s="145"/>
      <c r="T2361" s="146">
        <v>20444</v>
      </c>
      <c r="U2361" s="145"/>
      <c r="V2361" s="145" t="s">
        <v>1116</v>
      </c>
      <c r="W2361" s="249" t="str">
        <f t="shared" si="188"/>
        <v>Cervera Cadalas,Carlos</v>
      </c>
      <c r="X2361" s="247">
        <f t="shared" si="189"/>
        <v>7</v>
      </c>
      <c r="Y2361" s="247">
        <f t="shared" si="190"/>
        <v>2022</v>
      </c>
      <c r="Z2361" s="153" t="s">
        <v>265</v>
      </c>
      <c r="AA2361" s="253" t="str">
        <f>IF(Tabla1[[#This Row],[Kerma en aire acumulada (Gy)]]&gt;1,SUMIF(G:G,Tabla1[[#This Row],[SIP]],I:I)-Tabla1[[#This Row],[Kerma en aire acumulada (Gy)]],"")</f>
        <v/>
      </c>
    </row>
    <row r="2362" spans="3:27">
      <c r="C2362" s="144" t="str">
        <f>IF(OR(H2362="",T2362=""),"",IF((H2362-T2362)/12/30&lt;18,"Pediátrico","Adulto"))</f>
        <v>Adulto</v>
      </c>
      <c r="D2362" s="145" t="s">
        <v>1090</v>
      </c>
      <c r="E2362" s="145" t="s">
        <v>1320</v>
      </c>
      <c r="F2362" s="145" t="s">
        <v>117</v>
      </c>
      <c r="G2362" s="145">
        <v>3519128</v>
      </c>
      <c r="H2362" s="146">
        <v>44767</v>
      </c>
      <c r="I2362" s="145">
        <v>2.4399999999999999E-3</v>
      </c>
      <c r="J2362" s="145"/>
      <c r="K2362" s="145"/>
      <c r="L2362" s="145"/>
      <c r="M2362" s="145"/>
      <c r="N2362" s="145"/>
      <c r="O2362" s="145"/>
      <c r="P2362" s="145"/>
      <c r="Q2362" s="145"/>
      <c r="R2362" s="145"/>
      <c r="S2362" s="145"/>
      <c r="T2362" s="146">
        <v>19096</v>
      </c>
      <c r="U2362" s="145"/>
      <c r="V2362" s="145" t="s">
        <v>1113</v>
      </c>
      <c r="W2362" s="92" t="str">
        <f t="shared" si="188"/>
        <v>Ibañez Calleja,M Carmen</v>
      </c>
      <c r="X2362" s="95">
        <f t="shared" si="189"/>
        <v>7</v>
      </c>
      <c r="Y2362" s="95">
        <f t="shared" si="190"/>
        <v>2022</v>
      </c>
      <c r="Z2362" s="153" t="s">
        <v>265</v>
      </c>
      <c r="AA2362" s="253" t="str">
        <f>IF(Tabla1[[#This Row],[Kerma en aire acumulada (Gy)]]&gt;1,SUMIF(G:G,Tabla1[[#This Row],[SIP]],I:I)-Tabla1[[#This Row],[Kerma en aire acumulada (Gy)]],"")</f>
        <v/>
      </c>
    </row>
    <row r="2363" spans="3:27">
      <c r="C2363" s="144" t="str">
        <f>IF(OR(H2363="",T2363=""),"",IF((H2363-T2363)/12/30&lt;18,"Pediátrico","Adulto"))</f>
        <v>Adulto</v>
      </c>
      <c r="D2363" s="145" t="s">
        <v>2882</v>
      </c>
      <c r="E2363" s="145" t="s">
        <v>767</v>
      </c>
      <c r="F2363" s="145" t="s">
        <v>83</v>
      </c>
      <c r="G2363" s="145">
        <v>3188463</v>
      </c>
      <c r="H2363" s="146">
        <v>44767</v>
      </c>
      <c r="I2363" s="145">
        <v>0.20788999999999999</v>
      </c>
      <c r="J2363" s="145"/>
      <c r="K2363" s="145"/>
      <c r="L2363" s="145"/>
      <c r="M2363" s="145"/>
      <c r="N2363" s="145"/>
      <c r="O2363" s="145"/>
      <c r="P2363" s="145"/>
      <c r="Q2363" s="145"/>
      <c r="R2363" s="145"/>
      <c r="S2363" s="145"/>
      <c r="T2363" s="146">
        <v>16854</v>
      </c>
      <c r="U2363" s="145"/>
      <c r="V2363" s="145" t="s">
        <v>1929</v>
      </c>
      <c r="W2363" s="92" t="str">
        <f t="shared" ref="W2363:W2367" si="192">CONCATENATE(D2363,$A$591,E2363,",",F2363)</f>
        <v>Ombuena Segarra,Francisco</v>
      </c>
      <c r="X2363" s="95">
        <f t="shared" ref="X2363:X2367" si="193">MONTH(H2361)</f>
        <v>7</v>
      </c>
      <c r="Y2363" s="95">
        <f t="shared" ref="Y2363:Y2367" si="194">YEAR(H2361)</f>
        <v>2022</v>
      </c>
      <c r="Z2363" s="153" t="s">
        <v>265</v>
      </c>
      <c r="AA2363" s="253" t="str">
        <f>IF(Tabla1[[#This Row],[Kerma en aire acumulada (Gy)]]&gt;1,SUMIF(G:G,Tabla1[[#This Row],[SIP]],I:I)-Tabla1[[#This Row],[Kerma en aire acumulada (Gy)]],"")</f>
        <v/>
      </c>
    </row>
    <row r="2364" spans="3:27">
      <c r="C2364" s="144" t="str">
        <f t="shared" ref="C2364:C2365" si="195">IF(OR(H2364="",T2364=""),"",IF((H2364-T2364)/12/30&lt;18,"Pediátrico","Adulto"))</f>
        <v>Adulto</v>
      </c>
      <c r="D2364" s="145" t="s">
        <v>159</v>
      </c>
      <c r="E2364" s="145" t="s">
        <v>156</v>
      </c>
      <c r="F2364" s="145" t="s">
        <v>961</v>
      </c>
      <c r="G2364" s="145">
        <v>4254575</v>
      </c>
      <c r="H2364" s="146">
        <v>44767</v>
      </c>
      <c r="I2364" s="145">
        <v>7.306E-2</v>
      </c>
      <c r="J2364" s="145"/>
      <c r="K2364" s="145"/>
      <c r="L2364" s="145"/>
      <c r="M2364" s="145"/>
      <c r="N2364" s="145"/>
      <c r="O2364" s="145"/>
      <c r="P2364" s="145"/>
      <c r="Q2364" s="145"/>
      <c r="R2364" s="145"/>
      <c r="S2364" s="145"/>
      <c r="T2364" s="146">
        <v>25068</v>
      </c>
      <c r="U2364" s="145"/>
      <c r="V2364" s="145" t="s">
        <v>1132</v>
      </c>
      <c r="W2364" s="92" t="str">
        <f t="shared" si="192"/>
        <v>Villar Pastor,Teresa</v>
      </c>
      <c r="X2364" s="95">
        <f t="shared" si="193"/>
        <v>7</v>
      </c>
      <c r="Y2364" s="95">
        <f t="shared" si="194"/>
        <v>2022</v>
      </c>
      <c r="Z2364" s="153" t="s">
        <v>265</v>
      </c>
      <c r="AA2364" s="253" t="str">
        <f>IF(Tabla1[[#This Row],[Kerma en aire acumulada (Gy)]]&gt;1,SUMIF(G:G,Tabla1[[#This Row],[SIP]],I:I)-Tabla1[[#This Row],[Kerma en aire acumulada (Gy)]],"")</f>
        <v/>
      </c>
    </row>
    <row r="2365" spans="3:27">
      <c r="C2365" s="144" t="str">
        <f t="shared" si="195"/>
        <v>Adulto</v>
      </c>
      <c r="D2365" s="145" t="s">
        <v>2008</v>
      </c>
      <c r="E2365" s="145" t="s">
        <v>3114</v>
      </c>
      <c r="F2365" s="145" t="s">
        <v>1976</v>
      </c>
      <c r="G2365" s="145">
        <v>3811460</v>
      </c>
      <c r="H2365" s="146">
        <v>44767</v>
      </c>
      <c r="I2365" s="145">
        <v>0.17552999999999999</v>
      </c>
      <c r="J2365" s="145"/>
      <c r="K2365" s="145"/>
      <c r="L2365" s="145"/>
      <c r="M2365" s="145"/>
      <c r="N2365" s="145"/>
      <c r="O2365" s="145"/>
      <c r="P2365" s="145"/>
      <c r="Q2365" s="145"/>
      <c r="R2365" s="145"/>
      <c r="S2365" s="145"/>
      <c r="T2365" s="146">
        <v>28656</v>
      </c>
      <c r="U2365" s="145"/>
      <c r="V2365" s="145" t="s">
        <v>1246</v>
      </c>
      <c r="W2365" s="92" t="str">
        <f t="shared" si="192"/>
        <v>Puchades Dolz,Sergio</v>
      </c>
      <c r="X2365" s="95">
        <f t="shared" si="193"/>
        <v>7</v>
      </c>
      <c r="Y2365" s="95">
        <f t="shared" si="194"/>
        <v>2022</v>
      </c>
      <c r="Z2365" s="153" t="s">
        <v>265</v>
      </c>
      <c r="AA2365" s="263" t="str">
        <f>IF(Tabla1[[#This Row],[Kerma en aire acumulada (Gy)]]&gt;1,SUMIF(G:G,Tabla1[[#This Row],[SIP]],I:I)-Tabla1[[#This Row],[Kerma en aire acumulada (Gy)]],"")</f>
        <v/>
      </c>
    </row>
    <row r="2366" spans="3:27">
      <c r="C2366" s="144" t="str">
        <f t="shared" ref="C2366:C2367" si="196">IF(OR(H2366="",T2366=""),"",IF((H2366-T2366)/12/30&lt;18,"Pediátrico","Adulto"))</f>
        <v>Adulto</v>
      </c>
      <c r="D2366" s="145" t="s">
        <v>3459</v>
      </c>
      <c r="E2366" s="145" t="s">
        <v>628</v>
      </c>
      <c r="F2366" s="145" t="s">
        <v>68</v>
      </c>
      <c r="G2366" s="145">
        <v>2212602</v>
      </c>
      <c r="H2366" s="146">
        <v>44767</v>
      </c>
      <c r="I2366" s="145" t="s">
        <v>3331</v>
      </c>
      <c r="J2366" s="145"/>
      <c r="K2366" s="145"/>
      <c r="L2366" s="145"/>
      <c r="M2366" s="145"/>
      <c r="N2366" s="145"/>
      <c r="O2366" s="145"/>
      <c r="P2366" s="145"/>
      <c r="Q2366" s="145"/>
      <c r="R2366" s="145"/>
      <c r="S2366" s="145"/>
      <c r="T2366" s="146">
        <v>12392</v>
      </c>
      <c r="U2366" s="145"/>
      <c r="V2366" s="145" t="s">
        <v>2383</v>
      </c>
      <c r="W2366" s="92" t="str">
        <f t="shared" si="192"/>
        <v>Contelles Pons,Juan</v>
      </c>
      <c r="X2366" s="95">
        <f t="shared" si="193"/>
        <v>7</v>
      </c>
      <c r="Y2366" s="95">
        <f t="shared" si="194"/>
        <v>2022</v>
      </c>
      <c r="Z2366" s="153" t="s">
        <v>266</v>
      </c>
      <c r="AA2366" s="253" t="e">
        <f>IF(Tabla1[[#This Row],[Kerma en aire acumulada (Gy)]]&gt;1,SUMIF(G:G,Tabla1[[#This Row],[SIP]],I:I)-Tabla1[[#This Row],[Kerma en aire acumulada (Gy)]],"")</f>
        <v>#VALUE!</v>
      </c>
    </row>
    <row r="2367" spans="3:27">
      <c r="C2367" s="144" t="str">
        <f t="shared" si="196"/>
        <v>Adulto</v>
      </c>
      <c r="D2367" s="145" t="s">
        <v>1275</v>
      </c>
      <c r="E2367" s="145" t="s">
        <v>3460</v>
      </c>
      <c r="F2367" s="145" t="s">
        <v>1314</v>
      </c>
      <c r="G2367" s="145">
        <v>2903349</v>
      </c>
      <c r="H2367" s="146">
        <v>44767</v>
      </c>
      <c r="I2367" s="145">
        <v>9.0740000000000001E-2</v>
      </c>
      <c r="J2367" s="145"/>
      <c r="K2367" s="145"/>
      <c r="L2367" s="145"/>
      <c r="M2367" s="145"/>
      <c r="N2367" s="145"/>
      <c r="O2367" s="145"/>
      <c r="P2367" s="145"/>
      <c r="Q2367" s="145"/>
      <c r="R2367" s="145"/>
      <c r="S2367" s="145"/>
      <c r="T2367" s="146">
        <v>17755</v>
      </c>
      <c r="U2367" s="145"/>
      <c r="V2367" s="145" t="s">
        <v>2383</v>
      </c>
      <c r="W2367" s="92" t="str">
        <f t="shared" si="192"/>
        <v>Ramirez Ruescas,Jose Enrique</v>
      </c>
      <c r="X2367" s="95">
        <f t="shared" si="193"/>
        <v>7</v>
      </c>
      <c r="Y2367" s="95">
        <f t="shared" si="194"/>
        <v>2022</v>
      </c>
      <c r="Z2367" s="153" t="s">
        <v>266</v>
      </c>
      <c r="AA2367" s="263" t="str">
        <f>IF(Tabla1[[#This Row],[Kerma en aire acumulada (Gy)]]&gt;1,SUMIF(G:G,Tabla1[[#This Row],[SIP]],I:I)-Tabla1[[#This Row],[Kerma en aire acumulada (Gy)]],"")</f>
        <v/>
      </c>
    </row>
    <row r="2368" spans="3:27">
      <c r="C2368" s="144" t="str">
        <f>IF(OR(H2368="",T2368=""),"",IF((H2368-T2368)/12/30&lt;18,"Pediátrico","Adulto"))</f>
        <v>Adulto</v>
      </c>
      <c r="D2368" s="145" t="s">
        <v>634</v>
      </c>
      <c r="E2368" s="145" t="s">
        <v>3461</v>
      </c>
      <c r="F2368" s="145" t="s">
        <v>88</v>
      </c>
      <c r="G2368" s="145">
        <v>2345280</v>
      </c>
      <c r="H2368" s="146">
        <v>44767</v>
      </c>
      <c r="I2368" s="145">
        <v>0.76102000000000003</v>
      </c>
      <c r="J2368" s="145"/>
      <c r="K2368" s="145"/>
      <c r="L2368" s="145"/>
      <c r="M2368" s="145"/>
      <c r="N2368" s="145"/>
      <c r="O2368" s="145"/>
      <c r="P2368" s="145"/>
      <c r="Q2368" s="145"/>
      <c r="R2368" s="145"/>
      <c r="S2368" s="145"/>
      <c r="T2368" s="146">
        <v>24462</v>
      </c>
      <c r="U2368" s="145"/>
      <c r="V2368" s="145" t="s">
        <v>2383</v>
      </c>
      <c r="W2368" s="92" t="str">
        <f t="shared" ref="W2368:W2369" si="197">CONCATENATE(D2368,$A$591,E2368,",",F2368)</f>
        <v>Gil Willemsz,Vicente</v>
      </c>
      <c r="X2368" s="95">
        <f t="shared" ref="X2368:X2369" si="198">MONTH(H2366)</f>
        <v>7</v>
      </c>
      <c r="Y2368" s="95">
        <f t="shared" ref="Y2368:Y2369" si="199">YEAR(H2366)</f>
        <v>2022</v>
      </c>
      <c r="Z2368" s="153" t="s">
        <v>266</v>
      </c>
      <c r="AA2368" s="253" t="str">
        <f>IF(Tabla1[[#This Row],[Kerma en aire acumulada (Gy)]]&gt;1,SUMIF(G:G,Tabla1[[#This Row],[SIP]],I:I)-Tabla1[[#This Row],[Kerma en aire acumulada (Gy)]],"")</f>
        <v/>
      </c>
    </row>
    <row r="2369" spans="3:27">
      <c r="C2369" s="144" t="str">
        <f>IF(OR(H2369="",T2369=""),"",IF((H2369-T2369)/12/30&lt;18,"Pediátrico","Adulto"))</f>
        <v>Adulto</v>
      </c>
      <c r="D2369" s="145" t="s">
        <v>3398</v>
      </c>
      <c r="E2369" s="145" t="s">
        <v>2990</v>
      </c>
      <c r="F2369" s="145" t="s">
        <v>991</v>
      </c>
      <c r="G2369" s="145">
        <v>3074759</v>
      </c>
      <c r="H2369" s="146">
        <v>44767</v>
      </c>
      <c r="I2369" s="145" t="s">
        <v>3333</v>
      </c>
      <c r="J2369" s="145"/>
      <c r="K2369" s="145"/>
      <c r="L2369" s="145"/>
      <c r="M2369" s="145"/>
      <c r="N2369" s="145"/>
      <c r="O2369" s="145"/>
      <c r="P2369" s="145"/>
      <c r="Q2369" s="145"/>
      <c r="R2369" s="145"/>
      <c r="S2369" s="145"/>
      <c r="T2369" s="146">
        <v>17637</v>
      </c>
      <c r="U2369" s="145"/>
      <c r="V2369" s="145" t="s">
        <v>2383</v>
      </c>
      <c r="W2369" s="92" t="str">
        <f t="shared" si="197"/>
        <v>Minguez Sayas,Jose</v>
      </c>
      <c r="X2369" s="95">
        <f t="shared" si="198"/>
        <v>7</v>
      </c>
      <c r="Y2369" s="95">
        <f t="shared" si="199"/>
        <v>2022</v>
      </c>
      <c r="Z2369" s="153" t="s">
        <v>266</v>
      </c>
      <c r="AA2369" s="253" t="e">
        <f>IF(Tabla1[[#This Row],[Kerma en aire acumulada (Gy)]]&gt;1,SUMIF(G:G,Tabla1[[#This Row],[SIP]],I:I)-Tabla1[[#This Row],[Kerma en aire acumulada (Gy)]],"")</f>
        <v>#VALUE!</v>
      </c>
    </row>
    <row r="2370" spans="3:27">
      <c r="C2370" s="144" t="str">
        <f>IF(OR(H2370="",T2370=""),"",IF((H2370-T2370)/12/30&lt;18,"Pediátrico","Adulto"))</f>
        <v>Adulto</v>
      </c>
      <c r="D2370" s="145" t="s">
        <v>1837</v>
      </c>
      <c r="E2370" s="145" t="s">
        <v>856</v>
      </c>
      <c r="F2370" s="145" t="s">
        <v>2047</v>
      </c>
      <c r="G2370" s="145">
        <v>2190592</v>
      </c>
      <c r="H2370" s="146">
        <v>44767</v>
      </c>
      <c r="I2370" s="145">
        <v>0.52683999999999997</v>
      </c>
      <c r="J2370" s="145"/>
      <c r="K2370" s="145"/>
      <c r="L2370" s="145"/>
      <c r="M2370" s="145"/>
      <c r="N2370" s="145"/>
      <c r="O2370" s="145"/>
      <c r="P2370" s="145"/>
      <c r="Q2370" s="145"/>
      <c r="R2370" s="145"/>
      <c r="S2370" s="145"/>
      <c r="T2370" s="146">
        <v>25153</v>
      </c>
      <c r="U2370" s="145"/>
      <c r="V2370" s="145" t="s">
        <v>2383</v>
      </c>
      <c r="W2370" s="92" t="str">
        <f t="shared" ref="W2370:W2372" si="200">CONCATENATE(D2370,$A$591,E2370,",",F2370)</f>
        <v>Rodriguez Gomez,Federico</v>
      </c>
      <c r="X2370" s="95">
        <f t="shared" ref="X2370:X2372" si="201">MONTH(H2368)</f>
        <v>7</v>
      </c>
      <c r="Y2370" s="95">
        <f t="shared" ref="Y2370:Y2372" si="202">YEAR(H2368)</f>
        <v>2022</v>
      </c>
      <c r="Z2370" s="153" t="s">
        <v>266</v>
      </c>
      <c r="AA2370" s="253" t="str">
        <f>IF(Tabla1[[#This Row],[Kerma en aire acumulada (Gy)]]&gt;1,SUMIF(G:G,Tabla1[[#This Row],[SIP]],I:I)-Tabla1[[#This Row],[Kerma en aire acumulada (Gy)]],"")</f>
        <v/>
      </c>
    </row>
    <row r="2371" spans="3:27">
      <c r="C2371" s="144" t="str">
        <f t="shared" ref="C2371:C2373" si="203">IF(OR(H2371="",T2371=""),"",IF((H2371-T2371)/12/30&lt;18,"Pediátrico","Adulto"))</f>
        <v>Adulto</v>
      </c>
      <c r="D2371" s="145" t="s">
        <v>2366</v>
      </c>
      <c r="E2371" s="145" t="s">
        <v>3462</v>
      </c>
      <c r="F2371" s="145" t="s">
        <v>356</v>
      </c>
      <c r="G2371" s="145">
        <v>1984648</v>
      </c>
      <c r="H2371" s="146">
        <v>44767</v>
      </c>
      <c r="I2371" s="145">
        <v>0.23072000000000001</v>
      </c>
      <c r="J2371" s="145"/>
      <c r="K2371" s="145"/>
      <c r="L2371" s="145"/>
      <c r="M2371" s="145"/>
      <c r="N2371" s="145"/>
      <c r="O2371" s="145"/>
      <c r="P2371" s="145"/>
      <c r="Q2371" s="145"/>
      <c r="R2371" s="145"/>
      <c r="S2371" s="145"/>
      <c r="T2371" s="146">
        <v>17056</v>
      </c>
      <c r="U2371" s="145"/>
      <c r="V2371" s="145" t="s">
        <v>2383</v>
      </c>
      <c r="W2371" s="92" t="str">
        <f t="shared" si="200"/>
        <v>Gimeno Puchal,Manuel</v>
      </c>
      <c r="X2371" s="95">
        <f t="shared" si="201"/>
        <v>7</v>
      </c>
      <c r="Y2371" s="95">
        <f t="shared" si="202"/>
        <v>2022</v>
      </c>
      <c r="Z2371" s="153" t="s">
        <v>266</v>
      </c>
      <c r="AA2371" s="253" t="str">
        <f>IF(Tabla1[[#This Row],[Kerma en aire acumulada (Gy)]]&gt;1,SUMIF(G:G,Tabla1[[#This Row],[SIP]],I:I)-Tabla1[[#This Row],[Kerma en aire acumulada (Gy)]],"")</f>
        <v/>
      </c>
    </row>
    <row r="2372" spans="3:27">
      <c r="C2372" s="144" t="str">
        <f t="shared" si="203"/>
        <v>Adulto</v>
      </c>
      <c r="D2372" s="145" t="s">
        <v>2436</v>
      </c>
      <c r="E2372" s="145" t="s">
        <v>966</v>
      </c>
      <c r="F2372" s="145" t="s">
        <v>786</v>
      </c>
      <c r="G2372" s="145">
        <v>2152403</v>
      </c>
      <c r="H2372" s="146">
        <v>44767</v>
      </c>
      <c r="I2372" s="145">
        <v>9.196E-2</v>
      </c>
      <c r="J2372" s="145"/>
      <c r="K2372" s="145"/>
      <c r="L2372" s="145"/>
      <c r="M2372" s="145"/>
      <c r="N2372" s="145"/>
      <c r="O2372" s="145"/>
      <c r="P2372" s="145"/>
      <c r="Q2372" s="145"/>
      <c r="R2372" s="145"/>
      <c r="S2372" s="145"/>
      <c r="T2372" s="146">
        <v>21633</v>
      </c>
      <c r="U2372" s="145"/>
      <c r="V2372" s="145" t="s">
        <v>2383</v>
      </c>
      <c r="W2372" s="92" t="str">
        <f t="shared" si="200"/>
        <v>Arnau Marco,Maria Carmen</v>
      </c>
      <c r="X2372" s="95">
        <f t="shared" si="201"/>
        <v>7</v>
      </c>
      <c r="Y2372" s="95">
        <f t="shared" si="202"/>
        <v>2022</v>
      </c>
      <c r="Z2372" s="153" t="s">
        <v>266</v>
      </c>
      <c r="AA2372" s="263" t="str">
        <f>IF(Tabla1[[#This Row],[Kerma en aire acumulada (Gy)]]&gt;1,SUMIF(G:G,Tabla1[[#This Row],[SIP]],I:I)-Tabla1[[#This Row],[Kerma en aire acumulada (Gy)]],"")</f>
        <v/>
      </c>
    </row>
    <row r="2373" spans="3:27">
      <c r="C2373" s="144" t="str">
        <f t="shared" si="203"/>
        <v>Pediátrico</v>
      </c>
      <c r="D2373" s="145" t="s">
        <v>35</v>
      </c>
      <c r="E2373" s="145" t="s">
        <v>35</v>
      </c>
      <c r="F2373" s="145" t="s">
        <v>68</v>
      </c>
      <c r="G2373" s="145">
        <v>3593893</v>
      </c>
      <c r="H2373" s="146">
        <v>44767</v>
      </c>
      <c r="I2373" s="145">
        <v>0.61324999999999996</v>
      </c>
      <c r="J2373" s="145"/>
      <c r="K2373" s="145"/>
      <c r="L2373" s="145"/>
      <c r="M2373" s="145"/>
      <c r="N2373" s="145"/>
      <c r="O2373" s="145"/>
      <c r="P2373" s="145"/>
      <c r="Q2373" s="145"/>
      <c r="R2373" s="145"/>
      <c r="S2373" s="145"/>
      <c r="T2373" s="146">
        <v>47303</v>
      </c>
      <c r="U2373" s="145"/>
      <c r="V2373" s="145" t="s">
        <v>2383</v>
      </c>
      <c r="W2373" s="92" t="str">
        <f t="shared" ref="W2373:W2374" si="204">CONCATENATE(D2373,$A$591,E2373,",",F2373)</f>
        <v>Lozano Lozano,Juan</v>
      </c>
      <c r="X2373" s="95">
        <f t="shared" ref="X2373:X2374" si="205">MONTH(H2371)</f>
        <v>7</v>
      </c>
      <c r="Y2373" s="95">
        <f t="shared" ref="Y2373:Y2374" si="206">YEAR(H2371)</f>
        <v>2022</v>
      </c>
      <c r="Z2373" s="153" t="s">
        <v>266</v>
      </c>
      <c r="AA2373" s="263" t="str">
        <f>IF(Tabla1[[#This Row],[Kerma en aire acumulada (Gy)]]&gt;1,SUMIF(G:G,Tabla1[[#This Row],[SIP]],I:I)-Tabla1[[#This Row],[Kerma en aire acumulada (Gy)]],"")</f>
        <v/>
      </c>
    </row>
    <row r="2374" spans="3:27">
      <c r="C2374" s="144" t="str">
        <f t="shared" ref="C2374:C2375" si="207">IF(OR(H2374="",T2374=""),"",IF((H2374-T2374)/12/30&lt;18,"Pediátrico","Adulto"))</f>
        <v>Adulto</v>
      </c>
      <c r="D2374" s="145" t="s">
        <v>176</v>
      </c>
      <c r="E2374" s="145" t="s">
        <v>3463</v>
      </c>
      <c r="F2374" s="145" t="s">
        <v>991</v>
      </c>
      <c r="G2374" s="145">
        <v>2270226</v>
      </c>
      <c r="H2374" s="146">
        <v>44767</v>
      </c>
      <c r="I2374" s="145">
        <v>0.17166000000000001</v>
      </c>
      <c r="J2374" s="145"/>
      <c r="K2374" s="145"/>
      <c r="L2374" s="145"/>
      <c r="M2374" s="145"/>
      <c r="N2374" s="145"/>
      <c r="O2374" s="145"/>
      <c r="P2374" s="145"/>
      <c r="Q2374" s="145"/>
      <c r="R2374" s="145"/>
      <c r="S2374" s="145"/>
      <c r="T2374" s="146">
        <v>19204</v>
      </c>
      <c r="U2374" s="145"/>
      <c r="V2374" s="145" t="s">
        <v>2383</v>
      </c>
      <c r="W2374" s="92" t="str">
        <f t="shared" si="204"/>
        <v>Campos Bermejo,Jose</v>
      </c>
      <c r="X2374" s="95">
        <f t="shared" si="205"/>
        <v>7</v>
      </c>
      <c r="Y2374" s="95">
        <f t="shared" si="206"/>
        <v>2022</v>
      </c>
      <c r="Z2374" s="153" t="s">
        <v>266</v>
      </c>
      <c r="AA2374" s="253" t="str">
        <f>IF(Tabla1[[#This Row],[Kerma en aire acumulada (Gy)]]&gt;1,SUMIF(G:G,Tabla1[[#This Row],[SIP]],I:I)-Tabla1[[#This Row],[Kerma en aire acumulada (Gy)]],"")</f>
        <v/>
      </c>
    </row>
    <row r="2375" spans="3:27">
      <c r="C2375" s="144" t="str">
        <f t="shared" si="207"/>
        <v>Adulto</v>
      </c>
      <c r="D2375" s="145" t="s">
        <v>3428</v>
      </c>
      <c r="E2375" s="145" t="s">
        <v>3429</v>
      </c>
      <c r="F2375" s="145" t="s">
        <v>2444</v>
      </c>
      <c r="G2375" s="145">
        <v>4698759</v>
      </c>
      <c r="H2375" s="146">
        <v>44767</v>
      </c>
      <c r="I2375" s="145">
        <v>0.29550999999999999</v>
      </c>
      <c r="J2375" s="145"/>
      <c r="K2375" s="145"/>
      <c r="L2375" s="145"/>
      <c r="M2375" s="145"/>
      <c r="N2375" s="145"/>
      <c r="O2375" s="145"/>
      <c r="P2375" s="145"/>
      <c r="Q2375" s="145"/>
      <c r="R2375" s="145"/>
      <c r="S2375" s="145"/>
      <c r="T2375" s="146">
        <v>19719</v>
      </c>
      <c r="U2375" s="145"/>
      <c r="V2375" s="145" t="s">
        <v>2383</v>
      </c>
      <c r="W2375" s="92" t="str">
        <f t="shared" ref="W2375:W2376" si="208">CONCATENATE(D2375,$A$591,E2375,",",F2375)</f>
        <v>Pelayo Machancoses,Francisco J</v>
      </c>
      <c r="X2375" s="95">
        <f t="shared" ref="X2375:X2376" si="209">MONTH(H2373)</f>
        <v>7</v>
      </c>
      <c r="Y2375" s="95">
        <f t="shared" ref="Y2375:Y2376" si="210">YEAR(H2373)</f>
        <v>2022</v>
      </c>
      <c r="Z2375" s="153" t="s">
        <v>266</v>
      </c>
      <c r="AA2375" s="263" t="str">
        <f>IF(Tabla1[[#This Row],[Kerma en aire acumulada (Gy)]]&gt;1,SUMIF(G:G,Tabla1[[#This Row],[SIP]],I:I)-Tabla1[[#This Row],[Kerma en aire acumulada (Gy)]],"")</f>
        <v/>
      </c>
    </row>
    <row r="2376" spans="3:27">
      <c r="C2376" s="246" t="str">
        <f t="shared" ref="C2376:C2381" si="211">IF(OR(H2376="",T2376=""),"",IF((H2376-T2376)/12/30&lt;18,"Pediátrico","Adulto"))</f>
        <v>Adulto</v>
      </c>
      <c r="D2376" s="254" t="s">
        <v>3464</v>
      </c>
      <c r="E2376" s="254" t="s">
        <v>1621</v>
      </c>
      <c r="F2376" s="254" t="s">
        <v>333</v>
      </c>
      <c r="G2376" s="254">
        <v>3797714</v>
      </c>
      <c r="H2376" s="255">
        <v>44767</v>
      </c>
      <c r="I2376" s="254">
        <v>7.2199999999999999E-3</v>
      </c>
      <c r="J2376" s="254"/>
      <c r="K2376" s="254"/>
      <c r="L2376" s="254"/>
      <c r="M2376" s="254"/>
      <c r="N2376" s="254"/>
      <c r="O2376" s="254"/>
      <c r="P2376" s="254"/>
      <c r="Q2376" s="254"/>
      <c r="R2376" s="254"/>
      <c r="S2376" s="254"/>
      <c r="T2376" s="255">
        <v>13358</v>
      </c>
      <c r="U2376" s="254"/>
      <c r="V2376" s="254" t="s">
        <v>2962</v>
      </c>
      <c r="W2376" s="249" t="str">
        <f t="shared" si="208"/>
        <v>Gregori Ramon,Vicenta</v>
      </c>
      <c r="X2376" s="247">
        <f t="shared" si="209"/>
        <v>7</v>
      </c>
      <c r="Y2376" s="247">
        <f t="shared" si="210"/>
        <v>2022</v>
      </c>
      <c r="Z2376" s="256" t="s">
        <v>2238</v>
      </c>
      <c r="AA2376" s="257" t="str">
        <f>IF(Tabla1[[#This Row],[Kerma en aire acumulada (Gy)]]&gt;1,SUMIF(G:G,Tabla1[[#This Row],[SIP]],I:I)-Tabla1[[#This Row],[Kerma en aire acumulada (Gy)]],"")</f>
        <v/>
      </c>
    </row>
    <row r="2377" spans="3:27">
      <c r="C2377" s="144" t="str">
        <f t="shared" si="211"/>
        <v>Adulto</v>
      </c>
      <c r="D2377" s="145" t="s">
        <v>3465</v>
      </c>
      <c r="E2377" s="145" t="s">
        <v>916</v>
      </c>
      <c r="F2377" s="145" t="s">
        <v>3466</v>
      </c>
      <c r="G2377" s="145">
        <v>5118971</v>
      </c>
      <c r="H2377" s="146">
        <v>44768</v>
      </c>
      <c r="I2377" s="145">
        <v>4.861E-2</v>
      </c>
      <c r="J2377" s="145"/>
      <c r="K2377" s="145"/>
      <c r="L2377" s="145"/>
      <c r="M2377" s="145"/>
      <c r="N2377" s="145"/>
      <c r="O2377" s="145"/>
      <c r="P2377" s="145"/>
      <c r="Q2377" s="145"/>
      <c r="R2377" s="145"/>
      <c r="S2377" s="145"/>
      <c r="T2377" s="146">
        <v>31993</v>
      </c>
      <c r="U2377" s="145"/>
      <c r="V2377" s="145" t="s">
        <v>1152</v>
      </c>
      <c r="W2377" s="92" t="str">
        <f t="shared" ref="W2377:W2387" si="212">CONCATENATE(D2377,$A$591,E2377,",",F2377)</f>
        <v>Verduga Salazar,Mayra Cristina</v>
      </c>
      <c r="X2377" s="95">
        <f t="shared" ref="X2377:X2387" si="213">MONTH(H2375)</f>
        <v>7</v>
      </c>
      <c r="Y2377" s="95">
        <f t="shared" ref="Y2377:Y2387" si="214">YEAR(H2375)</f>
        <v>2022</v>
      </c>
      <c r="Z2377" s="153" t="s">
        <v>265</v>
      </c>
      <c r="AA2377" s="253" t="str">
        <f>IF(Tabla1[[#This Row],[Kerma en aire acumulada (Gy)]]&gt;1,SUMIF(G:G,Tabla1[[#This Row],[SIP]],I:I)-Tabla1[[#This Row],[Kerma en aire acumulada (Gy)]],"")</f>
        <v/>
      </c>
    </row>
    <row r="2378" spans="3:27">
      <c r="C2378" s="144" t="str">
        <f t="shared" si="211"/>
        <v>Adulto</v>
      </c>
      <c r="D2378" s="145" t="s">
        <v>948</v>
      </c>
      <c r="E2378" s="145" t="s">
        <v>3467</v>
      </c>
      <c r="F2378" s="145" t="s">
        <v>369</v>
      </c>
      <c r="G2378" s="145">
        <v>2875718</v>
      </c>
      <c r="H2378" s="146">
        <v>44768</v>
      </c>
      <c r="I2378" s="145">
        <v>5.1429999999999997E-2</v>
      </c>
      <c r="J2378" s="145"/>
      <c r="K2378" s="145"/>
      <c r="L2378" s="145"/>
      <c r="M2378" s="145"/>
      <c r="N2378" s="145"/>
      <c r="O2378" s="145"/>
      <c r="P2378" s="145"/>
      <c r="Q2378" s="145"/>
      <c r="R2378" s="145"/>
      <c r="S2378" s="145"/>
      <c r="T2378" s="146">
        <v>21242</v>
      </c>
      <c r="U2378" s="145"/>
      <c r="V2378" s="145" t="s">
        <v>3468</v>
      </c>
      <c r="W2378" s="158" t="str">
        <f t="shared" si="212"/>
        <v>Martinez Orea,Alejandro</v>
      </c>
      <c r="X2378" s="154">
        <f t="shared" si="213"/>
        <v>7</v>
      </c>
      <c r="Y2378" s="154">
        <f t="shared" si="214"/>
        <v>2022</v>
      </c>
      <c r="Z2378" s="153" t="s">
        <v>265</v>
      </c>
      <c r="AA2378" s="253" t="str">
        <f>IF(Tabla1[[#This Row],[Kerma en aire acumulada (Gy)]]&gt;1,SUMIF(G:G,Tabla1[[#This Row],[SIP]],I:I)-Tabla1[[#This Row],[Kerma en aire acumulada (Gy)]],"")</f>
        <v/>
      </c>
    </row>
    <row r="2379" spans="3:27">
      <c r="C2379" s="144" t="str">
        <f t="shared" si="211"/>
        <v>Adulto</v>
      </c>
      <c r="D2379" s="145" t="s">
        <v>548</v>
      </c>
      <c r="E2379" s="145" t="s">
        <v>78</v>
      </c>
      <c r="F2379" s="145" t="s">
        <v>991</v>
      </c>
      <c r="G2379" s="145">
        <v>367564</v>
      </c>
      <c r="H2379" s="146">
        <v>44768</v>
      </c>
      <c r="I2379" s="145">
        <v>0.30570000000000003</v>
      </c>
      <c r="J2379" s="145"/>
      <c r="K2379" s="145"/>
      <c r="L2379" s="145"/>
      <c r="M2379" s="145"/>
      <c r="N2379" s="145"/>
      <c r="O2379" s="145"/>
      <c r="P2379" s="145"/>
      <c r="Q2379" s="145"/>
      <c r="R2379" s="145"/>
      <c r="S2379" s="145"/>
      <c r="T2379" s="146">
        <v>14659</v>
      </c>
      <c r="U2379" s="145"/>
      <c r="V2379" s="145" t="s">
        <v>89</v>
      </c>
      <c r="W2379" s="158" t="str">
        <f t="shared" si="212"/>
        <v>Benito Ballester,Jose</v>
      </c>
      <c r="X2379" s="154">
        <f t="shared" si="213"/>
        <v>7</v>
      </c>
      <c r="Y2379" s="154">
        <f t="shared" si="214"/>
        <v>2022</v>
      </c>
      <c r="Z2379" s="153" t="s">
        <v>265</v>
      </c>
      <c r="AA2379" s="253" t="str">
        <f>IF(Tabla1[[#This Row],[Kerma en aire acumulada (Gy)]]&gt;1,SUMIF(G:G,Tabla1[[#This Row],[SIP]],I:I)-Tabla1[[#This Row],[Kerma en aire acumulada (Gy)]],"")</f>
        <v/>
      </c>
    </row>
    <row r="2380" spans="3:27">
      <c r="C2380" s="144" t="str">
        <f t="shared" si="211"/>
        <v>Adulto</v>
      </c>
      <c r="D2380" s="145" t="s">
        <v>3469</v>
      </c>
      <c r="E2380" s="145" t="s">
        <v>2187</v>
      </c>
      <c r="F2380" s="145" t="s">
        <v>20</v>
      </c>
      <c r="G2380" s="145">
        <v>3269240</v>
      </c>
      <c r="H2380" s="146">
        <v>44768</v>
      </c>
      <c r="I2380" s="145">
        <v>1.2082599999999999</v>
      </c>
      <c r="J2380" s="145"/>
      <c r="K2380" s="145"/>
      <c r="L2380" s="145"/>
      <c r="M2380" s="145"/>
      <c r="N2380" s="145"/>
      <c r="O2380" s="145"/>
      <c r="P2380" s="145"/>
      <c r="Q2380" s="145"/>
      <c r="R2380" s="145"/>
      <c r="S2380" s="145"/>
      <c r="T2380" s="146">
        <v>20405</v>
      </c>
      <c r="U2380" s="145"/>
      <c r="V2380" s="145" t="s">
        <v>89</v>
      </c>
      <c r="W2380" s="158" t="str">
        <f t="shared" si="212"/>
        <v>Cascales Peñafiel,Antonio</v>
      </c>
      <c r="X2380" s="154">
        <f t="shared" si="213"/>
        <v>7</v>
      </c>
      <c r="Y2380" s="154">
        <f t="shared" si="214"/>
        <v>2022</v>
      </c>
      <c r="Z2380" s="153" t="s">
        <v>265</v>
      </c>
      <c r="AA2380" s="253">
        <f>IF(Tabla1[[#This Row],[Kerma en aire acumulada (Gy)]]&gt;1,SUMIF(G:G,Tabla1[[#This Row],[SIP]],I:I)-Tabla1[[#This Row],[Kerma en aire acumulada (Gy)]],"")</f>
        <v>0</v>
      </c>
    </row>
    <row r="2381" spans="3:27">
      <c r="C2381" s="144" t="str">
        <f t="shared" si="211"/>
        <v>Adulto</v>
      </c>
      <c r="D2381" s="145" t="s">
        <v>3470</v>
      </c>
      <c r="E2381" s="145" t="s">
        <v>3470</v>
      </c>
      <c r="F2381" s="145" t="s">
        <v>375</v>
      </c>
      <c r="G2381" s="145">
        <v>4695405</v>
      </c>
      <c r="H2381" s="146">
        <v>44768</v>
      </c>
      <c r="I2381" s="145">
        <v>0.65347</v>
      </c>
      <c r="J2381" s="145"/>
      <c r="K2381" s="145"/>
      <c r="L2381" s="145"/>
      <c r="M2381" s="145"/>
      <c r="N2381" s="145"/>
      <c r="O2381" s="145"/>
      <c r="P2381" s="145"/>
      <c r="Q2381" s="145"/>
      <c r="R2381" s="145"/>
      <c r="S2381" s="145"/>
      <c r="T2381" s="146">
        <v>15092</v>
      </c>
      <c r="U2381" s="145"/>
      <c r="V2381" s="145" t="s">
        <v>2383</v>
      </c>
      <c r="W2381" s="158" t="str">
        <f t="shared" si="212"/>
        <v>Llacer Llacer,Alberto</v>
      </c>
      <c r="X2381" s="154">
        <f t="shared" si="213"/>
        <v>7</v>
      </c>
      <c r="Y2381" s="154">
        <f t="shared" si="214"/>
        <v>2022</v>
      </c>
      <c r="Z2381" s="153" t="s">
        <v>266</v>
      </c>
      <c r="AA2381" s="253" t="str">
        <f>IF(Tabla1[[#This Row],[Kerma en aire acumulada (Gy)]]&gt;1,SUMIF(G:G,Tabla1[[#This Row],[SIP]],I:I)-Tabla1[[#This Row],[Kerma en aire acumulada (Gy)]],"")</f>
        <v/>
      </c>
    </row>
    <row r="2382" spans="3:27">
      <c r="C2382" s="144" t="str">
        <f t="shared" ref="C2382:C2387" si="215">IF(OR(H2382="",T2382=""),"",IF((H2382-T2382)/12/30&lt;18,"Pediátrico","Adulto"))</f>
        <v>Adulto</v>
      </c>
      <c r="D2382" s="145" t="s">
        <v>3471</v>
      </c>
      <c r="E2382" s="145" t="s">
        <v>3472</v>
      </c>
      <c r="F2382" s="145" t="s">
        <v>322</v>
      </c>
      <c r="G2382" s="145">
        <v>3523627</v>
      </c>
      <c r="H2382" s="146">
        <v>44768</v>
      </c>
      <c r="I2382" s="145">
        <v>0.11382</v>
      </c>
      <c r="J2382" s="145"/>
      <c r="K2382" s="145"/>
      <c r="L2382" s="145"/>
      <c r="M2382" s="145"/>
      <c r="N2382" s="145"/>
      <c r="O2382" s="145"/>
      <c r="P2382" s="145"/>
      <c r="Q2382" s="145"/>
      <c r="R2382" s="145"/>
      <c r="S2382" s="145"/>
      <c r="T2382" s="146">
        <v>20217</v>
      </c>
      <c r="U2382" s="145"/>
      <c r="V2382" s="145" t="s">
        <v>2383</v>
      </c>
      <c r="W2382" s="158" t="str">
        <f t="shared" si="212"/>
        <v>Liebana Vencesla,Juana</v>
      </c>
      <c r="X2382" s="154">
        <f t="shared" si="213"/>
        <v>7</v>
      </c>
      <c r="Y2382" s="154">
        <f t="shared" si="214"/>
        <v>2022</v>
      </c>
      <c r="Z2382" s="153" t="s">
        <v>266</v>
      </c>
      <c r="AA2382" s="253" t="str">
        <f>IF(Tabla1[[#This Row],[Kerma en aire acumulada (Gy)]]&gt;1,SUMIF(G:G,Tabla1[[#This Row],[SIP]],I:I)-Tabla1[[#This Row],[Kerma en aire acumulada (Gy)]],"")</f>
        <v/>
      </c>
    </row>
    <row r="2383" spans="3:27">
      <c r="C2383" s="144" t="str">
        <f t="shared" si="215"/>
        <v>Adulto</v>
      </c>
      <c r="D2383" s="145" t="s">
        <v>1590</v>
      </c>
      <c r="E2383" s="145" t="s">
        <v>3473</v>
      </c>
      <c r="F2383" s="145" t="s">
        <v>7</v>
      </c>
      <c r="G2383" s="145">
        <v>3700936</v>
      </c>
      <c r="H2383" s="146">
        <v>44768</v>
      </c>
      <c r="I2383" s="145">
        <v>4.6100000000000002E-2</v>
      </c>
      <c r="J2383" s="145"/>
      <c r="K2383" s="145"/>
      <c r="L2383" s="145"/>
      <c r="M2383" s="145"/>
      <c r="N2383" s="145"/>
      <c r="O2383" s="145"/>
      <c r="P2383" s="145"/>
      <c r="Q2383" s="145"/>
      <c r="R2383" s="145"/>
      <c r="S2383" s="145"/>
      <c r="T2383" s="146">
        <v>14677</v>
      </c>
      <c r="U2383" s="145"/>
      <c r="V2383" s="145" t="s">
        <v>2383</v>
      </c>
      <c r="W2383" s="158" t="str">
        <f t="shared" si="212"/>
        <v>Raga Chardi,Francisca</v>
      </c>
      <c r="X2383" s="154">
        <f t="shared" si="213"/>
        <v>7</v>
      </c>
      <c r="Y2383" s="154">
        <f t="shared" si="214"/>
        <v>2022</v>
      </c>
      <c r="Z2383" s="153" t="s">
        <v>266</v>
      </c>
      <c r="AA2383" s="253" t="str">
        <f>IF(Tabla1[[#This Row],[Kerma en aire acumulada (Gy)]]&gt;1,SUMIF(G:G,Tabla1[[#This Row],[SIP]],I:I)-Tabla1[[#This Row],[Kerma en aire acumulada (Gy)]],"")</f>
        <v/>
      </c>
    </row>
    <row r="2384" spans="3:27">
      <c r="C2384" s="144" t="str">
        <f t="shared" si="215"/>
        <v>Adulto</v>
      </c>
      <c r="D2384" s="145" t="s">
        <v>634</v>
      </c>
      <c r="E2384" s="145" t="s">
        <v>2123</v>
      </c>
      <c r="F2384" s="145" t="s">
        <v>2652</v>
      </c>
      <c r="G2384" s="145">
        <v>2988103</v>
      </c>
      <c r="H2384" s="146">
        <v>44768</v>
      </c>
      <c r="I2384" s="145">
        <v>5.2109999999999997E-2</v>
      </c>
      <c r="J2384" s="145"/>
      <c r="K2384" s="145"/>
      <c r="L2384" s="145"/>
      <c r="M2384" s="145"/>
      <c r="N2384" s="145"/>
      <c r="O2384" s="145"/>
      <c r="P2384" s="145"/>
      <c r="Q2384" s="145"/>
      <c r="R2384" s="145"/>
      <c r="S2384" s="145"/>
      <c r="T2384" s="146">
        <v>24049</v>
      </c>
      <c r="U2384" s="145"/>
      <c r="V2384" s="145" t="s">
        <v>2383</v>
      </c>
      <c r="W2384" s="158" t="str">
        <f t="shared" si="212"/>
        <v>Gil Diez,Vicente Antonio</v>
      </c>
      <c r="X2384" s="154">
        <f t="shared" si="213"/>
        <v>7</v>
      </c>
      <c r="Y2384" s="154">
        <f t="shared" si="214"/>
        <v>2022</v>
      </c>
      <c r="Z2384" s="153" t="s">
        <v>266</v>
      </c>
      <c r="AA2384" s="253" t="str">
        <f>IF(Tabla1[[#This Row],[Kerma en aire acumulada (Gy)]]&gt;1,SUMIF(G:G,Tabla1[[#This Row],[SIP]],I:I)-Tabla1[[#This Row],[Kerma en aire acumulada (Gy)]],"")</f>
        <v/>
      </c>
    </row>
    <row r="2385" spans="3:27">
      <c r="C2385" s="144" t="str">
        <f t="shared" si="215"/>
        <v>Adulto</v>
      </c>
      <c r="D2385" s="145" t="s">
        <v>288</v>
      </c>
      <c r="E2385" s="145" t="s">
        <v>62</v>
      </c>
      <c r="F2385" s="145" t="s">
        <v>369</v>
      </c>
      <c r="G2385" s="145">
        <v>2426255</v>
      </c>
      <c r="H2385" s="146">
        <v>44768</v>
      </c>
      <c r="I2385" s="145">
        <v>0.50146000000000002</v>
      </c>
      <c r="J2385" s="145"/>
      <c r="K2385" s="145"/>
      <c r="L2385" s="145"/>
      <c r="M2385" s="145"/>
      <c r="N2385" s="145"/>
      <c r="O2385" s="145"/>
      <c r="P2385" s="145"/>
      <c r="Q2385" s="145"/>
      <c r="R2385" s="145"/>
      <c r="S2385" s="145"/>
      <c r="T2385" s="146">
        <v>31832</v>
      </c>
      <c r="U2385" s="145"/>
      <c r="V2385" s="145" t="s">
        <v>2383</v>
      </c>
      <c r="W2385" s="158" t="str">
        <f t="shared" si="212"/>
        <v>Ortiz Jacinto,Alejandro</v>
      </c>
      <c r="X2385" s="154">
        <f t="shared" si="213"/>
        <v>7</v>
      </c>
      <c r="Y2385" s="154">
        <f t="shared" si="214"/>
        <v>2022</v>
      </c>
      <c r="Z2385" s="153" t="s">
        <v>266</v>
      </c>
      <c r="AA2385" s="253" t="str">
        <f>IF(Tabla1[[#This Row],[Kerma en aire acumulada (Gy)]]&gt;1,SUMIF(G:G,Tabla1[[#This Row],[SIP]],I:I)-Tabla1[[#This Row],[Kerma en aire acumulada (Gy)]],"")</f>
        <v/>
      </c>
    </row>
    <row r="2386" spans="3:27">
      <c r="C2386" s="144" t="str">
        <f t="shared" si="215"/>
        <v>Adulto</v>
      </c>
      <c r="D2386" s="145" t="s">
        <v>2868</v>
      </c>
      <c r="E2386" s="145" t="s">
        <v>1253</v>
      </c>
      <c r="F2386" s="145" t="s">
        <v>3474</v>
      </c>
      <c r="G2386" s="145">
        <v>2863254</v>
      </c>
      <c r="H2386" s="146">
        <v>44768</v>
      </c>
      <c r="I2386" s="145">
        <v>0.15375</v>
      </c>
      <c r="J2386" s="145"/>
      <c r="K2386" s="145"/>
      <c r="L2386" s="145"/>
      <c r="M2386" s="145"/>
      <c r="N2386" s="145"/>
      <c r="O2386" s="145"/>
      <c r="P2386" s="145"/>
      <c r="Q2386" s="145"/>
      <c r="R2386" s="145"/>
      <c r="S2386" s="145"/>
      <c r="T2386" s="146">
        <v>18207</v>
      </c>
      <c r="U2386" s="145"/>
      <c r="V2386" s="145" t="s">
        <v>2383</v>
      </c>
      <c r="W2386" s="158" t="str">
        <f t="shared" si="212"/>
        <v>Gurrea Anton,Francisco Cayetano</v>
      </c>
      <c r="X2386" s="154">
        <f t="shared" si="213"/>
        <v>7</v>
      </c>
      <c r="Y2386" s="154">
        <f t="shared" si="214"/>
        <v>2022</v>
      </c>
      <c r="Z2386" s="153" t="s">
        <v>266</v>
      </c>
      <c r="AA2386" s="253" t="str">
        <f>IF(Tabla1[[#This Row],[Kerma en aire acumulada (Gy)]]&gt;1,SUMIF(G:G,Tabla1[[#This Row],[SIP]],I:I)-Tabla1[[#This Row],[Kerma en aire acumulada (Gy)]],"")</f>
        <v/>
      </c>
    </row>
    <row r="2387" spans="3:27">
      <c r="C2387" s="144" t="str">
        <f t="shared" si="215"/>
        <v>Adulto</v>
      </c>
      <c r="D2387" s="145" t="s">
        <v>2255</v>
      </c>
      <c r="E2387" s="145" t="s">
        <v>1001</v>
      </c>
      <c r="F2387" s="145" t="s">
        <v>3475</v>
      </c>
      <c r="G2387" s="145">
        <v>3557378</v>
      </c>
      <c r="H2387" s="146">
        <v>44768</v>
      </c>
      <c r="I2387" s="145">
        <v>0.34459000000000001</v>
      </c>
      <c r="J2387" s="145"/>
      <c r="K2387" s="145"/>
      <c r="L2387" s="145"/>
      <c r="M2387" s="145"/>
      <c r="N2387" s="145"/>
      <c r="O2387" s="145"/>
      <c r="P2387" s="145"/>
      <c r="Q2387" s="145"/>
      <c r="R2387" s="145"/>
      <c r="S2387" s="145"/>
      <c r="T2387" s="146">
        <v>23484</v>
      </c>
      <c r="U2387" s="145"/>
      <c r="V2387" s="145" t="s">
        <v>2383</v>
      </c>
      <c r="W2387" s="158" t="str">
        <f t="shared" si="212"/>
        <v>Cabo Perez,Jorge Angel</v>
      </c>
      <c r="X2387" s="154">
        <f t="shared" si="213"/>
        <v>7</v>
      </c>
      <c r="Y2387" s="154">
        <f t="shared" si="214"/>
        <v>2022</v>
      </c>
      <c r="Z2387" s="153" t="s">
        <v>266</v>
      </c>
      <c r="AA2387" s="253" t="str">
        <f>IF(Tabla1[[#This Row],[Kerma en aire acumulada (Gy)]]&gt;1,SUMIF(G:G,Tabla1[[#This Row],[SIP]],I:I)-Tabla1[[#This Row],[Kerma en aire acumulada (Gy)]],"")</f>
        <v/>
      </c>
    </row>
    <row r="2388" spans="3:27">
      <c r="C2388" s="144" t="str">
        <f t="shared" ref="C2388:C2390" si="216">IF(OR(H2388="",T2388=""),"",IF((H2388-T2388)/12/30&lt;18,"Pediátrico","Adulto"))</f>
        <v>Adulto</v>
      </c>
      <c r="D2388" s="145" t="s">
        <v>2084</v>
      </c>
      <c r="E2388" s="145" t="s">
        <v>1001</v>
      </c>
      <c r="F2388" s="145" t="s">
        <v>3476</v>
      </c>
      <c r="G2388" s="145">
        <v>2289277</v>
      </c>
      <c r="H2388" s="146">
        <v>44768</v>
      </c>
      <c r="I2388" s="145">
        <v>0.11994</v>
      </c>
      <c r="J2388" s="145"/>
      <c r="K2388" s="145"/>
      <c r="L2388" s="145"/>
      <c r="M2388" s="145"/>
      <c r="N2388" s="145"/>
      <c r="O2388" s="145"/>
      <c r="P2388" s="145"/>
      <c r="Q2388" s="145"/>
      <c r="R2388" s="145"/>
      <c r="S2388" s="145"/>
      <c r="T2388" s="146">
        <v>23145</v>
      </c>
      <c r="U2388" s="145"/>
      <c r="V2388" s="145" t="s">
        <v>2383</v>
      </c>
      <c r="W2388" s="158" t="str">
        <f t="shared" ref="W2388:W2390" si="217">CONCATENATE(D2388,$A$591,E2388,",",F2388)</f>
        <v>Gutierrez Perez,Yvonne</v>
      </c>
      <c r="X2388" s="154">
        <f t="shared" ref="X2388:X2390" si="218">MONTH(H2386)</f>
        <v>7</v>
      </c>
      <c r="Y2388" s="154">
        <f t="shared" ref="Y2388:Y2390" si="219">YEAR(H2386)</f>
        <v>2022</v>
      </c>
      <c r="Z2388" s="153" t="s">
        <v>266</v>
      </c>
      <c r="AA2388" s="253" t="str">
        <f>IF(Tabla1[[#This Row],[Kerma en aire acumulada (Gy)]]&gt;1,SUMIF(G:G,Tabla1[[#This Row],[SIP]],I:I)-Tabla1[[#This Row],[Kerma en aire acumulada (Gy)]],"")</f>
        <v/>
      </c>
    </row>
    <row r="2389" spans="3:27">
      <c r="C2389" s="144" t="str">
        <f t="shared" si="216"/>
        <v>Adulto</v>
      </c>
      <c r="D2389" s="145" t="s">
        <v>2366</v>
      </c>
      <c r="E2389" s="145" t="s">
        <v>66</v>
      </c>
      <c r="F2389" s="145" t="s">
        <v>1621</v>
      </c>
      <c r="G2389" s="145">
        <v>2310518</v>
      </c>
      <c r="H2389" s="146">
        <v>44768</v>
      </c>
      <c r="I2389" s="145">
        <v>0.15103</v>
      </c>
      <c r="J2389" s="145"/>
      <c r="K2389" s="145"/>
      <c r="L2389" s="145"/>
      <c r="M2389" s="145"/>
      <c r="N2389" s="145"/>
      <c r="O2389" s="145"/>
      <c r="P2389" s="145"/>
      <c r="Q2389" s="145"/>
      <c r="R2389" s="145"/>
      <c r="S2389" s="145"/>
      <c r="T2389" s="146">
        <v>18840</v>
      </c>
      <c r="U2389" s="145"/>
      <c r="V2389" s="145" t="s">
        <v>2383</v>
      </c>
      <c r="W2389" s="158" t="str">
        <f t="shared" si="217"/>
        <v>Gimeno Navarro,Ramon</v>
      </c>
      <c r="X2389" s="154">
        <f t="shared" si="218"/>
        <v>7</v>
      </c>
      <c r="Y2389" s="154">
        <f t="shared" si="219"/>
        <v>2022</v>
      </c>
      <c r="Z2389" s="153" t="s">
        <v>266</v>
      </c>
      <c r="AA2389" s="253" t="str">
        <f>IF(Tabla1[[#This Row],[Kerma en aire acumulada (Gy)]]&gt;1,SUMIF(G:G,Tabla1[[#This Row],[SIP]],I:I)-Tabla1[[#This Row],[Kerma en aire acumulada (Gy)]],"")</f>
        <v/>
      </c>
    </row>
    <row r="2390" spans="3:27">
      <c r="C2390" s="144" t="str">
        <f t="shared" si="216"/>
        <v>Adulto</v>
      </c>
      <c r="D2390" s="145" t="s">
        <v>2411</v>
      </c>
      <c r="E2390" s="145" t="s">
        <v>3477</v>
      </c>
      <c r="F2390" s="145" t="s">
        <v>3045</v>
      </c>
      <c r="G2390" s="145">
        <v>186781</v>
      </c>
      <c r="H2390" s="146">
        <v>44768</v>
      </c>
      <c r="I2390" s="145">
        <v>0.13555</v>
      </c>
      <c r="J2390" s="145"/>
      <c r="K2390" s="145"/>
      <c r="L2390" s="145"/>
      <c r="M2390" s="145"/>
      <c r="N2390" s="145"/>
      <c r="O2390" s="145"/>
      <c r="P2390" s="145"/>
      <c r="Q2390" s="145"/>
      <c r="R2390" s="145"/>
      <c r="S2390" s="145"/>
      <c r="T2390" s="146">
        <v>18014</v>
      </c>
      <c r="U2390" s="145"/>
      <c r="V2390" s="145" t="s">
        <v>2383</v>
      </c>
      <c r="W2390" s="158" t="str">
        <f t="shared" si="217"/>
        <v>Asensi Osca,Blas</v>
      </c>
      <c r="X2390" s="154">
        <f t="shared" si="218"/>
        <v>7</v>
      </c>
      <c r="Y2390" s="154">
        <f t="shared" si="219"/>
        <v>2022</v>
      </c>
      <c r="Z2390" s="153" t="s">
        <v>266</v>
      </c>
      <c r="AA2390" s="253" t="str">
        <f>IF(Tabla1[[#This Row],[Kerma en aire acumulada (Gy)]]&gt;1,SUMIF(G:G,Tabla1[[#This Row],[SIP]],I:I)-Tabla1[[#This Row],[Kerma en aire acumulada (Gy)]],"")</f>
        <v/>
      </c>
    </row>
    <row r="2391" spans="3:27">
      <c r="C2391" s="144" t="str">
        <f>IF(OR(H2391="",T2391=""),"",IF((H2391-T2391)/12/30&lt;18,"Pediátrico","Adulto"))</f>
        <v>Adulto</v>
      </c>
      <c r="D2391" s="145" t="s">
        <v>2376</v>
      </c>
      <c r="E2391" s="145" t="s">
        <v>960</v>
      </c>
      <c r="F2391" s="145" t="s">
        <v>991</v>
      </c>
      <c r="G2391" s="145">
        <v>1857545</v>
      </c>
      <c r="H2391" s="146">
        <v>44768</v>
      </c>
      <c r="I2391" s="145">
        <v>6.0130000000000003E-2</v>
      </c>
      <c r="J2391" s="145"/>
      <c r="K2391" s="145"/>
      <c r="L2391" s="145"/>
      <c r="M2391" s="145"/>
      <c r="N2391" s="145"/>
      <c r="O2391" s="145"/>
      <c r="P2391" s="145"/>
      <c r="Q2391" s="145"/>
      <c r="R2391" s="145"/>
      <c r="S2391" s="145"/>
      <c r="T2391" s="146">
        <v>19501</v>
      </c>
      <c r="U2391" s="145"/>
      <c r="V2391" s="145" t="s">
        <v>3077</v>
      </c>
      <c r="W2391" s="158" t="str">
        <f t="shared" ref="W2391:W2392" si="220">CONCATENATE(D2391,$A$591,E2391,",",F2391)</f>
        <v>Ceron Lopez,Jose</v>
      </c>
      <c r="X2391" s="154">
        <f t="shared" ref="X2391:X2392" si="221">MONTH(H2389)</f>
        <v>7</v>
      </c>
      <c r="Y2391" s="154">
        <f t="shared" ref="Y2391:Y2392" si="222">YEAR(H2389)</f>
        <v>2022</v>
      </c>
      <c r="Z2391" s="153" t="s">
        <v>2238</v>
      </c>
      <c r="AA2391" s="253" t="str">
        <f>IF(Tabla1[[#This Row],[Kerma en aire acumulada (Gy)]]&gt;1,SUMIF(G:G,Tabla1[[#This Row],[SIP]],I:I)-Tabla1[[#This Row],[Kerma en aire acumulada (Gy)]],"")</f>
        <v/>
      </c>
    </row>
    <row r="2392" spans="3:27">
      <c r="C2392" s="246" t="str">
        <f>IF(OR(H2392="",T2392=""),"",IF((H2392-T2392)/12/30&lt;18,"Pediátrico","Adulto"))</f>
        <v>Adulto</v>
      </c>
      <c r="D2392" s="254" t="s">
        <v>3478</v>
      </c>
      <c r="E2392" s="254" t="s">
        <v>3479</v>
      </c>
      <c r="F2392" s="254" t="s">
        <v>3480</v>
      </c>
      <c r="G2392" s="254">
        <v>2851790</v>
      </c>
      <c r="H2392" s="255">
        <v>44768</v>
      </c>
      <c r="I2392" s="254">
        <v>0.21725</v>
      </c>
      <c r="J2392" s="254"/>
      <c r="K2392" s="254"/>
      <c r="L2392" s="254"/>
      <c r="M2392" s="254"/>
      <c r="N2392" s="254"/>
      <c r="O2392" s="254"/>
      <c r="P2392" s="254"/>
      <c r="Q2392" s="254"/>
      <c r="R2392" s="254"/>
      <c r="S2392" s="254"/>
      <c r="T2392" s="255">
        <v>15476</v>
      </c>
      <c r="U2392" s="254"/>
      <c r="V2392" s="254" t="s">
        <v>3077</v>
      </c>
      <c r="W2392" s="271" t="str">
        <f t="shared" si="220"/>
        <v>Guaita Piles,Juan F</v>
      </c>
      <c r="X2392" s="272">
        <f t="shared" si="221"/>
        <v>7</v>
      </c>
      <c r="Y2392" s="272">
        <f t="shared" si="222"/>
        <v>2022</v>
      </c>
      <c r="Z2392" s="256" t="s">
        <v>2238</v>
      </c>
      <c r="AA2392" s="257" t="str">
        <f>IF(Tabla1[[#This Row],[Kerma en aire acumulada (Gy)]]&gt;1,SUMIF(G:G,Tabla1[[#This Row],[SIP]],I:I)-Tabla1[[#This Row],[Kerma en aire acumulada (Gy)]],"")</f>
        <v/>
      </c>
    </row>
    <row r="2393" spans="3:27">
      <c r="C2393" s="152" t="str">
        <f t="shared" ref="C2393:C2407" si="223">IF(OR(H2393="",T2393=""),"",IF((H2393-T2393)/12/30&lt;18,"Pediátrico","Adulto"))</f>
        <v>Adulto</v>
      </c>
      <c r="D2393" s="273" t="s">
        <v>1162</v>
      </c>
      <c r="E2393" s="273" t="s">
        <v>856</v>
      </c>
      <c r="F2393" s="273" t="s">
        <v>1163</v>
      </c>
      <c r="G2393" s="273">
        <v>2918980</v>
      </c>
      <c r="H2393" s="274">
        <v>44769</v>
      </c>
      <c r="I2393" s="273">
        <v>2.4580000000000001E-2</v>
      </c>
      <c r="J2393" s="273"/>
      <c r="K2393" s="273"/>
      <c r="L2393" s="273"/>
      <c r="M2393" s="273"/>
      <c r="N2393" s="273"/>
      <c r="O2393" s="273"/>
      <c r="P2393" s="273"/>
      <c r="Q2393" s="273"/>
      <c r="R2393" s="273"/>
      <c r="S2393" s="273"/>
      <c r="T2393" s="274">
        <v>21753</v>
      </c>
      <c r="U2393" s="273"/>
      <c r="V2393" s="273" t="s">
        <v>1622</v>
      </c>
      <c r="W2393" s="158" t="str">
        <f t="shared" ref="W2393:W2407" si="224">CONCATENATE(D2393,$A$591,E2393,",",F2393)</f>
        <v>Yeste Gomez,M Blanca</v>
      </c>
      <c r="X2393" s="154">
        <f t="shared" ref="X2393:X2407" si="225">MONTH(H2391)</f>
        <v>7</v>
      </c>
      <c r="Y2393" s="154">
        <f t="shared" ref="Y2393:Y2407" si="226">YEAR(H2391)</f>
        <v>2022</v>
      </c>
      <c r="Z2393" s="275" t="s">
        <v>265</v>
      </c>
      <c r="AA2393" s="263" t="str">
        <f>IF(Tabla1[[#This Row],[Kerma en aire acumulada (Gy)]]&gt;1,SUMIF(G:G,Tabla1[[#This Row],[SIP]],I:I)-Tabla1[[#This Row],[Kerma en aire acumulada (Gy)]],"")</f>
        <v/>
      </c>
    </row>
    <row r="2394" spans="3:27">
      <c r="C2394" s="144" t="str">
        <f t="shared" si="223"/>
        <v>Adulto</v>
      </c>
      <c r="D2394" s="145" t="s">
        <v>3481</v>
      </c>
      <c r="E2394" s="145" t="s">
        <v>962</v>
      </c>
      <c r="F2394" s="145" t="s">
        <v>1733</v>
      </c>
      <c r="G2394" s="145">
        <v>3570397</v>
      </c>
      <c r="H2394" s="146">
        <v>44769</v>
      </c>
      <c r="I2394" s="145">
        <v>4.4299999999999999E-3</v>
      </c>
      <c r="J2394" s="273"/>
      <c r="K2394" s="273"/>
      <c r="L2394" s="273"/>
      <c r="M2394" s="273"/>
      <c r="N2394" s="273"/>
      <c r="O2394" s="273"/>
      <c r="P2394" s="273"/>
      <c r="Q2394" s="273"/>
      <c r="R2394" s="273"/>
      <c r="S2394" s="273"/>
      <c r="T2394" s="146">
        <v>26151</v>
      </c>
      <c r="U2394" s="273"/>
      <c r="V2394" s="145" t="s">
        <v>3468</v>
      </c>
      <c r="W2394" s="158" t="str">
        <f t="shared" si="224"/>
        <v>Liñan Garcia,Esther</v>
      </c>
      <c r="X2394" s="154">
        <f t="shared" si="225"/>
        <v>7</v>
      </c>
      <c r="Y2394" s="154">
        <f t="shared" si="226"/>
        <v>2022</v>
      </c>
      <c r="Z2394" s="275" t="s">
        <v>265</v>
      </c>
      <c r="AA2394" s="263" t="str">
        <f>IF(Tabla1[[#This Row],[Kerma en aire acumulada (Gy)]]&gt;1,SUMIF(G:G,Tabla1[[#This Row],[SIP]],I:I)-Tabla1[[#This Row],[Kerma en aire acumulada (Gy)]],"")</f>
        <v/>
      </c>
    </row>
    <row r="2395" spans="3:27">
      <c r="C2395" s="144" t="str">
        <f t="shared" si="223"/>
        <v>Adulto</v>
      </c>
      <c r="D2395" s="145" t="s">
        <v>1614</v>
      </c>
      <c r="E2395" s="145" t="s">
        <v>288</v>
      </c>
      <c r="F2395" s="145" t="s">
        <v>3482</v>
      </c>
      <c r="G2395" s="145">
        <v>1860244</v>
      </c>
      <c r="H2395" s="274">
        <v>44769</v>
      </c>
      <c r="I2395" s="145">
        <v>0.10034999999999999</v>
      </c>
      <c r="J2395" s="273"/>
      <c r="K2395" s="273"/>
      <c r="L2395" s="273"/>
      <c r="M2395" s="273"/>
      <c r="N2395" s="273"/>
      <c r="O2395" s="273"/>
      <c r="P2395" s="273"/>
      <c r="Q2395" s="273"/>
      <c r="R2395" s="273"/>
      <c r="S2395" s="273"/>
      <c r="T2395" s="146">
        <v>18790</v>
      </c>
      <c r="U2395" s="273"/>
      <c r="V2395" s="145" t="s">
        <v>3483</v>
      </c>
      <c r="W2395" s="158" t="str">
        <f t="shared" si="224"/>
        <v>Higueras Ortiz,Adolfo</v>
      </c>
      <c r="X2395" s="154">
        <f t="shared" si="225"/>
        <v>7</v>
      </c>
      <c r="Y2395" s="154">
        <f t="shared" si="226"/>
        <v>2022</v>
      </c>
      <c r="Z2395" s="275" t="s">
        <v>265</v>
      </c>
      <c r="AA2395" s="263" t="str">
        <f>IF(Tabla1[[#This Row],[Kerma en aire acumulada (Gy)]]&gt;1,SUMIF(G:G,Tabla1[[#This Row],[SIP]],I:I)-Tabla1[[#This Row],[Kerma en aire acumulada (Gy)]],"")</f>
        <v/>
      </c>
    </row>
    <row r="2396" spans="3:27">
      <c r="C2396" s="144" t="str">
        <f t="shared" si="223"/>
        <v>Adulto</v>
      </c>
      <c r="D2396" s="145" t="s">
        <v>22</v>
      </c>
      <c r="E2396" s="145" t="s">
        <v>159</v>
      </c>
      <c r="F2396" s="145" t="s">
        <v>3484</v>
      </c>
      <c r="G2396" s="145">
        <v>2034592</v>
      </c>
      <c r="H2396" s="146">
        <v>44769</v>
      </c>
      <c r="I2396" s="145">
        <v>5.9330000000000001E-2</v>
      </c>
      <c r="J2396" s="273"/>
      <c r="K2396" s="273"/>
      <c r="L2396" s="273"/>
      <c r="M2396" s="273"/>
      <c r="N2396" s="273"/>
      <c r="O2396" s="273"/>
      <c r="P2396" s="273"/>
      <c r="Q2396" s="273"/>
      <c r="R2396" s="273"/>
      <c r="S2396" s="273"/>
      <c r="T2396" s="146">
        <v>29983</v>
      </c>
      <c r="U2396" s="273"/>
      <c r="V2396" s="145" t="s">
        <v>2383</v>
      </c>
      <c r="W2396" s="158" t="str">
        <f t="shared" si="224"/>
        <v>Ruiz Villar,Aranzazu</v>
      </c>
      <c r="X2396" s="154">
        <f t="shared" si="225"/>
        <v>7</v>
      </c>
      <c r="Y2396" s="154">
        <f t="shared" si="226"/>
        <v>2022</v>
      </c>
      <c r="Z2396" s="153" t="s">
        <v>266</v>
      </c>
      <c r="AA2396" s="263" t="str">
        <f>IF(Tabla1[[#This Row],[Kerma en aire acumulada (Gy)]]&gt;1,SUMIF(G:G,Tabla1[[#This Row],[SIP]],I:I)-Tabla1[[#This Row],[Kerma en aire acumulada (Gy)]],"")</f>
        <v/>
      </c>
    </row>
    <row r="2397" spans="3:27">
      <c r="C2397" s="144" t="str">
        <f t="shared" si="223"/>
        <v>Adulto</v>
      </c>
      <c r="D2397" s="145" t="s">
        <v>962</v>
      </c>
      <c r="E2397" s="145" t="s">
        <v>962</v>
      </c>
      <c r="F2397" s="145" t="s">
        <v>1238</v>
      </c>
      <c r="G2397" s="145">
        <v>3315538</v>
      </c>
      <c r="H2397" s="274">
        <v>44769</v>
      </c>
      <c r="I2397" s="145">
        <v>0.45373000000000002</v>
      </c>
      <c r="J2397" s="273"/>
      <c r="K2397" s="273"/>
      <c r="L2397" s="273"/>
      <c r="M2397" s="273"/>
      <c r="N2397" s="273"/>
      <c r="O2397" s="273"/>
      <c r="P2397" s="273"/>
      <c r="Q2397" s="273"/>
      <c r="R2397" s="273"/>
      <c r="S2397" s="273"/>
      <c r="T2397" s="146">
        <v>14644</v>
      </c>
      <c r="U2397" s="273"/>
      <c r="V2397" s="145" t="s">
        <v>2383</v>
      </c>
      <c r="W2397" s="158" t="str">
        <f t="shared" si="224"/>
        <v>Garcia Garcia,Angel</v>
      </c>
      <c r="X2397" s="154">
        <f t="shared" si="225"/>
        <v>7</v>
      </c>
      <c r="Y2397" s="154">
        <f t="shared" si="226"/>
        <v>2022</v>
      </c>
      <c r="Z2397" s="153" t="s">
        <v>266</v>
      </c>
      <c r="AA2397" s="263" t="str">
        <f>IF(Tabla1[[#This Row],[Kerma en aire acumulada (Gy)]]&gt;1,SUMIF(G:G,Tabla1[[#This Row],[SIP]],I:I)-Tabla1[[#This Row],[Kerma en aire acumulada (Gy)]],"")</f>
        <v/>
      </c>
    </row>
    <row r="2398" spans="3:27">
      <c r="C2398" s="144" t="str">
        <f t="shared" si="223"/>
        <v>Adulto</v>
      </c>
      <c r="D2398" s="145" t="s">
        <v>3444</v>
      </c>
      <c r="E2398" s="145" t="s">
        <v>1587</v>
      </c>
      <c r="F2398" s="145" t="s">
        <v>1104</v>
      </c>
      <c r="G2398" s="145">
        <v>9217126</v>
      </c>
      <c r="H2398" s="146">
        <v>44769</v>
      </c>
      <c r="I2398" s="145">
        <v>0.17607999999999999</v>
      </c>
      <c r="J2398" s="273"/>
      <c r="K2398" s="273"/>
      <c r="L2398" s="273"/>
      <c r="M2398" s="273"/>
      <c r="N2398" s="273"/>
      <c r="O2398" s="273"/>
      <c r="P2398" s="273"/>
      <c r="Q2398" s="273"/>
      <c r="R2398" s="273"/>
      <c r="S2398" s="273"/>
      <c r="T2398" s="146">
        <v>23807</v>
      </c>
      <c r="U2398" s="273"/>
      <c r="V2398" s="145" t="s">
        <v>2383</v>
      </c>
      <c r="W2398" s="158" t="str">
        <f t="shared" si="224"/>
        <v>Piña Jimenez,Jose Luis</v>
      </c>
      <c r="X2398" s="154">
        <f t="shared" si="225"/>
        <v>7</v>
      </c>
      <c r="Y2398" s="154">
        <f t="shared" si="226"/>
        <v>2022</v>
      </c>
      <c r="Z2398" s="153" t="s">
        <v>266</v>
      </c>
      <c r="AA2398" s="263" t="str">
        <f>IF(Tabla1[[#This Row],[Kerma en aire acumulada (Gy)]]&gt;1,SUMIF(G:G,Tabla1[[#This Row],[SIP]],I:I)-Tabla1[[#This Row],[Kerma en aire acumulada (Gy)]],"")</f>
        <v/>
      </c>
    </row>
    <row r="2399" spans="3:27">
      <c r="C2399" s="144" t="str">
        <f t="shared" si="223"/>
        <v>Adulto</v>
      </c>
      <c r="D2399" s="145" t="s">
        <v>3485</v>
      </c>
      <c r="E2399" s="145" t="s">
        <v>1819</v>
      </c>
      <c r="F2399" s="145" t="s">
        <v>356</v>
      </c>
      <c r="G2399" s="145">
        <v>2210166</v>
      </c>
      <c r="H2399" s="274">
        <v>44769</v>
      </c>
      <c r="I2399" s="145">
        <v>0.77132000000000001</v>
      </c>
      <c r="J2399" s="273"/>
      <c r="K2399" s="273"/>
      <c r="L2399" s="273"/>
      <c r="M2399" s="273"/>
      <c r="N2399" s="273"/>
      <c r="O2399" s="273"/>
      <c r="P2399" s="273"/>
      <c r="Q2399" s="273"/>
      <c r="R2399" s="273"/>
      <c r="S2399" s="273"/>
      <c r="T2399" s="146">
        <v>13697</v>
      </c>
      <c r="U2399" s="273"/>
      <c r="V2399" s="145" t="s">
        <v>2383</v>
      </c>
      <c r="W2399" s="158" t="str">
        <f t="shared" si="224"/>
        <v>Galan Rincon,Manuel</v>
      </c>
      <c r="X2399" s="154">
        <f t="shared" si="225"/>
        <v>7</v>
      </c>
      <c r="Y2399" s="154">
        <f t="shared" si="226"/>
        <v>2022</v>
      </c>
      <c r="Z2399" s="153" t="s">
        <v>266</v>
      </c>
      <c r="AA2399" s="263" t="str">
        <f>IF(Tabla1[[#This Row],[Kerma en aire acumulada (Gy)]]&gt;1,SUMIF(G:G,Tabla1[[#This Row],[SIP]],I:I)-Tabla1[[#This Row],[Kerma en aire acumulada (Gy)]],"")</f>
        <v/>
      </c>
    </row>
    <row r="2400" spans="3:27">
      <c r="C2400" s="144" t="str">
        <f t="shared" si="223"/>
        <v>Adulto</v>
      </c>
      <c r="D2400" s="145" t="s">
        <v>1587</v>
      </c>
      <c r="E2400" s="145" t="s">
        <v>1759</v>
      </c>
      <c r="F2400" s="145" t="s">
        <v>989</v>
      </c>
      <c r="G2400" s="145">
        <v>3640428</v>
      </c>
      <c r="H2400" s="146">
        <v>44769</v>
      </c>
      <c r="I2400" s="145">
        <v>0.41152</v>
      </c>
      <c r="J2400" s="273"/>
      <c r="K2400" s="273"/>
      <c r="L2400" s="273"/>
      <c r="M2400" s="273"/>
      <c r="N2400" s="273"/>
      <c r="O2400" s="273"/>
      <c r="P2400" s="273"/>
      <c r="Q2400" s="273"/>
      <c r="R2400" s="273"/>
      <c r="S2400" s="273"/>
      <c r="T2400" s="146">
        <v>22520</v>
      </c>
      <c r="U2400" s="273"/>
      <c r="V2400" s="145" t="s">
        <v>2383</v>
      </c>
      <c r="W2400" s="158" t="str">
        <f t="shared" si="224"/>
        <v>Jimenez Martin,Mateo</v>
      </c>
      <c r="X2400" s="154">
        <f t="shared" si="225"/>
        <v>7</v>
      </c>
      <c r="Y2400" s="154">
        <f t="shared" si="226"/>
        <v>2022</v>
      </c>
      <c r="Z2400" s="153" t="s">
        <v>266</v>
      </c>
      <c r="AA2400" s="263" t="str">
        <f>IF(Tabla1[[#This Row],[Kerma en aire acumulada (Gy)]]&gt;1,SUMIF(G:G,Tabla1[[#This Row],[SIP]],I:I)-Tabla1[[#This Row],[Kerma en aire acumulada (Gy)]],"")</f>
        <v/>
      </c>
    </row>
    <row r="2401" spans="3:27">
      <c r="C2401" s="144" t="str">
        <f t="shared" si="223"/>
        <v>Adulto</v>
      </c>
      <c r="D2401" s="145" t="s">
        <v>634</v>
      </c>
      <c r="E2401" s="145" t="s">
        <v>1001</v>
      </c>
      <c r="F2401" s="145" t="s">
        <v>3486</v>
      </c>
      <c r="G2401" s="145">
        <v>2927396</v>
      </c>
      <c r="H2401" s="274">
        <v>44769</v>
      </c>
      <c r="I2401" s="145">
        <v>0.78605999999999998</v>
      </c>
      <c r="J2401" s="273"/>
      <c r="K2401" s="273"/>
      <c r="L2401" s="273"/>
      <c r="M2401" s="273"/>
      <c r="N2401" s="273"/>
      <c r="O2401" s="273"/>
      <c r="P2401" s="273"/>
      <c r="Q2401" s="273"/>
      <c r="R2401" s="273"/>
      <c r="S2401" s="273"/>
      <c r="T2401" s="146">
        <v>23910</v>
      </c>
      <c r="U2401" s="273"/>
      <c r="V2401" s="145" t="s">
        <v>2309</v>
      </c>
      <c r="W2401" s="158" t="str">
        <f t="shared" si="224"/>
        <v>Gil Perez,Emerano</v>
      </c>
      <c r="X2401" s="154">
        <f t="shared" si="225"/>
        <v>7</v>
      </c>
      <c r="Y2401" s="154">
        <f t="shared" si="226"/>
        <v>2022</v>
      </c>
      <c r="Z2401" s="153" t="s">
        <v>2238</v>
      </c>
      <c r="AA2401" s="263" t="str">
        <f>IF(Tabla1[[#This Row],[Kerma en aire acumulada (Gy)]]&gt;1,SUMIF(G:G,Tabla1[[#This Row],[SIP]],I:I)-Tabla1[[#This Row],[Kerma en aire acumulada (Gy)]],"")</f>
        <v/>
      </c>
    </row>
    <row r="2402" spans="3:27">
      <c r="C2402" s="144" t="str">
        <f t="shared" si="223"/>
        <v>Adulto</v>
      </c>
      <c r="D2402" s="145" t="s">
        <v>3449</v>
      </c>
      <c r="E2402" s="145" t="s">
        <v>319</v>
      </c>
      <c r="F2402" s="145" t="s">
        <v>1946</v>
      </c>
      <c r="G2402" s="145">
        <v>950490</v>
      </c>
      <c r="H2402" s="146">
        <v>44769</v>
      </c>
      <c r="I2402" s="145">
        <v>1.4749999999999999E-2</v>
      </c>
      <c r="J2402" s="273"/>
      <c r="K2402" s="273"/>
      <c r="L2402" s="273"/>
      <c r="M2402" s="273"/>
      <c r="N2402" s="273"/>
      <c r="O2402" s="273"/>
      <c r="P2402" s="273"/>
      <c r="Q2402" s="273"/>
      <c r="R2402" s="273"/>
      <c r="S2402" s="273"/>
      <c r="T2402" s="146">
        <v>20233</v>
      </c>
      <c r="U2402" s="273"/>
      <c r="V2402" s="145" t="s">
        <v>2962</v>
      </c>
      <c r="W2402" s="158" t="str">
        <f t="shared" si="224"/>
        <v>Herbosa Gonzalez,Joaquin</v>
      </c>
      <c r="X2402" s="154">
        <f t="shared" si="225"/>
        <v>7</v>
      </c>
      <c r="Y2402" s="154">
        <f t="shared" si="226"/>
        <v>2022</v>
      </c>
      <c r="Z2402" s="153" t="s">
        <v>2238</v>
      </c>
      <c r="AA2402" s="263" t="str">
        <f>IF(Tabla1[[#This Row],[Kerma en aire acumulada (Gy)]]&gt;1,SUMIF(G:G,Tabla1[[#This Row],[SIP]],I:I)-Tabla1[[#This Row],[Kerma en aire acumulada (Gy)]],"")</f>
        <v/>
      </c>
    </row>
    <row r="2403" spans="3:27">
      <c r="C2403" s="246" t="str">
        <f t="shared" si="223"/>
        <v>Adulto</v>
      </c>
      <c r="D2403" s="254" t="s">
        <v>2357</v>
      </c>
      <c r="E2403" s="254" t="s">
        <v>3487</v>
      </c>
      <c r="F2403" s="254" t="s">
        <v>1946</v>
      </c>
      <c r="G2403" s="254">
        <v>2327873</v>
      </c>
      <c r="H2403" s="276">
        <v>44769</v>
      </c>
      <c r="I2403" s="254">
        <v>3.2770000000000001E-2</v>
      </c>
      <c r="J2403" s="277"/>
      <c r="K2403" s="277"/>
      <c r="L2403" s="277"/>
      <c r="M2403" s="277"/>
      <c r="N2403" s="277"/>
      <c r="O2403" s="277"/>
      <c r="P2403" s="277"/>
      <c r="Q2403" s="277"/>
      <c r="R2403" s="277"/>
      <c r="S2403" s="277"/>
      <c r="T2403" s="255">
        <v>23027</v>
      </c>
      <c r="U2403" s="277"/>
      <c r="V2403" s="254" t="s">
        <v>3077</v>
      </c>
      <c r="W2403" s="271" t="str">
        <f t="shared" si="224"/>
        <v>Garzon Calomarde,Joaquin</v>
      </c>
      <c r="X2403" s="272">
        <f t="shared" si="225"/>
        <v>7</v>
      </c>
      <c r="Y2403" s="272">
        <f t="shared" si="226"/>
        <v>2022</v>
      </c>
      <c r="Z2403" s="256" t="s">
        <v>2238</v>
      </c>
      <c r="AA2403" s="263" t="str">
        <f>IF(Tabla1[[#This Row],[Kerma en aire acumulada (Gy)]]&gt;1,SUMIF(G:G,Tabla1[[#This Row],[SIP]],I:I)-Tabla1[[#This Row],[Kerma en aire acumulada (Gy)]],"")</f>
        <v/>
      </c>
    </row>
    <row r="2404" spans="3:27">
      <c r="C2404" s="152" t="str">
        <f t="shared" si="223"/>
        <v>Adulto</v>
      </c>
      <c r="D2404" s="273" t="s">
        <v>332</v>
      </c>
      <c r="E2404" s="273" t="s">
        <v>3488</v>
      </c>
      <c r="F2404" s="273" t="s">
        <v>1859</v>
      </c>
      <c r="G2404" s="273">
        <v>1939480</v>
      </c>
      <c r="H2404" s="274">
        <v>44770</v>
      </c>
      <c r="I2404" s="273">
        <v>0.30486999999999997</v>
      </c>
      <c r="J2404" s="273"/>
      <c r="K2404" s="273"/>
      <c r="L2404" s="273"/>
      <c r="M2404" s="273"/>
      <c r="N2404" s="273"/>
      <c r="O2404" s="273"/>
      <c r="P2404" s="273"/>
      <c r="Q2404" s="273"/>
      <c r="R2404" s="273"/>
      <c r="S2404" s="273"/>
      <c r="T2404" s="274">
        <v>27755</v>
      </c>
      <c r="U2404" s="273"/>
      <c r="V2404" s="273" t="s">
        <v>1126</v>
      </c>
      <c r="W2404" s="158" t="str">
        <f t="shared" si="224"/>
        <v>Albert Guerola,Jose Rafael</v>
      </c>
      <c r="X2404" s="154">
        <f t="shared" si="225"/>
        <v>7</v>
      </c>
      <c r="Y2404" s="154">
        <f t="shared" si="226"/>
        <v>2022</v>
      </c>
      <c r="Z2404" s="275" t="s">
        <v>265</v>
      </c>
      <c r="AA2404" s="263" t="str">
        <f>IF(Tabla1[[#This Row],[Kerma en aire acumulada (Gy)]]&gt;1,SUMIF(G:G,Tabla1[[#This Row],[SIP]],I:I)-Tabla1[[#This Row],[Kerma en aire acumulada (Gy)]],"")</f>
        <v/>
      </c>
    </row>
    <row r="2405" spans="3:27">
      <c r="C2405" s="144" t="str">
        <f t="shared" si="223"/>
        <v>Adulto</v>
      </c>
      <c r="D2405" s="145" t="s">
        <v>77</v>
      </c>
      <c r="E2405" s="145" t="s">
        <v>3489</v>
      </c>
      <c r="F2405" s="145" t="s">
        <v>2450</v>
      </c>
      <c r="G2405" s="145">
        <v>2189459</v>
      </c>
      <c r="H2405" s="274">
        <v>44770</v>
      </c>
      <c r="I2405" s="145">
        <v>5.6999999999999998E-4</v>
      </c>
      <c r="J2405" s="273"/>
      <c r="K2405" s="273"/>
      <c r="L2405" s="273"/>
      <c r="M2405" s="273"/>
      <c r="N2405" s="273"/>
      <c r="O2405" s="273"/>
      <c r="P2405" s="273"/>
      <c r="Q2405" s="273"/>
      <c r="R2405" s="273"/>
      <c r="S2405" s="273"/>
      <c r="T2405" s="146">
        <v>20175</v>
      </c>
      <c r="U2405" s="273"/>
      <c r="V2405" s="145" t="s">
        <v>1883</v>
      </c>
      <c r="W2405" s="158" t="str">
        <f t="shared" si="224"/>
        <v>Torres Caraballo,Julian</v>
      </c>
      <c r="X2405" s="154">
        <f t="shared" si="225"/>
        <v>7</v>
      </c>
      <c r="Y2405" s="154">
        <f t="shared" si="226"/>
        <v>2022</v>
      </c>
      <c r="Z2405" s="153" t="s">
        <v>265</v>
      </c>
      <c r="AA2405" s="263" t="str">
        <f>IF(Tabla1[[#This Row],[Kerma en aire acumulada (Gy)]]&gt;1,SUMIF(G:G,Tabla1[[#This Row],[SIP]],I:I)-Tabla1[[#This Row],[Kerma en aire acumulada (Gy)]],"")</f>
        <v/>
      </c>
    </row>
    <row r="2406" spans="3:27">
      <c r="C2406" s="144" t="str">
        <f t="shared" si="223"/>
        <v>Adulto</v>
      </c>
      <c r="D2406" s="145" t="s">
        <v>3490</v>
      </c>
      <c r="E2406" s="145" t="s">
        <v>2317</v>
      </c>
      <c r="F2406" s="145" t="s">
        <v>3085</v>
      </c>
      <c r="G2406" s="145">
        <v>2454161</v>
      </c>
      <c r="H2406" s="146">
        <v>44770</v>
      </c>
      <c r="I2406" s="145">
        <v>4.6000000000000001E-4</v>
      </c>
      <c r="J2406" s="273"/>
      <c r="K2406" s="273"/>
      <c r="L2406" s="273"/>
      <c r="M2406" s="273"/>
      <c r="N2406" s="273"/>
      <c r="O2406" s="273"/>
      <c r="P2406" s="273"/>
      <c r="Q2406" s="273"/>
      <c r="R2406" s="273"/>
      <c r="S2406" s="273"/>
      <c r="T2406" s="146">
        <v>12701</v>
      </c>
      <c r="U2406" s="273"/>
      <c r="V2406" s="145" t="s">
        <v>1883</v>
      </c>
      <c r="W2406" s="158" t="str">
        <f t="shared" si="224"/>
        <v>Sanchez de Toca Catalan,Maria Pilar</v>
      </c>
      <c r="X2406" s="154">
        <f t="shared" si="225"/>
        <v>7</v>
      </c>
      <c r="Y2406" s="154">
        <f t="shared" si="226"/>
        <v>2022</v>
      </c>
      <c r="Z2406" s="153" t="s">
        <v>265</v>
      </c>
      <c r="AA2406" s="263" t="str">
        <f>IF(Tabla1[[#This Row],[Kerma en aire acumulada (Gy)]]&gt;1,SUMIF(G:G,Tabla1[[#This Row],[SIP]],I:I)-Tabla1[[#This Row],[Kerma en aire acumulada (Gy)]],"")</f>
        <v/>
      </c>
    </row>
    <row r="2407" spans="3:27">
      <c r="C2407" s="144" t="str">
        <f t="shared" si="223"/>
        <v>Adulto</v>
      </c>
      <c r="D2407" s="145" t="s">
        <v>15</v>
      </c>
      <c r="E2407" s="145" t="s">
        <v>2332</v>
      </c>
      <c r="F2407" s="145" t="s">
        <v>635</v>
      </c>
      <c r="G2407" s="145">
        <v>2407845</v>
      </c>
      <c r="H2407" s="274">
        <v>44770</v>
      </c>
      <c r="I2407" s="145">
        <v>0.37833</v>
      </c>
      <c r="J2407" s="273"/>
      <c r="K2407" s="273"/>
      <c r="L2407" s="273"/>
      <c r="M2407" s="273"/>
      <c r="N2407" s="273"/>
      <c r="O2407" s="273"/>
      <c r="P2407" s="273"/>
      <c r="Q2407" s="273"/>
      <c r="R2407" s="273"/>
      <c r="S2407" s="273"/>
      <c r="T2407" s="146">
        <v>23029</v>
      </c>
      <c r="U2407" s="273"/>
      <c r="V2407" s="145" t="s">
        <v>107</v>
      </c>
      <c r="W2407" s="158" t="str">
        <f t="shared" si="224"/>
        <v>Moreno Albiach,Enrique</v>
      </c>
      <c r="X2407" s="154">
        <f t="shared" si="225"/>
        <v>7</v>
      </c>
      <c r="Y2407" s="154">
        <f t="shared" si="226"/>
        <v>2022</v>
      </c>
      <c r="Z2407" s="153" t="s">
        <v>265</v>
      </c>
      <c r="AA2407" s="263" t="str">
        <f>IF(Tabla1[[#This Row],[Kerma en aire acumulada (Gy)]]&gt;1,SUMIF(G:G,Tabla1[[#This Row],[SIP]],I:I)-Tabla1[[#This Row],[Kerma en aire acumulada (Gy)]],"")</f>
        <v/>
      </c>
    </row>
    <row r="2408" spans="3:27">
      <c r="C2408" s="144" t="str">
        <f t="shared" ref="C2408:C2415" si="227">IF(OR(H2408="",T2408=""),"",IF((H2408-T2408)/12/30&lt;18,"Pediátrico","Adulto"))</f>
        <v>Adulto</v>
      </c>
      <c r="D2408" s="145" t="s">
        <v>3417</v>
      </c>
      <c r="E2408" s="145" t="s">
        <v>3286</v>
      </c>
      <c r="F2408" s="145" t="s">
        <v>3287</v>
      </c>
      <c r="G2408" s="145">
        <v>3202601</v>
      </c>
      <c r="H2408" s="146">
        <v>44770</v>
      </c>
      <c r="I2408" s="145">
        <v>0.38868000000000003</v>
      </c>
      <c r="J2408" s="145"/>
      <c r="K2408" s="145"/>
      <c r="L2408" s="145"/>
      <c r="M2408" s="145"/>
      <c r="N2408" s="145"/>
      <c r="O2408" s="145"/>
      <c r="P2408" s="145"/>
      <c r="Q2408" s="145"/>
      <c r="R2408" s="145"/>
      <c r="S2408" s="145"/>
      <c r="T2408" s="146">
        <v>16202</v>
      </c>
      <c r="U2408" s="145"/>
      <c r="V2408" s="145" t="s">
        <v>1635</v>
      </c>
      <c r="W2408" s="158" t="str">
        <f t="shared" ref="W2408:W2415" si="228">CONCATENATE(D2408,$A$591,E2408,",",F2408)</f>
        <v>Vallterra Musoles,M Julia</v>
      </c>
      <c r="X2408" s="154">
        <f t="shared" ref="X2408:X2415" si="229">MONTH(H2406)</f>
        <v>7</v>
      </c>
      <c r="Y2408" s="154">
        <f t="shared" ref="Y2408:Y2415" si="230">YEAR(H2406)</f>
        <v>2022</v>
      </c>
      <c r="Z2408" s="153" t="s">
        <v>265</v>
      </c>
      <c r="AA2408" s="253" t="str">
        <f>IF(Tabla1[[#This Row],[Kerma en aire acumulada (Gy)]]&gt;1,SUMIF(G:G,Tabla1[[#This Row],[SIP]],I:I)-Tabla1[[#This Row],[Kerma en aire acumulada (Gy)]],"")</f>
        <v/>
      </c>
    </row>
    <row r="2409" spans="3:27">
      <c r="C2409" s="144" t="str">
        <f t="shared" si="227"/>
        <v>Adulto</v>
      </c>
      <c r="D2409" s="145" t="s">
        <v>3491</v>
      </c>
      <c r="E2409" s="145" t="s">
        <v>2476</v>
      </c>
      <c r="F2409" s="145" t="s">
        <v>2183</v>
      </c>
      <c r="G2409" s="145">
        <v>2815943</v>
      </c>
      <c r="H2409" s="274">
        <v>44770</v>
      </c>
      <c r="I2409" s="145">
        <v>0.14054</v>
      </c>
      <c r="J2409" s="273"/>
      <c r="K2409" s="273"/>
      <c r="L2409" s="273"/>
      <c r="M2409" s="273"/>
      <c r="N2409" s="273"/>
      <c r="O2409" s="273"/>
      <c r="P2409" s="273"/>
      <c r="Q2409" s="273"/>
      <c r="R2409" s="273"/>
      <c r="S2409" s="273"/>
      <c r="T2409" s="146">
        <v>20302</v>
      </c>
      <c r="U2409" s="273"/>
      <c r="V2409" s="145" t="s">
        <v>2383</v>
      </c>
      <c r="W2409" s="158" t="str">
        <f t="shared" si="228"/>
        <v>del Cerro Latre,Agustin</v>
      </c>
      <c r="X2409" s="154">
        <f t="shared" si="229"/>
        <v>7</v>
      </c>
      <c r="Y2409" s="154">
        <f t="shared" si="230"/>
        <v>2022</v>
      </c>
      <c r="Z2409" s="153" t="s">
        <v>266</v>
      </c>
      <c r="AA2409" s="263" t="str">
        <f>IF(Tabla1[[#This Row],[Kerma en aire acumulada (Gy)]]&gt;1,SUMIF(G:G,Tabla1[[#This Row],[SIP]],I:I)-Tabla1[[#This Row],[Kerma en aire acumulada (Gy)]],"")</f>
        <v/>
      </c>
    </row>
    <row r="2410" spans="3:27">
      <c r="C2410" s="144" t="str">
        <f t="shared" si="227"/>
        <v>Adulto</v>
      </c>
      <c r="D2410" s="145" t="s">
        <v>3450</v>
      </c>
      <c r="E2410" s="145" t="s">
        <v>3451</v>
      </c>
      <c r="F2410" s="145" t="s">
        <v>1050</v>
      </c>
      <c r="G2410" s="145">
        <v>2664891</v>
      </c>
      <c r="H2410" s="146">
        <v>44770</v>
      </c>
      <c r="I2410" s="145">
        <v>9.9519999999999997E-2</v>
      </c>
      <c r="J2410" s="273"/>
      <c r="K2410" s="273"/>
      <c r="L2410" s="273"/>
      <c r="M2410" s="273"/>
      <c r="N2410" s="273"/>
      <c r="O2410" s="273"/>
      <c r="P2410" s="273"/>
      <c r="Q2410" s="273"/>
      <c r="R2410" s="273"/>
      <c r="S2410" s="273"/>
      <c r="T2410" s="146">
        <v>17052</v>
      </c>
      <c r="U2410" s="273"/>
      <c r="V2410" s="145" t="s">
        <v>2383</v>
      </c>
      <c r="W2410" s="158" t="str">
        <f t="shared" si="228"/>
        <v>Montull Aguaron,Francisco Javier</v>
      </c>
      <c r="X2410" s="154">
        <f t="shared" si="229"/>
        <v>7</v>
      </c>
      <c r="Y2410" s="154">
        <f t="shared" si="230"/>
        <v>2022</v>
      </c>
      <c r="Z2410" s="153" t="s">
        <v>266</v>
      </c>
      <c r="AA2410" s="263" t="str">
        <f>IF(Tabla1[[#This Row],[Kerma en aire acumulada (Gy)]]&gt;1,SUMIF(G:G,Tabla1[[#This Row],[SIP]],I:I)-Tabla1[[#This Row],[Kerma en aire acumulada (Gy)]],"")</f>
        <v/>
      </c>
    </row>
    <row r="2411" spans="3:27">
      <c r="C2411" s="144" t="str">
        <f t="shared" si="227"/>
        <v>Adulto</v>
      </c>
      <c r="D2411" s="145" t="s">
        <v>2463</v>
      </c>
      <c r="E2411" s="145"/>
      <c r="F2411" s="145" t="s">
        <v>3492</v>
      </c>
      <c r="G2411" s="145">
        <v>4583961</v>
      </c>
      <c r="H2411" s="274">
        <v>44770</v>
      </c>
      <c r="I2411" s="145">
        <v>5.0380000000000001E-2</v>
      </c>
      <c r="J2411" s="273"/>
      <c r="K2411" s="273"/>
      <c r="L2411" s="273"/>
      <c r="M2411" s="273"/>
      <c r="N2411" s="273"/>
      <c r="O2411" s="273"/>
      <c r="P2411" s="273"/>
      <c r="Q2411" s="273"/>
      <c r="R2411" s="273"/>
      <c r="S2411" s="273"/>
      <c r="T2411" s="146">
        <v>26046</v>
      </c>
      <c r="U2411" s="273"/>
      <c r="V2411" s="145" t="s">
        <v>2383</v>
      </c>
      <c r="W2411" s="158" t="str">
        <f t="shared" si="228"/>
        <v>Jackson ,Christopher</v>
      </c>
      <c r="X2411" s="154">
        <f t="shared" si="229"/>
        <v>7</v>
      </c>
      <c r="Y2411" s="154">
        <f t="shared" si="230"/>
        <v>2022</v>
      </c>
      <c r="Z2411" s="153" t="s">
        <v>266</v>
      </c>
      <c r="AA2411" s="263" t="str">
        <f>IF(Tabla1[[#This Row],[Kerma en aire acumulada (Gy)]]&gt;1,SUMIF(G:G,Tabla1[[#This Row],[SIP]],I:I)-Tabla1[[#This Row],[Kerma en aire acumulada (Gy)]],"")</f>
        <v/>
      </c>
    </row>
    <row r="2412" spans="3:27">
      <c r="C2412" s="144" t="str">
        <f t="shared" si="227"/>
        <v>Adulto</v>
      </c>
      <c r="D2412" s="145" t="s">
        <v>2546</v>
      </c>
      <c r="E2412" s="145" t="s">
        <v>962</v>
      </c>
      <c r="F2412" s="145" t="s">
        <v>88</v>
      </c>
      <c r="G2412" s="145">
        <v>2266689</v>
      </c>
      <c r="H2412" s="146">
        <v>44770</v>
      </c>
      <c r="I2412" s="145">
        <v>0.14019999999999999</v>
      </c>
      <c r="J2412" s="273"/>
      <c r="K2412" s="273"/>
      <c r="L2412" s="273"/>
      <c r="M2412" s="273"/>
      <c r="N2412" s="273"/>
      <c r="O2412" s="273"/>
      <c r="P2412" s="273"/>
      <c r="Q2412" s="273"/>
      <c r="R2412" s="273"/>
      <c r="S2412" s="273"/>
      <c r="T2412" s="146">
        <v>19229</v>
      </c>
      <c r="U2412" s="273"/>
      <c r="V2412" s="145" t="s">
        <v>2383</v>
      </c>
      <c r="W2412" s="158" t="str">
        <f t="shared" si="228"/>
        <v>Caudet Garcia,Vicente</v>
      </c>
      <c r="X2412" s="154">
        <f t="shared" si="229"/>
        <v>7</v>
      </c>
      <c r="Y2412" s="154">
        <f t="shared" si="230"/>
        <v>2022</v>
      </c>
      <c r="Z2412" s="153" t="s">
        <v>266</v>
      </c>
      <c r="AA2412" s="263" t="str">
        <f>IF(Tabla1[[#This Row],[Kerma en aire acumulada (Gy)]]&gt;1,SUMIF(G:G,Tabla1[[#This Row],[SIP]],I:I)-Tabla1[[#This Row],[Kerma en aire acumulada (Gy)]],"")</f>
        <v/>
      </c>
    </row>
    <row r="2413" spans="3:27">
      <c r="C2413" s="144" t="str">
        <f t="shared" si="227"/>
        <v>Adulto</v>
      </c>
      <c r="D2413" s="145" t="s">
        <v>2366</v>
      </c>
      <c r="E2413" s="145" t="s">
        <v>677</v>
      </c>
      <c r="F2413" s="145" t="s">
        <v>356</v>
      </c>
      <c r="G2413" s="145">
        <v>3169407</v>
      </c>
      <c r="H2413" s="274">
        <v>44770</v>
      </c>
      <c r="I2413" s="145">
        <v>0.25720999999999999</v>
      </c>
      <c r="J2413" s="273"/>
      <c r="K2413" s="273"/>
      <c r="L2413" s="273"/>
      <c r="M2413" s="273"/>
      <c r="N2413" s="273"/>
      <c r="O2413" s="273"/>
      <c r="P2413" s="273"/>
      <c r="Q2413" s="273"/>
      <c r="R2413" s="273"/>
      <c r="S2413" s="273"/>
      <c r="T2413" s="146">
        <v>11694</v>
      </c>
      <c r="U2413" s="273"/>
      <c r="V2413" s="145" t="s">
        <v>2383</v>
      </c>
      <c r="W2413" s="158" t="str">
        <f t="shared" si="228"/>
        <v>Gimeno Aliaga,Manuel</v>
      </c>
      <c r="X2413" s="154">
        <f t="shared" si="229"/>
        <v>7</v>
      </c>
      <c r="Y2413" s="154">
        <f t="shared" si="230"/>
        <v>2022</v>
      </c>
      <c r="Z2413" s="153" t="s">
        <v>266</v>
      </c>
      <c r="AA2413" s="263" t="str">
        <f>IF(Tabla1[[#This Row],[Kerma en aire acumulada (Gy)]]&gt;1,SUMIF(G:G,Tabla1[[#This Row],[SIP]],I:I)-Tabla1[[#This Row],[Kerma en aire acumulada (Gy)]],"")</f>
        <v/>
      </c>
    </row>
    <row r="2414" spans="3:27">
      <c r="C2414" s="144" t="str">
        <f t="shared" si="227"/>
        <v>Adulto</v>
      </c>
      <c r="D2414" s="145" t="s">
        <v>962</v>
      </c>
      <c r="E2414" s="145" t="s">
        <v>3493</v>
      </c>
      <c r="F2414" s="145" t="s">
        <v>3042</v>
      </c>
      <c r="G2414" s="145">
        <v>160383</v>
      </c>
      <c r="H2414" s="146">
        <v>44770</v>
      </c>
      <c r="I2414" s="145">
        <v>0.78571999999999997</v>
      </c>
      <c r="J2414" s="273"/>
      <c r="K2414" s="273"/>
      <c r="L2414" s="273"/>
      <c r="M2414" s="273"/>
      <c r="N2414" s="273"/>
      <c r="O2414" s="273"/>
      <c r="P2414" s="273"/>
      <c r="Q2414" s="273"/>
      <c r="R2414" s="273"/>
      <c r="S2414" s="273"/>
      <c r="T2414" s="146">
        <v>14685</v>
      </c>
      <c r="U2414" s="273"/>
      <c r="V2414" s="145" t="s">
        <v>2383</v>
      </c>
      <c r="W2414" s="158" t="str">
        <f t="shared" si="228"/>
        <v>Garcia Alcala,Maria del Carmen</v>
      </c>
      <c r="X2414" s="154">
        <f t="shared" si="229"/>
        <v>7</v>
      </c>
      <c r="Y2414" s="154">
        <f t="shared" si="230"/>
        <v>2022</v>
      </c>
      <c r="Z2414" s="153" t="s">
        <v>266</v>
      </c>
      <c r="AA2414" s="263" t="str">
        <f>IF(Tabla1[[#This Row],[Kerma en aire acumulada (Gy)]]&gt;1,SUMIF(G:G,Tabla1[[#This Row],[SIP]],I:I)-Tabla1[[#This Row],[Kerma en aire acumulada (Gy)]],"")</f>
        <v/>
      </c>
    </row>
    <row r="2415" spans="3:27">
      <c r="C2415" s="144" t="str">
        <f t="shared" si="227"/>
        <v>Adulto</v>
      </c>
      <c r="D2415" s="145" t="s">
        <v>3116</v>
      </c>
      <c r="E2415" s="145" t="s">
        <v>2801</v>
      </c>
      <c r="F2415" s="145" t="s">
        <v>519</v>
      </c>
      <c r="G2415" s="145">
        <v>3376224</v>
      </c>
      <c r="H2415" s="274">
        <v>44770</v>
      </c>
      <c r="I2415" s="145">
        <v>1.0149999999999999E-2</v>
      </c>
      <c r="J2415" s="273"/>
      <c r="K2415" s="273"/>
      <c r="L2415" s="273"/>
      <c r="M2415" s="273"/>
      <c r="N2415" s="273"/>
      <c r="O2415" s="273"/>
      <c r="P2415" s="273"/>
      <c r="Q2415" s="273"/>
      <c r="R2415" s="273"/>
      <c r="S2415" s="273"/>
      <c r="T2415" s="146">
        <v>22325</v>
      </c>
      <c r="U2415" s="273"/>
      <c r="V2415" s="145" t="s">
        <v>2962</v>
      </c>
      <c r="W2415" s="158" t="str">
        <f t="shared" si="228"/>
        <v>Lladosa Torro,Fernando</v>
      </c>
      <c r="X2415" s="154">
        <f t="shared" si="229"/>
        <v>7</v>
      </c>
      <c r="Y2415" s="154">
        <f t="shared" si="230"/>
        <v>2022</v>
      </c>
      <c r="Z2415" s="153" t="s">
        <v>2238</v>
      </c>
      <c r="AA2415" s="263" t="str">
        <f>IF(Tabla1[[#This Row],[Kerma en aire acumulada (Gy)]]&gt;1,SUMIF(G:G,Tabla1[[#This Row],[SIP]],I:I)-Tabla1[[#This Row],[Kerma en aire acumulada (Gy)]],"")</f>
        <v/>
      </c>
    </row>
    <row r="2416" spans="3:27">
      <c r="C2416" s="144" t="str">
        <f>IF(OR(H2416="",T2416=""),"",IF((H2416-T2416)/12/30&lt;18,"Pediátrico","Adulto"))</f>
        <v>Adulto</v>
      </c>
      <c r="D2416" s="145" t="s">
        <v>1796</v>
      </c>
      <c r="E2416" s="145" t="s">
        <v>694</v>
      </c>
      <c r="F2416" s="145" t="s">
        <v>2141</v>
      </c>
      <c r="G2416" s="145">
        <v>2461357</v>
      </c>
      <c r="H2416" s="274">
        <v>44770</v>
      </c>
      <c r="I2416" s="145">
        <v>1.0449999999999999E-2</v>
      </c>
      <c r="J2416" s="273"/>
      <c r="K2416" s="273"/>
      <c r="L2416" s="273"/>
      <c r="M2416" s="273"/>
      <c r="N2416" s="273"/>
      <c r="O2416" s="273"/>
      <c r="P2416" s="273"/>
      <c r="Q2416" s="273"/>
      <c r="R2416" s="273"/>
      <c r="S2416" s="273"/>
      <c r="T2416" s="146">
        <v>27199</v>
      </c>
      <c r="U2416" s="273"/>
      <c r="V2416" s="145" t="s">
        <v>2309</v>
      </c>
      <c r="W2416" s="158" t="str">
        <f t="shared" ref="W2416:W2419" si="231">CONCATENATE(D2416,$A$591,E2416,",",F2416)</f>
        <v>Pelecha Llopis,Jesus</v>
      </c>
      <c r="X2416" s="154">
        <f t="shared" ref="X2416:X2419" si="232">MONTH(H2414)</f>
        <v>7</v>
      </c>
      <c r="Y2416" s="154">
        <f t="shared" ref="Y2416:Y2419" si="233">YEAR(H2414)</f>
        <v>2022</v>
      </c>
      <c r="Z2416" s="153" t="s">
        <v>2238</v>
      </c>
      <c r="AA2416" s="253" t="str">
        <f>IF(Tabla1[[#This Row],[Kerma en aire acumulada (Gy)]]&gt;1,SUMIF(G:G,Tabla1[[#This Row],[SIP]],I:I)-Tabla1[[#This Row],[Kerma en aire acumulada (Gy)]],"")</f>
        <v/>
      </c>
    </row>
    <row r="2417" spans="3:27">
      <c r="C2417" s="144" t="str">
        <f>IF(OR(H2417="",T2417=""),"",IF((H2417-T2417)/12/30&lt;18,"Pediátrico","Adulto"))</f>
        <v>Adulto</v>
      </c>
      <c r="D2417" s="145" t="s">
        <v>2008</v>
      </c>
      <c r="E2417" s="145" t="s">
        <v>1176</v>
      </c>
      <c r="F2417" s="145" t="s">
        <v>1621</v>
      </c>
      <c r="G2417" s="145">
        <v>2837459</v>
      </c>
      <c r="H2417" s="146">
        <v>44770</v>
      </c>
      <c r="I2417" s="145">
        <v>3.4410000000000003E-2</v>
      </c>
      <c r="J2417" s="273"/>
      <c r="K2417" s="273"/>
      <c r="L2417" s="273"/>
      <c r="M2417" s="273"/>
      <c r="N2417" s="273"/>
      <c r="O2417" s="273"/>
      <c r="P2417" s="273"/>
      <c r="Q2417" s="273"/>
      <c r="R2417" s="273"/>
      <c r="S2417" s="273"/>
      <c r="T2417" s="146">
        <v>16496</v>
      </c>
      <c r="U2417" s="273"/>
      <c r="V2417" s="145" t="s">
        <v>2309</v>
      </c>
      <c r="W2417" s="158" t="str">
        <f t="shared" si="231"/>
        <v>Puchades Peiro,Ramon</v>
      </c>
      <c r="X2417" s="154">
        <f t="shared" si="232"/>
        <v>7</v>
      </c>
      <c r="Y2417" s="154">
        <f t="shared" si="233"/>
        <v>2022</v>
      </c>
      <c r="Z2417" s="153" t="s">
        <v>2238</v>
      </c>
      <c r="AA2417" s="253" t="str">
        <f>IF(Tabla1[[#This Row],[Kerma en aire acumulada (Gy)]]&gt;1,SUMIF(G:G,Tabla1[[#This Row],[SIP]],I:I)-Tabla1[[#This Row],[Kerma en aire acumulada (Gy)]],"")</f>
        <v/>
      </c>
    </row>
    <row r="2418" spans="3:27">
      <c r="C2418" s="144" t="str">
        <f>IF(OR(H2418="",T2418=""),"",IF((H2418-T2418)/12/30&lt;18,"Pediátrico","Adulto"))</f>
        <v>Adulto</v>
      </c>
      <c r="D2418" s="145" t="s">
        <v>3494</v>
      </c>
      <c r="E2418" s="145"/>
      <c r="F2418" s="145" t="s">
        <v>3495</v>
      </c>
      <c r="G2418" s="145">
        <v>10796900</v>
      </c>
      <c r="H2418" s="274">
        <v>44770</v>
      </c>
      <c r="I2418" s="145">
        <v>2.4680000000000001E-2</v>
      </c>
      <c r="J2418" s="145"/>
      <c r="K2418" s="145"/>
      <c r="L2418" s="145"/>
      <c r="M2418" s="145"/>
      <c r="N2418" s="145"/>
      <c r="O2418" s="145"/>
      <c r="P2418" s="145"/>
      <c r="Q2418" s="145"/>
      <c r="R2418" s="145"/>
      <c r="S2418" s="145"/>
      <c r="T2418" s="146">
        <v>22327</v>
      </c>
      <c r="U2418" s="145"/>
      <c r="V2418" s="145" t="s">
        <v>2309</v>
      </c>
      <c r="W2418" s="158" t="str">
        <f t="shared" si="231"/>
        <v>Depraetere ,Johan</v>
      </c>
      <c r="X2418" s="154">
        <f t="shared" si="232"/>
        <v>7</v>
      </c>
      <c r="Y2418" s="154">
        <f t="shared" si="233"/>
        <v>2022</v>
      </c>
      <c r="Z2418" s="153" t="s">
        <v>2238</v>
      </c>
      <c r="AA2418" s="253" t="str">
        <f>IF(Tabla1[[#This Row],[Kerma en aire acumulada (Gy)]]&gt;1,SUMIF(G:G,Tabla1[[#This Row],[SIP]],I:I)-Tabla1[[#This Row],[Kerma en aire acumulada (Gy)]],"")</f>
        <v/>
      </c>
    </row>
    <row r="2419" spans="3:27">
      <c r="C2419" s="246" t="str">
        <f>IF(OR(H2419="",T2419=""),"",IF((H2419-T2419)/12/30&lt;18,"Pediátrico","Adulto"))</f>
        <v>Pediátrico</v>
      </c>
      <c r="D2419" s="254" t="s">
        <v>966</v>
      </c>
      <c r="E2419" s="254" t="s">
        <v>77</v>
      </c>
      <c r="F2419" s="254" t="s">
        <v>538</v>
      </c>
      <c r="G2419" s="254">
        <v>6302714</v>
      </c>
      <c r="H2419" s="255">
        <v>44770</v>
      </c>
      <c r="I2419" s="254">
        <v>3.5400000000000002E-3</v>
      </c>
      <c r="J2419" s="254"/>
      <c r="K2419" s="254"/>
      <c r="L2419" s="254"/>
      <c r="M2419" s="254"/>
      <c r="N2419" s="254"/>
      <c r="O2419" s="254"/>
      <c r="P2419" s="254"/>
      <c r="Q2419" s="254"/>
      <c r="R2419" s="254"/>
      <c r="S2419" s="254"/>
      <c r="T2419" s="255">
        <v>38860</v>
      </c>
      <c r="U2419" s="254"/>
      <c r="V2419" s="254" t="s">
        <v>2309</v>
      </c>
      <c r="W2419" s="271" t="str">
        <f t="shared" si="231"/>
        <v>Marco Torres,Hugo</v>
      </c>
      <c r="X2419" s="272">
        <f t="shared" si="232"/>
        <v>7</v>
      </c>
      <c r="Y2419" s="272">
        <f t="shared" si="233"/>
        <v>2022</v>
      </c>
      <c r="Z2419" s="256" t="s">
        <v>2238</v>
      </c>
      <c r="AA2419" s="253" t="str">
        <f>IF(Tabla1[[#This Row],[Kerma en aire acumulada (Gy)]]&gt;1,SUMIF(G:G,Tabla1[[#This Row],[SIP]],I:I)-Tabla1[[#This Row],[Kerma en aire acumulada (Gy)]],"")</f>
        <v/>
      </c>
    </row>
    <row r="2420" spans="3:27">
      <c r="C2420" s="152" t="str">
        <f t="shared" ref="C2420:C2437" si="234">IF(OR(H2420="",T2420=""),"",IF((H2420-T2420)/12/30&lt;18,"Pediátrico","Adulto"))</f>
        <v>Adulto</v>
      </c>
      <c r="D2420" s="273" t="s">
        <v>3496</v>
      </c>
      <c r="E2420" s="273" t="s">
        <v>677</v>
      </c>
      <c r="F2420" s="273" t="s">
        <v>3497</v>
      </c>
      <c r="G2420" s="273">
        <v>3369396</v>
      </c>
      <c r="H2420" s="274">
        <v>44771</v>
      </c>
      <c r="I2420" s="273">
        <v>1.42E-3</v>
      </c>
      <c r="J2420" s="273"/>
      <c r="K2420" s="273"/>
      <c r="L2420" s="273"/>
      <c r="M2420" s="273"/>
      <c r="N2420" s="273"/>
      <c r="O2420" s="273"/>
      <c r="P2420" s="273"/>
      <c r="Q2420" s="273"/>
      <c r="R2420" s="273"/>
      <c r="S2420" s="273"/>
      <c r="T2420" s="274">
        <v>21043</v>
      </c>
      <c r="U2420" s="273"/>
      <c r="V2420" s="273" t="s">
        <v>3468</v>
      </c>
      <c r="W2420" s="158" t="str">
        <f t="shared" ref="W2420:W2437" si="235">CONCATENATE(D2420,$A$591,E2420,",",F2420)</f>
        <v>Gandia Aliaga,Herminia Amparo</v>
      </c>
      <c r="X2420" s="154">
        <f t="shared" ref="X2420:X2437" si="236">MONTH(H2418)</f>
        <v>7</v>
      </c>
      <c r="Y2420" s="154">
        <f t="shared" ref="Y2420:Y2437" si="237">YEAR(H2418)</f>
        <v>2022</v>
      </c>
      <c r="Z2420" s="275" t="s">
        <v>265</v>
      </c>
      <c r="AA2420" s="253" t="str">
        <f>IF(Tabla1[[#This Row],[Kerma en aire acumulada (Gy)]]&gt;1,SUMIF(G:G,Tabla1[[#This Row],[SIP]],I:I)-Tabla1[[#This Row],[Kerma en aire acumulada (Gy)]],"")</f>
        <v/>
      </c>
    </row>
    <row r="2421" spans="3:27">
      <c r="C2421" s="144" t="str">
        <f t="shared" si="234"/>
        <v>Adulto</v>
      </c>
      <c r="D2421" s="145" t="s">
        <v>3498</v>
      </c>
      <c r="E2421" s="145" t="s">
        <v>2124</v>
      </c>
      <c r="F2421" s="145" t="s">
        <v>1621</v>
      </c>
      <c r="G2421" s="145">
        <v>2425149</v>
      </c>
      <c r="H2421" s="146">
        <v>44771</v>
      </c>
      <c r="I2421" s="145">
        <v>7.4389999999999998E-2</v>
      </c>
      <c r="J2421" s="273"/>
      <c r="K2421" s="273"/>
      <c r="L2421" s="273"/>
      <c r="M2421" s="273"/>
      <c r="N2421" s="273"/>
      <c r="O2421" s="273"/>
      <c r="P2421" s="273"/>
      <c r="Q2421" s="273"/>
      <c r="R2421" s="273"/>
      <c r="S2421" s="273"/>
      <c r="T2421" s="146">
        <v>26080</v>
      </c>
      <c r="U2421" s="273"/>
      <c r="V2421" s="145" t="s">
        <v>3499</v>
      </c>
      <c r="W2421" s="158" t="str">
        <f t="shared" si="235"/>
        <v>Amoros Serena,Ramon</v>
      </c>
      <c r="X2421" s="154">
        <f t="shared" si="236"/>
        <v>7</v>
      </c>
      <c r="Y2421" s="154">
        <f t="shared" si="237"/>
        <v>2022</v>
      </c>
      <c r="Z2421" s="153" t="s">
        <v>265</v>
      </c>
      <c r="AA2421" s="263" t="str">
        <f>IF(Tabla1[[#This Row],[Kerma en aire acumulada (Gy)]]&gt;1,SUMIF(G:G,Tabla1[[#This Row],[SIP]],I:I)-Tabla1[[#This Row],[Kerma en aire acumulada (Gy)]],"")</f>
        <v/>
      </c>
    </row>
    <row r="2422" spans="3:27">
      <c r="C2422" s="144" t="str">
        <f t="shared" si="234"/>
        <v>Adulto</v>
      </c>
      <c r="D2422" s="145" t="s">
        <v>948</v>
      </c>
      <c r="E2422" s="145" t="s">
        <v>534</v>
      </c>
      <c r="F2422" s="145" t="s">
        <v>3500</v>
      </c>
      <c r="G2422" s="145">
        <v>3299604</v>
      </c>
      <c r="H2422" s="146">
        <v>44771</v>
      </c>
      <c r="I2422" s="145">
        <v>9.7999999999999997E-4</v>
      </c>
      <c r="J2422" s="273"/>
      <c r="K2422" s="273"/>
      <c r="L2422" s="273"/>
      <c r="M2422" s="273"/>
      <c r="N2422" s="273"/>
      <c r="O2422" s="273"/>
      <c r="P2422" s="273"/>
      <c r="Q2422" s="273"/>
      <c r="R2422" s="273"/>
      <c r="S2422" s="273"/>
      <c r="T2422" s="146">
        <v>27370</v>
      </c>
      <c r="U2422" s="273"/>
      <c r="V2422" s="145" t="s">
        <v>1883</v>
      </c>
      <c r="W2422" s="158" t="str">
        <f t="shared" si="235"/>
        <v>Martinez Hurtado,Jacobo</v>
      </c>
      <c r="X2422" s="154">
        <f t="shared" si="236"/>
        <v>7</v>
      </c>
      <c r="Y2422" s="154">
        <f t="shared" si="237"/>
        <v>2022</v>
      </c>
      <c r="Z2422" s="153" t="s">
        <v>265</v>
      </c>
      <c r="AA2422" s="263" t="str">
        <f>IF(Tabla1[[#This Row],[Kerma en aire acumulada (Gy)]]&gt;1,SUMIF(G:G,Tabla1[[#This Row],[SIP]],I:I)-Tabla1[[#This Row],[Kerma en aire acumulada (Gy)]],"")</f>
        <v/>
      </c>
    </row>
    <row r="2423" spans="3:27">
      <c r="C2423" s="144" t="str">
        <f t="shared" si="234"/>
        <v>Adulto</v>
      </c>
      <c r="D2423" s="145" t="s">
        <v>1093</v>
      </c>
      <c r="E2423" s="145" t="s">
        <v>2384</v>
      </c>
      <c r="F2423" s="145" t="s">
        <v>88</v>
      </c>
      <c r="G2423" s="145">
        <v>1899186</v>
      </c>
      <c r="H2423" s="146">
        <v>44771</v>
      </c>
      <c r="I2423" s="145">
        <v>0.24073</v>
      </c>
      <c r="J2423" s="273"/>
      <c r="K2423" s="273"/>
      <c r="L2423" s="273"/>
      <c r="M2423" s="273"/>
      <c r="N2423" s="273"/>
      <c r="O2423" s="273"/>
      <c r="P2423" s="273"/>
      <c r="Q2423" s="273"/>
      <c r="R2423" s="273"/>
      <c r="S2423" s="273"/>
      <c r="T2423" s="146">
        <v>19560</v>
      </c>
      <c r="U2423" s="273"/>
      <c r="V2423" s="145" t="s">
        <v>2383</v>
      </c>
      <c r="W2423" s="158" t="str">
        <f t="shared" si="235"/>
        <v>Bañuls Bataller,Vicente</v>
      </c>
      <c r="X2423" s="154">
        <f t="shared" si="236"/>
        <v>7</v>
      </c>
      <c r="Y2423" s="154">
        <f t="shared" si="237"/>
        <v>2022</v>
      </c>
      <c r="Z2423" s="153" t="s">
        <v>266</v>
      </c>
      <c r="AA2423" s="263" t="str">
        <f>IF(Tabla1[[#This Row],[Kerma en aire acumulada (Gy)]]&gt;1,SUMIF(G:G,Tabla1[[#This Row],[SIP]],I:I)-Tabla1[[#This Row],[Kerma en aire acumulada (Gy)]],"")</f>
        <v/>
      </c>
    </row>
    <row r="2424" spans="3:27">
      <c r="C2424" s="144" t="str">
        <f t="shared" si="234"/>
        <v>Adulto</v>
      </c>
      <c r="D2424" s="145" t="s">
        <v>751</v>
      </c>
      <c r="E2424" s="145" t="s">
        <v>948</v>
      </c>
      <c r="F2424" s="145" t="s">
        <v>2302</v>
      </c>
      <c r="G2424" s="145">
        <v>2277458</v>
      </c>
      <c r="H2424" s="146">
        <v>44771</v>
      </c>
      <c r="I2424" s="145">
        <v>0.33704000000000001</v>
      </c>
      <c r="J2424" s="273"/>
      <c r="K2424" s="273"/>
      <c r="L2424" s="273"/>
      <c r="M2424" s="273"/>
      <c r="N2424" s="273"/>
      <c r="O2424" s="273"/>
      <c r="P2424" s="273"/>
      <c r="Q2424" s="273"/>
      <c r="R2424" s="273"/>
      <c r="S2424" s="273"/>
      <c r="T2424" s="146">
        <v>19656</v>
      </c>
      <c r="U2424" s="273"/>
      <c r="V2424" s="145" t="s">
        <v>2383</v>
      </c>
      <c r="W2424" s="158" t="str">
        <f t="shared" si="235"/>
        <v>Zaragoza Martinez,Ismael</v>
      </c>
      <c r="X2424" s="154">
        <f t="shared" si="236"/>
        <v>7</v>
      </c>
      <c r="Y2424" s="154">
        <f t="shared" si="237"/>
        <v>2022</v>
      </c>
      <c r="Z2424" s="153" t="s">
        <v>266</v>
      </c>
      <c r="AA2424" s="263" t="str">
        <f>IF(Tabla1[[#This Row],[Kerma en aire acumulada (Gy)]]&gt;1,SUMIF(G:G,Tabla1[[#This Row],[SIP]],I:I)-Tabla1[[#This Row],[Kerma en aire acumulada (Gy)]],"")</f>
        <v/>
      </c>
    </row>
    <row r="2425" spans="3:27">
      <c r="C2425" s="144" t="str">
        <f t="shared" si="234"/>
        <v>Adulto</v>
      </c>
      <c r="D2425" s="145" t="s">
        <v>1262</v>
      </c>
      <c r="E2425" s="145" t="s">
        <v>1276</v>
      </c>
      <c r="F2425" s="145" t="s">
        <v>3501</v>
      </c>
      <c r="G2425" s="145">
        <v>4650815</v>
      </c>
      <c r="H2425" s="146">
        <v>44771</v>
      </c>
      <c r="I2425" s="145">
        <v>0.61109000000000002</v>
      </c>
      <c r="J2425" s="273"/>
      <c r="K2425" s="273"/>
      <c r="L2425" s="273"/>
      <c r="M2425" s="273"/>
      <c r="N2425" s="273"/>
      <c r="O2425" s="273"/>
      <c r="P2425" s="273"/>
      <c r="Q2425" s="273"/>
      <c r="R2425" s="273"/>
      <c r="S2425" s="273"/>
      <c r="T2425" s="146">
        <v>13994</v>
      </c>
      <c r="U2425" s="273"/>
      <c r="V2425" s="145" t="s">
        <v>2383</v>
      </c>
      <c r="W2425" s="158" t="str">
        <f t="shared" si="235"/>
        <v>Diaz Alvarez,Eladio</v>
      </c>
      <c r="X2425" s="154">
        <f t="shared" si="236"/>
        <v>7</v>
      </c>
      <c r="Y2425" s="154">
        <f t="shared" si="237"/>
        <v>2022</v>
      </c>
      <c r="Z2425" s="153" t="s">
        <v>266</v>
      </c>
      <c r="AA2425" s="263" t="str">
        <f>IF(Tabla1[[#This Row],[Kerma en aire acumulada (Gy)]]&gt;1,SUMIF(G:G,Tabla1[[#This Row],[SIP]],I:I)-Tabla1[[#This Row],[Kerma en aire acumulada (Gy)]],"")</f>
        <v/>
      </c>
    </row>
    <row r="2426" spans="3:27">
      <c r="C2426" s="144" t="str">
        <f t="shared" si="234"/>
        <v>Adulto</v>
      </c>
      <c r="D2426" s="145" t="s">
        <v>3502</v>
      </c>
      <c r="E2426" s="145" t="s">
        <v>2452</v>
      </c>
      <c r="F2426" s="145" t="s">
        <v>715</v>
      </c>
      <c r="G2426" s="145">
        <v>2809455</v>
      </c>
      <c r="H2426" s="146">
        <v>44771</v>
      </c>
      <c r="I2426" s="145">
        <v>8.2530000000000006E-2</v>
      </c>
      <c r="J2426" s="273"/>
      <c r="K2426" s="273"/>
      <c r="L2426" s="273"/>
      <c r="M2426" s="273"/>
      <c r="N2426" s="273"/>
      <c r="O2426" s="273"/>
      <c r="P2426" s="273"/>
      <c r="Q2426" s="273"/>
      <c r="R2426" s="273"/>
      <c r="S2426" s="273"/>
      <c r="T2426" s="146">
        <v>15410</v>
      </c>
      <c r="U2426" s="273"/>
      <c r="V2426" s="145" t="s">
        <v>2383</v>
      </c>
      <c r="W2426" s="158" t="str">
        <f t="shared" si="235"/>
        <v>Rel Ribes,Amparo</v>
      </c>
      <c r="X2426" s="154">
        <f t="shared" si="236"/>
        <v>7</v>
      </c>
      <c r="Y2426" s="154">
        <f t="shared" si="237"/>
        <v>2022</v>
      </c>
      <c r="Z2426" s="153" t="s">
        <v>266</v>
      </c>
      <c r="AA2426" s="263" t="str">
        <f>IF(Tabla1[[#This Row],[Kerma en aire acumulada (Gy)]]&gt;1,SUMIF(G:G,Tabla1[[#This Row],[SIP]],I:I)-Tabla1[[#This Row],[Kerma en aire acumulada (Gy)]],"")</f>
        <v/>
      </c>
    </row>
    <row r="2427" spans="3:27">
      <c r="C2427" s="144" t="str">
        <f t="shared" si="234"/>
        <v>Adulto</v>
      </c>
      <c r="D2427" s="145" t="s">
        <v>3503</v>
      </c>
      <c r="E2427" s="145"/>
      <c r="F2427" s="145" t="s">
        <v>3504</v>
      </c>
      <c r="G2427" s="145">
        <v>7697330</v>
      </c>
      <c r="H2427" s="146">
        <v>44771</v>
      </c>
      <c r="I2427" s="145">
        <v>7.8710000000000002E-2</v>
      </c>
      <c r="J2427" s="273"/>
      <c r="K2427" s="273"/>
      <c r="L2427" s="273"/>
      <c r="M2427" s="273"/>
      <c r="N2427" s="273"/>
      <c r="O2427" s="273"/>
      <c r="P2427" s="273"/>
      <c r="Q2427" s="273"/>
      <c r="R2427" s="273"/>
      <c r="S2427" s="273"/>
      <c r="T2427" s="146">
        <v>23056</v>
      </c>
      <c r="U2427" s="273"/>
      <c r="V2427" s="145" t="s">
        <v>2383</v>
      </c>
      <c r="W2427" s="158" t="str">
        <f t="shared" si="235"/>
        <v>Malnati ,Herve</v>
      </c>
      <c r="X2427" s="154">
        <f t="shared" si="236"/>
        <v>7</v>
      </c>
      <c r="Y2427" s="154">
        <f t="shared" si="237"/>
        <v>2022</v>
      </c>
      <c r="Z2427" s="153" t="s">
        <v>266</v>
      </c>
      <c r="AA2427" s="263" t="str">
        <f>IF(Tabla1[[#This Row],[Kerma en aire acumulada (Gy)]]&gt;1,SUMIF(G:G,Tabla1[[#This Row],[SIP]],I:I)-Tabla1[[#This Row],[Kerma en aire acumulada (Gy)]],"")</f>
        <v/>
      </c>
    </row>
    <row r="2428" spans="3:27">
      <c r="C2428" s="144" t="str">
        <f t="shared" si="234"/>
        <v>Adulto</v>
      </c>
      <c r="D2428" s="145" t="s">
        <v>3505</v>
      </c>
      <c r="E2428" s="145" t="s">
        <v>3506</v>
      </c>
      <c r="F2428" s="145" t="s">
        <v>1889</v>
      </c>
      <c r="G2428" s="145">
        <v>3198793</v>
      </c>
      <c r="H2428" s="146">
        <v>44771</v>
      </c>
      <c r="I2428" s="145">
        <v>0.20330999999999999</v>
      </c>
      <c r="J2428" s="273"/>
      <c r="K2428" s="273"/>
      <c r="L2428" s="273"/>
      <c r="M2428" s="273"/>
      <c r="N2428" s="273"/>
      <c r="O2428" s="273"/>
      <c r="P2428" s="273"/>
      <c r="Q2428" s="273"/>
      <c r="R2428" s="273"/>
      <c r="S2428" s="273"/>
      <c r="T2428" s="146">
        <v>20276</v>
      </c>
      <c r="U2428" s="273"/>
      <c r="V2428" s="145" t="s">
        <v>2383</v>
      </c>
      <c r="W2428" s="158" t="str">
        <f t="shared" si="235"/>
        <v>Gomez Cambronero Carranza,Miguel Angel</v>
      </c>
      <c r="X2428" s="154">
        <f t="shared" si="236"/>
        <v>7</v>
      </c>
      <c r="Y2428" s="154">
        <f t="shared" si="237"/>
        <v>2022</v>
      </c>
      <c r="Z2428" s="153" t="s">
        <v>266</v>
      </c>
      <c r="AA2428" s="263" t="str">
        <f>IF(Tabla1[[#This Row],[Kerma en aire acumulada (Gy)]]&gt;1,SUMIF(G:G,Tabla1[[#This Row],[SIP]],I:I)-Tabla1[[#This Row],[Kerma en aire acumulada (Gy)]],"")</f>
        <v/>
      </c>
    </row>
    <row r="2429" spans="3:27">
      <c r="C2429" s="246" t="str">
        <f t="shared" si="234"/>
        <v>Adulto</v>
      </c>
      <c r="D2429" s="254" t="s">
        <v>3507</v>
      </c>
      <c r="E2429" s="254"/>
      <c r="F2429" s="254" t="s">
        <v>3508</v>
      </c>
      <c r="G2429" s="254">
        <v>12839811</v>
      </c>
      <c r="H2429" s="255">
        <v>44771</v>
      </c>
      <c r="I2429" s="254">
        <v>1.055E-2</v>
      </c>
      <c r="J2429" s="277"/>
      <c r="K2429" s="277"/>
      <c r="L2429" s="277"/>
      <c r="M2429" s="277"/>
      <c r="N2429" s="277"/>
      <c r="O2429" s="277"/>
      <c r="P2429" s="277"/>
      <c r="Q2429" s="277"/>
      <c r="R2429" s="277"/>
      <c r="S2429" s="277"/>
      <c r="T2429" s="255">
        <v>12486</v>
      </c>
      <c r="U2429" s="277"/>
      <c r="V2429" s="254" t="s">
        <v>2962</v>
      </c>
      <c r="W2429" s="271" t="str">
        <f t="shared" si="235"/>
        <v>Todorova ,Mariyka</v>
      </c>
      <c r="X2429" s="272">
        <f t="shared" si="236"/>
        <v>7</v>
      </c>
      <c r="Y2429" s="272">
        <f t="shared" si="237"/>
        <v>2022</v>
      </c>
      <c r="Z2429" s="256" t="s">
        <v>2238</v>
      </c>
      <c r="AA2429" s="263" t="str">
        <f>IF(Tabla1[[#This Row],[Kerma en aire acumulada (Gy)]]&gt;1,SUMIF(G:G,Tabla1[[#This Row],[SIP]],I:I)-Tabla1[[#This Row],[Kerma en aire acumulada (Gy)]],"")</f>
        <v/>
      </c>
    </row>
    <row r="2430" spans="3:27">
      <c r="C2430" s="152" t="str">
        <f t="shared" si="234"/>
        <v>Adulto</v>
      </c>
      <c r="D2430" s="273" t="s">
        <v>77</v>
      </c>
      <c r="E2430" s="273" t="s">
        <v>1759</v>
      </c>
      <c r="F2430" s="273" t="s">
        <v>3509</v>
      </c>
      <c r="G2430" s="273">
        <v>2604066</v>
      </c>
      <c r="H2430" s="274">
        <v>44772</v>
      </c>
      <c r="I2430" s="273">
        <v>0.40418999999999999</v>
      </c>
      <c r="J2430" s="273"/>
      <c r="K2430" s="273"/>
      <c r="L2430" s="273"/>
      <c r="M2430" s="273"/>
      <c r="N2430" s="273"/>
      <c r="O2430" s="273"/>
      <c r="P2430" s="273"/>
      <c r="Q2430" s="273"/>
      <c r="R2430" s="273"/>
      <c r="S2430" s="273"/>
      <c r="T2430" s="274">
        <v>24845</v>
      </c>
      <c r="U2430" s="273"/>
      <c r="V2430" s="273" t="s">
        <v>2383</v>
      </c>
      <c r="W2430" s="158" t="str">
        <f t="shared" si="235"/>
        <v>Torres Martin,Juan Manuel</v>
      </c>
      <c r="X2430" s="154">
        <f t="shared" si="236"/>
        <v>7</v>
      </c>
      <c r="Y2430" s="154">
        <f t="shared" si="237"/>
        <v>2022</v>
      </c>
      <c r="Z2430" s="275" t="s">
        <v>266</v>
      </c>
      <c r="AA2430" s="263" t="str">
        <f>IF(Tabla1[[#This Row],[Kerma en aire acumulada (Gy)]]&gt;1,SUMIF(G:G,Tabla1[[#This Row],[SIP]],I:I)-Tabla1[[#This Row],[Kerma en aire acumulada (Gy)]],"")</f>
        <v/>
      </c>
    </row>
    <row r="2431" spans="3:27">
      <c r="C2431" s="246" t="str">
        <f t="shared" si="234"/>
        <v>Adulto</v>
      </c>
      <c r="D2431" s="254" t="s">
        <v>962</v>
      </c>
      <c r="E2431" s="254" t="s">
        <v>3510</v>
      </c>
      <c r="F2431" s="254" t="s">
        <v>28</v>
      </c>
      <c r="G2431" s="254">
        <v>3366933</v>
      </c>
      <c r="H2431" s="255">
        <v>44772</v>
      </c>
      <c r="I2431" s="254">
        <v>0.49329000000000001</v>
      </c>
      <c r="J2431" s="277"/>
      <c r="K2431" s="277"/>
      <c r="L2431" s="277"/>
      <c r="M2431" s="277"/>
      <c r="N2431" s="277"/>
      <c r="O2431" s="277"/>
      <c r="P2431" s="277"/>
      <c r="Q2431" s="277"/>
      <c r="R2431" s="277"/>
      <c r="S2431" s="277"/>
      <c r="T2431" s="255">
        <v>19149</v>
      </c>
      <c r="U2431" s="277"/>
      <c r="V2431" s="254" t="s">
        <v>2383</v>
      </c>
      <c r="W2431" s="271" t="str">
        <f t="shared" si="235"/>
        <v>Garcia Avivar,Josefa</v>
      </c>
      <c r="X2431" s="272">
        <f t="shared" si="236"/>
        <v>7</v>
      </c>
      <c r="Y2431" s="272">
        <f t="shared" si="237"/>
        <v>2022</v>
      </c>
      <c r="Z2431" s="256" t="s">
        <v>266</v>
      </c>
      <c r="AA2431" s="263" t="str">
        <f>IF(Tabla1[[#This Row],[Kerma en aire acumulada (Gy)]]&gt;1,SUMIF(G:G,Tabla1[[#This Row],[SIP]],I:I)-Tabla1[[#This Row],[Kerma en aire acumulada (Gy)]],"")</f>
        <v/>
      </c>
    </row>
    <row r="2432" spans="3:27">
      <c r="C2432" s="152" t="str">
        <f t="shared" si="234"/>
        <v>Adulto</v>
      </c>
      <c r="D2432" s="273" t="s">
        <v>2164</v>
      </c>
      <c r="E2432" s="273" t="s">
        <v>308</v>
      </c>
      <c r="F2432" s="273" t="s">
        <v>68</v>
      </c>
      <c r="G2432" s="273">
        <v>3595373</v>
      </c>
      <c r="H2432" s="274">
        <v>44773</v>
      </c>
      <c r="I2432" s="273">
        <v>0.59804000000000002</v>
      </c>
      <c r="J2432" s="273"/>
      <c r="K2432" s="273"/>
      <c r="L2432" s="273"/>
      <c r="M2432" s="273"/>
      <c r="N2432" s="273"/>
      <c r="O2432" s="273"/>
      <c r="P2432" s="273"/>
      <c r="Q2432" s="273"/>
      <c r="R2432" s="273"/>
      <c r="S2432" s="273"/>
      <c r="T2432" s="274">
        <v>11877</v>
      </c>
      <c r="U2432" s="273"/>
      <c r="V2432" s="273" t="s">
        <v>3511</v>
      </c>
      <c r="W2432" s="158" t="str">
        <f t="shared" si="235"/>
        <v>Arago Montañana,Juan</v>
      </c>
      <c r="X2432" s="154">
        <f t="shared" si="236"/>
        <v>7</v>
      </c>
      <c r="Y2432" s="154">
        <f t="shared" si="237"/>
        <v>2022</v>
      </c>
      <c r="Z2432" s="275" t="s">
        <v>265</v>
      </c>
      <c r="AA2432" s="263" t="str">
        <f>IF(Tabla1[[#This Row],[Kerma en aire acumulada (Gy)]]&gt;1,SUMIF(G:G,Tabla1[[#This Row],[SIP]],I:I)-Tabla1[[#This Row],[Kerma en aire acumulada (Gy)]],"")</f>
        <v/>
      </c>
    </row>
    <row r="2433" spans="3:27">
      <c r="C2433" s="144" t="str">
        <f t="shared" si="234"/>
        <v>Adulto</v>
      </c>
      <c r="D2433" s="145" t="s">
        <v>82</v>
      </c>
      <c r="E2433" s="145" t="s">
        <v>937</v>
      </c>
      <c r="F2433" s="145" t="s">
        <v>131</v>
      </c>
      <c r="G2433" s="145">
        <v>196789</v>
      </c>
      <c r="H2433" s="146">
        <v>44773</v>
      </c>
      <c r="I2433" s="145">
        <v>1.34588</v>
      </c>
      <c r="J2433" s="273"/>
      <c r="K2433" s="273"/>
      <c r="L2433" s="273"/>
      <c r="M2433" s="273"/>
      <c r="N2433" s="273"/>
      <c r="O2433" s="273"/>
      <c r="P2433" s="273"/>
      <c r="Q2433" s="273"/>
      <c r="R2433" s="273"/>
      <c r="S2433" s="273"/>
      <c r="T2433" s="146">
        <v>16809</v>
      </c>
      <c r="U2433" s="273"/>
      <c r="V2433" s="145" t="s">
        <v>2383</v>
      </c>
      <c r="W2433" s="158" t="str">
        <f t="shared" si="235"/>
        <v>Pascual Sales,Salvador</v>
      </c>
      <c r="X2433" s="154">
        <f t="shared" si="236"/>
        <v>7</v>
      </c>
      <c r="Y2433" s="154">
        <f t="shared" si="237"/>
        <v>2022</v>
      </c>
      <c r="Z2433" s="153" t="s">
        <v>266</v>
      </c>
      <c r="AA2433" s="263">
        <f>IF(Tabla1[[#This Row],[Kerma en aire acumulada (Gy)]]&gt;1,SUMIF(G:G,Tabla1[[#This Row],[SIP]],I:I)-Tabla1[[#This Row],[Kerma en aire acumulada (Gy)]],"")</f>
        <v>0</v>
      </c>
    </row>
    <row r="2434" spans="3:27">
      <c r="C2434" s="144" t="str">
        <f t="shared" si="234"/>
        <v>Adulto</v>
      </c>
      <c r="D2434" s="145" t="s">
        <v>3512</v>
      </c>
      <c r="E2434" s="145" t="s">
        <v>3513</v>
      </c>
      <c r="F2434" s="145" t="s">
        <v>3514</v>
      </c>
      <c r="G2434" s="145">
        <v>11452962</v>
      </c>
      <c r="H2434" s="146">
        <v>44773</v>
      </c>
      <c r="I2434" s="145">
        <v>0.53512000000000004</v>
      </c>
      <c r="J2434" s="273"/>
      <c r="K2434" s="273"/>
      <c r="L2434" s="273"/>
      <c r="M2434" s="273"/>
      <c r="N2434" s="273"/>
      <c r="O2434" s="273"/>
      <c r="P2434" s="273"/>
      <c r="Q2434" s="273"/>
      <c r="R2434" s="273"/>
      <c r="S2434" s="273"/>
      <c r="T2434" s="146">
        <v>17441</v>
      </c>
      <c r="U2434" s="273"/>
      <c r="V2434" s="145" t="s">
        <v>2383</v>
      </c>
      <c r="W2434" s="158" t="str">
        <f t="shared" si="235"/>
        <v>Mohamad Ibrahim,Mahgool</v>
      </c>
      <c r="X2434" s="154">
        <f t="shared" si="236"/>
        <v>7</v>
      </c>
      <c r="Y2434" s="154">
        <f t="shared" si="237"/>
        <v>2022</v>
      </c>
      <c r="Z2434" s="153" t="s">
        <v>266</v>
      </c>
      <c r="AA2434" s="263" t="str">
        <f>IF(Tabla1[[#This Row],[Kerma en aire acumulada (Gy)]]&gt;1,SUMIF(G:G,Tabla1[[#This Row],[SIP]],I:I)-Tabla1[[#This Row],[Kerma en aire acumulada (Gy)]],"")</f>
        <v/>
      </c>
    </row>
    <row r="2435" spans="3:27">
      <c r="C2435" s="144" t="str">
        <f>IF(OR(H2435="",T2435=""),"",IF((H2435-T2435)/12/30&lt;18,"Pediátrico","Adulto"))</f>
        <v>Adulto</v>
      </c>
      <c r="D2435" s="145" t="s">
        <v>962</v>
      </c>
      <c r="E2435" s="145" t="s">
        <v>321</v>
      </c>
      <c r="F2435" s="145" t="s">
        <v>3515</v>
      </c>
      <c r="G2435" s="145">
        <v>5317047</v>
      </c>
      <c r="H2435" s="146">
        <v>44773</v>
      </c>
      <c r="I2435" s="145">
        <v>0.78556000000000004</v>
      </c>
      <c r="J2435" s="273"/>
      <c r="K2435" s="273"/>
      <c r="L2435" s="273"/>
      <c r="M2435" s="273"/>
      <c r="N2435" s="273"/>
      <c r="O2435" s="273"/>
      <c r="P2435" s="273"/>
      <c r="Q2435" s="273"/>
      <c r="R2435" s="273"/>
      <c r="S2435" s="273"/>
      <c r="T2435" s="146">
        <v>24524</v>
      </c>
      <c r="U2435" s="273"/>
      <c r="V2435" s="145" t="s">
        <v>2383</v>
      </c>
      <c r="W2435" s="158" t="str">
        <f t="shared" si="235"/>
        <v>Garcia Esteban,Oscar Javier</v>
      </c>
      <c r="X2435" s="154">
        <f t="shared" si="236"/>
        <v>7</v>
      </c>
      <c r="Y2435" s="154">
        <f t="shared" si="237"/>
        <v>2022</v>
      </c>
      <c r="Z2435" s="153" t="s">
        <v>266</v>
      </c>
      <c r="AA2435" s="263" t="str">
        <f>IF(Tabla1[[#This Row],[Kerma en aire acumulada (Gy)]]&gt;1,SUMIF(G:G,Tabla1[[#This Row],[SIP]],I:I)-Tabla1[[#This Row],[Kerma en aire acumulada (Gy)]],"")</f>
        <v/>
      </c>
    </row>
    <row r="2436" spans="3:27">
      <c r="C2436" s="246" t="str">
        <f t="shared" si="234"/>
        <v>Adulto</v>
      </c>
      <c r="D2436" s="254" t="s">
        <v>3516</v>
      </c>
      <c r="E2436" s="254" t="s">
        <v>116</v>
      </c>
      <c r="F2436" s="254" t="s">
        <v>2183</v>
      </c>
      <c r="G2436" s="254">
        <v>2870228</v>
      </c>
      <c r="H2436" s="255">
        <v>44773</v>
      </c>
      <c r="I2436" s="145">
        <v>0.29465999999999998</v>
      </c>
      <c r="J2436" s="277"/>
      <c r="K2436" s="277"/>
      <c r="L2436" s="277"/>
      <c r="M2436" s="277"/>
      <c r="N2436" s="277"/>
      <c r="O2436" s="277"/>
      <c r="P2436" s="277"/>
      <c r="Q2436" s="277"/>
      <c r="R2436" s="277"/>
      <c r="S2436" s="277"/>
      <c r="T2436" s="255">
        <v>19663</v>
      </c>
      <c r="U2436" s="277"/>
      <c r="V2436" s="254" t="s">
        <v>2383</v>
      </c>
      <c r="W2436" s="271" t="str">
        <f t="shared" si="235"/>
        <v>Poveda Serrano,Agustin</v>
      </c>
      <c r="X2436" s="272">
        <f t="shared" si="236"/>
        <v>7</v>
      </c>
      <c r="Y2436" s="272">
        <f t="shared" si="237"/>
        <v>2022</v>
      </c>
      <c r="Z2436" s="256" t="s">
        <v>266</v>
      </c>
      <c r="AA2436" s="263" t="str">
        <f>IF(Tabla1[[#This Row],[Kerma en aire acumulada (Gy)]]&gt;1,SUMIF(G:G,Tabla1[[#This Row],[SIP]],I:I)-Tabla1[[#This Row],[Kerma en aire acumulada (Gy)]],"")</f>
        <v/>
      </c>
    </row>
    <row r="2437" spans="3:27">
      <c r="C2437" s="152" t="str">
        <f t="shared" si="234"/>
        <v/>
      </c>
      <c r="D2437" s="273"/>
      <c r="E2437" s="273"/>
      <c r="F2437" s="273"/>
      <c r="G2437" s="273"/>
      <c r="H2437" s="274"/>
      <c r="I2437" s="145"/>
      <c r="J2437" s="273"/>
      <c r="K2437" s="273"/>
      <c r="L2437" s="273"/>
      <c r="M2437" s="273"/>
      <c r="N2437" s="273"/>
      <c r="O2437" s="273"/>
      <c r="P2437" s="273"/>
      <c r="Q2437" s="273"/>
      <c r="R2437" s="273"/>
      <c r="S2437" s="273"/>
      <c r="T2437" s="274"/>
      <c r="U2437" s="273"/>
      <c r="V2437" s="273"/>
      <c r="W2437" s="158" t="str">
        <f t="shared" si="235"/>
        <v xml:space="preserve"> ,</v>
      </c>
      <c r="X2437" s="154">
        <f t="shared" si="236"/>
        <v>7</v>
      </c>
      <c r="Y2437" s="154">
        <f t="shared" si="237"/>
        <v>2022</v>
      </c>
      <c r="Z2437" s="275"/>
      <c r="AA2437" s="263" t="str">
        <f>IF(Tabla1[[#This Row],[Kerma en aire acumulada (Gy)]]&gt;1,SUMIF(G:G,Tabla1[[#This Row],[SIP]],I:I)-Tabla1[[#This Row],[Kerma en aire acumulada (Gy)]],"")</f>
        <v/>
      </c>
    </row>
    <row r="2438" spans="3:27">
      <c r="C2438" s="144"/>
      <c r="D2438" s="145"/>
      <c r="E2438" s="145"/>
      <c r="F2438" s="145"/>
      <c r="G2438" s="145"/>
      <c r="H2438" s="274"/>
      <c r="I2438" s="145"/>
      <c r="J2438" s="273"/>
      <c r="K2438" s="273"/>
      <c r="L2438" s="273"/>
      <c r="M2438" s="273"/>
      <c r="N2438" s="273"/>
      <c r="O2438" s="273"/>
      <c r="P2438" s="273"/>
      <c r="Q2438" s="273"/>
      <c r="R2438" s="273"/>
      <c r="S2438" s="273"/>
      <c r="T2438" s="146"/>
      <c r="U2438" s="273"/>
      <c r="V2438" s="145"/>
      <c r="W2438" s="158"/>
      <c r="X2438" s="154"/>
      <c r="Y2438" s="154"/>
      <c r="Z2438" s="153"/>
    </row>
    <row r="2439" spans="3:27">
      <c r="C2439" s="144"/>
      <c r="D2439" s="145"/>
      <c r="E2439" s="145"/>
      <c r="F2439" s="145"/>
      <c r="G2439" s="145"/>
      <c r="H2439" s="146"/>
      <c r="I2439" s="145"/>
      <c r="J2439" s="273"/>
      <c r="K2439" s="273"/>
      <c r="L2439" s="273"/>
      <c r="M2439" s="273"/>
      <c r="N2439" s="273"/>
      <c r="O2439" s="273"/>
      <c r="P2439" s="273"/>
      <c r="Q2439" s="273"/>
      <c r="R2439" s="273"/>
      <c r="S2439" s="273"/>
      <c r="T2439" s="146"/>
      <c r="U2439" s="273"/>
      <c r="V2439" s="145"/>
      <c r="W2439" s="158"/>
      <c r="X2439" s="154"/>
      <c r="Y2439" s="154"/>
      <c r="Z2439" s="153"/>
    </row>
    <row r="2440" spans="3:27">
      <c r="C2440" s="89"/>
      <c r="D2440" s="90"/>
      <c r="E2440" s="90"/>
      <c r="F2440" s="90"/>
      <c r="G2440" s="90"/>
      <c r="H2440" s="90"/>
      <c r="I2440" s="145"/>
      <c r="T2440" s="90"/>
      <c r="V2440" s="90"/>
      <c r="W2440" s="90"/>
      <c r="X2440" s="90"/>
      <c r="Y2440" s="90"/>
      <c r="Z2440" s="93"/>
    </row>
    <row r="2441" spans="3:27">
      <c r="C2441" s="89"/>
      <c r="D2441" s="90"/>
      <c r="E2441" s="90"/>
      <c r="F2441" s="90"/>
      <c r="G2441" s="90"/>
      <c r="H2441" s="90"/>
      <c r="I2441" s="145"/>
      <c r="T2441" s="90"/>
      <c r="V2441" s="90"/>
      <c r="W2441" s="90"/>
      <c r="X2441" s="90"/>
      <c r="Y2441" s="90"/>
      <c r="Z2441" s="93"/>
    </row>
    <row r="2442" spans="3:27">
      <c r="C2442" s="89"/>
      <c r="D2442" s="90"/>
      <c r="E2442" s="90"/>
      <c r="F2442" s="90"/>
      <c r="G2442" s="90"/>
      <c r="H2442" s="90"/>
      <c r="I2442" s="145"/>
      <c r="T2442" s="90"/>
      <c r="V2442" s="90"/>
      <c r="W2442" s="90"/>
      <c r="X2442" s="90"/>
      <c r="Y2442" s="90"/>
      <c r="Z2442" s="93"/>
    </row>
    <row r="2443" spans="3:27">
      <c r="C2443" s="89"/>
      <c r="D2443" s="90"/>
      <c r="E2443" s="90"/>
      <c r="F2443" s="90"/>
      <c r="G2443" s="90"/>
      <c r="H2443" s="90"/>
      <c r="I2443" s="145"/>
      <c r="T2443" s="90"/>
      <c r="V2443" s="90"/>
      <c r="W2443" s="90"/>
      <c r="X2443" s="90"/>
      <c r="Y2443" s="90"/>
      <c r="Z2443" s="93"/>
    </row>
    <row r="2444" spans="3:27">
      <c r="C2444" s="89"/>
      <c r="D2444" s="90"/>
      <c r="E2444" s="90"/>
      <c r="F2444" s="90"/>
      <c r="G2444" s="90"/>
      <c r="H2444" s="90"/>
      <c r="I2444" s="145"/>
      <c r="T2444" s="90"/>
      <c r="V2444" s="90"/>
      <c r="W2444" s="90"/>
      <c r="X2444" s="90"/>
      <c r="Y2444" s="90"/>
      <c r="Z2444" s="93"/>
    </row>
    <row r="2445" spans="3:27">
      <c r="C2445" s="89"/>
      <c r="D2445" s="90"/>
      <c r="E2445" s="90"/>
      <c r="F2445" s="90"/>
      <c r="G2445" s="90"/>
      <c r="H2445" s="90"/>
      <c r="I2445" s="145"/>
      <c r="T2445" s="90"/>
      <c r="V2445" s="90"/>
      <c r="W2445" s="90"/>
      <c r="X2445" s="90"/>
      <c r="Y2445" s="90"/>
      <c r="Z2445" s="93"/>
    </row>
    <row r="2446" spans="3:27">
      <c r="C2446" s="89"/>
      <c r="D2446" s="90"/>
      <c r="E2446" s="90"/>
      <c r="F2446" s="90"/>
      <c r="G2446" s="90"/>
      <c r="H2446" s="90"/>
      <c r="I2446" s="145"/>
      <c r="T2446" s="90"/>
      <c r="V2446" s="90"/>
      <c r="W2446" s="90"/>
      <c r="X2446" s="90"/>
      <c r="Y2446" s="90"/>
      <c r="Z2446" s="93"/>
    </row>
    <row r="2447" spans="3:27">
      <c r="C2447" s="89"/>
      <c r="D2447" s="90"/>
      <c r="E2447" s="90"/>
      <c r="F2447" s="90"/>
      <c r="G2447" s="90"/>
      <c r="H2447" s="90"/>
      <c r="I2447" s="145"/>
      <c r="T2447" s="90"/>
      <c r="V2447" s="90"/>
      <c r="W2447" s="90"/>
      <c r="X2447" s="90"/>
      <c r="Y2447" s="90"/>
      <c r="Z2447" s="93"/>
    </row>
    <row r="2448" spans="3:27">
      <c r="C2448" s="89"/>
      <c r="D2448" s="90"/>
      <c r="E2448" s="90"/>
      <c r="F2448" s="90"/>
      <c r="G2448" s="90"/>
      <c r="H2448" s="90"/>
      <c r="I2448" s="90"/>
      <c r="T2448" s="90"/>
      <c r="V2448" s="90"/>
      <c r="W2448" s="90"/>
      <c r="X2448" s="90"/>
      <c r="Y2448" s="90"/>
      <c r="Z2448" s="93"/>
    </row>
    <row r="2449" spans="3:26">
      <c r="C2449" s="89"/>
      <c r="D2449" s="90"/>
      <c r="E2449" s="90"/>
      <c r="F2449" s="90"/>
      <c r="G2449" s="90"/>
      <c r="H2449" s="90"/>
      <c r="I2449" s="90"/>
      <c r="T2449" s="90"/>
      <c r="V2449" s="90"/>
      <c r="W2449" s="90"/>
      <c r="X2449" s="90"/>
      <c r="Y2449" s="90"/>
      <c r="Z2449" s="93"/>
    </row>
    <row r="2450" spans="3:26">
      <c r="C2450" s="89"/>
      <c r="D2450" s="90"/>
      <c r="E2450" s="90"/>
      <c r="F2450" s="90"/>
      <c r="G2450" s="90"/>
      <c r="H2450" s="90"/>
      <c r="I2450" s="90"/>
      <c r="T2450" s="90"/>
      <c r="V2450" s="90"/>
      <c r="W2450" s="90"/>
      <c r="X2450" s="90"/>
      <c r="Y2450" s="90"/>
      <c r="Z2450" s="93"/>
    </row>
    <row r="2451" spans="3:26">
      <c r="C2451" s="89"/>
      <c r="D2451" s="90"/>
      <c r="E2451" s="90"/>
      <c r="F2451" s="90"/>
      <c r="G2451" s="90"/>
      <c r="H2451" s="90"/>
      <c r="I2451" s="90"/>
      <c r="T2451" s="90"/>
      <c r="V2451" s="90"/>
      <c r="W2451" s="90"/>
      <c r="X2451" s="90"/>
      <c r="Y2451" s="90"/>
      <c r="Z2451" s="93"/>
    </row>
    <row r="2452" spans="3:26">
      <c r="C2452" s="89"/>
      <c r="D2452" s="90"/>
      <c r="E2452" s="90"/>
      <c r="F2452" s="90"/>
      <c r="G2452" s="90"/>
      <c r="H2452" s="90"/>
      <c r="I2452" s="90"/>
      <c r="T2452" s="90"/>
      <c r="V2452" s="90"/>
      <c r="W2452" s="90"/>
      <c r="X2452" s="90"/>
      <c r="Y2452" s="90"/>
      <c r="Z2452" s="93"/>
    </row>
    <row r="2453" spans="3:26">
      <c r="C2453" s="89"/>
      <c r="D2453" s="90"/>
      <c r="E2453" s="90"/>
      <c r="F2453" s="90"/>
      <c r="G2453" s="90"/>
      <c r="H2453" s="90"/>
      <c r="I2453" s="90"/>
      <c r="T2453" s="90"/>
      <c r="V2453" s="90"/>
      <c r="W2453" s="90"/>
      <c r="X2453" s="90"/>
      <c r="Y2453" s="90"/>
      <c r="Z2453" s="93"/>
    </row>
    <row r="2454" spans="3:26">
      <c r="C2454" s="89"/>
      <c r="D2454" s="90"/>
      <c r="E2454" s="90"/>
      <c r="F2454" s="90"/>
      <c r="G2454" s="90"/>
      <c r="H2454" s="90"/>
      <c r="I2454" s="90"/>
      <c r="T2454" s="90"/>
      <c r="V2454" s="90"/>
      <c r="W2454" s="90"/>
      <c r="X2454" s="90"/>
      <c r="Y2454" s="90"/>
      <c r="Z2454" s="93"/>
    </row>
    <row r="2455" spans="3:26">
      <c r="C2455" s="89"/>
      <c r="D2455" s="90"/>
      <c r="E2455" s="90"/>
      <c r="F2455" s="90"/>
      <c r="G2455" s="90"/>
      <c r="H2455" s="90"/>
      <c r="I2455" s="90"/>
      <c r="T2455" s="90"/>
      <c r="V2455" s="90"/>
      <c r="W2455" s="90"/>
      <c r="X2455" s="90"/>
      <c r="Y2455" s="90"/>
      <c r="Z2455" s="93"/>
    </row>
    <row r="2456" spans="3:26">
      <c r="C2456" s="89"/>
      <c r="D2456" s="90"/>
      <c r="E2456" s="90"/>
      <c r="F2456" s="90"/>
      <c r="G2456" s="90"/>
      <c r="H2456" s="90"/>
      <c r="I2456" s="90"/>
      <c r="T2456" s="90"/>
      <c r="V2456" s="90"/>
      <c r="W2456" s="90"/>
      <c r="X2456" s="90"/>
      <c r="Y2456" s="90"/>
      <c r="Z2456" s="93"/>
    </row>
    <row r="2457" spans="3:26">
      <c r="C2457" s="89"/>
      <c r="D2457" s="90"/>
      <c r="E2457" s="90"/>
      <c r="F2457" s="90"/>
      <c r="G2457" s="90"/>
      <c r="H2457" s="90"/>
      <c r="I2457" s="90"/>
      <c r="T2457" s="90"/>
      <c r="V2457" s="90"/>
      <c r="W2457" s="90"/>
      <c r="X2457" s="90"/>
      <c r="Y2457" s="90"/>
      <c r="Z2457" s="93"/>
    </row>
    <row r="2458" spans="3:26">
      <c r="C2458" s="89"/>
      <c r="D2458" s="90"/>
      <c r="E2458" s="90"/>
      <c r="F2458" s="90"/>
      <c r="G2458" s="90"/>
      <c r="H2458" s="90"/>
      <c r="I2458" s="90"/>
      <c r="T2458" s="90"/>
      <c r="V2458" s="90"/>
      <c r="W2458" s="90"/>
      <c r="X2458" s="90"/>
      <c r="Y2458" s="90"/>
      <c r="Z2458" s="93"/>
    </row>
    <row r="2459" spans="3:26">
      <c r="C2459" s="89"/>
      <c r="D2459" s="90"/>
      <c r="E2459" s="90"/>
      <c r="F2459" s="90"/>
      <c r="G2459" s="90"/>
      <c r="H2459" s="90"/>
      <c r="I2459" s="90"/>
      <c r="T2459" s="90"/>
      <c r="V2459" s="90"/>
      <c r="W2459" s="90"/>
      <c r="X2459" s="90"/>
      <c r="Y2459" s="90"/>
      <c r="Z2459" s="93"/>
    </row>
    <row r="2460" spans="3:26">
      <c r="C2460" s="89"/>
      <c r="D2460" s="90"/>
      <c r="E2460" s="90"/>
      <c r="F2460" s="90"/>
      <c r="G2460" s="90"/>
      <c r="H2460" s="90"/>
      <c r="I2460" s="90"/>
      <c r="T2460" s="90"/>
      <c r="V2460" s="90"/>
      <c r="W2460" s="90"/>
      <c r="X2460" s="90"/>
      <c r="Y2460" s="90"/>
      <c r="Z2460" s="93"/>
    </row>
    <row r="2461" spans="3:26">
      <c r="C2461" s="89"/>
      <c r="D2461" s="90"/>
      <c r="E2461" s="90"/>
      <c r="F2461" s="90"/>
      <c r="G2461" s="90"/>
      <c r="H2461" s="90"/>
      <c r="I2461" s="90"/>
      <c r="T2461" s="90"/>
      <c r="V2461" s="90"/>
      <c r="W2461" s="90"/>
      <c r="X2461" s="90"/>
      <c r="Y2461" s="90"/>
      <c r="Z2461" s="93"/>
    </row>
    <row r="2462" spans="3:26">
      <c r="C2462" s="89"/>
      <c r="D2462" s="90"/>
      <c r="E2462" s="90"/>
      <c r="F2462" s="90"/>
      <c r="G2462" s="90"/>
      <c r="H2462" s="90"/>
      <c r="I2462" s="90"/>
      <c r="T2462" s="90"/>
      <c r="V2462" s="90"/>
      <c r="W2462" s="90"/>
      <c r="X2462" s="90"/>
      <c r="Y2462" s="90"/>
      <c r="Z2462" s="93"/>
    </row>
    <row r="2463" spans="3:26">
      <c r="C2463" s="89"/>
      <c r="D2463" s="90"/>
      <c r="E2463" s="90"/>
      <c r="F2463" s="90"/>
      <c r="G2463" s="90"/>
      <c r="H2463" s="90"/>
      <c r="I2463" s="90"/>
      <c r="T2463" s="90"/>
      <c r="V2463" s="90"/>
      <c r="W2463" s="90"/>
      <c r="X2463" s="90"/>
      <c r="Y2463" s="90"/>
      <c r="Z2463" s="93"/>
    </row>
    <row r="2464" spans="3:26">
      <c r="C2464" s="89"/>
      <c r="D2464" s="90"/>
      <c r="E2464" s="90"/>
      <c r="F2464" s="90"/>
      <c r="G2464" s="90"/>
      <c r="H2464" s="90"/>
      <c r="I2464" s="90"/>
      <c r="T2464" s="90"/>
      <c r="V2464" s="90"/>
      <c r="W2464" s="90"/>
      <c r="X2464" s="90"/>
      <c r="Y2464" s="90"/>
      <c r="Z2464" s="93"/>
    </row>
    <row r="2465" spans="3:26">
      <c r="C2465" s="89"/>
      <c r="D2465" s="90"/>
      <c r="E2465" s="90"/>
      <c r="F2465" s="90"/>
      <c r="G2465" s="90"/>
      <c r="H2465" s="90"/>
      <c r="I2465" s="90"/>
      <c r="T2465" s="90"/>
      <c r="V2465" s="90"/>
      <c r="W2465" s="90"/>
      <c r="X2465" s="90"/>
      <c r="Y2465" s="90"/>
      <c r="Z2465" s="93"/>
    </row>
    <row r="2466" spans="3:26">
      <c r="C2466" s="89"/>
      <c r="D2466" s="90"/>
      <c r="E2466" s="90"/>
      <c r="F2466" s="90"/>
      <c r="G2466" s="90"/>
      <c r="H2466" s="90"/>
      <c r="I2466" s="90"/>
      <c r="T2466" s="90"/>
      <c r="V2466" s="90"/>
      <c r="W2466" s="90"/>
      <c r="X2466" s="90"/>
      <c r="Y2466" s="90"/>
      <c r="Z2466" s="93"/>
    </row>
    <row r="2467" spans="3:26">
      <c r="C2467" s="89"/>
      <c r="D2467" s="90"/>
      <c r="E2467" s="90"/>
      <c r="F2467" s="90"/>
      <c r="G2467" s="90"/>
      <c r="H2467" s="90"/>
      <c r="I2467" s="90"/>
      <c r="T2467" s="90"/>
      <c r="V2467" s="90"/>
      <c r="W2467" s="90"/>
      <c r="X2467" s="90"/>
      <c r="Y2467" s="90"/>
      <c r="Z2467" s="93"/>
    </row>
    <row r="2468" spans="3:26">
      <c r="C2468" s="89"/>
      <c r="D2468" s="90"/>
      <c r="E2468" s="90"/>
      <c r="F2468" s="90"/>
      <c r="G2468" s="90"/>
      <c r="H2468" s="90"/>
      <c r="I2468" s="90"/>
      <c r="T2468" s="90"/>
      <c r="V2468" s="90"/>
      <c r="W2468" s="90"/>
      <c r="X2468" s="90"/>
      <c r="Y2468" s="90"/>
      <c r="Z2468" s="93"/>
    </row>
    <row r="2469" spans="3:26">
      <c r="C2469" s="89"/>
      <c r="D2469" s="90"/>
      <c r="E2469" s="90"/>
      <c r="F2469" s="90"/>
      <c r="G2469" s="90"/>
      <c r="H2469" s="90"/>
      <c r="I2469" s="90"/>
      <c r="T2469" s="90"/>
      <c r="V2469" s="90"/>
      <c r="W2469" s="90"/>
      <c r="X2469" s="90"/>
      <c r="Y2469" s="90"/>
      <c r="Z2469" s="93"/>
    </row>
    <row r="2470" spans="3:26">
      <c r="C2470" s="89"/>
      <c r="D2470" s="90"/>
      <c r="E2470" s="90"/>
      <c r="F2470" s="90"/>
      <c r="G2470" s="90"/>
      <c r="H2470" s="90"/>
      <c r="I2470" s="90"/>
      <c r="T2470" s="90"/>
      <c r="V2470" s="90"/>
      <c r="W2470" s="90"/>
      <c r="X2470" s="90"/>
      <c r="Y2470" s="90"/>
      <c r="Z2470" s="93"/>
    </row>
    <row r="2471" spans="3:26">
      <c r="C2471" s="89"/>
      <c r="D2471" s="90"/>
      <c r="E2471" s="90"/>
      <c r="F2471" s="90"/>
      <c r="G2471" s="90"/>
      <c r="H2471" s="90"/>
      <c r="I2471" s="90"/>
      <c r="T2471" s="90"/>
      <c r="V2471" s="90"/>
      <c r="W2471" s="90"/>
      <c r="X2471" s="90"/>
      <c r="Y2471" s="90"/>
      <c r="Z2471" s="93"/>
    </row>
    <row r="2472" spans="3:26">
      <c r="C2472" s="89"/>
      <c r="D2472" s="90"/>
      <c r="E2472" s="90"/>
      <c r="F2472" s="90"/>
      <c r="G2472" s="90"/>
      <c r="H2472" s="90"/>
      <c r="I2472" s="90"/>
      <c r="T2472" s="90"/>
      <c r="V2472" s="90"/>
      <c r="W2472" s="90"/>
      <c r="X2472" s="90"/>
      <c r="Y2472" s="90"/>
      <c r="Z2472" s="93"/>
    </row>
    <row r="2473" spans="3:26">
      <c r="C2473" s="89"/>
      <c r="D2473" s="90"/>
      <c r="E2473" s="90"/>
      <c r="F2473" s="90"/>
      <c r="G2473" s="90"/>
      <c r="H2473" s="90"/>
      <c r="I2473" s="90"/>
      <c r="T2473" s="90"/>
      <c r="V2473" s="90"/>
      <c r="W2473" s="90"/>
      <c r="X2473" s="90"/>
      <c r="Y2473" s="90"/>
      <c r="Z2473" s="93"/>
    </row>
    <row r="2474" spans="3:26">
      <c r="C2474" s="89"/>
      <c r="D2474" s="90"/>
      <c r="E2474" s="90"/>
      <c r="F2474" s="90"/>
      <c r="G2474" s="90"/>
      <c r="H2474" s="90"/>
      <c r="I2474" s="90"/>
      <c r="T2474" s="90"/>
      <c r="V2474" s="90"/>
      <c r="W2474" s="90"/>
      <c r="X2474" s="90"/>
      <c r="Y2474" s="90"/>
      <c r="Z2474" s="93"/>
    </row>
    <row r="2475" spans="3:26">
      <c r="C2475" s="89"/>
      <c r="D2475" s="90"/>
      <c r="E2475" s="90"/>
      <c r="F2475" s="90"/>
      <c r="G2475" s="90"/>
      <c r="H2475" s="90"/>
      <c r="I2475" s="90"/>
      <c r="T2475" s="90"/>
      <c r="V2475" s="90"/>
      <c r="W2475" s="90"/>
      <c r="X2475" s="90"/>
      <c r="Y2475" s="90"/>
      <c r="Z2475" s="93"/>
    </row>
    <row r="2476" spans="3:26">
      <c r="C2476" s="89"/>
      <c r="D2476" s="90"/>
      <c r="E2476" s="90"/>
      <c r="F2476" s="90"/>
      <c r="G2476" s="90"/>
      <c r="H2476" s="90"/>
      <c r="I2476" s="90"/>
      <c r="T2476" s="90"/>
      <c r="V2476" s="90"/>
      <c r="W2476" s="90"/>
      <c r="X2476" s="90"/>
      <c r="Y2476" s="90"/>
      <c r="Z2476" s="93"/>
    </row>
    <row r="2477" spans="3:26">
      <c r="C2477" s="89"/>
      <c r="D2477" s="90"/>
      <c r="E2477" s="90"/>
      <c r="F2477" s="90"/>
      <c r="G2477" s="90"/>
      <c r="H2477" s="90"/>
      <c r="I2477" s="90"/>
      <c r="T2477" s="90"/>
      <c r="V2477" s="90"/>
      <c r="W2477" s="90"/>
      <c r="X2477" s="90"/>
      <c r="Y2477" s="90"/>
      <c r="Z2477" s="93"/>
    </row>
    <row r="2478" spans="3:26">
      <c r="C2478" s="89"/>
      <c r="D2478" s="90"/>
      <c r="E2478" s="90"/>
      <c r="F2478" s="90"/>
      <c r="G2478" s="90"/>
      <c r="H2478" s="90"/>
      <c r="I2478" s="90"/>
      <c r="T2478" s="90"/>
      <c r="V2478" s="90"/>
      <c r="W2478" s="90"/>
      <c r="X2478" s="90"/>
      <c r="Y2478" s="90"/>
      <c r="Z2478" s="93"/>
    </row>
    <row r="2479" spans="3:26">
      <c r="C2479" s="89"/>
      <c r="D2479" s="90"/>
      <c r="E2479" s="90"/>
      <c r="F2479" s="90"/>
      <c r="G2479" s="90"/>
      <c r="H2479" s="90"/>
      <c r="I2479" s="90"/>
      <c r="T2479" s="90"/>
      <c r="V2479" s="90"/>
      <c r="W2479" s="90"/>
      <c r="X2479" s="90"/>
      <c r="Y2479" s="90"/>
      <c r="Z2479" s="93"/>
    </row>
    <row r="2480" spans="3:26">
      <c r="C2480" s="89"/>
      <c r="D2480" s="90"/>
      <c r="E2480" s="90"/>
      <c r="F2480" s="90"/>
      <c r="G2480" s="90"/>
      <c r="H2480" s="90"/>
      <c r="I2480" s="90"/>
      <c r="T2480" s="90"/>
      <c r="V2480" s="90"/>
      <c r="W2480" s="90"/>
      <c r="X2480" s="90"/>
      <c r="Y2480" s="90"/>
      <c r="Z2480" s="93"/>
    </row>
    <row r="2481" spans="3:26">
      <c r="C2481" s="89"/>
      <c r="D2481" s="90"/>
      <c r="E2481" s="90"/>
      <c r="F2481" s="90"/>
      <c r="G2481" s="90"/>
      <c r="H2481" s="90"/>
      <c r="I2481" s="90"/>
      <c r="T2481" s="90"/>
      <c r="V2481" s="90"/>
      <c r="W2481" s="90"/>
      <c r="X2481" s="90"/>
      <c r="Y2481" s="90"/>
      <c r="Z2481" s="93"/>
    </row>
    <row r="2482" spans="3:26">
      <c r="C2482" s="89"/>
      <c r="D2482" s="90"/>
      <c r="E2482" s="90"/>
      <c r="F2482" s="90"/>
      <c r="G2482" s="90"/>
      <c r="H2482" s="90"/>
      <c r="I2482" s="90"/>
      <c r="T2482" s="90"/>
      <c r="V2482" s="90"/>
      <c r="W2482" s="90"/>
      <c r="X2482" s="90"/>
      <c r="Y2482" s="90"/>
      <c r="Z2482" s="93"/>
    </row>
    <row r="2483" spans="3:26">
      <c r="C2483" s="89"/>
      <c r="D2483" s="90"/>
      <c r="E2483" s="90"/>
      <c r="F2483" s="90"/>
      <c r="G2483" s="90"/>
      <c r="H2483" s="90"/>
      <c r="I2483" s="90"/>
      <c r="T2483" s="90"/>
      <c r="V2483" s="90"/>
      <c r="W2483" s="90"/>
      <c r="X2483" s="90"/>
      <c r="Y2483" s="90"/>
      <c r="Z2483" s="93"/>
    </row>
    <row r="2484" spans="3:26">
      <c r="C2484" s="89"/>
      <c r="D2484" s="90"/>
      <c r="E2484" s="90"/>
      <c r="F2484" s="90"/>
      <c r="G2484" s="90"/>
      <c r="H2484" s="90"/>
      <c r="I2484" s="90"/>
      <c r="T2484" s="90"/>
      <c r="V2484" s="90"/>
      <c r="W2484" s="90"/>
      <c r="X2484" s="90"/>
      <c r="Y2484" s="90"/>
      <c r="Z2484" s="93"/>
    </row>
    <row r="2485" spans="3:26">
      <c r="C2485" s="89"/>
      <c r="D2485" s="90"/>
      <c r="E2485" s="90"/>
      <c r="F2485" s="90"/>
      <c r="G2485" s="90"/>
      <c r="H2485" s="90"/>
      <c r="I2485" s="90"/>
      <c r="T2485" s="90"/>
      <c r="V2485" s="90"/>
      <c r="W2485" s="90"/>
      <c r="X2485" s="90"/>
      <c r="Y2485" s="90"/>
      <c r="Z2485" s="93"/>
    </row>
    <row r="2486" spans="3:26">
      <c r="C2486" s="89"/>
      <c r="D2486" s="90"/>
      <c r="E2486" s="90"/>
      <c r="F2486" s="90"/>
      <c r="G2486" s="90"/>
      <c r="H2486" s="90"/>
      <c r="I2486" s="90"/>
      <c r="T2486" s="90"/>
      <c r="V2486" s="90"/>
      <c r="W2486" s="90"/>
      <c r="X2486" s="90"/>
      <c r="Y2486" s="90"/>
      <c r="Z2486" s="93"/>
    </row>
    <row r="2487" spans="3:26">
      <c r="C2487" s="89"/>
      <c r="D2487" s="90"/>
      <c r="E2487" s="90"/>
      <c r="F2487" s="90"/>
      <c r="G2487" s="90"/>
      <c r="H2487" s="90"/>
      <c r="I2487" s="90"/>
      <c r="T2487" s="90"/>
      <c r="V2487" s="90"/>
      <c r="W2487" s="90"/>
      <c r="X2487" s="90"/>
      <c r="Y2487" s="90"/>
      <c r="Z2487" s="93"/>
    </row>
    <row r="2488" spans="3:26">
      <c r="C2488" s="89"/>
      <c r="D2488" s="90"/>
      <c r="E2488" s="90"/>
      <c r="F2488" s="90"/>
      <c r="G2488" s="90"/>
      <c r="H2488" s="90"/>
      <c r="I2488" s="90"/>
      <c r="T2488" s="90"/>
      <c r="V2488" s="90"/>
      <c r="W2488" s="90"/>
      <c r="X2488" s="90"/>
      <c r="Y2488" s="90"/>
      <c r="Z2488" s="93"/>
    </row>
    <row r="2489" spans="3:26">
      <c r="C2489" s="89"/>
      <c r="D2489" s="90"/>
      <c r="E2489" s="90"/>
      <c r="F2489" s="90"/>
      <c r="G2489" s="90"/>
      <c r="H2489" s="90"/>
      <c r="I2489" s="90"/>
      <c r="T2489" s="90"/>
      <c r="V2489" s="90"/>
      <c r="W2489" s="90"/>
      <c r="X2489" s="90"/>
      <c r="Y2489" s="90"/>
      <c r="Z2489" s="93"/>
    </row>
    <row r="2490" spans="3:26">
      <c r="C2490" s="89"/>
      <c r="D2490" s="90"/>
      <c r="E2490" s="90"/>
      <c r="F2490" s="90"/>
      <c r="G2490" s="90"/>
      <c r="H2490" s="90"/>
      <c r="I2490" s="90"/>
      <c r="T2490" s="90"/>
      <c r="V2490" s="90"/>
      <c r="W2490" s="90"/>
      <c r="X2490" s="90"/>
      <c r="Y2490" s="90"/>
      <c r="Z2490" s="93"/>
    </row>
    <row r="2491" spans="3:26">
      <c r="C2491" s="89"/>
      <c r="D2491" s="90"/>
      <c r="E2491" s="90"/>
      <c r="F2491" s="90"/>
      <c r="G2491" s="90"/>
      <c r="H2491" s="90"/>
      <c r="I2491" s="90"/>
      <c r="T2491" s="90"/>
      <c r="V2491" s="90"/>
      <c r="W2491" s="90"/>
      <c r="X2491" s="90"/>
      <c r="Y2491" s="90"/>
      <c r="Z2491" s="93"/>
    </row>
    <row r="2492" spans="3:26">
      <c r="C2492" s="89"/>
      <c r="D2492" s="90"/>
      <c r="E2492" s="90"/>
      <c r="F2492" s="90"/>
      <c r="G2492" s="90"/>
      <c r="H2492" s="90"/>
      <c r="I2492" s="90"/>
      <c r="T2492" s="90"/>
      <c r="V2492" s="90"/>
      <c r="W2492" s="90"/>
      <c r="X2492" s="90"/>
      <c r="Y2492" s="90"/>
      <c r="Z2492" s="93"/>
    </row>
    <row r="2493" spans="3:26">
      <c r="C2493" s="89"/>
      <c r="D2493" s="90"/>
      <c r="E2493" s="90"/>
      <c r="F2493" s="90"/>
      <c r="G2493" s="90"/>
      <c r="H2493" s="90"/>
      <c r="I2493" s="90"/>
      <c r="T2493" s="90"/>
      <c r="V2493" s="90"/>
      <c r="W2493" s="90"/>
      <c r="X2493" s="90"/>
      <c r="Y2493" s="90"/>
      <c r="Z2493" s="93"/>
    </row>
    <row r="2494" spans="3:26">
      <c r="C2494" s="89"/>
      <c r="D2494" s="90"/>
      <c r="E2494" s="90"/>
      <c r="F2494" s="90"/>
      <c r="G2494" s="90"/>
      <c r="H2494" s="90"/>
      <c r="I2494" s="90"/>
      <c r="T2494" s="90"/>
      <c r="V2494" s="90"/>
      <c r="W2494" s="90"/>
      <c r="X2494" s="90"/>
      <c r="Y2494" s="90"/>
      <c r="Z2494" s="93"/>
    </row>
    <row r="2495" spans="3:26">
      <c r="C2495" s="89"/>
      <c r="D2495" s="90"/>
      <c r="E2495" s="90"/>
      <c r="F2495" s="90"/>
      <c r="G2495" s="90"/>
      <c r="H2495" s="90"/>
      <c r="I2495" s="90"/>
      <c r="T2495" s="90"/>
      <c r="V2495" s="90"/>
      <c r="W2495" s="90"/>
      <c r="X2495" s="90"/>
      <c r="Y2495" s="90"/>
      <c r="Z2495" s="93"/>
    </row>
    <row r="2496" spans="3:26">
      <c r="C2496" s="89"/>
      <c r="D2496" s="90"/>
      <c r="E2496" s="90"/>
      <c r="F2496" s="90"/>
      <c r="G2496" s="90"/>
      <c r="H2496" s="90"/>
      <c r="I2496" s="90"/>
      <c r="T2496" s="90"/>
      <c r="V2496" s="90"/>
      <c r="W2496" s="90"/>
      <c r="X2496" s="90"/>
      <c r="Y2496" s="90"/>
      <c r="Z2496" s="93"/>
    </row>
    <row r="2497" spans="3:26">
      <c r="C2497" s="89"/>
      <c r="D2497" s="90"/>
      <c r="E2497" s="90"/>
      <c r="F2497" s="90"/>
      <c r="G2497" s="90"/>
      <c r="H2497" s="90"/>
      <c r="I2497" s="90"/>
      <c r="T2497" s="90"/>
      <c r="V2497" s="90"/>
      <c r="W2497" s="90"/>
      <c r="X2497" s="90"/>
      <c r="Y2497" s="90"/>
      <c r="Z2497" s="93"/>
    </row>
    <row r="2498" spans="3:26">
      <c r="C2498" s="89"/>
      <c r="D2498" s="90"/>
      <c r="E2498" s="90"/>
      <c r="F2498" s="90"/>
      <c r="G2498" s="90"/>
      <c r="H2498" s="90"/>
      <c r="I2498" s="90"/>
      <c r="T2498" s="90"/>
      <c r="V2498" s="90"/>
      <c r="W2498" s="90"/>
      <c r="X2498" s="90"/>
      <c r="Y2498" s="90"/>
      <c r="Z2498" s="93"/>
    </row>
    <row r="2499" spans="3:26">
      <c r="C2499" s="89"/>
      <c r="D2499" s="90"/>
      <c r="E2499" s="90"/>
      <c r="F2499" s="90"/>
      <c r="G2499" s="90"/>
      <c r="H2499" s="90"/>
      <c r="I2499" s="90"/>
      <c r="T2499" s="90"/>
      <c r="V2499" s="90"/>
      <c r="W2499" s="90"/>
      <c r="X2499" s="90"/>
      <c r="Y2499" s="90"/>
      <c r="Z2499" s="93"/>
    </row>
    <row r="2500" spans="3:26">
      <c r="C2500" s="89"/>
      <c r="D2500" s="90"/>
      <c r="E2500" s="90"/>
      <c r="F2500" s="90"/>
      <c r="G2500" s="90"/>
      <c r="H2500" s="90"/>
      <c r="I2500" s="90"/>
      <c r="T2500" s="90"/>
      <c r="V2500" s="90"/>
      <c r="W2500" s="90"/>
      <c r="X2500" s="90"/>
      <c r="Y2500" s="90"/>
      <c r="Z2500" s="93"/>
    </row>
    <row r="2501" spans="3:26">
      <c r="C2501" s="89"/>
      <c r="D2501" s="90"/>
      <c r="E2501" s="90"/>
      <c r="F2501" s="90"/>
      <c r="G2501" s="90"/>
      <c r="H2501" s="90"/>
      <c r="I2501" s="90"/>
      <c r="T2501" s="90"/>
      <c r="V2501" s="90"/>
      <c r="W2501" s="90"/>
      <c r="X2501" s="90"/>
      <c r="Y2501" s="90"/>
      <c r="Z2501" s="93"/>
    </row>
    <row r="2502" spans="3:26">
      <c r="C2502" s="89"/>
      <c r="D2502" s="90"/>
      <c r="E2502" s="90"/>
      <c r="F2502" s="90"/>
      <c r="G2502" s="90"/>
      <c r="H2502" s="90"/>
      <c r="I2502" s="90"/>
      <c r="T2502" s="90"/>
      <c r="V2502" s="90"/>
      <c r="W2502" s="90"/>
      <c r="X2502" s="90"/>
      <c r="Y2502" s="90"/>
      <c r="Z2502" s="93"/>
    </row>
    <row r="2503" spans="3:26">
      <c r="C2503" s="89"/>
      <c r="D2503" s="90"/>
      <c r="E2503" s="90"/>
      <c r="F2503" s="90"/>
      <c r="G2503" s="90"/>
      <c r="H2503" s="90"/>
      <c r="I2503" s="90"/>
      <c r="T2503" s="90"/>
      <c r="V2503" s="90"/>
      <c r="W2503" s="90"/>
      <c r="X2503" s="90"/>
      <c r="Y2503" s="90"/>
      <c r="Z2503" s="93"/>
    </row>
    <row r="2504" spans="3:26">
      <c r="C2504" s="89"/>
      <c r="D2504" s="90"/>
      <c r="E2504" s="90"/>
      <c r="F2504" s="90"/>
      <c r="G2504" s="90"/>
      <c r="H2504" s="90"/>
      <c r="I2504" s="90"/>
      <c r="T2504" s="90"/>
      <c r="V2504" s="90"/>
      <c r="W2504" s="90"/>
      <c r="X2504" s="90"/>
      <c r="Y2504" s="90"/>
      <c r="Z2504" s="93"/>
    </row>
    <row r="2505" spans="3:26">
      <c r="C2505" s="89"/>
      <c r="D2505" s="90"/>
      <c r="E2505" s="90"/>
      <c r="F2505" s="90"/>
      <c r="G2505" s="90"/>
      <c r="H2505" s="90"/>
      <c r="I2505" s="90"/>
      <c r="T2505" s="90"/>
      <c r="V2505" s="90"/>
      <c r="W2505" s="90"/>
      <c r="X2505" s="90"/>
      <c r="Y2505" s="90"/>
      <c r="Z2505" s="93"/>
    </row>
    <row r="2506" spans="3:26">
      <c r="C2506" s="89"/>
      <c r="D2506" s="90"/>
      <c r="E2506" s="90"/>
      <c r="F2506" s="90"/>
      <c r="G2506" s="90"/>
      <c r="H2506" s="90"/>
      <c r="I2506" s="90"/>
      <c r="T2506" s="90"/>
      <c r="V2506" s="90"/>
      <c r="W2506" s="90"/>
      <c r="X2506" s="90"/>
      <c r="Y2506" s="90"/>
      <c r="Z2506" s="93"/>
    </row>
    <row r="2507" spans="3:26">
      <c r="C2507" s="89"/>
      <c r="D2507" s="90"/>
      <c r="E2507" s="90"/>
      <c r="F2507" s="90"/>
      <c r="G2507" s="90"/>
      <c r="H2507" s="90"/>
      <c r="I2507" s="90"/>
      <c r="T2507" s="90"/>
      <c r="V2507" s="90"/>
      <c r="W2507" s="90"/>
      <c r="X2507" s="90"/>
      <c r="Y2507" s="90"/>
      <c r="Z2507" s="93"/>
    </row>
    <row r="2508" spans="3:26">
      <c r="C2508" s="89"/>
      <c r="D2508" s="90"/>
      <c r="E2508" s="90"/>
      <c r="F2508" s="90"/>
      <c r="G2508" s="90"/>
      <c r="H2508" s="90"/>
      <c r="I2508" s="90"/>
      <c r="T2508" s="90"/>
      <c r="V2508" s="90"/>
      <c r="W2508" s="90"/>
      <c r="X2508" s="90"/>
      <c r="Y2508" s="90"/>
      <c r="Z2508" s="93"/>
    </row>
    <row r="2509" spans="3:26">
      <c r="C2509" s="89"/>
      <c r="D2509" s="90"/>
      <c r="E2509" s="90"/>
      <c r="F2509" s="90"/>
      <c r="G2509" s="90"/>
      <c r="H2509" s="90"/>
      <c r="I2509" s="90"/>
      <c r="T2509" s="90"/>
      <c r="V2509" s="90"/>
      <c r="W2509" s="90"/>
      <c r="X2509" s="90"/>
      <c r="Y2509" s="90"/>
      <c r="Z2509" s="93"/>
    </row>
    <row r="2510" spans="3:26">
      <c r="C2510" s="89"/>
      <c r="D2510" s="90"/>
      <c r="E2510" s="90"/>
      <c r="F2510" s="90"/>
      <c r="G2510" s="90"/>
      <c r="H2510" s="90"/>
      <c r="I2510" s="90"/>
      <c r="T2510" s="90"/>
      <c r="V2510" s="90"/>
      <c r="W2510" s="90"/>
      <c r="X2510" s="90"/>
      <c r="Y2510" s="90"/>
      <c r="Z2510" s="93"/>
    </row>
    <row r="2511" spans="3:26">
      <c r="C2511" s="89"/>
      <c r="D2511" s="90"/>
      <c r="E2511" s="90"/>
      <c r="F2511" s="90"/>
      <c r="G2511" s="90"/>
      <c r="H2511" s="90"/>
      <c r="I2511" s="90"/>
      <c r="T2511" s="90"/>
      <c r="V2511" s="90"/>
      <c r="W2511" s="90"/>
      <c r="X2511" s="90"/>
      <c r="Y2511" s="90"/>
      <c r="Z2511" s="93"/>
    </row>
    <row r="2512" spans="3:26">
      <c r="C2512" s="89"/>
      <c r="D2512" s="90"/>
      <c r="E2512" s="90"/>
      <c r="F2512" s="90"/>
      <c r="G2512" s="90"/>
      <c r="H2512" s="90"/>
      <c r="I2512" s="90"/>
      <c r="T2512" s="90"/>
      <c r="V2512" s="90"/>
      <c r="W2512" s="90"/>
      <c r="X2512" s="90"/>
      <c r="Y2512" s="90"/>
      <c r="Z2512" s="93"/>
    </row>
    <row r="2513" spans="3:26">
      <c r="C2513" s="89"/>
      <c r="D2513" s="90"/>
      <c r="E2513" s="90"/>
      <c r="F2513" s="90"/>
      <c r="G2513" s="90"/>
      <c r="H2513" s="90"/>
      <c r="I2513" s="90"/>
      <c r="T2513" s="90"/>
      <c r="V2513" s="90"/>
      <c r="W2513" s="90"/>
      <c r="X2513" s="90"/>
      <c r="Y2513" s="90"/>
      <c r="Z2513" s="93"/>
    </row>
    <row r="2514" spans="3:26">
      <c r="C2514" s="89"/>
      <c r="D2514" s="90"/>
      <c r="E2514" s="90"/>
      <c r="F2514" s="90"/>
      <c r="G2514" s="90"/>
      <c r="H2514" s="90"/>
      <c r="I2514" s="90"/>
      <c r="T2514" s="90"/>
      <c r="V2514" s="90"/>
      <c r="W2514" s="90"/>
      <c r="X2514" s="90"/>
      <c r="Y2514" s="90"/>
      <c r="Z2514" s="93"/>
    </row>
    <row r="2515" spans="3:26">
      <c r="C2515" s="89"/>
      <c r="D2515" s="90"/>
      <c r="E2515" s="90"/>
      <c r="F2515" s="90"/>
      <c r="G2515" s="90"/>
      <c r="H2515" s="90"/>
      <c r="I2515" s="90"/>
      <c r="T2515" s="90"/>
      <c r="V2515" s="90"/>
      <c r="W2515" s="90"/>
      <c r="X2515" s="90"/>
      <c r="Y2515" s="90"/>
      <c r="Z2515" s="93"/>
    </row>
    <row r="2516" spans="3:26">
      <c r="C2516" s="89"/>
      <c r="D2516" s="90"/>
      <c r="E2516" s="90"/>
      <c r="F2516" s="90"/>
      <c r="G2516" s="90"/>
      <c r="H2516" s="90"/>
      <c r="I2516" s="90"/>
      <c r="T2516" s="90"/>
      <c r="V2516" s="90"/>
      <c r="W2516" s="90"/>
      <c r="X2516" s="90"/>
      <c r="Y2516" s="90"/>
      <c r="Z2516" s="93"/>
    </row>
    <row r="2517" spans="3:26">
      <c r="C2517" s="89"/>
      <c r="D2517" s="90"/>
      <c r="E2517" s="90"/>
      <c r="F2517" s="90"/>
      <c r="G2517" s="90"/>
      <c r="H2517" s="90"/>
      <c r="I2517" s="90"/>
      <c r="T2517" s="90"/>
      <c r="V2517" s="90"/>
      <c r="W2517" s="90"/>
      <c r="X2517" s="90"/>
      <c r="Y2517" s="90"/>
      <c r="Z2517" s="93"/>
    </row>
    <row r="2518" spans="3:26">
      <c r="C2518" s="89"/>
      <c r="D2518" s="90"/>
      <c r="E2518" s="90"/>
      <c r="F2518" s="90"/>
      <c r="G2518" s="90"/>
      <c r="H2518" s="90"/>
      <c r="I2518" s="90"/>
      <c r="T2518" s="90"/>
      <c r="V2518" s="90"/>
      <c r="W2518" s="90"/>
      <c r="X2518" s="90"/>
      <c r="Y2518" s="90"/>
      <c r="Z2518" s="93"/>
    </row>
    <row r="2519" spans="3:26">
      <c r="C2519" s="89"/>
      <c r="D2519" s="90"/>
      <c r="E2519" s="90"/>
      <c r="F2519" s="90"/>
      <c r="G2519" s="90"/>
      <c r="H2519" s="90"/>
      <c r="I2519" s="90"/>
      <c r="T2519" s="90"/>
      <c r="V2519" s="90"/>
      <c r="W2519" s="90"/>
      <c r="X2519" s="90"/>
      <c r="Y2519" s="90"/>
      <c r="Z2519" s="93"/>
    </row>
    <row r="2520" spans="3:26">
      <c r="C2520" s="89"/>
      <c r="D2520" s="90"/>
      <c r="E2520" s="90"/>
      <c r="F2520" s="90"/>
      <c r="G2520" s="90"/>
      <c r="H2520" s="90"/>
      <c r="I2520" s="90"/>
      <c r="T2520" s="90"/>
      <c r="V2520" s="90"/>
      <c r="W2520" s="90"/>
      <c r="X2520" s="90"/>
      <c r="Y2520" s="90"/>
      <c r="Z2520" s="93"/>
    </row>
    <row r="2521" spans="3:26">
      <c r="C2521" s="89"/>
      <c r="D2521" s="90"/>
      <c r="E2521" s="90"/>
      <c r="F2521" s="90"/>
      <c r="G2521" s="90"/>
      <c r="H2521" s="90"/>
      <c r="I2521" s="90"/>
      <c r="T2521" s="90"/>
      <c r="V2521" s="90"/>
      <c r="W2521" s="90"/>
      <c r="X2521" s="90"/>
      <c r="Y2521" s="90"/>
      <c r="Z2521" s="93"/>
    </row>
    <row r="2522" spans="3:26">
      <c r="C2522" s="89"/>
      <c r="D2522" s="90"/>
      <c r="E2522" s="90"/>
      <c r="F2522" s="90"/>
      <c r="G2522" s="90"/>
      <c r="H2522" s="90"/>
      <c r="I2522" s="90"/>
      <c r="T2522" s="90"/>
      <c r="V2522" s="90"/>
      <c r="W2522" s="90"/>
      <c r="X2522" s="90"/>
      <c r="Y2522" s="90"/>
      <c r="Z2522" s="93"/>
    </row>
    <row r="2523" spans="3:26">
      <c r="C2523" s="89"/>
      <c r="D2523" s="90"/>
      <c r="E2523" s="90"/>
      <c r="F2523" s="90"/>
      <c r="G2523" s="90"/>
      <c r="H2523" s="90"/>
      <c r="I2523" s="90"/>
      <c r="T2523" s="90"/>
      <c r="V2523" s="90"/>
      <c r="W2523" s="90"/>
      <c r="X2523" s="90"/>
      <c r="Y2523" s="90"/>
      <c r="Z2523" s="93"/>
    </row>
    <row r="2524" spans="3:26">
      <c r="C2524" s="89"/>
      <c r="D2524" s="90"/>
      <c r="E2524" s="90"/>
      <c r="F2524" s="90"/>
      <c r="G2524" s="90"/>
      <c r="H2524" s="90"/>
      <c r="I2524" s="90"/>
      <c r="T2524" s="90"/>
      <c r="V2524" s="90"/>
      <c r="W2524" s="90"/>
      <c r="X2524" s="90"/>
      <c r="Y2524" s="90"/>
      <c r="Z2524" s="93"/>
    </row>
    <row r="2525" spans="3:26">
      <c r="C2525" s="89"/>
      <c r="D2525" s="90"/>
      <c r="E2525" s="90"/>
      <c r="F2525" s="90"/>
      <c r="G2525" s="90"/>
      <c r="H2525" s="90"/>
      <c r="I2525" s="90"/>
      <c r="T2525" s="90"/>
      <c r="V2525" s="90"/>
      <c r="W2525" s="90"/>
      <c r="X2525" s="90"/>
      <c r="Y2525" s="90"/>
      <c r="Z2525" s="93"/>
    </row>
    <row r="2526" spans="3:26">
      <c r="C2526" s="89"/>
      <c r="D2526" s="90"/>
      <c r="E2526" s="90"/>
      <c r="F2526" s="90"/>
      <c r="G2526" s="90"/>
      <c r="H2526" s="90"/>
      <c r="I2526" s="90"/>
      <c r="T2526" s="90"/>
      <c r="V2526" s="90"/>
      <c r="W2526" s="90"/>
      <c r="X2526" s="90"/>
      <c r="Y2526" s="90"/>
      <c r="Z2526" s="93"/>
    </row>
    <row r="2527" spans="3:26">
      <c r="C2527" s="89"/>
      <c r="D2527" s="90"/>
      <c r="E2527" s="90"/>
      <c r="F2527" s="90"/>
      <c r="G2527" s="90"/>
      <c r="H2527" s="90"/>
      <c r="I2527" s="90"/>
      <c r="T2527" s="90"/>
      <c r="V2527" s="90"/>
      <c r="W2527" s="90"/>
      <c r="X2527" s="90"/>
      <c r="Y2527" s="90"/>
      <c r="Z2527" s="93"/>
    </row>
    <row r="2528" spans="3:26">
      <c r="C2528" s="89"/>
      <c r="D2528" s="90"/>
      <c r="E2528" s="90"/>
      <c r="F2528" s="90"/>
      <c r="G2528" s="90"/>
      <c r="H2528" s="90"/>
      <c r="I2528" s="90"/>
      <c r="T2528" s="90"/>
      <c r="V2528" s="90"/>
      <c r="W2528" s="90"/>
      <c r="X2528" s="90"/>
      <c r="Y2528" s="90"/>
      <c r="Z2528" s="93"/>
    </row>
    <row r="2529" spans="3:26">
      <c r="C2529" s="89"/>
      <c r="D2529" s="90"/>
      <c r="E2529" s="90"/>
      <c r="F2529" s="90"/>
      <c r="G2529" s="90"/>
      <c r="H2529" s="90"/>
      <c r="I2529" s="90"/>
      <c r="T2529" s="90"/>
      <c r="V2529" s="90"/>
      <c r="W2529" s="90"/>
      <c r="X2529" s="90"/>
      <c r="Y2529" s="90"/>
      <c r="Z2529" s="93"/>
    </row>
    <row r="2530" spans="3:26">
      <c r="C2530" s="89"/>
      <c r="D2530" s="90"/>
      <c r="E2530" s="90"/>
      <c r="F2530" s="90"/>
      <c r="G2530" s="90"/>
      <c r="H2530" s="90"/>
      <c r="I2530" s="90"/>
      <c r="T2530" s="90"/>
      <c r="V2530" s="90"/>
      <c r="W2530" s="90"/>
      <c r="X2530" s="90"/>
      <c r="Y2530" s="90"/>
      <c r="Z2530" s="93"/>
    </row>
    <row r="2531" spans="3:26">
      <c r="C2531" s="89"/>
      <c r="D2531" s="90"/>
      <c r="E2531" s="90"/>
      <c r="F2531" s="90"/>
      <c r="G2531" s="90"/>
      <c r="H2531" s="90"/>
      <c r="I2531" s="90"/>
      <c r="T2531" s="90"/>
      <c r="V2531" s="90"/>
      <c r="W2531" s="90"/>
      <c r="X2531" s="90"/>
      <c r="Y2531" s="90"/>
      <c r="Z2531" s="93"/>
    </row>
    <row r="2532" spans="3:26">
      <c r="C2532" s="89"/>
      <c r="D2532" s="90"/>
      <c r="E2532" s="90"/>
      <c r="F2532" s="90"/>
      <c r="G2532" s="90"/>
      <c r="H2532" s="90"/>
      <c r="I2532" s="90"/>
      <c r="T2532" s="90"/>
      <c r="V2532" s="90"/>
      <c r="W2532" s="90"/>
      <c r="X2532" s="90"/>
      <c r="Y2532" s="90"/>
      <c r="Z2532" s="93"/>
    </row>
    <row r="2533" spans="3:26">
      <c r="C2533" s="89"/>
      <c r="D2533" s="90"/>
      <c r="E2533" s="90"/>
      <c r="F2533" s="90"/>
      <c r="G2533" s="90"/>
      <c r="H2533" s="90"/>
      <c r="I2533" s="90"/>
      <c r="T2533" s="90"/>
      <c r="V2533" s="90"/>
      <c r="W2533" s="90"/>
      <c r="X2533" s="90"/>
      <c r="Y2533" s="90"/>
      <c r="Z2533" s="93"/>
    </row>
    <row r="2534" spans="3:26">
      <c r="C2534" s="89"/>
      <c r="D2534" s="90"/>
      <c r="E2534" s="90"/>
      <c r="F2534" s="90"/>
      <c r="G2534" s="90"/>
      <c r="H2534" s="90"/>
      <c r="I2534" s="90"/>
      <c r="T2534" s="90"/>
      <c r="V2534" s="90"/>
      <c r="W2534" s="90"/>
      <c r="X2534" s="90"/>
      <c r="Y2534" s="90"/>
      <c r="Z2534" s="93"/>
    </row>
    <row r="2535" spans="3:26">
      <c r="C2535" s="89"/>
      <c r="D2535" s="90"/>
      <c r="E2535" s="90"/>
      <c r="F2535" s="90"/>
      <c r="G2535" s="90"/>
      <c r="H2535" s="90"/>
      <c r="I2535" s="90"/>
      <c r="T2535" s="90"/>
      <c r="V2535" s="90"/>
      <c r="W2535" s="90"/>
      <c r="X2535" s="90"/>
      <c r="Y2535" s="90"/>
      <c r="Z2535" s="93"/>
    </row>
    <row r="2536" spans="3:26">
      <c r="C2536" s="89"/>
      <c r="D2536" s="90"/>
      <c r="E2536" s="90"/>
      <c r="F2536" s="90"/>
      <c r="G2536" s="90"/>
      <c r="H2536" s="90"/>
      <c r="I2536" s="90"/>
      <c r="T2536" s="90"/>
      <c r="V2536" s="90"/>
      <c r="W2536" s="90"/>
      <c r="X2536" s="90"/>
      <c r="Y2536" s="90"/>
      <c r="Z2536" s="93"/>
    </row>
    <row r="2537" spans="3:26">
      <c r="C2537" s="89"/>
      <c r="D2537" s="90"/>
      <c r="E2537" s="90"/>
      <c r="F2537" s="90"/>
      <c r="G2537" s="90"/>
      <c r="H2537" s="90"/>
      <c r="I2537" s="90"/>
      <c r="T2537" s="90"/>
      <c r="V2537" s="90"/>
      <c r="W2537" s="90"/>
      <c r="X2537" s="90"/>
      <c r="Y2537" s="90"/>
      <c r="Z2537" s="93"/>
    </row>
    <row r="2538" spans="3:26">
      <c r="C2538" s="89"/>
      <c r="D2538" s="90"/>
      <c r="E2538" s="90"/>
      <c r="F2538" s="90"/>
      <c r="G2538" s="90"/>
      <c r="H2538" s="90"/>
      <c r="I2538" s="90"/>
      <c r="T2538" s="90"/>
      <c r="V2538" s="90"/>
      <c r="W2538" s="90"/>
      <c r="X2538" s="90"/>
      <c r="Y2538" s="90"/>
      <c r="Z2538" s="93"/>
    </row>
    <row r="2539" spans="3:26">
      <c r="C2539" s="89"/>
      <c r="D2539" s="90"/>
      <c r="E2539" s="90"/>
      <c r="F2539" s="90"/>
      <c r="G2539" s="90"/>
      <c r="H2539" s="90"/>
      <c r="I2539" s="90"/>
      <c r="T2539" s="90"/>
      <c r="V2539" s="90"/>
      <c r="W2539" s="90"/>
      <c r="X2539" s="90"/>
      <c r="Y2539" s="90"/>
      <c r="Z2539" s="93"/>
    </row>
    <row r="2540" spans="3:26">
      <c r="C2540" s="89"/>
      <c r="D2540" s="90"/>
      <c r="E2540" s="90"/>
      <c r="F2540" s="90"/>
      <c r="G2540" s="90"/>
      <c r="H2540" s="90"/>
      <c r="I2540" s="90"/>
      <c r="T2540" s="90"/>
      <c r="V2540" s="90"/>
      <c r="W2540" s="90"/>
      <c r="X2540" s="90"/>
      <c r="Y2540" s="90"/>
      <c r="Z2540" s="93"/>
    </row>
    <row r="2541" spans="3:26">
      <c r="C2541" s="89"/>
      <c r="D2541" s="90"/>
      <c r="E2541" s="90"/>
      <c r="F2541" s="90"/>
      <c r="G2541" s="90"/>
      <c r="H2541" s="90"/>
      <c r="I2541" s="90"/>
      <c r="T2541" s="90"/>
      <c r="V2541" s="90"/>
      <c r="W2541" s="90"/>
      <c r="X2541" s="90"/>
      <c r="Y2541" s="90"/>
      <c r="Z2541" s="93"/>
    </row>
    <row r="2542" spans="3:26">
      <c r="C2542" s="89"/>
      <c r="D2542" s="90"/>
      <c r="E2542" s="90"/>
      <c r="F2542" s="90"/>
      <c r="G2542" s="90"/>
      <c r="H2542" s="90"/>
      <c r="I2542" s="90"/>
      <c r="T2542" s="90"/>
      <c r="V2542" s="90"/>
      <c r="W2542" s="90"/>
      <c r="X2542" s="90"/>
      <c r="Y2542" s="90"/>
      <c r="Z2542" s="93"/>
    </row>
    <row r="2543" spans="3:26">
      <c r="C2543" s="89"/>
      <c r="D2543" s="90"/>
      <c r="E2543" s="90"/>
      <c r="F2543" s="90"/>
      <c r="G2543" s="90"/>
      <c r="H2543" s="90"/>
      <c r="I2543" s="90"/>
      <c r="T2543" s="90"/>
      <c r="V2543" s="90"/>
      <c r="W2543" s="90"/>
      <c r="X2543" s="90"/>
      <c r="Y2543" s="90"/>
      <c r="Z2543" s="93"/>
    </row>
    <row r="2544" spans="3:26">
      <c r="C2544" s="89"/>
      <c r="D2544" s="90"/>
      <c r="E2544" s="90"/>
      <c r="F2544" s="90"/>
      <c r="G2544" s="90"/>
      <c r="H2544" s="90"/>
      <c r="I2544" s="90"/>
      <c r="T2544" s="90"/>
      <c r="V2544" s="90"/>
      <c r="W2544" s="90"/>
      <c r="X2544" s="90"/>
      <c r="Y2544" s="90"/>
      <c r="Z2544" s="93"/>
    </row>
    <row r="2545" spans="3:26">
      <c r="C2545" s="89"/>
      <c r="D2545" s="90"/>
      <c r="E2545" s="90"/>
      <c r="F2545" s="90"/>
      <c r="G2545" s="90"/>
      <c r="H2545" s="90"/>
      <c r="I2545" s="90"/>
      <c r="T2545" s="90"/>
      <c r="V2545" s="90"/>
      <c r="W2545" s="90"/>
      <c r="X2545" s="90"/>
      <c r="Y2545" s="90"/>
      <c r="Z2545" s="93"/>
    </row>
    <row r="2546" spans="3:26">
      <c r="C2546" s="89"/>
      <c r="D2546" s="90"/>
      <c r="E2546" s="90"/>
      <c r="F2546" s="90"/>
      <c r="G2546" s="90"/>
      <c r="H2546" s="90"/>
      <c r="I2546" s="90"/>
      <c r="T2546" s="90"/>
      <c r="V2546" s="90"/>
      <c r="W2546" s="90"/>
      <c r="X2546" s="90"/>
      <c r="Y2546" s="90"/>
      <c r="Z2546" s="93"/>
    </row>
    <row r="2547" spans="3:26">
      <c r="C2547" s="89"/>
      <c r="D2547" s="90"/>
      <c r="E2547" s="90"/>
      <c r="F2547" s="90"/>
      <c r="G2547" s="90"/>
      <c r="H2547" s="90"/>
      <c r="I2547" s="90"/>
      <c r="T2547" s="90"/>
      <c r="V2547" s="90"/>
      <c r="W2547" s="90"/>
      <c r="X2547" s="90"/>
      <c r="Y2547" s="90"/>
      <c r="Z2547" s="93"/>
    </row>
    <row r="2548" spans="3:26">
      <c r="C2548" s="89"/>
      <c r="D2548" s="90"/>
      <c r="E2548" s="90"/>
      <c r="F2548" s="90"/>
      <c r="G2548" s="90"/>
      <c r="H2548" s="90"/>
      <c r="I2548" s="90"/>
      <c r="T2548" s="90"/>
      <c r="V2548" s="90"/>
      <c r="W2548" s="90"/>
      <c r="X2548" s="90"/>
      <c r="Y2548" s="90"/>
      <c r="Z2548" s="93"/>
    </row>
    <row r="2549" spans="3:26">
      <c r="C2549" s="89"/>
      <c r="D2549" s="90"/>
      <c r="E2549" s="90"/>
      <c r="F2549" s="90"/>
      <c r="G2549" s="90"/>
      <c r="H2549" s="90"/>
      <c r="I2549" s="90"/>
      <c r="T2549" s="90"/>
      <c r="V2549" s="90"/>
      <c r="W2549" s="90"/>
      <c r="X2549" s="90"/>
      <c r="Y2549" s="90"/>
      <c r="Z2549" s="93"/>
    </row>
    <row r="2550" spans="3:26">
      <c r="C2550" s="89"/>
      <c r="D2550" s="90"/>
      <c r="E2550" s="90"/>
      <c r="F2550" s="90"/>
      <c r="G2550" s="90"/>
      <c r="H2550" s="90"/>
      <c r="I2550" s="90"/>
      <c r="T2550" s="90"/>
      <c r="V2550" s="90"/>
      <c r="W2550" s="90"/>
      <c r="X2550" s="90"/>
      <c r="Y2550" s="90"/>
      <c r="Z2550" s="93"/>
    </row>
    <row r="2551" spans="3:26">
      <c r="C2551" s="89"/>
      <c r="D2551" s="90"/>
      <c r="E2551" s="90"/>
      <c r="F2551" s="90"/>
      <c r="G2551" s="90"/>
      <c r="H2551" s="90"/>
      <c r="I2551" s="90"/>
      <c r="T2551" s="90"/>
      <c r="V2551" s="90"/>
      <c r="W2551" s="90"/>
      <c r="X2551" s="90"/>
      <c r="Y2551" s="90"/>
      <c r="Z2551" s="93"/>
    </row>
    <row r="2552" spans="3:26">
      <c r="C2552" s="89"/>
      <c r="D2552" s="90"/>
      <c r="E2552" s="90"/>
      <c r="F2552" s="90"/>
      <c r="G2552" s="90"/>
      <c r="H2552" s="90"/>
      <c r="I2552" s="90"/>
      <c r="T2552" s="90"/>
      <c r="V2552" s="90"/>
      <c r="W2552" s="90"/>
      <c r="X2552" s="90"/>
      <c r="Y2552" s="90"/>
      <c r="Z2552" s="93"/>
    </row>
    <row r="2553" spans="3:26">
      <c r="C2553" s="89"/>
      <c r="D2553" s="90"/>
      <c r="E2553" s="90"/>
      <c r="F2553" s="90"/>
      <c r="G2553" s="90"/>
      <c r="H2553" s="90"/>
      <c r="I2553" s="90"/>
      <c r="T2553" s="90"/>
      <c r="V2553" s="90"/>
      <c r="W2553" s="90"/>
      <c r="X2553" s="90"/>
      <c r="Y2553" s="90"/>
      <c r="Z2553" s="93"/>
    </row>
    <row r="2554" spans="3:26">
      <c r="C2554" s="89"/>
      <c r="D2554" s="90"/>
      <c r="E2554" s="90"/>
      <c r="F2554" s="90"/>
      <c r="G2554" s="90"/>
      <c r="H2554" s="90"/>
      <c r="I2554" s="90"/>
      <c r="T2554" s="90"/>
      <c r="V2554" s="90"/>
      <c r="W2554" s="90"/>
      <c r="X2554" s="90"/>
      <c r="Y2554" s="90"/>
      <c r="Z2554" s="93"/>
    </row>
    <row r="2555" spans="3:26">
      <c r="C2555" s="89"/>
      <c r="D2555" s="90"/>
      <c r="E2555" s="90"/>
      <c r="F2555" s="90"/>
      <c r="G2555" s="90"/>
      <c r="H2555" s="90"/>
      <c r="I2555" s="90"/>
      <c r="T2555" s="90"/>
      <c r="V2555" s="90"/>
      <c r="W2555" s="90"/>
      <c r="X2555" s="90"/>
      <c r="Y2555" s="90"/>
      <c r="Z2555" s="93"/>
    </row>
    <row r="2556" spans="3:26">
      <c r="C2556" s="89"/>
      <c r="D2556" s="90"/>
      <c r="E2556" s="90"/>
      <c r="F2556" s="90"/>
      <c r="G2556" s="90"/>
      <c r="H2556" s="90"/>
      <c r="I2556" s="90"/>
      <c r="T2556" s="90"/>
      <c r="V2556" s="90"/>
      <c r="W2556" s="90"/>
      <c r="X2556" s="90"/>
      <c r="Y2556" s="90"/>
      <c r="Z2556" s="93"/>
    </row>
    <row r="2557" spans="3:26">
      <c r="C2557" s="89"/>
      <c r="D2557" s="90"/>
      <c r="E2557" s="90"/>
      <c r="F2557" s="90"/>
      <c r="G2557" s="90"/>
      <c r="H2557" s="90"/>
      <c r="I2557" s="90"/>
      <c r="T2557" s="90"/>
      <c r="V2557" s="90"/>
      <c r="W2557" s="90"/>
      <c r="X2557" s="90"/>
      <c r="Y2557" s="90"/>
      <c r="Z2557" s="93"/>
    </row>
    <row r="2558" spans="3:26">
      <c r="C2558" s="89"/>
      <c r="D2558" s="90"/>
      <c r="E2558" s="90"/>
      <c r="F2558" s="90"/>
      <c r="G2558" s="90"/>
      <c r="H2558" s="90"/>
      <c r="I2558" s="90"/>
      <c r="T2558" s="90"/>
      <c r="V2558" s="90"/>
      <c r="W2558" s="90"/>
      <c r="X2558" s="90"/>
      <c r="Y2558" s="90"/>
      <c r="Z2558" s="93"/>
    </row>
    <row r="2559" spans="3:26">
      <c r="C2559" s="89"/>
      <c r="D2559" s="90"/>
      <c r="E2559" s="90"/>
      <c r="F2559" s="90"/>
      <c r="G2559" s="90"/>
      <c r="H2559" s="90"/>
      <c r="I2559" s="90"/>
      <c r="T2559" s="90"/>
      <c r="V2559" s="90"/>
      <c r="W2559" s="90"/>
      <c r="X2559" s="90"/>
      <c r="Y2559" s="90"/>
      <c r="Z2559" s="93"/>
    </row>
    <row r="2560" spans="3:26">
      <c r="C2560" s="89"/>
      <c r="D2560" s="90"/>
      <c r="E2560" s="90"/>
      <c r="F2560" s="90"/>
      <c r="G2560" s="90"/>
      <c r="H2560" s="90"/>
      <c r="I2560" s="90"/>
      <c r="T2560" s="90"/>
      <c r="V2560" s="90"/>
      <c r="W2560" s="90"/>
      <c r="X2560" s="90"/>
      <c r="Y2560" s="90"/>
      <c r="Z2560" s="93"/>
    </row>
    <row r="2561" spans="3:26">
      <c r="C2561" s="89"/>
      <c r="D2561" s="90"/>
      <c r="E2561" s="90"/>
      <c r="F2561" s="90"/>
      <c r="G2561" s="90"/>
      <c r="H2561" s="90"/>
      <c r="I2561" s="90"/>
      <c r="T2561" s="90"/>
      <c r="V2561" s="90"/>
      <c r="W2561" s="90"/>
      <c r="X2561" s="90"/>
      <c r="Y2561" s="90"/>
      <c r="Z2561" s="93"/>
    </row>
    <row r="2562" spans="3:26">
      <c r="C2562" s="89"/>
      <c r="D2562" s="90"/>
      <c r="E2562" s="90"/>
      <c r="F2562" s="90"/>
      <c r="G2562" s="90"/>
      <c r="H2562" s="90"/>
      <c r="I2562" s="90"/>
      <c r="T2562" s="90"/>
      <c r="V2562" s="90"/>
      <c r="W2562" s="90"/>
      <c r="X2562" s="90"/>
      <c r="Y2562" s="90"/>
      <c r="Z2562" s="93"/>
    </row>
    <row r="2563" spans="3:26">
      <c r="C2563" s="89"/>
      <c r="D2563" s="90"/>
      <c r="E2563" s="90"/>
      <c r="F2563" s="90"/>
      <c r="G2563" s="90"/>
      <c r="H2563" s="90"/>
      <c r="I2563" s="90"/>
      <c r="T2563" s="90"/>
      <c r="V2563" s="90"/>
      <c r="W2563" s="90"/>
      <c r="X2563" s="90"/>
      <c r="Y2563" s="90"/>
      <c r="Z2563" s="93"/>
    </row>
    <row r="2564" spans="3:26">
      <c r="C2564" s="89"/>
      <c r="D2564" s="90"/>
      <c r="E2564" s="90"/>
      <c r="F2564" s="90"/>
      <c r="G2564" s="90"/>
      <c r="H2564" s="90"/>
      <c r="I2564" s="90"/>
      <c r="T2564" s="90"/>
      <c r="V2564" s="90"/>
      <c r="W2564" s="90"/>
      <c r="X2564" s="90"/>
      <c r="Y2564" s="90"/>
      <c r="Z2564" s="93"/>
    </row>
    <row r="2565" spans="3:26">
      <c r="C2565" s="89"/>
      <c r="D2565" s="90"/>
      <c r="E2565" s="90"/>
      <c r="F2565" s="90"/>
      <c r="G2565" s="90"/>
      <c r="H2565" s="90"/>
      <c r="I2565" s="90"/>
      <c r="T2565" s="90"/>
      <c r="V2565" s="90"/>
      <c r="W2565" s="90"/>
      <c r="X2565" s="90"/>
      <c r="Y2565" s="90"/>
      <c r="Z2565" s="93"/>
    </row>
    <row r="2566" spans="3:26">
      <c r="C2566" s="89"/>
      <c r="D2566" s="90"/>
      <c r="E2566" s="90"/>
      <c r="F2566" s="90"/>
      <c r="G2566" s="90"/>
      <c r="H2566" s="90"/>
      <c r="I2566" s="90"/>
      <c r="T2566" s="90"/>
      <c r="V2566" s="90"/>
      <c r="W2566" s="90"/>
      <c r="X2566" s="90"/>
      <c r="Y2566" s="90"/>
      <c r="Z2566" s="93"/>
    </row>
    <row r="2567" spans="3:26">
      <c r="C2567" s="89"/>
      <c r="D2567" s="90"/>
      <c r="E2567" s="90"/>
      <c r="F2567" s="90"/>
      <c r="G2567" s="90"/>
      <c r="H2567" s="90"/>
      <c r="I2567" s="90"/>
      <c r="T2567" s="90"/>
      <c r="V2567" s="90"/>
      <c r="W2567" s="90"/>
      <c r="X2567" s="90"/>
      <c r="Y2567" s="90"/>
      <c r="Z2567" s="93"/>
    </row>
    <row r="2568" spans="3:26">
      <c r="C2568" s="89"/>
      <c r="D2568" s="90"/>
      <c r="E2568" s="90"/>
      <c r="F2568" s="90"/>
      <c r="G2568" s="90"/>
      <c r="H2568" s="90"/>
      <c r="I2568" s="90"/>
      <c r="T2568" s="90"/>
      <c r="V2568" s="90"/>
      <c r="W2568" s="90"/>
      <c r="X2568" s="90"/>
      <c r="Y2568" s="90"/>
      <c r="Z2568" s="93"/>
    </row>
    <row r="2569" spans="3:26">
      <c r="C2569" s="89"/>
      <c r="D2569" s="90"/>
      <c r="E2569" s="90"/>
      <c r="F2569" s="90"/>
      <c r="G2569" s="90"/>
      <c r="H2569" s="90"/>
      <c r="I2569" s="90"/>
      <c r="T2569" s="90"/>
      <c r="V2569" s="90"/>
      <c r="W2569" s="90"/>
      <c r="X2569" s="90"/>
      <c r="Y2569" s="90"/>
      <c r="Z2569" s="93"/>
    </row>
    <row r="2570" spans="3:26">
      <c r="C2570" s="89"/>
      <c r="D2570" s="90"/>
      <c r="E2570" s="90"/>
      <c r="F2570" s="90"/>
      <c r="G2570" s="90"/>
      <c r="H2570" s="90"/>
      <c r="I2570" s="90"/>
      <c r="T2570" s="90"/>
      <c r="V2570" s="90"/>
      <c r="W2570" s="90"/>
      <c r="X2570" s="90"/>
      <c r="Y2570" s="90"/>
      <c r="Z2570" s="93"/>
    </row>
    <row r="2571" spans="3:26">
      <c r="C2571" s="89"/>
      <c r="D2571" s="90"/>
      <c r="E2571" s="90"/>
      <c r="F2571" s="90"/>
      <c r="G2571" s="90"/>
      <c r="H2571" s="90"/>
      <c r="I2571" s="90"/>
      <c r="T2571" s="90"/>
      <c r="V2571" s="90"/>
      <c r="W2571" s="90"/>
      <c r="X2571" s="90"/>
      <c r="Y2571" s="90"/>
      <c r="Z2571" s="93"/>
    </row>
    <row r="2572" spans="3:26">
      <c r="C2572" s="89"/>
      <c r="D2572" s="90"/>
      <c r="E2572" s="90"/>
      <c r="F2572" s="90"/>
      <c r="G2572" s="90"/>
      <c r="H2572" s="90"/>
      <c r="I2572" s="90"/>
      <c r="T2572" s="90"/>
      <c r="V2572" s="90"/>
      <c r="W2572" s="90"/>
      <c r="X2572" s="90"/>
      <c r="Y2572" s="90"/>
      <c r="Z2572" s="93"/>
    </row>
    <row r="2573" spans="3:26">
      <c r="C2573" s="89"/>
      <c r="D2573" s="90"/>
      <c r="E2573" s="90"/>
      <c r="F2573" s="90"/>
      <c r="G2573" s="90"/>
      <c r="H2573" s="90"/>
      <c r="I2573" s="90"/>
      <c r="T2573" s="90"/>
      <c r="V2573" s="90"/>
      <c r="W2573" s="90"/>
      <c r="X2573" s="90"/>
      <c r="Y2573" s="90"/>
      <c r="Z2573" s="93"/>
    </row>
    <row r="2574" spans="3:26">
      <c r="C2574" s="89"/>
      <c r="D2574" s="90"/>
      <c r="E2574" s="90"/>
      <c r="F2574" s="90"/>
      <c r="G2574" s="90"/>
      <c r="H2574" s="90"/>
      <c r="I2574" s="90"/>
      <c r="T2574" s="90"/>
      <c r="V2574" s="90"/>
      <c r="W2574" s="90"/>
      <c r="X2574" s="90"/>
      <c r="Y2574" s="90"/>
      <c r="Z2574" s="93"/>
    </row>
    <row r="2575" spans="3:26">
      <c r="C2575" s="89"/>
      <c r="D2575" s="90"/>
      <c r="E2575" s="90"/>
      <c r="F2575" s="90"/>
      <c r="G2575" s="90"/>
      <c r="H2575" s="90"/>
      <c r="I2575" s="90"/>
      <c r="T2575" s="90"/>
      <c r="V2575" s="90"/>
      <c r="W2575" s="90"/>
      <c r="X2575" s="90"/>
      <c r="Y2575" s="90"/>
      <c r="Z2575" s="93"/>
    </row>
    <row r="2576" spans="3:26">
      <c r="C2576" s="89"/>
      <c r="D2576" s="90"/>
      <c r="E2576" s="90"/>
      <c r="F2576" s="90"/>
      <c r="G2576" s="90"/>
      <c r="H2576" s="90"/>
      <c r="I2576" s="90"/>
      <c r="T2576" s="90"/>
      <c r="V2576" s="90"/>
      <c r="W2576" s="90"/>
      <c r="X2576" s="90"/>
      <c r="Y2576" s="90"/>
      <c r="Z2576" s="93"/>
    </row>
    <row r="2577" spans="3:26">
      <c r="C2577" s="89"/>
      <c r="D2577" s="90"/>
      <c r="E2577" s="90"/>
      <c r="F2577" s="90"/>
      <c r="G2577" s="90"/>
      <c r="H2577" s="90"/>
      <c r="I2577" s="90"/>
      <c r="T2577" s="90"/>
      <c r="V2577" s="90"/>
      <c r="W2577" s="90"/>
      <c r="X2577" s="90"/>
      <c r="Y2577" s="90"/>
      <c r="Z2577" s="93"/>
    </row>
    <row r="2578" spans="3:26">
      <c r="C2578" s="89"/>
      <c r="D2578" s="90"/>
      <c r="E2578" s="90"/>
      <c r="F2578" s="90"/>
      <c r="G2578" s="90"/>
      <c r="H2578" s="90"/>
      <c r="I2578" s="90"/>
      <c r="T2578" s="90"/>
      <c r="V2578" s="90"/>
      <c r="W2578" s="90"/>
      <c r="X2578" s="90"/>
      <c r="Y2578" s="90"/>
      <c r="Z2578" s="93"/>
    </row>
    <row r="2579" spans="3:26">
      <c r="C2579" s="89"/>
      <c r="D2579" s="90"/>
      <c r="E2579" s="90"/>
      <c r="F2579" s="90"/>
      <c r="G2579" s="90"/>
      <c r="H2579" s="90"/>
      <c r="I2579" s="90"/>
      <c r="T2579" s="90"/>
      <c r="V2579" s="90"/>
      <c r="W2579" s="90"/>
      <c r="X2579" s="90"/>
      <c r="Y2579" s="90"/>
      <c r="Z2579" s="93"/>
    </row>
    <row r="2580" spans="3:26">
      <c r="C2580" s="89"/>
      <c r="D2580" s="90"/>
      <c r="E2580" s="90"/>
      <c r="F2580" s="90"/>
      <c r="G2580" s="90"/>
      <c r="H2580" s="90"/>
      <c r="I2580" s="90"/>
      <c r="T2580" s="90"/>
      <c r="V2580" s="90"/>
      <c r="W2580" s="90"/>
      <c r="X2580" s="90"/>
      <c r="Y2580" s="90"/>
      <c r="Z2580" s="93"/>
    </row>
    <row r="2581" spans="3:26">
      <c r="C2581" s="89"/>
      <c r="D2581" s="90"/>
      <c r="E2581" s="90"/>
      <c r="F2581" s="90"/>
      <c r="G2581" s="90"/>
      <c r="H2581" s="90"/>
      <c r="I2581" s="90"/>
      <c r="T2581" s="90"/>
      <c r="V2581" s="90"/>
      <c r="W2581" s="90"/>
      <c r="X2581" s="90"/>
      <c r="Y2581" s="90"/>
      <c r="Z2581" s="93"/>
    </row>
    <row r="2582" spans="3:26">
      <c r="C2582" s="89"/>
      <c r="D2582" s="90"/>
      <c r="E2582" s="90"/>
      <c r="F2582" s="90"/>
      <c r="G2582" s="90"/>
      <c r="H2582" s="90"/>
      <c r="I2582" s="90"/>
      <c r="T2582" s="90"/>
      <c r="V2582" s="90"/>
      <c r="W2582" s="90"/>
      <c r="X2582" s="90"/>
      <c r="Y2582" s="90"/>
      <c r="Z2582" s="93"/>
    </row>
    <row r="2583" spans="3:26">
      <c r="C2583" s="89"/>
      <c r="D2583" s="90"/>
      <c r="E2583" s="90"/>
      <c r="F2583" s="90"/>
      <c r="G2583" s="90"/>
      <c r="H2583" s="90"/>
      <c r="I2583" s="90"/>
      <c r="T2583" s="90"/>
      <c r="V2583" s="90"/>
      <c r="W2583" s="90"/>
      <c r="X2583" s="90"/>
      <c r="Y2583" s="90"/>
      <c r="Z2583" s="93"/>
    </row>
    <row r="2584" spans="3:26">
      <c r="C2584" s="89"/>
      <c r="D2584" s="90"/>
      <c r="E2584" s="90"/>
      <c r="F2584" s="90"/>
      <c r="G2584" s="90"/>
      <c r="H2584" s="90"/>
      <c r="I2584" s="90"/>
      <c r="T2584" s="90"/>
      <c r="V2584" s="90"/>
      <c r="W2584" s="90"/>
      <c r="X2584" s="90"/>
      <c r="Y2584" s="90"/>
      <c r="Z2584" s="93"/>
    </row>
    <row r="2585" spans="3:26">
      <c r="C2585" s="89"/>
      <c r="D2585" s="90"/>
      <c r="E2585" s="90"/>
      <c r="F2585" s="90"/>
      <c r="G2585" s="90"/>
      <c r="H2585" s="90"/>
      <c r="I2585" s="90"/>
      <c r="T2585" s="90"/>
      <c r="V2585" s="90"/>
      <c r="W2585" s="90"/>
      <c r="X2585" s="90"/>
      <c r="Y2585" s="90"/>
      <c r="Z2585" s="93"/>
    </row>
    <row r="2586" spans="3:26">
      <c r="C2586" s="89"/>
      <c r="D2586" s="90"/>
      <c r="E2586" s="90"/>
      <c r="F2586" s="90"/>
      <c r="G2586" s="90"/>
      <c r="H2586" s="90"/>
      <c r="I2586" s="90"/>
      <c r="T2586" s="90"/>
      <c r="V2586" s="90"/>
      <c r="W2586" s="90"/>
      <c r="X2586" s="90"/>
      <c r="Y2586" s="90"/>
      <c r="Z2586" s="93"/>
    </row>
    <row r="2587" spans="3:26">
      <c r="C2587" s="89"/>
      <c r="D2587" s="90"/>
      <c r="E2587" s="90"/>
      <c r="F2587" s="90"/>
      <c r="G2587" s="90"/>
      <c r="H2587" s="90"/>
      <c r="I2587" s="90"/>
      <c r="T2587" s="90"/>
      <c r="V2587" s="90"/>
      <c r="W2587" s="90"/>
      <c r="X2587" s="90"/>
      <c r="Y2587" s="90"/>
      <c r="Z2587" s="93"/>
    </row>
    <row r="2588" spans="3:26">
      <c r="C2588" s="89"/>
      <c r="D2588" s="90"/>
      <c r="E2588" s="90"/>
      <c r="F2588" s="90"/>
      <c r="G2588" s="90"/>
      <c r="H2588" s="90"/>
      <c r="I2588" s="90"/>
      <c r="T2588" s="90"/>
      <c r="V2588" s="90"/>
      <c r="W2588" s="90"/>
      <c r="X2588" s="90"/>
      <c r="Y2588" s="90"/>
      <c r="Z2588" s="93"/>
    </row>
    <row r="2589" spans="3:26">
      <c r="C2589" s="89"/>
      <c r="D2589" s="90"/>
      <c r="E2589" s="90"/>
      <c r="F2589" s="90"/>
      <c r="G2589" s="90"/>
      <c r="H2589" s="90"/>
      <c r="I2589" s="90"/>
      <c r="T2589" s="90"/>
      <c r="V2589" s="90"/>
      <c r="W2589" s="90"/>
      <c r="X2589" s="90"/>
      <c r="Y2589" s="90"/>
      <c r="Z2589" s="93"/>
    </row>
    <row r="2590" spans="3:26">
      <c r="C2590" s="89"/>
      <c r="D2590" s="90"/>
      <c r="E2590" s="90"/>
      <c r="F2590" s="90"/>
      <c r="G2590" s="90"/>
      <c r="H2590" s="90"/>
      <c r="I2590" s="90"/>
      <c r="T2590" s="90"/>
      <c r="V2590" s="90"/>
      <c r="W2590" s="90"/>
      <c r="X2590" s="90"/>
      <c r="Y2590" s="90"/>
      <c r="Z2590" s="93"/>
    </row>
    <row r="2591" spans="3:26">
      <c r="C2591" s="89"/>
      <c r="D2591" s="90"/>
      <c r="E2591" s="90"/>
      <c r="F2591" s="90"/>
      <c r="G2591" s="90"/>
      <c r="H2591" s="90"/>
      <c r="I2591" s="90"/>
      <c r="T2591" s="90"/>
      <c r="V2591" s="90"/>
      <c r="W2591" s="90"/>
      <c r="X2591" s="90"/>
      <c r="Y2591" s="90"/>
      <c r="Z2591" s="93"/>
    </row>
    <row r="2592" spans="3:26">
      <c r="C2592" s="89"/>
      <c r="D2592" s="90"/>
      <c r="E2592" s="90"/>
      <c r="F2592" s="90"/>
      <c r="G2592" s="90"/>
      <c r="H2592" s="90"/>
      <c r="I2592" s="90"/>
      <c r="T2592" s="90"/>
      <c r="V2592" s="90"/>
      <c r="W2592" s="90"/>
      <c r="X2592" s="90"/>
      <c r="Y2592" s="90"/>
      <c r="Z2592" s="93"/>
    </row>
    <row r="2593" spans="3:26">
      <c r="C2593" s="89"/>
      <c r="D2593" s="90"/>
      <c r="E2593" s="90"/>
      <c r="F2593" s="90"/>
      <c r="G2593" s="90"/>
      <c r="H2593" s="90"/>
      <c r="I2593" s="90"/>
      <c r="T2593" s="90"/>
      <c r="V2593" s="90"/>
      <c r="W2593" s="90"/>
      <c r="X2593" s="90"/>
      <c r="Y2593" s="90"/>
      <c r="Z2593" s="93"/>
    </row>
    <row r="2594" spans="3:26">
      <c r="C2594" s="89"/>
      <c r="D2594" s="90"/>
      <c r="E2594" s="90"/>
      <c r="F2594" s="90"/>
      <c r="G2594" s="90"/>
      <c r="H2594" s="90"/>
      <c r="I2594" s="90"/>
      <c r="T2594" s="90"/>
      <c r="V2594" s="90"/>
      <c r="W2594" s="90"/>
      <c r="X2594" s="90"/>
      <c r="Y2594" s="90"/>
      <c r="Z2594" s="93"/>
    </row>
    <row r="2595" spans="3:26">
      <c r="C2595" s="89"/>
      <c r="D2595" s="90"/>
      <c r="E2595" s="90"/>
      <c r="F2595" s="90"/>
      <c r="G2595" s="90"/>
      <c r="H2595" s="90"/>
      <c r="I2595" s="90"/>
      <c r="T2595" s="90"/>
      <c r="V2595" s="90"/>
      <c r="W2595" s="90"/>
      <c r="X2595" s="90"/>
      <c r="Y2595" s="90"/>
      <c r="Z2595" s="93"/>
    </row>
    <row r="2596" spans="3:26">
      <c r="C2596" s="89"/>
      <c r="D2596" s="90"/>
      <c r="E2596" s="90"/>
      <c r="F2596" s="90"/>
      <c r="G2596" s="90"/>
      <c r="H2596" s="90"/>
      <c r="I2596" s="90"/>
      <c r="T2596" s="90"/>
      <c r="V2596" s="90"/>
      <c r="W2596" s="90"/>
      <c r="X2596" s="90"/>
      <c r="Y2596" s="90"/>
      <c r="Z2596" s="93"/>
    </row>
    <row r="2597" spans="3:26">
      <c r="C2597" s="89"/>
      <c r="D2597" s="90"/>
      <c r="E2597" s="90"/>
      <c r="F2597" s="90"/>
      <c r="G2597" s="90"/>
      <c r="H2597" s="90"/>
      <c r="I2597" s="90"/>
      <c r="T2597" s="90"/>
      <c r="V2597" s="90"/>
      <c r="W2597" s="90"/>
      <c r="X2597" s="90"/>
      <c r="Y2597" s="90"/>
      <c r="Z2597" s="93"/>
    </row>
    <row r="2598" spans="3:26">
      <c r="C2598" s="89"/>
      <c r="D2598" s="90"/>
      <c r="E2598" s="90"/>
      <c r="F2598" s="90"/>
      <c r="G2598" s="90"/>
      <c r="H2598" s="90"/>
      <c r="I2598" s="90"/>
      <c r="T2598" s="90"/>
      <c r="V2598" s="90"/>
      <c r="W2598" s="90"/>
      <c r="X2598" s="90"/>
      <c r="Y2598" s="90"/>
      <c r="Z2598" s="93"/>
    </row>
    <row r="2599" spans="3:26">
      <c r="C2599" s="89"/>
      <c r="D2599" s="90"/>
      <c r="E2599" s="90"/>
      <c r="F2599" s="90"/>
      <c r="G2599" s="90"/>
      <c r="H2599" s="90"/>
      <c r="I2599" s="90"/>
      <c r="T2599" s="90"/>
      <c r="V2599" s="90"/>
      <c r="W2599" s="90"/>
      <c r="X2599" s="90"/>
      <c r="Y2599" s="90"/>
      <c r="Z2599" s="93"/>
    </row>
    <row r="2600" spans="3:26">
      <c r="C2600" s="89"/>
      <c r="D2600" s="90"/>
      <c r="E2600" s="90"/>
      <c r="F2600" s="90"/>
      <c r="G2600" s="90"/>
      <c r="H2600" s="90"/>
      <c r="I2600" s="90"/>
      <c r="T2600" s="90"/>
      <c r="V2600" s="90"/>
      <c r="W2600" s="90"/>
      <c r="X2600" s="90"/>
      <c r="Y2600" s="90"/>
      <c r="Z2600" s="93"/>
    </row>
    <row r="2601" spans="3:26">
      <c r="C2601" s="89"/>
      <c r="D2601" s="90"/>
      <c r="E2601" s="90"/>
      <c r="F2601" s="90"/>
      <c r="G2601" s="90"/>
      <c r="H2601" s="90"/>
      <c r="I2601" s="90"/>
      <c r="T2601" s="90"/>
      <c r="V2601" s="90"/>
      <c r="W2601" s="90"/>
      <c r="X2601" s="90"/>
      <c r="Y2601" s="90"/>
      <c r="Z2601" s="93"/>
    </row>
    <row r="2602" spans="3:26">
      <c r="C2602" s="89"/>
      <c r="D2602" s="90"/>
      <c r="E2602" s="90"/>
      <c r="F2602" s="90"/>
      <c r="G2602" s="90"/>
      <c r="H2602" s="90"/>
      <c r="I2602" s="90"/>
      <c r="T2602" s="90"/>
      <c r="V2602" s="90"/>
      <c r="W2602" s="90"/>
      <c r="X2602" s="90"/>
      <c r="Y2602" s="90"/>
      <c r="Z2602" s="93"/>
    </row>
    <row r="2603" spans="3:26">
      <c r="C2603" s="89"/>
      <c r="D2603" s="90"/>
      <c r="E2603" s="90"/>
      <c r="F2603" s="90"/>
      <c r="G2603" s="90"/>
      <c r="H2603" s="90"/>
      <c r="I2603" s="90"/>
      <c r="T2603" s="90"/>
      <c r="V2603" s="90"/>
      <c r="W2603" s="90"/>
      <c r="X2603" s="90"/>
      <c r="Y2603" s="90"/>
      <c r="Z2603" s="93"/>
    </row>
    <row r="2604" spans="3:26">
      <c r="C2604" s="89"/>
      <c r="D2604" s="90"/>
      <c r="E2604" s="90"/>
      <c r="F2604" s="90"/>
      <c r="G2604" s="90"/>
      <c r="H2604" s="90"/>
      <c r="I2604" s="90"/>
      <c r="T2604" s="90"/>
      <c r="V2604" s="90"/>
      <c r="W2604" s="90"/>
      <c r="X2604" s="90"/>
      <c r="Y2604" s="90"/>
      <c r="Z2604" s="93"/>
    </row>
    <row r="2605" spans="3:26">
      <c r="C2605" s="89"/>
      <c r="D2605" s="90"/>
      <c r="E2605" s="90"/>
      <c r="F2605" s="90"/>
      <c r="G2605" s="90"/>
      <c r="H2605" s="90"/>
      <c r="I2605" s="90"/>
      <c r="T2605" s="90"/>
      <c r="V2605" s="90"/>
      <c r="W2605" s="90"/>
      <c r="X2605" s="90"/>
      <c r="Y2605" s="90"/>
      <c r="Z2605" s="93"/>
    </row>
    <row r="2606" spans="3:26">
      <c r="C2606" s="89"/>
      <c r="D2606" s="90"/>
      <c r="E2606" s="90"/>
      <c r="F2606" s="90"/>
      <c r="G2606" s="90"/>
      <c r="H2606" s="90"/>
      <c r="I2606" s="90"/>
      <c r="T2606" s="90"/>
      <c r="V2606" s="90"/>
      <c r="W2606" s="90"/>
      <c r="X2606" s="90"/>
      <c r="Y2606" s="90"/>
      <c r="Z2606" s="93"/>
    </row>
    <row r="2607" spans="3:26">
      <c r="C2607" s="89"/>
      <c r="D2607" s="90"/>
      <c r="E2607" s="90"/>
      <c r="F2607" s="90"/>
      <c r="G2607" s="90"/>
      <c r="H2607" s="90"/>
      <c r="I2607" s="90"/>
      <c r="T2607" s="90"/>
      <c r="V2607" s="90"/>
      <c r="W2607" s="90"/>
      <c r="X2607" s="90"/>
      <c r="Y2607" s="90"/>
      <c r="Z2607" s="93"/>
    </row>
    <row r="2608" spans="3:26">
      <c r="C2608" s="89"/>
      <c r="D2608" s="90"/>
      <c r="E2608" s="90"/>
      <c r="F2608" s="90"/>
      <c r="G2608" s="90"/>
      <c r="H2608" s="90"/>
      <c r="I2608" s="90"/>
      <c r="T2608" s="90"/>
      <c r="V2608" s="90"/>
      <c r="W2608" s="90"/>
      <c r="X2608" s="90"/>
      <c r="Y2608" s="90"/>
      <c r="Z2608" s="93"/>
    </row>
    <row r="2609" spans="3:26">
      <c r="C2609" s="89"/>
      <c r="D2609" s="90"/>
      <c r="E2609" s="90"/>
      <c r="F2609" s="90"/>
      <c r="G2609" s="90"/>
      <c r="H2609" s="90"/>
      <c r="I2609" s="90"/>
      <c r="T2609" s="90"/>
      <c r="V2609" s="90"/>
      <c r="W2609" s="90"/>
      <c r="X2609" s="90"/>
      <c r="Y2609" s="90"/>
      <c r="Z2609" s="93"/>
    </row>
    <row r="2610" spans="3:26">
      <c r="C2610" s="89"/>
      <c r="D2610" s="90"/>
      <c r="E2610" s="90"/>
      <c r="F2610" s="90"/>
      <c r="G2610" s="90"/>
      <c r="H2610" s="90"/>
      <c r="I2610" s="90"/>
      <c r="T2610" s="90"/>
      <c r="V2610" s="90"/>
      <c r="W2610" s="90"/>
      <c r="X2610" s="90"/>
      <c r="Y2610" s="90"/>
      <c r="Z2610" s="93"/>
    </row>
    <row r="2611" spans="3:26">
      <c r="C2611" s="89"/>
      <c r="D2611" s="90"/>
      <c r="E2611" s="90"/>
      <c r="F2611" s="90"/>
      <c r="G2611" s="90"/>
      <c r="H2611" s="90"/>
      <c r="I2611" s="90"/>
      <c r="T2611" s="90"/>
      <c r="V2611" s="90"/>
      <c r="W2611" s="90"/>
      <c r="X2611" s="90"/>
      <c r="Y2611" s="90"/>
      <c r="Z2611" s="93"/>
    </row>
    <row r="2612" spans="3:26">
      <c r="C2612" s="89"/>
      <c r="D2612" s="90"/>
      <c r="E2612" s="90"/>
      <c r="F2612" s="90"/>
      <c r="G2612" s="90"/>
      <c r="H2612" s="90"/>
      <c r="I2612" s="90"/>
      <c r="T2612" s="90"/>
      <c r="V2612" s="90"/>
      <c r="W2612" s="90"/>
      <c r="X2612" s="90"/>
      <c r="Y2612" s="90"/>
      <c r="Z2612" s="93"/>
    </row>
    <row r="2613" spans="3:26">
      <c r="C2613" s="89"/>
      <c r="D2613" s="90"/>
      <c r="E2613" s="90"/>
      <c r="F2613" s="90"/>
      <c r="G2613" s="90"/>
      <c r="H2613" s="90"/>
      <c r="I2613" s="90"/>
      <c r="T2613" s="90"/>
      <c r="V2613" s="90"/>
      <c r="W2613" s="90"/>
      <c r="X2613" s="90"/>
      <c r="Y2613" s="90"/>
      <c r="Z2613" s="93"/>
    </row>
    <row r="2614" spans="3:26">
      <c r="C2614" s="89"/>
      <c r="D2614" s="90"/>
      <c r="E2614" s="90"/>
      <c r="F2614" s="90"/>
      <c r="G2614" s="90"/>
      <c r="H2614" s="90"/>
      <c r="I2614" s="90"/>
      <c r="T2614" s="90"/>
      <c r="V2614" s="90"/>
      <c r="W2614" s="90"/>
      <c r="X2614" s="90"/>
      <c r="Y2614" s="90"/>
      <c r="Z2614" s="93"/>
    </row>
    <row r="2615" spans="3:26">
      <c r="C2615" s="89"/>
      <c r="D2615" s="90"/>
      <c r="E2615" s="90"/>
      <c r="F2615" s="90"/>
      <c r="G2615" s="90"/>
      <c r="H2615" s="90"/>
      <c r="I2615" s="90"/>
      <c r="T2615" s="90"/>
      <c r="V2615" s="90"/>
      <c r="W2615" s="90"/>
      <c r="X2615" s="90"/>
      <c r="Y2615" s="90"/>
      <c r="Z2615" s="93"/>
    </row>
    <row r="2616" spans="3:26">
      <c r="C2616" s="89"/>
      <c r="D2616" s="90"/>
      <c r="E2616" s="90"/>
      <c r="F2616" s="90"/>
      <c r="G2616" s="90"/>
      <c r="H2616" s="90"/>
      <c r="I2616" s="90"/>
      <c r="T2616" s="90"/>
      <c r="V2616" s="90"/>
      <c r="W2616" s="90"/>
      <c r="X2616" s="90"/>
      <c r="Y2616" s="90"/>
      <c r="Z2616" s="93"/>
    </row>
    <row r="2617" spans="3:26">
      <c r="C2617" s="89"/>
      <c r="D2617" s="90"/>
      <c r="E2617" s="90"/>
      <c r="F2617" s="90"/>
      <c r="G2617" s="90"/>
      <c r="H2617" s="90"/>
      <c r="I2617" s="90"/>
      <c r="T2617" s="90"/>
      <c r="V2617" s="90"/>
      <c r="W2617" s="90"/>
      <c r="X2617" s="90"/>
      <c r="Y2617" s="90"/>
      <c r="Z2617" s="93"/>
    </row>
    <row r="2618" spans="3:26">
      <c r="C2618" s="89"/>
      <c r="D2618" s="90"/>
      <c r="E2618" s="90"/>
      <c r="F2618" s="90"/>
      <c r="G2618" s="90"/>
      <c r="H2618" s="90"/>
      <c r="I2618" s="90"/>
      <c r="T2618" s="90"/>
      <c r="V2618" s="90"/>
      <c r="W2618" s="90"/>
      <c r="X2618" s="90"/>
      <c r="Y2618" s="90"/>
      <c r="Z2618" s="93"/>
    </row>
    <row r="2619" spans="3:26">
      <c r="C2619" s="89"/>
      <c r="D2619" s="90"/>
      <c r="E2619" s="90"/>
      <c r="F2619" s="90"/>
      <c r="G2619" s="90"/>
      <c r="H2619" s="90"/>
      <c r="I2619" s="90"/>
      <c r="T2619" s="90"/>
      <c r="V2619" s="90"/>
      <c r="W2619" s="90"/>
      <c r="X2619" s="90"/>
      <c r="Y2619" s="90"/>
      <c r="Z2619" s="93"/>
    </row>
    <row r="2620" spans="3:26">
      <c r="C2620" s="89"/>
      <c r="D2620" s="90"/>
      <c r="E2620" s="90"/>
      <c r="F2620" s="90"/>
      <c r="G2620" s="90"/>
      <c r="H2620" s="90"/>
      <c r="I2620" s="90"/>
      <c r="T2620" s="90"/>
      <c r="V2620" s="90"/>
      <c r="W2620" s="90"/>
      <c r="X2620" s="90"/>
      <c r="Y2620" s="90"/>
      <c r="Z2620" s="93"/>
    </row>
    <row r="2621" spans="3:26">
      <c r="C2621" s="89"/>
      <c r="D2621" s="90"/>
      <c r="E2621" s="90"/>
      <c r="F2621" s="90"/>
      <c r="G2621" s="90"/>
      <c r="H2621" s="90"/>
      <c r="I2621" s="90"/>
      <c r="T2621" s="90"/>
      <c r="V2621" s="90"/>
      <c r="W2621" s="90"/>
      <c r="X2621" s="90"/>
      <c r="Y2621" s="90"/>
      <c r="Z2621" s="93"/>
    </row>
    <row r="2622" spans="3:26">
      <c r="C2622" s="89"/>
      <c r="D2622" s="90"/>
      <c r="E2622" s="90"/>
      <c r="F2622" s="90"/>
      <c r="G2622" s="90"/>
      <c r="H2622" s="90"/>
      <c r="I2622" s="90"/>
      <c r="T2622" s="90"/>
      <c r="V2622" s="90"/>
      <c r="W2622" s="90"/>
      <c r="X2622" s="90"/>
      <c r="Y2622" s="90"/>
      <c r="Z2622" s="93"/>
    </row>
    <row r="2623" spans="3:26">
      <c r="C2623" s="89"/>
      <c r="D2623" s="90"/>
      <c r="E2623" s="90"/>
      <c r="F2623" s="90"/>
      <c r="G2623" s="90"/>
      <c r="H2623" s="90"/>
      <c r="I2623" s="90"/>
      <c r="T2623" s="90"/>
      <c r="V2623" s="90"/>
      <c r="W2623" s="90"/>
      <c r="X2623" s="90"/>
      <c r="Y2623" s="90"/>
      <c r="Z2623" s="93"/>
    </row>
    <row r="2624" spans="3:26">
      <c r="C2624" s="89"/>
      <c r="D2624" s="90"/>
      <c r="E2624" s="90"/>
      <c r="F2624" s="90"/>
      <c r="G2624" s="90"/>
      <c r="H2624" s="90"/>
      <c r="I2624" s="90"/>
      <c r="T2624" s="90"/>
      <c r="V2624" s="90"/>
      <c r="W2624" s="90"/>
      <c r="X2624" s="90"/>
      <c r="Y2624" s="90"/>
      <c r="Z2624" s="93"/>
    </row>
    <row r="2625" spans="3:26">
      <c r="C2625" s="89"/>
      <c r="D2625" s="90"/>
      <c r="E2625" s="90"/>
      <c r="F2625" s="90"/>
      <c r="G2625" s="90"/>
      <c r="H2625" s="90"/>
      <c r="I2625" s="90"/>
      <c r="T2625" s="90"/>
      <c r="V2625" s="90"/>
      <c r="W2625" s="90"/>
      <c r="X2625" s="90"/>
      <c r="Y2625" s="90"/>
      <c r="Z2625" s="93"/>
    </row>
    <row r="2626" spans="3:26">
      <c r="C2626" s="89"/>
      <c r="D2626" s="90"/>
      <c r="E2626" s="90"/>
      <c r="F2626" s="90"/>
      <c r="G2626" s="90"/>
      <c r="H2626" s="90"/>
      <c r="I2626" s="90"/>
      <c r="T2626" s="90"/>
      <c r="V2626" s="90"/>
      <c r="W2626" s="90"/>
      <c r="X2626" s="90"/>
      <c r="Y2626" s="90"/>
      <c r="Z2626" s="93"/>
    </row>
    <row r="2627" spans="3:26">
      <c r="C2627" s="89"/>
      <c r="D2627" s="90"/>
      <c r="E2627" s="90"/>
      <c r="F2627" s="90"/>
      <c r="G2627" s="90"/>
      <c r="H2627" s="90"/>
      <c r="I2627" s="90"/>
      <c r="T2627" s="90"/>
      <c r="V2627" s="90"/>
      <c r="W2627" s="90"/>
      <c r="X2627" s="90"/>
      <c r="Y2627" s="90"/>
      <c r="Z2627" s="93"/>
    </row>
    <row r="2628" spans="3:26">
      <c r="C2628" s="89"/>
      <c r="D2628" s="90"/>
      <c r="E2628" s="90"/>
      <c r="F2628" s="90"/>
      <c r="G2628" s="90"/>
      <c r="H2628" s="90"/>
      <c r="I2628" s="90"/>
      <c r="T2628" s="90"/>
      <c r="V2628" s="90"/>
      <c r="W2628" s="90"/>
      <c r="X2628" s="90"/>
      <c r="Y2628" s="90"/>
      <c r="Z2628" s="93"/>
    </row>
    <row r="2629" spans="3:26">
      <c r="C2629" s="89"/>
      <c r="D2629" s="90"/>
      <c r="E2629" s="90"/>
      <c r="F2629" s="90"/>
      <c r="G2629" s="90"/>
      <c r="H2629" s="90"/>
      <c r="I2629" s="90"/>
      <c r="T2629" s="90"/>
      <c r="V2629" s="90"/>
      <c r="W2629" s="90"/>
      <c r="X2629" s="90"/>
      <c r="Y2629" s="90"/>
      <c r="Z2629" s="93"/>
    </row>
    <row r="2630" spans="3:26">
      <c r="C2630" s="89"/>
      <c r="D2630" s="90"/>
      <c r="E2630" s="90"/>
      <c r="F2630" s="90"/>
      <c r="G2630" s="90"/>
      <c r="H2630" s="90"/>
      <c r="I2630" s="90"/>
      <c r="T2630" s="90"/>
      <c r="V2630" s="90"/>
      <c r="W2630" s="90"/>
      <c r="X2630" s="90"/>
      <c r="Y2630" s="90"/>
      <c r="Z2630" s="93"/>
    </row>
    <row r="2631" spans="3:26">
      <c r="C2631" s="89"/>
      <c r="D2631" s="90"/>
      <c r="E2631" s="90"/>
      <c r="F2631" s="90"/>
      <c r="G2631" s="90"/>
      <c r="H2631" s="90"/>
      <c r="I2631" s="90"/>
      <c r="T2631" s="90"/>
      <c r="V2631" s="90"/>
      <c r="W2631" s="90"/>
      <c r="X2631" s="90"/>
      <c r="Y2631" s="90"/>
      <c r="Z2631" s="93"/>
    </row>
    <row r="2632" spans="3:26">
      <c r="C2632" s="89"/>
      <c r="D2632" s="90"/>
      <c r="E2632" s="90"/>
      <c r="F2632" s="90"/>
      <c r="G2632" s="90"/>
      <c r="H2632" s="90"/>
      <c r="I2632" s="90"/>
      <c r="T2632" s="90"/>
      <c r="V2632" s="90"/>
      <c r="W2632" s="90"/>
      <c r="X2632" s="90"/>
      <c r="Y2632" s="90"/>
      <c r="Z2632" s="93"/>
    </row>
    <row r="2633" spans="3:26">
      <c r="C2633" s="89"/>
      <c r="D2633" s="90"/>
      <c r="E2633" s="90"/>
      <c r="F2633" s="90"/>
      <c r="G2633" s="90"/>
      <c r="H2633" s="90"/>
      <c r="I2633" s="90"/>
      <c r="T2633" s="90"/>
      <c r="V2633" s="90"/>
      <c r="W2633" s="90"/>
      <c r="X2633" s="90"/>
      <c r="Y2633" s="90"/>
      <c r="Z2633" s="93"/>
    </row>
    <row r="2634" spans="3:26">
      <c r="C2634" s="89"/>
      <c r="D2634" s="90"/>
      <c r="E2634" s="90"/>
      <c r="F2634" s="90"/>
      <c r="G2634" s="90"/>
      <c r="H2634" s="90"/>
      <c r="I2634" s="90"/>
      <c r="T2634" s="90"/>
      <c r="V2634" s="90"/>
      <c r="W2634" s="90"/>
      <c r="X2634" s="90"/>
      <c r="Y2634" s="90"/>
      <c r="Z2634" s="93"/>
    </row>
    <row r="2635" spans="3:26">
      <c r="C2635" s="89"/>
      <c r="D2635" s="90"/>
      <c r="E2635" s="90"/>
      <c r="F2635" s="90"/>
      <c r="G2635" s="90"/>
      <c r="H2635" s="90"/>
      <c r="I2635" s="90"/>
      <c r="T2635" s="90"/>
      <c r="V2635" s="90"/>
      <c r="W2635" s="90"/>
      <c r="X2635" s="90"/>
      <c r="Y2635" s="90"/>
      <c r="Z2635" s="93"/>
    </row>
    <row r="2636" spans="3:26">
      <c r="C2636" s="89"/>
      <c r="D2636" s="90"/>
      <c r="E2636" s="90"/>
      <c r="F2636" s="90"/>
      <c r="G2636" s="90"/>
      <c r="H2636" s="90"/>
      <c r="I2636" s="90"/>
      <c r="T2636" s="90"/>
      <c r="V2636" s="90"/>
      <c r="W2636" s="90"/>
      <c r="X2636" s="90"/>
      <c r="Y2636" s="90"/>
      <c r="Z2636" s="93"/>
    </row>
    <row r="2637" spans="3:26">
      <c r="C2637" s="89"/>
      <c r="D2637" s="90"/>
      <c r="E2637" s="90"/>
      <c r="F2637" s="90"/>
      <c r="G2637" s="90"/>
      <c r="H2637" s="90"/>
      <c r="I2637" s="90"/>
      <c r="T2637" s="90"/>
      <c r="V2637" s="90"/>
      <c r="W2637" s="90"/>
      <c r="X2637" s="90"/>
      <c r="Y2637" s="90"/>
      <c r="Z2637" s="93"/>
    </row>
    <row r="2638" spans="3:26">
      <c r="C2638" s="89"/>
      <c r="D2638" s="90"/>
      <c r="E2638" s="90"/>
      <c r="F2638" s="90"/>
      <c r="G2638" s="90"/>
      <c r="H2638" s="90"/>
      <c r="I2638" s="90"/>
      <c r="T2638" s="90"/>
      <c r="V2638" s="90"/>
      <c r="W2638" s="90"/>
      <c r="X2638" s="90"/>
      <c r="Y2638" s="90"/>
      <c r="Z2638" s="93"/>
    </row>
    <row r="2639" spans="3:26">
      <c r="C2639" s="89"/>
      <c r="D2639" s="90"/>
      <c r="E2639" s="90"/>
      <c r="F2639" s="90"/>
      <c r="G2639" s="90"/>
      <c r="H2639" s="90"/>
      <c r="I2639" s="90"/>
      <c r="T2639" s="90"/>
      <c r="V2639" s="90"/>
      <c r="W2639" s="90"/>
      <c r="X2639" s="90"/>
      <c r="Y2639" s="90"/>
      <c r="Z2639" s="93"/>
    </row>
    <row r="2640" spans="3:26">
      <c r="C2640" s="89"/>
      <c r="D2640" s="90"/>
      <c r="E2640" s="90"/>
      <c r="F2640" s="90"/>
      <c r="G2640" s="90"/>
      <c r="H2640" s="90"/>
      <c r="I2640" s="90"/>
      <c r="T2640" s="90"/>
      <c r="V2640" s="90"/>
      <c r="W2640" s="90"/>
      <c r="X2640" s="90"/>
      <c r="Y2640" s="90"/>
      <c r="Z2640" s="93"/>
    </row>
    <row r="2641" spans="3:26">
      <c r="C2641" s="89"/>
      <c r="D2641" s="90"/>
      <c r="E2641" s="90"/>
      <c r="F2641" s="90"/>
      <c r="G2641" s="90"/>
      <c r="H2641" s="90"/>
      <c r="I2641" s="90"/>
      <c r="T2641" s="90"/>
      <c r="V2641" s="90"/>
      <c r="W2641" s="90"/>
      <c r="X2641" s="90"/>
      <c r="Y2641" s="90"/>
      <c r="Z2641" s="93"/>
    </row>
    <row r="2642" spans="3:26">
      <c r="C2642" s="89"/>
      <c r="D2642" s="90"/>
      <c r="E2642" s="90"/>
      <c r="F2642" s="90"/>
      <c r="G2642" s="90"/>
      <c r="H2642" s="90"/>
      <c r="I2642" s="90"/>
      <c r="T2642" s="90"/>
      <c r="V2642" s="90"/>
      <c r="W2642" s="90"/>
      <c r="X2642" s="90"/>
      <c r="Y2642" s="90"/>
      <c r="Z2642" s="93"/>
    </row>
    <row r="2643" spans="3:26">
      <c r="C2643" s="89"/>
      <c r="D2643" s="90"/>
      <c r="E2643" s="90"/>
      <c r="F2643" s="90"/>
      <c r="G2643" s="90"/>
      <c r="H2643" s="90"/>
      <c r="I2643" s="90"/>
      <c r="T2643" s="90"/>
      <c r="V2643" s="90"/>
      <c r="W2643" s="90"/>
      <c r="X2643" s="90"/>
      <c r="Y2643" s="90"/>
      <c r="Z2643" s="93"/>
    </row>
    <row r="2644" spans="3:26">
      <c r="C2644" s="89"/>
      <c r="D2644" s="90"/>
      <c r="E2644" s="90"/>
      <c r="F2644" s="90"/>
      <c r="G2644" s="90"/>
      <c r="H2644" s="90"/>
      <c r="I2644" s="90"/>
      <c r="T2644" s="90"/>
      <c r="V2644" s="90"/>
      <c r="W2644" s="90"/>
      <c r="X2644" s="90"/>
      <c r="Y2644" s="90"/>
      <c r="Z2644" s="93"/>
    </row>
    <row r="2645" spans="3:26">
      <c r="C2645" s="89"/>
      <c r="D2645" s="90"/>
      <c r="E2645" s="90"/>
      <c r="F2645" s="90"/>
      <c r="G2645" s="90"/>
      <c r="H2645" s="90"/>
      <c r="I2645" s="90"/>
      <c r="T2645" s="90"/>
      <c r="V2645" s="90"/>
      <c r="W2645" s="90"/>
      <c r="X2645" s="90"/>
      <c r="Y2645" s="90"/>
      <c r="Z2645" s="93"/>
    </row>
    <row r="2646" spans="3:26">
      <c r="C2646" s="89"/>
      <c r="D2646" s="90"/>
      <c r="E2646" s="90"/>
      <c r="F2646" s="90"/>
      <c r="G2646" s="90"/>
      <c r="H2646" s="90"/>
      <c r="I2646" s="90"/>
      <c r="T2646" s="90"/>
      <c r="V2646" s="90"/>
      <c r="W2646" s="90"/>
      <c r="X2646" s="90"/>
      <c r="Y2646" s="90"/>
      <c r="Z2646" s="93"/>
    </row>
    <row r="2647" spans="3:26">
      <c r="C2647" s="89"/>
      <c r="D2647" s="90"/>
      <c r="E2647" s="90"/>
      <c r="F2647" s="90"/>
      <c r="G2647" s="90"/>
      <c r="H2647" s="90"/>
      <c r="I2647" s="90"/>
      <c r="T2647" s="90"/>
      <c r="V2647" s="90"/>
      <c r="W2647" s="90"/>
      <c r="X2647" s="90"/>
      <c r="Y2647" s="90"/>
      <c r="Z2647" s="93"/>
    </row>
    <row r="2648" spans="3:26">
      <c r="C2648" s="89"/>
      <c r="D2648" s="90"/>
      <c r="E2648" s="90"/>
      <c r="F2648" s="90"/>
      <c r="G2648" s="90"/>
      <c r="H2648" s="90"/>
      <c r="I2648" s="90"/>
      <c r="T2648" s="90"/>
      <c r="V2648" s="90"/>
      <c r="W2648" s="90"/>
      <c r="X2648" s="90"/>
      <c r="Y2648" s="90"/>
      <c r="Z2648" s="93"/>
    </row>
    <row r="2649" spans="3:26">
      <c r="C2649" s="89"/>
      <c r="D2649" s="90"/>
      <c r="E2649" s="90"/>
      <c r="F2649" s="90"/>
      <c r="G2649" s="90"/>
      <c r="H2649" s="90"/>
      <c r="I2649" s="90"/>
      <c r="T2649" s="90"/>
      <c r="V2649" s="90"/>
      <c r="W2649" s="90"/>
      <c r="X2649" s="90"/>
      <c r="Y2649" s="90"/>
      <c r="Z2649" s="93"/>
    </row>
    <row r="2650" spans="3:26">
      <c r="C2650" s="89"/>
      <c r="D2650" s="90"/>
      <c r="E2650" s="90"/>
      <c r="F2650" s="90"/>
      <c r="G2650" s="90"/>
      <c r="H2650" s="90"/>
      <c r="I2650" s="90"/>
      <c r="T2650" s="90"/>
      <c r="V2650" s="90"/>
      <c r="W2650" s="90"/>
      <c r="X2650" s="90"/>
      <c r="Y2650" s="90"/>
      <c r="Z2650" s="93"/>
    </row>
    <row r="2651" spans="3:26">
      <c r="C2651" s="89"/>
      <c r="D2651" s="90"/>
      <c r="E2651" s="90"/>
      <c r="F2651" s="90"/>
      <c r="G2651" s="90"/>
      <c r="H2651" s="90"/>
      <c r="I2651" s="90"/>
      <c r="T2651" s="90"/>
      <c r="V2651" s="90"/>
      <c r="W2651" s="90"/>
      <c r="X2651" s="90"/>
      <c r="Y2651" s="90"/>
      <c r="Z2651" s="93"/>
    </row>
    <row r="2652" spans="3:26">
      <c r="C2652" s="89"/>
      <c r="D2652" s="90"/>
      <c r="E2652" s="90"/>
      <c r="F2652" s="90"/>
      <c r="G2652" s="90"/>
      <c r="H2652" s="90"/>
      <c r="I2652" s="90"/>
      <c r="T2652" s="90"/>
      <c r="V2652" s="90"/>
      <c r="W2652" s="90"/>
      <c r="X2652" s="90"/>
      <c r="Y2652" s="90"/>
      <c r="Z2652" s="93"/>
    </row>
    <row r="2653" spans="3:26">
      <c r="C2653" s="89"/>
      <c r="D2653" s="90"/>
      <c r="E2653" s="90"/>
      <c r="F2653" s="90"/>
      <c r="G2653" s="90"/>
      <c r="H2653" s="90"/>
      <c r="I2653" s="90"/>
      <c r="T2653" s="90"/>
      <c r="V2653" s="90"/>
      <c r="W2653" s="90"/>
      <c r="X2653" s="90"/>
      <c r="Y2653" s="90"/>
      <c r="Z2653" s="93"/>
    </row>
    <row r="2654" spans="3:26">
      <c r="C2654" s="89"/>
      <c r="D2654" s="90"/>
      <c r="E2654" s="90"/>
      <c r="F2654" s="90"/>
      <c r="G2654" s="90"/>
      <c r="H2654" s="90"/>
      <c r="I2654" s="90"/>
      <c r="T2654" s="90"/>
      <c r="V2654" s="90"/>
      <c r="W2654" s="90"/>
      <c r="X2654" s="90"/>
      <c r="Y2654" s="90"/>
      <c r="Z2654" s="93"/>
    </row>
    <row r="2655" spans="3:26">
      <c r="C2655" s="89"/>
      <c r="D2655" s="90"/>
      <c r="E2655" s="90"/>
      <c r="F2655" s="90"/>
      <c r="G2655" s="90"/>
      <c r="H2655" s="90"/>
      <c r="I2655" s="90"/>
      <c r="T2655" s="90"/>
      <c r="V2655" s="90"/>
      <c r="W2655" s="90"/>
      <c r="X2655" s="90"/>
      <c r="Y2655" s="90"/>
      <c r="Z2655" s="93"/>
    </row>
    <row r="2656" spans="3:26">
      <c r="C2656" s="89"/>
      <c r="D2656" s="90"/>
      <c r="E2656" s="90"/>
      <c r="F2656" s="90"/>
      <c r="G2656" s="90"/>
      <c r="H2656" s="90"/>
      <c r="I2656" s="90"/>
      <c r="T2656" s="90"/>
      <c r="V2656" s="90"/>
      <c r="W2656" s="90"/>
      <c r="X2656" s="90"/>
      <c r="Y2656" s="90"/>
      <c r="Z2656" s="93"/>
    </row>
    <row r="2657" spans="3:26">
      <c r="C2657" s="89"/>
      <c r="D2657" s="90"/>
      <c r="E2657" s="90"/>
      <c r="F2657" s="90"/>
      <c r="G2657" s="90"/>
      <c r="H2657" s="90"/>
      <c r="I2657" s="90"/>
      <c r="T2657" s="90"/>
      <c r="V2657" s="90"/>
      <c r="W2657" s="90"/>
      <c r="X2657" s="90"/>
      <c r="Y2657" s="90"/>
      <c r="Z2657" s="93"/>
    </row>
    <row r="2658" spans="3:26">
      <c r="C2658" s="89"/>
      <c r="D2658" s="90"/>
      <c r="E2658" s="90"/>
      <c r="F2658" s="90"/>
      <c r="G2658" s="90"/>
      <c r="H2658" s="90"/>
      <c r="I2658" s="90"/>
      <c r="T2658" s="90"/>
      <c r="V2658" s="90"/>
      <c r="W2658" s="90"/>
      <c r="X2658" s="90"/>
      <c r="Y2658" s="90"/>
      <c r="Z2658" s="93"/>
    </row>
    <row r="2659" spans="3:26">
      <c r="C2659" s="89"/>
      <c r="D2659" s="90"/>
      <c r="E2659" s="90"/>
      <c r="F2659" s="90"/>
      <c r="G2659" s="90"/>
      <c r="H2659" s="90"/>
      <c r="I2659" s="90"/>
      <c r="T2659" s="90"/>
      <c r="V2659" s="90"/>
      <c r="W2659" s="90"/>
      <c r="X2659" s="90"/>
      <c r="Y2659" s="90"/>
      <c r="Z2659" s="93"/>
    </row>
    <row r="2660" spans="3:26">
      <c r="C2660" s="89"/>
      <c r="D2660" s="90"/>
      <c r="E2660" s="90"/>
      <c r="F2660" s="90"/>
      <c r="G2660" s="90"/>
      <c r="H2660" s="90"/>
      <c r="I2660" s="90"/>
      <c r="T2660" s="90"/>
      <c r="V2660" s="90"/>
      <c r="W2660" s="90"/>
      <c r="X2660" s="90"/>
      <c r="Y2660" s="90"/>
      <c r="Z2660" s="93"/>
    </row>
    <row r="2661" spans="3:26">
      <c r="C2661" s="89"/>
      <c r="D2661" s="90"/>
      <c r="E2661" s="90"/>
      <c r="F2661" s="90"/>
      <c r="G2661" s="90"/>
      <c r="H2661" s="90"/>
      <c r="I2661" s="90"/>
      <c r="T2661" s="90"/>
      <c r="V2661" s="90"/>
      <c r="W2661" s="90"/>
      <c r="X2661" s="90"/>
      <c r="Y2661" s="90"/>
      <c r="Z2661" s="93"/>
    </row>
    <row r="2662" spans="3:26">
      <c r="C2662" s="89"/>
      <c r="D2662" s="90"/>
      <c r="E2662" s="90"/>
      <c r="F2662" s="90"/>
      <c r="G2662" s="90"/>
      <c r="H2662" s="90"/>
      <c r="I2662" s="90"/>
      <c r="T2662" s="90"/>
      <c r="V2662" s="90"/>
      <c r="W2662" s="90"/>
      <c r="X2662" s="90"/>
      <c r="Y2662" s="90"/>
      <c r="Z2662" s="93"/>
    </row>
    <row r="2663" spans="3:26">
      <c r="C2663" s="89"/>
      <c r="D2663" s="90"/>
      <c r="E2663" s="90"/>
      <c r="F2663" s="90"/>
      <c r="G2663" s="90"/>
      <c r="H2663" s="90"/>
      <c r="I2663" s="90"/>
      <c r="T2663" s="90"/>
      <c r="V2663" s="90"/>
      <c r="W2663" s="90"/>
      <c r="X2663" s="90"/>
      <c r="Y2663" s="90"/>
      <c r="Z2663" s="93"/>
    </row>
    <row r="2664" spans="3:26">
      <c r="C2664" s="89"/>
      <c r="D2664" s="90"/>
      <c r="E2664" s="90"/>
      <c r="F2664" s="90"/>
      <c r="G2664" s="90"/>
      <c r="H2664" s="90"/>
      <c r="I2664" s="90"/>
      <c r="T2664" s="90"/>
      <c r="V2664" s="90"/>
      <c r="W2664" s="90"/>
      <c r="X2664" s="90"/>
      <c r="Y2664" s="90"/>
      <c r="Z2664" s="93"/>
    </row>
    <row r="2665" spans="3:26">
      <c r="C2665" s="89"/>
      <c r="D2665" s="90"/>
      <c r="E2665" s="90"/>
      <c r="F2665" s="90"/>
      <c r="G2665" s="90"/>
      <c r="H2665" s="90"/>
      <c r="I2665" s="90"/>
      <c r="T2665" s="90"/>
      <c r="V2665" s="90"/>
      <c r="W2665" s="90"/>
      <c r="X2665" s="90"/>
      <c r="Y2665" s="90"/>
      <c r="Z2665" s="93"/>
    </row>
    <row r="2666" spans="3:26">
      <c r="C2666" s="89"/>
      <c r="D2666" s="90"/>
      <c r="E2666" s="90"/>
      <c r="F2666" s="90"/>
      <c r="G2666" s="90"/>
      <c r="H2666" s="90"/>
      <c r="I2666" s="90"/>
      <c r="T2666" s="90"/>
      <c r="V2666" s="90"/>
      <c r="W2666" s="90"/>
      <c r="X2666" s="90"/>
      <c r="Y2666" s="90"/>
      <c r="Z2666" s="93"/>
    </row>
    <row r="2667" spans="3:26">
      <c r="C2667" s="89"/>
      <c r="D2667" s="90"/>
      <c r="E2667" s="90"/>
      <c r="F2667" s="90"/>
      <c r="G2667" s="90"/>
      <c r="H2667" s="90"/>
      <c r="I2667" s="90"/>
      <c r="T2667" s="90"/>
      <c r="V2667" s="90"/>
      <c r="W2667" s="90"/>
      <c r="X2667" s="90"/>
      <c r="Y2667" s="90"/>
      <c r="Z2667" s="93"/>
    </row>
    <row r="2668" spans="3:26">
      <c r="C2668" s="89"/>
      <c r="D2668" s="90"/>
      <c r="E2668" s="90"/>
      <c r="F2668" s="90"/>
      <c r="G2668" s="90"/>
      <c r="H2668" s="90"/>
      <c r="I2668" s="90"/>
      <c r="T2668" s="90"/>
      <c r="V2668" s="90"/>
      <c r="W2668" s="90"/>
      <c r="X2668" s="90"/>
      <c r="Y2668" s="90"/>
      <c r="Z2668" s="93"/>
    </row>
    <row r="2669" spans="3:26">
      <c r="C2669" s="89"/>
      <c r="D2669" s="90"/>
      <c r="E2669" s="90"/>
      <c r="F2669" s="90"/>
      <c r="G2669" s="90"/>
      <c r="H2669" s="90"/>
      <c r="I2669" s="90"/>
      <c r="T2669" s="90"/>
      <c r="V2669" s="90"/>
      <c r="W2669" s="90"/>
      <c r="X2669" s="90"/>
      <c r="Y2669" s="90"/>
      <c r="Z2669" s="93"/>
    </row>
    <row r="2670" spans="3:26">
      <c r="C2670" s="89"/>
      <c r="D2670" s="90"/>
      <c r="E2670" s="90"/>
      <c r="F2670" s="90"/>
      <c r="G2670" s="90"/>
      <c r="H2670" s="90"/>
      <c r="I2670" s="90"/>
      <c r="T2670" s="90"/>
      <c r="V2670" s="90"/>
      <c r="W2670" s="90"/>
      <c r="X2670" s="90"/>
      <c r="Y2670" s="90"/>
      <c r="Z2670" s="93"/>
    </row>
    <row r="2671" spans="3:26">
      <c r="C2671" s="89"/>
      <c r="D2671" s="90"/>
      <c r="E2671" s="90"/>
      <c r="F2671" s="90"/>
      <c r="G2671" s="90"/>
      <c r="H2671" s="90"/>
      <c r="I2671" s="90"/>
      <c r="T2671" s="90"/>
      <c r="V2671" s="90"/>
      <c r="W2671" s="90"/>
      <c r="X2671" s="90"/>
      <c r="Y2671" s="90"/>
      <c r="Z2671" s="93"/>
    </row>
    <row r="2672" spans="3:26">
      <c r="C2672" s="89"/>
      <c r="D2672" s="90"/>
      <c r="E2672" s="90"/>
      <c r="F2672" s="90"/>
      <c r="G2672" s="90"/>
      <c r="H2672" s="90"/>
      <c r="I2672" s="90"/>
      <c r="T2672" s="90"/>
      <c r="V2672" s="90"/>
      <c r="W2672" s="90"/>
      <c r="X2672" s="90"/>
      <c r="Y2672" s="90"/>
      <c r="Z2672" s="93"/>
    </row>
    <row r="2673" spans="3:26">
      <c r="C2673" s="89"/>
      <c r="D2673" s="90"/>
      <c r="E2673" s="90"/>
      <c r="F2673" s="90"/>
      <c r="G2673" s="90"/>
      <c r="H2673" s="90"/>
      <c r="I2673" s="90"/>
      <c r="T2673" s="90"/>
      <c r="V2673" s="90"/>
      <c r="W2673" s="90"/>
      <c r="X2673" s="90"/>
      <c r="Y2673" s="90"/>
      <c r="Z2673" s="93"/>
    </row>
    <row r="2674" spans="3:26">
      <c r="C2674" s="89"/>
      <c r="D2674" s="90"/>
      <c r="E2674" s="90"/>
      <c r="F2674" s="90"/>
      <c r="G2674" s="90"/>
      <c r="H2674" s="90"/>
      <c r="I2674" s="90"/>
      <c r="T2674" s="90"/>
      <c r="V2674" s="90"/>
      <c r="W2674" s="90"/>
      <c r="X2674" s="90"/>
      <c r="Y2674" s="90"/>
      <c r="Z2674" s="93"/>
    </row>
    <row r="2675" spans="3:26">
      <c r="C2675" s="89"/>
      <c r="D2675" s="90"/>
      <c r="E2675" s="90"/>
      <c r="F2675" s="90"/>
      <c r="G2675" s="90"/>
      <c r="H2675" s="90"/>
      <c r="I2675" s="90"/>
      <c r="T2675" s="90"/>
      <c r="V2675" s="90"/>
      <c r="W2675" s="90"/>
      <c r="X2675" s="90"/>
      <c r="Y2675" s="90"/>
      <c r="Z2675" s="93"/>
    </row>
    <row r="2676" spans="3:26">
      <c r="C2676" s="89"/>
      <c r="D2676" s="90"/>
      <c r="E2676" s="90"/>
      <c r="F2676" s="90"/>
      <c r="G2676" s="90"/>
      <c r="H2676" s="90"/>
      <c r="I2676" s="90"/>
      <c r="T2676" s="90"/>
      <c r="V2676" s="90"/>
      <c r="W2676" s="90"/>
      <c r="X2676" s="90"/>
      <c r="Y2676" s="90"/>
      <c r="Z2676" s="93"/>
    </row>
    <row r="2677" spans="3:26">
      <c r="C2677" s="89"/>
      <c r="D2677" s="90"/>
      <c r="E2677" s="90"/>
      <c r="F2677" s="90"/>
      <c r="G2677" s="90"/>
      <c r="H2677" s="90"/>
      <c r="I2677" s="90"/>
      <c r="T2677" s="90"/>
      <c r="V2677" s="90"/>
      <c r="W2677" s="90"/>
      <c r="X2677" s="90"/>
      <c r="Y2677" s="90"/>
      <c r="Z2677" s="93"/>
    </row>
    <row r="2678" spans="3:26">
      <c r="C2678" s="89"/>
      <c r="D2678" s="90"/>
      <c r="E2678" s="90"/>
      <c r="F2678" s="90"/>
      <c r="G2678" s="90"/>
      <c r="H2678" s="90"/>
      <c r="I2678" s="90"/>
      <c r="T2678" s="90"/>
      <c r="V2678" s="90"/>
      <c r="W2678" s="90"/>
      <c r="X2678" s="90"/>
      <c r="Y2678" s="90"/>
      <c r="Z2678" s="93"/>
    </row>
    <row r="2679" spans="3:26">
      <c r="C2679" s="89"/>
      <c r="D2679" s="90"/>
      <c r="E2679" s="90"/>
      <c r="F2679" s="90"/>
      <c r="G2679" s="90"/>
      <c r="H2679" s="90"/>
      <c r="I2679" s="90"/>
      <c r="T2679" s="90"/>
      <c r="V2679" s="90"/>
      <c r="W2679" s="90"/>
      <c r="X2679" s="90"/>
      <c r="Y2679" s="90"/>
      <c r="Z2679" s="93"/>
    </row>
    <row r="2680" spans="3:26">
      <c r="C2680" s="89"/>
      <c r="D2680" s="90"/>
      <c r="E2680" s="90"/>
      <c r="F2680" s="90"/>
      <c r="G2680" s="90"/>
      <c r="H2680" s="90"/>
      <c r="I2680" s="90"/>
      <c r="T2680" s="90"/>
      <c r="V2680" s="90"/>
      <c r="W2680" s="90"/>
      <c r="X2680" s="90"/>
      <c r="Y2680" s="90"/>
      <c r="Z2680" s="93"/>
    </row>
    <row r="2681" spans="3:26">
      <c r="C2681" s="89"/>
      <c r="D2681" s="90"/>
      <c r="E2681" s="90"/>
      <c r="F2681" s="90"/>
      <c r="G2681" s="90"/>
      <c r="H2681" s="90"/>
      <c r="I2681" s="90"/>
      <c r="T2681" s="90"/>
      <c r="V2681" s="90"/>
      <c r="W2681" s="90"/>
      <c r="X2681" s="90"/>
      <c r="Y2681" s="90"/>
      <c r="Z2681" s="93"/>
    </row>
    <row r="2682" spans="3:26">
      <c r="C2682" s="89"/>
      <c r="D2682" s="90"/>
      <c r="E2682" s="90"/>
      <c r="F2682" s="90"/>
      <c r="G2682" s="90"/>
      <c r="H2682" s="90"/>
      <c r="I2682" s="90"/>
      <c r="T2682" s="90"/>
      <c r="V2682" s="90"/>
      <c r="W2682" s="90"/>
      <c r="X2682" s="90"/>
      <c r="Y2682" s="90"/>
      <c r="Z2682" s="93"/>
    </row>
    <row r="2683" spans="3:26">
      <c r="C2683" s="89"/>
      <c r="D2683" s="90"/>
      <c r="E2683" s="90"/>
      <c r="F2683" s="90"/>
      <c r="G2683" s="90"/>
      <c r="H2683" s="90"/>
      <c r="I2683" s="90"/>
      <c r="T2683" s="90"/>
      <c r="V2683" s="90"/>
      <c r="W2683" s="90"/>
      <c r="X2683" s="90"/>
      <c r="Y2683" s="90"/>
      <c r="Z2683" s="93"/>
    </row>
    <row r="2684" spans="3:26">
      <c r="C2684" s="89"/>
      <c r="D2684" s="90"/>
      <c r="E2684" s="90"/>
      <c r="F2684" s="90"/>
      <c r="G2684" s="90"/>
      <c r="H2684" s="90"/>
      <c r="I2684" s="90"/>
      <c r="T2684" s="90"/>
      <c r="V2684" s="90"/>
      <c r="W2684" s="90"/>
      <c r="X2684" s="90"/>
      <c r="Y2684" s="90"/>
      <c r="Z2684" s="93"/>
    </row>
    <row r="2685" spans="3:26">
      <c r="C2685" s="89"/>
      <c r="D2685" s="90"/>
      <c r="E2685" s="90"/>
      <c r="F2685" s="90"/>
      <c r="G2685" s="90"/>
      <c r="H2685" s="90"/>
      <c r="I2685" s="90"/>
      <c r="T2685" s="90"/>
      <c r="V2685" s="90"/>
      <c r="W2685" s="90"/>
      <c r="X2685" s="90"/>
      <c r="Y2685" s="90"/>
      <c r="Z2685" s="93"/>
    </row>
    <row r="2686" spans="3:26">
      <c r="C2686" s="89"/>
      <c r="D2686" s="90"/>
      <c r="E2686" s="90"/>
      <c r="F2686" s="90"/>
      <c r="G2686" s="90"/>
      <c r="H2686" s="90"/>
      <c r="I2686" s="90"/>
      <c r="T2686" s="90"/>
      <c r="V2686" s="90"/>
      <c r="W2686" s="90"/>
      <c r="X2686" s="90"/>
      <c r="Y2686" s="90"/>
      <c r="Z2686" s="93"/>
    </row>
    <row r="2687" spans="3:26">
      <c r="C2687" s="89"/>
      <c r="D2687" s="90"/>
      <c r="E2687" s="90"/>
      <c r="F2687" s="90"/>
      <c r="G2687" s="90"/>
      <c r="H2687" s="90"/>
      <c r="I2687" s="90"/>
      <c r="T2687" s="90"/>
      <c r="V2687" s="90"/>
      <c r="W2687" s="90"/>
      <c r="X2687" s="90"/>
      <c r="Y2687" s="90"/>
      <c r="Z2687" s="93"/>
    </row>
    <row r="2688" spans="3:26">
      <c r="C2688" s="89"/>
      <c r="D2688" s="90"/>
      <c r="E2688" s="90"/>
      <c r="F2688" s="90"/>
      <c r="G2688" s="90"/>
      <c r="H2688" s="90"/>
      <c r="I2688" s="90"/>
      <c r="T2688" s="90"/>
      <c r="V2688" s="90"/>
      <c r="W2688" s="90"/>
      <c r="X2688" s="90"/>
      <c r="Y2688" s="90"/>
      <c r="Z2688" s="93"/>
    </row>
    <row r="2689" spans="3:26">
      <c r="C2689" s="89"/>
      <c r="D2689" s="90"/>
      <c r="E2689" s="90"/>
      <c r="F2689" s="90"/>
      <c r="G2689" s="90"/>
      <c r="H2689" s="90"/>
      <c r="I2689" s="90"/>
      <c r="T2689" s="90"/>
      <c r="V2689" s="90"/>
      <c r="W2689" s="90"/>
      <c r="X2689" s="90"/>
      <c r="Y2689" s="90"/>
      <c r="Z2689" s="93"/>
    </row>
    <row r="2690" spans="3:26">
      <c r="C2690" s="89"/>
      <c r="D2690" s="90"/>
      <c r="E2690" s="90"/>
      <c r="F2690" s="90"/>
      <c r="G2690" s="90"/>
      <c r="H2690" s="90"/>
      <c r="I2690" s="90"/>
      <c r="T2690" s="90"/>
      <c r="V2690" s="90"/>
      <c r="W2690" s="90"/>
      <c r="X2690" s="90"/>
      <c r="Y2690" s="90"/>
      <c r="Z2690" s="93"/>
    </row>
    <row r="2691" spans="3:26">
      <c r="C2691" s="89"/>
      <c r="D2691" s="90"/>
      <c r="E2691" s="90"/>
      <c r="F2691" s="90"/>
      <c r="G2691" s="90"/>
      <c r="H2691" s="90"/>
      <c r="I2691" s="90"/>
      <c r="T2691" s="90"/>
      <c r="V2691" s="90"/>
      <c r="W2691" s="90"/>
      <c r="X2691" s="90"/>
      <c r="Y2691" s="90"/>
      <c r="Z2691" s="93"/>
    </row>
    <row r="2692" spans="3:26">
      <c r="C2692" s="89"/>
      <c r="D2692" s="90"/>
      <c r="E2692" s="90"/>
      <c r="F2692" s="90"/>
      <c r="G2692" s="90"/>
      <c r="H2692" s="90"/>
      <c r="I2692" s="90"/>
      <c r="T2692" s="90"/>
      <c r="V2692" s="90"/>
      <c r="W2692" s="90"/>
      <c r="X2692" s="90"/>
      <c r="Y2692" s="90"/>
      <c r="Z2692" s="93"/>
    </row>
    <row r="2693" spans="3:26">
      <c r="C2693" s="89"/>
      <c r="D2693" s="90"/>
      <c r="E2693" s="90"/>
      <c r="F2693" s="90"/>
      <c r="G2693" s="90"/>
      <c r="H2693" s="90"/>
      <c r="I2693" s="90"/>
      <c r="T2693" s="90"/>
      <c r="V2693" s="90"/>
      <c r="W2693" s="90"/>
      <c r="X2693" s="90"/>
      <c r="Y2693" s="90"/>
      <c r="Z2693" s="93"/>
    </row>
    <row r="2694" spans="3:26">
      <c r="C2694" s="89"/>
      <c r="D2694" s="90"/>
      <c r="E2694" s="90"/>
      <c r="F2694" s="90"/>
      <c r="G2694" s="90"/>
      <c r="H2694" s="90"/>
      <c r="I2694" s="90"/>
      <c r="T2694" s="90"/>
      <c r="V2694" s="90"/>
      <c r="W2694" s="90"/>
      <c r="X2694" s="90"/>
      <c r="Y2694" s="90"/>
      <c r="Z2694" s="93"/>
    </row>
    <row r="2695" spans="3:26">
      <c r="C2695" s="89"/>
      <c r="D2695" s="90"/>
      <c r="E2695" s="90"/>
      <c r="F2695" s="90"/>
      <c r="G2695" s="90"/>
      <c r="H2695" s="90"/>
      <c r="I2695" s="90"/>
      <c r="T2695" s="90"/>
      <c r="V2695" s="90"/>
      <c r="W2695" s="90"/>
      <c r="X2695" s="90"/>
      <c r="Y2695" s="90"/>
      <c r="Z2695" s="93"/>
    </row>
    <row r="2696" spans="3:26">
      <c r="C2696" s="89"/>
      <c r="D2696" s="90"/>
      <c r="E2696" s="90"/>
      <c r="F2696" s="90"/>
      <c r="G2696" s="90"/>
      <c r="H2696" s="90"/>
      <c r="I2696" s="90"/>
      <c r="T2696" s="90"/>
      <c r="V2696" s="90"/>
      <c r="W2696" s="90"/>
      <c r="X2696" s="90"/>
      <c r="Y2696" s="90"/>
      <c r="Z2696" s="93"/>
    </row>
    <row r="2697" spans="3:26">
      <c r="C2697" s="89"/>
      <c r="D2697" s="90"/>
      <c r="E2697" s="90"/>
      <c r="F2697" s="90"/>
      <c r="G2697" s="90"/>
      <c r="H2697" s="90"/>
      <c r="I2697" s="90"/>
      <c r="T2697" s="90"/>
      <c r="V2697" s="90"/>
      <c r="W2697" s="90"/>
      <c r="X2697" s="90"/>
      <c r="Y2697" s="90"/>
      <c r="Z2697" s="93"/>
    </row>
    <row r="2698" spans="3:26">
      <c r="C2698" s="89"/>
      <c r="D2698" s="90"/>
      <c r="E2698" s="90"/>
      <c r="F2698" s="90"/>
      <c r="G2698" s="90"/>
      <c r="H2698" s="90"/>
      <c r="I2698" s="90"/>
      <c r="T2698" s="90"/>
      <c r="V2698" s="90"/>
      <c r="W2698" s="90"/>
      <c r="X2698" s="90"/>
      <c r="Y2698" s="90"/>
      <c r="Z2698" s="93"/>
    </row>
    <row r="2699" spans="3:26">
      <c r="C2699" s="89"/>
      <c r="D2699" s="90"/>
      <c r="E2699" s="90"/>
      <c r="F2699" s="90"/>
      <c r="G2699" s="90"/>
      <c r="H2699" s="90"/>
      <c r="I2699" s="90"/>
      <c r="T2699" s="90"/>
      <c r="V2699" s="90"/>
      <c r="W2699" s="90"/>
      <c r="X2699" s="90"/>
      <c r="Y2699" s="90"/>
      <c r="Z2699" s="93"/>
    </row>
    <row r="2700" spans="3:26">
      <c r="C2700" s="89"/>
      <c r="D2700" s="90"/>
      <c r="E2700" s="90"/>
      <c r="F2700" s="90"/>
      <c r="G2700" s="90"/>
      <c r="H2700" s="90"/>
      <c r="I2700" s="90"/>
      <c r="T2700" s="90"/>
      <c r="V2700" s="90"/>
      <c r="W2700" s="90"/>
      <c r="X2700" s="90"/>
      <c r="Y2700" s="90"/>
      <c r="Z2700" s="93"/>
    </row>
    <row r="2701" spans="3:26">
      <c r="C2701" s="89"/>
      <c r="D2701" s="90"/>
      <c r="E2701" s="90"/>
      <c r="F2701" s="90"/>
      <c r="G2701" s="90"/>
      <c r="H2701" s="90"/>
      <c r="I2701" s="90"/>
      <c r="T2701" s="90"/>
      <c r="V2701" s="90"/>
      <c r="W2701" s="90"/>
      <c r="X2701" s="90"/>
      <c r="Y2701" s="90"/>
      <c r="Z2701" s="93"/>
    </row>
    <row r="2702" spans="3:26">
      <c r="C2702" s="89"/>
      <c r="D2702" s="90"/>
      <c r="E2702" s="90"/>
      <c r="F2702" s="90"/>
      <c r="G2702" s="90"/>
      <c r="H2702" s="90"/>
      <c r="I2702" s="90"/>
      <c r="T2702" s="90"/>
      <c r="V2702" s="90"/>
      <c r="W2702" s="90"/>
      <c r="X2702" s="90"/>
      <c r="Y2702" s="90"/>
      <c r="Z2702" s="93"/>
    </row>
    <row r="2703" spans="3:26">
      <c r="C2703" s="89"/>
      <c r="D2703" s="90"/>
      <c r="E2703" s="90"/>
      <c r="F2703" s="90"/>
      <c r="G2703" s="90"/>
      <c r="H2703" s="90"/>
      <c r="I2703" s="90"/>
      <c r="T2703" s="90"/>
      <c r="V2703" s="90"/>
      <c r="W2703" s="90"/>
      <c r="X2703" s="90"/>
      <c r="Y2703" s="90"/>
      <c r="Z2703" s="93"/>
    </row>
    <row r="2704" spans="3:26">
      <c r="C2704" s="89"/>
      <c r="D2704" s="90"/>
      <c r="E2704" s="90"/>
      <c r="F2704" s="90"/>
      <c r="G2704" s="90"/>
      <c r="H2704" s="90"/>
      <c r="I2704" s="90"/>
      <c r="T2704" s="90"/>
      <c r="V2704" s="90"/>
      <c r="W2704" s="90"/>
      <c r="X2704" s="90"/>
      <c r="Y2704" s="90"/>
      <c r="Z2704" s="93"/>
    </row>
    <row r="2705" spans="3:26">
      <c r="C2705" s="89"/>
      <c r="D2705" s="90"/>
      <c r="E2705" s="90"/>
      <c r="F2705" s="90"/>
      <c r="G2705" s="90"/>
      <c r="H2705" s="90"/>
      <c r="I2705" s="90"/>
      <c r="T2705" s="90"/>
      <c r="V2705" s="90"/>
      <c r="W2705" s="90"/>
      <c r="X2705" s="90"/>
      <c r="Y2705" s="90"/>
      <c r="Z2705" s="93"/>
    </row>
    <row r="2706" spans="3:26">
      <c r="C2706" s="89"/>
      <c r="D2706" s="90"/>
      <c r="E2706" s="90"/>
      <c r="F2706" s="90"/>
      <c r="G2706" s="90"/>
      <c r="H2706" s="90"/>
      <c r="I2706" s="90"/>
      <c r="T2706" s="90"/>
      <c r="V2706" s="90"/>
      <c r="W2706" s="90"/>
      <c r="X2706" s="90"/>
      <c r="Y2706" s="90"/>
      <c r="Z2706" s="93"/>
    </row>
    <row r="2707" spans="3:26">
      <c r="C2707" s="89"/>
      <c r="D2707" s="90"/>
      <c r="E2707" s="90"/>
      <c r="F2707" s="90"/>
      <c r="G2707" s="90"/>
      <c r="H2707" s="90"/>
      <c r="I2707" s="90"/>
      <c r="T2707" s="90"/>
      <c r="V2707" s="90"/>
      <c r="W2707" s="90"/>
      <c r="X2707" s="90"/>
      <c r="Y2707" s="90"/>
      <c r="Z2707" s="93"/>
    </row>
    <row r="2708" spans="3:26">
      <c r="C2708" s="89"/>
      <c r="D2708" s="90"/>
      <c r="E2708" s="90"/>
      <c r="F2708" s="90"/>
      <c r="G2708" s="90"/>
      <c r="H2708" s="90"/>
      <c r="I2708" s="90"/>
      <c r="T2708" s="90"/>
      <c r="V2708" s="90"/>
      <c r="W2708" s="90"/>
      <c r="X2708" s="90"/>
      <c r="Y2708" s="90"/>
      <c r="Z2708" s="93"/>
    </row>
    <row r="2709" spans="3:26">
      <c r="C2709" s="89"/>
      <c r="D2709" s="90"/>
      <c r="E2709" s="90"/>
      <c r="F2709" s="90"/>
      <c r="G2709" s="90"/>
      <c r="H2709" s="90"/>
      <c r="I2709" s="90"/>
      <c r="T2709" s="90"/>
      <c r="V2709" s="90"/>
      <c r="W2709" s="90"/>
      <c r="X2709" s="90"/>
      <c r="Y2709" s="90"/>
      <c r="Z2709" s="93"/>
    </row>
    <row r="2710" spans="3:26">
      <c r="C2710" s="89"/>
      <c r="D2710" s="90"/>
      <c r="E2710" s="90"/>
      <c r="F2710" s="90"/>
      <c r="G2710" s="90"/>
      <c r="H2710" s="90"/>
      <c r="I2710" s="90"/>
      <c r="T2710" s="90"/>
      <c r="V2710" s="90"/>
      <c r="W2710" s="90"/>
      <c r="X2710" s="90"/>
      <c r="Y2710" s="90"/>
      <c r="Z2710" s="93"/>
    </row>
    <row r="2711" spans="3:26">
      <c r="C2711" s="89"/>
      <c r="D2711" s="90"/>
      <c r="E2711" s="90"/>
      <c r="F2711" s="90"/>
      <c r="G2711" s="90"/>
      <c r="H2711" s="90"/>
      <c r="I2711" s="90"/>
      <c r="T2711" s="90"/>
      <c r="V2711" s="90"/>
      <c r="W2711" s="90"/>
      <c r="X2711" s="90"/>
      <c r="Y2711" s="90"/>
      <c r="Z2711" s="93"/>
    </row>
    <row r="2712" spans="3:26">
      <c r="C2712" s="89"/>
      <c r="D2712" s="90"/>
      <c r="E2712" s="90"/>
      <c r="F2712" s="90"/>
      <c r="G2712" s="90"/>
      <c r="H2712" s="90"/>
      <c r="I2712" s="90"/>
      <c r="T2712" s="90"/>
      <c r="V2712" s="90"/>
      <c r="W2712" s="90"/>
      <c r="X2712" s="90"/>
      <c r="Y2712" s="90"/>
      <c r="Z2712" s="93"/>
    </row>
    <row r="2713" spans="3:26">
      <c r="C2713" s="89"/>
      <c r="D2713" s="90"/>
      <c r="E2713" s="90"/>
      <c r="F2713" s="90"/>
      <c r="G2713" s="90"/>
      <c r="H2713" s="90"/>
      <c r="I2713" s="90"/>
      <c r="T2713" s="90"/>
      <c r="V2713" s="90"/>
      <c r="W2713" s="90"/>
      <c r="X2713" s="90"/>
      <c r="Y2713" s="90"/>
      <c r="Z2713" s="93"/>
    </row>
    <row r="2714" spans="3:26">
      <c r="C2714" s="89"/>
      <c r="D2714" s="90"/>
      <c r="E2714" s="90"/>
      <c r="F2714" s="90"/>
      <c r="G2714" s="90"/>
      <c r="H2714" s="90"/>
      <c r="I2714" s="90"/>
      <c r="T2714" s="90"/>
      <c r="V2714" s="90"/>
      <c r="W2714" s="90"/>
      <c r="X2714" s="90"/>
      <c r="Y2714" s="90"/>
      <c r="Z2714" s="93"/>
    </row>
    <row r="2715" spans="3:26">
      <c r="C2715" s="89"/>
      <c r="D2715" s="90"/>
      <c r="E2715" s="90"/>
      <c r="F2715" s="90"/>
      <c r="G2715" s="90"/>
      <c r="H2715" s="90"/>
      <c r="I2715" s="90"/>
      <c r="T2715" s="90"/>
      <c r="V2715" s="90"/>
      <c r="W2715" s="90"/>
      <c r="X2715" s="90"/>
      <c r="Y2715" s="90"/>
      <c r="Z2715" s="93"/>
    </row>
    <row r="2716" spans="3:26">
      <c r="C2716" s="89"/>
      <c r="D2716" s="90"/>
      <c r="E2716" s="90"/>
      <c r="F2716" s="90"/>
      <c r="G2716" s="90"/>
      <c r="H2716" s="90"/>
      <c r="I2716" s="90"/>
      <c r="T2716" s="90"/>
      <c r="V2716" s="90"/>
      <c r="W2716" s="90"/>
      <c r="X2716" s="90"/>
      <c r="Y2716" s="90"/>
      <c r="Z2716" s="93"/>
    </row>
    <row r="2717" spans="3:26">
      <c r="C2717" s="89"/>
      <c r="D2717" s="90"/>
      <c r="E2717" s="90"/>
      <c r="F2717" s="90"/>
      <c r="G2717" s="90"/>
      <c r="H2717" s="90"/>
      <c r="I2717" s="90"/>
      <c r="T2717" s="90"/>
      <c r="V2717" s="90"/>
      <c r="W2717" s="90"/>
      <c r="X2717" s="90"/>
      <c r="Y2717" s="90"/>
      <c r="Z2717" s="93"/>
    </row>
    <row r="2718" spans="3:26">
      <c r="C2718" s="89"/>
      <c r="D2718" s="90"/>
      <c r="E2718" s="90"/>
      <c r="F2718" s="90"/>
      <c r="G2718" s="90"/>
      <c r="H2718" s="90"/>
      <c r="I2718" s="90"/>
      <c r="T2718" s="90"/>
      <c r="V2718" s="90"/>
      <c r="W2718" s="90"/>
      <c r="X2718" s="90"/>
      <c r="Y2718" s="90"/>
      <c r="Z2718" s="93"/>
    </row>
    <row r="2719" spans="3:26">
      <c r="C2719" s="89"/>
      <c r="D2719" s="90"/>
      <c r="E2719" s="90"/>
      <c r="F2719" s="90"/>
      <c r="G2719" s="90"/>
      <c r="H2719" s="90"/>
      <c r="I2719" s="90"/>
      <c r="T2719" s="90"/>
      <c r="V2719" s="90"/>
      <c r="W2719" s="90"/>
      <c r="X2719" s="90"/>
      <c r="Y2719" s="90"/>
      <c r="Z2719" s="93"/>
    </row>
    <row r="2720" spans="3:26">
      <c r="C2720" s="89"/>
      <c r="D2720" s="90"/>
      <c r="E2720" s="90"/>
      <c r="F2720" s="90"/>
      <c r="G2720" s="90"/>
      <c r="H2720" s="90"/>
      <c r="I2720" s="90"/>
      <c r="T2720" s="90"/>
      <c r="V2720" s="90"/>
      <c r="W2720" s="90"/>
      <c r="X2720" s="90"/>
      <c r="Y2720" s="90"/>
      <c r="Z2720" s="93"/>
    </row>
    <row r="2721" spans="3:26">
      <c r="C2721" s="89"/>
      <c r="D2721" s="90"/>
      <c r="E2721" s="90"/>
      <c r="F2721" s="90"/>
      <c r="G2721" s="90"/>
      <c r="H2721" s="90"/>
      <c r="I2721" s="90"/>
      <c r="T2721" s="90"/>
      <c r="V2721" s="90"/>
      <c r="W2721" s="90"/>
      <c r="X2721" s="90"/>
      <c r="Y2721" s="90"/>
      <c r="Z2721" s="93"/>
    </row>
    <row r="2722" spans="3:26">
      <c r="C2722" s="89"/>
      <c r="D2722" s="90"/>
      <c r="E2722" s="90"/>
      <c r="F2722" s="90"/>
      <c r="G2722" s="90"/>
      <c r="H2722" s="90"/>
      <c r="I2722" s="90"/>
      <c r="T2722" s="90"/>
      <c r="V2722" s="90"/>
      <c r="W2722" s="90"/>
      <c r="X2722" s="90"/>
      <c r="Y2722" s="90"/>
      <c r="Z2722" s="93"/>
    </row>
    <row r="2723" spans="3:26">
      <c r="C2723" s="89"/>
      <c r="D2723" s="90"/>
      <c r="E2723" s="90"/>
      <c r="F2723" s="90"/>
      <c r="G2723" s="90"/>
      <c r="H2723" s="90"/>
      <c r="I2723" s="90"/>
      <c r="T2723" s="90"/>
      <c r="V2723" s="90"/>
      <c r="W2723" s="90"/>
      <c r="X2723" s="90"/>
      <c r="Y2723" s="90"/>
      <c r="Z2723" s="93"/>
    </row>
    <row r="2724" spans="3:26">
      <c r="C2724" s="89"/>
      <c r="D2724" s="90"/>
      <c r="E2724" s="90"/>
      <c r="F2724" s="90"/>
      <c r="G2724" s="90"/>
      <c r="H2724" s="90"/>
      <c r="I2724" s="90"/>
      <c r="T2724" s="90"/>
      <c r="V2724" s="90"/>
      <c r="W2724" s="90"/>
      <c r="X2724" s="90"/>
      <c r="Y2724" s="90"/>
      <c r="Z2724" s="93"/>
    </row>
    <row r="2725" spans="3:26">
      <c r="C2725" s="89"/>
      <c r="D2725" s="90"/>
      <c r="E2725" s="90"/>
      <c r="F2725" s="90"/>
      <c r="G2725" s="90"/>
      <c r="H2725" s="90"/>
      <c r="I2725" s="90"/>
      <c r="T2725" s="90"/>
      <c r="V2725" s="90"/>
      <c r="W2725" s="90"/>
      <c r="X2725" s="90"/>
      <c r="Y2725" s="90"/>
      <c r="Z2725" s="93"/>
    </row>
    <row r="2726" spans="3:26">
      <c r="C2726" s="89"/>
      <c r="D2726" s="90"/>
      <c r="E2726" s="90"/>
      <c r="F2726" s="90"/>
      <c r="G2726" s="90"/>
      <c r="H2726" s="90"/>
      <c r="I2726" s="90"/>
      <c r="T2726" s="90"/>
      <c r="V2726" s="90"/>
      <c r="W2726" s="90"/>
      <c r="X2726" s="90"/>
      <c r="Y2726" s="90"/>
      <c r="Z2726" s="93"/>
    </row>
    <row r="2727" spans="3:26">
      <c r="C2727" s="89"/>
      <c r="D2727" s="90"/>
      <c r="E2727" s="90"/>
      <c r="F2727" s="90"/>
      <c r="G2727" s="90"/>
      <c r="H2727" s="90"/>
      <c r="I2727" s="90"/>
      <c r="T2727" s="90"/>
      <c r="V2727" s="90"/>
      <c r="W2727" s="90"/>
      <c r="X2727" s="90"/>
      <c r="Y2727" s="90"/>
      <c r="Z2727" s="93"/>
    </row>
    <row r="2728" spans="3:26">
      <c r="C2728" s="89"/>
      <c r="D2728" s="90"/>
      <c r="E2728" s="90"/>
      <c r="F2728" s="90"/>
      <c r="G2728" s="90"/>
      <c r="H2728" s="90"/>
      <c r="I2728" s="90"/>
      <c r="T2728" s="90"/>
      <c r="V2728" s="90"/>
      <c r="W2728" s="90"/>
      <c r="X2728" s="90"/>
      <c r="Y2728" s="90"/>
      <c r="Z2728" s="93"/>
    </row>
    <row r="2729" spans="3:26">
      <c r="C2729" s="89"/>
      <c r="D2729" s="90"/>
      <c r="E2729" s="90"/>
      <c r="F2729" s="90"/>
      <c r="G2729" s="90"/>
      <c r="H2729" s="90"/>
      <c r="I2729" s="90"/>
      <c r="T2729" s="90"/>
      <c r="V2729" s="90"/>
      <c r="W2729" s="90"/>
      <c r="X2729" s="90"/>
      <c r="Y2729" s="90"/>
      <c r="Z2729" s="93"/>
    </row>
    <row r="2730" spans="3:26">
      <c r="C2730" s="89"/>
      <c r="D2730" s="90"/>
      <c r="E2730" s="90"/>
      <c r="F2730" s="90"/>
      <c r="G2730" s="90"/>
      <c r="H2730" s="90"/>
      <c r="I2730" s="90"/>
      <c r="T2730" s="90"/>
      <c r="V2730" s="90"/>
      <c r="W2730" s="90"/>
      <c r="X2730" s="90"/>
      <c r="Y2730" s="90"/>
      <c r="Z2730" s="93"/>
    </row>
    <row r="2731" spans="3:26">
      <c r="C2731" s="89"/>
      <c r="D2731" s="90"/>
      <c r="E2731" s="90"/>
      <c r="F2731" s="90"/>
      <c r="G2731" s="90"/>
      <c r="H2731" s="90"/>
      <c r="I2731" s="90"/>
      <c r="T2731" s="90"/>
      <c r="V2731" s="90"/>
      <c r="W2731" s="90"/>
      <c r="X2731" s="90"/>
      <c r="Y2731" s="90"/>
      <c r="Z2731" s="93"/>
    </row>
    <row r="2732" spans="3:26">
      <c r="C2732" s="89"/>
      <c r="D2732" s="90"/>
      <c r="E2732" s="90"/>
      <c r="F2732" s="90"/>
      <c r="G2732" s="90"/>
      <c r="H2732" s="90"/>
      <c r="I2732" s="90"/>
      <c r="T2732" s="90"/>
      <c r="V2732" s="90"/>
      <c r="W2732" s="90"/>
      <c r="X2732" s="90"/>
      <c r="Y2732" s="90"/>
      <c r="Z2732" s="93"/>
    </row>
    <row r="2733" spans="3:26">
      <c r="C2733" s="89"/>
      <c r="D2733" s="90"/>
      <c r="E2733" s="90"/>
      <c r="F2733" s="90"/>
      <c r="G2733" s="90"/>
      <c r="H2733" s="90"/>
      <c r="I2733" s="90"/>
      <c r="T2733" s="90"/>
      <c r="V2733" s="90"/>
      <c r="W2733" s="90"/>
      <c r="X2733" s="90"/>
      <c r="Y2733" s="90"/>
      <c r="Z2733" s="93"/>
    </row>
    <row r="2734" spans="3:26">
      <c r="C2734" s="89"/>
      <c r="D2734" s="90"/>
      <c r="E2734" s="90"/>
      <c r="F2734" s="90"/>
      <c r="G2734" s="90"/>
      <c r="H2734" s="90"/>
      <c r="I2734" s="90"/>
      <c r="T2734" s="90"/>
      <c r="V2734" s="90"/>
      <c r="W2734" s="90"/>
      <c r="X2734" s="90"/>
      <c r="Y2734" s="90"/>
      <c r="Z2734" s="93"/>
    </row>
    <row r="2735" spans="3:26">
      <c r="C2735" s="89"/>
      <c r="D2735" s="90"/>
      <c r="E2735" s="90"/>
      <c r="F2735" s="90"/>
      <c r="G2735" s="90"/>
      <c r="H2735" s="90"/>
      <c r="I2735" s="90"/>
      <c r="T2735" s="90"/>
      <c r="V2735" s="90"/>
      <c r="W2735" s="90"/>
      <c r="X2735" s="90"/>
      <c r="Y2735" s="90"/>
      <c r="Z2735" s="93"/>
    </row>
    <row r="2736" spans="3:26">
      <c r="C2736" s="89"/>
      <c r="D2736" s="90"/>
      <c r="E2736" s="90"/>
      <c r="F2736" s="90"/>
      <c r="G2736" s="90"/>
      <c r="H2736" s="90"/>
      <c r="I2736" s="90"/>
      <c r="T2736" s="90"/>
      <c r="V2736" s="90"/>
      <c r="W2736" s="90"/>
      <c r="X2736" s="90"/>
      <c r="Y2736" s="90"/>
      <c r="Z2736" s="93"/>
    </row>
    <row r="2737" spans="3:26">
      <c r="C2737" s="89"/>
      <c r="D2737" s="90"/>
      <c r="E2737" s="90"/>
      <c r="F2737" s="90"/>
      <c r="G2737" s="90"/>
      <c r="H2737" s="90"/>
      <c r="I2737" s="90"/>
      <c r="T2737" s="90"/>
      <c r="V2737" s="90"/>
      <c r="W2737" s="90"/>
      <c r="X2737" s="90"/>
      <c r="Y2737" s="90"/>
      <c r="Z2737" s="93"/>
    </row>
    <row r="2738" spans="3:26">
      <c r="C2738" s="89"/>
      <c r="D2738" s="90"/>
      <c r="E2738" s="90"/>
      <c r="F2738" s="90"/>
      <c r="G2738" s="90"/>
      <c r="H2738" s="90"/>
      <c r="I2738" s="90"/>
      <c r="T2738" s="90"/>
      <c r="V2738" s="90"/>
      <c r="W2738" s="90"/>
      <c r="X2738" s="90"/>
      <c r="Y2738" s="90"/>
      <c r="Z2738" s="93"/>
    </row>
    <row r="2739" spans="3:26">
      <c r="C2739" s="89"/>
      <c r="D2739" s="90"/>
      <c r="E2739" s="90"/>
      <c r="F2739" s="90"/>
      <c r="G2739" s="90"/>
      <c r="H2739" s="90"/>
      <c r="I2739" s="90"/>
      <c r="T2739" s="90"/>
      <c r="V2739" s="90"/>
      <c r="W2739" s="90"/>
      <c r="X2739" s="90"/>
      <c r="Y2739" s="90"/>
      <c r="Z2739" s="93"/>
    </row>
    <row r="2740" spans="3:26">
      <c r="C2740" s="89"/>
      <c r="D2740" s="90"/>
      <c r="E2740" s="90"/>
      <c r="F2740" s="90"/>
      <c r="G2740" s="90"/>
      <c r="H2740" s="90"/>
      <c r="I2740" s="90"/>
      <c r="T2740" s="90"/>
      <c r="V2740" s="90"/>
      <c r="W2740" s="90"/>
      <c r="X2740" s="90"/>
      <c r="Y2740" s="90"/>
      <c r="Z2740" s="93"/>
    </row>
    <row r="2741" spans="3:26">
      <c r="C2741" s="89"/>
      <c r="D2741" s="90"/>
      <c r="E2741" s="90"/>
      <c r="F2741" s="90"/>
      <c r="G2741" s="90"/>
      <c r="H2741" s="90"/>
      <c r="I2741" s="90"/>
      <c r="T2741" s="90"/>
      <c r="V2741" s="90"/>
      <c r="W2741" s="90"/>
      <c r="X2741" s="90"/>
      <c r="Y2741" s="90"/>
      <c r="Z2741" s="93"/>
    </row>
    <row r="2742" spans="3:26">
      <c r="C2742" s="89"/>
      <c r="D2742" s="90"/>
      <c r="E2742" s="90"/>
      <c r="F2742" s="90"/>
      <c r="G2742" s="90"/>
      <c r="H2742" s="90"/>
      <c r="I2742" s="90"/>
      <c r="T2742" s="90"/>
      <c r="V2742" s="90"/>
      <c r="W2742" s="90"/>
      <c r="X2742" s="90"/>
      <c r="Y2742" s="90"/>
      <c r="Z2742" s="93"/>
    </row>
    <row r="2743" spans="3:26">
      <c r="C2743" s="89"/>
      <c r="D2743" s="90"/>
      <c r="E2743" s="90"/>
      <c r="F2743" s="90"/>
      <c r="G2743" s="90"/>
      <c r="H2743" s="90"/>
      <c r="I2743" s="90"/>
      <c r="T2743" s="90"/>
      <c r="V2743" s="90"/>
      <c r="W2743" s="90"/>
      <c r="X2743" s="90"/>
      <c r="Y2743" s="90"/>
      <c r="Z2743" s="93"/>
    </row>
    <row r="2744" spans="3:26">
      <c r="C2744" s="89"/>
      <c r="D2744" s="90"/>
      <c r="E2744" s="90"/>
      <c r="F2744" s="90"/>
      <c r="G2744" s="90"/>
      <c r="H2744" s="90"/>
      <c r="I2744" s="90"/>
      <c r="T2744" s="90"/>
      <c r="V2744" s="90"/>
      <c r="W2744" s="90"/>
      <c r="X2744" s="90"/>
      <c r="Y2744" s="90"/>
      <c r="Z2744" s="93"/>
    </row>
    <row r="2745" spans="3:26">
      <c r="C2745" s="89"/>
      <c r="D2745" s="90"/>
      <c r="E2745" s="90"/>
      <c r="F2745" s="90"/>
      <c r="G2745" s="90"/>
      <c r="H2745" s="90"/>
      <c r="I2745" s="90"/>
      <c r="T2745" s="90"/>
      <c r="V2745" s="90"/>
      <c r="W2745" s="90"/>
      <c r="X2745" s="90"/>
      <c r="Y2745" s="90"/>
      <c r="Z2745" s="93"/>
    </row>
    <row r="2746" spans="3:26">
      <c r="C2746" s="89"/>
      <c r="D2746" s="90"/>
      <c r="E2746" s="90"/>
      <c r="F2746" s="90"/>
      <c r="G2746" s="90"/>
      <c r="H2746" s="90"/>
      <c r="I2746" s="90"/>
      <c r="T2746" s="90"/>
      <c r="V2746" s="90"/>
      <c r="W2746" s="90"/>
      <c r="X2746" s="90"/>
      <c r="Y2746" s="90"/>
      <c r="Z2746" s="93"/>
    </row>
    <row r="2747" spans="3:26">
      <c r="C2747" s="89"/>
      <c r="D2747" s="90"/>
      <c r="E2747" s="90"/>
      <c r="F2747" s="90"/>
      <c r="G2747" s="90"/>
      <c r="H2747" s="90"/>
      <c r="I2747" s="90"/>
      <c r="T2747" s="90"/>
      <c r="V2747" s="90"/>
      <c r="W2747" s="90"/>
      <c r="X2747" s="90"/>
      <c r="Y2747" s="90"/>
      <c r="Z2747" s="93"/>
    </row>
    <row r="2748" spans="3:26">
      <c r="C2748" s="89"/>
      <c r="D2748" s="90"/>
      <c r="E2748" s="90"/>
      <c r="F2748" s="90"/>
      <c r="G2748" s="90"/>
      <c r="H2748" s="90"/>
      <c r="I2748" s="90"/>
      <c r="T2748" s="90"/>
      <c r="V2748" s="90"/>
      <c r="W2748" s="90"/>
      <c r="X2748" s="90"/>
      <c r="Y2748" s="90"/>
      <c r="Z2748" s="93"/>
    </row>
    <row r="2749" spans="3:26">
      <c r="C2749" s="89"/>
      <c r="D2749" s="90"/>
      <c r="E2749" s="90"/>
      <c r="F2749" s="90"/>
      <c r="G2749" s="90"/>
      <c r="H2749" s="90"/>
      <c r="I2749" s="90"/>
      <c r="T2749" s="90"/>
      <c r="V2749" s="90"/>
      <c r="W2749" s="90"/>
      <c r="X2749" s="90"/>
      <c r="Y2749" s="90"/>
      <c r="Z2749" s="93"/>
    </row>
    <row r="2750" spans="3:26">
      <c r="C2750" s="89"/>
      <c r="D2750" s="90"/>
      <c r="E2750" s="90"/>
      <c r="F2750" s="90"/>
      <c r="G2750" s="90"/>
      <c r="H2750" s="90"/>
      <c r="I2750" s="90"/>
      <c r="T2750" s="90"/>
      <c r="V2750" s="90"/>
      <c r="W2750" s="90"/>
      <c r="X2750" s="90"/>
      <c r="Y2750" s="90"/>
      <c r="Z2750" s="93"/>
    </row>
    <row r="2751" spans="3:26">
      <c r="C2751" s="89"/>
      <c r="D2751" s="90"/>
      <c r="E2751" s="90"/>
      <c r="F2751" s="90"/>
      <c r="G2751" s="90"/>
      <c r="H2751" s="90"/>
      <c r="I2751" s="90"/>
      <c r="T2751" s="90"/>
      <c r="V2751" s="90"/>
      <c r="W2751" s="90"/>
      <c r="X2751" s="90"/>
      <c r="Y2751" s="90"/>
      <c r="Z2751" s="93"/>
    </row>
    <row r="2752" spans="3:26">
      <c r="C2752" s="89"/>
      <c r="D2752" s="90"/>
      <c r="E2752" s="90"/>
      <c r="F2752" s="90"/>
      <c r="G2752" s="90"/>
      <c r="H2752" s="90"/>
      <c r="I2752" s="90"/>
      <c r="T2752" s="90"/>
      <c r="V2752" s="90"/>
      <c r="W2752" s="90"/>
      <c r="X2752" s="90"/>
      <c r="Y2752" s="90"/>
      <c r="Z2752" s="93"/>
    </row>
    <row r="2753" spans="3:26">
      <c r="C2753" s="89"/>
      <c r="D2753" s="90"/>
      <c r="E2753" s="90"/>
      <c r="F2753" s="90"/>
      <c r="G2753" s="90"/>
      <c r="H2753" s="90"/>
      <c r="I2753" s="90"/>
      <c r="T2753" s="90"/>
      <c r="V2753" s="90"/>
      <c r="W2753" s="90"/>
      <c r="X2753" s="90"/>
      <c r="Y2753" s="90"/>
      <c r="Z2753" s="93"/>
    </row>
    <row r="2754" spans="3:26">
      <c r="C2754" s="89"/>
      <c r="D2754" s="90"/>
      <c r="E2754" s="90"/>
      <c r="F2754" s="90"/>
      <c r="G2754" s="90"/>
      <c r="H2754" s="90"/>
      <c r="I2754" s="90"/>
      <c r="T2754" s="90"/>
      <c r="V2754" s="90"/>
      <c r="W2754" s="90"/>
      <c r="X2754" s="90"/>
      <c r="Y2754" s="90"/>
      <c r="Z2754" s="93"/>
    </row>
    <row r="2755" spans="3:26">
      <c r="C2755" s="89"/>
      <c r="D2755" s="90"/>
      <c r="E2755" s="90"/>
      <c r="F2755" s="90"/>
      <c r="G2755" s="90"/>
      <c r="H2755" s="90"/>
      <c r="I2755" s="90"/>
      <c r="T2755" s="90"/>
      <c r="V2755" s="90"/>
      <c r="W2755" s="90"/>
      <c r="X2755" s="90"/>
      <c r="Y2755" s="90"/>
      <c r="Z2755" s="93"/>
    </row>
    <row r="2756" spans="3:26">
      <c r="C2756" s="89"/>
      <c r="D2756" s="90"/>
      <c r="E2756" s="90"/>
      <c r="F2756" s="90"/>
      <c r="G2756" s="90"/>
      <c r="H2756" s="90"/>
      <c r="I2756" s="90"/>
      <c r="T2756" s="90"/>
      <c r="V2756" s="90"/>
      <c r="W2756" s="90"/>
      <c r="X2756" s="90"/>
      <c r="Y2756" s="90"/>
      <c r="Z2756" s="93"/>
    </row>
    <row r="2757" spans="3:26">
      <c r="C2757" s="89"/>
      <c r="D2757" s="90"/>
      <c r="E2757" s="90"/>
      <c r="F2757" s="90"/>
      <c r="G2757" s="90"/>
      <c r="H2757" s="90"/>
      <c r="I2757" s="90"/>
      <c r="T2757" s="90"/>
      <c r="V2757" s="90"/>
      <c r="W2757" s="90"/>
      <c r="X2757" s="90"/>
      <c r="Y2757" s="90"/>
      <c r="Z2757" s="93"/>
    </row>
    <row r="2758" spans="3:26">
      <c r="C2758" s="89"/>
      <c r="D2758" s="90"/>
      <c r="E2758" s="90"/>
      <c r="F2758" s="90"/>
      <c r="G2758" s="90"/>
      <c r="H2758" s="90"/>
      <c r="I2758" s="90"/>
      <c r="T2758" s="90"/>
      <c r="V2758" s="90"/>
      <c r="W2758" s="90"/>
      <c r="X2758" s="90"/>
      <c r="Y2758" s="90"/>
      <c r="Z2758" s="93"/>
    </row>
    <row r="2759" spans="3:26">
      <c r="C2759" s="89"/>
      <c r="D2759" s="90"/>
      <c r="E2759" s="90"/>
      <c r="F2759" s="90"/>
      <c r="G2759" s="90"/>
      <c r="H2759" s="90"/>
      <c r="I2759" s="90"/>
      <c r="T2759" s="90"/>
      <c r="V2759" s="90"/>
      <c r="W2759" s="90"/>
      <c r="X2759" s="90"/>
      <c r="Y2759" s="90"/>
      <c r="Z2759" s="93"/>
    </row>
    <row r="2760" spans="3:26">
      <c r="C2760" s="89"/>
      <c r="D2760" s="90"/>
      <c r="E2760" s="90"/>
      <c r="F2760" s="90"/>
      <c r="G2760" s="90"/>
      <c r="H2760" s="90"/>
      <c r="I2760" s="90"/>
      <c r="T2760" s="90"/>
      <c r="V2760" s="90"/>
      <c r="W2760" s="90"/>
      <c r="X2760" s="90"/>
      <c r="Y2760" s="90"/>
      <c r="Z2760" s="93"/>
    </row>
    <row r="2761" spans="3:26">
      <c r="C2761" s="89"/>
      <c r="D2761" s="90"/>
      <c r="E2761" s="90"/>
      <c r="F2761" s="90"/>
      <c r="G2761" s="90"/>
      <c r="H2761" s="90"/>
      <c r="I2761" s="90"/>
      <c r="T2761" s="90"/>
      <c r="V2761" s="90"/>
      <c r="W2761" s="90"/>
      <c r="X2761" s="90"/>
      <c r="Y2761" s="90"/>
      <c r="Z2761" s="93"/>
    </row>
    <row r="2762" spans="3:26">
      <c r="C2762" s="89"/>
      <c r="D2762" s="90"/>
      <c r="E2762" s="90"/>
      <c r="F2762" s="90"/>
      <c r="G2762" s="90"/>
      <c r="H2762" s="90"/>
      <c r="I2762" s="90"/>
      <c r="T2762" s="90"/>
      <c r="V2762" s="90"/>
      <c r="W2762" s="90"/>
      <c r="X2762" s="90"/>
      <c r="Y2762" s="90"/>
      <c r="Z2762" s="93"/>
    </row>
    <row r="2763" spans="3:26">
      <c r="C2763" s="89"/>
      <c r="D2763" s="90"/>
      <c r="E2763" s="90"/>
      <c r="F2763" s="90"/>
      <c r="G2763" s="90"/>
      <c r="H2763" s="90"/>
      <c r="I2763" s="90"/>
      <c r="T2763" s="90"/>
      <c r="V2763" s="90"/>
      <c r="W2763" s="90"/>
      <c r="X2763" s="90"/>
      <c r="Y2763" s="90"/>
      <c r="Z2763" s="93"/>
    </row>
    <row r="2764" spans="3:26">
      <c r="C2764" s="89"/>
      <c r="D2764" s="90"/>
      <c r="E2764" s="90"/>
      <c r="F2764" s="90"/>
      <c r="G2764" s="90"/>
      <c r="H2764" s="90"/>
      <c r="I2764" s="90"/>
      <c r="T2764" s="90"/>
      <c r="V2764" s="90"/>
      <c r="W2764" s="90"/>
      <c r="X2764" s="90"/>
      <c r="Y2764" s="90"/>
      <c r="Z2764" s="93"/>
    </row>
    <row r="2765" spans="3:26">
      <c r="C2765" s="89"/>
      <c r="D2765" s="90"/>
      <c r="E2765" s="90"/>
      <c r="F2765" s="90"/>
      <c r="G2765" s="90"/>
      <c r="H2765" s="90"/>
      <c r="I2765" s="90"/>
      <c r="T2765" s="90"/>
      <c r="V2765" s="90"/>
      <c r="W2765" s="90"/>
      <c r="X2765" s="90"/>
      <c r="Y2765" s="90"/>
      <c r="Z2765" s="93"/>
    </row>
    <row r="2766" spans="3:26">
      <c r="C2766" s="89"/>
      <c r="D2766" s="90"/>
      <c r="E2766" s="90"/>
      <c r="F2766" s="90"/>
      <c r="G2766" s="90"/>
      <c r="H2766" s="90"/>
      <c r="I2766" s="90"/>
      <c r="T2766" s="90"/>
      <c r="V2766" s="90"/>
      <c r="W2766" s="90"/>
      <c r="X2766" s="90"/>
      <c r="Y2766" s="90"/>
      <c r="Z2766" s="93"/>
    </row>
    <row r="2767" spans="3:26">
      <c r="C2767" s="89"/>
      <c r="D2767" s="90"/>
      <c r="E2767" s="90"/>
      <c r="F2767" s="90"/>
      <c r="G2767" s="90"/>
      <c r="H2767" s="90"/>
      <c r="I2767" s="90"/>
      <c r="T2767" s="90"/>
      <c r="V2767" s="90"/>
      <c r="W2767" s="90"/>
      <c r="X2767" s="90"/>
      <c r="Y2767" s="90"/>
      <c r="Z2767" s="93"/>
    </row>
    <row r="2768" spans="3:26">
      <c r="C2768" s="89"/>
      <c r="D2768" s="90"/>
      <c r="E2768" s="90"/>
      <c r="F2768" s="90"/>
      <c r="G2768" s="90"/>
      <c r="H2768" s="90"/>
      <c r="I2768" s="90"/>
      <c r="T2768" s="90"/>
      <c r="V2768" s="90"/>
      <c r="W2768" s="90"/>
      <c r="X2768" s="90"/>
      <c r="Y2768" s="90"/>
      <c r="Z2768" s="93"/>
    </row>
    <row r="2769" spans="3:26">
      <c r="C2769" s="89"/>
      <c r="D2769" s="90"/>
      <c r="E2769" s="90"/>
      <c r="F2769" s="90"/>
      <c r="G2769" s="90"/>
      <c r="H2769" s="90"/>
      <c r="I2769" s="90"/>
      <c r="T2769" s="90"/>
      <c r="V2769" s="90"/>
      <c r="W2769" s="90"/>
      <c r="X2769" s="90"/>
      <c r="Y2769" s="90"/>
      <c r="Z2769" s="93"/>
    </row>
    <row r="2770" spans="3:26">
      <c r="C2770" s="89"/>
      <c r="D2770" s="90"/>
      <c r="E2770" s="90"/>
      <c r="F2770" s="90"/>
      <c r="G2770" s="90"/>
      <c r="H2770" s="90"/>
      <c r="I2770" s="90"/>
      <c r="T2770" s="90"/>
      <c r="V2770" s="90"/>
      <c r="W2770" s="90"/>
      <c r="X2770" s="90"/>
      <c r="Y2770" s="90"/>
      <c r="Z2770" s="93"/>
    </row>
    <row r="2771" spans="3:26">
      <c r="C2771" s="89"/>
      <c r="D2771" s="90"/>
      <c r="E2771" s="90"/>
      <c r="F2771" s="90"/>
      <c r="G2771" s="90"/>
      <c r="H2771" s="90"/>
      <c r="I2771" s="90"/>
      <c r="T2771" s="90"/>
      <c r="V2771" s="90"/>
      <c r="W2771" s="90"/>
      <c r="X2771" s="90"/>
      <c r="Y2771" s="90"/>
      <c r="Z2771" s="93"/>
    </row>
    <row r="2772" spans="3:26">
      <c r="C2772" s="89"/>
      <c r="D2772" s="90"/>
      <c r="E2772" s="90"/>
      <c r="F2772" s="90"/>
      <c r="G2772" s="90"/>
      <c r="H2772" s="90"/>
      <c r="I2772" s="90"/>
      <c r="T2772" s="90"/>
      <c r="V2772" s="90"/>
      <c r="W2772" s="90"/>
      <c r="X2772" s="90"/>
      <c r="Y2772" s="90"/>
      <c r="Z2772" s="93"/>
    </row>
    <row r="2773" spans="3:26">
      <c r="C2773" s="89"/>
      <c r="D2773" s="90"/>
      <c r="E2773" s="90"/>
      <c r="F2773" s="90"/>
      <c r="G2773" s="90"/>
      <c r="H2773" s="90"/>
      <c r="I2773" s="90"/>
      <c r="T2773" s="90"/>
      <c r="V2773" s="90"/>
      <c r="W2773" s="90"/>
      <c r="X2773" s="90"/>
      <c r="Y2773" s="90"/>
      <c r="Z2773" s="93"/>
    </row>
    <row r="2774" spans="3:26">
      <c r="C2774" s="89"/>
      <c r="D2774" s="90"/>
      <c r="E2774" s="90"/>
      <c r="F2774" s="90"/>
      <c r="G2774" s="90"/>
      <c r="H2774" s="90"/>
      <c r="I2774" s="90"/>
      <c r="T2774" s="90"/>
      <c r="V2774" s="90"/>
      <c r="W2774" s="90"/>
      <c r="X2774" s="90"/>
      <c r="Y2774" s="90"/>
      <c r="Z2774" s="93"/>
    </row>
    <row r="2775" spans="3:26">
      <c r="C2775" s="89"/>
      <c r="D2775" s="90"/>
      <c r="E2775" s="90"/>
      <c r="F2775" s="90"/>
      <c r="G2775" s="90"/>
      <c r="H2775" s="90"/>
      <c r="I2775" s="90"/>
      <c r="T2775" s="90"/>
      <c r="V2775" s="90"/>
      <c r="W2775" s="90"/>
      <c r="X2775" s="90"/>
      <c r="Y2775" s="90"/>
      <c r="Z2775" s="93"/>
    </row>
    <row r="2776" spans="3:26">
      <c r="C2776" s="89"/>
      <c r="D2776" s="90"/>
      <c r="E2776" s="90"/>
      <c r="F2776" s="90"/>
      <c r="G2776" s="90"/>
      <c r="H2776" s="90"/>
      <c r="I2776" s="90"/>
      <c r="T2776" s="90"/>
      <c r="V2776" s="90"/>
      <c r="W2776" s="90"/>
      <c r="X2776" s="90"/>
      <c r="Y2776" s="90"/>
      <c r="Z2776" s="93"/>
    </row>
    <row r="2777" spans="3:26">
      <c r="C2777" s="89"/>
      <c r="D2777" s="90"/>
      <c r="E2777" s="90"/>
      <c r="F2777" s="90"/>
      <c r="G2777" s="90"/>
      <c r="H2777" s="90"/>
      <c r="I2777" s="90"/>
      <c r="T2777" s="90"/>
      <c r="V2777" s="90"/>
      <c r="W2777" s="90"/>
      <c r="X2777" s="90"/>
      <c r="Y2777" s="90"/>
      <c r="Z2777" s="93"/>
    </row>
    <row r="2778" spans="3:26">
      <c r="C2778" s="89"/>
      <c r="D2778" s="90"/>
      <c r="E2778" s="90"/>
      <c r="F2778" s="90"/>
      <c r="G2778" s="90"/>
      <c r="H2778" s="90"/>
      <c r="I2778" s="90"/>
      <c r="T2778" s="90"/>
      <c r="V2778" s="90"/>
      <c r="W2778" s="90"/>
      <c r="X2778" s="90"/>
      <c r="Y2778" s="90"/>
      <c r="Z2778" s="93"/>
    </row>
    <row r="2779" spans="3:26">
      <c r="C2779" s="89"/>
      <c r="D2779" s="90"/>
      <c r="E2779" s="90"/>
      <c r="F2779" s="90"/>
      <c r="G2779" s="90"/>
      <c r="H2779" s="90"/>
      <c r="I2779" s="90"/>
      <c r="T2779" s="90"/>
      <c r="V2779" s="90"/>
      <c r="W2779" s="90"/>
      <c r="X2779" s="90"/>
      <c r="Y2779" s="90"/>
      <c r="Z2779" s="93"/>
    </row>
    <row r="2780" spans="3:26">
      <c r="C2780" s="89"/>
      <c r="D2780" s="90"/>
      <c r="E2780" s="90"/>
      <c r="F2780" s="90"/>
      <c r="G2780" s="90"/>
      <c r="H2780" s="90"/>
      <c r="I2780" s="90"/>
      <c r="T2780" s="90"/>
      <c r="V2780" s="90"/>
      <c r="W2780" s="90"/>
      <c r="X2780" s="90"/>
      <c r="Y2780" s="90"/>
      <c r="Z2780" s="93"/>
    </row>
    <row r="2781" spans="3:26">
      <c r="C2781" s="89"/>
      <c r="D2781" s="90"/>
      <c r="E2781" s="90"/>
      <c r="F2781" s="90"/>
      <c r="G2781" s="90"/>
      <c r="H2781" s="90"/>
      <c r="I2781" s="90"/>
      <c r="T2781" s="90"/>
      <c r="V2781" s="90"/>
      <c r="W2781" s="90"/>
      <c r="X2781" s="90"/>
      <c r="Y2781" s="90"/>
      <c r="Z2781" s="93"/>
    </row>
    <row r="2782" spans="3:26">
      <c r="C2782" s="89"/>
      <c r="D2782" s="90"/>
      <c r="E2782" s="90"/>
      <c r="F2782" s="90"/>
      <c r="G2782" s="90"/>
      <c r="H2782" s="90"/>
      <c r="I2782" s="90"/>
      <c r="T2782" s="90"/>
      <c r="V2782" s="90"/>
      <c r="W2782" s="90"/>
      <c r="X2782" s="90"/>
      <c r="Y2782" s="90"/>
      <c r="Z2782" s="93"/>
    </row>
    <row r="2783" spans="3:26">
      <c r="C2783" s="89"/>
      <c r="D2783" s="90"/>
      <c r="E2783" s="90"/>
      <c r="F2783" s="90"/>
      <c r="G2783" s="90"/>
      <c r="H2783" s="90"/>
      <c r="I2783" s="90"/>
      <c r="T2783" s="90"/>
      <c r="V2783" s="90"/>
      <c r="W2783" s="90"/>
      <c r="X2783" s="90"/>
      <c r="Y2783" s="90"/>
      <c r="Z2783" s="93"/>
    </row>
    <row r="2784" spans="3:26">
      <c r="C2784" s="89"/>
      <c r="D2784" s="90"/>
      <c r="E2784" s="90"/>
      <c r="F2784" s="90"/>
      <c r="G2784" s="90"/>
      <c r="H2784" s="90"/>
      <c r="I2784" s="90"/>
      <c r="T2784" s="90"/>
      <c r="V2784" s="90"/>
      <c r="W2784" s="90"/>
      <c r="X2784" s="90"/>
      <c r="Y2784" s="90"/>
      <c r="Z2784" s="93"/>
    </row>
    <row r="2785" spans="3:26">
      <c r="C2785" s="89"/>
      <c r="D2785" s="90"/>
      <c r="E2785" s="90"/>
      <c r="F2785" s="90"/>
      <c r="G2785" s="90"/>
      <c r="H2785" s="90"/>
      <c r="I2785" s="90"/>
      <c r="T2785" s="90"/>
      <c r="V2785" s="90"/>
      <c r="W2785" s="90"/>
      <c r="X2785" s="90"/>
      <c r="Y2785" s="90"/>
      <c r="Z2785" s="93"/>
    </row>
    <row r="2786" spans="3:26">
      <c r="C2786" s="89"/>
      <c r="D2786" s="90"/>
      <c r="E2786" s="90"/>
      <c r="F2786" s="90"/>
      <c r="G2786" s="90"/>
      <c r="H2786" s="90"/>
      <c r="I2786" s="90"/>
      <c r="T2786" s="90"/>
      <c r="V2786" s="90"/>
      <c r="W2786" s="90"/>
      <c r="X2786" s="90"/>
      <c r="Y2786" s="90"/>
      <c r="Z2786" s="93"/>
    </row>
    <row r="2787" spans="3:26">
      <c r="C2787" s="89"/>
      <c r="D2787" s="90"/>
      <c r="E2787" s="90"/>
      <c r="F2787" s="90"/>
      <c r="G2787" s="90"/>
      <c r="H2787" s="90"/>
      <c r="I2787" s="90"/>
      <c r="T2787" s="90"/>
      <c r="V2787" s="90"/>
      <c r="W2787" s="90"/>
      <c r="X2787" s="90"/>
      <c r="Y2787" s="90"/>
      <c r="Z2787" s="93"/>
    </row>
    <row r="2788" spans="3:26">
      <c r="C2788" s="89"/>
      <c r="D2788" s="90"/>
      <c r="E2788" s="90"/>
      <c r="F2788" s="90"/>
      <c r="G2788" s="90"/>
      <c r="H2788" s="90"/>
      <c r="I2788" s="90"/>
      <c r="T2788" s="90"/>
      <c r="V2788" s="90"/>
      <c r="W2788" s="90"/>
      <c r="X2788" s="90"/>
      <c r="Y2788" s="90"/>
      <c r="Z2788" s="93"/>
    </row>
    <row r="2789" spans="3:26">
      <c r="C2789" s="89"/>
      <c r="D2789" s="90"/>
      <c r="E2789" s="90"/>
      <c r="F2789" s="90"/>
      <c r="G2789" s="90"/>
      <c r="H2789" s="90"/>
      <c r="I2789" s="90"/>
      <c r="T2789" s="90"/>
      <c r="V2789" s="90"/>
      <c r="W2789" s="90"/>
      <c r="X2789" s="90"/>
      <c r="Y2789" s="90"/>
      <c r="Z2789" s="93"/>
    </row>
    <row r="2790" spans="3:26">
      <c r="C2790" s="89"/>
      <c r="D2790" s="90"/>
      <c r="E2790" s="90"/>
      <c r="F2790" s="90"/>
      <c r="G2790" s="90"/>
      <c r="H2790" s="90"/>
      <c r="I2790" s="90"/>
      <c r="T2790" s="90"/>
      <c r="V2790" s="90"/>
      <c r="W2790" s="90"/>
      <c r="X2790" s="90"/>
      <c r="Y2790" s="90"/>
      <c r="Z2790" s="93"/>
    </row>
    <row r="2791" spans="3:26">
      <c r="C2791" s="89"/>
      <c r="D2791" s="90"/>
      <c r="E2791" s="90"/>
      <c r="F2791" s="90"/>
      <c r="G2791" s="90"/>
      <c r="H2791" s="90"/>
      <c r="I2791" s="90"/>
      <c r="T2791" s="90"/>
      <c r="V2791" s="90"/>
      <c r="W2791" s="90"/>
      <c r="X2791" s="90"/>
      <c r="Y2791" s="90"/>
      <c r="Z2791" s="93"/>
    </row>
    <row r="2792" spans="3:26">
      <c r="C2792" s="89"/>
      <c r="D2792" s="90"/>
      <c r="E2792" s="90"/>
      <c r="F2792" s="90"/>
      <c r="G2792" s="90"/>
      <c r="H2792" s="90"/>
      <c r="I2792" s="90"/>
      <c r="T2792" s="90"/>
      <c r="V2792" s="90"/>
      <c r="W2792" s="90"/>
      <c r="X2792" s="90"/>
      <c r="Y2792" s="90"/>
      <c r="Z2792" s="93"/>
    </row>
    <row r="2793" spans="3:26">
      <c r="C2793" s="89"/>
      <c r="D2793" s="90"/>
      <c r="E2793" s="90"/>
      <c r="F2793" s="90"/>
      <c r="G2793" s="90"/>
      <c r="H2793" s="90"/>
      <c r="I2793" s="90"/>
      <c r="T2793" s="90"/>
      <c r="V2793" s="90"/>
      <c r="W2793" s="90"/>
      <c r="X2793" s="90"/>
      <c r="Y2793" s="90"/>
      <c r="Z2793" s="93"/>
    </row>
    <row r="2794" spans="3:26">
      <c r="C2794" s="89"/>
      <c r="D2794" s="90"/>
      <c r="E2794" s="90"/>
      <c r="F2794" s="90"/>
      <c r="G2794" s="90"/>
      <c r="H2794" s="90"/>
      <c r="I2794" s="90"/>
      <c r="T2794" s="90"/>
      <c r="V2794" s="90"/>
      <c r="W2794" s="90"/>
      <c r="X2794" s="90"/>
      <c r="Y2794" s="90"/>
      <c r="Z2794" s="93"/>
    </row>
    <row r="2795" spans="3:26">
      <c r="C2795" s="89"/>
      <c r="D2795" s="90"/>
      <c r="E2795" s="90"/>
      <c r="F2795" s="90"/>
      <c r="G2795" s="90"/>
      <c r="H2795" s="90"/>
      <c r="I2795" s="90"/>
      <c r="T2795" s="90"/>
      <c r="V2795" s="90"/>
      <c r="W2795" s="90"/>
      <c r="X2795" s="90"/>
      <c r="Y2795" s="90"/>
      <c r="Z2795" s="93"/>
    </row>
    <row r="2796" spans="3:26">
      <c r="C2796" s="89"/>
      <c r="D2796" s="90"/>
      <c r="E2796" s="90"/>
      <c r="F2796" s="90"/>
      <c r="G2796" s="90"/>
      <c r="H2796" s="90"/>
      <c r="I2796" s="90"/>
      <c r="T2796" s="90"/>
      <c r="V2796" s="90"/>
      <c r="W2796" s="90"/>
      <c r="X2796" s="90"/>
      <c r="Y2796" s="90"/>
      <c r="Z2796" s="93"/>
    </row>
    <row r="2797" spans="3:26">
      <c r="C2797" s="89"/>
      <c r="D2797" s="90"/>
      <c r="E2797" s="90"/>
      <c r="F2797" s="90"/>
      <c r="G2797" s="90"/>
      <c r="H2797" s="90"/>
      <c r="I2797" s="90"/>
      <c r="T2797" s="90"/>
      <c r="V2797" s="90"/>
      <c r="W2797" s="90"/>
      <c r="X2797" s="90"/>
      <c r="Y2797" s="90"/>
      <c r="Z2797" s="93"/>
    </row>
    <row r="2798" spans="3:26">
      <c r="C2798" s="89"/>
      <c r="D2798" s="90"/>
      <c r="E2798" s="90"/>
      <c r="F2798" s="90"/>
      <c r="G2798" s="90"/>
      <c r="H2798" s="90"/>
      <c r="I2798" s="90"/>
      <c r="T2798" s="90"/>
      <c r="V2798" s="90"/>
      <c r="W2798" s="90"/>
      <c r="X2798" s="90"/>
      <c r="Y2798" s="90"/>
      <c r="Z2798" s="93"/>
    </row>
    <row r="2799" spans="3:26">
      <c r="C2799" s="89"/>
      <c r="D2799" s="90"/>
      <c r="E2799" s="90"/>
      <c r="F2799" s="90"/>
      <c r="G2799" s="90"/>
      <c r="H2799" s="90"/>
      <c r="I2799" s="90"/>
      <c r="T2799" s="90"/>
      <c r="V2799" s="90"/>
      <c r="W2799" s="90"/>
      <c r="X2799" s="90"/>
      <c r="Y2799" s="90"/>
      <c r="Z2799" s="93"/>
    </row>
    <row r="2800" spans="3:26">
      <c r="C2800" s="89"/>
      <c r="D2800" s="90"/>
      <c r="E2800" s="90"/>
      <c r="F2800" s="90"/>
      <c r="G2800" s="90"/>
      <c r="H2800" s="90"/>
      <c r="I2800" s="90"/>
      <c r="T2800" s="90"/>
      <c r="V2800" s="90"/>
      <c r="W2800" s="90"/>
      <c r="X2800" s="90"/>
      <c r="Y2800" s="90"/>
      <c r="Z2800" s="93"/>
    </row>
    <row r="2801" spans="3:26">
      <c r="C2801" s="89"/>
      <c r="D2801" s="90"/>
      <c r="E2801" s="90"/>
      <c r="F2801" s="90"/>
      <c r="G2801" s="90"/>
      <c r="H2801" s="90"/>
      <c r="I2801" s="90"/>
      <c r="T2801" s="90"/>
      <c r="V2801" s="90"/>
      <c r="W2801" s="90"/>
      <c r="X2801" s="90"/>
      <c r="Y2801" s="90"/>
      <c r="Z2801" s="93"/>
    </row>
    <row r="2802" spans="3:26">
      <c r="C2802" s="89"/>
      <c r="D2802" s="90"/>
      <c r="E2802" s="90"/>
      <c r="F2802" s="90"/>
      <c r="G2802" s="90"/>
      <c r="H2802" s="90"/>
      <c r="I2802" s="90"/>
      <c r="T2802" s="90"/>
      <c r="V2802" s="90"/>
      <c r="W2802" s="90"/>
      <c r="X2802" s="90"/>
      <c r="Y2802" s="90"/>
      <c r="Z2802" s="93"/>
    </row>
    <row r="2803" spans="3:26">
      <c r="C2803" s="89"/>
      <c r="D2803" s="90"/>
      <c r="E2803" s="90"/>
      <c r="F2803" s="90"/>
      <c r="G2803" s="90"/>
      <c r="H2803" s="90"/>
      <c r="I2803" s="90"/>
      <c r="T2803" s="90"/>
      <c r="V2803" s="90"/>
      <c r="W2803" s="90"/>
      <c r="X2803" s="90"/>
      <c r="Y2803" s="90"/>
      <c r="Z2803" s="93"/>
    </row>
    <row r="2804" spans="3:26">
      <c r="C2804" s="89"/>
      <c r="D2804" s="90"/>
      <c r="E2804" s="90"/>
      <c r="F2804" s="90"/>
      <c r="G2804" s="90"/>
      <c r="H2804" s="90"/>
      <c r="I2804" s="90"/>
      <c r="T2804" s="90"/>
      <c r="V2804" s="90"/>
      <c r="W2804" s="90"/>
      <c r="X2804" s="90"/>
      <c r="Y2804" s="90"/>
      <c r="Z2804" s="93"/>
    </row>
    <row r="2805" spans="3:26">
      <c r="C2805" s="89"/>
      <c r="D2805" s="90"/>
      <c r="E2805" s="90"/>
      <c r="F2805" s="90"/>
      <c r="G2805" s="90"/>
      <c r="H2805" s="90"/>
      <c r="I2805" s="90"/>
      <c r="T2805" s="90"/>
      <c r="V2805" s="90"/>
      <c r="W2805" s="90"/>
      <c r="X2805" s="90"/>
      <c r="Y2805" s="90"/>
      <c r="Z2805" s="93"/>
    </row>
    <row r="2806" spans="3:26">
      <c r="C2806" s="89"/>
      <c r="D2806" s="90"/>
      <c r="E2806" s="90"/>
      <c r="F2806" s="90"/>
      <c r="G2806" s="90"/>
      <c r="H2806" s="90"/>
      <c r="I2806" s="90"/>
      <c r="T2806" s="90"/>
      <c r="V2806" s="90"/>
      <c r="W2806" s="90"/>
      <c r="X2806" s="90"/>
      <c r="Y2806" s="90"/>
      <c r="Z2806" s="93"/>
    </row>
    <row r="2807" spans="3:26">
      <c r="C2807" s="89"/>
      <c r="D2807" s="90"/>
      <c r="E2807" s="90"/>
      <c r="F2807" s="90"/>
      <c r="G2807" s="90"/>
      <c r="H2807" s="90"/>
      <c r="I2807" s="90"/>
      <c r="T2807" s="90"/>
      <c r="V2807" s="90"/>
      <c r="W2807" s="90"/>
      <c r="X2807" s="90"/>
      <c r="Y2807" s="90"/>
      <c r="Z2807" s="93"/>
    </row>
    <row r="2808" spans="3:26">
      <c r="C2808" s="89"/>
      <c r="D2808" s="90"/>
      <c r="E2808" s="90"/>
      <c r="F2808" s="90"/>
      <c r="G2808" s="90"/>
      <c r="H2808" s="90"/>
      <c r="I2808" s="90"/>
      <c r="T2808" s="90"/>
      <c r="V2808" s="90"/>
      <c r="W2808" s="90"/>
      <c r="X2808" s="90"/>
      <c r="Y2808" s="90"/>
      <c r="Z2808" s="93"/>
    </row>
    <row r="2809" spans="3:26">
      <c r="C2809" s="89"/>
      <c r="D2809" s="90"/>
      <c r="E2809" s="90"/>
      <c r="F2809" s="90"/>
      <c r="G2809" s="90"/>
      <c r="H2809" s="90"/>
      <c r="I2809" s="90"/>
      <c r="T2809" s="90"/>
      <c r="V2809" s="90"/>
      <c r="W2809" s="90"/>
      <c r="X2809" s="90"/>
      <c r="Y2809" s="90"/>
      <c r="Z2809" s="93"/>
    </row>
    <row r="2810" spans="3:26">
      <c r="C2810" s="89"/>
      <c r="D2810" s="90"/>
      <c r="E2810" s="90"/>
      <c r="F2810" s="90"/>
      <c r="G2810" s="90"/>
      <c r="H2810" s="90"/>
      <c r="I2810" s="90"/>
      <c r="T2810" s="90"/>
      <c r="V2810" s="90"/>
      <c r="W2810" s="90"/>
      <c r="X2810" s="90"/>
      <c r="Y2810" s="90"/>
      <c r="Z2810" s="93"/>
    </row>
    <row r="2811" spans="3:26">
      <c r="C2811" s="89"/>
      <c r="D2811" s="90"/>
      <c r="E2811" s="90"/>
      <c r="F2811" s="90"/>
      <c r="G2811" s="90"/>
      <c r="H2811" s="90"/>
      <c r="I2811" s="90"/>
      <c r="T2811" s="90"/>
      <c r="V2811" s="90"/>
      <c r="W2811" s="90"/>
      <c r="X2811" s="90"/>
      <c r="Y2811" s="90"/>
      <c r="Z2811" s="93"/>
    </row>
    <row r="2812" spans="3:26">
      <c r="C2812" s="89"/>
      <c r="D2812" s="90"/>
      <c r="E2812" s="90"/>
      <c r="F2812" s="90"/>
      <c r="G2812" s="90"/>
      <c r="H2812" s="90"/>
      <c r="I2812" s="90"/>
      <c r="T2812" s="90"/>
      <c r="V2812" s="90"/>
      <c r="W2812" s="90"/>
      <c r="X2812" s="90"/>
      <c r="Y2812" s="90"/>
      <c r="Z2812" s="93"/>
    </row>
    <row r="2813" spans="3:26">
      <c r="C2813" s="89"/>
      <c r="D2813" s="90"/>
      <c r="E2813" s="90"/>
      <c r="F2813" s="90"/>
      <c r="G2813" s="90"/>
      <c r="H2813" s="90"/>
      <c r="I2813" s="90"/>
      <c r="T2813" s="90"/>
      <c r="V2813" s="90"/>
      <c r="W2813" s="90"/>
      <c r="X2813" s="90"/>
      <c r="Y2813" s="90"/>
      <c r="Z2813" s="93"/>
    </row>
    <row r="2814" spans="3:26">
      <c r="C2814" s="89"/>
      <c r="D2814" s="90"/>
      <c r="E2814" s="90"/>
      <c r="F2814" s="90"/>
      <c r="G2814" s="90"/>
      <c r="H2814" s="90"/>
      <c r="I2814" s="90"/>
      <c r="T2814" s="90"/>
      <c r="V2814" s="90"/>
      <c r="W2814" s="90"/>
      <c r="X2814" s="90"/>
      <c r="Y2814" s="90"/>
      <c r="Z2814" s="93"/>
    </row>
    <row r="2815" spans="3:26">
      <c r="C2815" s="89"/>
      <c r="D2815" s="90"/>
      <c r="E2815" s="90"/>
      <c r="F2815" s="90"/>
      <c r="G2815" s="90"/>
      <c r="H2815" s="90"/>
      <c r="I2815" s="90"/>
      <c r="T2815" s="90"/>
      <c r="V2815" s="90"/>
      <c r="W2815" s="90"/>
      <c r="X2815" s="90"/>
      <c r="Y2815" s="90"/>
      <c r="Z2815" s="93"/>
    </row>
    <row r="2816" spans="3:26">
      <c r="C2816" s="89"/>
      <c r="D2816" s="90"/>
      <c r="E2816" s="90"/>
      <c r="F2816" s="90"/>
      <c r="G2816" s="90"/>
      <c r="H2816" s="90"/>
      <c r="I2816" s="90"/>
      <c r="T2816" s="90"/>
      <c r="V2816" s="90"/>
      <c r="W2816" s="90"/>
      <c r="X2816" s="90"/>
      <c r="Y2816" s="90"/>
      <c r="Z2816" s="93"/>
    </row>
    <row r="2817" spans="3:26">
      <c r="C2817" s="89"/>
      <c r="D2817" s="90"/>
      <c r="E2817" s="90"/>
      <c r="F2817" s="90"/>
      <c r="G2817" s="90"/>
      <c r="H2817" s="90"/>
      <c r="I2817" s="90"/>
      <c r="T2817" s="90"/>
      <c r="V2817" s="90"/>
      <c r="W2817" s="90"/>
      <c r="X2817" s="90"/>
      <c r="Y2817" s="90"/>
      <c r="Z2817" s="93"/>
    </row>
    <row r="2818" spans="3:26">
      <c r="C2818" s="89"/>
      <c r="D2818" s="90"/>
      <c r="E2818" s="90"/>
      <c r="F2818" s="90"/>
      <c r="G2818" s="90"/>
      <c r="H2818" s="90"/>
      <c r="I2818" s="90"/>
      <c r="T2818" s="90"/>
      <c r="V2818" s="90"/>
      <c r="W2818" s="90"/>
      <c r="X2818" s="90"/>
      <c r="Y2818" s="90"/>
      <c r="Z2818" s="93"/>
    </row>
    <row r="2819" spans="3:26">
      <c r="C2819" s="89"/>
      <c r="D2819" s="90"/>
      <c r="E2819" s="90"/>
      <c r="F2819" s="90"/>
      <c r="G2819" s="90"/>
      <c r="H2819" s="90"/>
      <c r="I2819" s="90"/>
      <c r="T2819" s="90"/>
      <c r="V2819" s="90"/>
      <c r="W2819" s="90"/>
      <c r="X2819" s="90"/>
      <c r="Y2819" s="90"/>
      <c r="Z2819" s="93"/>
    </row>
    <row r="2820" spans="3:26">
      <c r="C2820" s="89"/>
      <c r="D2820" s="90"/>
      <c r="E2820" s="90"/>
      <c r="F2820" s="90"/>
      <c r="G2820" s="90"/>
      <c r="H2820" s="90"/>
      <c r="I2820" s="90"/>
      <c r="T2820" s="90"/>
      <c r="V2820" s="90"/>
      <c r="W2820" s="90"/>
      <c r="X2820" s="90"/>
      <c r="Y2820" s="90"/>
      <c r="Z2820" s="93"/>
    </row>
    <row r="2821" spans="3:26">
      <c r="C2821" s="89"/>
      <c r="D2821" s="90"/>
      <c r="E2821" s="90"/>
      <c r="F2821" s="90"/>
      <c r="G2821" s="90"/>
      <c r="H2821" s="90"/>
      <c r="I2821" s="90"/>
      <c r="T2821" s="90"/>
      <c r="V2821" s="90"/>
      <c r="W2821" s="90"/>
      <c r="X2821" s="90"/>
      <c r="Y2821" s="90"/>
      <c r="Z2821" s="93"/>
    </row>
    <row r="2822" spans="3:26">
      <c r="C2822" s="89"/>
      <c r="D2822" s="90"/>
      <c r="E2822" s="90"/>
      <c r="F2822" s="90"/>
      <c r="G2822" s="90"/>
      <c r="H2822" s="90"/>
      <c r="I2822" s="90"/>
      <c r="T2822" s="90"/>
      <c r="V2822" s="90"/>
      <c r="W2822" s="90"/>
      <c r="X2822" s="90"/>
      <c r="Y2822" s="90"/>
      <c r="Z2822" s="93"/>
    </row>
    <row r="2823" spans="3:26">
      <c r="C2823" s="89"/>
      <c r="D2823" s="90"/>
      <c r="E2823" s="90"/>
      <c r="F2823" s="90"/>
      <c r="G2823" s="90"/>
      <c r="H2823" s="90"/>
      <c r="I2823" s="90"/>
      <c r="T2823" s="90"/>
      <c r="V2823" s="90"/>
      <c r="W2823" s="90"/>
      <c r="X2823" s="90"/>
      <c r="Y2823" s="90"/>
      <c r="Z2823" s="93"/>
    </row>
    <row r="2824" spans="3:26">
      <c r="C2824" s="89"/>
      <c r="D2824" s="90"/>
      <c r="E2824" s="90"/>
      <c r="F2824" s="90"/>
      <c r="G2824" s="90"/>
      <c r="H2824" s="90"/>
      <c r="I2824" s="90"/>
      <c r="T2824" s="90"/>
      <c r="V2824" s="90"/>
      <c r="W2824" s="90"/>
      <c r="X2824" s="90"/>
      <c r="Y2824" s="90"/>
      <c r="Z2824" s="93"/>
    </row>
    <row r="2825" spans="3:26">
      <c r="C2825" s="89"/>
      <c r="D2825" s="90"/>
      <c r="E2825" s="90"/>
      <c r="F2825" s="90"/>
      <c r="G2825" s="90"/>
      <c r="H2825" s="90"/>
      <c r="I2825" s="90"/>
      <c r="T2825" s="90"/>
      <c r="V2825" s="90"/>
      <c r="W2825" s="90"/>
      <c r="X2825" s="90"/>
      <c r="Y2825" s="90"/>
      <c r="Z2825" s="93"/>
    </row>
    <row r="2826" spans="3:26">
      <c r="C2826" s="89"/>
      <c r="D2826" s="90"/>
      <c r="E2826" s="90"/>
      <c r="F2826" s="90"/>
      <c r="G2826" s="90"/>
      <c r="H2826" s="90"/>
      <c r="I2826" s="90"/>
      <c r="T2826" s="90"/>
      <c r="V2826" s="90"/>
      <c r="W2826" s="90"/>
      <c r="X2826" s="90"/>
      <c r="Y2826" s="90"/>
      <c r="Z2826" s="93"/>
    </row>
    <row r="2827" spans="3:26">
      <c r="C2827" s="89"/>
      <c r="D2827" s="90"/>
      <c r="E2827" s="90"/>
      <c r="F2827" s="90"/>
      <c r="G2827" s="90"/>
      <c r="H2827" s="90"/>
      <c r="I2827" s="90"/>
      <c r="T2827" s="90"/>
      <c r="V2827" s="90"/>
      <c r="W2827" s="90"/>
      <c r="X2827" s="90"/>
      <c r="Y2827" s="90"/>
      <c r="Z2827" s="93"/>
    </row>
    <row r="2828" spans="3:26">
      <c r="C2828" s="89"/>
      <c r="D2828" s="90"/>
      <c r="E2828" s="90"/>
      <c r="F2828" s="90"/>
      <c r="G2828" s="90"/>
      <c r="H2828" s="90"/>
      <c r="I2828" s="90"/>
      <c r="T2828" s="90"/>
      <c r="V2828" s="90"/>
      <c r="W2828" s="90"/>
      <c r="X2828" s="90"/>
      <c r="Y2828" s="90"/>
      <c r="Z2828" s="93"/>
    </row>
    <row r="2829" spans="3:26">
      <c r="C2829" s="89"/>
      <c r="D2829" s="90"/>
      <c r="E2829" s="90"/>
      <c r="F2829" s="90"/>
      <c r="G2829" s="90"/>
      <c r="H2829" s="90"/>
      <c r="I2829" s="90"/>
      <c r="T2829" s="90"/>
      <c r="V2829" s="90"/>
      <c r="W2829" s="90"/>
      <c r="X2829" s="90"/>
      <c r="Y2829" s="90"/>
      <c r="Z2829" s="93"/>
    </row>
    <row r="2830" spans="3:26">
      <c r="C2830" s="89"/>
      <c r="D2830" s="90"/>
      <c r="E2830" s="90"/>
      <c r="F2830" s="90"/>
      <c r="G2830" s="90"/>
      <c r="H2830" s="90"/>
      <c r="I2830" s="90"/>
      <c r="T2830" s="90"/>
      <c r="V2830" s="90"/>
      <c r="W2830" s="90"/>
      <c r="X2830" s="90"/>
      <c r="Y2830" s="90"/>
      <c r="Z2830" s="93"/>
    </row>
    <row r="2831" spans="3:26">
      <c r="C2831" s="89"/>
      <c r="D2831" s="90"/>
      <c r="E2831" s="90"/>
      <c r="F2831" s="90"/>
      <c r="G2831" s="90"/>
      <c r="H2831" s="90"/>
      <c r="I2831" s="90"/>
      <c r="T2831" s="90"/>
      <c r="V2831" s="90"/>
      <c r="W2831" s="90"/>
      <c r="X2831" s="90"/>
      <c r="Y2831" s="90"/>
      <c r="Z2831" s="93"/>
    </row>
    <row r="2832" spans="3:26">
      <c r="C2832" s="89"/>
      <c r="D2832" s="90"/>
      <c r="E2832" s="90"/>
      <c r="F2832" s="90"/>
      <c r="G2832" s="90"/>
      <c r="H2832" s="90"/>
      <c r="I2832" s="90"/>
      <c r="T2832" s="90"/>
      <c r="V2832" s="90"/>
      <c r="W2832" s="90"/>
      <c r="X2832" s="90"/>
      <c r="Y2832" s="90"/>
      <c r="Z2832" s="93"/>
    </row>
    <row r="2833" spans="3:26">
      <c r="C2833" s="89"/>
      <c r="D2833" s="90"/>
      <c r="E2833" s="90"/>
      <c r="F2833" s="90"/>
      <c r="G2833" s="90"/>
      <c r="H2833" s="90"/>
      <c r="I2833" s="90"/>
      <c r="T2833" s="90"/>
      <c r="V2833" s="90"/>
      <c r="W2833" s="90"/>
      <c r="X2833" s="90"/>
      <c r="Y2833" s="90"/>
      <c r="Z2833" s="93"/>
    </row>
    <row r="2834" spans="3:26">
      <c r="C2834" s="89"/>
      <c r="D2834" s="90"/>
      <c r="E2834" s="90"/>
      <c r="F2834" s="90"/>
      <c r="G2834" s="90"/>
      <c r="H2834" s="90"/>
      <c r="I2834" s="90"/>
      <c r="T2834" s="90"/>
      <c r="V2834" s="90"/>
      <c r="W2834" s="90"/>
      <c r="X2834" s="90"/>
      <c r="Y2834" s="90"/>
      <c r="Z2834" s="93"/>
    </row>
    <row r="2835" spans="3:26">
      <c r="C2835" s="89"/>
      <c r="D2835" s="90"/>
      <c r="E2835" s="90"/>
      <c r="F2835" s="90"/>
      <c r="G2835" s="90"/>
      <c r="H2835" s="90"/>
      <c r="I2835" s="90"/>
      <c r="T2835" s="90"/>
      <c r="V2835" s="90"/>
      <c r="W2835" s="90"/>
      <c r="X2835" s="90"/>
      <c r="Y2835" s="90"/>
      <c r="Z2835" s="93"/>
    </row>
    <row r="2836" spans="3:26">
      <c r="C2836" s="89"/>
      <c r="D2836" s="90"/>
      <c r="E2836" s="90"/>
      <c r="F2836" s="90"/>
      <c r="G2836" s="90"/>
      <c r="H2836" s="90"/>
      <c r="I2836" s="90"/>
      <c r="T2836" s="90"/>
      <c r="V2836" s="90"/>
      <c r="W2836" s="90"/>
      <c r="X2836" s="90"/>
      <c r="Y2836" s="90"/>
      <c r="Z2836" s="93"/>
    </row>
    <row r="2837" spans="3:26">
      <c r="C2837" s="89"/>
      <c r="D2837" s="90"/>
      <c r="E2837" s="90"/>
      <c r="F2837" s="90"/>
      <c r="G2837" s="90"/>
      <c r="H2837" s="90"/>
      <c r="I2837" s="90"/>
      <c r="T2837" s="90"/>
      <c r="V2837" s="90"/>
      <c r="W2837" s="90"/>
      <c r="X2837" s="90"/>
      <c r="Y2837" s="90"/>
      <c r="Z2837" s="93"/>
    </row>
    <row r="2838" spans="3:26">
      <c r="C2838" s="89"/>
      <c r="D2838" s="90"/>
      <c r="E2838" s="90"/>
      <c r="F2838" s="90"/>
      <c r="G2838" s="90"/>
      <c r="H2838" s="90"/>
      <c r="I2838" s="90"/>
      <c r="T2838" s="90"/>
      <c r="V2838" s="90"/>
      <c r="W2838" s="90"/>
      <c r="X2838" s="90"/>
      <c r="Y2838" s="90"/>
      <c r="Z2838" s="93"/>
    </row>
    <row r="2839" spans="3:26">
      <c r="C2839" s="89"/>
      <c r="D2839" s="90"/>
      <c r="E2839" s="90"/>
      <c r="F2839" s="90"/>
      <c r="G2839" s="90"/>
      <c r="H2839" s="90"/>
      <c r="I2839" s="90"/>
      <c r="T2839" s="90"/>
      <c r="V2839" s="90"/>
      <c r="W2839" s="90"/>
      <c r="X2839" s="90"/>
      <c r="Y2839" s="90"/>
      <c r="Z2839" s="93"/>
    </row>
    <row r="2840" spans="3:26">
      <c r="C2840" s="89"/>
      <c r="D2840" s="90"/>
      <c r="E2840" s="90"/>
      <c r="F2840" s="90"/>
      <c r="G2840" s="90"/>
      <c r="H2840" s="90"/>
      <c r="I2840" s="90"/>
      <c r="T2840" s="90"/>
      <c r="V2840" s="90"/>
      <c r="W2840" s="90"/>
      <c r="X2840" s="90"/>
      <c r="Y2840" s="90"/>
      <c r="Z2840" s="93"/>
    </row>
    <row r="2841" spans="3:26">
      <c r="C2841" s="89"/>
      <c r="D2841" s="90"/>
      <c r="E2841" s="90"/>
      <c r="F2841" s="90"/>
      <c r="G2841" s="90"/>
      <c r="H2841" s="90"/>
      <c r="I2841" s="90"/>
      <c r="T2841" s="90"/>
      <c r="V2841" s="90"/>
      <c r="W2841" s="90"/>
      <c r="X2841" s="90"/>
      <c r="Y2841" s="90"/>
      <c r="Z2841" s="93"/>
    </row>
    <row r="2842" spans="3:26">
      <c r="C2842" s="89"/>
      <c r="D2842" s="90"/>
      <c r="E2842" s="90"/>
      <c r="F2842" s="90"/>
      <c r="G2842" s="90"/>
      <c r="H2842" s="90"/>
      <c r="I2842" s="90"/>
      <c r="T2842" s="90"/>
      <c r="V2842" s="90"/>
      <c r="W2842" s="90"/>
      <c r="X2842" s="90"/>
      <c r="Y2842" s="90"/>
      <c r="Z2842" s="93"/>
    </row>
    <row r="2843" spans="3:26">
      <c r="C2843" s="89"/>
      <c r="D2843" s="90"/>
      <c r="E2843" s="90"/>
      <c r="F2843" s="90"/>
      <c r="G2843" s="90"/>
      <c r="H2843" s="90"/>
      <c r="I2843" s="90"/>
      <c r="T2843" s="90"/>
      <c r="V2843" s="90"/>
      <c r="W2843" s="90"/>
      <c r="X2843" s="90"/>
      <c r="Y2843" s="90"/>
      <c r="Z2843" s="93"/>
    </row>
    <row r="2844" spans="3:26">
      <c r="C2844" s="89"/>
      <c r="D2844" s="90"/>
      <c r="E2844" s="90"/>
      <c r="F2844" s="90"/>
      <c r="G2844" s="90"/>
      <c r="H2844" s="90"/>
      <c r="I2844" s="90"/>
      <c r="T2844" s="90"/>
      <c r="V2844" s="90"/>
      <c r="W2844" s="90"/>
      <c r="X2844" s="90"/>
      <c r="Y2844" s="90"/>
      <c r="Z2844" s="93"/>
    </row>
    <row r="2845" spans="3:26">
      <c r="C2845" s="89"/>
      <c r="D2845" s="90"/>
      <c r="E2845" s="90"/>
      <c r="F2845" s="90"/>
      <c r="G2845" s="90"/>
      <c r="H2845" s="90"/>
      <c r="I2845" s="90"/>
      <c r="T2845" s="90"/>
      <c r="V2845" s="90"/>
      <c r="W2845" s="90"/>
      <c r="X2845" s="90"/>
      <c r="Y2845" s="90"/>
      <c r="Z2845" s="93"/>
    </row>
    <row r="2846" spans="3:26">
      <c r="C2846" s="89"/>
      <c r="D2846" s="90"/>
      <c r="E2846" s="90"/>
      <c r="F2846" s="90"/>
      <c r="G2846" s="90"/>
      <c r="H2846" s="90"/>
      <c r="I2846" s="90"/>
      <c r="T2846" s="90"/>
      <c r="V2846" s="90"/>
      <c r="W2846" s="90"/>
      <c r="X2846" s="90"/>
      <c r="Y2846" s="90"/>
      <c r="Z2846" s="93"/>
    </row>
    <row r="2847" spans="3:26">
      <c r="C2847" s="89"/>
      <c r="D2847" s="90"/>
      <c r="E2847" s="90"/>
      <c r="F2847" s="90"/>
      <c r="G2847" s="90"/>
      <c r="H2847" s="90"/>
      <c r="I2847" s="90"/>
      <c r="T2847" s="90"/>
      <c r="V2847" s="90"/>
      <c r="W2847" s="90"/>
      <c r="X2847" s="90"/>
      <c r="Y2847" s="90"/>
      <c r="Z2847" s="93"/>
    </row>
    <row r="2848" spans="3:26">
      <c r="C2848" s="89"/>
      <c r="D2848" s="90"/>
      <c r="E2848" s="90"/>
      <c r="F2848" s="90"/>
      <c r="G2848" s="90"/>
      <c r="H2848" s="90"/>
      <c r="I2848" s="90"/>
      <c r="T2848" s="90"/>
      <c r="V2848" s="90"/>
      <c r="W2848" s="90"/>
      <c r="X2848" s="90"/>
      <c r="Y2848" s="90"/>
      <c r="Z2848" s="93"/>
    </row>
    <row r="2849" spans="3:26">
      <c r="C2849" s="89"/>
      <c r="D2849" s="90"/>
      <c r="E2849" s="90"/>
      <c r="F2849" s="90"/>
      <c r="G2849" s="90"/>
      <c r="H2849" s="90"/>
      <c r="I2849" s="90"/>
      <c r="T2849" s="90"/>
      <c r="V2849" s="90"/>
      <c r="W2849" s="90"/>
      <c r="X2849" s="90"/>
      <c r="Y2849" s="90"/>
      <c r="Z2849" s="93"/>
    </row>
    <row r="2850" spans="3:26">
      <c r="C2850" s="89"/>
      <c r="D2850" s="90"/>
      <c r="E2850" s="90"/>
      <c r="F2850" s="90"/>
      <c r="G2850" s="90"/>
      <c r="H2850" s="90"/>
      <c r="I2850" s="90"/>
      <c r="T2850" s="90"/>
      <c r="V2850" s="90"/>
      <c r="W2850" s="90"/>
      <c r="X2850" s="90"/>
      <c r="Y2850" s="90"/>
      <c r="Z2850" s="93"/>
    </row>
    <row r="2851" spans="3:26">
      <c r="C2851" s="89"/>
      <c r="D2851" s="90"/>
      <c r="E2851" s="90"/>
      <c r="F2851" s="90"/>
      <c r="G2851" s="90"/>
      <c r="H2851" s="90"/>
      <c r="I2851" s="90"/>
      <c r="T2851" s="90"/>
      <c r="V2851" s="90"/>
      <c r="W2851" s="90"/>
      <c r="X2851" s="90"/>
      <c r="Y2851" s="90"/>
      <c r="Z2851" s="93"/>
    </row>
    <row r="2852" spans="3:26">
      <c r="C2852" s="89"/>
      <c r="D2852" s="90"/>
      <c r="E2852" s="90"/>
      <c r="F2852" s="90"/>
      <c r="G2852" s="90"/>
      <c r="H2852" s="90"/>
      <c r="I2852" s="90"/>
      <c r="T2852" s="90"/>
      <c r="V2852" s="90"/>
      <c r="W2852" s="90"/>
      <c r="X2852" s="90"/>
      <c r="Y2852" s="90"/>
      <c r="Z2852" s="93"/>
    </row>
    <row r="2853" spans="3:26">
      <c r="C2853" s="89"/>
      <c r="D2853" s="90"/>
      <c r="E2853" s="90"/>
      <c r="F2853" s="90"/>
      <c r="G2853" s="90"/>
      <c r="H2853" s="90"/>
      <c r="I2853" s="90"/>
      <c r="T2853" s="90"/>
      <c r="V2853" s="90"/>
      <c r="W2853" s="90"/>
      <c r="X2853" s="90"/>
      <c r="Y2853" s="90"/>
      <c r="Z2853" s="93"/>
    </row>
    <row r="2854" spans="3:26">
      <c r="C2854" s="89"/>
      <c r="D2854" s="90"/>
      <c r="E2854" s="90"/>
      <c r="F2854" s="90"/>
      <c r="G2854" s="90"/>
      <c r="H2854" s="90"/>
      <c r="I2854" s="90"/>
      <c r="T2854" s="90"/>
      <c r="V2854" s="90"/>
      <c r="W2854" s="90"/>
      <c r="X2854" s="90"/>
      <c r="Y2854" s="90"/>
      <c r="Z2854" s="93"/>
    </row>
    <row r="2855" spans="3:26">
      <c r="C2855" s="89"/>
      <c r="D2855" s="90"/>
      <c r="E2855" s="90"/>
      <c r="F2855" s="90"/>
      <c r="G2855" s="90"/>
      <c r="H2855" s="90"/>
      <c r="I2855" s="90"/>
      <c r="T2855" s="90"/>
      <c r="V2855" s="90"/>
      <c r="W2855" s="90"/>
      <c r="X2855" s="90"/>
      <c r="Y2855" s="90"/>
      <c r="Z2855" s="93"/>
    </row>
    <row r="2856" spans="3:26">
      <c r="C2856" s="89"/>
      <c r="D2856" s="90"/>
      <c r="E2856" s="90"/>
      <c r="F2856" s="90"/>
      <c r="G2856" s="90"/>
      <c r="H2856" s="90"/>
      <c r="I2856" s="90"/>
      <c r="T2856" s="90"/>
      <c r="V2856" s="90"/>
      <c r="W2856" s="90"/>
      <c r="X2856" s="90"/>
      <c r="Y2856" s="90"/>
      <c r="Z2856" s="93"/>
    </row>
    <row r="2857" spans="3:26">
      <c r="C2857" s="89"/>
      <c r="D2857" s="90"/>
      <c r="E2857" s="90"/>
      <c r="F2857" s="90"/>
      <c r="G2857" s="90"/>
      <c r="H2857" s="90"/>
      <c r="I2857" s="90"/>
      <c r="T2857" s="90"/>
      <c r="V2857" s="90"/>
      <c r="W2857" s="90"/>
      <c r="X2857" s="90"/>
      <c r="Y2857" s="90"/>
      <c r="Z2857" s="93"/>
    </row>
    <row r="2858" spans="3:26">
      <c r="C2858" s="89"/>
      <c r="D2858" s="90"/>
      <c r="E2858" s="90"/>
      <c r="F2858" s="90"/>
      <c r="G2858" s="90"/>
      <c r="H2858" s="90"/>
      <c r="I2858" s="90"/>
      <c r="T2858" s="90"/>
      <c r="V2858" s="90"/>
      <c r="W2858" s="90"/>
      <c r="X2858" s="90"/>
      <c r="Y2858" s="90"/>
      <c r="Z2858" s="93"/>
    </row>
    <row r="2859" spans="3:26">
      <c r="C2859" s="89"/>
      <c r="D2859" s="90"/>
      <c r="E2859" s="90"/>
      <c r="F2859" s="90"/>
      <c r="G2859" s="90"/>
      <c r="H2859" s="90"/>
      <c r="I2859" s="90"/>
      <c r="T2859" s="90"/>
      <c r="V2859" s="90"/>
      <c r="W2859" s="90"/>
      <c r="X2859" s="90"/>
      <c r="Y2859" s="90"/>
      <c r="Z2859" s="93"/>
    </row>
    <row r="2860" spans="3:26">
      <c r="C2860" s="89"/>
      <c r="D2860" s="90"/>
      <c r="E2860" s="90"/>
      <c r="F2860" s="90"/>
      <c r="G2860" s="90"/>
      <c r="H2860" s="90"/>
      <c r="I2860" s="90"/>
      <c r="T2860" s="90"/>
      <c r="V2860" s="90"/>
      <c r="W2860" s="90"/>
      <c r="X2860" s="90"/>
      <c r="Y2860" s="90"/>
      <c r="Z2860" s="93"/>
    </row>
    <row r="2861" spans="3:26">
      <c r="C2861" s="89"/>
      <c r="D2861" s="90"/>
      <c r="E2861" s="90"/>
      <c r="F2861" s="90"/>
      <c r="G2861" s="90"/>
      <c r="H2861" s="90"/>
      <c r="I2861" s="90"/>
      <c r="T2861" s="90"/>
      <c r="V2861" s="90"/>
      <c r="W2861" s="90"/>
      <c r="X2861" s="90"/>
      <c r="Y2861" s="90"/>
      <c r="Z2861" s="93"/>
    </row>
    <row r="2862" spans="3:26">
      <c r="C2862" s="89"/>
      <c r="D2862" s="90"/>
      <c r="E2862" s="90"/>
      <c r="F2862" s="90"/>
      <c r="G2862" s="90"/>
      <c r="H2862" s="90"/>
      <c r="I2862" s="90"/>
      <c r="T2862" s="90"/>
      <c r="V2862" s="90"/>
      <c r="W2862" s="90"/>
      <c r="X2862" s="90"/>
      <c r="Y2862" s="90"/>
      <c r="Z2862" s="93"/>
    </row>
    <row r="2863" spans="3:26">
      <c r="C2863" s="89"/>
      <c r="D2863" s="90"/>
      <c r="E2863" s="90"/>
      <c r="F2863" s="90"/>
      <c r="G2863" s="90"/>
      <c r="H2863" s="90"/>
      <c r="I2863" s="90"/>
      <c r="T2863" s="90"/>
      <c r="V2863" s="90"/>
      <c r="W2863" s="90"/>
      <c r="X2863" s="90"/>
      <c r="Y2863" s="90"/>
      <c r="Z2863" s="93"/>
    </row>
    <row r="2864" spans="3:26">
      <c r="C2864" s="89"/>
      <c r="D2864" s="90"/>
      <c r="E2864" s="90"/>
      <c r="F2864" s="90"/>
      <c r="G2864" s="90"/>
      <c r="H2864" s="90"/>
      <c r="I2864" s="90"/>
      <c r="T2864" s="90"/>
      <c r="V2864" s="90"/>
      <c r="W2864" s="90"/>
      <c r="X2864" s="90"/>
      <c r="Y2864" s="90"/>
      <c r="Z2864" s="93"/>
    </row>
    <row r="2865" spans="3:26">
      <c r="C2865" s="89"/>
      <c r="D2865" s="90"/>
      <c r="E2865" s="90"/>
      <c r="F2865" s="90"/>
      <c r="G2865" s="90"/>
      <c r="H2865" s="90"/>
      <c r="I2865" s="90"/>
      <c r="T2865" s="90"/>
      <c r="V2865" s="90"/>
      <c r="W2865" s="90"/>
      <c r="X2865" s="90"/>
      <c r="Y2865" s="90"/>
      <c r="Z2865" s="93"/>
    </row>
    <row r="2866" spans="3:26">
      <c r="C2866" s="89"/>
      <c r="D2866" s="90"/>
      <c r="E2866" s="90"/>
      <c r="F2866" s="90"/>
      <c r="G2866" s="90"/>
      <c r="H2866" s="90"/>
      <c r="I2866" s="90"/>
      <c r="T2866" s="90"/>
      <c r="V2866" s="90"/>
      <c r="W2866" s="90"/>
      <c r="X2866" s="90"/>
      <c r="Y2866" s="90"/>
      <c r="Z2866" s="93"/>
    </row>
    <row r="2867" spans="3:26">
      <c r="C2867" s="89"/>
      <c r="D2867" s="90"/>
      <c r="E2867" s="90"/>
      <c r="F2867" s="90"/>
      <c r="G2867" s="90"/>
      <c r="H2867" s="90"/>
      <c r="I2867" s="90"/>
      <c r="T2867" s="90"/>
      <c r="V2867" s="90"/>
      <c r="W2867" s="90"/>
      <c r="X2867" s="90"/>
      <c r="Y2867" s="90"/>
      <c r="Z2867" s="93"/>
    </row>
    <row r="2868" spans="3:26">
      <c r="C2868" s="89"/>
      <c r="D2868" s="90"/>
      <c r="E2868" s="90"/>
      <c r="F2868" s="90"/>
      <c r="G2868" s="90"/>
      <c r="H2868" s="90"/>
      <c r="I2868" s="90"/>
      <c r="T2868" s="90"/>
      <c r="V2868" s="90"/>
      <c r="W2868" s="90"/>
      <c r="X2868" s="90"/>
      <c r="Y2868" s="90"/>
      <c r="Z2868" s="93"/>
    </row>
    <row r="2869" spans="3:26">
      <c r="C2869" s="89"/>
      <c r="D2869" s="90"/>
      <c r="E2869" s="90"/>
      <c r="F2869" s="90"/>
      <c r="G2869" s="90"/>
      <c r="H2869" s="90"/>
      <c r="I2869" s="90"/>
      <c r="T2869" s="90"/>
      <c r="V2869" s="90"/>
      <c r="W2869" s="90"/>
      <c r="X2869" s="90"/>
      <c r="Y2869" s="90"/>
      <c r="Z2869" s="93"/>
    </row>
    <row r="2870" spans="3:26">
      <c r="C2870" s="89"/>
      <c r="D2870" s="90"/>
      <c r="E2870" s="90"/>
      <c r="F2870" s="90"/>
      <c r="G2870" s="90"/>
      <c r="H2870" s="90"/>
      <c r="I2870" s="90"/>
      <c r="T2870" s="90"/>
      <c r="V2870" s="90"/>
      <c r="W2870" s="90"/>
      <c r="X2870" s="90"/>
      <c r="Y2870" s="90"/>
      <c r="Z2870" s="93"/>
    </row>
    <row r="2871" spans="3:26">
      <c r="C2871" s="89"/>
      <c r="D2871" s="90"/>
      <c r="E2871" s="90"/>
      <c r="F2871" s="90"/>
      <c r="G2871" s="90"/>
      <c r="H2871" s="90"/>
      <c r="I2871" s="90"/>
      <c r="T2871" s="90"/>
      <c r="V2871" s="90"/>
      <c r="W2871" s="90"/>
      <c r="X2871" s="90"/>
      <c r="Y2871" s="90"/>
      <c r="Z2871" s="93"/>
    </row>
    <row r="2872" spans="3:26">
      <c r="C2872" s="89"/>
      <c r="D2872" s="90"/>
      <c r="E2872" s="90"/>
      <c r="F2872" s="90"/>
      <c r="G2872" s="90"/>
      <c r="H2872" s="90"/>
      <c r="I2872" s="90"/>
      <c r="T2872" s="90"/>
      <c r="V2872" s="90"/>
      <c r="W2872" s="90"/>
      <c r="X2872" s="90"/>
      <c r="Y2872" s="90"/>
      <c r="Z2872" s="93"/>
    </row>
    <row r="2873" spans="3:26">
      <c r="C2873" s="89"/>
      <c r="D2873" s="90"/>
      <c r="E2873" s="90"/>
      <c r="F2873" s="90"/>
      <c r="G2873" s="90"/>
      <c r="H2873" s="90"/>
      <c r="I2873" s="90"/>
      <c r="T2873" s="90"/>
      <c r="V2873" s="90"/>
      <c r="W2873" s="90"/>
      <c r="X2873" s="90"/>
      <c r="Y2873" s="90"/>
      <c r="Z2873" s="93"/>
    </row>
    <row r="2874" spans="3:26">
      <c r="C2874" s="89"/>
      <c r="D2874" s="90"/>
      <c r="E2874" s="90"/>
      <c r="F2874" s="90"/>
      <c r="G2874" s="90"/>
      <c r="H2874" s="90"/>
      <c r="I2874" s="90"/>
      <c r="T2874" s="90"/>
      <c r="V2874" s="90"/>
      <c r="W2874" s="90"/>
      <c r="X2874" s="90"/>
      <c r="Y2874" s="90"/>
      <c r="Z2874" s="93"/>
    </row>
    <row r="2875" spans="3:26">
      <c r="C2875" s="89"/>
      <c r="D2875" s="90"/>
      <c r="E2875" s="90"/>
      <c r="F2875" s="90"/>
      <c r="G2875" s="90"/>
      <c r="H2875" s="90"/>
      <c r="I2875" s="90"/>
      <c r="T2875" s="90"/>
      <c r="V2875" s="90"/>
      <c r="W2875" s="90"/>
      <c r="X2875" s="90"/>
      <c r="Y2875" s="90"/>
      <c r="Z2875" s="93"/>
    </row>
    <row r="2876" spans="3:26">
      <c r="C2876" s="89"/>
      <c r="D2876" s="90"/>
      <c r="E2876" s="90"/>
      <c r="F2876" s="90"/>
      <c r="G2876" s="90"/>
      <c r="H2876" s="90"/>
      <c r="I2876" s="90"/>
      <c r="T2876" s="90"/>
      <c r="V2876" s="90"/>
      <c r="W2876" s="90"/>
      <c r="X2876" s="90"/>
      <c r="Y2876" s="90"/>
      <c r="Z2876" s="93"/>
    </row>
    <row r="2877" spans="3:26">
      <c r="C2877" s="89"/>
      <c r="D2877" s="90"/>
      <c r="E2877" s="90"/>
      <c r="F2877" s="90"/>
      <c r="G2877" s="90"/>
      <c r="H2877" s="90"/>
      <c r="I2877" s="90"/>
      <c r="T2877" s="90"/>
      <c r="V2877" s="90"/>
      <c r="W2877" s="90"/>
      <c r="X2877" s="90"/>
      <c r="Y2877" s="90"/>
      <c r="Z2877" s="93"/>
    </row>
    <row r="2878" spans="3:26">
      <c r="C2878" s="89"/>
      <c r="D2878" s="90"/>
      <c r="E2878" s="90"/>
      <c r="F2878" s="90"/>
      <c r="G2878" s="90"/>
      <c r="H2878" s="90"/>
      <c r="I2878" s="90"/>
      <c r="T2878" s="90"/>
      <c r="V2878" s="90"/>
      <c r="W2878" s="90"/>
      <c r="X2878" s="90"/>
      <c r="Y2878" s="90"/>
      <c r="Z2878" s="93"/>
    </row>
    <row r="2879" spans="3:26">
      <c r="C2879" s="89"/>
      <c r="D2879" s="90"/>
      <c r="E2879" s="90"/>
      <c r="F2879" s="90"/>
      <c r="G2879" s="90"/>
      <c r="H2879" s="90"/>
      <c r="I2879" s="90"/>
      <c r="T2879" s="90"/>
      <c r="V2879" s="90"/>
      <c r="W2879" s="90"/>
      <c r="X2879" s="90"/>
      <c r="Y2879" s="90"/>
      <c r="Z2879" s="93"/>
    </row>
    <row r="2880" spans="3:26">
      <c r="C2880" s="89"/>
      <c r="D2880" s="90"/>
      <c r="E2880" s="90"/>
      <c r="F2880" s="90"/>
      <c r="G2880" s="90"/>
      <c r="H2880" s="90"/>
      <c r="I2880" s="90"/>
      <c r="T2880" s="90"/>
      <c r="V2880" s="90"/>
      <c r="W2880" s="90"/>
      <c r="X2880" s="90"/>
      <c r="Y2880" s="90"/>
      <c r="Z2880" s="93"/>
    </row>
    <row r="2881" spans="3:26">
      <c r="C2881" s="89"/>
      <c r="D2881" s="90"/>
      <c r="E2881" s="90"/>
      <c r="F2881" s="90"/>
      <c r="G2881" s="90"/>
      <c r="H2881" s="90"/>
      <c r="I2881" s="90"/>
      <c r="T2881" s="90"/>
      <c r="V2881" s="90"/>
      <c r="W2881" s="90"/>
      <c r="X2881" s="90"/>
      <c r="Y2881" s="90"/>
      <c r="Z2881" s="93"/>
    </row>
    <row r="2882" spans="3:26">
      <c r="C2882" s="89"/>
      <c r="D2882" s="90"/>
      <c r="E2882" s="90"/>
      <c r="F2882" s="90"/>
      <c r="G2882" s="90"/>
      <c r="H2882" s="90"/>
      <c r="I2882" s="90"/>
      <c r="T2882" s="90"/>
      <c r="V2882" s="90"/>
      <c r="W2882" s="90"/>
      <c r="X2882" s="90"/>
      <c r="Y2882" s="90"/>
      <c r="Z2882" s="93"/>
    </row>
    <row r="2883" spans="3:26">
      <c r="C2883" s="89"/>
      <c r="D2883" s="90"/>
      <c r="E2883" s="90"/>
      <c r="F2883" s="90"/>
      <c r="G2883" s="90"/>
      <c r="H2883" s="90"/>
      <c r="I2883" s="90"/>
      <c r="T2883" s="90"/>
      <c r="V2883" s="90"/>
      <c r="W2883" s="90"/>
      <c r="X2883" s="90"/>
      <c r="Y2883" s="90"/>
      <c r="Z2883" s="93"/>
    </row>
    <row r="2884" spans="3:26">
      <c r="C2884" s="89"/>
      <c r="D2884" s="90"/>
      <c r="E2884" s="90"/>
      <c r="F2884" s="90"/>
      <c r="G2884" s="90"/>
      <c r="H2884" s="90"/>
      <c r="I2884" s="90"/>
      <c r="T2884" s="90"/>
      <c r="V2884" s="90"/>
      <c r="W2884" s="90"/>
      <c r="X2884" s="90"/>
      <c r="Y2884" s="90"/>
      <c r="Z2884" s="93"/>
    </row>
    <row r="2885" spans="3:26">
      <c r="C2885" s="89"/>
      <c r="D2885" s="90"/>
      <c r="E2885" s="90"/>
      <c r="F2885" s="90"/>
      <c r="G2885" s="90"/>
      <c r="H2885" s="90"/>
      <c r="I2885" s="90"/>
      <c r="T2885" s="90"/>
      <c r="V2885" s="90"/>
      <c r="W2885" s="90"/>
      <c r="X2885" s="90"/>
      <c r="Y2885" s="90"/>
      <c r="Z2885" s="93"/>
    </row>
    <row r="2886" spans="3:26">
      <c r="C2886" s="89"/>
      <c r="D2886" s="90"/>
      <c r="E2886" s="90"/>
      <c r="F2886" s="90"/>
      <c r="G2886" s="90"/>
      <c r="H2886" s="90"/>
      <c r="I2886" s="90"/>
      <c r="T2886" s="90"/>
      <c r="V2886" s="90"/>
      <c r="W2886" s="90"/>
      <c r="X2886" s="90"/>
      <c r="Y2886" s="90"/>
      <c r="Z2886" s="93"/>
    </row>
    <row r="2887" spans="3:26">
      <c r="C2887" s="89"/>
      <c r="D2887" s="90"/>
      <c r="E2887" s="90"/>
      <c r="F2887" s="90"/>
      <c r="G2887" s="90"/>
      <c r="H2887" s="90"/>
      <c r="I2887" s="90"/>
      <c r="T2887" s="90"/>
      <c r="V2887" s="90"/>
      <c r="W2887" s="90"/>
      <c r="X2887" s="90"/>
      <c r="Y2887" s="90"/>
      <c r="Z2887" s="93"/>
    </row>
    <row r="2888" spans="3:26">
      <c r="C2888" s="89"/>
      <c r="D2888" s="90"/>
      <c r="E2888" s="90"/>
      <c r="F2888" s="90"/>
      <c r="G2888" s="90"/>
      <c r="H2888" s="90"/>
      <c r="I2888" s="90"/>
      <c r="T2888" s="90"/>
      <c r="V2888" s="90"/>
      <c r="W2888" s="90"/>
      <c r="X2888" s="90"/>
      <c r="Y2888" s="90"/>
      <c r="Z2888" s="93"/>
    </row>
    <row r="2889" spans="3:26">
      <c r="C2889" s="89"/>
      <c r="D2889" s="90"/>
      <c r="E2889" s="90"/>
      <c r="F2889" s="90"/>
      <c r="G2889" s="90"/>
      <c r="H2889" s="90"/>
      <c r="I2889" s="90"/>
      <c r="T2889" s="90"/>
      <c r="V2889" s="90"/>
      <c r="W2889" s="90"/>
      <c r="X2889" s="90"/>
      <c r="Y2889" s="90"/>
      <c r="Z2889" s="93"/>
    </row>
    <row r="2890" spans="3:26">
      <c r="C2890" s="89"/>
      <c r="D2890" s="90"/>
      <c r="E2890" s="90"/>
      <c r="F2890" s="90"/>
      <c r="G2890" s="90"/>
      <c r="H2890" s="90"/>
      <c r="I2890" s="90"/>
      <c r="T2890" s="90"/>
      <c r="V2890" s="90"/>
      <c r="W2890" s="90"/>
      <c r="X2890" s="90"/>
      <c r="Y2890" s="90"/>
      <c r="Z2890" s="93"/>
    </row>
    <row r="2891" spans="3:26">
      <c r="C2891" s="89"/>
      <c r="D2891" s="90"/>
      <c r="E2891" s="90"/>
      <c r="F2891" s="90"/>
      <c r="G2891" s="90"/>
      <c r="H2891" s="90"/>
      <c r="I2891" s="90"/>
      <c r="T2891" s="90"/>
      <c r="V2891" s="90"/>
      <c r="W2891" s="90"/>
      <c r="X2891" s="90"/>
      <c r="Y2891" s="90"/>
      <c r="Z2891" s="93"/>
    </row>
    <row r="2892" spans="3:26">
      <c r="C2892" s="89"/>
      <c r="D2892" s="90"/>
      <c r="E2892" s="90"/>
      <c r="F2892" s="90"/>
      <c r="G2892" s="90"/>
      <c r="H2892" s="90"/>
      <c r="I2892" s="90"/>
      <c r="T2892" s="90"/>
      <c r="V2892" s="90"/>
      <c r="W2892" s="90"/>
      <c r="X2892" s="90"/>
      <c r="Y2892" s="90"/>
      <c r="Z2892" s="93"/>
    </row>
    <row r="2893" spans="3:26">
      <c r="C2893" s="89"/>
      <c r="D2893" s="90"/>
      <c r="E2893" s="90"/>
      <c r="F2893" s="90"/>
      <c r="G2893" s="90"/>
      <c r="H2893" s="90"/>
      <c r="I2893" s="90"/>
      <c r="T2893" s="90"/>
      <c r="V2893" s="90"/>
      <c r="W2893" s="90"/>
      <c r="X2893" s="90"/>
      <c r="Y2893" s="90"/>
      <c r="Z2893" s="93"/>
    </row>
    <row r="2894" spans="3:26">
      <c r="C2894" s="89"/>
      <c r="D2894" s="90"/>
      <c r="E2894" s="90"/>
      <c r="F2894" s="90"/>
      <c r="G2894" s="90"/>
      <c r="H2894" s="90"/>
      <c r="I2894" s="90"/>
      <c r="T2894" s="90"/>
      <c r="V2894" s="90"/>
      <c r="W2894" s="90"/>
      <c r="X2894" s="90"/>
      <c r="Y2894" s="90"/>
      <c r="Z2894" s="93"/>
    </row>
    <row r="2895" spans="3:26">
      <c r="C2895" s="89"/>
      <c r="D2895" s="90"/>
      <c r="E2895" s="90"/>
      <c r="F2895" s="90"/>
      <c r="G2895" s="90"/>
      <c r="H2895" s="90"/>
      <c r="I2895" s="90"/>
      <c r="T2895" s="90"/>
      <c r="V2895" s="90"/>
      <c r="W2895" s="90"/>
      <c r="X2895" s="90"/>
      <c r="Y2895" s="90"/>
      <c r="Z2895" s="93"/>
    </row>
    <row r="2896" spans="3:26">
      <c r="C2896" s="89"/>
      <c r="D2896" s="90"/>
      <c r="E2896" s="90"/>
      <c r="F2896" s="90"/>
      <c r="G2896" s="90"/>
      <c r="H2896" s="90"/>
      <c r="I2896" s="90"/>
      <c r="T2896" s="90"/>
      <c r="V2896" s="90"/>
      <c r="W2896" s="90"/>
      <c r="X2896" s="90"/>
      <c r="Y2896" s="90"/>
      <c r="Z2896" s="93"/>
    </row>
    <row r="2897" spans="3:26">
      <c r="C2897" s="89"/>
      <c r="D2897" s="90"/>
      <c r="E2897" s="90"/>
      <c r="F2897" s="90"/>
      <c r="G2897" s="90"/>
      <c r="H2897" s="90"/>
      <c r="I2897" s="90"/>
      <c r="T2897" s="90"/>
      <c r="V2897" s="90"/>
      <c r="W2897" s="90"/>
      <c r="X2897" s="90"/>
      <c r="Y2897" s="90"/>
      <c r="Z2897" s="93"/>
    </row>
    <row r="2898" spans="3:26">
      <c r="C2898" s="89"/>
      <c r="D2898" s="90"/>
      <c r="E2898" s="90"/>
      <c r="F2898" s="90"/>
      <c r="G2898" s="90"/>
      <c r="H2898" s="90"/>
      <c r="I2898" s="90"/>
      <c r="T2898" s="90"/>
      <c r="V2898" s="90"/>
      <c r="W2898" s="90"/>
      <c r="X2898" s="90"/>
      <c r="Y2898" s="90"/>
      <c r="Z2898" s="93"/>
    </row>
    <row r="2899" spans="3:26">
      <c r="C2899" s="89"/>
      <c r="D2899" s="90"/>
      <c r="E2899" s="90"/>
      <c r="F2899" s="90"/>
      <c r="G2899" s="90"/>
      <c r="H2899" s="90"/>
      <c r="I2899" s="90"/>
      <c r="T2899" s="90"/>
      <c r="V2899" s="90"/>
      <c r="W2899" s="90"/>
      <c r="X2899" s="90"/>
      <c r="Y2899" s="90"/>
      <c r="Z2899" s="93"/>
    </row>
    <row r="2900" spans="3:26">
      <c r="C2900" s="89"/>
      <c r="D2900" s="90"/>
      <c r="E2900" s="90"/>
      <c r="F2900" s="90"/>
      <c r="G2900" s="90"/>
      <c r="H2900" s="90"/>
      <c r="I2900" s="90"/>
      <c r="T2900" s="90"/>
      <c r="V2900" s="90"/>
      <c r="W2900" s="90"/>
      <c r="X2900" s="90"/>
      <c r="Y2900" s="90"/>
      <c r="Z2900" s="93"/>
    </row>
    <row r="2901" spans="3:26">
      <c r="C2901" s="89"/>
      <c r="D2901" s="90"/>
      <c r="E2901" s="90"/>
      <c r="F2901" s="90"/>
      <c r="G2901" s="90"/>
      <c r="H2901" s="90"/>
      <c r="I2901" s="90"/>
      <c r="T2901" s="90"/>
      <c r="V2901" s="90"/>
      <c r="W2901" s="90"/>
      <c r="X2901" s="90"/>
      <c r="Y2901" s="90"/>
      <c r="Z2901" s="93"/>
    </row>
    <row r="2902" spans="3:26">
      <c r="C2902" s="89"/>
      <c r="D2902" s="90"/>
      <c r="E2902" s="90"/>
      <c r="F2902" s="90"/>
      <c r="G2902" s="90"/>
      <c r="H2902" s="90"/>
      <c r="I2902" s="90"/>
      <c r="T2902" s="90"/>
      <c r="V2902" s="90"/>
      <c r="W2902" s="90"/>
      <c r="X2902" s="90"/>
      <c r="Y2902" s="90"/>
      <c r="Z2902" s="93"/>
    </row>
    <row r="2903" spans="3:26">
      <c r="C2903" s="89"/>
      <c r="D2903" s="90"/>
      <c r="E2903" s="90"/>
      <c r="F2903" s="90"/>
      <c r="G2903" s="90"/>
      <c r="H2903" s="90"/>
      <c r="I2903" s="90"/>
      <c r="T2903" s="90"/>
      <c r="V2903" s="90"/>
      <c r="W2903" s="90"/>
      <c r="X2903" s="90"/>
      <c r="Y2903" s="90"/>
      <c r="Z2903" s="93"/>
    </row>
    <row r="2904" spans="3:26">
      <c r="C2904" s="89"/>
      <c r="D2904" s="90"/>
      <c r="E2904" s="90"/>
      <c r="F2904" s="90"/>
      <c r="G2904" s="90"/>
      <c r="H2904" s="90"/>
      <c r="I2904" s="90"/>
      <c r="T2904" s="90"/>
      <c r="V2904" s="90"/>
      <c r="W2904" s="90"/>
      <c r="X2904" s="90"/>
      <c r="Y2904" s="90"/>
      <c r="Z2904" s="93"/>
    </row>
    <row r="2905" spans="3:26">
      <c r="C2905" s="89"/>
      <c r="D2905" s="90"/>
      <c r="E2905" s="90"/>
      <c r="F2905" s="90"/>
      <c r="G2905" s="90"/>
      <c r="H2905" s="90"/>
      <c r="I2905" s="90"/>
      <c r="T2905" s="90"/>
      <c r="V2905" s="90"/>
      <c r="W2905" s="90"/>
      <c r="X2905" s="90"/>
      <c r="Y2905" s="90"/>
      <c r="Z2905" s="93"/>
    </row>
    <row r="2906" spans="3:26">
      <c r="C2906" s="89"/>
      <c r="D2906" s="90"/>
      <c r="E2906" s="90"/>
      <c r="F2906" s="90"/>
      <c r="G2906" s="90"/>
      <c r="H2906" s="90"/>
      <c r="I2906" s="90"/>
      <c r="T2906" s="90"/>
      <c r="V2906" s="90"/>
      <c r="W2906" s="90"/>
      <c r="X2906" s="90"/>
      <c r="Y2906" s="90"/>
      <c r="Z2906" s="93"/>
    </row>
    <row r="2907" spans="3:26">
      <c r="C2907" s="89"/>
      <c r="D2907" s="90"/>
      <c r="E2907" s="90"/>
      <c r="F2907" s="90"/>
      <c r="G2907" s="90"/>
      <c r="H2907" s="90"/>
      <c r="I2907" s="90"/>
      <c r="T2907" s="90"/>
      <c r="V2907" s="90"/>
      <c r="W2907" s="90"/>
      <c r="X2907" s="90"/>
      <c r="Y2907" s="90"/>
      <c r="Z2907" s="93"/>
    </row>
  </sheetData>
  <mergeCells count="2">
    <mergeCell ref="X4:Y4"/>
    <mergeCell ref="D4:V6"/>
  </mergeCells>
  <conditionalFormatting sqref="I1:I2340 I2354:I2377 I2393:I1048576">
    <cfRule type="cellIs" dxfId="12" priority="8" operator="greaterThan">
      <formula>3</formula>
    </cfRule>
  </conditionalFormatting>
  <conditionalFormatting sqref="I2341:I2342 I2347:I2352">
    <cfRule type="cellIs" dxfId="11" priority="7" operator="greaterThan">
      <formula>3</formula>
    </cfRule>
  </conditionalFormatting>
  <conditionalFormatting sqref="I2343:I2346">
    <cfRule type="cellIs" dxfId="10" priority="6" operator="greaterThan">
      <formula>3</formula>
    </cfRule>
  </conditionalFormatting>
  <conditionalFormatting sqref="I2353 I2378:I2386">
    <cfRule type="cellIs" dxfId="9" priority="5" operator="greaterThan">
      <formula>3</formula>
    </cfRule>
  </conditionalFormatting>
  <conditionalFormatting sqref="I2387:I2390">
    <cfRule type="cellIs" dxfId="8" priority="3" operator="greaterThan">
      <formula>3</formula>
    </cfRule>
  </conditionalFormatting>
  <conditionalFormatting sqref="I2391:I2392">
    <cfRule type="cellIs" dxfId="7" priority="2" operator="greaterThan">
      <formula>3</formula>
    </cfRule>
  </conditionalFormatting>
  <pageMargins left="0.7" right="0.7" top="0.75" bottom="0.75" header="0.3" footer="0.3"/>
  <pageSetup paperSize="9"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B2:BJ91"/>
  <sheetViews>
    <sheetView zoomScale="70" zoomScaleNormal="70" workbookViewId="0">
      <selection activeCell="AN4" sqref="AN4"/>
    </sheetView>
  </sheetViews>
  <sheetFormatPr baseColWidth="10" defaultRowHeight="15"/>
  <cols>
    <col min="3" max="3" width="17.7109375" customWidth="1"/>
    <col min="4" max="4" width="19.7109375" customWidth="1"/>
    <col min="5" max="5" width="17.140625" customWidth="1"/>
    <col min="6" max="6" width="14.7109375" customWidth="1"/>
    <col min="7" max="7" width="18" customWidth="1"/>
    <col min="8" max="8" width="12.140625" customWidth="1"/>
    <col min="9" max="9" width="21.140625" customWidth="1"/>
    <col min="10" max="11" width="19.85546875" customWidth="1"/>
    <col min="12" max="12" width="21.42578125" customWidth="1"/>
    <col min="13" max="13" width="19.28515625" hidden="1" customWidth="1"/>
    <col min="14" max="15" width="0" hidden="1" customWidth="1"/>
    <col min="18" max="18" width="19.85546875" customWidth="1"/>
    <col min="21" max="21" width="18" customWidth="1"/>
    <col min="22" max="22" width="15.85546875" customWidth="1"/>
    <col min="37" max="37" width="14" customWidth="1"/>
    <col min="38" max="38" width="17.85546875" customWidth="1"/>
    <col min="39" max="39" width="17.7109375" customWidth="1"/>
    <col min="40" max="40" width="21.28515625" customWidth="1"/>
    <col min="41" max="41" width="14.28515625" customWidth="1"/>
    <col min="42" max="42" width="13.85546875" customWidth="1"/>
    <col min="43" max="43" width="15.28515625" customWidth="1"/>
  </cols>
  <sheetData>
    <row r="2" spans="3:62">
      <c r="U2" s="300" t="s">
        <v>870</v>
      </c>
      <c r="V2" s="301"/>
      <c r="W2" s="302"/>
    </row>
    <row r="3" spans="3:62">
      <c r="U3" s="48">
        <v>4</v>
      </c>
      <c r="V3" s="49">
        <v>7.5</v>
      </c>
      <c r="W3" s="50">
        <v>15</v>
      </c>
    </row>
    <row r="5" spans="3:62" ht="18.75">
      <c r="BJ5" s="86" t="s">
        <v>896</v>
      </c>
    </row>
    <row r="6" spans="3:62" ht="15.75" thickBot="1">
      <c r="X6" s="32"/>
      <c r="Y6" s="32"/>
      <c r="Z6" s="32"/>
      <c r="AA6" s="32"/>
      <c r="AX6" s="56"/>
    </row>
    <row r="7" spans="3:62" ht="16.5" thickBot="1">
      <c r="T7" s="306" t="s">
        <v>879</v>
      </c>
      <c r="U7" s="307"/>
      <c r="V7" s="307"/>
      <c r="W7" s="307"/>
      <c r="X7" s="308"/>
      <c r="Y7" s="84"/>
      <c r="Z7" s="84"/>
      <c r="AA7" s="84"/>
      <c r="AC7" s="303" t="s">
        <v>874</v>
      </c>
      <c r="AD7" s="304"/>
      <c r="AE7" s="305"/>
      <c r="AK7" s="297" t="s">
        <v>873</v>
      </c>
      <c r="AL7" s="298"/>
      <c r="AM7" s="298"/>
      <c r="AN7" s="298"/>
      <c r="AO7" s="298"/>
      <c r="AP7" s="298"/>
      <c r="AQ7" s="299"/>
    </row>
    <row r="8" spans="3:62" ht="35.25" customHeight="1" thickBot="1">
      <c r="C8" s="37" t="s">
        <v>0</v>
      </c>
      <c r="D8" s="37" t="s">
        <v>1</v>
      </c>
      <c r="E8" s="37" t="s">
        <v>2</v>
      </c>
      <c r="F8" s="37" t="s">
        <v>10</v>
      </c>
      <c r="G8" s="37" t="s">
        <v>3</v>
      </c>
      <c r="H8" s="37" t="s">
        <v>4</v>
      </c>
      <c r="I8" s="37" t="s">
        <v>651</v>
      </c>
      <c r="J8" s="38" t="s">
        <v>871</v>
      </c>
      <c r="K8" s="38" t="s">
        <v>652</v>
      </c>
      <c r="L8" s="37" t="s">
        <v>76</v>
      </c>
      <c r="M8" s="37" t="s">
        <v>191</v>
      </c>
      <c r="N8" s="37" t="s">
        <v>253</v>
      </c>
      <c r="O8" s="37" t="s">
        <v>254</v>
      </c>
      <c r="P8" s="39" t="s">
        <v>712</v>
      </c>
      <c r="Q8" s="37" t="s">
        <v>912</v>
      </c>
      <c r="R8" s="40" t="s">
        <v>889</v>
      </c>
      <c r="T8" s="55" t="s">
        <v>872</v>
      </c>
      <c r="U8" s="53" t="str">
        <f>"A "&amp; U3 &amp; " ips"</f>
        <v>A 4 ips</v>
      </c>
      <c r="V8" s="53" t="str">
        <f>"A "&amp; V3 &amp; " ips"</f>
        <v>A 7,5 ips</v>
      </c>
      <c r="W8" s="54" t="str">
        <f>"A "&amp; W3 &amp; " ips"</f>
        <v>A 15 ips</v>
      </c>
      <c r="X8" s="83" t="s">
        <v>894</v>
      </c>
      <c r="Y8" s="80"/>
      <c r="Z8" s="80"/>
      <c r="AA8" s="80"/>
      <c r="AB8" s="60"/>
      <c r="AC8" s="55" t="str">
        <f>"A "&amp; U3 &amp; " ips"</f>
        <v>A 4 ips</v>
      </c>
      <c r="AD8" s="53" t="str">
        <f>"A "&amp; V3 &amp; " ips"</f>
        <v>A 7,5 ips</v>
      </c>
      <c r="AE8" s="54" t="str">
        <f>"A "&amp; W3 &amp; " ips"</f>
        <v>A 15 ips</v>
      </c>
      <c r="AK8" s="64" t="s">
        <v>370</v>
      </c>
      <c r="AL8" s="69" t="s">
        <v>371</v>
      </c>
      <c r="AM8" s="63" t="s">
        <v>374</v>
      </c>
      <c r="AN8" s="77" t="s">
        <v>872</v>
      </c>
      <c r="AO8" s="78" t="str">
        <f>"A "&amp; U3 &amp; " ips"</f>
        <v>A 4 ips</v>
      </c>
      <c r="AP8" s="78" t="str">
        <f>"A "&amp; V3 &amp; " ips"</f>
        <v>A 7,5 ips</v>
      </c>
      <c r="AQ8" s="79" t="str">
        <f>"A "&amp; W3 &amp; " ips"</f>
        <v>A 15 ips</v>
      </c>
      <c r="BJ8" s="88" t="s">
        <v>911</v>
      </c>
    </row>
    <row r="9" spans="3:62">
      <c r="C9" t="s">
        <v>636</v>
      </c>
      <c r="D9" t="s">
        <v>637</v>
      </c>
      <c r="E9" t="s">
        <v>638</v>
      </c>
      <c r="F9">
        <v>10593147</v>
      </c>
      <c r="G9" s="1">
        <v>44320</v>
      </c>
      <c r="H9">
        <v>0.189</v>
      </c>
      <c r="I9">
        <v>20.5</v>
      </c>
      <c r="J9">
        <v>4.34</v>
      </c>
      <c r="K9">
        <v>24.8</v>
      </c>
      <c r="L9" s="1">
        <v>41427</v>
      </c>
      <c r="M9" s="8" t="str">
        <f t="shared" ref="M9:M50" si="0">CONCATENATE(C9," ",D9,",",E9)</f>
        <v>Krasnoruzhskikh Sola,Zoe</v>
      </c>
      <c r="P9" s="44">
        <v>25</v>
      </c>
      <c r="Q9" s="82"/>
      <c r="T9">
        <f>Tabla2[[#This Row],[Dosis (Gy)]]*1000</f>
        <v>189</v>
      </c>
      <c r="U9" s="51">
        <f>T9*(1+Tabla2[[#This Row],[PDA expo (Gy·cm2)]]/Tabla2[[#This Row],[PDA total (Gy·cm2)]]*($U$3/Tabla2[[#This Row],[Ips]]-1))</f>
        <v>161.21699999999998</v>
      </c>
      <c r="V9" s="51">
        <f>T9*(1+Tabla2[[#This Row],[PDA expo (Gy·cm2)]]/Tabla2[[#This Row],[PDA total (Gy·cm2)]]*($V$3/Tabla2[[#This Row],[Ips]]-1))</f>
        <v>165.84750000000003</v>
      </c>
      <c r="W9" s="51">
        <f>T9*(1+Tabla2[[#This Row],[PDA expo (Gy·cm2)]]/Tabla2[[#This Row],[PDA total (Gy·cm2)]]*($W$3/Tabla2[[#This Row],[Ips]]-1))</f>
        <v>175.77</v>
      </c>
      <c r="X9" s="85">
        <f>(Tabla2[[#This Row],[Fecha de la dosis]]-Tabla2[[#This Row],[Fecha de nacimiento]])/12/30</f>
        <v>8.0361111111111114</v>
      </c>
      <c r="Y9" s="3"/>
      <c r="Z9" s="3"/>
      <c r="AA9" s="3"/>
      <c r="AC9">
        <f>(T9-U9)/T9*100</f>
        <v>14.700000000000008</v>
      </c>
      <c r="AD9">
        <f>(T9-V9)/T9*100</f>
        <v>12.249999999999988</v>
      </c>
      <c r="AE9">
        <f>(T9-W9)/T9*100</f>
        <v>6.9999999999999947</v>
      </c>
      <c r="AK9" s="65">
        <v>0</v>
      </c>
      <c r="AL9" s="70">
        <v>20</v>
      </c>
      <c r="AM9" s="57" t="s">
        <v>880</v>
      </c>
      <c r="AN9" s="65">
        <v>3</v>
      </c>
      <c r="AO9" s="73">
        <v>5</v>
      </c>
      <c r="AP9" s="73">
        <v>5</v>
      </c>
      <c r="AQ9" s="58">
        <v>5</v>
      </c>
    </row>
    <row r="10" spans="3:62">
      <c r="C10" t="s">
        <v>644</v>
      </c>
      <c r="D10" t="s">
        <v>104</v>
      </c>
      <c r="E10" t="s">
        <v>642</v>
      </c>
      <c r="F10">
        <v>12648248</v>
      </c>
      <c r="G10" s="1">
        <v>44319</v>
      </c>
      <c r="H10">
        <v>4.5999999999999999E-2</v>
      </c>
      <c r="I10">
        <v>2.66</v>
      </c>
      <c r="J10">
        <v>0.76600000000000001</v>
      </c>
      <c r="K10">
        <f t="shared" ref="K10:K50" si="1">IF(I10="","",I10+J10)</f>
        <v>3.4260000000000002</v>
      </c>
      <c r="L10" s="1">
        <v>43643</v>
      </c>
      <c r="M10" s="8" t="str">
        <f t="shared" si="0"/>
        <v>Sebastiá Martínez,Alba</v>
      </c>
      <c r="P10" s="44">
        <v>25</v>
      </c>
      <c r="Q10" s="82"/>
      <c r="T10">
        <f>Tabla2[[#This Row],[Dosis (Gy)]]*1000</f>
        <v>46</v>
      </c>
      <c r="U10" s="51">
        <f>T10*(1+Tabla2[[#This Row],[PDA expo (Gy·cm2)]]/Tabla2[[#This Row],[PDA total (Gy·cm2)]]*($U$3/Tabla2[[#This Row],[Ips]]-1))</f>
        <v>37.360700525394051</v>
      </c>
      <c r="V10" s="51">
        <f>T10*(1+Tabla2[[#This Row],[PDA expo (Gy·cm2)]]/Tabla2[[#This Row],[PDA total (Gy·cm2)]]*($V$3/Tabla2[[#This Row],[Ips]]-1))</f>
        <v>38.800583771161705</v>
      </c>
      <c r="W10" s="51">
        <f>T10*(1+Tabla2[[#This Row],[PDA expo (Gy·cm2)]]/Tabla2[[#This Row],[PDA total (Gy·cm2)]]*($W$3/Tabla2[[#This Row],[Ips]]-1))</f>
        <v>41.886047869235256</v>
      </c>
      <c r="X10" s="85">
        <f>(Tabla2[[#This Row],[Fecha de la dosis]]-Tabla2[[#This Row],[Fecha de nacimiento]])/12/30</f>
        <v>1.8777777777777778</v>
      </c>
      <c r="AC10">
        <f t="shared" ref="AC10:AC48" si="2">(T10-U10)/T10*100</f>
        <v>18.781085814360758</v>
      </c>
      <c r="AD10">
        <f t="shared" ref="AD10:AD48" si="3">(T10-V10)/T10*100</f>
        <v>15.650904845300643</v>
      </c>
      <c r="AE10">
        <f t="shared" ref="AE10:AE48" si="4">(T10-W10)/T10*100</f>
        <v>8.943374197314661</v>
      </c>
      <c r="AK10" s="66">
        <f>AL9</f>
        <v>20</v>
      </c>
      <c r="AL10" s="71">
        <v>50</v>
      </c>
      <c r="AM10" s="59" t="s">
        <v>881</v>
      </c>
      <c r="AN10" s="66">
        <v>10</v>
      </c>
      <c r="AO10" s="74">
        <v>10</v>
      </c>
      <c r="AP10" s="74">
        <v>10</v>
      </c>
      <c r="AQ10" s="60">
        <v>10</v>
      </c>
    </row>
    <row r="11" spans="3:62" ht="15" customHeight="1">
      <c r="C11" t="s">
        <v>645</v>
      </c>
      <c r="E11" t="s">
        <v>646</v>
      </c>
      <c r="F11">
        <v>12899269</v>
      </c>
      <c r="G11" s="1">
        <v>44321</v>
      </c>
      <c r="H11">
        <v>0.05</v>
      </c>
      <c r="I11">
        <v>3.84</v>
      </c>
      <c r="J11">
        <v>0.36899999999999999</v>
      </c>
      <c r="K11">
        <f t="shared" si="1"/>
        <v>4.2089999999999996</v>
      </c>
      <c r="L11" s="1">
        <v>43905</v>
      </c>
      <c r="M11" s="8" t="str">
        <f t="shared" si="0"/>
        <v>Hussain ,Rumi</v>
      </c>
      <c r="P11" s="44">
        <v>25</v>
      </c>
      <c r="Q11" s="82"/>
      <c r="T11">
        <f>Tabla2[[#This Row],[Dosis (Gy)]]*1000</f>
        <v>50</v>
      </c>
      <c r="U11" s="51">
        <f>T11*(1+Tabla2[[#This Row],[PDA expo (Gy·cm2)]]/Tabla2[[#This Row],[PDA total (Gy·cm2)]]*($U$3/Tabla2[[#This Row],[Ips]]-1))</f>
        <v>46.317890235210264</v>
      </c>
      <c r="V11" s="51">
        <f>T11*(1+Tabla2[[#This Row],[PDA expo (Gy·cm2)]]/Tabla2[[#This Row],[PDA total (Gy·cm2)]]*($V$3/Tabla2[[#This Row],[Ips]]-1))</f>
        <v>46.931575196008552</v>
      </c>
      <c r="W11" s="51">
        <f>T11*(1+Tabla2[[#This Row],[PDA expo (Gy·cm2)]]/Tabla2[[#This Row],[PDA total (Gy·cm2)]]*($W$3/Tabla2[[#This Row],[Ips]]-1))</f>
        <v>48.246614397719171</v>
      </c>
      <c r="X11" s="85">
        <f>(Tabla2[[#This Row],[Fecha de la dosis]]-Tabla2[[#This Row],[Fecha de nacimiento]])/12/30</f>
        <v>1.1555555555555554</v>
      </c>
      <c r="AC11">
        <f t="shared" si="2"/>
        <v>7.3642195295794712</v>
      </c>
      <c r="AD11">
        <f t="shared" si="3"/>
        <v>6.1368496079828958</v>
      </c>
      <c r="AE11">
        <f t="shared" si="4"/>
        <v>3.5067712045616588</v>
      </c>
      <c r="AK11" s="66">
        <f t="shared" ref="AK11:AK16" si="5">AL10</f>
        <v>50</v>
      </c>
      <c r="AL11" s="71">
        <v>100</v>
      </c>
      <c r="AM11" s="59" t="s">
        <v>882</v>
      </c>
      <c r="AN11" s="66">
        <v>3</v>
      </c>
      <c r="AO11" s="74">
        <v>5</v>
      </c>
      <c r="AP11" s="74">
        <v>2</v>
      </c>
      <c r="AQ11" s="60">
        <v>2</v>
      </c>
    </row>
    <row r="12" spans="3:62">
      <c r="C12" t="s">
        <v>647</v>
      </c>
      <c r="D12" t="s">
        <v>648</v>
      </c>
      <c r="E12" t="s">
        <v>649</v>
      </c>
      <c r="F12">
        <v>13117302</v>
      </c>
      <c r="G12" s="1">
        <v>44323</v>
      </c>
      <c r="H12">
        <v>3.5000000000000001E-3</v>
      </c>
      <c r="I12">
        <v>0.14599999999999999</v>
      </c>
      <c r="J12">
        <v>1E-3</v>
      </c>
      <c r="K12">
        <f t="shared" si="1"/>
        <v>0.14699999999999999</v>
      </c>
      <c r="L12" s="1">
        <v>44316</v>
      </c>
      <c r="M12" s="8" t="str">
        <f t="shared" si="0"/>
        <v>Duval Montoya,Jaqueline</v>
      </c>
      <c r="P12" s="44">
        <v>25</v>
      </c>
      <c r="Q12" s="82"/>
      <c r="T12">
        <f>Tabla2[[#This Row],[Dosis (Gy)]]*1000</f>
        <v>3.5</v>
      </c>
      <c r="U12" s="51">
        <f>T12*(1+Tabla2[[#This Row],[PDA expo (Gy·cm2)]]/Tabla2[[#This Row],[PDA total (Gy·cm2)]]*($U$3/Tabla2[[#This Row],[Ips]]-1))</f>
        <v>3.48</v>
      </c>
      <c r="V12" s="51">
        <f>T12*(1+Tabla2[[#This Row],[PDA expo (Gy·cm2)]]/Tabla2[[#This Row],[PDA total (Gy·cm2)]]*($V$3/Tabla2[[#This Row],[Ips]]-1))</f>
        <v>3.4833333333333334</v>
      </c>
      <c r="W12" s="51">
        <f>T12*(1+Tabla2[[#This Row],[PDA expo (Gy·cm2)]]/Tabla2[[#This Row],[PDA total (Gy·cm2)]]*($W$3/Tabla2[[#This Row],[Ips]]-1))</f>
        <v>3.4904761904761905</v>
      </c>
      <c r="X12" s="85">
        <f>(Tabla2[[#This Row],[Fecha de la dosis]]-Tabla2[[#This Row],[Fecha de nacimiento]])/12/30</f>
        <v>1.9444444444444445E-2</v>
      </c>
      <c r="AC12">
        <f t="shared" si="2"/>
        <v>0.57142857142857195</v>
      </c>
      <c r="AD12">
        <f t="shared" si="3"/>
        <v>0.4761904761904745</v>
      </c>
      <c r="AE12">
        <f t="shared" si="4"/>
        <v>0.27210884353741399</v>
      </c>
      <c r="AK12" s="66">
        <f t="shared" si="5"/>
        <v>100</v>
      </c>
      <c r="AL12" s="71">
        <v>250</v>
      </c>
      <c r="AM12" s="59" t="s">
        <v>883</v>
      </c>
      <c r="AN12" s="66">
        <v>8</v>
      </c>
      <c r="AO12" s="74">
        <v>8</v>
      </c>
      <c r="AP12" s="74">
        <v>9</v>
      </c>
      <c r="AQ12" s="60">
        <v>7</v>
      </c>
    </row>
    <row r="13" spans="3:62">
      <c r="C13" t="s">
        <v>653</v>
      </c>
      <c r="D13" t="s">
        <v>319</v>
      </c>
      <c r="E13" t="s">
        <v>654</v>
      </c>
      <c r="F13">
        <v>12909545</v>
      </c>
      <c r="G13" s="1">
        <v>44316</v>
      </c>
      <c r="H13">
        <f>(28.85+19.96)/1000</f>
        <v>4.8809999999999999E-2</v>
      </c>
      <c r="I13">
        <v>3.67</v>
      </c>
      <c r="J13">
        <v>0.84399999999999997</v>
      </c>
      <c r="K13">
        <f t="shared" si="1"/>
        <v>4.5140000000000002</v>
      </c>
      <c r="L13" s="1">
        <v>43949</v>
      </c>
      <c r="M13" s="8" t="str">
        <f t="shared" si="0"/>
        <v>Ferrus Gonzalez,Laia</v>
      </c>
      <c r="P13" s="44">
        <v>25</v>
      </c>
      <c r="Q13" s="82"/>
      <c r="T13">
        <f>Tabla2[[#This Row],[Dosis (Gy)]]*1000</f>
        <v>48.81</v>
      </c>
      <c r="U13" s="51">
        <f>T13*(1+Tabla2[[#This Row],[PDA expo (Gy·cm2)]]/Tabla2[[#This Row],[PDA total (Gy·cm2)]]*($U$3/Tabla2[[#This Row],[Ips]]-1))</f>
        <v>41.143996987151084</v>
      </c>
      <c r="V13" s="51">
        <f>T13*(1+Tabla2[[#This Row],[PDA expo (Gy·cm2)]]/Tabla2[[#This Row],[PDA total (Gy·cm2)]]*($V$3/Tabla2[[#This Row],[Ips]]-1))</f>
        <v>42.421664155959242</v>
      </c>
      <c r="W13" s="51">
        <f>T13*(1+Tabla2[[#This Row],[PDA expo (Gy·cm2)]]/Tabla2[[#This Row],[PDA total (Gy·cm2)]]*($W$3/Tabla2[[#This Row],[Ips]]-1))</f>
        <v>45.159522374833855</v>
      </c>
      <c r="X13" s="85">
        <f>(Tabla2[[#This Row],[Fecha de la dosis]]-Tabla2[[#This Row],[Fecha de nacimiento]])/12/30</f>
        <v>1.0194444444444444</v>
      </c>
      <c r="AC13">
        <f t="shared" si="2"/>
        <v>15.705804164820567</v>
      </c>
      <c r="AD13">
        <f t="shared" si="3"/>
        <v>13.08817013735046</v>
      </c>
      <c r="AE13">
        <f t="shared" si="4"/>
        <v>7.4789543642002592</v>
      </c>
      <c r="AK13" s="66">
        <f t="shared" si="5"/>
        <v>250</v>
      </c>
      <c r="AL13" s="71">
        <v>500</v>
      </c>
      <c r="AM13" s="59" t="s">
        <v>884</v>
      </c>
      <c r="AN13" s="66">
        <v>11</v>
      </c>
      <c r="AO13" s="74">
        <v>10</v>
      </c>
      <c r="AP13" s="74">
        <v>11</v>
      </c>
      <c r="AQ13" s="60">
        <v>11</v>
      </c>
    </row>
    <row r="14" spans="3:62">
      <c r="C14" t="s">
        <v>639</v>
      </c>
      <c r="D14" t="s">
        <v>124</v>
      </c>
      <c r="E14" t="s">
        <v>640</v>
      </c>
      <c r="F14">
        <v>12053479</v>
      </c>
      <c r="G14" s="1">
        <v>44322</v>
      </c>
      <c r="H14">
        <v>7.2999999999999995E-2</v>
      </c>
      <c r="I14">
        <v>6.25</v>
      </c>
      <c r="J14">
        <v>2.0499999999999998</v>
      </c>
      <c r="K14">
        <f t="shared" si="1"/>
        <v>8.3000000000000007</v>
      </c>
      <c r="L14" s="1">
        <v>42986</v>
      </c>
      <c r="M14" s="8" t="str">
        <f t="shared" si="0"/>
        <v>Palomares Calero,Alex</v>
      </c>
      <c r="P14" s="44">
        <v>25</v>
      </c>
      <c r="Q14" s="82"/>
      <c r="T14">
        <f>Tabla2[[#This Row],[Dosis (Gy)]]*1000</f>
        <v>73</v>
      </c>
      <c r="U14" s="51">
        <f>T14*(1+Tabla2[[#This Row],[PDA expo (Gy·cm2)]]/Tabla2[[#This Row],[PDA total (Gy·cm2)]]*($U$3/Tabla2[[#This Row],[Ips]]-1))</f>
        <v>57.854698795180724</v>
      </c>
      <c r="V14" s="51">
        <f>T14*(1+Tabla2[[#This Row],[PDA expo (Gy·cm2)]]/Tabla2[[#This Row],[PDA total (Gy·cm2)]]*($V$3/Tabla2[[#This Row],[Ips]]-1))</f>
        <v>60.378915662650606</v>
      </c>
      <c r="W14" s="51">
        <f>T14*(1+Tabla2[[#This Row],[PDA expo (Gy·cm2)]]/Tabla2[[#This Row],[PDA total (Gy·cm2)]]*($W$3/Tabla2[[#This Row],[Ips]]-1))</f>
        <v>65.787951807228922</v>
      </c>
      <c r="X14" s="85">
        <f>(Tabla2[[#This Row],[Fecha de la dosis]]-Tabla2[[#This Row],[Fecha de nacimiento]])/12/30</f>
        <v>3.7111111111111108</v>
      </c>
      <c r="AC14">
        <f t="shared" si="2"/>
        <v>20.746987951807228</v>
      </c>
      <c r="AD14">
        <f t="shared" si="3"/>
        <v>17.289156626506021</v>
      </c>
      <c r="AE14">
        <f t="shared" si="4"/>
        <v>9.879518072289148</v>
      </c>
      <c r="AK14" s="66">
        <f t="shared" si="5"/>
        <v>500</v>
      </c>
      <c r="AL14" s="71">
        <v>1000</v>
      </c>
      <c r="AM14" s="59" t="s">
        <v>885</v>
      </c>
      <c r="AN14" s="66">
        <v>4</v>
      </c>
      <c r="AO14" s="74">
        <v>1</v>
      </c>
      <c r="AP14" s="74">
        <v>2</v>
      </c>
      <c r="AQ14" s="60">
        <v>4</v>
      </c>
    </row>
    <row r="15" spans="3:62">
      <c r="C15" t="s">
        <v>677</v>
      </c>
      <c r="D15" t="s">
        <v>678</v>
      </c>
      <c r="E15" t="s">
        <v>679</v>
      </c>
      <c r="F15">
        <v>10591565</v>
      </c>
      <c r="G15" s="1">
        <v>44336</v>
      </c>
      <c r="H15">
        <v>5.5E-2</v>
      </c>
      <c r="I15">
        <v>2.42</v>
      </c>
      <c r="J15">
        <v>3.7</v>
      </c>
      <c r="K15">
        <f t="shared" si="1"/>
        <v>6.12</v>
      </c>
      <c r="L15" s="1">
        <v>41425</v>
      </c>
      <c r="M15" s="8" t="str">
        <f t="shared" si="0"/>
        <v>Aliaga Bea,Mª Pilar</v>
      </c>
      <c r="P15" s="44">
        <v>25</v>
      </c>
      <c r="Q15" s="82"/>
      <c r="T15">
        <f>Tabla2[[#This Row],[Dosis (Gy)]]*1000</f>
        <v>55</v>
      </c>
      <c r="U15" s="51">
        <f>T15*(1+Tabla2[[#This Row],[PDA expo (Gy·cm2)]]/Tabla2[[#This Row],[PDA total (Gy·cm2)]]*($U$3/Tabla2[[#This Row],[Ips]]-1))</f>
        <v>27.068627450980387</v>
      </c>
      <c r="V15" s="51">
        <f>T15*(1+Tabla2[[#This Row],[PDA expo (Gy·cm2)]]/Tabla2[[#This Row],[PDA total (Gy·cm2)]]*($V$3/Tabla2[[#This Row],[Ips]]-1))</f>
        <v>31.723856209150323</v>
      </c>
      <c r="W15" s="51">
        <f>T15*(1+Tabla2[[#This Row],[PDA expo (Gy·cm2)]]/Tabla2[[#This Row],[PDA total (Gy·cm2)]]*($W$3/Tabla2[[#This Row],[Ips]]-1))</f>
        <v>41.699346405228759</v>
      </c>
      <c r="X15" s="85">
        <f>(Tabla2[[#This Row],[Fecha de la dosis]]-Tabla2[[#This Row],[Fecha de nacimiento]])/12/30</f>
        <v>8.0861111111111121</v>
      </c>
      <c r="AC15">
        <f t="shared" si="2"/>
        <v>50.784313725490208</v>
      </c>
      <c r="AD15">
        <f t="shared" si="3"/>
        <v>42.320261437908499</v>
      </c>
      <c r="AE15">
        <f t="shared" si="4"/>
        <v>24.183006535947708</v>
      </c>
      <c r="AK15" s="66">
        <f t="shared" si="5"/>
        <v>1000</v>
      </c>
      <c r="AL15" s="71">
        <v>2000</v>
      </c>
      <c r="AM15" s="59" t="s">
        <v>886</v>
      </c>
      <c r="AN15" s="66">
        <v>0</v>
      </c>
      <c r="AO15" s="74">
        <v>1</v>
      </c>
      <c r="AP15" s="74">
        <v>0</v>
      </c>
      <c r="AQ15" s="60">
        <v>0</v>
      </c>
    </row>
    <row r="16" spans="3:62">
      <c r="C16" t="s">
        <v>634</v>
      </c>
      <c r="D16" t="s">
        <v>692</v>
      </c>
      <c r="E16" t="s">
        <v>685</v>
      </c>
      <c r="F16">
        <v>7985797</v>
      </c>
      <c r="G16" s="1">
        <v>44328</v>
      </c>
      <c r="H16" s="41">
        <v>0.48499999999999999</v>
      </c>
      <c r="I16">
        <v>32</v>
      </c>
      <c r="J16">
        <v>20</v>
      </c>
      <c r="K16">
        <f t="shared" si="1"/>
        <v>52</v>
      </c>
      <c r="L16" s="1">
        <v>40202</v>
      </c>
      <c r="M16" s="8" t="str">
        <f t="shared" si="0"/>
        <v>Gil Toboso,Sara</v>
      </c>
      <c r="P16" s="44">
        <v>25</v>
      </c>
      <c r="Q16" s="82"/>
      <c r="T16">
        <f>Tabla2[[#This Row],[Dosis (Gy)]]*1000</f>
        <v>485</v>
      </c>
      <c r="U16" s="51">
        <f>T16*(1+Tabla2[[#This Row],[PDA expo (Gy·cm2)]]/Tabla2[[#This Row],[PDA total (Gy·cm2)]]*($U$3/Tabla2[[#This Row],[Ips]]-1))</f>
        <v>328.30769230769232</v>
      </c>
      <c r="V16" s="51">
        <f>T16*(1+Tabla2[[#This Row],[PDA expo (Gy·cm2)]]/Tabla2[[#This Row],[PDA total (Gy·cm2)]]*($V$3/Tabla2[[#This Row],[Ips]]-1))</f>
        <v>354.42307692307696</v>
      </c>
      <c r="W16" s="51">
        <f>T16*(1+Tabla2[[#This Row],[PDA expo (Gy·cm2)]]/Tabla2[[#This Row],[PDA total (Gy·cm2)]]*($W$3/Tabla2[[#This Row],[Ips]]-1))</f>
        <v>410.38461538461536</v>
      </c>
      <c r="X16" s="85">
        <f>(Tabla2[[#This Row],[Fecha de la dosis]]-Tabla2[[#This Row],[Fecha de nacimiento]])/12/30</f>
        <v>11.46111111111111</v>
      </c>
      <c r="AC16">
        <f t="shared" si="2"/>
        <v>32.307692307692307</v>
      </c>
      <c r="AD16">
        <f t="shared" si="3"/>
        <v>26.923076923076916</v>
      </c>
      <c r="AE16">
        <f t="shared" si="4"/>
        <v>15.38461538461539</v>
      </c>
      <c r="AK16" s="66">
        <f t="shared" si="5"/>
        <v>2000</v>
      </c>
      <c r="AL16" s="71">
        <v>3000</v>
      </c>
      <c r="AM16" s="59" t="s">
        <v>887</v>
      </c>
      <c r="AN16" s="66">
        <v>0</v>
      </c>
      <c r="AO16" s="74">
        <v>0</v>
      </c>
      <c r="AP16" s="74">
        <v>1</v>
      </c>
      <c r="AQ16" s="60">
        <v>1</v>
      </c>
    </row>
    <row r="17" spans="2:43" ht="15.75" thickBot="1">
      <c r="C17" t="s">
        <v>694</v>
      </c>
      <c r="D17" t="s">
        <v>695</v>
      </c>
      <c r="E17" t="s">
        <v>696</v>
      </c>
      <c r="F17">
        <v>6078001</v>
      </c>
      <c r="G17" s="1">
        <v>44328</v>
      </c>
      <c r="H17" s="41">
        <v>0.38100000000000001</v>
      </c>
      <c r="I17">
        <v>44.1</v>
      </c>
      <c r="J17">
        <v>15.9</v>
      </c>
      <c r="K17">
        <f t="shared" si="1"/>
        <v>60</v>
      </c>
      <c r="L17" s="1">
        <v>38652</v>
      </c>
      <c r="M17" s="8" t="str">
        <f t="shared" si="0"/>
        <v>Llopis Donaire,Francisco José</v>
      </c>
      <c r="P17" s="44">
        <v>25</v>
      </c>
      <c r="Q17" s="82"/>
      <c r="T17">
        <f>Tabla2[[#This Row],[Dosis (Gy)]]*1000</f>
        <v>381</v>
      </c>
      <c r="U17" s="51">
        <f>T17*(1+Tabla2[[#This Row],[PDA expo (Gy·cm2)]]/Tabla2[[#This Row],[PDA total (Gy·cm2)]]*($U$3/Tabla2[[#This Row],[Ips]]-1))</f>
        <v>296.18939999999998</v>
      </c>
      <c r="V17" s="51">
        <f>T17*(1+Tabla2[[#This Row],[PDA expo (Gy·cm2)]]/Tabla2[[#This Row],[PDA total (Gy·cm2)]]*($V$3/Tabla2[[#This Row],[Ips]]-1))</f>
        <v>310.3245</v>
      </c>
      <c r="W17" s="51">
        <f>T17*(1+Tabla2[[#This Row],[PDA expo (Gy·cm2)]]/Tabla2[[#This Row],[PDA total (Gy·cm2)]]*($W$3/Tabla2[[#This Row],[Ips]]-1))</f>
        <v>340.61400000000003</v>
      </c>
      <c r="X17" s="85">
        <f>(Tabla2[[#This Row],[Fecha de la dosis]]-Tabla2[[#This Row],[Fecha de nacimiento]])/12/30</f>
        <v>15.766666666666667</v>
      </c>
      <c r="AC17">
        <f t="shared" si="2"/>
        <v>22.260000000000005</v>
      </c>
      <c r="AD17">
        <f t="shared" si="3"/>
        <v>18.55</v>
      </c>
      <c r="AE17">
        <f t="shared" si="4"/>
        <v>10.599999999999991</v>
      </c>
      <c r="AK17" s="67">
        <f>AL16</f>
        <v>3000</v>
      </c>
      <c r="AL17" s="72">
        <v>10000</v>
      </c>
      <c r="AM17" s="61" t="s">
        <v>888</v>
      </c>
      <c r="AN17" s="67">
        <v>1</v>
      </c>
      <c r="AO17" s="75">
        <v>0</v>
      </c>
      <c r="AP17" s="75">
        <v>0</v>
      </c>
      <c r="AQ17" s="62">
        <v>0</v>
      </c>
    </row>
    <row r="18" spans="2:43">
      <c r="C18" t="s">
        <v>697</v>
      </c>
      <c r="D18" t="s">
        <v>698</v>
      </c>
      <c r="E18" t="s">
        <v>699</v>
      </c>
      <c r="F18">
        <v>13109284</v>
      </c>
      <c r="G18" s="1">
        <v>44329</v>
      </c>
      <c r="H18">
        <f>(7.84+12.65)/1000</f>
        <v>2.0490000000000001E-2</v>
      </c>
      <c r="I18">
        <v>1.36</v>
      </c>
      <c r="J18">
        <v>0.6</v>
      </c>
      <c r="K18">
        <f t="shared" si="1"/>
        <v>1.96</v>
      </c>
      <c r="L18" s="1">
        <v>43978</v>
      </c>
      <c r="M18" s="8" t="str">
        <f t="shared" si="0"/>
        <v>Ndumu Nseng,Cristina</v>
      </c>
      <c r="P18" s="44">
        <v>25</v>
      </c>
      <c r="Q18" s="82"/>
      <c r="T18">
        <f>Tabla2[[#This Row],[Dosis (Gy)]]*1000</f>
        <v>20.490000000000002</v>
      </c>
      <c r="U18" s="51">
        <f>T18*(1+Tabla2[[#This Row],[PDA expo (Gy·cm2)]]/Tabla2[[#This Row],[PDA total (Gy·cm2)]]*($U$3/Tabla2[[#This Row],[Ips]]-1))</f>
        <v>15.221142857142858</v>
      </c>
      <c r="V18" s="51">
        <f>T18*(1+Tabla2[[#This Row],[PDA expo (Gy·cm2)]]/Tabla2[[#This Row],[PDA total (Gy·cm2)]]*($V$3/Tabla2[[#This Row],[Ips]]-1))</f>
        <v>16.099285714285717</v>
      </c>
      <c r="W18" s="51">
        <f>T18*(1+Tabla2[[#This Row],[PDA expo (Gy·cm2)]]/Tabla2[[#This Row],[PDA total (Gy·cm2)]]*($W$3/Tabla2[[#This Row],[Ips]]-1))</f>
        <v>17.981020408163268</v>
      </c>
      <c r="X18" s="85">
        <f>(Tabla2[[#This Row],[Fecha de la dosis]]-Tabla2[[#This Row],[Fecha de nacimiento]])/12/30</f>
        <v>0.97499999999999998</v>
      </c>
      <c r="AC18">
        <f t="shared" si="2"/>
        <v>25.714285714285719</v>
      </c>
      <c r="AD18">
        <f t="shared" si="3"/>
        <v>21.428571428571423</v>
      </c>
      <c r="AE18">
        <f t="shared" si="4"/>
        <v>12.244897959183671</v>
      </c>
      <c r="AK18" s="68"/>
      <c r="AM18" s="76"/>
    </row>
    <row r="19" spans="2:43">
      <c r="C19" t="s">
        <v>700</v>
      </c>
      <c r="E19" t="s">
        <v>701</v>
      </c>
      <c r="F19">
        <v>11466787</v>
      </c>
      <c r="G19" s="1">
        <v>44330</v>
      </c>
      <c r="H19">
        <f>(14.65+26.35)/1000</f>
        <v>4.1000000000000002E-2</v>
      </c>
      <c r="I19">
        <v>3.9</v>
      </c>
      <c r="J19">
        <v>0.78400000000000003</v>
      </c>
      <c r="K19">
        <f t="shared" si="1"/>
        <v>4.6840000000000002</v>
      </c>
      <c r="L19" s="1">
        <v>42337</v>
      </c>
      <c r="M19" s="8" t="str">
        <f t="shared" si="0"/>
        <v>Abbas ,Zamma</v>
      </c>
      <c r="P19" s="44">
        <v>25</v>
      </c>
      <c r="Q19" s="82"/>
      <c r="T19">
        <f>Tabla2[[#This Row],[Dosis (Gy)]]*1000</f>
        <v>41</v>
      </c>
      <c r="U19" s="51">
        <f>T19*(1+Tabla2[[#This Row],[PDA expo (Gy·cm2)]]/Tabla2[[#This Row],[PDA total (Gy·cm2)]]*($U$3/Tabla2[[#This Row],[Ips]]-1))</f>
        <v>35.235491033304868</v>
      </c>
      <c r="V19" s="51">
        <f>T19*(1+Tabla2[[#This Row],[PDA expo (Gy·cm2)]]/Tabla2[[#This Row],[PDA total (Gy·cm2)]]*($V$3/Tabla2[[#This Row],[Ips]]-1))</f>
        <v>36.196242527754059</v>
      </c>
      <c r="W19" s="51">
        <f>T19*(1+Tabla2[[#This Row],[PDA expo (Gy·cm2)]]/Tabla2[[#This Row],[PDA total (Gy·cm2)]]*($W$3/Tabla2[[#This Row],[Ips]]-1))</f>
        <v>38.254995730145176</v>
      </c>
      <c r="X19" s="85">
        <f>(Tabla2[[#This Row],[Fecha de la dosis]]-Tabla2[[#This Row],[Fecha de nacimiento]])/12/30</f>
        <v>5.5361111111111114</v>
      </c>
      <c r="AC19">
        <f t="shared" si="2"/>
        <v>14.059777967549103</v>
      </c>
      <c r="AD19">
        <f t="shared" si="3"/>
        <v>11.716481639624247</v>
      </c>
      <c r="AE19">
        <f t="shared" si="4"/>
        <v>6.695132365499572</v>
      </c>
    </row>
    <row r="20" spans="2:43">
      <c r="C20" t="s">
        <v>702</v>
      </c>
      <c r="D20" t="s">
        <v>703</v>
      </c>
      <c r="E20" t="s">
        <v>704</v>
      </c>
      <c r="F20">
        <v>13091286</v>
      </c>
      <c r="G20" s="1">
        <v>44333</v>
      </c>
      <c r="H20">
        <v>2.8670000000000001E-2</v>
      </c>
      <c r="I20">
        <v>1.55</v>
      </c>
      <c r="J20">
        <v>0.42699999999999999</v>
      </c>
      <c r="K20">
        <f t="shared" si="1"/>
        <v>1.9770000000000001</v>
      </c>
      <c r="L20" s="1">
        <v>44268</v>
      </c>
      <c r="M20" s="8" t="str">
        <f t="shared" si="0"/>
        <v>Guzman Province,Ayun</v>
      </c>
      <c r="P20" s="44">
        <v>25</v>
      </c>
      <c r="Q20" s="82"/>
      <c r="T20">
        <f>Tabla2[[#This Row],[Dosis (Gy)]]*1000</f>
        <v>28.67</v>
      </c>
      <c r="U20" s="51">
        <f>T20*(1+Tabla2[[#This Row],[PDA expo (Gy·cm2)]]/Tabla2[[#This Row],[PDA total (Gy·cm2)]]*($U$3/Tabla2[[#This Row],[Ips]]-1))</f>
        <v>23.468505007587257</v>
      </c>
      <c r="V20" s="51">
        <f>T20*(1+Tabla2[[#This Row],[PDA expo (Gy·cm2)]]/Tabla2[[#This Row],[PDA total (Gy·cm2)]]*($V$3/Tabla2[[#This Row],[Ips]]-1))</f>
        <v>24.335420839656045</v>
      </c>
      <c r="W20" s="51">
        <f>T20*(1+Tabla2[[#This Row],[PDA expo (Gy·cm2)]]/Tabla2[[#This Row],[PDA total (Gy·cm2)]]*($W$3/Tabla2[[#This Row],[Ips]]-1))</f>
        <v>26.193097622660598</v>
      </c>
      <c r="X20" s="85">
        <f>(Tabla2[[#This Row],[Fecha de la dosis]]-Tabla2[[#This Row],[Fecha de nacimiento]])/12/30</f>
        <v>0.18055555555555555</v>
      </c>
      <c r="AC20">
        <f t="shared" si="2"/>
        <v>18.142640364188154</v>
      </c>
      <c r="AD20">
        <f t="shared" si="3"/>
        <v>15.118866970156805</v>
      </c>
      <c r="AE20">
        <f t="shared" si="4"/>
        <v>8.639352554375316</v>
      </c>
    </row>
    <row r="21" spans="2:43">
      <c r="C21" t="s">
        <v>104</v>
      </c>
      <c r="D21" t="s">
        <v>366</v>
      </c>
      <c r="E21" t="s">
        <v>102</v>
      </c>
      <c r="F21">
        <v>8315081</v>
      </c>
      <c r="G21" s="1">
        <v>44334</v>
      </c>
      <c r="H21">
        <v>2.0570000000000001E-2</v>
      </c>
      <c r="I21">
        <v>2.7</v>
      </c>
      <c r="J21">
        <v>3.59</v>
      </c>
      <c r="K21">
        <f t="shared" si="1"/>
        <v>6.29</v>
      </c>
      <c r="L21" s="1">
        <v>44334</v>
      </c>
      <c r="M21" s="8" t="str">
        <f t="shared" si="0"/>
        <v>Martínez Rodríguez,José</v>
      </c>
      <c r="P21" s="44">
        <v>25</v>
      </c>
      <c r="Q21" s="82"/>
      <c r="T21">
        <f>Tabla2[[#This Row],[Dosis (Gy)]]*1000</f>
        <v>20.57</v>
      </c>
      <c r="U21" s="51">
        <f>T21*(1+Tabla2[[#This Row],[PDA expo (Gy·cm2)]]/Tabla2[[#This Row],[PDA total (Gy·cm2)]]*($U$3/Tabla2[[#This Row],[Ips]]-1))</f>
        <v>10.708172972972974</v>
      </c>
      <c r="V21" s="51">
        <f>T21*(1+Tabla2[[#This Row],[PDA expo (Gy·cm2)]]/Tabla2[[#This Row],[PDA total (Gy·cm2)]]*($V$3/Tabla2[[#This Row],[Ips]]-1))</f>
        <v>12.351810810810811</v>
      </c>
      <c r="W21" s="51">
        <f>T21*(1+Tabla2[[#This Row],[PDA expo (Gy·cm2)]]/Tabla2[[#This Row],[PDA total (Gy·cm2)]]*($W$3/Tabla2[[#This Row],[Ips]]-1))</f>
        <v>15.873891891891892</v>
      </c>
      <c r="X21" s="85">
        <f>(Tabla2[[#This Row],[Fecha de la dosis]]-Tabla2[[#This Row],[Fecha de nacimiento]])/12/30</f>
        <v>0</v>
      </c>
      <c r="AC21">
        <f t="shared" si="2"/>
        <v>47.942766295707465</v>
      </c>
      <c r="AD21">
        <f t="shared" si="3"/>
        <v>39.952305246422895</v>
      </c>
      <c r="AE21">
        <f t="shared" si="4"/>
        <v>22.829888712241655</v>
      </c>
    </row>
    <row r="22" spans="2:43">
      <c r="C22" t="s">
        <v>558</v>
      </c>
      <c r="D22" t="s">
        <v>559</v>
      </c>
      <c r="E22" t="s">
        <v>560</v>
      </c>
      <c r="F22">
        <v>12872007</v>
      </c>
      <c r="G22" s="1">
        <v>44305</v>
      </c>
      <c r="H22">
        <v>0.72099999999999997</v>
      </c>
      <c r="I22">
        <v>67.3</v>
      </c>
      <c r="J22">
        <v>38.700000000000003</v>
      </c>
      <c r="K22">
        <f t="shared" si="1"/>
        <v>106</v>
      </c>
      <c r="L22" s="1">
        <v>39930</v>
      </c>
      <c r="M22" s="8" t="str">
        <f t="shared" si="0"/>
        <v>Arteaga Piedrahita,Dylan Adriy</v>
      </c>
      <c r="P22" s="44">
        <v>25</v>
      </c>
      <c r="Q22" s="82"/>
      <c r="T22">
        <f>Tabla2[[#This Row],[Dosis (Gy)]]*1000</f>
        <v>721</v>
      </c>
      <c r="U22" s="51">
        <f>T22*(1+Tabla2[[#This Row],[PDA expo (Gy·cm2)]]/Tabla2[[#This Row],[PDA total (Gy·cm2)]]*($U$3/Tabla2[[#This Row],[Ips]]-1))</f>
        <v>499.88426415094335</v>
      </c>
      <c r="V22" s="51">
        <f>T22*(1+Tabla2[[#This Row],[PDA expo (Gy·cm2)]]/Tabla2[[#This Row],[PDA total (Gy·cm2)]]*($V$3/Tabla2[[#This Row],[Ips]]-1))</f>
        <v>536.73688679245276</v>
      </c>
      <c r="W22" s="51">
        <f>T22*(1+Tabla2[[#This Row],[PDA expo (Gy·cm2)]]/Tabla2[[#This Row],[PDA total (Gy·cm2)]]*($W$3/Tabla2[[#This Row],[Ips]]-1))</f>
        <v>615.7067924528302</v>
      </c>
      <c r="X22" s="85">
        <f>(Tabla2[[#This Row],[Fecha de la dosis]]-Tabla2[[#This Row],[Fecha de nacimiento]])/12/30</f>
        <v>12.152777777777777</v>
      </c>
      <c r="AC22">
        <f t="shared" si="2"/>
        <v>30.667924528301892</v>
      </c>
      <c r="AD22">
        <f t="shared" si="3"/>
        <v>25.556603773584914</v>
      </c>
      <c r="AE22">
        <f t="shared" si="4"/>
        <v>14.603773584905658</v>
      </c>
    </row>
    <row r="23" spans="2:43">
      <c r="C23" t="s">
        <v>334</v>
      </c>
      <c r="D23" t="s">
        <v>313</v>
      </c>
      <c r="E23" t="s">
        <v>335</v>
      </c>
      <c r="F23">
        <v>7120820</v>
      </c>
      <c r="G23" s="1">
        <v>44263</v>
      </c>
      <c r="H23">
        <v>0.36</v>
      </c>
      <c r="I23">
        <v>25.2</v>
      </c>
      <c r="J23">
        <v>15.3</v>
      </c>
      <c r="K23">
        <f t="shared" si="1"/>
        <v>40.5</v>
      </c>
      <c r="L23" s="1">
        <v>38673</v>
      </c>
      <c r="M23" s="8" t="str">
        <f t="shared" si="0"/>
        <v>Boles Fernández,Alanna</v>
      </c>
      <c r="P23" s="44">
        <v>25</v>
      </c>
      <c r="Q23" s="82"/>
      <c r="T23">
        <f>Tabla2[[#This Row],[Dosis (Gy)]]*1000</f>
        <v>360</v>
      </c>
      <c r="U23" s="51">
        <f>T23*(1+Tabla2[[#This Row],[PDA expo (Gy·cm2)]]/Tabla2[[#This Row],[PDA total (Gy·cm2)]]*($U$3/Tabla2[[#This Row],[Ips]]-1))</f>
        <v>245.76000000000002</v>
      </c>
      <c r="V23" s="51">
        <f>T23*(1+Tabla2[[#This Row],[PDA expo (Gy·cm2)]]/Tabla2[[#This Row],[PDA total (Gy·cm2)]]*($V$3/Tabla2[[#This Row],[Ips]]-1))</f>
        <v>264.8</v>
      </c>
      <c r="W23" s="51">
        <f>T23*(1+Tabla2[[#This Row],[PDA expo (Gy·cm2)]]/Tabla2[[#This Row],[PDA total (Gy·cm2)]]*($W$3/Tabla2[[#This Row],[Ips]]-1))</f>
        <v>305.60000000000002</v>
      </c>
      <c r="X23" s="85">
        <f>(Tabla2[[#This Row],[Fecha de la dosis]]-Tabla2[[#This Row],[Fecha de nacimiento]])/12/30</f>
        <v>15.527777777777777</v>
      </c>
      <c r="AC23">
        <f t="shared" si="2"/>
        <v>31.733333333333331</v>
      </c>
      <c r="AD23">
        <f t="shared" si="3"/>
        <v>26.444444444444443</v>
      </c>
      <c r="AE23">
        <f t="shared" si="4"/>
        <v>15.111111111111105</v>
      </c>
    </row>
    <row r="24" spans="2:43">
      <c r="B24" s="32"/>
      <c r="C24" t="s">
        <v>334</v>
      </c>
      <c r="D24" t="s">
        <v>313</v>
      </c>
      <c r="E24" t="s">
        <v>335</v>
      </c>
      <c r="F24">
        <v>7120820</v>
      </c>
      <c r="G24" s="1">
        <v>44186</v>
      </c>
      <c r="H24" s="45">
        <f>0.16552+0.36337</f>
        <v>0.52889000000000008</v>
      </c>
      <c r="I24">
        <v>60.6</v>
      </c>
      <c r="J24">
        <v>5.16</v>
      </c>
      <c r="K24">
        <f t="shared" si="1"/>
        <v>65.760000000000005</v>
      </c>
      <c r="L24" s="1">
        <v>38673</v>
      </c>
      <c r="M24" s="8"/>
      <c r="P24" s="44">
        <v>25</v>
      </c>
      <c r="Q24" s="82"/>
      <c r="T24">
        <f>Tabla2[[#This Row],[Dosis (Gy)]]*1000</f>
        <v>528.8900000000001</v>
      </c>
      <c r="U24" s="51">
        <f>T24*(1+Tabla2[[#This Row],[PDA expo (Gy·cm2)]]/Tabla2[[#This Row],[PDA total (Gy·cm2)]]*($U$3/Tabla2[[#This Row],[Ips]]-1))</f>
        <v>494.02958613138696</v>
      </c>
      <c r="V24" s="51">
        <f>T24*(1+Tabla2[[#This Row],[PDA expo (Gy·cm2)]]/Tabla2[[#This Row],[PDA total (Gy·cm2)]]*($V$3/Tabla2[[#This Row],[Ips]]-1))</f>
        <v>499.83965510948917</v>
      </c>
      <c r="W24" s="51">
        <f>T24*(1+Tabla2[[#This Row],[PDA expo (Gy·cm2)]]/Tabla2[[#This Row],[PDA total (Gy·cm2)]]*($W$3/Tabla2[[#This Row],[Ips]]-1))</f>
        <v>512.28980291970811</v>
      </c>
      <c r="X24" s="85">
        <f>(Tabla2[[#This Row],[Fecha de la dosis]]-Tabla2[[#This Row],[Fecha de nacimiento]])/12/30</f>
        <v>15.31388888888889</v>
      </c>
      <c r="AC24">
        <f t="shared" si="2"/>
        <v>6.5912408759124075</v>
      </c>
      <c r="AD24">
        <f t="shared" si="3"/>
        <v>5.4927007299270025</v>
      </c>
      <c r="AE24">
        <f t="shared" si="4"/>
        <v>3.1386861313868648</v>
      </c>
    </row>
    <row r="25" spans="2:43">
      <c r="C25" t="s">
        <v>368</v>
      </c>
      <c r="D25" t="s">
        <v>537</v>
      </c>
      <c r="E25" t="s">
        <v>538</v>
      </c>
      <c r="F25">
        <v>11396648</v>
      </c>
      <c r="G25" s="1">
        <v>44281</v>
      </c>
      <c r="H25">
        <v>0.107</v>
      </c>
      <c r="I25">
        <v>7.7</v>
      </c>
      <c r="J25">
        <v>3.5</v>
      </c>
      <c r="K25">
        <f t="shared" si="1"/>
        <v>11.2</v>
      </c>
      <c r="L25" s="1">
        <v>42261</v>
      </c>
      <c r="M25" s="8" t="str">
        <f t="shared" si="0"/>
        <v>García Oller,Hugo</v>
      </c>
      <c r="P25" s="44">
        <v>25</v>
      </c>
      <c r="Q25" s="82"/>
      <c r="T25">
        <f>Tabla2[[#This Row],[Dosis (Gy)]]*1000</f>
        <v>107</v>
      </c>
      <c r="U25" s="51">
        <f>T25*(1+Tabla2[[#This Row],[PDA expo (Gy·cm2)]]/Tabla2[[#This Row],[PDA total (Gy·cm2)]]*($U$3/Tabla2[[#This Row],[Ips]]-1))</f>
        <v>78.912500000000009</v>
      </c>
      <c r="V25" s="51">
        <f>T25*(1+Tabla2[[#This Row],[PDA expo (Gy·cm2)]]/Tabla2[[#This Row],[PDA total (Gy·cm2)]]*($V$3/Tabla2[[#This Row],[Ips]]-1))</f>
        <v>83.59375</v>
      </c>
      <c r="W25" s="51">
        <f>T25*(1+Tabla2[[#This Row],[PDA expo (Gy·cm2)]]/Tabla2[[#This Row],[PDA total (Gy·cm2)]]*($W$3/Tabla2[[#This Row],[Ips]]-1))</f>
        <v>93.625</v>
      </c>
      <c r="X25" s="85">
        <f>(Tabla2[[#This Row],[Fecha de la dosis]]-Tabla2[[#This Row],[Fecha de nacimiento]])/12/30</f>
        <v>5.6111111111111116</v>
      </c>
      <c r="AC25">
        <f t="shared" si="2"/>
        <v>26.249999999999989</v>
      </c>
      <c r="AD25">
        <f t="shared" si="3"/>
        <v>21.875</v>
      </c>
      <c r="AE25">
        <f t="shared" si="4"/>
        <v>12.5</v>
      </c>
    </row>
    <row r="26" spans="2:43">
      <c r="C26" t="s">
        <v>534</v>
      </c>
      <c r="D26" t="s">
        <v>535</v>
      </c>
      <c r="E26" t="s">
        <v>536</v>
      </c>
      <c r="F26">
        <v>7014360</v>
      </c>
      <c r="G26" s="1">
        <v>44280</v>
      </c>
      <c r="H26">
        <v>0.24199999999999999</v>
      </c>
      <c r="I26">
        <v>20.2</v>
      </c>
      <c r="J26">
        <v>29.8</v>
      </c>
      <c r="K26">
        <f t="shared" si="1"/>
        <v>50</v>
      </c>
      <c r="L26" s="1">
        <v>39318</v>
      </c>
      <c r="M26" s="8" t="str">
        <f t="shared" si="0"/>
        <v>Hurtado Pamies,Ainara</v>
      </c>
      <c r="P26" s="44">
        <v>30</v>
      </c>
      <c r="Q26" s="82"/>
      <c r="T26">
        <f>Tabla2[[#This Row],[Dosis (Gy)]]*1000</f>
        <v>242</v>
      </c>
      <c r="U26" s="51">
        <f>T26*(1+Tabla2[[#This Row],[PDA expo (Gy·cm2)]]/Tabla2[[#This Row],[PDA total (Gy·cm2)]]*($U$3/Tabla2[[#This Row],[Ips]]-1))</f>
        <v>116.99893333333334</v>
      </c>
      <c r="V26" s="51">
        <f>T26*(1+Tabla2[[#This Row],[PDA expo (Gy·cm2)]]/Tabla2[[#This Row],[PDA total (Gy·cm2)]]*($V$3/Tabla2[[#This Row],[Ips]]-1))</f>
        <v>133.82600000000002</v>
      </c>
      <c r="W26" s="51">
        <f>T26*(1+Tabla2[[#This Row],[PDA expo (Gy·cm2)]]/Tabla2[[#This Row],[PDA total (Gy·cm2)]]*($W$3/Tabla2[[#This Row],[Ips]]-1))</f>
        <v>169.88399999999999</v>
      </c>
      <c r="X26" s="85">
        <f>(Tabla2[[#This Row],[Fecha de la dosis]]-Tabla2[[#This Row],[Fecha de nacimiento]])/12/30</f>
        <v>13.783333333333333</v>
      </c>
      <c r="AC26">
        <f t="shared" si="2"/>
        <v>51.653333333333329</v>
      </c>
      <c r="AD26">
        <f t="shared" si="3"/>
        <v>44.699999999999989</v>
      </c>
      <c r="AE26">
        <f t="shared" si="4"/>
        <v>29.800000000000004</v>
      </c>
    </row>
    <row r="27" spans="2:43">
      <c r="C27" t="s">
        <v>524</v>
      </c>
      <c r="D27" t="s">
        <v>115</v>
      </c>
      <c r="E27" t="s">
        <v>525</v>
      </c>
      <c r="F27">
        <v>7164364</v>
      </c>
      <c r="G27" s="1">
        <v>44292</v>
      </c>
      <c r="H27">
        <v>0.746</v>
      </c>
      <c r="I27">
        <v>20.6</v>
      </c>
      <c r="J27">
        <v>79.5</v>
      </c>
      <c r="K27">
        <f t="shared" si="1"/>
        <v>100.1</v>
      </c>
      <c r="L27" s="1">
        <v>39443</v>
      </c>
      <c r="M27" s="8" t="str">
        <f t="shared" si="0"/>
        <v>López Pardo,Lidia</v>
      </c>
      <c r="P27" s="44">
        <v>25</v>
      </c>
      <c r="Q27" s="82"/>
      <c r="T27">
        <f>Tabla2[[#This Row],[Dosis (Gy)]]*1000</f>
        <v>746</v>
      </c>
      <c r="U27" s="51">
        <f>T27*(1+Tabla2[[#This Row],[PDA expo (Gy·cm2)]]/Tabla2[[#This Row],[PDA total (Gy·cm2)]]*($U$3/Tabla2[[#This Row],[Ips]]-1))</f>
        <v>248.31888111888114</v>
      </c>
      <c r="V27" s="51">
        <f>T27*(1+Tabla2[[#This Row],[PDA expo (Gy·cm2)]]/Tabla2[[#This Row],[PDA total (Gy·cm2)]]*($V$3/Tabla2[[#This Row],[Ips]]-1))</f>
        <v>331.2657342657343</v>
      </c>
      <c r="W27" s="51">
        <f>T27*(1+Tabla2[[#This Row],[PDA expo (Gy·cm2)]]/Tabla2[[#This Row],[PDA total (Gy·cm2)]]*($W$3/Tabla2[[#This Row],[Ips]]-1))</f>
        <v>509.0089910089909</v>
      </c>
      <c r="X27" s="85">
        <f>(Tabla2[[#This Row],[Fecha de la dosis]]-Tabla2[[#This Row],[Fecha de nacimiento]])/12/30</f>
        <v>13.469444444444443</v>
      </c>
      <c r="AC27">
        <f t="shared" si="2"/>
        <v>66.713286713286706</v>
      </c>
      <c r="AD27">
        <f t="shared" si="3"/>
        <v>55.594405594405593</v>
      </c>
      <c r="AE27">
        <f t="shared" si="4"/>
        <v>31.768231768231779</v>
      </c>
    </row>
    <row r="28" spans="2:43">
      <c r="C28" t="s">
        <v>524</v>
      </c>
      <c r="D28" t="s">
        <v>157</v>
      </c>
      <c r="E28" t="s">
        <v>531</v>
      </c>
      <c r="F28">
        <v>11575960</v>
      </c>
      <c r="G28" s="1">
        <v>44278</v>
      </c>
      <c r="H28">
        <v>0.2</v>
      </c>
      <c r="I28">
        <v>5.95</v>
      </c>
      <c r="J28">
        <v>11.8</v>
      </c>
      <c r="K28">
        <f t="shared" si="1"/>
        <v>17.75</v>
      </c>
      <c r="L28" s="1">
        <v>42480</v>
      </c>
      <c r="M28" s="8" t="str">
        <f t="shared" si="0"/>
        <v>López Sánchez,Emma</v>
      </c>
      <c r="P28" s="44">
        <v>25</v>
      </c>
      <c r="Q28" s="82"/>
      <c r="T28">
        <f>Tabla2[[#This Row],[Dosis (Gy)]]*1000</f>
        <v>200</v>
      </c>
      <c r="U28" s="51">
        <f>T28*(1+Tabla2[[#This Row],[PDA expo (Gy·cm2)]]/Tabla2[[#This Row],[PDA total (Gy·cm2)]]*($U$3/Tabla2[[#This Row],[Ips]]-1))</f>
        <v>88.315492957746471</v>
      </c>
      <c r="V28" s="51">
        <f>T28*(1+Tabla2[[#This Row],[PDA expo (Gy·cm2)]]/Tabla2[[#This Row],[PDA total (Gy·cm2)]]*($V$3/Tabla2[[#This Row],[Ips]]-1))</f>
        <v>106.92957746478875</v>
      </c>
      <c r="W28" s="51">
        <f>T28*(1+Tabla2[[#This Row],[PDA expo (Gy·cm2)]]/Tabla2[[#This Row],[PDA total (Gy·cm2)]]*($W$3/Tabla2[[#This Row],[Ips]]-1))</f>
        <v>146.81690140845069</v>
      </c>
      <c r="X28" s="85">
        <f>(Tabla2[[#This Row],[Fecha de la dosis]]-Tabla2[[#This Row],[Fecha de nacimiento]])/12/30</f>
        <v>4.9944444444444445</v>
      </c>
      <c r="AC28">
        <f t="shared" si="2"/>
        <v>55.842253521126764</v>
      </c>
      <c r="AD28">
        <f t="shared" si="3"/>
        <v>46.535211267605625</v>
      </c>
      <c r="AE28">
        <f t="shared" si="4"/>
        <v>26.591549295774652</v>
      </c>
    </row>
    <row r="29" spans="2:43">
      <c r="C29" s="25" t="s">
        <v>561</v>
      </c>
      <c r="D29" s="25" t="s">
        <v>288</v>
      </c>
      <c r="E29" s="25" t="s">
        <v>562</v>
      </c>
      <c r="F29" s="26">
        <v>6617691</v>
      </c>
      <c r="G29" s="27">
        <v>44299</v>
      </c>
      <c r="H29" s="25">
        <v>3.4140000000000001</v>
      </c>
      <c r="I29">
        <v>165</v>
      </c>
      <c r="J29">
        <v>188</v>
      </c>
      <c r="K29">
        <f t="shared" si="1"/>
        <v>353</v>
      </c>
      <c r="L29" s="27">
        <v>39039</v>
      </c>
      <c r="M29" s="8" t="str">
        <f t="shared" si="0"/>
        <v>Núñez Ortiz,Rosa</v>
      </c>
      <c r="P29" s="44">
        <v>30</v>
      </c>
      <c r="Q29" s="82"/>
      <c r="T29">
        <f>Tabla2[[#This Row],[Dosis (Gy)]]*1000</f>
        <v>3414</v>
      </c>
      <c r="U29" s="51">
        <f>T29*(1+Tabla2[[#This Row],[PDA expo (Gy·cm2)]]/Tabla2[[#This Row],[PDA total (Gy·cm2)]]*($U$3/Tabla2[[#This Row],[Ips]]-1))</f>
        <v>1838.2084985835695</v>
      </c>
      <c r="V29" s="51">
        <f>T29*(1+Tabla2[[#This Row],[PDA expo (Gy·cm2)]]/Tabla2[[#This Row],[PDA total (Gy·cm2)]]*($V$3/Tabla2[[#This Row],[Ips]]-1))</f>
        <v>2050.3342776203967</v>
      </c>
      <c r="W29" s="51">
        <f>T29*(1+Tabla2[[#This Row],[PDA expo (Gy·cm2)]]/Tabla2[[#This Row],[PDA total (Gy·cm2)]]*($W$3/Tabla2[[#This Row],[Ips]]-1))</f>
        <v>2504.8895184135977</v>
      </c>
      <c r="X29" s="85">
        <f>(Tabla2[[#This Row],[Fecha de la dosis]]-Tabla2[[#This Row],[Fecha de nacimiento]])/12/30</f>
        <v>14.611111111111111</v>
      </c>
      <c r="AC29">
        <f t="shared" si="2"/>
        <v>46.156751652502358</v>
      </c>
      <c r="AD29">
        <f t="shared" si="3"/>
        <v>39.943342776203963</v>
      </c>
      <c r="AE29">
        <f t="shared" si="4"/>
        <v>26.628895184135981</v>
      </c>
    </row>
    <row r="30" spans="2:43">
      <c r="C30" t="s">
        <v>38</v>
      </c>
      <c r="D30" t="s">
        <v>39</v>
      </c>
      <c r="E30" t="s">
        <v>40</v>
      </c>
      <c r="F30">
        <v>6203670</v>
      </c>
      <c r="G30" s="1">
        <v>44243</v>
      </c>
      <c r="H30">
        <v>0.182</v>
      </c>
      <c r="I30">
        <v>11.2</v>
      </c>
      <c r="J30">
        <v>16.2</v>
      </c>
      <c r="K30">
        <f t="shared" si="1"/>
        <v>27.4</v>
      </c>
      <c r="L30" s="1">
        <v>38751</v>
      </c>
      <c r="M30" s="8" t="str">
        <f t="shared" si="0"/>
        <v>Pazmiño Manchón,Aaron Javier</v>
      </c>
      <c r="P30" s="44">
        <v>30</v>
      </c>
      <c r="Q30" s="82"/>
      <c r="T30">
        <f>Tabla2[[#This Row],[Dosis (Gy)]]*1000</f>
        <v>182</v>
      </c>
      <c r="U30" s="51">
        <f>T30*(1+Tabla2[[#This Row],[PDA expo (Gy·cm2)]]/Tabla2[[#This Row],[PDA total (Gy·cm2)]]*($U$3/Tabla2[[#This Row],[Ips]]-1))</f>
        <v>88.741605839416039</v>
      </c>
      <c r="V30" s="51">
        <f>T30*(1+Tabla2[[#This Row],[PDA expo (Gy·cm2)]]/Tabla2[[#This Row],[PDA total (Gy·cm2)]]*($V$3/Tabla2[[#This Row],[Ips]]-1))</f>
        <v>101.2956204379562</v>
      </c>
      <c r="W30" s="51">
        <f>T30*(1+Tabla2[[#This Row],[PDA expo (Gy·cm2)]]/Tabla2[[#This Row],[PDA total (Gy·cm2)]]*($W$3/Tabla2[[#This Row],[Ips]]-1))</f>
        <v>128.19708029197079</v>
      </c>
      <c r="X30" s="85">
        <f>(Tabla2[[#This Row],[Fecha de la dosis]]-Tabla2[[#This Row],[Fecha de nacimiento]])/12/30</f>
        <v>15.255555555555556</v>
      </c>
      <c r="AC30">
        <f t="shared" si="2"/>
        <v>51.240875912408768</v>
      </c>
      <c r="AD30">
        <f t="shared" si="3"/>
        <v>44.343065693430653</v>
      </c>
      <c r="AE30">
        <f t="shared" si="4"/>
        <v>29.562043795620447</v>
      </c>
    </row>
    <row r="31" spans="2:43">
      <c r="C31" t="s">
        <v>601</v>
      </c>
      <c r="E31" t="s">
        <v>602</v>
      </c>
      <c r="F31">
        <v>12710458</v>
      </c>
      <c r="G31" s="1">
        <v>44250</v>
      </c>
      <c r="H31">
        <v>0.46400000000000002</v>
      </c>
      <c r="I31">
        <v>29.4</v>
      </c>
      <c r="J31">
        <v>9</v>
      </c>
      <c r="K31">
        <f t="shared" si="1"/>
        <v>38.4</v>
      </c>
      <c r="L31" s="1">
        <v>43682</v>
      </c>
      <c r="M31" s="8" t="str">
        <f t="shared" si="0"/>
        <v>Falah ,Reda</v>
      </c>
      <c r="P31" s="44">
        <v>30</v>
      </c>
      <c r="Q31" s="82"/>
      <c r="T31">
        <f>Tabla2[[#This Row],[Dosis (Gy)]]*1000</f>
        <v>464</v>
      </c>
      <c r="U31" s="51">
        <f>T31*(1+Tabla2[[#This Row],[PDA expo (Gy·cm2)]]/Tabla2[[#This Row],[PDA total (Gy·cm2)]]*($U$3/Tabla2[[#This Row],[Ips]]-1))</f>
        <v>369.75</v>
      </c>
      <c r="V31" s="51">
        <f>T31*(1+Tabla2[[#This Row],[PDA expo (Gy·cm2)]]/Tabla2[[#This Row],[PDA total (Gy·cm2)]]*($V$3/Tabla2[[#This Row],[Ips]]-1))</f>
        <v>382.4375</v>
      </c>
      <c r="W31" s="51">
        <f>T31*(1+Tabla2[[#This Row],[PDA expo (Gy·cm2)]]/Tabla2[[#This Row],[PDA total (Gy·cm2)]]*($W$3/Tabla2[[#This Row],[Ips]]-1))</f>
        <v>409.625</v>
      </c>
      <c r="X31" s="85">
        <f>(Tabla2[[#This Row],[Fecha de la dosis]]-Tabla2[[#This Row],[Fecha de nacimiento]])/12/30</f>
        <v>1.5777777777777779</v>
      </c>
      <c r="AC31">
        <f t="shared" si="2"/>
        <v>20.3125</v>
      </c>
      <c r="AD31">
        <f t="shared" si="3"/>
        <v>17.578125</v>
      </c>
      <c r="AE31">
        <f t="shared" si="4"/>
        <v>11.71875</v>
      </c>
    </row>
    <row r="32" spans="2:43">
      <c r="B32" s="32"/>
      <c r="C32" t="s">
        <v>601</v>
      </c>
      <c r="E32" t="s">
        <v>602</v>
      </c>
      <c r="F32">
        <v>12710458</v>
      </c>
      <c r="G32" s="1">
        <v>44341</v>
      </c>
      <c r="H32">
        <v>0.35499999999999998</v>
      </c>
      <c r="I32">
        <v>34.1</v>
      </c>
      <c r="J32">
        <v>2</v>
      </c>
      <c r="K32">
        <f t="shared" si="1"/>
        <v>36.1</v>
      </c>
      <c r="L32" s="1">
        <v>43682</v>
      </c>
      <c r="M32" s="8" t="str">
        <f t="shared" si="0"/>
        <v>Falah ,Reda</v>
      </c>
      <c r="P32" s="44">
        <v>25</v>
      </c>
      <c r="Q32" s="82"/>
      <c r="T32">
        <f>Tabla2[[#This Row],[Dosis (Gy)]]*1000</f>
        <v>355</v>
      </c>
      <c r="U32" s="51">
        <f>T32*(1+Tabla2[[#This Row],[PDA expo (Gy·cm2)]]/Tabla2[[#This Row],[PDA total (Gy·cm2)]]*($U$3/Tabla2[[#This Row],[Ips]]-1))</f>
        <v>338.47922437673128</v>
      </c>
      <c r="V32" s="51">
        <f>T32*(1+Tabla2[[#This Row],[PDA expo (Gy·cm2)]]/Tabla2[[#This Row],[PDA total (Gy·cm2)]]*($V$3/Tabla2[[#This Row],[Ips]]-1))</f>
        <v>341.23268698060946</v>
      </c>
      <c r="W32" s="51">
        <f>T32*(1+Tabla2[[#This Row],[PDA expo (Gy·cm2)]]/Tabla2[[#This Row],[PDA total (Gy·cm2)]]*($W$3/Tabla2[[#This Row],[Ips]]-1))</f>
        <v>347.13296398891964</v>
      </c>
      <c r="X32" s="85">
        <f>(Tabla2[[#This Row],[Fecha de la dosis]]-Tabla2[[#This Row],[Fecha de nacimiento]])/12/30</f>
        <v>1.8305555555555555</v>
      </c>
      <c r="AC32">
        <f t="shared" si="2"/>
        <v>4.653739612188371</v>
      </c>
      <c r="AD32">
        <f t="shared" si="3"/>
        <v>3.8781163434902934</v>
      </c>
      <c r="AE32">
        <f t="shared" si="4"/>
        <v>2.2160664819944671</v>
      </c>
    </row>
    <row r="33" spans="3:43">
      <c r="C33" t="s">
        <v>328</v>
      </c>
      <c r="D33" t="s">
        <v>329</v>
      </c>
      <c r="E33" t="s">
        <v>330</v>
      </c>
      <c r="F33">
        <v>7577641</v>
      </c>
      <c r="G33" s="1">
        <v>44266</v>
      </c>
      <c r="H33">
        <v>0.42399999999999999</v>
      </c>
      <c r="I33">
        <v>30.5</v>
      </c>
      <c r="J33">
        <v>41.9</v>
      </c>
      <c r="K33">
        <f t="shared" si="1"/>
        <v>72.400000000000006</v>
      </c>
      <c r="L33" s="1">
        <v>39775</v>
      </c>
      <c r="M33" s="8" t="str">
        <f t="shared" si="0"/>
        <v>Prieto Bonora,Víctor</v>
      </c>
      <c r="P33" s="44">
        <v>30</v>
      </c>
      <c r="Q33" s="82"/>
      <c r="T33">
        <f>Tabla2[[#This Row],[Dosis (Gy)]]*1000</f>
        <v>424</v>
      </c>
      <c r="U33" s="51">
        <f>T33*(1+Tabla2[[#This Row],[PDA expo (Gy·cm2)]]/Tabla2[[#This Row],[PDA total (Gy·cm2)]]*($U$3/Tabla2[[#This Row],[Ips]]-1))</f>
        <v>211.33627992633521</v>
      </c>
      <c r="V33" s="51">
        <f>T33*(1+Tabla2[[#This Row],[PDA expo (Gy·cm2)]]/Tabla2[[#This Row],[PDA total (Gy·cm2)]]*($V$3/Tabla2[[#This Row],[Ips]]-1))</f>
        <v>239.96408839779008</v>
      </c>
      <c r="W33" s="51">
        <f>T33*(1+Tabla2[[#This Row],[PDA expo (Gy·cm2)]]/Tabla2[[#This Row],[PDA total (Gy·cm2)]]*($W$3/Tabla2[[#This Row],[Ips]]-1))</f>
        <v>301.30939226519342</v>
      </c>
      <c r="X33" s="85">
        <f>(Tabla2[[#This Row],[Fecha de la dosis]]-Tabla2[[#This Row],[Fecha de nacimiento]])/12/30</f>
        <v>12.475</v>
      </c>
      <c r="AC33">
        <f t="shared" si="2"/>
        <v>50.156537753222828</v>
      </c>
      <c r="AD33">
        <f t="shared" si="3"/>
        <v>43.404696132596683</v>
      </c>
      <c r="AE33">
        <f t="shared" si="4"/>
        <v>28.936464088397777</v>
      </c>
    </row>
    <row r="34" spans="3:43" ht="15.75" thickBot="1">
      <c r="C34" t="s">
        <v>72</v>
      </c>
      <c r="E34" t="s">
        <v>73</v>
      </c>
      <c r="F34">
        <v>13027267</v>
      </c>
      <c r="G34" s="1">
        <v>44259</v>
      </c>
      <c r="H34">
        <v>0.191</v>
      </c>
      <c r="I34">
        <v>9.3000000000000007</v>
      </c>
      <c r="J34">
        <v>2.5</v>
      </c>
      <c r="K34">
        <f t="shared" si="1"/>
        <v>11.8</v>
      </c>
      <c r="L34" s="1">
        <v>44139</v>
      </c>
      <c r="M34" s="8" t="str">
        <f t="shared" si="0"/>
        <v>Waqas ,Hoolain Fatima</v>
      </c>
      <c r="P34" s="44">
        <v>30</v>
      </c>
      <c r="Q34" s="82"/>
      <c r="T34">
        <f>Tabla2[[#This Row],[Dosis (Gy)]]*1000</f>
        <v>191</v>
      </c>
      <c r="U34" s="51">
        <f>T34*(1+Tabla2[[#This Row],[PDA expo (Gy·cm2)]]/Tabla2[[#This Row],[PDA total (Gy·cm2)]]*($U$3/Tabla2[[#This Row],[Ips]]-1))</f>
        <v>155.92937853107344</v>
      </c>
      <c r="V34" s="51">
        <f>T34*(1+Tabla2[[#This Row],[PDA expo (Gy·cm2)]]/Tabla2[[#This Row],[PDA total (Gy·cm2)]]*($V$3/Tabla2[[#This Row],[Ips]]-1))</f>
        <v>160.65042372881356</v>
      </c>
      <c r="W34" s="51">
        <f>T34*(1+Tabla2[[#This Row],[PDA expo (Gy·cm2)]]/Tabla2[[#This Row],[PDA total (Gy·cm2)]]*($W$3/Tabla2[[#This Row],[Ips]]-1))</f>
        <v>170.7669491525424</v>
      </c>
      <c r="X34" s="85">
        <f>(Tabla2[[#This Row],[Fecha de la dosis]]-Tabla2[[#This Row],[Fecha de nacimiento]])/12/30</f>
        <v>0.33333333333333331</v>
      </c>
      <c r="AC34">
        <f t="shared" si="2"/>
        <v>18.361581920903959</v>
      </c>
      <c r="AD34">
        <f t="shared" si="3"/>
        <v>15.889830508474573</v>
      </c>
      <c r="AE34">
        <f t="shared" si="4"/>
        <v>10.593220338983039</v>
      </c>
    </row>
    <row r="35" spans="3:43" ht="21.75" customHeight="1" thickBot="1">
      <c r="C35" t="s">
        <v>612</v>
      </c>
      <c r="E35" t="s">
        <v>613</v>
      </c>
      <c r="F35">
        <v>7263099</v>
      </c>
      <c r="G35" s="1">
        <v>44315</v>
      </c>
      <c r="H35">
        <v>0.36499999999999999</v>
      </c>
      <c r="I35">
        <v>32.200000000000003</v>
      </c>
      <c r="J35">
        <v>19.3</v>
      </c>
      <c r="K35">
        <f t="shared" si="1"/>
        <v>51.5</v>
      </c>
      <c r="L35" s="1">
        <v>39551</v>
      </c>
      <c r="M35" s="8" t="str">
        <f t="shared" si="0"/>
        <v>Constinuc ,David Constanti</v>
      </c>
      <c r="P35" s="44">
        <v>25</v>
      </c>
      <c r="Q35" s="82"/>
      <c r="T35">
        <f>Tabla2[[#This Row],[Dosis (Gy)]]*1000</f>
        <v>365</v>
      </c>
      <c r="U35" s="51">
        <f>T35*(1+Tabla2[[#This Row],[PDA expo (Gy·cm2)]]/Tabla2[[#This Row],[PDA total (Gy·cm2)]]*($U$3/Tabla2[[#This Row],[Ips]]-1))</f>
        <v>250.09941747572819</v>
      </c>
      <c r="V35" s="51">
        <f>T35*(1+Tabla2[[#This Row],[PDA expo (Gy·cm2)]]/Tabla2[[#This Row],[PDA total (Gy·cm2)]]*($V$3/Tabla2[[#This Row],[Ips]]-1))</f>
        <v>269.2495145631068</v>
      </c>
      <c r="W35" s="51">
        <f>T35*(1+Tabla2[[#This Row],[PDA expo (Gy·cm2)]]/Tabla2[[#This Row],[PDA total (Gy·cm2)]]*($W$3/Tabla2[[#This Row],[Ips]]-1))</f>
        <v>310.28543689320389</v>
      </c>
      <c r="X35" s="85">
        <f>(Tabla2[[#This Row],[Fecha de la dosis]]-Tabla2[[#This Row],[Fecha de nacimiento]])/12/30</f>
        <v>13.233333333333333</v>
      </c>
      <c r="AC35">
        <f t="shared" si="2"/>
        <v>31.479611650485428</v>
      </c>
      <c r="AD35">
        <f t="shared" si="3"/>
        <v>26.233009708737864</v>
      </c>
      <c r="AE35">
        <f t="shared" si="4"/>
        <v>14.990291262135919</v>
      </c>
      <c r="AK35" s="297" t="s">
        <v>895</v>
      </c>
      <c r="AL35" s="298"/>
      <c r="AM35" s="298"/>
      <c r="AN35" s="298"/>
      <c r="AO35" s="298"/>
      <c r="AP35" s="298"/>
      <c r="AQ35" s="299"/>
    </row>
    <row r="36" spans="3:43" ht="37.5" customHeight="1" thickBot="1">
      <c r="C36" t="s">
        <v>615</v>
      </c>
      <c r="D36" t="s">
        <v>616</v>
      </c>
      <c r="E36" t="s">
        <v>617</v>
      </c>
      <c r="F36">
        <v>12097962</v>
      </c>
      <c r="G36" s="1">
        <v>44235</v>
      </c>
      <c r="H36">
        <v>0.41399999999999998</v>
      </c>
      <c r="I36">
        <v>46.6</v>
      </c>
      <c r="J36">
        <v>10.6</v>
      </c>
      <c r="K36">
        <f t="shared" si="1"/>
        <v>57.2</v>
      </c>
      <c r="L36" s="1">
        <v>39059</v>
      </c>
      <c r="M36" s="8" t="str">
        <f t="shared" si="0"/>
        <v>Mancebo Matos,Junior</v>
      </c>
      <c r="P36" s="44">
        <v>25</v>
      </c>
      <c r="Q36" s="82"/>
      <c r="T36">
        <f>Tabla2[[#This Row],[Dosis (Gy)]]*1000</f>
        <v>414</v>
      </c>
      <c r="U36" s="51">
        <f>T36*(1+Tabla2[[#This Row],[PDA expo (Gy·cm2)]]/Tabla2[[#This Row],[PDA total (Gy·cm2)]]*($U$3/Tabla2[[#This Row],[Ips]]-1))</f>
        <v>349.55496503496505</v>
      </c>
      <c r="V36" s="51">
        <f>T36*(1+Tabla2[[#This Row],[PDA expo (Gy·cm2)]]/Tabla2[[#This Row],[PDA total (Gy·cm2)]]*($V$3/Tabla2[[#This Row],[Ips]]-1))</f>
        <v>360.29580419580424</v>
      </c>
      <c r="W36" s="51">
        <f>T36*(1+Tabla2[[#This Row],[PDA expo (Gy·cm2)]]/Tabla2[[#This Row],[PDA total (Gy·cm2)]]*($W$3/Tabla2[[#This Row],[Ips]]-1))</f>
        <v>383.31188811188809</v>
      </c>
      <c r="X36" s="85">
        <f>(Tabla2[[#This Row],[Fecha de la dosis]]-Tabla2[[#This Row],[Fecha de nacimiento]])/12/30</f>
        <v>14.377777777777776</v>
      </c>
      <c r="AC36">
        <f t="shared" si="2"/>
        <v>15.566433566433563</v>
      </c>
      <c r="AD36">
        <f t="shared" si="3"/>
        <v>12.972027972027961</v>
      </c>
      <c r="AE36">
        <f t="shared" si="4"/>
        <v>7.4125874125874169</v>
      </c>
      <c r="AK36" s="87" t="s">
        <v>370</v>
      </c>
      <c r="AL36" s="87" t="s">
        <v>371</v>
      </c>
      <c r="AM36" s="87" t="s">
        <v>374</v>
      </c>
      <c r="AN36" s="87" t="s">
        <v>910</v>
      </c>
      <c r="AO36" s="87" t="s">
        <v>908</v>
      </c>
      <c r="AP36" s="87" t="s">
        <v>909</v>
      </c>
      <c r="AQ36" s="87" t="s">
        <v>907</v>
      </c>
    </row>
    <row r="37" spans="3:43">
      <c r="C37" t="s">
        <v>620</v>
      </c>
      <c r="D37" t="s">
        <v>621</v>
      </c>
      <c r="E37" t="s">
        <v>344</v>
      </c>
      <c r="F37">
        <v>7507480</v>
      </c>
      <c r="G37" s="1">
        <v>44238</v>
      </c>
      <c r="H37">
        <v>0.318</v>
      </c>
      <c r="I37">
        <v>42.2</v>
      </c>
      <c r="J37">
        <v>8.8000000000000007</v>
      </c>
      <c r="K37">
        <f t="shared" si="1"/>
        <v>51</v>
      </c>
      <c r="L37" s="1">
        <v>39700</v>
      </c>
      <c r="M37" s="8" t="str">
        <f t="shared" si="0"/>
        <v>Cruz Bermell,Ángela</v>
      </c>
      <c r="P37" s="44">
        <v>25</v>
      </c>
      <c r="Q37" s="82"/>
      <c r="T37">
        <f>Tabla2[[#This Row],[Dosis (Gy)]]*1000</f>
        <v>318</v>
      </c>
      <c r="U37" s="51">
        <f>T37*(1+Tabla2[[#This Row],[PDA expo (Gy·cm2)]]/Tabla2[[#This Row],[PDA total (Gy·cm2)]]*($U$3/Tabla2[[#This Row],[Ips]]-1))</f>
        <v>271.90870588235293</v>
      </c>
      <c r="V37" s="51">
        <f>T37*(1+Tabla2[[#This Row],[PDA expo (Gy·cm2)]]/Tabla2[[#This Row],[PDA total (Gy·cm2)]]*($V$3/Tabla2[[#This Row],[Ips]]-1))</f>
        <v>279.59058823529409</v>
      </c>
      <c r="W37" s="51">
        <f>T37*(1+Tabla2[[#This Row],[PDA expo (Gy·cm2)]]/Tabla2[[#This Row],[PDA total (Gy·cm2)]]*($W$3/Tabla2[[#This Row],[Ips]]-1))</f>
        <v>296.05176470588231</v>
      </c>
      <c r="X37" s="85">
        <f>(Tabla2[[#This Row],[Fecha de la dosis]]-Tabla2[[#This Row],[Fecha de nacimiento]])/12/30</f>
        <v>12.605555555555556</v>
      </c>
      <c r="AC37">
        <f t="shared" si="2"/>
        <v>14.494117647058827</v>
      </c>
      <c r="AD37">
        <f t="shared" si="3"/>
        <v>12.078431372549028</v>
      </c>
      <c r="AE37">
        <f t="shared" si="4"/>
        <v>6.90196078431374</v>
      </c>
      <c r="AK37" s="81">
        <v>0</v>
      </c>
      <c r="AL37" s="81">
        <v>1</v>
      </c>
      <c r="AM37" s="81" t="s">
        <v>906</v>
      </c>
      <c r="AN37" s="81">
        <v>6</v>
      </c>
      <c r="AO37" s="81">
        <v>0</v>
      </c>
      <c r="AP37" s="81">
        <v>0</v>
      </c>
      <c r="AQ37" s="81">
        <v>0</v>
      </c>
    </row>
    <row r="38" spans="3:43">
      <c r="C38" t="s">
        <v>622</v>
      </c>
      <c r="D38" t="s">
        <v>623</v>
      </c>
      <c r="E38" t="s">
        <v>624</v>
      </c>
      <c r="F38">
        <v>10434097</v>
      </c>
      <c r="G38" s="1">
        <v>44252</v>
      </c>
      <c r="H38">
        <v>0.17299999999999999</v>
      </c>
      <c r="I38">
        <v>16.2</v>
      </c>
      <c r="J38">
        <v>9.3000000000000007</v>
      </c>
      <c r="K38">
        <f t="shared" si="1"/>
        <v>25.5</v>
      </c>
      <c r="L38" s="1">
        <v>41236</v>
      </c>
      <c r="M38" s="8" t="str">
        <f t="shared" si="0"/>
        <v>Villena Abadia,Mario</v>
      </c>
      <c r="P38" s="44">
        <v>30</v>
      </c>
      <c r="Q38" s="82"/>
      <c r="T38">
        <f>Tabla2[[#This Row],[Dosis (Gy)]]*1000</f>
        <v>173</v>
      </c>
      <c r="U38" s="51">
        <f>T38*(1+Tabla2[[#This Row],[PDA expo (Gy·cm2)]]/Tabla2[[#This Row],[PDA total (Gy·cm2)]]*($U$3/Tabla2[[#This Row],[Ips]]-1))</f>
        <v>118.318431372549</v>
      </c>
      <c r="V38" s="51">
        <f>T38*(1+Tabla2[[#This Row],[PDA expo (Gy·cm2)]]/Tabla2[[#This Row],[PDA total (Gy·cm2)]]*($V$3/Tabla2[[#This Row],[Ips]]-1))</f>
        <v>125.67941176470588</v>
      </c>
      <c r="W38" s="51">
        <f>T38*(1+Tabla2[[#This Row],[PDA expo (Gy·cm2)]]/Tabla2[[#This Row],[PDA total (Gy·cm2)]]*($W$3/Tabla2[[#This Row],[Ips]]-1))</f>
        <v>141.45294117647057</v>
      </c>
      <c r="X38" s="85">
        <f>(Tabla2[[#This Row],[Fecha de la dosis]]-Tabla2[[#This Row],[Fecha de nacimiento]])/12/30</f>
        <v>8.3777777777777782</v>
      </c>
      <c r="AC38">
        <f t="shared" si="2"/>
        <v>31.607843137254914</v>
      </c>
      <c r="AD38">
        <f t="shared" si="3"/>
        <v>27.352941176470591</v>
      </c>
      <c r="AE38">
        <f t="shared" si="4"/>
        <v>18.235294117647065</v>
      </c>
      <c r="AK38" s="81">
        <f>AL37</f>
        <v>1</v>
      </c>
      <c r="AL38" s="81">
        <v>2</v>
      </c>
      <c r="AM38" s="81" t="s">
        <v>897</v>
      </c>
      <c r="AN38" s="81">
        <v>5</v>
      </c>
      <c r="AO38" s="81">
        <v>0</v>
      </c>
      <c r="AP38" s="81">
        <v>0</v>
      </c>
      <c r="AQ38" s="81">
        <v>0</v>
      </c>
    </row>
    <row r="39" spans="3:43">
      <c r="C39" t="s">
        <v>625</v>
      </c>
      <c r="D39" t="s">
        <v>626</v>
      </c>
      <c r="E39" t="s">
        <v>627</v>
      </c>
      <c r="F39">
        <v>6557380</v>
      </c>
      <c r="G39" s="1">
        <v>44271</v>
      </c>
      <c r="H39">
        <v>0.161</v>
      </c>
      <c r="I39">
        <v>15.5</v>
      </c>
      <c r="J39">
        <v>15.5</v>
      </c>
      <c r="K39">
        <f t="shared" si="1"/>
        <v>31</v>
      </c>
      <c r="L39" s="1">
        <v>38988</v>
      </c>
      <c r="M39" s="8" t="str">
        <f t="shared" si="0"/>
        <v>Morralla Dols,Sonia</v>
      </c>
      <c r="P39" s="44">
        <v>30</v>
      </c>
      <c r="Q39" s="82"/>
      <c r="T39">
        <f>Tabla2[[#This Row],[Dosis (Gy)]]*1000</f>
        <v>161</v>
      </c>
      <c r="U39" s="51">
        <f>T39*(1+Tabla2[[#This Row],[PDA expo (Gy·cm2)]]/Tabla2[[#This Row],[PDA total (Gy·cm2)]]*($U$3/Tabla2[[#This Row],[Ips]]-1))</f>
        <v>91.233333333333334</v>
      </c>
      <c r="V39" s="51">
        <f>T39*(1+Tabla2[[#This Row],[PDA expo (Gy·cm2)]]/Tabla2[[#This Row],[PDA total (Gy·cm2)]]*($V$3/Tabla2[[#This Row],[Ips]]-1))</f>
        <v>100.625</v>
      </c>
      <c r="W39" s="51">
        <f>T39*(1+Tabla2[[#This Row],[PDA expo (Gy·cm2)]]/Tabla2[[#This Row],[PDA total (Gy·cm2)]]*($W$3/Tabla2[[#This Row],[Ips]]-1))</f>
        <v>120.75</v>
      </c>
      <c r="X39" s="85">
        <f>(Tabla2[[#This Row],[Fecha de la dosis]]-Tabla2[[#This Row],[Fecha de nacimiento]])/12/30</f>
        <v>14.675000000000001</v>
      </c>
      <c r="AC39">
        <f t="shared" si="2"/>
        <v>43.333333333333336</v>
      </c>
      <c r="AD39">
        <f t="shared" si="3"/>
        <v>37.5</v>
      </c>
      <c r="AE39">
        <f t="shared" si="4"/>
        <v>25</v>
      </c>
      <c r="AK39" s="81">
        <f t="shared" ref="AK39:AK46" si="6">AL38</f>
        <v>2</v>
      </c>
      <c r="AL39" s="81">
        <v>4</v>
      </c>
      <c r="AM39" s="81" t="s">
        <v>898</v>
      </c>
      <c r="AN39" s="81">
        <v>2</v>
      </c>
      <c r="AO39" s="81">
        <v>0</v>
      </c>
      <c r="AP39" s="81">
        <v>0</v>
      </c>
      <c r="AQ39" s="81">
        <v>0</v>
      </c>
    </row>
    <row r="40" spans="3:43">
      <c r="C40" t="s">
        <v>744</v>
      </c>
      <c r="D40" t="s">
        <v>631</v>
      </c>
      <c r="E40" t="s">
        <v>745</v>
      </c>
      <c r="F40">
        <v>5393586</v>
      </c>
      <c r="G40" s="1">
        <v>44337</v>
      </c>
      <c r="H40">
        <v>0.3</v>
      </c>
      <c r="I40">
        <v>26.5</v>
      </c>
      <c r="J40">
        <v>11.9</v>
      </c>
      <c r="K40">
        <f t="shared" si="1"/>
        <v>38.4</v>
      </c>
      <c r="L40" s="1">
        <v>37970</v>
      </c>
      <c r="M40" s="8" t="str">
        <f t="shared" si="0"/>
        <v>Rowland Molina,Elizabeth</v>
      </c>
      <c r="P40" s="46">
        <v>25</v>
      </c>
      <c r="Q40" s="82"/>
      <c r="T40">
        <f>Tabla2[[#This Row],[Dosis (Gy)]]*1000</f>
        <v>300</v>
      </c>
      <c r="U40" s="52">
        <f>T40*(1+Tabla2[[#This Row],[PDA expo (Gy·cm2)]]/Tabla2[[#This Row],[PDA total (Gy·cm2)]]*($U$3/Tabla2[[#This Row],[Ips]]-1))</f>
        <v>221.90625000000003</v>
      </c>
      <c r="V40" s="51">
        <f>T40*(1+Tabla2[[#This Row],[PDA expo (Gy·cm2)]]/Tabla2[[#This Row],[PDA total (Gy·cm2)]]*($V$3/Tabla2[[#This Row],[Ips]]-1))</f>
        <v>234.921875</v>
      </c>
      <c r="W40" s="51">
        <f>T40*(1+Tabla2[[#This Row],[PDA expo (Gy·cm2)]]/Tabla2[[#This Row],[PDA total (Gy·cm2)]]*($W$3/Tabla2[[#This Row],[Ips]]-1))</f>
        <v>262.8125</v>
      </c>
      <c r="X40" s="85">
        <f>(Tabla2[[#This Row],[Fecha de la dosis]]-Tabla2[[#This Row],[Fecha de nacimiento]])/12/30</f>
        <v>17.686111111111114</v>
      </c>
      <c r="AC40">
        <f t="shared" si="2"/>
        <v>26.031249999999989</v>
      </c>
      <c r="AD40">
        <f t="shared" si="3"/>
        <v>21.692708333333332</v>
      </c>
      <c r="AE40">
        <f t="shared" si="4"/>
        <v>12.395833333333334</v>
      </c>
      <c r="AK40" s="81">
        <f t="shared" si="6"/>
        <v>4</v>
      </c>
      <c r="AL40" s="81">
        <v>6</v>
      </c>
      <c r="AM40" s="81" t="s">
        <v>899</v>
      </c>
      <c r="AN40" s="81">
        <v>5</v>
      </c>
      <c r="AO40" s="81">
        <v>0</v>
      </c>
      <c r="AP40" s="81">
        <v>0</v>
      </c>
      <c r="AQ40" s="81">
        <v>0</v>
      </c>
    </row>
    <row r="41" spans="3:43">
      <c r="C41" t="s">
        <v>756</v>
      </c>
      <c r="D41" t="s">
        <v>757</v>
      </c>
      <c r="E41" t="s">
        <v>758</v>
      </c>
      <c r="F41" s="6">
        <v>7168260</v>
      </c>
      <c r="G41" s="1">
        <v>44340</v>
      </c>
      <c r="H41">
        <v>1.6E-2</v>
      </c>
      <c r="I41">
        <v>4</v>
      </c>
      <c r="J41">
        <v>0.63300000000000001</v>
      </c>
      <c r="K41">
        <f t="shared" si="1"/>
        <v>4.633</v>
      </c>
      <c r="L41" s="1">
        <v>39449</v>
      </c>
      <c r="M41" s="8" t="str">
        <f t="shared" si="0"/>
        <v>Goterris Triguero,Adrián</v>
      </c>
      <c r="P41" s="46">
        <v>25</v>
      </c>
      <c r="Q41" s="82"/>
      <c r="T41">
        <f>Tabla2[[#This Row],[Dosis (Gy)]]*1000</f>
        <v>16</v>
      </c>
      <c r="U41" s="51">
        <f>T41*(1+Tabla2[[#This Row],[PDA expo (Gy·cm2)]]/Tabla2[[#This Row],[PDA total (Gy·cm2)]]*($U$3/Tabla2[[#This Row],[Ips]]-1))</f>
        <v>14.163712497301963</v>
      </c>
      <c r="V41" s="51">
        <f>T41*(1+Tabla2[[#This Row],[PDA expo (Gy·cm2)]]/Tabla2[[#This Row],[PDA total (Gy·cm2)]]*($V$3/Tabla2[[#This Row],[Ips]]-1))</f>
        <v>14.469760414418303</v>
      </c>
      <c r="W41" s="51">
        <f>T41*(1+Tabla2[[#This Row],[PDA expo (Gy·cm2)]]/Tabla2[[#This Row],[PDA total (Gy·cm2)]]*($W$3/Tabla2[[#This Row],[Ips]]-1))</f>
        <v>15.125577379667602</v>
      </c>
      <c r="X41" s="85">
        <f>(Tabla2[[#This Row],[Fecha de la dosis]]-Tabla2[[#This Row],[Fecha de nacimiento]])/12/30</f>
        <v>13.58611111111111</v>
      </c>
      <c r="AC41">
        <f t="shared" si="2"/>
        <v>11.476796891862728</v>
      </c>
      <c r="AD41">
        <f t="shared" si="3"/>
        <v>9.5639974098856051</v>
      </c>
      <c r="AE41">
        <f t="shared" si="4"/>
        <v>5.4651413770774866</v>
      </c>
      <c r="AK41" s="81">
        <f t="shared" si="6"/>
        <v>6</v>
      </c>
      <c r="AL41" s="81">
        <v>8</v>
      </c>
      <c r="AM41" s="81" t="s">
        <v>900</v>
      </c>
      <c r="AN41" s="81">
        <v>0</v>
      </c>
      <c r="AO41" s="81">
        <v>0</v>
      </c>
      <c r="AP41" s="81">
        <v>0</v>
      </c>
      <c r="AQ41" s="81">
        <v>0</v>
      </c>
    </row>
    <row r="42" spans="3:43">
      <c r="C42" t="s">
        <v>759</v>
      </c>
      <c r="E42" t="s">
        <v>760</v>
      </c>
      <c r="F42">
        <v>13006114</v>
      </c>
      <c r="G42" s="1">
        <v>44343</v>
      </c>
      <c r="H42">
        <v>3.5999999999999997E-2</v>
      </c>
      <c r="I42">
        <v>5</v>
      </c>
      <c r="J42">
        <v>1.5</v>
      </c>
      <c r="K42">
        <f t="shared" si="1"/>
        <v>6.5</v>
      </c>
      <c r="L42" s="1">
        <v>40783</v>
      </c>
      <c r="M42" s="8" t="str">
        <f t="shared" si="0"/>
        <v>Gavrilas ,Alin Constantin</v>
      </c>
      <c r="P42" s="46">
        <v>25</v>
      </c>
      <c r="Q42" s="82"/>
      <c r="T42">
        <f>Tabla2[[#This Row],[Dosis (Gy)]]*1000</f>
        <v>36</v>
      </c>
      <c r="U42" s="51">
        <f>T42*(1+Tabla2[[#This Row],[PDA expo (Gy·cm2)]]/Tabla2[[#This Row],[PDA total (Gy·cm2)]]*($U$3/Tabla2[[#This Row],[Ips]]-1))</f>
        <v>29.021538461538459</v>
      </c>
      <c r="V42" s="51">
        <f>T42*(1+Tabla2[[#This Row],[PDA expo (Gy·cm2)]]/Tabla2[[#This Row],[PDA total (Gy·cm2)]]*($V$3/Tabla2[[#This Row],[Ips]]-1))</f>
        <v>30.184615384615384</v>
      </c>
      <c r="W42" s="51">
        <f>T42*(1+Tabla2[[#This Row],[PDA expo (Gy·cm2)]]/Tabla2[[#This Row],[PDA total (Gy·cm2)]]*($W$3/Tabla2[[#This Row],[Ips]]-1))</f>
        <v>32.676923076923075</v>
      </c>
      <c r="X42" s="85">
        <f>(Tabla2[[#This Row],[Fecha de la dosis]]-Tabla2[[#This Row],[Fecha de nacimiento]])/12/30</f>
        <v>9.8888888888888893</v>
      </c>
      <c r="AC42">
        <f t="shared" si="2"/>
        <v>19.38461538461539</v>
      </c>
      <c r="AD42">
        <f t="shared" si="3"/>
        <v>16.153846153846153</v>
      </c>
      <c r="AE42">
        <f t="shared" si="4"/>
        <v>9.2307692307692371</v>
      </c>
      <c r="AK42" s="81">
        <f t="shared" si="6"/>
        <v>8</v>
      </c>
      <c r="AL42" s="81">
        <v>10</v>
      </c>
      <c r="AM42" s="81" t="s">
        <v>901</v>
      </c>
      <c r="AN42" s="81">
        <v>4</v>
      </c>
      <c r="AO42" s="81">
        <v>0</v>
      </c>
      <c r="AP42" s="81">
        <v>0</v>
      </c>
      <c r="AQ42" s="81">
        <v>0</v>
      </c>
    </row>
    <row r="43" spans="3:43">
      <c r="C43" t="s">
        <v>842</v>
      </c>
      <c r="D43" t="s">
        <v>104</v>
      </c>
      <c r="E43" t="s">
        <v>148</v>
      </c>
      <c r="F43">
        <v>5670105</v>
      </c>
      <c r="G43" s="1">
        <v>44351</v>
      </c>
      <c r="H43">
        <v>0.44800000000000001</v>
      </c>
      <c r="I43">
        <v>54.2</v>
      </c>
      <c r="J43">
        <v>10.9</v>
      </c>
      <c r="K43">
        <f t="shared" si="1"/>
        <v>65.100000000000009</v>
      </c>
      <c r="L43" s="1">
        <v>38327</v>
      </c>
      <c r="M43" s="8" t="str">
        <f t="shared" si="0"/>
        <v>Corchado Martínez,Andreu</v>
      </c>
      <c r="P43" s="46">
        <v>25</v>
      </c>
      <c r="Q43" s="82"/>
      <c r="S43" t="s">
        <v>852</v>
      </c>
      <c r="T43">
        <f>Tabla2[[#This Row],[Dosis (Gy)]]*1000</f>
        <v>448</v>
      </c>
      <c r="U43" s="51">
        <f>T43*(1+Tabla2[[#This Row],[PDA expo (Gy·cm2)]]/Tabla2[[#This Row],[PDA total (Gy·cm2)]]*($U$3/Tabla2[[#This Row],[Ips]]-1))</f>
        <v>384.99096774193549</v>
      </c>
      <c r="V43" s="51">
        <f>T43*(1+Tabla2[[#This Row],[PDA expo (Gy·cm2)]]/Tabla2[[#This Row],[PDA total (Gy·cm2)]]*($V$3/Tabla2[[#This Row],[Ips]]-1))</f>
        <v>395.49247311827958</v>
      </c>
      <c r="W43" s="51">
        <f>T43*(1+Tabla2[[#This Row],[PDA expo (Gy·cm2)]]/Tabla2[[#This Row],[PDA total (Gy·cm2)]]*($W$3/Tabla2[[#This Row],[Ips]]-1))</f>
        <v>417.99569892473119</v>
      </c>
      <c r="X43" s="85">
        <f>(Tabla2[[#This Row],[Fecha de la dosis]]-Tabla2[[#This Row],[Fecha de nacimiento]])/12/30</f>
        <v>16.733333333333334</v>
      </c>
      <c r="AC43">
        <f t="shared" si="2"/>
        <v>14.064516129032256</v>
      </c>
      <c r="AD43">
        <f t="shared" si="3"/>
        <v>11.72043010752688</v>
      </c>
      <c r="AE43">
        <f t="shared" si="4"/>
        <v>6.697388632872503</v>
      </c>
      <c r="AK43" s="81">
        <f t="shared" si="6"/>
        <v>10</v>
      </c>
      <c r="AL43" s="81">
        <v>12</v>
      </c>
      <c r="AM43" s="81" t="s">
        <v>902</v>
      </c>
      <c r="AN43" s="81">
        <v>1</v>
      </c>
      <c r="AO43" s="81">
        <v>0</v>
      </c>
      <c r="AP43" s="81">
        <v>0</v>
      </c>
      <c r="AQ43" s="81">
        <v>0</v>
      </c>
    </row>
    <row r="44" spans="3:43">
      <c r="C44" t="s">
        <v>843</v>
      </c>
      <c r="E44" t="s">
        <v>844</v>
      </c>
      <c r="F44">
        <v>11810986</v>
      </c>
      <c r="G44" s="1">
        <v>44344</v>
      </c>
      <c r="H44">
        <v>8.3999999999999995E-3</v>
      </c>
      <c r="I44">
        <v>0.93400000000000005</v>
      </c>
      <c r="J44">
        <v>0.128</v>
      </c>
      <c r="K44">
        <f t="shared" si="1"/>
        <v>1.0620000000000001</v>
      </c>
      <c r="L44" s="1">
        <v>42720</v>
      </c>
      <c r="M44" s="8" t="str">
        <f t="shared" si="0"/>
        <v>Omary ,Rayan</v>
      </c>
      <c r="P44" s="46">
        <v>25</v>
      </c>
      <c r="Q44" s="82"/>
      <c r="T44">
        <f>Tabla2[[#This Row],[Dosis (Gy)]]*1000</f>
        <v>8.4</v>
      </c>
      <c r="U44" s="51">
        <f>T44*(1+Tabla2[[#This Row],[PDA expo (Gy·cm2)]]/Tabla2[[#This Row],[PDA total (Gy·cm2)]]*($U$3/Tabla2[[#This Row],[Ips]]-1))</f>
        <v>7.5495593220338986</v>
      </c>
      <c r="V44" s="51">
        <f>T44*(1+Tabla2[[#This Row],[PDA expo (Gy·cm2)]]/Tabla2[[#This Row],[PDA total (Gy·cm2)]]*($V$3/Tabla2[[#This Row],[Ips]]-1))</f>
        <v>7.6912994350282489</v>
      </c>
      <c r="W44" s="51">
        <f>T44*(1+Tabla2[[#This Row],[PDA expo (Gy·cm2)]]/Tabla2[[#This Row],[PDA total (Gy·cm2)]]*($W$3/Tabla2[[#This Row],[Ips]]-1))</f>
        <v>7.9950282485875714</v>
      </c>
      <c r="X44" s="85">
        <f>(Tabla2[[#This Row],[Fecha de la dosis]]-Tabla2[[#This Row],[Fecha de nacimiento]])/12/30</f>
        <v>4.5111111111111111</v>
      </c>
      <c r="AC44">
        <f t="shared" si="2"/>
        <v>10.124293785310735</v>
      </c>
      <c r="AD44">
        <f t="shared" si="3"/>
        <v>8.4369114877589446</v>
      </c>
      <c r="AE44">
        <f t="shared" si="4"/>
        <v>4.8210922787193917</v>
      </c>
      <c r="AK44" s="81">
        <f t="shared" si="6"/>
        <v>12</v>
      </c>
      <c r="AL44" s="81">
        <v>16</v>
      </c>
      <c r="AM44" s="81" t="s">
        <v>903</v>
      </c>
      <c r="AN44" s="81">
        <v>15</v>
      </c>
      <c r="AO44" s="81">
        <v>0</v>
      </c>
      <c r="AP44" s="81">
        <v>0</v>
      </c>
      <c r="AQ44" s="81">
        <v>1</v>
      </c>
    </row>
    <row r="45" spans="3:43">
      <c r="C45" t="s">
        <v>845</v>
      </c>
      <c r="D45" t="s">
        <v>846</v>
      </c>
      <c r="E45" t="s">
        <v>546</v>
      </c>
      <c r="F45">
        <v>12455947</v>
      </c>
      <c r="G45" s="1">
        <v>44344</v>
      </c>
      <c r="H45">
        <v>3.3000000000000002E-2</v>
      </c>
      <c r="I45">
        <v>2.82</v>
      </c>
      <c r="J45">
        <v>0.53500000000000003</v>
      </c>
      <c r="K45">
        <f t="shared" si="1"/>
        <v>3.355</v>
      </c>
      <c r="L45" s="1">
        <v>43360</v>
      </c>
      <c r="M45" s="8" t="str">
        <f t="shared" si="0"/>
        <v>Bernal Pacheco,Luis</v>
      </c>
      <c r="P45" s="46">
        <v>25</v>
      </c>
      <c r="Q45" s="82"/>
      <c r="T45">
        <f>Tabla2[[#This Row],[Dosis (Gy)]]*1000</f>
        <v>33</v>
      </c>
      <c r="U45" s="51">
        <f>T45*(1+Tabla2[[#This Row],[PDA expo (Gy·cm2)]]/Tabla2[[#This Row],[PDA total (Gy·cm2)]]*($U$3/Tabla2[[#This Row],[Ips]]-1))</f>
        <v>28.579672131147543</v>
      </c>
      <c r="V45" s="51">
        <f>T45*(1+Tabla2[[#This Row],[PDA expo (Gy·cm2)]]/Tabla2[[#This Row],[PDA total (Gy·cm2)]]*($V$3/Tabla2[[#This Row],[Ips]]-1))</f>
        <v>29.31639344262295</v>
      </c>
      <c r="W45" s="51">
        <f>T45*(1+Tabla2[[#This Row],[PDA expo (Gy·cm2)]]/Tabla2[[#This Row],[PDA total (Gy·cm2)]]*($W$3/Tabla2[[#This Row],[Ips]]-1))</f>
        <v>30.895081967213116</v>
      </c>
      <c r="X45" s="85">
        <f>(Tabla2[[#This Row],[Fecha de la dosis]]-Tabla2[[#This Row],[Fecha de nacimiento]])/12/30</f>
        <v>2.7333333333333334</v>
      </c>
      <c r="AC45">
        <f t="shared" si="2"/>
        <v>13.394932935916536</v>
      </c>
      <c r="AD45">
        <f t="shared" si="3"/>
        <v>11.162444113263788</v>
      </c>
      <c r="AE45">
        <f t="shared" si="4"/>
        <v>6.3785394932935873</v>
      </c>
      <c r="AK45" s="81">
        <f t="shared" si="6"/>
        <v>16</v>
      </c>
      <c r="AL45" s="81">
        <v>18</v>
      </c>
      <c r="AM45" s="81" t="s">
        <v>904</v>
      </c>
      <c r="AN45" s="81">
        <v>2</v>
      </c>
      <c r="AO45" s="81">
        <v>0</v>
      </c>
      <c r="AP45" s="81">
        <v>0</v>
      </c>
      <c r="AQ45" s="81">
        <v>0</v>
      </c>
    </row>
    <row r="46" spans="3:43">
      <c r="C46" t="s">
        <v>157</v>
      </c>
      <c r="D46" t="s">
        <v>847</v>
      </c>
      <c r="E46" t="s">
        <v>664</v>
      </c>
      <c r="F46">
        <v>11705090</v>
      </c>
      <c r="G46" s="1">
        <v>44347</v>
      </c>
      <c r="H46">
        <v>4.5100000000000001E-2</v>
      </c>
      <c r="I46">
        <v>3.35</v>
      </c>
      <c r="J46">
        <v>1.27</v>
      </c>
      <c r="K46">
        <f t="shared" si="1"/>
        <v>4.62</v>
      </c>
      <c r="L46" s="1">
        <v>42594</v>
      </c>
      <c r="M46" s="8" t="str">
        <f t="shared" si="0"/>
        <v>Sánchez Cortés,Jaime</v>
      </c>
      <c r="P46" s="46">
        <v>25</v>
      </c>
      <c r="Q46" s="82"/>
      <c r="T46">
        <f>Tabla2[[#This Row],[Dosis (Gy)]]*1000</f>
        <v>45.1</v>
      </c>
      <c r="U46" s="51">
        <f>T46*(1+Tabla2[[#This Row],[PDA expo (Gy·cm2)]]/Tabla2[[#This Row],[PDA total (Gy·cm2)]]*($U$3/Tabla2[[#This Row],[Ips]]-1))</f>
        <v>34.686</v>
      </c>
      <c r="V46" s="51">
        <f>T46*(1+Tabla2[[#This Row],[PDA expo (Gy·cm2)]]/Tabla2[[#This Row],[PDA total (Gy·cm2)]]*($V$3/Tabla2[[#This Row],[Ips]]-1))</f>
        <v>36.421666666666667</v>
      </c>
      <c r="W46" s="51">
        <f>T46*(1+Tabla2[[#This Row],[PDA expo (Gy·cm2)]]/Tabla2[[#This Row],[PDA total (Gy·cm2)]]*($W$3/Tabla2[[#This Row],[Ips]]-1))</f>
        <v>40.140952380952378</v>
      </c>
      <c r="X46" s="85">
        <f>(Tabla2[[#This Row],[Fecha de la dosis]]-Tabla2[[#This Row],[Fecha de nacimiento]])/12/30</f>
        <v>4.8694444444444445</v>
      </c>
      <c r="AC46">
        <f t="shared" si="2"/>
        <v>23.090909090909093</v>
      </c>
      <c r="AD46">
        <f t="shared" si="3"/>
        <v>19.242424242424246</v>
      </c>
      <c r="AE46">
        <f t="shared" si="4"/>
        <v>10.995670995671006</v>
      </c>
      <c r="AK46" s="81">
        <f t="shared" si="6"/>
        <v>18</v>
      </c>
      <c r="AL46" s="81">
        <v>100</v>
      </c>
      <c r="AM46" s="81" t="s">
        <v>905</v>
      </c>
      <c r="AN46" s="81">
        <v>0</v>
      </c>
      <c r="AO46" s="81">
        <v>0</v>
      </c>
      <c r="AP46" s="81">
        <v>0</v>
      </c>
      <c r="AQ46" s="81">
        <v>0</v>
      </c>
    </row>
    <row r="47" spans="3:43">
      <c r="C47" t="s">
        <v>850</v>
      </c>
      <c r="E47" t="s">
        <v>851</v>
      </c>
      <c r="F47" s="6">
        <v>9450045</v>
      </c>
      <c r="G47" s="1">
        <v>44350</v>
      </c>
      <c r="H47">
        <v>0.90500000000000003</v>
      </c>
      <c r="I47">
        <v>76.5</v>
      </c>
      <c r="J47">
        <v>77.400000000000006</v>
      </c>
      <c r="K47">
        <f t="shared" si="1"/>
        <v>153.9</v>
      </c>
      <c r="L47" s="1">
        <v>39005</v>
      </c>
      <c r="M47" s="8" t="str">
        <f t="shared" si="0"/>
        <v>Zhu ,David Weimin</v>
      </c>
      <c r="P47" s="46">
        <v>30</v>
      </c>
      <c r="Q47" s="82"/>
      <c r="T47">
        <f>Tabla2[[#This Row],[Dosis (Gy)]]*1000</f>
        <v>905</v>
      </c>
      <c r="U47" s="51">
        <f>T47*(1+Tabla2[[#This Row],[PDA expo (Gy·cm2)]]/Tabla2[[#This Row],[PDA total (Gy·cm2)]]*($U$3/Tabla2[[#This Row],[Ips]]-1))</f>
        <v>510.53996101364521</v>
      </c>
      <c r="V47" s="51">
        <f>T47*(1+Tabla2[[#This Row],[PDA expo (Gy·cm2)]]/Tabla2[[#This Row],[PDA total (Gy·cm2)]]*($V$3/Tabla2[[#This Row],[Ips]]-1))</f>
        <v>563.64035087719299</v>
      </c>
      <c r="W47" s="51">
        <f>T47*(1+Tabla2[[#This Row],[PDA expo (Gy·cm2)]]/Tabla2[[#This Row],[PDA total (Gy·cm2)]]*($W$3/Tabla2[[#This Row],[Ips]]-1))</f>
        <v>677.42690058479525</v>
      </c>
      <c r="X47" s="85">
        <f>(Tabla2[[#This Row],[Fecha de la dosis]]-Tabla2[[#This Row],[Fecha de nacimiento]])/12/30</f>
        <v>14.847222222222223</v>
      </c>
      <c r="AC47">
        <f t="shared" si="2"/>
        <v>43.586744639376221</v>
      </c>
      <c r="AD47">
        <f t="shared" si="3"/>
        <v>37.719298245614034</v>
      </c>
      <c r="AE47">
        <f t="shared" si="4"/>
        <v>25.146198830409368</v>
      </c>
      <c r="AK47" s="81"/>
      <c r="AL47" s="81"/>
      <c r="AM47" s="81"/>
      <c r="AN47" s="81"/>
      <c r="AO47" s="81"/>
      <c r="AP47" s="81"/>
      <c r="AQ47" s="81"/>
    </row>
    <row r="48" spans="3:43">
      <c r="C48" t="s">
        <v>368</v>
      </c>
      <c r="D48" t="s">
        <v>868</v>
      </c>
      <c r="E48" t="s">
        <v>869</v>
      </c>
      <c r="F48">
        <v>13074011</v>
      </c>
      <c r="G48" s="1">
        <v>44355</v>
      </c>
      <c r="H48">
        <v>3.0499999999999999E-2</v>
      </c>
      <c r="I48">
        <v>1.76</v>
      </c>
      <c r="J48">
        <v>0.18099999999999999</v>
      </c>
      <c r="K48">
        <f t="shared" si="1"/>
        <v>1.9410000000000001</v>
      </c>
      <c r="L48" s="1">
        <v>44249</v>
      </c>
      <c r="M48" s="8" t="str">
        <f t="shared" si="0"/>
        <v>García Peñalver,Jana</v>
      </c>
      <c r="P48" s="46">
        <v>30</v>
      </c>
      <c r="Q48" s="82"/>
      <c r="T48">
        <f>Tabla2[[#This Row],[Dosis (Gy)]]*1000</f>
        <v>30.5</v>
      </c>
      <c r="U48" s="51">
        <f>T48*(1+Tabla2[[#This Row],[PDA expo (Gy·cm2)]]/Tabla2[[#This Row],[PDA total (Gy·cm2)]]*($U$3/Tabla2[[#This Row],[Ips]]-1))</f>
        <v>28.035067834449595</v>
      </c>
      <c r="V48" s="51">
        <f>T48*(1+Tabla2[[#This Row],[PDA expo (Gy·cm2)]]/Tabla2[[#This Row],[PDA total (Gy·cm2)]]*($V$3/Tabla2[[#This Row],[Ips]]-1))</f>
        <v>28.366885625965999</v>
      </c>
      <c r="W48" s="51">
        <f>T48*(1+Tabla2[[#This Row],[PDA expo (Gy·cm2)]]/Tabla2[[#This Row],[PDA total (Gy·cm2)]]*($W$3/Tabla2[[#This Row],[Ips]]-1))</f>
        <v>29.077923750644</v>
      </c>
      <c r="X48" s="85">
        <f>(Tabla2[[#This Row],[Fecha de la dosis]]-Tabla2[[#This Row],[Fecha de nacimiento]])/12/30</f>
        <v>0.29444444444444445</v>
      </c>
      <c r="AC48">
        <f t="shared" si="2"/>
        <v>8.081744805083293</v>
      </c>
      <c r="AD48">
        <f t="shared" si="3"/>
        <v>6.9938176197836102</v>
      </c>
      <c r="AE48">
        <f t="shared" si="4"/>
        <v>4.662545079855736</v>
      </c>
    </row>
    <row r="49" spans="11:24">
      <c r="K49" t="str">
        <f t="shared" si="1"/>
        <v/>
      </c>
      <c r="M49" s="8" t="str">
        <f t="shared" si="0"/>
        <v xml:space="preserve"> ,</v>
      </c>
      <c r="P49" s="46"/>
      <c r="Q49" s="82"/>
      <c r="X49" s="85"/>
    </row>
    <row r="50" spans="11:24">
      <c r="K50" t="str">
        <f t="shared" si="1"/>
        <v/>
      </c>
      <c r="M50" s="8" t="str">
        <f t="shared" si="0"/>
        <v xml:space="preserve"> ,</v>
      </c>
      <c r="P50" s="46"/>
      <c r="Q50" s="82"/>
      <c r="X50" s="85"/>
    </row>
    <row r="51" spans="11:24">
      <c r="P51" s="46"/>
      <c r="Q51" s="82"/>
      <c r="X51" s="85"/>
    </row>
    <row r="52" spans="11:24">
      <c r="P52" s="46"/>
      <c r="Q52" s="82"/>
      <c r="X52" s="85"/>
    </row>
    <row r="53" spans="11:24">
      <c r="P53" s="46"/>
      <c r="Q53" s="82"/>
    </row>
    <row r="54" spans="11:24">
      <c r="P54" s="46"/>
      <c r="Q54" s="82"/>
    </row>
    <row r="55" spans="11:24">
      <c r="P55" s="46"/>
      <c r="Q55" s="82"/>
    </row>
    <row r="56" spans="11:24">
      <c r="P56" s="46"/>
      <c r="Q56" s="82"/>
    </row>
    <row r="57" spans="11:24">
      <c r="P57" s="46"/>
      <c r="Q57" s="82"/>
    </row>
    <row r="58" spans="11:24">
      <c r="P58" s="46"/>
      <c r="Q58" s="82"/>
    </row>
    <row r="59" spans="11:24">
      <c r="P59" s="46"/>
      <c r="Q59" s="82"/>
    </row>
    <row r="60" spans="11:24">
      <c r="P60" s="46"/>
      <c r="Q60" s="82"/>
    </row>
    <row r="61" spans="11:24">
      <c r="P61" s="46"/>
      <c r="Q61" s="82"/>
    </row>
    <row r="62" spans="11:24">
      <c r="P62" s="46"/>
      <c r="Q62" s="82"/>
    </row>
    <row r="63" spans="11:24">
      <c r="P63" s="46"/>
      <c r="Q63" s="82"/>
    </row>
    <row r="64" spans="11:24">
      <c r="P64" s="46"/>
      <c r="Q64" s="82"/>
    </row>
    <row r="65" spans="16:17">
      <c r="P65" s="46"/>
      <c r="Q65" s="82"/>
    </row>
    <row r="66" spans="16:17">
      <c r="P66" s="46"/>
      <c r="Q66" s="82"/>
    </row>
    <row r="67" spans="16:17">
      <c r="P67" s="46"/>
      <c r="Q67" s="82"/>
    </row>
    <row r="68" spans="16:17">
      <c r="P68" s="46"/>
      <c r="Q68" s="82"/>
    </row>
    <row r="69" spans="16:17">
      <c r="P69" s="46"/>
      <c r="Q69" s="82"/>
    </row>
    <row r="70" spans="16:17">
      <c r="P70" s="46"/>
      <c r="Q70" s="82"/>
    </row>
    <row r="71" spans="16:17">
      <c r="P71" s="46"/>
      <c r="Q71" s="82"/>
    </row>
    <row r="72" spans="16:17">
      <c r="P72" s="46"/>
      <c r="Q72" s="82"/>
    </row>
    <row r="73" spans="16:17">
      <c r="P73" s="46"/>
      <c r="Q73" s="82"/>
    </row>
    <row r="74" spans="16:17">
      <c r="P74" s="46"/>
      <c r="Q74" s="82"/>
    </row>
    <row r="75" spans="16:17">
      <c r="P75" s="46"/>
      <c r="Q75" s="82"/>
    </row>
    <row r="76" spans="16:17">
      <c r="P76" s="46"/>
      <c r="Q76" s="82"/>
    </row>
    <row r="77" spans="16:17">
      <c r="P77" s="46"/>
      <c r="Q77" s="82"/>
    </row>
    <row r="78" spans="16:17">
      <c r="P78" s="46"/>
      <c r="Q78" s="82"/>
    </row>
    <row r="79" spans="16:17">
      <c r="P79" s="46"/>
      <c r="Q79" s="82"/>
    </row>
    <row r="80" spans="16:17">
      <c r="P80" s="46"/>
      <c r="Q80" s="82"/>
    </row>
    <row r="81" spans="16:17">
      <c r="P81" s="46"/>
      <c r="Q81" s="82"/>
    </row>
    <row r="82" spans="16:17">
      <c r="P82" s="46"/>
      <c r="Q82" s="82"/>
    </row>
    <row r="83" spans="16:17">
      <c r="P83" s="46"/>
      <c r="Q83" s="82"/>
    </row>
    <row r="84" spans="16:17">
      <c r="P84" s="46"/>
      <c r="Q84" s="82"/>
    </row>
    <row r="85" spans="16:17">
      <c r="P85" s="46"/>
      <c r="Q85" s="82"/>
    </row>
    <row r="86" spans="16:17">
      <c r="P86" s="46"/>
      <c r="Q86" s="82"/>
    </row>
    <row r="87" spans="16:17">
      <c r="P87" s="46"/>
      <c r="Q87" s="82"/>
    </row>
    <row r="88" spans="16:17">
      <c r="P88" s="46"/>
      <c r="Q88" s="82"/>
    </row>
    <row r="89" spans="16:17">
      <c r="P89" s="46"/>
      <c r="Q89" s="82"/>
    </row>
    <row r="90" spans="16:17">
      <c r="P90" s="46"/>
      <c r="Q90" s="82"/>
    </row>
    <row r="91" spans="16:17">
      <c r="P91" s="46"/>
      <c r="Q91" s="82"/>
    </row>
  </sheetData>
  <mergeCells count="5">
    <mergeCell ref="AK35:AQ35"/>
    <mergeCell ref="AK7:AQ7"/>
    <mergeCell ref="U2:W2"/>
    <mergeCell ref="AC7:AE7"/>
    <mergeCell ref="T7:X7"/>
  </mergeCells>
  <pageMargins left="0.7" right="0.7" top="0.75" bottom="0.75" header="0.3" footer="0.3"/>
  <pageSetup paperSize="9" orientation="portrait"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270"/>
  <sheetViews>
    <sheetView topLeftCell="A608" workbookViewId="0">
      <selection activeCell="A868" sqref="A868"/>
    </sheetView>
  </sheetViews>
  <sheetFormatPr baseColWidth="10" defaultRowHeight="15"/>
  <cols>
    <col min="1" max="1" width="86.7109375" bestFit="1" customWidth="1"/>
    <col min="2" max="2" width="18.7109375" bestFit="1" customWidth="1"/>
  </cols>
  <sheetData>
    <row r="1" spans="1:2">
      <c r="A1" s="177" t="s">
        <v>2309</v>
      </c>
      <c r="B1" s="178" t="s">
        <v>2238</v>
      </c>
    </row>
    <row r="2" spans="1:2">
      <c r="A2" s="182" t="s">
        <v>122</v>
      </c>
      <c r="B2" s="183" t="s">
        <v>265</v>
      </c>
    </row>
    <row r="3" spans="1:2">
      <c r="A3" s="177" t="s">
        <v>3133</v>
      </c>
      <c r="B3" s="178" t="s">
        <v>265</v>
      </c>
    </row>
    <row r="4" spans="1:2">
      <c r="A4" s="177" t="s">
        <v>988</v>
      </c>
      <c r="B4" s="178"/>
    </row>
    <row r="5" spans="1:2">
      <c r="A5" s="182" t="s">
        <v>99</v>
      </c>
      <c r="B5" s="183" t="s">
        <v>265</v>
      </c>
    </row>
    <row r="6" spans="1:2">
      <c r="A6" s="177" t="s">
        <v>1683</v>
      </c>
      <c r="B6" s="183" t="s">
        <v>265</v>
      </c>
    </row>
    <row r="7" spans="1:2" ht="15.75" thickBot="1">
      <c r="A7" s="181" t="s">
        <v>1630</v>
      </c>
      <c r="B7" s="164" t="s">
        <v>265</v>
      </c>
    </row>
    <row r="8" spans="1:2">
      <c r="A8" s="177" t="s">
        <v>2041</v>
      </c>
      <c r="B8" s="183" t="s">
        <v>265</v>
      </c>
    </row>
    <row r="9" spans="1:2">
      <c r="A9" s="177" t="s">
        <v>824</v>
      </c>
      <c r="B9" s="178" t="s">
        <v>265</v>
      </c>
    </row>
    <row r="10" spans="1:2">
      <c r="A10" s="179" t="s">
        <v>599</v>
      </c>
      <c r="B10" s="180" t="s">
        <v>265</v>
      </c>
    </row>
    <row r="11" spans="1:2">
      <c r="A11" s="177" t="s">
        <v>139</v>
      </c>
      <c r="B11" s="183" t="s">
        <v>265</v>
      </c>
    </row>
    <row r="12" spans="1:2">
      <c r="A12" s="177" t="s">
        <v>108</v>
      </c>
      <c r="B12" s="183" t="s">
        <v>265</v>
      </c>
    </row>
    <row r="13" spans="1:2">
      <c r="A13" s="177" t="s">
        <v>729</v>
      </c>
      <c r="B13" s="178"/>
    </row>
    <row r="14" spans="1:2">
      <c r="A14" s="177" t="s">
        <v>1116</v>
      </c>
      <c r="B14" s="183" t="s">
        <v>265</v>
      </c>
    </row>
    <row r="15" spans="1:2" ht="15.75" thickBot="1">
      <c r="A15" s="181" t="s">
        <v>1853</v>
      </c>
      <c r="B15" s="186" t="s">
        <v>265</v>
      </c>
    </row>
    <row r="16" spans="1:2">
      <c r="A16" s="182" t="s">
        <v>164</v>
      </c>
      <c r="B16" s="183" t="s">
        <v>265</v>
      </c>
    </row>
    <row r="17" spans="1:2">
      <c r="A17" s="177" t="s">
        <v>1134</v>
      </c>
      <c r="B17" s="178" t="s">
        <v>265</v>
      </c>
    </row>
    <row r="18" spans="1:2">
      <c r="A18" s="179" t="s">
        <v>643</v>
      </c>
      <c r="B18" s="180"/>
    </row>
    <row r="19" spans="1:2">
      <c r="A19" s="177" t="s">
        <v>596</v>
      </c>
      <c r="B19" s="178"/>
    </row>
    <row r="20" spans="1:2">
      <c r="A20" s="177" t="s">
        <v>1225</v>
      </c>
      <c r="B20" s="183" t="s">
        <v>265</v>
      </c>
    </row>
    <row r="21" spans="1:2">
      <c r="A21" s="177" t="s">
        <v>95</v>
      </c>
      <c r="B21" s="183" t="s">
        <v>265</v>
      </c>
    </row>
    <row r="22" spans="1:2">
      <c r="A22" s="182" t="s">
        <v>100</v>
      </c>
      <c r="B22" s="183" t="s">
        <v>265</v>
      </c>
    </row>
    <row r="23" spans="1:2">
      <c r="A23" s="177" t="s">
        <v>2539</v>
      </c>
      <c r="B23" s="183" t="s">
        <v>265</v>
      </c>
    </row>
    <row r="24" spans="1:2">
      <c r="A24" s="177" t="s">
        <v>586</v>
      </c>
      <c r="B24" s="183" t="s">
        <v>265</v>
      </c>
    </row>
    <row r="25" spans="1:2">
      <c r="A25" s="177" t="s">
        <v>940</v>
      </c>
      <c r="B25" s="183" t="s">
        <v>265</v>
      </c>
    </row>
    <row r="26" spans="1:2">
      <c r="A26" s="179" t="s">
        <v>2383</v>
      </c>
      <c r="B26" s="180" t="s">
        <v>266</v>
      </c>
    </row>
    <row r="27" spans="1:2">
      <c r="A27" s="179" t="s">
        <v>263</v>
      </c>
      <c r="B27" s="180" t="s">
        <v>265</v>
      </c>
    </row>
    <row r="28" spans="1:2">
      <c r="A28" s="179" t="s">
        <v>3015</v>
      </c>
      <c r="B28" s="178" t="s">
        <v>265</v>
      </c>
    </row>
    <row r="29" spans="1:2">
      <c r="A29" s="177" t="s">
        <v>2354</v>
      </c>
      <c r="B29" s="183" t="s">
        <v>265</v>
      </c>
    </row>
    <row r="30" spans="1:2">
      <c r="A30" s="177" t="s">
        <v>2227</v>
      </c>
      <c r="B30" s="183" t="s">
        <v>265</v>
      </c>
    </row>
    <row r="31" spans="1:2">
      <c r="A31" s="179" t="s">
        <v>2223</v>
      </c>
      <c r="B31" s="180" t="s">
        <v>265</v>
      </c>
    </row>
    <row r="32" spans="1:2">
      <c r="A32" s="177" t="s">
        <v>2223</v>
      </c>
      <c r="B32" s="183" t="s">
        <v>265</v>
      </c>
    </row>
    <row r="33" spans="1:2">
      <c r="A33" s="177" t="s">
        <v>1026</v>
      </c>
      <c r="B33" s="183" t="s">
        <v>265</v>
      </c>
    </row>
    <row r="34" spans="1:2" hidden="1">
      <c r="A34" s="177" t="s">
        <v>1026</v>
      </c>
      <c r="B34" s="183" t="s">
        <v>265</v>
      </c>
    </row>
    <row r="35" spans="1:2" hidden="1">
      <c r="A35" s="177" t="s">
        <v>1026</v>
      </c>
      <c r="B35" s="178"/>
    </row>
    <row r="36" spans="1:2">
      <c r="A36" s="179" t="s">
        <v>1100</v>
      </c>
      <c r="B36" s="180" t="s">
        <v>265</v>
      </c>
    </row>
    <row r="37" spans="1:2">
      <c r="A37" s="177" t="s">
        <v>1100</v>
      </c>
      <c r="B37" s="178" t="s">
        <v>265</v>
      </c>
    </row>
    <row r="38" spans="1:2">
      <c r="A38" s="177" t="s">
        <v>1100</v>
      </c>
      <c r="B38" s="178" t="s">
        <v>265</v>
      </c>
    </row>
    <row r="39" spans="1:2">
      <c r="A39" s="179" t="s">
        <v>1100</v>
      </c>
      <c r="B39" s="180" t="s">
        <v>265</v>
      </c>
    </row>
    <row r="40" spans="1:2">
      <c r="A40" s="179" t="s">
        <v>1113</v>
      </c>
      <c r="B40" s="180" t="s">
        <v>265</v>
      </c>
    </row>
    <row r="41" spans="1:2">
      <c r="A41" s="177" t="s">
        <v>1113</v>
      </c>
      <c r="B41" s="178" t="s">
        <v>265</v>
      </c>
    </row>
    <row r="42" spans="1:2">
      <c r="A42" s="179" t="s">
        <v>1113</v>
      </c>
      <c r="B42" s="180" t="s">
        <v>265</v>
      </c>
    </row>
    <row r="43" spans="1:2">
      <c r="A43" s="179" t="s">
        <v>1113</v>
      </c>
      <c r="B43" s="180" t="s">
        <v>265</v>
      </c>
    </row>
    <row r="44" spans="1:2">
      <c r="A44" s="177" t="s">
        <v>1113</v>
      </c>
      <c r="B44" s="178" t="s">
        <v>265</v>
      </c>
    </row>
    <row r="45" spans="1:2">
      <c r="A45" s="179" t="s">
        <v>1113</v>
      </c>
      <c r="B45" s="180" t="s">
        <v>265</v>
      </c>
    </row>
    <row r="46" spans="1:2">
      <c r="A46" s="177" t="s">
        <v>1113</v>
      </c>
      <c r="B46" s="178" t="s">
        <v>265</v>
      </c>
    </row>
    <row r="47" spans="1:2">
      <c r="A47" s="177" t="s">
        <v>1024</v>
      </c>
      <c r="B47" s="178"/>
    </row>
    <row r="48" spans="1:2">
      <c r="A48" s="177" t="s">
        <v>1024</v>
      </c>
      <c r="B48" s="178"/>
    </row>
    <row r="49" spans="1:2">
      <c r="A49" s="177" t="s">
        <v>1025</v>
      </c>
      <c r="B49" s="178" t="s">
        <v>265</v>
      </c>
    </row>
    <row r="50" spans="1:2">
      <c r="A50" s="177" t="s">
        <v>1883</v>
      </c>
      <c r="B50" s="183" t="s">
        <v>265</v>
      </c>
    </row>
    <row r="51" spans="1:2">
      <c r="A51" s="177" t="s">
        <v>1252</v>
      </c>
      <c r="B51" s="178" t="s">
        <v>265</v>
      </c>
    </row>
    <row r="52" spans="1:2">
      <c r="A52" s="179" t="s">
        <v>1252</v>
      </c>
      <c r="B52" s="180" t="s">
        <v>265</v>
      </c>
    </row>
    <row r="53" spans="1:2">
      <c r="A53" s="177" t="s">
        <v>1252</v>
      </c>
      <c r="B53" s="178" t="s">
        <v>265</v>
      </c>
    </row>
    <row r="54" spans="1:2">
      <c r="A54" s="177" t="s">
        <v>2109</v>
      </c>
      <c r="B54" s="183" t="s">
        <v>265</v>
      </c>
    </row>
    <row r="55" spans="1:2">
      <c r="A55" s="177" t="s">
        <v>1111</v>
      </c>
      <c r="B55" s="178" t="s">
        <v>265</v>
      </c>
    </row>
    <row r="56" spans="1:2">
      <c r="A56" s="179" t="s">
        <v>1111</v>
      </c>
      <c r="B56" s="180" t="s">
        <v>265</v>
      </c>
    </row>
    <row r="57" spans="1:2">
      <c r="A57" s="177" t="s">
        <v>1168</v>
      </c>
      <c r="B57" s="178" t="s">
        <v>265</v>
      </c>
    </row>
    <row r="58" spans="1:2">
      <c r="A58" s="177" t="s">
        <v>1168</v>
      </c>
      <c r="B58" s="178" t="s">
        <v>265</v>
      </c>
    </row>
    <row r="59" spans="1:2">
      <c r="A59" s="179" t="s">
        <v>1168</v>
      </c>
      <c r="B59" s="180" t="s">
        <v>265</v>
      </c>
    </row>
    <row r="60" spans="1:2">
      <c r="A60" s="177" t="s">
        <v>1168</v>
      </c>
      <c r="B60" s="178" t="s">
        <v>265</v>
      </c>
    </row>
    <row r="61" spans="1:2">
      <c r="A61" s="179" t="s">
        <v>1168</v>
      </c>
      <c r="B61" s="180" t="s">
        <v>265</v>
      </c>
    </row>
    <row r="62" spans="1:2">
      <c r="A62" s="177" t="s">
        <v>1204</v>
      </c>
      <c r="B62" s="178" t="s">
        <v>265</v>
      </c>
    </row>
    <row r="63" spans="1:2">
      <c r="A63" s="177" t="s">
        <v>1204</v>
      </c>
      <c r="B63" s="178" t="s">
        <v>265</v>
      </c>
    </row>
    <row r="64" spans="1:2">
      <c r="A64" s="177" t="s">
        <v>1204</v>
      </c>
      <c r="B64" s="178" t="s">
        <v>265</v>
      </c>
    </row>
    <row r="65" spans="1:2">
      <c r="A65" s="177" t="s">
        <v>1204</v>
      </c>
      <c r="B65" s="178" t="s">
        <v>265</v>
      </c>
    </row>
    <row r="66" spans="1:2">
      <c r="A66" s="177" t="s">
        <v>807</v>
      </c>
      <c r="B66" s="178"/>
    </row>
    <row r="67" spans="1:2">
      <c r="A67" s="179" t="s">
        <v>807</v>
      </c>
      <c r="B67" s="180"/>
    </row>
    <row r="68" spans="1:2">
      <c r="A68" s="179" t="s">
        <v>1190</v>
      </c>
      <c r="B68" s="180" t="s">
        <v>265</v>
      </c>
    </row>
    <row r="69" spans="1:2">
      <c r="A69" s="177" t="s">
        <v>611</v>
      </c>
      <c r="B69" s="178" t="s">
        <v>265</v>
      </c>
    </row>
    <row r="70" spans="1:2">
      <c r="A70" s="177" t="s">
        <v>506</v>
      </c>
      <c r="B70" s="183" t="s">
        <v>265</v>
      </c>
    </row>
    <row r="71" spans="1:2">
      <c r="A71" s="177" t="s">
        <v>506</v>
      </c>
      <c r="B71" s="178" t="s">
        <v>265</v>
      </c>
    </row>
    <row r="72" spans="1:2">
      <c r="A72" s="177" t="s">
        <v>1315</v>
      </c>
      <c r="B72" s="178" t="s">
        <v>265</v>
      </c>
    </row>
    <row r="73" spans="1:2">
      <c r="A73" s="177" t="s">
        <v>1624</v>
      </c>
      <c r="B73" s="183" t="s">
        <v>265</v>
      </c>
    </row>
    <row r="74" spans="1:2">
      <c r="A74" s="177" t="s">
        <v>1300</v>
      </c>
      <c r="B74" s="183" t="s">
        <v>265</v>
      </c>
    </row>
    <row r="75" spans="1:2">
      <c r="A75" s="177" t="s">
        <v>1300</v>
      </c>
      <c r="B75" s="183" t="s">
        <v>265</v>
      </c>
    </row>
    <row r="76" spans="1:2">
      <c r="A76" s="177" t="s">
        <v>1300</v>
      </c>
      <c r="B76" s="183" t="s">
        <v>265</v>
      </c>
    </row>
    <row r="77" spans="1:2">
      <c r="A77" s="177" t="s">
        <v>1300</v>
      </c>
      <c r="B77" s="183" t="s">
        <v>265</v>
      </c>
    </row>
    <row r="78" spans="1:2">
      <c r="A78" s="177" t="s">
        <v>1300</v>
      </c>
      <c r="B78" s="183" t="s">
        <v>265</v>
      </c>
    </row>
    <row r="79" spans="1:2">
      <c r="A79" s="177" t="s">
        <v>1300</v>
      </c>
      <c r="B79" s="183" t="s">
        <v>265</v>
      </c>
    </row>
    <row r="80" spans="1:2">
      <c r="A80" s="177" t="s">
        <v>1300</v>
      </c>
      <c r="B80" s="183" t="s">
        <v>265</v>
      </c>
    </row>
    <row r="81" spans="1:2">
      <c r="A81" s="177" t="s">
        <v>1300</v>
      </c>
      <c r="B81" s="183" t="s">
        <v>265</v>
      </c>
    </row>
    <row r="82" spans="1:2">
      <c r="A82" s="177" t="s">
        <v>1300</v>
      </c>
      <c r="B82" s="183" t="s">
        <v>265</v>
      </c>
    </row>
    <row r="83" spans="1:2">
      <c r="A83" s="177" t="s">
        <v>1300</v>
      </c>
      <c r="B83" s="183" t="s">
        <v>265</v>
      </c>
    </row>
    <row r="84" spans="1:2">
      <c r="A84" s="177" t="s">
        <v>1300</v>
      </c>
      <c r="B84" s="183" t="s">
        <v>265</v>
      </c>
    </row>
    <row r="85" spans="1:2">
      <c r="A85" s="177" t="s">
        <v>1300</v>
      </c>
      <c r="B85" s="183" t="s">
        <v>265</v>
      </c>
    </row>
    <row r="86" spans="1:2">
      <c r="A86" s="177" t="s">
        <v>1300</v>
      </c>
      <c r="B86" s="183" t="s">
        <v>265</v>
      </c>
    </row>
    <row r="87" spans="1:2">
      <c r="A87" s="177" t="s">
        <v>1300</v>
      </c>
      <c r="B87" s="183" t="s">
        <v>265</v>
      </c>
    </row>
    <row r="88" spans="1:2">
      <c r="A88" s="177" t="s">
        <v>1300</v>
      </c>
      <c r="B88" s="183" t="s">
        <v>265</v>
      </c>
    </row>
    <row r="89" spans="1:2">
      <c r="A89" s="177" t="s">
        <v>1300</v>
      </c>
      <c r="B89" s="183" t="s">
        <v>265</v>
      </c>
    </row>
    <row r="90" spans="1:2">
      <c r="A90" s="177" t="s">
        <v>1300</v>
      </c>
      <c r="B90" s="183" t="s">
        <v>265</v>
      </c>
    </row>
    <row r="91" spans="1:2">
      <c r="A91" s="177" t="s">
        <v>1300</v>
      </c>
      <c r="B91" s="183" t="s">
        <v>265</v>
      </c>
    </row>
    <row r="92" spans="1:2">
      <c r="A92" s="177" t="s">
        <v>1300</v>
      </c>
      <c r="B92" s="183" t="s">
        <v>265</v>
      </c>
    </row>
    <row r="93" spans="1:2">
      <c r="A93" s="177" t="s">
        <v>1300</v>
      </c>
      <c r="B93" s="183" t="s">
        <v>265</v>
      </c>
    </row>
    <row r="94" spans="1:2">
      <c r="A94" s="177" t="s">
        <v>1300</v>
      </c>
      <c r="B94" s="183" t="s">
        <v>265</v>
      </c>
    </row>
    <row r="95" spans="1:2">
      <c r="A95" s="177" t="s">
        <v>1300</v>
      </c>
      <c r="B95" s="183" t="s">
        <v>265</v>
      </c>
    </row>
    <row r="96" spans="1:2">
      <c r="A96" s="177" t="s">
        <v>1300</v>
      </c>
      <c r="B96" s="183" t="s">
        <v>265</v>
      </c>
    </row>
    <row r="97" spans="1:2">
      <c r="A97" s="177" t="s">
        <v>1300</v>
      </c>
      <c r="B97" s="183" t="s">
        <v>265</v>
      </c>
    </row>
    <row r="98" spans="1:2">
      <c r="A98" s="177" t="s">
        <v>1300</v>
      </c>
      <c r="B98" s="183" t="s">
        <v>265</v>
      </c>
    </row>
    <row r="99" spans="1:2">
      <c r="A99" s="177" t="s">
        <v>1300</v>
      </c>
      <c r="B99" s="183" t="s">
        <v>265</v>
      </c>
    </row>
    <row r="100" spans="1:2">
      <c r="A100" s="177" t="s">
        <v>1300</v>
      </c>
      <c r="B100" s="183" t="s">
        <v>265</v>
      </c>
    </row>
    <row r="101" spans="1:2">
      <c r="A101" s="177" t="s">
        <v>1300</v>
      </c>
      <c r="B101" s="183" t="s">
        <v>265</v>
      </c>
    </row>
    <row r="102" spans="1:2">
      <c r="A102" s="177" t="s">
        <v>1300</v>
      </c>
      <c r="B102" s="178" t="s">
        <v>265</v>
      </c>
    </row>
    <row r="103" spans="1:2">
      <c r="A103" s="177" t="s">
        <v>1300</v>
      </c>
      <c r="B103" s="178" t="s">
        <v>265</v>
      </c>
    </row>
    <row r="104" spans="1:2">
      <c r="A104" s="177" t="s">
        <v>1300</v>
      </c>
      <c r="B104" s="178" t="s">
        <v>265</v>
      </c>
    </row>
    <row r="105" spans="1:2">
      <c r="A105" s="177" t="s">
        <v>1300</v>
      </c>
      <c r="B105" s="183" t="s">
        <v>265</v>
      </c>
    </row>
    <row r="106" spans="1:2">
      <c r="A106" s="177" t="s">
        <v>1300</v>
      </c>
      <c r="B106" s="178" t="s">
        <v>265</v>
      </c>
    </row>
    <row r="107" spans="1:2">
      <c r="A107" s="177" t="s">
        <v>1300</v>
      </c>
      <c r="B107" s="178" t="s">
        <v>265</v>
      </c>
    </row>
    <row r="108" spans="1:2">
      <c r="A108" s="177" t="s">
        <v>1274</v>
      </c>
      <c r="B108" s="183" t="s">
        <v>265</v>
      </c>
    </row>
    <row r="109" spans="1:2">
      <c r="A109" s="177" t="s">
        <v>1274</v>
      </c>
      <c r="B109" s="183" t="s">
        <v>265</v>
      </c>
    </row>
    <row r="110" spans="1:2">
      <c r="A110" s="177" t="s">
        <v>1274</v>
      </c>
      <c r="B110" s="183" t="s">
        <v>265</v>
      </c>
    </row>
    <row r="111" spans="1:2">
      <c r="A111" s="177" t="s">
        <v>1274</v>
      </c>
      <c r="B111" s="183" t="s">
        <v>265</v>
      </c>
    </row>
    <row r="112" spans="1:2">
      <c r="A112" s="177" t="s">
        <v>1274</v>
      </c>
      <c r="B112" s="183" t="s">
        <v>265</v>
      </c>
    </row>
    <row r="113" spans="1:2">
      <c r="A113" s="177" t="s">
        <v>1274</v>
      </c>
      <c r="B113" s="183" t="s">
        <v>265</v>
      </c>
    </row>
    <row r="114" spans="1:2">
      <c r="A114" s="177" t="s">
        <v>1274</v>
      </c>
      <c r="B114" s="183" t="s">
        <v>265</v>
      </c>
    </row>
    <row r="115" spans="1:2">
      <c r="A115" s="177" t="s">
        <v>1274</v>
      </c>
      <c r="B115" s="183" t="s">
        <v>265</v>
      </c>
    </row>
    <row r="116" spans="1:2">
      <c r="A116" s="177" t="s">
        <v>1274</v>
      </c>
      <c r="B116" s="183" t="s">
        <v>265</v>
      </c>
    </row>
    <row r="117" spans="1:2">
      <c r="A117" s="177" t="s">
        <v>1274</v>
      </c>
      <c r="B117" s="183" t="s">
        <v>265</v>
      </c>
    </row>
    <row r="118" spans="1:2">
      <c r="A118" s="177" t="s">
        <v>1274</v>
      </c>
      <c r="B118" s="183" t="s">
        <v>265</v>
      </c>
    </row>
    <row r="119" spans="1:2">
      <c r="A119" s="177" t="s">
        <v>1274</v>
      </c>
      <c r="B119" s="183" t="s">
        <v>265</v>
      </c>
    </row>
    <row r="120" spans="1:2">
      <c r="A120" s="177" t="s">
        <v>1274</v>
      </c>
      <c r="B120" s="183" t="s">
        <v>265</v>
      </c>
    </row>
    <row r="121" spans="1:2">
      <c r="A121" s="179" t="s">
        <v>1274</v>
      </c>
      <c r="B121" s="183" t="s">
        <v>265</v>
      </c>
    </row>
    <row r="122" spans="1:2">
      <c r="A122" s="177" t="s">
        <v>1274</v>
      </c>
      <c r="B122" s="183" t="s">
        <v>265</v>
      </c>
    </row>
    <row r="123" spans="1:2">
      <c r="A123" s="177" t="s">
        <v>1274</v>
      </c>
      <c r="B123" s="183" t="s">
        <v>265</v>
      </c>
    </row>
    <row r="124" spans="1:2">
      <c r="A124" s="177" t="s">
        <v>1274</v>
      </c>
      <c r="B124" s="183" t="s">
        <v>265</v>
      </c>
    </row>
    <row r="125" spans="1:2">
      <c r="A125" s="177" t="s">
        <v>1274</v>
      </c>
      <c r="B125" s="183" t="s">
        <v>265</v>
      </c>
    </row>
    <row r="126" spans="1:2">
      <c r="A126" s="177" t="s">
        <v>1274</v>
      </c>
      <c r="B126" s="183" t="s">
        <v>265</v>
      </c>
    </row>
    <row r="127" spans="1:2">
      <c r="A127" s="177" t="s">
        <v>1274</v>
      </c>
      <c r="B127" s="183" t="s">
        <v>265</v>
      </c>
    </row>
    <row r="128" spans="1:2">
      <c r="A128" s="177" t="s">
        <v>1274</v>
      </c>
      <c r="B128" s="183" t="s">
        <v>265</v>
      </c>
    </row>
    <row r="129" spans="1:2">
      <c r="A129" s="177" t="s">
        <v>1274</v>
      </c>
      <c r="B129" s="183" t="s">
        <v>265</v>
      </c>
    </row>
    <row r="130" spans="1:2">
      <c r="A130" s="177" t="s">
        <v>1274</v>
      </c>
      <c r="B130" s="183" t="s">
        <v>265</v>
      </c>
    </row>
    <row r="131" spans="1:2">
      <c r="A131" s="177" t="s">
        <v>1274</v>
      </c>
      <c r="B131" s="183" t="s">
        <v>265</v>
      </c>
    </row>
    <row r="132" spans="1:2">
      <c r="A132" s="177" t="s">
        <v>1274</v>
      </c>
      <c r="B132" s="183" t="s">
        <v>265</v>
      </c>
    </row>
    <row r="133" spans="1:2">
      <c r="A133" s="177" t="s">
        <v>1274</v>
      </c>
      <c r="B133" s="183" t="s">
        <v>265</v>
      </c>
    </row>
    <row r="134" spans="1:2">
      <c r="A134" s="177" t="s">
        <v>1274</v>
      </c>
      <c r="B134" s="183" t="s">
        <v>265</v>
      </c>
    </row>
    <row r="135" spans="1:2">
      <c r="A135" s="177" t="s">
        <v>1274</v>
      </c>
      <c r="B135" s="183" t="s">
        <v>265</v>
      </c>
    </row>
    <row r="136" spans="1:2">
      <c r="A136" s="177" t="s">
        <v>1274</v>
      </c>
      <c r="B136" s="183" t="s">
        <v>265</v>
      </c>
    </row>
    <row r="137" spans="1:2">
      <c r="A137" s="177" t="s">
        <v>1274</v>
      </c>
      <c r="B137" s="183" t="s">
        <v>265</v>
      </c>
    </row>
    <row r="138" spans="1:2">
      <c r="A138" s="177" t="s">
        <v>1274</v>
      </c>
      <c r="B138" s="183" t="s">
        <v>265</v>
      </c>
    </row>
    <row r="139" spans="1:2">
      <c r="A139" s="177" t="s">
        <v>1274</v>
      </c>
      <c r="B139" s="183" t="s">
        <v>265</v>
      </c>
    </row>
    <row r="140" spans="1:2">
      <c r="A140" s="177" t="s">
        <v>1274</v>
      </c>
      <c r="B140" s="183" t="s">
        <v>265</v>
      </c>
    </row>
    <row r="141" spans="1:2">
      <c r="A141" s="177" t="s">
        <v>1274</v>
      </c>
      <c r="B141" s="183" t="s">
        <v>265</v>
      </c>
    </row>
    <row r="142" spans="1:2">
      <c r="A142" s="177" t="s">
        <v>1274</v>
      </c>
      <c r="B142" s="178" t="s">
        <v>265</v>
      </c>
    </row>
    <row r="143" spans="1:2">
      <c r="A143" s="177" t="s">
        <v>1274</v>
      </c>
      <c r="B143" s="178" t="s">
        <v>265</v>
      </c>
    </row>
    <row r="144" spans="1:2">
      <c r="A144" s="177" t="s">
        <v>1780</v>
      </c>
      <c r="B144" s="183" t="s">
        <v>265</v>
      </c>
    </row>
    <row r="145" spans="1:2">
      <c r="A145" s="177" t="s">
        <v>1929</v>
      </c>
      <c r="B145" s="183" t="s">
        <v>265</v>
      </c>
    </row>
    <row r="146" spans="1:2">
      <c r="A146" s="177" t="s">
        <v>1929</v>
      </c>
      <c r="B146" s="183" t="s">
        <v>265</v>
      </c>
    </row>
    <row r="147" spans="1:2">
      <c r="A147" s="177" t="s">
        <v>1929</v>
      </c>
      <c r="B147" s="183" t="s">
        <v>265</v>
      </c>
    </row>
    <row r="148" spans="1:2">
      <c r="A148" s="177" t="s">
        <v>1929</v>
      </c>
      <c r="B148" s="183" t="s">
        <v>265</v>
      </c>
    </row>
    <row r="149" spans="1:2">
      <c r="A149" s="177" t="s">
        <v>1929</v>
      </c>
      <c r="B149" s="183" t="s">
        <v>265</v>
      </c>
    </row>
    <row r="150" spans="1:2">
      <c r="A150" s="177" t="s">
        <v>1929</v>
      </c>
      <c r="B150" s="183" t="s">
        <v>265</v>
      </c>
    </row>
    <row r="151" spans="1:2">
      <c r="A151" s="177" t="s">
        <v>1929</v>
      </c>
      <c r="B151" s="183" t="s">
        <v>265</v>
      </c>
    </row>
    <row r="152" spans="1:2">
      <c r="A152" s="177" t="s">
        <v>1929</v>
      </c>
      <c r="B152" s="183" t="s">
        <v>265</v>
      </c>
    </row>
    <row r="153" spans="1:2">
      <c r="A153" s="177" t="s">
        <v>1929</v>
      </c>
      <c r="B153" s="183" t="s">
        <v>265</v>
      </c>
    </row>
    <row r="154" spans="1:2">
      <c r="A154" s="177" t="s">
        <v>995</v>
      </c>
      <c r="B154" s="178"/>
    </row>
    <row r="155" spans="1:2">
      <c r="A155" s="177" t="s">
        <v>995</v>
      </c>
      <c r="B155" s="178"/>
    </row>
    <row r="156" spans="1:2">
      <c r="A156" s="177" t="s">
        <v>995</v>
      </c>
      <c r="B156" s="178"/>
    </row>
    <row r="157" spans="1:2">
      <c r="A157" s="177" t="s">
        <v>995</v>
      </c>
      <c r="B157" s="178"/>
    </row>
    <row r="158" spans="1:2">
      <c r="A158" s="177" t="s">
        <v>995</v>
      </c>
      <c r="B158" s="178"/>
    </row>
    <row r="159" spans="1:2">
      <c r="A159" s="179" t="s">
        <v>995</v>
      </c>
      <c r="B159" s="180"/>
    </row>
    <row r="160" spans="1:2">
      <c r="A160" s="177" t="s">
        <v>995</v>
      </c>
      <c r="B160" s="178"/>
    </row>
    <row r="161" spans="1:2">
      <c r="A161" s="177" t="s">
        <v>1053</v>
      </c>
      <c r="B161" s="178"/>
    </row>
    <row r="162" spans="1:2">
      <c r="A162" s="179" t="s">
        <v>1053</v>
      </c>
      <c r="B162" s="180"/>
    </row>
    <row r="163" spans="1:2">
      <c r="A163" s="177" t="s">
        <v>1053</v>
      </c>
      <c r="B163" s="178"/>
    </row>
    <row r="164" spans="1:2">
      <c r="A164" s="177" t="s">
        <v>1053</v>
      </c>
      <c r="B164" s="178"/>
    </row>
    <row r="165" spans="1:2">
      <c r="A165" s="177" t="s">
        <v>2180</v>
      </c>
      <c r="B165" s="183" t="s">
        <v>265</v>
      </c>
    </row>
    <row r="166" spans="1:2">
      <c r="A166" s="179" t="s">
        <v>1086</v>
      </c>
      <c r="B166" s="180" t="s">
        <v>265</v>
      </c>
    </row>
    <row r="167" spans="1:2">
      <c r="A167" s="179" t="s">
        <v>1086</v>
      </c>
      <c r="B167" s="178" t="s">
        <v>265</v>
      </c>
    </row>
    <row r="168" spans="1:2">
      <c r="A168" s="179" t="s">
        <v>1086</v>
      </c>
      <c r="B168" s="180" t="s">
        <v>265</v>
      </c>
    </row>
    <row r="169" spans="1:2">
      <c r="A169" s="177" t="s">
        <v>1086</v>
      </c>
      <c r="B169" s="178" t="s">
        <v>265</v>
      </c>
    </row>
    <row r="170" spans="1:2">
      <c r="A170" s="177" t="s">
        <v>1086</v>
      </c>
      <c r="B170" s="178" t="s">
        <v>265</v>
      </c>
    </row>
    <row r="171" spans="1:2">
      <c r="A171" s="177" t="s">
        <v>1086</v>
      </c>
      <c r="B171" s="178" t="s">
        <v>265</v>
      </c>
    </row>
    <row r="172" spans="1:2">
      <c r="A172" s="177" t="s">
        <v>1214</v>
      </c>
      <c r="B172" s="183" t="s">
        <v>265</v>
      </c>
    </row>
    <row r="173" spans="1:2">
      <c r="A173" s="177" t="s">
        <v>1214</v>
      </c>
      <c r="B173" s="183" t="s">
        <v>265</v>
      </c>
    </row>
    <row r="174" spans="1:2">
      <c r="A174" s="177" t="s">
        <v>1214</v>
      </c>
      <c r="B174" s="183" t="s">
        <v>265</v>
      </c>
    </row>
    <row r="175" spans="1:2">
      <c r="A175" s="177" t="s">
        <v>1214</v>
      </c>
      <c r="B175" s="183" t="s">
        <v>265</v>
      </c>
    </row>
    <row r="176" spans="1:2">
      <c r="A176" s="177" t="s">
        <v>1214</v>
      </c>
      <c r="B176" s="183" t="s">
        <v>265</v>
      </c>
    </row>
    <row r="177" spans="1:2">
      <c r="A177" s="177" t="s">
        <v>1214</v>
      </c>
      <c r="B177" s="183" t="s">
        <v>265</v>
      </c>
    </row>
    <row r="178" spans="1:2">
      <c r="A178" s="177" t="s">
        <v>1214</v>
      </c>
      <c r="B178" s="183" t="s">
        <v>265</v>
      </c>
    </row>
    <row r="179" spans="1:2">
      <c r="A179" s="177" t="s">
        <v>1214</v>
      </c>
      <c r="B179" s="183" t="s">
        <v>265</v>
      </c>
    </row>
    <row r="180" spans="1:2">
      <c r="A180" s="177" t="s">
        <v>1214</v>
      </c>
      <c r="B180" s="183" t="s">
        <v>265</v>
      </c>
    </row>
    <row r="181" spans="1:2">
      <c r="A181" s="177" t="s">
        <v>1214</v>
      </c>
      <c r="B181" s="183" t="s">
        <v>265</v>
      </c>
    </row>
    <row r="182" spans="1:2">
      <c r="A182" s="177" t="s">
        <v>1214</v>
      </c>
      <c r="B182" s="183" t="s">
        <v>265</v>
      </c>
    </row>
    <row r="183" spans="1:2">
      <c r="A183" s="177" t="s">
        <v>1214</v>
      </c>
      <c r="B183" s="183" t="s">
        <v>265</v>
      </c>
    </row>
    <row r="184" spans="1:2">
      <c r="A184" s="177" t="s">
        <v>1214</v>
      </c>
      <c r="B184" s="178" t="s">
        <v>265</v>
      </c>
    </row>
    <row r="185" spans="1:2">
      <c r="A185" s="177" t="s">
        <v>1214</v>
      </c>
      <c r="B185" s="178" t="s">
        <v>265</v>
      </c>
    </row>
    <row r="186" spans="1:2">
      <c r="A186" s="177" t="s">
        <v>1214</v>
      </c>
      <c r="B186" s="178" t="s">
        <v>265</v>
      </c>
    </row>
    <row r="187" spans="1:2">
      <c r="A187" s="177" t="s">
        <v>1214</v>
      </c>
      <c r="B187" s="178" t="s">
        <v>265</v>
      </c>
    </row>
    <row r="188" spans="1:2">
      <c r="A188" s="177" t="s">
        <v>143</v>
      </c>
      <c r="B188" s="183" t="s">
        <v>265</v>
      </c>
    </row>
    <row r="189" spans="1:2">
      <c r="A189" s="177" t="s">
        <v>143</v>
      </c>
      <c r="B189" s="183" t="s">
        <v>265</v>
      </c>
    </row>
    <row r="190" spans="1:2">
      <c r="A190" s="177" t="s">
        <v>143</v>
      </c>
      <c r="B190" s="183" t="s">
        <v>265</v>
      </c>
    </row>
    <row r="191" spans="1:2">
      <c r="A191" s="177" t="s">
        <v>143</v>
      </c>
      <c r="B191" s="183" t="s">
        <v>265</v>
      </c>
    </row>
    <row r="192" spans="1:2">
      <c r="A192" s="177" t="s">
        <v>143</v>
      </c>
      <c r="B192" s="183" t="s">
        <v>265</v>
      </c>
    </row>
    <row r="193" spans="1:2">
      <c r="A193" s="177" t="s">
        <v>143</v>
      </c>
      <c r="B193" s="183" t="s">
        <v>265</v>
      </c>
    </row>
    <row r="194" spans="1:2">
      <c r="A194" s="177" t="s">
        <v>143</v>
      </c>
      <c r="B194" s="183" t="s">
        <v>265</v>
      </c>
    </row>
    <row r="195" spans="1:2">
      <c r="A195" s="177" t="s">
        <v>143</v>
      </c>
      <c r="B195" s="183" t="s">
        <v>265</v>
      </c>
    </row>
    <row r="196" spans="1:2">
      <c r="A196" s="177" t="s">
        <v>143</v>
      </c>
      <c r="B196" s="183" t="s">
        <v>265</v>
      </c>
    </row>
    <row r="197" spans="1:2">
      <c r="A197" s="177" t="s">
        <v>143</v>
      </c>
      <c r="B197" s="183" t="s">
        <v>265</v>
      </c>
    </row>
    <row r="198" spans="1:2">
      <c r="A198" s="177" t="s">
        <v>143</v>
      </c>
      <c r="B198" s="183" t="s">
        <v>265</v>
      </c>
    </row>
    <row r="199" spans="1:2">
      <c r="A199" s="177" t="s">
        <v>143</v>
      </c>
      <c r="B199" s="183" t="s">
        <v>265</v>
      </c>
    </row>
    <row r="200" spans="1:2">
      <c r="A200" s="177" t="s">
        <v>143</v>
      </c>
      <c r="B200" s="183" t="s">
        <v>265</v>
      </c>
    </row>
    <row r="201" spans="1:2">
      <c r="A201" s="177" t="s">
        <v>143</v>
      </c>
      <c r="B201" s="183" t="s">
        <v>265</v>
      </c>
    </row>
    <row r="202" spans="1:2">
      <c r="A202" s="177" t="s">
        <v>143</v>
      </c>
      <c r="B202" s="183" t="s">
        <v>265</v>
      </c>
    </row>
    <row r="203" spans="1:2">
      <c r="A203" s="179" t="s">
        <v>143</v>
      </c>
      <c r="B203" s="180" t="s">
        <v>265</v>
      </c>
    </row>
    <row r="204" spans="1:2">
      <c r="A204" s="177" t="s">
        <v>143</v>
      </c>
      <c r="B204" s="178" t="s">
        <v>265</v>
      </c>
    </row>
    <row r="205" spans="1:2">
      <c r="A205" s="177" t="s">
        <v>143</v>
      </c>
      <c r="B205" s="178" t="s">
        <v>265</v>
      </c>
    </row>
    <row r="206" spans="1:2">
      <c r="A206" s="177" t="s">
        <v>143</v>
      </c>
      <c r="B206" s="178" t="s">
        <v>265</v>
      </c>
    </row>
    <row r="207" spans="1:2">
      <c r="A207" s="177" t="s">
        <v>143</v>
      </c>
      <c r="B207" s="178"/>
    </row>
    <row r="208" spans="1:2">
      <c r="A208" s="177" t="s">
        <v>143</v>
      </c>
      <c r="B208" s="178"/>
    </row>
    <row r="209" spans="1:2">
      <c r="A209" s="177" t="s">
        <v>143</v>
      </c>
      <c r="B209" s="178"/>
    </row>
    <row r="210" spans="1:2">
      <c r="A210" s="179" t="s">
        <v>143</v>
      </c>
      <c r="B210" s="180"/>
    </row>
    <row r="211" spans="1:2">
      <c r="A211" s="177" t="s">
        <v>143</v>
      </c>
      <c r="B211" s="178"/>
    </row>
    <row r="212" spans="1:2">
      <c r="A212" s="179" t="s">
        <v>143</v>
      </c>
      <c r="B212" s="180"/>
    </row>
    <row r="213" spans="1:2">
      <c r="A213" s="177" t="s">
        <v>143</v>
      </c>
      <c r="B213" s="178"/>
    </row>
    <row r="214" spans="1:2">
      <c r="A214" s="177" t="s">
        <v>143</v>
      </c>
      <c r="B214" s="178"/>
    </row>
    <row r="215" spans="1:2">
      <c r="A215" s="177" t="s">
        <v>143</v>
      </c>
      <c r="B215" s="178"/>
    </row>
    <row r="216" spans="1:2">
      <c r="A216" s="179" t="s">
        <v>143</v>
      </c>
      <c r="B216" s="180"/>
    </row>
    <row r="217" spans="1:2">
      <c r="A217" s="182" t="s">
        <v>143</v>
      </c>
      <c r="B217" s="183" t="s">
        <v>265</v>
      </c>
    </row>
    <row r="218" spans="1:2">
      <c r="A218" s="177" t="s">
        <v>1197</v>
      </c>
      <c r="B218" s="178" t="s">
        <v>265</v>
      </c>
    </row>
    <row r="219" spans="1:2">
      <c r="A219" s="177" t="s">
        <v>1129</v>
      </c>
      <c r="B219" s="178" t="s">
        <v>265</v>
      </c>
    </row>
    <row r="220" spans="1:2">
      <c r="A220" s="177" t="s">
        <v>1129</v>
      </c>
      <c r="B220" s="178" t="s">
        <v>265</v>
      </c>
    </row>
    <row r="221" spans="1:2">
      <c r="A221" s="177" t="s">
        <v>1058</v>
      </c>
      <c r="B221" s="178"/>
    </row>
    <row r="222" spans="1:2">
      <c r="A222" s="177" t="s">
        <v>1312</v>
      </c>
      <c r="B222" s="183" t="s">
        <v>265</v>
      </c>
    </row>
    <row r="223" spans="1:2">
      <c r="A223" s="177" t="s">
        <v>1312</v>
      </c>
      <c r="B223" s="183" t="s">
        <v>265</v>
      </c>
    </row>
    <row r="224" spans="1:2">
      <c r="A224" s="177" t="s">
        <v>1312</v>
      </c>
      <c r="B224" s="183" t="s">
        <v>265</v>
      </c>
    </row>
    <row r="225" spans="1:2">
      <c r="A225" s="177" t="s">
        <v>1312</v>
      </c>
      <c r="B225" s="183" t="s">
        <v>265</v>
      </c>
    </row>
    <row r="226" spans="1:2">
      <c r="A226" s="177" t="s">
        <v>1312</v>
      </c>
      <c r="B226" s="183" t="s">
        <v>265</v>
      </c>
    </row>
    <row r="227" spans="1:2">
      <c r="A227" s="177" t="s">
        <v>1312</v>
      </c>
      <c r="B227" s="183" t="s">
        <v>265</v>
      </c>
    </row>
    <row r="228" spans="1:2">
      <c r="A228" s="177" t="s">
        <v>1312</v>
      </c>
      <c r="B228" s="183" t="s">
        <v>265</v>
      </c>
    </row>
    <row r="229" spans="1:2">
      <c r="A229" s="177" t="s">
        <v>1312</v>
      </c>
      <c r="B229" s="183" t="s">
        <v>265</v>
      </c>
    </row>
    <row r="230" spans="1:2">
      <c r="A230" s="177" t="s">
        <v>1312</v>
      </c>
      <c r="B230" s="183" t="s">
        <v>265</v>
      </c>
    </row>
    <row r="231" spans="1:2">
      <c r="A231" s="177" t="s">
        <v>1312</v>
      </c>
      <c r="B231" s="183" t="s">
        <v>265</v>
      </c>
    </row>
    <row r="232" spans="1:2">
      <c r="A232" s="177" t="s">
        <v>1312</v>
      </c>
      <c r="B232" s="183" t="s">
        <v>265</v>
      </c>
    </row>
    <row r="233" spans="1:2">
      <c r="A233" s="177" t="s">
        <v>1312</v>
      </c>
      <c r="B233" s="183" t="s">
        <v>265</v>
      </c>
    </row>
    <row r="234" spans="1:2">
      <c r="A234" s="177" t="s">
        <v>1312</v>
      </c>
      <c r="B234" s="183" t="s">
        <v>265</v>
      </c>
    </row>
    <row r="235" spans="1:2">
      <c r="A235" s="177" t="s">
        <v>1312</v>
      </c>
      <c r="B235" s="183" t="s">
        <v>265</v>
      </c>
    </row>
    <row r="236" spans="1:2">
      <c r="A236" s="177" t="s">
        <v>1312</v>
      </c>
      <c r="B236" s="183" t="s">
        <v>265</v>
      </c>
    </row>
    <row r="237" spans="1:2">
      <c r="A237" s="177" t="s">
        <v>1312</v>
      </c>
      <c r="B237" s="183" t="s">
        <v>265</v>
      </c>
    </row>
    <row r="238" spans="1:2">
      <c r="A238" s="177" t="s">
        <v>1312</v>
      </c>
      <c r="B238" s="178" t="s">
        <v>265</v>
      </c>
    </row>
    <row r="239" spans="1:2">
      <c r="A239" s="177" t="s">
        <v>1311</v>
      </c>
      <c r="B239" s="178" t="s">
        <v>265</v>
      </c>
    </row>
    <row r="240" spans="1:2">
      <c r="A240" s="177" t="s">
        <v>1668</v>
      </c>
      <c r="B240" s="183" t="s">
        <v>265</v>
      </c>
    </row>
    <row r="241" spans="1:2">
      <c r="A241" s="177" t="s">
        <v>498</v>
      </c>
      <c r="B241" s="178" t="s">
        <v>265</v>
      </c>
    </row>
    <row r="242" spans="1:2">
      <c r="A242" s="177" t="s">
        <v>3154</v>
      </c>
      <c r="B242" s="178" t="s">
        <v>265</v>
      </c>
    </row>
    <row r="243" spans="1:2">
      <c r="A243" s="177" t="s">
        <v>1289</v>
      </c>
      <c r="B243" s="183" t="s">
        <v>265</v>
      </c>
    </row>
    <row r="244" spans="1:2">
      <c r="A244" s="177" t="s">
        <v>1289</v>
      </c>
      <c r="B244" s="183" t="s">
        <v>265</v>
      </c>
    </row>
    <row r="245" spans="1:2">
      <c r="A245" s="177" t="s">
        <v>1289</v>
      </c>
      <c r="B245" s="183" t="s">
        <v>265</v>
      </c>
    </row>
    <row r="246" spans="1:2">
      <c r="A246" s="177" t="s">
        <v>1289</v>
      </c>
      <c r="B246" s="183" t="s">
        <v>265</v>
      </c>
    </row>
    <row r="247" spans="1:2">
      <c r="A247" s="177" t="s">
        <v>1289</v>
      </c>
      <c r="B247" s="178" t="s">
        <v>265</v>
      </c>
    </row>
    <row r="248" spans="1:2">
      <c r="A248" s="177" t="s">
        <v>541</v>
      </c>
      <c r="B248" s="183" t="s">
        <v>265</v>
      </c>
    </row>
    <row r="249" spans="1:2">
      <c r="A249" s="177" t="s">
        <v>541</v>
      </c>
      <c r="B249" s="183" t="s">
        <v>265</v>
      </c>
    </row>
    <row r="250" spans="1:2">
      <c r="A250" s="177" t="s">
        <v>541</v>
      </c>
      <c r="B250" s="183" t="s">
        <v>265</v>
      </c>
    </row>
    <row r="251" spans="1:2">
      <c r="A251" s="177" t="s">
        <v>541</v>
      </c>
      <c r="B251" s="183" t="s">
        <v>265</v>
      </c>
    </row>
    <row r="252" spans="1:2">
      <c r="A252" s="177" t="s">
        <v>541</v>
      </c>
      <c r="B252" s="183" t="s">
        <v>265</v>
      </c>
    </row>
    <row r="253" spans="1:2">
      <c r="A253" s="177" t="s">
        <v>541</v>
      </c>
      <c r="B253" s="183" t="s">
        <v>265</v>
      </c>
    </row>
    <row r="254" spans="1:2">
      <c r="A254" s="177" t="s">
        <v>541</v>
      </c>
      <c r="B254" s="183" t="s">
        <v>265</v>
      </c>
    </row>
    <row r="255" spans="1:2">
      <c r="A255" s="177" t="s">
        <v>541</v>
      </c>
      <c r="B255" s="183" t="s">
        <v>265</v>
      </c>
    </row>
    <row r="256" spans="1:2">
      <c r="A256" s="177" t="s">
        <v>541</v>
      </c>
      <c r="B256" s="183" t="s">
        <v>265</v>
      </c>
    </row>
    <row r="257" spans="1:2">
      <c r="A257" s="177" t="s">
        <v>541</v>
      </c>
      <c r="B257" s="183" t="s">
        <v>265</v>
      </c>
    </row>
    <row r="258" spans="1:2">
      <c r="A258" s="177" t="s">
        <v>541</v>
      </c>
      <c r="B258" s="183" t="s">
        <v>265</v>
      </c>
    </row>
    <row r="259" spans="1:2">
      <c r="A259" s="177" t="s">
        <v>541</v>
      </c>
      <c r="B259" s="178" t="s">
        <v>265</v>
      </c>
    </row>
    <row r="260" spans="1:2">
      <c r="A260" s="177" t="s">
        <v>541</v>
      </c>
      <c r="B260" s="178" t="s">
        <v>265</v>
      </c>
    </row>
    <row r="261" spans="1:2">
      <c r="A261" s="177" t="s">
        <v>541</v>
      </c>
      <c r="B261" s="178"/>
    </row>
    <row r="262" spans="1:2">
      <c r="A262" s="177" t="s">
        <v>541</v>
      </c>
      <c r="B262" s="178"/>
    </row>
    <row r="263" spans="1:2">
      <c r="A263" s="179" t="s">
        <v>541</v>
      </c>
      <c r="B263" s="180" t="s">
        <v>265</v>
      </c>
    </row>
    <row r="264" spans="1:2">
      <c r="A264" s="177" t="s">
        <v>705</v>
      </c>
      <c r="B264" s="178"/>
    </row>
    <row r="265" spans="1:2">
      <c r="A265" s="177" t="s">
        <v>705</v>
      </c>
      <c r="B265" s="178"/>
    </row>
    <row r="266" spans="1:2">
      <c r="A266" s="177" t="s">
        <v>705</v>
      </c>
      <c r="B266" s="178" t="s">
        <v>688</v>
      </c>
    </row>
    <row r="267" spans="1:2">
      <c r="A267" s="177" t="s">
        <v>1824</v>
      </c>
      <c r="B267" s="183" t="s">
        <v>265</v>
      </c>
    </row>
    <row r="268" spans="1:2">
      <c r="A268" s="177" t="s">
        <v>2714</v>
      </c>
      <c r="B268" s="183" t="s">
        <v>265</v>
      </c>
    </row>
    <row r="269" spans="1:2">
      <c r="A269" s="177" t="s">
        <v>2650</v>
      </c>
      <c r="B269" s="183" t="s">
        <v>265</v>
      </c>
    </row>
    <row r="270" spans="1:2">
      <c r="A270" s="179" t="s">
        <v>1087</v>
      </c>
      <c r="B270" s="180" t="s">
        <v>265</v>
      </c>
    </row>
    <row r="271" spans="1:2">
      <c r="A271" s="177" t="s">
        <v>1087</v>
      </c>
      <c r="B271" s="178" t="s">
        <v>265</v>
      </c>
    </row>
    <row r="272" spans="1:2">
      <c r="A272" s="179" t="s">
        <v>1087</v>
      </c>
      <c r="B272" s="180" t="s">
        <v>265</v>
      </c>
    </row>
    <row r="273" spans="1:2">
      <c r="A273" s="177" t="s">
        <v>1087</v>
      </c>
      <c r="B273" s="178" t="s">
        <v>265</v>
      </c>
    </row>
    <row r="274" spans="1:2">
      <c r="A274" s="177" t="s">
        <v>1233</v>
      </c>
      <c r="B274" s="183" t="s">
        <v>265</v>
      </c>
    </row>
    <row r="275" spans="1:2">
      <c r="A275" s="177" t="s">
        <v>1233</v>
      </c>
      <c r="B275" s="183" t="s">
        <v>265</v>
      </c>
    </row>
    <row r="276" spans="1:2">
      <c r="A276" s="177" t="s">
        <v>1233</v>
      </c>
      <c r="B276" s="183" t="s">
        <v>265</v>
      </c>
    </row>
    <row r="277" spans="1:2">
      <c r="A277" s="177" t="s">
        <v>1233</v>
      </c>
      <c r="B277" s="183" t="s">
        <v>265</v>
      </c>
    </row>
    <row r="278" spans="1:2">
      <c r="A278" s="177" t="s">
        <v>1233</v>
      </c>
      <c r="B278" s="183" t="s">
        <v>265</v>
      </c>
    </row>
    <row r="279" spans="1:2">
      <c r="A279" s="177" t="s">
        <v>1233</v>
      </c>
      <c r="B279" s="183" t="s">
        <v>265</v>
      </c>
    </row>
    <row r="280" spans="1:2">
      <c r="A280" s="177" t="s">
        <v>1233</v>
      </c>
      <c r="B280" s="183" t="s">
        <v>265</v>
      </c>
    </row>
    <row r="281" spans="1:2">
      <c r="A281" s="177" t="s">
        <v>1233</v>
      </c>
      <c r="B281" s="183" t="s">
        <v>265</v>
      </c>
    </row>
    <row r="282" spans="1:2">
      <c r="A282" s="177" t="s">
        <v>1233</v>
      </c>
      <c r="B282" s="183" t="s">
        <v>265</v>
      </c>
    </row>
    <row r="283" spans="1:2">
      <c r="A283" s="177" t="s">
        <v>1233</v>
      </c>
      <c r="B283" s="183" t="s">
        <v>265</v>
      </c>
    </row>
    <row r="284" spans="1:2">
      <c r="A284" s="177" t="s">
        <v>1233</v>
      </c>
      <c r="B284" s="183" t="s">
        <v>265</v>
      </c>
    </row>
    <row r="285" spans="1:2">
      <c r="A285" s="177" t="s">
        <v>1233</v>
      </c>
      <c r="B285" s="183" t="s">
        <v>265</v>
      </c>
    </row>
    <row r="286" spans="1:2">
      <c r="A286" s="177" t="s">
        <v>1233</v>
      </c>
      <c r="B286" s="183" t="s">
        <v>265</v>
      </c>
    </row>
    <row r="287" spans="1:2">
      <c r="A287" s="177" t="s">
        <v>1233</v>
      </c>
      <c r="B287" s="183" t="s">
        <v>265</v>
      </c>
    </row>
    <row r="288" spans="1:2">
      <c r="A288" s="177" t="s">
        <v>1233</v>
      </c>
      <c r="B288" s="183" t="s">
        <v>265</v>
      </c>
    </row>
    <row r="289" spans="1:2">
      <c r="A289" s="177" t="s">
        <v>1233</v>
      </c>
      <c r="B289" s="183" t="s">
        <v>265</v>
      </c>
    </row>
    <row r="290" spans="1:2">
      <c r="A290" s="179" t="s">
        <v>1233</v>
      </c>
      <c r="B290" s="180" t="s">
        <v>265</v>
      </c>
    </row>
    <row r="291" spans="1:2">
      <c r="A291" s="177" t="s">
        <v>1233</v>
      </c>
      <c r="B291" s="178" t="s">
        <v>265</v>
      </c>
    </row>
    <row r="292" spans="1:2">
      <c r="A292" s="177" t="s">
        <v>1594</v>
      </c>
      <c r="B292" s="183" t="s">
        <v>265</v>
      </c>
    </row>
    <row r="293" spans="1:2">
      <c r="A293" s="177" t="s">
        <v>1594</v>
      </c>
      <c r="B293" s="183" t="s">
        <v>265</v>
      </c>
    </row>
    <row r="294" spans="1:2">
      <c r="A294" s="177" t="s">
        <v>1594</v>
      </c>
      <c r="B294" s="183" t="s">
        <v>265</v>
      </c>
    </row>
    <row r="295" spans="1:2">
      <c r="A295" s="177" t="s">
        <v>1594</v>
      </c>
      <c r="B295" s="178"/>
    </row>
    <row r="296" spans="1:2">
      <c r="A296" s="177" t="s">
        <v>1594</v>
      </c>
      <c r="B296" s="183" t="s">
        <v>265</v>
      </c>
    </row>
    <row r="297" spans="1:2">
      <c r="A297" s="177" t="s">
        <v>1594</v>
      </c>
      <c r="B297" s="183" t="s">
        <v>265</v>
      </c>
    </row>
    <row r="298" spans="1:2">
      <c r="A298" s="179" t="s">
        <v>1594</v>
      </c>
      <c r="B298" s="180" t="s">
        <v>265</v>
      </c>
    </row>
    <row r="299" spans="1:2">
      <c r="A299" s="177" t="s">
        <v>1152</v>
      </c>
      <c r="B299" s="178" t="s">
        <v>265</v>
      </c>
    </row>
    <row r="300" spans="1:2">
      <c r="A300" s="179" t="s">
        <v>1152</v>
      </c>
      <c r="B300" s="180" t="s">
        <v>265</v>
      </c>
    </row>
    <row r="301" spans="1:2">
      <c r="A301" s="179" t="s">
        <v>1152</v>
      </c>
      <c r="B301" s="180" t="s">
        <v>265</v>
      </c>
    </row>
    <row r="302" spans="1:2">
      <c r="A302" s="177" t="s">
        <v>1152</v>
      </c>
      <c r="B302" s="178" t="s">
        <v>265</v>
      </c>
    </row>
    <row r="303" spans="1:2">
      <c r="A303" s="177" t="s">
        <v>1152</v>
      </c>
      <c r="B303" s="178" t="s">
        <v>265</v>
      </c>
    </row>
    <row r="304" spans="1:2">
      <c r="A304" s="177" t="s">
        <v>1152</v>
      </c>
      <c r="B304" s="183" t="s">
        <v>265</v>
      </c>
    </row>
    <row r="305" spans="1:2">
      <c r="A305" s="177" t="s">
        <v>1092</v>
      </c>
      <c r="B305" s="178" t="s">
        <v>265</v>
      </c>
    </row>
    <row r="306" spans="1:2">
      <c r="A306" s="179" t="s">
        <v>1152</v>
      </c>
      <c r="B306" s="180" t="s">
        <v>265</v>
      </c>
    </row>
    <row r="307" spans="1:2">
      <c r="A307" s="177" t="s">
        <v>1293</v>
      </c>
      <c r="B307" s="183" t="s">
        <v>265</v>
      </c>
    </row>
    <row r="308" spans="1:2">
      <c r="A308" s="177" t="s">
        <v>1293</v>
      </c>
      <c r="B308" s="178" t="s">
        <v>266</v>
      </c>
    </row>
    <row r="309" spans="1:2">
      <c r="A309" s="177" t="s">
        <v>1293</v>
      </c>
      <c r="B309" s="183" t="s">
        <v>265</v>
      </c>
    </row>
    <row r="310" spans="1:2">
      <c r="A310" s="177" t="s">
        <v>1293</v>
      </c>
      <c r="B310" s="183" t="s">
        <v>265</v>
      </c>
    </row>
    <row r="311" spans="1:2">
      <c r="A311" s="177" t="s">
        <v>1293</v>
      </c>
      <c r="B311" s="183" t="s">
        <v>265</v>
      </c>
    </row>
    <row r="312" spans="1:2">
      <c r="A312" s="177" t="s">
        <v>1293</v>
      </c>
      <c r="B312" s="183" t="s">
        <v>265</v>
      </c>
    </row>
    <row r="313" spans="1:2">
      <c r="A313" s="177" t="s">
        <v>1293</v>
      </c>
      <c r="B313" s="183" t="s">
        <v>265</v>
      </c>
    </row>
    <row r="314" spans="1:2">
      <c r="A314" s="177" t="s">
        <v>1293</v>
      </c>
      <c r="B314" s="183" t="s">
        <v>265</v>
      </c>
    </row>
    <row r="315" spans="1:2">
      <c r="A315" s="177" t="s">
        <v>1293</v>
      </c>
      <c r="B315" s="183" t="s">
        <v>265</v>
      </c>
    </row>
    <row r="316" spans="1:2">
      <c r="A316" s="177" t="s">
        <v>1293</v>
      </c>
      <c r="B316" s="183" t="s">
        <v>265</v>
      </c>
    </row>
    <row r="317" spans="1:2">
      <c r="A317" s="177" t="s">
        <v>1293</v>
      </c>
      <c r="B317" s="183" t="s">
        <v>265</v>
      </c>
    </row>
    <row r="318" spans="1:2">
      <c r="A318" s="177" t="s">
        <v>1293</v>
      </c>
      <c r="B318" s="183" t="s">
        <v>265</v>
      </c>
    </row>
    <row r="319" spans="1:2">
      <c r="A319" s="177" t="s">
        <v>1293</v>
      </c>
      <c r="B319" s="183" t="s">
        <v>265</v>
      </c>
    </row>
    <row r="320" spans="1:2">
      <c r="A320" s="177" t="s">
        <v>1293</v>
      </c>
      <c r="B320" s="183" t="s">
        <v>265</v>
      </c>
    </row>
    <row r="321" spans="1:2">
      <c r="A321" s="177" t="s">
        <v>1293</v>
      </c>
      <c r="B321" s="183" t="s">
        <v>265</v>
      </c>
    </row>
    <row r="322" spans="1:2">
      <c r="A322" s="177" t="s">
        <v>1293</v>
      </c>
      <c r="B322" s="183" t="s">
        <v>265</v>
      </c>
    </row>
    <row r="323" spans="1:2">
      <c r="A323" s="177" t="s">
        <v>1293</v>
      </c>
      <c r="B323" s="183" t="s">
        <v>265</v>
      </c>
    </row>
    <row r="324" spans="1:2">
      <c r="A324" s="177" t="s">
        <v>1293</v>
      </c>
      <c r="B324" s="183" t="s">
        <v>265</v>
      </c>
    </row>
    <row r="325" spans="1:2">
      <c r="A325" s="179" t="s">
        <v>1293</v>
      </c>
      <c r="B325" s="183" t="s">
        <v>265</v>
      </c>
    </row>
    <row r="326" spans="1:2">
      <c r="A326" s="179" t="s">
        <v>1293</v>
      </c>
      <c r="B326" s="180" t="s">
        <v>265</v>
      </c>
    </row>
    <row r="327" spans="1:2">
      <c r="A327" s="177" t="s">
        <v>832</v>
      </c>
      <c r="B327" s="178"/>
    </row>
    <row r="328" spans="1:2">
      <c r="A328" s="177" t="s">
        <v>720</v>
      </c>
      <c r="B328" s="178"/>
    </row>
    <row r="329" spans="1:2">
      <c r="A329" s="177" t="s">
        <v>841</v>
      </c>
      <c r="B329" s="178"/>
    </row>
    <row r="330" spans="1:2">
      <c r="A330" s="179" t="s">
        <v>841</v>
      </c>
      <c r="B330" s="180"/>
    </row>
    <row r="331" spans="1:2">
      <c r="A331" s="179" t="s">
        <v>841</v>
      </c>
      <c r="B331" s="180"/>
    </row>
    <row r="332" spans="1:2">
      <c r="A332" s="177" t="s">
        <v>841</v>
      </c>
      <c r="B332" s="178"/>
    </row>
    <row r="333" spans="1:2">
      <c r="A333" s="179" t="s">
        <v>841</v>
      </c>
      <c r="B333" s="180"/>
    </row>
    <row r="334" spans="1:2">
      <c r="A334" s="177" t="s">
        <v>325</v>
      </c>
      <c r="B334" s="178" t="s">
        <v>265</v>
      </c>
    </row>
    <row r="335" spans="1:2">
      <c r="A335" s="177" t="s">
        <v>325</v>
      </c>
      <c r="B335" s="178"/>
    </row>
    <row r="336" spans="1:2">
      <c r="A336" s="179" t="s">
        <v>325</v>
      </c>
      <c r="B336" s="180"/>
    </row>
    <row r="337" spans="1:2">
      <c r="A337" s="177" t="s">
        <v>325</v>
      </c>
      <c r="B337" s="178" t="s">
        <v>265</v>
      </c>
    </row>
    <row r="338" spans="1:2">
      <c r="A338" s="177" t="s">
        <v>1918</v>
      </c>
      <c r="B338" s="183" t="s">
        <v>265</v>
      </c>
    </row>
    <row r="339" spans="1:2">
      <c r="A339" s="177" t="s">
        <v>1622</v>
      </c>
      <c r="B339" s="178" t="s">
        <v>265</v>
      </c>
    </row>
    <row r="340" spans="1:2">
      <c r="A340" s="177" t="s">
        <v>1622</v>
      </c>
      <c r="B340" s="183" t="s">
        <v>265</v>
      </c>
    </row>
    <row r="341" spans="1:2">
      <c r="A341" s="177" t="s">
        <v>1653</v>
      </c>
      <c r="B341" s="183" t="s">
        <v>265</v>
      </c>
    </row>
    <row r="342" spans="1:2">
      <c r="A342" s="177" t="s">
        <v>1653</v>
      </c>
      <c r="B342" s="183" t="s">
        <v>265</v>
      </c>
    </row>
    <row r="343" spans="1:2">
      <c r="A343" s="177" t="s">
        <v>1653</v>
      </c>
      <c r="B343" s="183" t="s">
        <v>265</v>
      </c>
    </row>
    <row r="344" spans="1:2">
      <c r="A344" s="177" t="s">
        <v>1653</v>
      </c>
      <c r="B344" s="183" t="s">
        <v>265</v>
      </c>
    </row>
    <row r="345" spans="1:2">
      <c r="A345" s="177" t="s">
        <v>1653</v>
      </c>
      <c r="B345" s="183" t="s">
        <v>265</v>
      </c>
    </row>
    <row r="346" spans="1:2">
      <c r="A346" s="177" t="s">
        <v>1653</v>
      </c>
      <c r="B346" s="183" t="s">
        <v>265</v>
      </c>
    </row>
    <row r="347" spans="1:2">
      <c r="A347" s="177" t="s">
        <v>1653</v>
      </c>
      <c r="B347" s="183" t="s">
        <v>265</v>
      </c>
    </row>
    <row r="348" spans="1:2">
      <c r="A348" s="177" t="s">
        <v>1653</v>
      </c>
      <c r="B348" s="183" t="s">
        <v>265</v>
      </c>
    </row>
    <row r="349" spans="1:2">
      <c r="A349" s="177" t="s">
        <v>1653</v>
      </c>
      <c r="B349" s="183" t="s">
        <v>265</v>
      </c>
    </row>
    <row r="350" spans="1:2">
      <c r="A350" s="177" t="s">
        <v>1653</v>
      </c>
      <c r="B350" s="183" t="s">
        <v>265</v>
      </c>
    </row>
    <row r="351" spans="1:2">
      <c r="A351" s="177" t="s">
        <v>1653</v>
      </c>
      <c r="B351" s="183" t="s">
        <v>265</v>
      </c>
    </row>
    <row r="352" spans="1:2">
      <c r="A352" s="177" t="s">
        <v>1653</v>
      </c>
      <c r="B352" s="183" t="s">
        <v>265</v>
      </c>
    </row>
    <row r="353" spans="1:2">
      <c r="A353" s="177" t="s">
        <v>1653</v>
      </c>
      <c r="B353" s="183" t="s">
        <v>265</v>
      </c>
    </row>
    <row r="354" spans="1:2">
      <c r="A354" s="177" t="s">
        <v>1653</v>
      </c>
      <c r="B354" s="183" t="s">
        <v>265</v>
      </c>
    </row>
    <row r="355" spans="1:2">
      <c r="A355" s="177" t="s">
        <v>1653</v>
      </c>
      <c r="B355" s="183" t="s">
        <v>265</v>
      </c>
    </row>
    <row r="356" spans="1:2">
      <c r="A356" s="177" t="s">
        <v>1653</v>
      </c>
      <c r="B356" s="183" t="s">
        <v>265</v>
      </c>
    </row>
    <row r="357" spans="1:2">
      <c r="A357" s="177" t="s">
        <v>1653</v>
      </c>
      <c r="B357" s="183" t="s">
        <v>265</v>
      </c>
    </row>
    <row r="358" spans="1:2">
      <c r="A358" s="177" t="s">
        <v>1653</v>
      </c>
      <c r="B358" s="183" t="s">
        <v>265</v>
      </c>
    </row>
    <row r="359" spans="1:2">
      <c r="A359" s="177" t="s">
        <v>1653</v>
      </c>
      <c r="B359" s="183" t="s">
        <v>265</v>
      </c>
    </row>
    <row r="360" spans="1:2">
      <c r="A360" s="177" t="s">
        <v>1653</v>
      </c>
      <c r="B360" s="183" t="s">
        <v>265</v>
      </c>
    </row>
    <row r="361" spans="1:2">
      <c r="A361" s="177" t="s">
        <v>1653</v>
      </c>
      <c r="B361" s="183" t="s">
        <v>265</v>
      </c>
    </row>
    <row r="362" spans="1:2">
      <c r="A362" s="177" t="s">
        <v>1653</v>
      </c>
      <c r="B362" s="183" t="s">
        <v>265</v>
      </c>
    </row>
    <row r="363" spans="1:2">
      <c r="A363" s="177" t="s">
        <v>1653</v>
      </c>
      <c r="B363" s="183" t="s">
        <v>265</v>
      </c>
    </row>
    <row r="364" spans="1:2">
      <c r="A364" s="177" t="s">
        <v>1653</v>
      </c>
      <c r="B364" s="183" t="s">
        <v>265</v>
      </c>
    </row>
    <row r="365" spans="1:2">
      <c r="A365" s="177" t="s">
        <v>1653</v>
      </c>
      <c r="B365" s="183" t="s">
        <v>265</v>
      </c>
    </row>
    <row r="366" spans="1:2">
      <c r="A366" s="177" t="s">
        <v>735</v>
      </c>
      <c r="B366" s="178"/>
    </row>
    <row r="367" spans="1:2">
      <c r="A367" s="177" t="s">
        <v>735</v>
      </c>
      <c r="B367" s="178"/>
    </row>
    <row r="368" spans="1:2">
      <c r="A368" s="179" t="s">
        <v>735</v>
      </c>
      <c r="B368" s="180"/>
    </row>
    <row r="369" spans="1:2">
      <c r="A369" s="177" t="s">
        <v>740</v>
      </c>
      <c r="B369" s="178"/>
    </row>
    <row r="370" spans="1:2">
      <c r="A370" s="177" t="s">
        <v>1193</v>
      </c>
      <c r="B370" s="183" t="s">
        <v>265</v>
      </c>
    </row>
    <row r="371" spans="1:2">
      <c r="A371" s="177" t="s">
        <v>1193</v>
      </c>
      <c r="B371" s="183" t="s">
        <v>265</v>
      </c>
    </row>
    <row r="372" spans="1:2">
      <c r="A372" s="177" t="s">
        <v>1193</v>
      </c>
      <c r="B372" s="183" t="s">
        <v>265</v>
      </c>
    </row>
    <row r="373" spans="1:2">
      <c r="A373" s="177" t="s">
        <v>1193</v>
      </c>
      <c r="B373" s="178" t="s">
        <v>265</v>
      </c>
    </row>
    <row r="374" spans="1:2">
      <c r="A374" s="179" t="s">
        <v>1193</v>
      </c>
      <c r="B374" s="180" t="s">
        <v>265</v>
      </c>
    </row>
    <row r="375" spans="1:2">
      <c r="A375" s="177" t="s">
        <v>1120</v>
      </c>
      <c r="B375" s="178" t="s">
        <v>265</v>
      </c>
    </row>
    <row r="376" spans="1:2">
      <c r="A376" s="177" t="s">
        <v>1120</v>
      </c>
      <c r="B376" s="178" t="s">
        <v>265</v>
      </c>
    </row>
    <row r="377" spans="1:2">
      <c r="A377" s="177" t="s">
        <v>2020</v>
      </c>
      <c r="B377" s="183" t="s">
        <v>265</v>
      </c>
    </row>
    <row r="378" spans="1:2">
      <c r="A378" s="179" t="s">
        <v>1126</v>
      </c>
      <c r="B378" s="180" t="s">
        <v>265</v>
      </c>
    </row>
    <row r="379" spans="1:2">
      <c r="A379" s="177" t="s">
        <v>1126</v>
      </c>
      <c r="B379" s="183" t="s">
        <v>265</v>
      </c>
    </row>
    <row r="380" spans="1:2">
      <c r="A380" s="177" t="s">
        <v>1126</v>
      </c>
      <c r="B380" s="183" t="s">
        <v>265</v>
      </c>
    </row>
    <row r="381" spans="1:2">
      <c r="A381" s="177" t="s">
        <v>1126</v>
      </c>
      <c r="B381" s="178" t="s">
        <v>265</v>
      </c>
    </row>
    <row r="382" spans="1:2">
      <c r="A382" s="177" t="s">
        <v>1126</v>
      </c>
      <c r="B382" s="178" t="s">
        <v>265</v>
      </c>
    </row>
    <row r="383" spans="1:2">
      <c r="A383" s="177" t="s">
        <v>1126</v>
      </c>
      <c r="B383" s="178" t="s">
        <v>265</v>
      </c>
    </row>
    <row r="384" spans="1:2">
      <c r="A384" s="177" t="s">
        <v>1126</v>
      </c>
      <c r="B384" s="178" t="s">
        <v>265</v>
      </c>
    </row>
    <row r="385" spans="1:2">
      <c r="A385" s="179" t="s">
        <v>3052</v>
      </c>
      <c r="B385" s="180" t="s">
        <v>265</v>
      </c>
    </row>
    <row r="386" spans="1:2">
      <c r="A386" s="179" t="s">
        <v>3052</v>
      </c>
      <c r="B386" s="180" t="s">
        <v>265</v>
      </c>
    </row>
    <row r="387" spans="1:2">
      <c r="A387" s="179" t="s">
        <v>3052</v>
      </c>
      <c r="B387" s="178" t="s">
        <v>265</v>
      </c>
    </row>
    <row r="388" spans="1:2">
      <c r="A388" s="179" t="s">
        <v>3229</v>
      </c>
      <c r="B388" s="180" t="s">
        <v>265</v>
      </c>
    </row>
    <row r="389" spans="1:2">
      <c r="A389" s="177" t="s">
        <v>1097</v>
      </c>
      <c r="B389" s="178" t="s">
        <v>265</v>
      </c>
    </row>
    <row r="390" spans="1:2">
      <c r="A390" s="179" t="s">
        <v>1246</v>
      </c>
      <c r="B390" s="180" t="s">
        <v>265</v>
      </c>
    </row>
    <row r="391" spans="1:2">
      <c r="A391" s="177" t="s">
        <v>1246</v>
      </c>
      <c r="B391" s="178" t="s">
        <v>265</v>
      </c>
    </row>
    <row r="392" spans="1:2">
      <c r="A392" s="177" t="s">
        <v>1246</v>
      </c>
      <c r="B392" s="178" t="s">
        <v>265</v>
      </c>
    </row>
    <row r="393" spans="1:2">
      <c r="A393" s="177" t="s">
        <v>1246</v>
      </c>
      <c r="B393" s="178" t="s">
        <v>265</v>
      </c>
    </row>
    <row r="394" spans="1:2">
      <c r="A394" s="179" t="s">
        <v>1246</v>
      </c>
      <c r="B394" s="180" t="s">
        <v>265</v>
      </c>
    </row>
    <row r="395" spans="1:2">
      <c r="A395" s="177" t="s">
        <v>3221</v>
      </c>
      <c r="B395" s="178" t="s">
        <v>265</v>
      </c>
    </row>
    <row r="396" spans="1:2">
      <c r="A396" s="177" t="s">
        <v>3221</v>
      </c>
      <c r="B396" s="178" t="s">
        <v>265</v>
      </c>
    </row>
    <row r="397" spans="1:2">
      <c r="A397" s="177" t="s">
        <v>260</v>
      </c>
      <c r="B397" s="178" t="s">
        <v>265</v>
      </c>
    </row>
    <row r="398" spans="1:2">
      <c r="A398" s="177" t="s">
        <v>260</v>
      </c>
      <c r="B398" s="178" t="s">
        <v>265</v>
      </c>
    </row>
    <row r="399" spans="1:2">
      <c r="A399" s="177" t="s">
        <v>260</v>
      </c>
      <c r="B399" s="178" t="s">
        <v>265</v>
      </c>
    </row>
    <row r="400" spans="1:2">
      <c r="A400" s="177" t="s">
        <v>260</v>
      </c>
      <c r="B400" s="178" t="s">
        <v>265</v>
      </c>
    </row>
    <row r="401" spans="1:2">
      <c r="A401" s="177" t="s">
        <v>260</v>
      </c>
      <c r="B401" s="178" t="s">
        <v>265</v>
      </c>
    </row>
    <row r="402" spans="1:2">
      <c r="A402" s="177" t="s">
        <v>2073</v>
      </c>
      <c r="B402" s="183" t="s">
        <v>265</v>
      </c>
    </row>
    <row r="403" spans="1:2">
      <c r="A403" s="177" t="s">
        <v>2075</v>
      </c>
      <c r="B403" s="178" t="s">
        <v>265</v>
      </c>
    </row>
    <row r="404" spans="1:2">
      <c r="A404" s="177" t="s">
        <v>2075</v>
      </c>
      <c r="B404" s="183" t="s">
        <v>265</v>
      </c>
    </row>
    <row r="405" spans="1:2">
      <c r="A405" s="177" t="s">
        <v>3188</v>
      </c>
      <c r="B405" s="178" t="s">
        <v>265</v>
      </c>
    </row>
    <row r="406" spans="1:2">
      <c r="A406" s="179" t="s">
        <v>259</v>
      </c>
      <c r="B406" s="180" t="s">
        <v>265</v>
      </c>
    </row>
    <row r="407" spans="1:2">
      <c r="A407" s="179" t="s">
        <v>259</v>
      </c>
      <c r="B407" s="180" t="s">
        <v>265</v>
      </c>
    </row>
    <row r="408" spans="1:2">
      <c r="A408" s="177" t="s">
        <v>259</v>
      </c>
      <c r="B408" s="178" t="s">
        <v>265</v>
      </c>
    </row>
    <row r="409" spans="1:2">
      <c r="A409" s="179" t="s">
        <v>259</v>
      </c>
      <c r="B409" s="178" t="s">
        <v>265</v>
      </c>
    </row>
    <row r="410" spans="1:2">
      <c r="A410" s="177" t="s">
        <v>259</v>
      </c>
      <c r="B410" s="183" t="s">
        <v>265</v>
      </c>
    </row>
    <row r="411" spans="1:2">
      <c r="A411" s="177" t="s">
        <v>259</v>
      </c>
      <c r="B411" s="178" t="s">
        <v>265</v>
      </c>
    </row>
    <row r="412" spans="1:2">
      <c r="A412" s="177" t="s">
        <v>1147</v>
      </c>
      <c r="B412" s="178" t="s">
        <v>265</v>
      </c>
    </row>
    <row r="413" spans="1:2">
      <c r="A413" s="177" t="s">
        <v>1159</v>
      </c>
      <c r="B413" s="178" t="s">
        <v>265</v>
      </c>
    </row>
    <row r="414" spans="1:2">
      <c r="A414" s="179" t="s">
        <v>3244</v>
      </c>
      <c r="B414" s="180" t="s">
        <v>265</v>
      </c>
    </row>
    <row r="415" spans="1:2">
      <c r="A415" s="177" t="s">
        <v>3244</v>
      </c>
      <c r="B415" s="178" t="s">
        <v>265</v>
      </c>
    </row>
    <row r="416" spans="1:2">
      <c r="A416" s="182" t="s">
        <v>179</v>
      </c>
      <c r="B416" s="183" t="s">
        <v>265</v>
      </c>
    </row>
    <row r="417" spans="1:2">
      <c r="A417" s="177" t="s">
        <v>509</v>
      </c>
      <c r="B417" s="183" t="s">
        <v>265</v>
      </c>
    </row>
    <row r="418" spans="1:2">
      <c r="A418" s="177" t="s">
        <v>509</v>
      </c>
      <c r="B418" s="183" t="s">
        <v>265</v>
      </c>
    </row>
    <row r="419" spans="1:2">
      <c r="A419" s="177" t="s">
        <v>509</v>
      </c>
      <c r="B419" s="183" t="s">
        <v>265</v>
      </c>
    </row>
    <row r="420" spans="1:2">
      <c r="A420" s="177" t="s">
        <v>509</v>
      </c>
      <c r="B420" s="183" t="s">
        <v>265</v>
      </c>
    </row>
    <row r="421" spans="1:2">
      <c r="A421" s="177" t="s">
        <v>509</v>
      </c>
      <c r="B421" s="183" t="s">
        <v>265</v>
      </c>
    </row>
    <row r="422" spans="1:2">
      <c r="A422" s="177" t="s">
        <v>509</v>
      </c>
      <c r="B422" s="183" t="s">
        <v>265</v>
      </c>
    </row>
    <row r="423" spans="1:2">
      <c r="A423" s="177" t="s">
        <v>509</v>
      </c>
      <c r="B423" s="183" t="s">
        <v>265</v>
      </c>
    </row>
    <row r="424" spans="1:2">
      <c r="A424" s="177" t="s">
        <v>509</v>
      </c>
      <c r="B424" s="183" t="s">
        <v>265</v>
      </c>
    </row>
    <row r="425" spans="1:2">
      <c r="A425" s="177" t="s">
        <v>509</v>
      </c>
      <c r="B425" s="183" t="s">
        <v>265</v>
      </c>
    </row>
    <row r="426" spans="1:2">
      <c r="A426" s="177" t="s">
        <v>509</v>
      </c>
      <c r="B426" s="183" t="s">
        <v>265</v>
      </c>
    </row>
    <row r="427" spans="1:2">
      <c r="A427" s="177" t="s">
        <v>509</v>
      </c>
      <c r="B427" s="183" t="s">
        <v>265</v>
      </c>
    </row>
    <row r="428" spans="1:2">
      <c r="A428" s="177" t="s">
        <v>509</v>
      </c>
      <c r="B428" s="178" t="s">
        <v>265</v>
      </c>
    </row>
    <row r="429" spans="1:2">
      <c r="A429" s="177" t="s">
        <v>509</v>
      </c>
      <c r="B429" s="178"/>
    </row>
    <row r="430" spans="1:2">
      <c r="A430" s="177" t="s">
        <v>509</v>
      </c>
      <c r="B430" s="178"/>
    </row>
    <row r="431" spans="1:2">
      <c r="A431" s="177" t="s">
        <v>509</v>
      </c>
      <c r="B431" s="178"/>
    </row>
    <row r="432" spans="1:2">
      <c r="A432" s="179" t="s">
        <v>509</v>
      </c>
      <c r="B432" s="180" t="s">
        <v>265</v>
      </c>
    </row>
    <row r="433" spans="1:2">
      <c r="A433" s="177" t="s">
        <v>509</v>
      </c>
      <c r="B433" s="178" t="s">
        <v>265</v>
      </c>
    </row>
    <row r="434" spans="1:2">
      <c r="A434" s="177" t="s">
        <v>816</v>
      </c>
      <c r="B434" s="178"/>
    </row>
    <row r="435" spans="1:2">
      <c r="A435" s="177" t="s">
        <v>1820</v>
      </c>
      <c r="B435" s="183" t="s">
        <v>265</v>
      </c>
    </row>
    <row r="436" spans="1:2">
      <c r="A436" s="182" t="s">
        <v>111</v>
      </c>
      <c r="B436" s="183" t="s">
        <v>265</v>
      </c>
    </row>
    <row r="437" spans="1:2">
      <c r="A437" s="177" t="s">
        <v>2214</v>
      </c>
      <c r="B437" s="183" t="s">
        <v>265</v>
      </c>
    </row>
    <row r="438" spans="1:2">
      <c r="A438" s="177" t="s">
        <v>2649</v>
      </c>
      <c r="B438" s="183" t="s">
        <v>265</v>
      </c>
    </row>
    <row r="439" spans="1:2">
      <c r="A439" s="177" t="s">
        <v>924</v>
      </c>
      <c r="B439" s="178"/>
    </row>
    <row r="440" spans="1:2">
      <c r="A440" s="179" t="s">
        <v>924</v>
      </c>
      <c r="B440" s="180"/>
    </row>
    <row r="441" spans="1:2">
      <c r="A441" s="177" t="s">
        <v>1822</v>
      </c>
      <c r="B441" s="183" t="s">
        <v>265</v>
      </c>
    </row>
    <row r="442" spans="1:2">
      <c r="A442" s="179" t="s">
        <v>85</v>
      </c>
      <c r="B442" s="180"/>
    </row>
    <row r="443" spans="1:2">
      <c r="A443" s="177" t="s">
        <v>85</v>
      </c>
      <c r="B443" s="178" t="s">
        <v>265</v>
      </c>
    </row>
    <row r="444" spans="1:2">
      <c r="A444" s="177" t="s">
        <v>85</v>
      </c>
      <c r="B444" s="178" t="s">
        <v>265</v>
      </c>
    </row>
    <row r="445" spans="1:2">
      <c r="A445" s="182" t="s">
        <v>85</v>
      </c>
      <c r="B445" s="183" t="s">
        <v>265</v>
      </c>
    </row>
    <row r="446" spans="1:2">
      <c r="A446" s="182" t="s">
        <v>85</v>
      </c>
      <c r="B446" s="183" t="s">
        <v>265</v>
      </c>
    </row>
    <row r="447" spans="1:2">
      <c r="A447" s="177" t="s">
        <v>863</v>
      </c>
      <c r="B447" s="178"/>
    </row>
    <row r="448" spans="1:2">
      <c r="A448" s="179" t="s">
        <v>863</v>
      </c>
      <c r="B448" s="180" t="s">
        <v>265</v>
      </c>
    </row>
    <row r="449" spans="1:2">
      <c r="A449" s="177" t="s">
        <v>500</v>
      </c>
      <c r="B449" s="178" t="s">
        <v>265</v>
      </c>
    </row>
    <row r="450" spans="1:2">
      <c r="A450" s="179" t="s">
        <v>501</v>
      </c>
      <c r="B450" s="180" t="s">
        <v>265</v>
      </c>
    </row>
    <row r="451" spans="1:2">
      <c r="A451" s="177" t="s">
        <v>155</v>
      </c>
      <c r="B451" s="178"/>
    </row>
    <row r="452" spans="1:2">
      <c r="A452" s="177" t="s">
        <v>155</v>
      </c>
      <c r="B452" s="178" t="s">
        <v>265</v>
      </c>
    </row>
    <row r="453" spans="1:2">
      <c r="A453" s="177" t="s">
        <v>1833</v>
      </c>
      <c r="B453" s="183" t="s">
        <v>265</v>
      </c>
    </row>
    <row r="454" spans="1:2">
      <c r="A454" s="177" t="s">
        <v>1927</v>
      </c>
      <c r="B454" s="183" t="s">
        <v>265</v>
      </c>
    </row>
    <row r="455" spans="1:2">
      <c r="A455" s="177" t="s">
        <v>2176</v>
      </c>
      <c r="B455" s="183" t="s">
        <v>265</v>
      </c>
    </row>
    <row r="456" spans="1:2">
      <c r="A456" s="177" t="s">
        <v>2420</v>
      </c>
      <c r="B456" s="183" t="s">
        <v>265</v>
      </c>
    </row>
    <row r="457" spans="1:2">
      <c r="A457" s="177" t="s">
        <v>2420</v>
      </c>
      <c r="B457" s="183" t="s">
        <v>265</v>
      </c>
    </row>
    <row r="458" spans="1:2">
      <c r="A458" s="177" t="s">
        <v>2122</v>
      </c>
      <c r="B458" s="183" t="s">
        <v>265</v>
      </c>
    </row>
    <row r="459" spans="1:2">
      <c r="A459" s="177" t="s">
        <v>2122</v>
      </c>
      <c r="B459" s="183" t="s">
        <v>265</v>
      </c>
    </row>
    <row r="460" spans="1:2">
      <c r="A460" s="177" t="s">
        <v>2122</v>
      </c>
      <c r="B460" s="183" t="s">
        <v>265</v>
      </c>
    </row>
    <row r="461" spans="1:2">
      <c r="A461" s="177" t="s">
        <v>1947</v>
      </c>
      <c r="B461" s="183" t="s">
        <v>265</v>
      </c>
    </row>
    <row r="462" spans="1:2">
      <c r="A462" s="177" t="s">
        <v>2250</v>
      </c>
      <c r="B462" s="183" t="s">
        <v>265</v>
      </c>
    </row>
    <row r="463" spans="1:2">
      <c r="A463" s="177" t="s">
        <v>507</v>
      </c>
      <c r="B463" s="178" t="s">
        <v>265</v>
      </c>
    </row>
    <row r="464" spans="1:2">
      <c r="A464" s="177" t="s">
        <v>1651</v>
      </c>
      <c r="B464" s="183" t="s">
        <v>1805</v>
      </c>
    </row>
    <row r="465" spans="1:2">
      <c r="A465" s="177" t="s">
        <v>1651</v>
      </c>
      <c r="B465" s="178"/>
    </row>
    <row r="466" spans="1:2">
      <c r="A466" s="177" t="s">
        <v>2055</v>
      </c>
      <c r="B466" s="183" t="s">
        <v>265</v>
      </c>
    </row>
    <row r="467" spans="1:2">
      <c r="A467" s="177" t="s">
        <v>138</v>
      </c>
      <c r="B467" s="183" t="s">
        <v>265</v>
      </c>
    </row>
    <row r="468" spans="1:2">
      <c r="A468" s="182" t="s">
        <v>138</v>
      </c>
      <c r="B468" s="183" t="s">
        <v>265</v>
      </c>
    </row>
    <row r="469" spans="1:2">
      <c r="A469" s="179" t="s">
        <v>812</v>
      </c>
      <c r="B469" s="180"/>
    </row>
    <row r="470" spans="1:2">
      <c r="A470" s="177" t="s">
        <v>812</v>
      </c>
      <c r="B470" s="178"/>
    </row>
    <row r="471" spans="1:2">
      <c r="A471" s="177" t="s">
        <v>812</v>
      </c>
      <c r="B471" s="178"/>
    </row>
    <row r="472" spans="1:2">
      <c r="A472" s="177" t="s">
        <v>812</v>
      </c>
      <c r="B472" s="178"/>
    </row>
    <row r="473" spans="1:2">
      <c r="A473" s="177" t="s">
        <v>2544</v>
      </c>
      <c r="B473" s="183" t="s">
        <v>265</v>
      </c>
    </row>
    <row r="474" spans="1:2">
      <c r="A474" s="177" t="s">
        <v>180</v>
      </c>
      <c r="B474" s="183" t="s">
        <v>265</v>
      </c>
    </row>
    <row r="475" spans="1:2">
      <c r="A475" s="177" t="s">
        <v>180</v>
      </c>
      <c r="B475" s="183" t="s">
        <v>265</v>
      </c>
    </row>
    <row r="476" spans="1:2">
      <c r="A476" s="177" t="s">
        <v>180</v>
      </c>
      <c r="B476" s="183" t="s">
        <v>265</v>
      </c>
    </row>
    <row r="477" spans="1:2">
      <c r="A477" s="177" t="s">
        <v>180</v>
      </c>
      <c r="B477" s="183" t="s">
        <v>265</v>
      </c>
    </row>
    <row r="478" spans="1:2">
      <c r="A478" s="177" t="s">
        <v>180</v>
      </c>
      <c r="B478" s="183" t="s">
        <v>265</v>
      </c>
    </row>
    <row r="479" spans="1:2">
      <c r="A479" s="177" t="s">
        <v>180</v>
      </c>
      <c r="B479" s="183" t="s">
        <v>265</v>
      </c>
    </row>
    <row r="480" spans="1:2">
      <c r="A480" s="177" t="s">
        <v>180</v>
      </c>
      <c r="B480" s="183" t="s">
        <v>265</v>
      </c>
    </row>
    <row r="481" spans="1:2">
      <c r="A481" s="177" t="s">
        <v>180</v>
      </c>
      <c r="B481" s="183" t="s">
        <v>265</v>
      </c>
    </row>
    <row r="482" spans="1:2">
      <c r="A482" s="177" t="s">
        <v>180</v>
      </c>
      <c r="B482" s="183" t="s">
        <v>265</v>
      </c>
    </row>
    <row r="483" spans="1:2">
      <c r="A483" s="177" t="s">
        <v>180</v>
      </c>
      <c r="B483" s="183" t="s">
        <v>265</v>
      </c>
    </row>
    <row r="484" spans="1:2">
      <c r="A484" s="177" t="s">
        <v>180</v>
      </c>
      <c r="B484" s="178"/>
    </row>
    <row r="485" spans="1:2">
      <c r="A485" s="177" t="s">
        <v>180</v>
      </c>
      <c r="B485" s="178" t="s">
        <v>265</v>
      </c>
    </row>
    <row r="486" spans="1:2">
      <c r="A486" s="182" t="s">
        <v>180</v>
      </c>
      <c r="B486" s="183" t="s">
        <v>265</v>
      </c>
    </row>
    <row r="487" spans="1:2">
      <c r="A487" s="182" t="s">
        <v>180</v>
      </c>
      <c r="B487" s="183" t="s">
        <v>265</v>
      </c>
    </row>
    <row r="488" spans="1:2">
      <c r="A488" s="177" t="s">
        <v>1613</v>
      </c>
      <c r="B488" s="183" t="s">
        <v>265</v>
      </c>
    </row>
    <row r="489" spans="1:2">
      <c r="A489" s="177" t="s">
        <v>128</v>
      </c>
      <c r="B489" s="183" t="s">
        <v>265</v>
      </c>
    </row>
    <row r="490" spans="1:2">
      <c r="A490" s="177" t="s">
        <v>128</v>
      </c>
      <c r="B490" s="183" t="s">
        <v>265</v>
      </c>
    </row>
    <row r="491" spans="1:2">
      <c r="A491" s="177" t="s">
        <v>128</v>
      </c>
      <c r="B491" s="183" t="s">
        <v>265</v>
      </c>
    </row>
    <row r="492" spans="1:2">
      <c r="A492" s="177" t="s">
        <v>128</v>
      </c>
      <c r="B492" s="183" t="s">
        <v>265</v>
      </c>
    </row>
    <row r="493" spans="1:2">
      <c r="A493" s="177" t="s">
        <v>128</v>
      </c>
      <c r="B493" s="183" t="s">
        <v>265</v>
      </c>
    </row>
    <row r="494" spans="1:2">
      <c r="A494" s="177" t="s">
        <v>128</v>
      </c>
      <c r="B494" s="183" t="s">
        <v>265</v>
      </c>
    </row>
    <row r="495" spans="1:2">
      <c r="A495" s="177" t="s">
        <v>128</v>
      </c>
      <c r="B495" s="183" t="s">
        <v>265</v>
      </c>
    </row>
    <row r="496" spans="1:2">
      <c r="A496" s="177" t="s">
        <v>128</v>
      </c>
      <c r="B496" s="183" t="s">
        <v>265</v>
      </c>
    </row>
    <row r="497" spans="1:2">
      <c r="A497" s="177" t="s">
        <v>128</v>
      </c>
      <c r="B497" s="183" t="s">
        <v>265</v>
      </c>
    </row>
    <row r="498" spans="1:2">
      <c r="A498" s="177" t="s">
        <v>128</v>
      </c>
      <c r="B498" s="183" t="s">
        <v>265</v>
      </c>
    </row>
    <row r="499" spans="1:2">
      <c r="A499" s="177" t="s">
        <v>128</v>
      </c>
      <c r="B499" s="183" t="s">
        <v>265</v>
      </c>
    </row>
    <row r="500" spans="1:2">
      <c r="A500" s="177" t="s">
        <v>128</v>
      </c>
      <c r="B500" s="183" t="s">
        <v>265</v>
      </c>
    </row>
    <row r="501" spans="1:2">
      <c r="A501" s="177" t="s">
        <v>128</v>
      </c>
      <c r="B501" s="183" t="s">
        <v>265</v>
      </c>
    </row>
    <row r="502" spans="1:2">
      <c r="A502" s="177" t="s">
        <v>128</v>
      </c>
      <c r="B502" s="183" t="s">
        <v>265</v>
      </c>
    </row>
    <row r="503" spans="1:2">
      <c r="A503" s="177" t="s">
        <v>128</v>
      </c>
      <c r="B503" s="183" t="s">
        <v>265</v>
      </c>
    </row>
    <row r="504" spans="1:2">
      <c r="A504" s="177" t="s">
        <v>128</v>
      </c>
      <c r="B504" s="183" t="s">
        <v>265</v>
      </c>
    </row>
    <row r="505" spans="1:2">
      <c r="A505" s="177" t="s">
        <v>128</v>
      </c>
      <c r="B505" s="183" t="s">
        <v>265</v>
      </c>
    </row>
    <row r="506" spans="1:2">
      <c r="A506" s="177" t="s">
        <v>128</v>
      </c>
      <c r="B506" s="183" t="s">
        <v>265</v>
      </c>
    </row>
    <row r="507" spans="1:2">
      <c r="A507" s="177" t="s">
        <v>128</v>
      </c>
      <c r="B507" s="178"/>
    </row>
    <row r="508" spans="1:2">
      <c r="A508" s="179" t="s">
        <v>128</v>
      </c>
      <c r="B508" s="180"/>
    </row>
    <row r="509" spans="1:2">
      <c r="A509" s="179" t="s">
        <v>128</v>
      </c>
      <c r="B509" s="180" t="s">
        <v>265</v>
      </c>
    </row>
    <row r="510" spans="1:2">
      <c r="A510" s="177" t="s">
        <v>128</v>
      </c>
      <c r="B510" s="178"/>
    </row>
    <row r="511" spans="1:2">
      <c r="A511" s="177" t="s">
        <v>128</v>
      </c>
      <c r="B511" s="178"/>
    </row>
    <row r="512" spans="1:2">
      <c r="A512" s="177" t="s">
        <v>128</v>
      </c>
      <c r="B512" s="178"/>
    </row>
    <row r="513" spans="1:2">
      <c r="A513" s="177" t="s">
        <v>128</v>
      </c>
      <c r="B513" s="178" t="s">
        <v>265</v>
      </c>
    </row>
    <row r="514" spans="1:2">
      <c r="A514" s="182" t="s">
        <v>128</v>
      </c>
      <c r="B514" s="183" t="s">
        <v>265</v>
      </c>
    </row>
    <row r="515" spans="1:2">
      <c r="A515" s="177" t="s">
        <v>1324</v>
      </c>
      <c r="B515" s="183" t="s">
        <v>265</v>
      </c>
    </row>
    <row r="516" spans="1:2">
      <c r="A516" s="177" t="s">
        <v>1324</v>
      </c>
      <c r="B516" s="183" t="s">
        <v>265</v>
      </c>
    </row>
    <row r="517" spans="1:2">
      <c r="A517" s="177" t="s">
        <v>1324</v>
      </c>
      <c r="B517" s="183" t="s">
        <v>265</v>
      </c>
    </row>
    <row r="518" spans="1:2">
      <c r="A518" s="177" t="s">
        <v>1324</v>
      </c>
      <c r="B518" s="178" t="s">
        <v>265</v>
      </c>
    </row>
    <row r="519" spans="1:2">
      <c r="A519" s="177" t="s">
        <v>118</v>
      </c>
      <c r="B519" s="183" t="s">
        <v>265</v>
      </c>
    </row>
    <row r="520" spans="1:2">
      <c r="A520" s="177" t="s">
        <v>118</v>
      </c>
      <c r="B520" s="183" t="s">
        <v>265</v>
      </c>
    </row>
    <row r="521" spans="1:2">
      <c r="A521" s="177" t="s">
        <v>118</v>
      </c>
      <c r="B521" s="183" t="s">
        <v>265</v>
      </c>
    </row>
    <row r="522" spans="1:2">
      <c r="A522" s="177" t="s">
        <v>118</v>
      </c>
      <c r="B522" s="183" t="s">
        <v>265</v>
      </c>
    </row>
    <row r="523" spans="1:2">
      <c r="A523" s="177" t="s">
        <v>118</v>
      </c>
      <c r="B523" s="183" t="s">
        <v>265</v>
      </c>
    </row>
    <row r="524" spans="1:2">
      <c r="A524" s="177" t="s">
        <v>118</v>
      </c>
      <c r="B524" s="183" t="s">
        <v>265</v>
      </c>
    </row>
    <row r="525" spans="1:2">
      <c r="A525" s="177" t="s">
        <v>118</v>
      </c>
      <c r="B525" s="183" t="s">
        <v>265</v>
      </c>
    </row>
    <row r="526" spans="1:2">
      <c r="A526" s="177" t="s">
        <v>118</v>
      </c>
      <c r="B526" s="183" t="s">
        <v>265</v>
      </c>
    </row>
    <row r="527" spans="1:2">
      <c r="A527" s="177" t="s">
        <v>118</v>
      </c>
      <c r="B527" s="183" t="s">
        <v>265</v>
      </c>
    </row>
    <row r="528" spans="1:2">
      <c r="A528" s="179" t="s">
        <v>118</v>
      </c>
      <c r="B528" s="180"/>
    </row>
    <row r="529" spans="1:2">
      <c r="A529" s="179" t="s">
        <v>118</v>
      </c>
      <c r="B529" s="180"/>
    </row>
    <row r="530" spans="1:2">
      <c r="A530" s="182" t="s">
        <v>118</v>
      </c>
      <c r="B530" s="183" t="s">
        <v>265</v>
      </c>
    </row>
    <row r="531" spans="1:2">
      <c r="A531" s="177" t="s">
        <v>550</v>
      </c>
      <c r="B531" s="183" t="s">
        <v>265</v>
      </c>
    </row>
    <row r="532" spans="1:2">
      <c r="A532" s="177" t="s">
        <v>550</v>
      </c>
      <c r="B532" s="178" t="s">
        <v>266</v>
      </c>
    </row>
    <row r="533" spans="1:2">
      <c r="A533" s="177" t="s">
        <v>550</v>
      </c>
      <c r="B533" s="183" t="s">
        <v>265</v>
      </c>
    </row>
    <row r="534" spans="1:2">
      <c r="A534" s="177" t="s">
        <v>550</v>
      </c>
      <c r="B534" s="183" t="s">
        <v>265</v>
      </c>
    </row>
    <row r="535" spans="1:2">
      <c r="A535" s="177" t="s">
        <v>550</v>
      </c>
      <c r="B535" s="183" t="s">
        <v>265</v>
      </c>
    </row>
    <row r="536" spans="1:2">
      <c r="A536" s="177" t="s">
        <v>550</v>
      </c>
      <c r="B536" s="183" t="s">
        <v>265</v>
      </c>
    </row>
    <row r="537" spans="1:2">
      <c r="A537" s="177" t="s">
        <v>550</v>
      </c>
      <c r="B537" s="183" t="s">
        <v>265</v>
      </c>
    </row>
    <row r="538" spans="1:2">
      <c r="A538" s="177" t="s">
        <v>550</v>
      </c>
      <c r="B538" s="183" t="s">
        <v>265</v>
      </c>
    </row>
    <row r="539" spans="1:2">
      <c r="A539" s="177" t="s">
        <v>550</v>
      </c>
      <c r="B539" s="183" t="s">
        <v>265</v>
      </c>
    </row>
    <row r="540" spans="1:2">
      <c r="A540" s="177" t="s">
        <v>550</v>
      </c>
      <c r="B540" s="183" t="s">
        <v>265</v>
      </c>
    </row>
    <row r="541" spans="1:2">
      <c r="A541" s="177" t="s">
        <v>550</v>
      </c>
      <c r="B541" s="183" t="s">
        <v>265</v>
      </c>
    </row>
    <row r="542" spans="1:2">
      <c r="A542" s="177" t="s">
        <v>550</v>
      </c>
      <c r="B542" s="183" t="s">
        <v>265</v>
      </c>
    </row>
    <row r="543" spans="1:2">
      <c r="A543" s="177" t="s">
        <v>550</v>
      </c>
      <c r="B543" s="183" t="s">
        <v>265</v>
      </c>
    </row>
    <row r="544" spans="1:2">
      <c r="A544" s="177" t="s">
        <v>550</v>
      </c>
      <c r="B544" s="183" t="s">
        <v>265</v>
      </c>
    </row>
    <row r="545" spans="1:2">
      <c r="A545" s="177" t="s">
        <v>550</v>
      </c>
      <c r="B545" s="178" t="s">
        <v>265</v>
      </c>
    </row>
    <row r="546" spans="1:2">
      <c r="A546" s="177" t="s">
        <v>550</v>
      </c>
      <c r="B546" s="178" t="s">
        <v>265</v>
      </c>
    </row>
    <row r="547" spans="1:2">
      <c r="A547" s="179" t="s">
        <v>550</v>
      </c>
      <c r="B547" s="180" t="s">
        <v>265</v>
      </c>
    </row>
    <row r="548" spans="1:2">
      <c r="A548" s="177" t="s">
        <v>550</v>
      </c>
      <c r="B548" s="178" t="s">
        <v>265</v>
      </c>
    </row>
    <row r="549" spans="1:2">
      <c r="A549" s="177" t="s">
        <v>550</v>
      </c>
      <c r="B549" s="178"/>
    </row>
    <row r="550" spans="1:2">
      <c r="A550" s="179" t="s">
        <v>550</v>
      </c>
      <c r="B550" s="180"/>
    </row>
    <row r="551" spans="1:2">
      <c r="A551" s="179" t="s">
        <v>550</v>
      </c>
      <c r="B551" s="180"/>
    </row>
    <row r="552" spans="1:2">
      <c r="A552" s="179" t="s">
        <v>550</v>
      </c>
      <c r="B552" s="180"/>
    </row>
    <row r="553" spans="1:2">
      <c r="A553" s="177" t="s">
        <v>550</v>
      </c>
      <c r="B553" s="178" t="s">
        <v>265</v>
      </c>
    </row>
    <row r="554" spans="1:2">
      <c r="A554" s="177" t="s">
        <v>550</v>
      </c>
      <c r="B554" s="178" t="s">
        <v>265</v>
      </c>
    </row>
    <row r="555" spans="1:2">
      <c r="A555" s="177" t="s">
        <v>2102</v>
      </c>
      <c r="B555" s="183" t="s">
        <v>265</v>
      </c>
    </row>
    <row r="556" spans="1:2">
      <c r="A556" s="177" t="s">
        <v>2102</v>
      </c>
      <c r="B556" s="183" t="s">
        <v>265</v>
      </c>
    </row>
    <row r="557" spans="1:2">
      <c r="A557" s="177" t="s">
        <v>2102</v>
      </c>
      <c r="B557" s="183" t="s">
        <v>265</v>
      </c>
    </row>
    <row r="558" spans="1:2">
      <c r="A558" s="177" t="s">
        <v>2526</v>
      </c>
      <c r="B558" s="183" t="s">
        <v>265</v>
      </c>
    </row>
    <row r="559" spans="1:2">
      <c r="A559" s="177" t="s">
        <v>2526</v>
      </c>
      <c r="B559" s="183" t="s">
        <v>265</v>
      </c>
    </row>
    <row r="560" spans="1:2">
      <c r="A560" s="177" t="s">
        <v>1772</v>
      </c>
      <c r="B560" s="183" t="s">
        <v>265</v>
      </c>
    </row>
    <row r="561" spans="1:2">
      <c r="A561" s="177" t="s">
        <v>1772</v>
      </c>
      <c r="B561" s="183"/>
    </row>
    <row r="562" spans="1:2">
      <c r="A562" s="177" t="s">
        <v>2335</v>
      </c>
      <c r="B562" s="183" t="s">
        <v>265</v>
      </c>
    </row>
    <row r="563" spans="1:2">
      <c r="A563" s="177" t="s">
        <v>2335</v>
      </c>
      <c r="B563" s="183" t="s">
        <v>265</v>
      </c>
    </row>
    <row r="564" spans="1:2">
      <c r="A564" s="177" t="s">
        <v>2253</v>
      </c>
      <c r="B564" s="183" t="s">
        <v>265</v>
      </c>
    </row>
    <row r="565" spans="1:2">
      <c r="A565" s="177" t="s">
        <v>2253</v>
      </c>
      <c r="B565" s="183" t="s">
        <v>265</v>
      </c>
    </row>
    <row r="566" spans="1:2">
      <c r="A566" s="177" t="s">
        <v>2253</v>
      </c>
      <c r="B566" s="183" t="s">
        <v>265</v>
      </c>
    </row>
    <row r="567" spans="1:2">
      <c r="A567" s="177" t="s">
        <v>2253</v>
      </c>
      <c r="B567" s="183" t="s">
        <v>265</v>
      </c>
    </row>
    <row r="568" spans="1:2">
      <c r="A568" s="177" t="s">
        <v>1964</v>
      </c>
      <c r="B568" s="183" t="s">
        <v>265</v>
      </c>
    </row>
    <row r="569" spans="1:2">
      <c r="A569" s="177" t="s">
        <v>151</v>
      </c>
      <c r="B569" s="183" t="s">
        <v>265</v>
      </c>
    </row>
    <row r="570" spans="1:2">
      <c r="A570" s="177" t="s">
        <v>151</v>
      </c>
      <c r="B570" s="183" t="s">
        <v>265</v>
      </c>
    </row>
    <row r="571" spans="1:2">
      <c r="A571" s="177" t="s">
        <v>151</v>
      </c>
      <c r="B571" s="183" t="s">
        <v>265</v>
      </c>
    </row>
    <row r="572" spans="1:2">
      <c r="A572" s="177" t="s">
        <v>151</v>
      </c>
      <c r="B572" s="183" t="s">
        <v>265</v>
      </c>
    </row>
    <row r="573" spans="1:2">
      <c r="A573" s="177" t="s">
        <v>151</v>
      </c>
      <c r="B573" s="183" t="s">
        <v>265</v>
      </c>
    </row>
    <row r="574" spans="1:2">
      <c r="A574" s="177" t="s">
        <v>151</v>
      </c>
      <c r="B574" s="183" t="s">
        <v>265</v>
      </c>
    </row>
    <row r="575" spans="1:2">
      <c r="A575" s="177" t="s">
        <v>151</v>
      </c>
      <c r="B575" s="183" t="s">
        <v>265</v>
      </c>
    </row>
    <row r="576" spans="1:2">
      <c r="A576" s="177" t="s">
        <v>151</v>
      </c>
      <c r="B576" s="183" t="s">
        <v>265</v>
      </c>
    </row>
    <row r="577" spans="1:2">
      <c r="A577" s="177" t="s">
        <v>151</v>
      </c>
      <c r="B577" s="183" t="s">
        <v>265</v>
      </c>
    </row>
    <row r="578" spans="1:2">
      <c r="A578" s="177" t="s">
        <v>151</v>
      </c>
      <c r="B578" s="183" t="s">
        <v>265</v>
      </c>
    </row>
    <row r="579" spans="1:2">
      <c r="A579" s="177" t="s">
        <v>151</v>
      </c>
      <c r="B579" s="183" t="s">
        <v>265</v>
      </c>
    </row>
    <row r="580" spans="1:2">
      <c r="A580" s="177" t="s">
        <v>151</v>
      </c>
      <c r="B580" s="183" t="s">
        <v>265</v>
      </c>
    </row>
    <row r="581" spans="1:2">
      <c r="A581" s="179" t="s">
        <v>151</v>
      </c>
      <c r="B581" s="180" t="s">
        <v>265</v>
      </c>
    </row>
    <row r="582" spans="1:2">
      <c r="A582" s="179" t="s">
        <v>151</v>
      </c>
      <c r="B582" s="180" t="s">
        <v>265</v>
      </c>
    </row>
    <row r="583" spans="1:2">
      <c r="A583" s="177" t="s">
        <v>151</v>
      </c>
      <c r="B583" s="178" t="s">
        <v>265</v>
      </c>
    </row>
    <row r="584" spans="1:2">
      <c r="A584" s="177" t="s">
        <v>151</v>
      </c>
      <c r="B584" s="178"/>
    </row>
    <row r="585" spans="1:2">
      <c r="A585" s="177" t="s">
        <v>151</v>
      </c>
      <c r="B585" s="178"/>
    </row>
    <row r="586" spans="1:2">
      <c r="A586" s="182" t="s">
        <v>151</v>
      </c>
      <c r="B586" s="183" t="s">
        <v>265</v>
      </c>
    </row>
    <row r="587" spans="1:2">
      <c r="A587" s="177" t="s">
        <v>2210</v>
      </c>
      <c r="B587" s="183" t="s">
        <v>265</v>
      </c>
    </row>
    <row r="588" spans="1:2">
      <c r="A588" s="179" t="s">
        <v>530</v>
      </c>
      <c r="B588" s="180"/>
    </row>
    <row r="589" spans="1:2">
      <c r="A589" s="177" t="s">
        <v>530</v>
      </c>
      <c r="B589" s="178" t="s">
        <v>265</v>
      </c>
    </row>
    <row r="590" spans="1:2">
      <c r="A590" s="177" t="s">
        <v>530</v>
      </c>
      <c r="B590" s="178" t="s">
        <v>265</v>
      </c>
    </row>
    <row r="591" spans="1:2">
      <c r="A591" s="177" t="s">
        <v>173</v>
      </c>
      <c r="B591" s="183" t="s">
        <v>265</v>
      </c>
    </row>
    <row r="592" spans="1:2">
      <c r="A592" s="177" t="s">
        <v>173</v>
      </c>
      <c r="B592" s="183" t="s">
        <v>265</v>
      </c>
    </row>
    <row r="593" spans="1:2">
      <c r="A593" s="177" t="s">
        <v>173</v>
      </c>
      <c r="B593" s="183" t="s">
        <v>265</v>
      </c>
    </row>
    <row r="594" spans="1:2">
      <c r="A594" s="177" t="s">
        <v>173</v>
      </c>
      <c r="B594" s="183" t="s">
        <v>265</v>
      </c>
    </row>
    <row r="595" spans="1:2">
      <c r="A595" s="177" t="s">
        <v>173</v>
      </c>
      <c r="B595" s="183" t="s">
        <v>265</v>
      </c>
    </row>
    <row r="596" spans="1:2">
      <c r="A596" s="177" t="s">
        <v>173</v>
      </c>
      <c r="B596" s="183" t="s">
        <v>265</v>
      </c>
    </row>
    <row r="597" spans="1:2">
      <c r="A597" s="177" t="s">
        <v>173</v>
      </c>
      <c r="B597" s="183" t="s">
        <v>265</v>
      </c>
    </row>
    <row r="598" spans="1:2">
      <c r="A598" s="179" t="s">
        <v>173</v>
      </c>
      <c r="B598" s="180" t="s">
        <v>265</v>
      </c>
    </row>
    <row r="599" spans="1:2">
      <c r="A599" s="179" t="s">
        <v>173</v>
      </c>
      <c r="B599" s="180"/>
    </row>
    <row r="600" spans="1:2">
      <c r="A600" s="177" t="s">
        <v>173</v>
      </c>
      <c r="B600" s="178" t="s">
        <v>265</v>
      </c>
    </row>
    <row r="601" spans="1:2">
      <c r="A601" s="177" t="s">
        <v>173</v>
      </c>
      <c r="B601" s="178" t="s">
        <v>265</v>
      </c>
    </row>
    <row r="602" spans="1:2">
      <c r="A602" s="182" t="s">
        <v>173</v>
      </c>
      <c r="B602" s="183" t="s">
        <v>265</v>
      </c>
    </row>
    <row r="603" spans="1:2">
      <c r="A603" s="177" t="s">
        <v>2201</v>
      </c>
      <c r="B603" s="183" t="s">
        <v>265</v>
      </c>
    </row>
    <row r="604" spans="1:2">
      <c r="A604" s="177" t="s">
        <v>2201</v>
      </c>
      <c r="B604" s="183" t="s">
        <v>265</v>
      </c>
    </row>
    <row r="605" spans="1:2">
      <c r="A605" s="177" t="s">
        <v>2201</v>
      </c>
      <c r="B605" s="183" t="s">
        <v>265</v>
      </c>
    </row>
    <row r="606" spans="1:2">
      <c r="A606" s="177" t="s">
        <v>2201</v>
      </c>
      <c r="B606" s="183" t="s">
        <v>265</v>
      </c>
    </row>
    <row r="607" spans="1:2">
      <c r="A607" s="177" t="s">
        <v>2201</v>
      </c>
      <c r="B607" s="183" t="s">
        <v>265</v>
      </c>
    </row>
    <row r="608" spans="1:2">
      <c r="A608" s="177" t="s">
        <v>2201</v>
      </c>
      <c r="B608" s="183" t="s">
        <v>265</v>
      </c>
    </row>
    <row r="609" spans="1:2">
      <c r="A609" s="177" t="s">
        <v>166</v>
      </c>
      <c r="B609" s="183" t="s">
        <v>265</v>
      </c>
    </row>
    <row r="610" spans="1:2">
      <c r="A610" s="177" t="s">
        <v>166</v>
      </c>
      <c r="B610" s="183" t="s">
        <v>265</v>
      </c>
    </row>
    <row r="611" spans="1:2">
      <c r="A611" s="177" t="s">
        <v>166</v>
      </c>
      <c r="B611" s="183" t="s">
        <v>265</v>
      </c>
    </row>
    <row r="612" spans="1:2">
      <c r="A612" s="177" t="s">
        <v>166</v>
      </c>
      <c r="B612" s="183" t="s">
        <v>265</v>
      </c>
    </row>
    <row r="613" spans="1:2">
      <c r="A613" s="177" t="s">
        <v>166</v>
      </c>
      <c r="B613" s="178"/>
    </row>
    <row r="614" spans="1:2">
      <c r="A614" s="179" t="s">
        <v>166</v>
      </c>
      <c r="B614" s="180" t="s">
        <v>265</v>
      </c>
    </row>
    <row r="615" spans="1:2">
      <c r="A615" s="179" t="s">
        <v>166</v>
      </c>
      <c r="B615" s="180" t="s">
        <v>265</v>
      </c>
    </row>
    <row r="616" spans="1:2">
      <c r="A616" s="182" t="s">
        <v>166</v>
      </c>
      <c r="B616" s="183" t="s">
        <v>265</v>
      </c>
    </row>
    <row r="617" spans="1:2">
      <c r="A617" s="177" t="s">
        <v>2788</v>
      </c>
      <c r="B617" s="183" t="s">
        <v>265</v>
      </c>
    </row>
    <row r="618" spans="1:2">
      <c r="A618" s="177" t="s">
        <v>2713</v>
      </c>
      <c r="B618" s="178" t="s">
        <v>266</v>
      </c>
    </row>
    <row r="619" spans="1:2">
      <c r="A619" s="177" t="s">
        <v>1795</v>
      </c>
      <c r="B619" s="183" t="s">
        <v>265</v>
      </c>
    </row>
    <row r="620" spans="1:2">
      <c r="A620" s="177" t="s">
        <v>533</v>
      </c>
      <c r="B620" s="183" t="s">
        <v>265</v>
      </c>
    </row>
    <row r="621" spans="1:2">
      <c r="A621" s="177" t="s">
        <v>533</v>
      </c>
      <c r="B621" s="183" t="s">
        <v>265</v>
      </c>
    </row>
    <row r="622" spans="1:2">
      <c r="A622" s="177" t="s">
        <v>533</v>
      </c>
      <c r="B622" s="183" t="s">
        <v>265</v>
      </c>
    </row>
    <row r="623" spans="1:2">
      <c r="A623" s="177" t="s">
        <v>533</v>
      </c>
      <c r="B623" s="183" t="s">
        <v>265</v>
      </c>
    </row>
    <row r="624" spans="1:2">
      <c r="A624" s="177" t="s">
        <v>533</v>
      </c>
      <c r="B624" s="183" t="s">
        <v>265</v>
      </c>
    </row>
    <row r="625" spans="1:2">
      <c r="A625" s="179" t="s">
        <v>533</v>
      </c>
      <c r="B625" s="180" t="s">
        <v>265</v>
      </c>
    </row>
    <row r="626" spans="1:2">
      <c r="A626" s="177" t="s">
        <v>503</v>
      </c>
      <c r="B626" s="183" t="s">
        <v>265</v>
      </c>
    </row>
    <row r="627" spans="1:2" hidden="1">
      <c r="A627" s="177" t="s">
        <v>503</v>
      </c>
      <c r="B627" s="183" t="s">
        <v>265</v>
      </c>
    </row>
    <row r="628" spans="1:2" hidden="1">
      <c r="A628" s="177" t="s">
        <v>503</v>
      </c>
      <c r="B628" s="183" t="s">
        <v>265</v>
      </c>
    </row>
    <row r="629" spans="1:2" hidden="1">
      <c r="A629" s="177" t="s">
        <v>503</v>
      </c>
      <c r="B629" s="183" t="s">
        <v>265</v>
      </c>
    </row>
    <row r="630" spans="1:2" hidden="1">
      <c r="A630" s="177" t="s">
        <v>503</v>
      </c>
      <c r="B630" s="183" t="s">
        <v>265</v>
      </c>
    </row>
    <row r="631" spans="1:2" hidden="1">
      <c r="A631" s="177" t="s">
        <v>503</v>
      </c>
      <c r="B631" s="183" t="s">
        <v>265</v>
      </c>
    </row>
    <row r="632" spans="1:2" hidden="1">
      <c r="A632" s="177" t="s">
        <v>503</v>
      </c>
      <c r="B632" s="183" t="s">
        <v>265</v>
      </c>
    </row>
    <row r="633" spans="1:2" hidden="1">
      <c r="A633" s="177" t="s">
        <v>503</v>
      </c>
      <c r="B633" s="183" t="s">
        <v>265</v>
      </c>
    </row>
    <row r="634" spans="1:2" hidden="1">
      <c r="A634" s="177" t="s">
        <v>503</v>
      </c>
      <c r="B634" s="183" t="s">
        <v>265</v>
      </c>
    </row>
    <row r="635" spans="1:2" hidden="1">
      <c r="A635" s="177" t="s">
        <v>503</v>
      </c>
      <c r="B635" s="183" t="s">
        <v>265</v>
      </c>
    </row>
    <row r="636" spans="1:2" hidden="1">
      <c r="A636" s="177" t="s">
        <v>503</v>
      </c>
      <c r="B636" s="183" t="s">
        <v>265</v>
      </c>
    </row>
    <row r="637" spans="1:2" hidden="1">
      <c r="A637" s="179" t="s">
        <v>503</v>
      </c>
      <c r="B637" s="183" t="s">
        <v>265</v>
      </c>
    </row>
    <row r="638" spans="1:2" hidden="1">
      <c r="A638" s="177" t="s">
        <v>503</v>
      </c>
      <c r="B638" s="178" t="s">
        <v>265</v>
      </c>
    </row>
    <row r="639" spans="1:2" hidden="1">
      <c r="A639" s="177" t="s">
        <v>503</v>
      </c>
      <c r="B639" s="178" t="s">
        <v>265</v>
      </c>
    </row>
    <row r="640" spans="1:2" hidden="1">
      <c r="A640" s="177" t="s">
        <v>503</v>
      </c>
      <c r="B640" s="178" t="s">
        <v>265</v>
      </c>
    </row>
    <row r="641" spans="1:2" hidden="1">
      <c r="A641" s="177" t="s">
        <v>503</v>
      </c>
      <c r="B641" s="178" t="s">
        <v>265</v>
      </c>
    </row>
    <row r="642" spans="1:2" hidden="1">
      <c r="A642" s="177" t="s">
        <v>2630</v>
      </c>
      <c r="B642" s="178" t="s">
        <v>2238</v>
      </c>
    </row>
    <row r="643" spans="1:2">
      <c r="A643" s="177" t="s">
        <v>2505</v>
      </c>
      <c r="B643" s="178" t="s">
        <v>2238</v>
      </c>
    </row>
    <row r="644" spans="1:2" hidden="1">
      <c r="A644" s="177" t="s">
        <v>2505</v>
      </c>
      <c r="B644" s="178" t="s">
        <v>2238</v>
      </c>
    </row>
    <row r="645" spans="1:2" hidden="1">
      <c r="A645" s="177" t="s">
        <v>3031</v>
      </c>
      <c r="B645" s="178" t="s">
        <v>2238</v>
      </c>
    </row>
    <row r="646" spans="1:2" hidden="1">
      <c r="A646" s="179" t="s">
        <v>3031</v>
      </c>
      <c r="B646" s="178" t="s">
        <v>2238</v>
      </c>
    </row>
    <row r="647" spans="1:2" hidden="1">
      <c r="A647" s="177" t="s">
        <v>2696</v>
      </c>
      <c r="B647" s="178" t="s">
        <v>2238</v>
      </c>
    </row>
    <row r="648" spans="1:2" hidden="1">
      <c r="A648" s="177" t="s">
        <v>2696</v>
      </c>
      <c r="B648" s="178" t="s">
        <v>2238</v>
      </c>
    </row>
    <row r="649" spans="1:2" hidden="1">
      <c r="A649" s="177" t="s">
        <v>2696</v>
      </c>
      <c r="B649" s="178" t="s">
        <v>2238</v>
      </c>
    </row>
    <row r="650" spans="1:2">
      <c r="A650" s="177" t="s">
        <v>3077</v>
      </c>
      <c r="B650" s="178" t="s">
        <v>2238</v>
      </c>
    </row>
    <row r="651" spans="1:2" hidden="1">
      <c r="A651" s="179" t="s">
        <v>3077</v>
      </c>
      <c r="B651" s="180" t="s">
        <v>2238</v>
      </c>
    </row>
    <row r="652" spans="1:2" hidden="1">
      <c r="A652" s="177" t="s">
        <v>3077</v>
      </c>
      <c r="B652" s="178" t="s">
        <v>2238</v>
      </c>
    </row>
    <row r="653" spans="1:2" hidden="1">
      <c r="A653" s="177" t="s">
        <v>3077</v>
      </c>
      <c r="B653" s="178" t="s">
        <v>2238</v>
      </c>
    </row>
    <row r="654" spans="1:2" hidden="1">
      <c r="A654" s="179" t="s">
        <v>3077</v>
      </c>
      <c r="B654" s="180" t="s">
        <v>2238</v>
      </c>
    </row>
    <row r="655" spans="1:2" hidden="1">
      <c r="A655" s="177" t="s">
        <v>3077</v>
      </c>
      <c r="B655" s="178" t="s">
        <v>2238</v>
      </c>
    </row>
    <row r="656" spans="1:2" hidden="1">
      <c r="A656" s="177" t="s">
        <v>3077</v>
      </c>
      <c r="B656" s="178" t="s">
        <v>2238</v>
      </c>
    </row>
    <row r="657" spans="1:2" hidden="1">
      <c r="A657" s="177" t="s">
        <v>3077</v>
      </c>
      <c r="B657" s="178" t="s">
        <v>2238</v>
      </c>
    </row>
    <row r="658" spans="1:2" hidden="1">
      <c r="A658" s="179" t="s">
        <v>3077</v>
      </c>
      <c r="B658" s="180" t="s">
        <v>2238</v>
      </c>
    </row>
    <row r="659" spans="1:2" hidden="1">
      <c r="A659" s="179" t="s">
        <v>2237</v>
      </c>
      <c r="B659" s="178" t="s">
        <v>2238</v>
      </c>
    </row>
    <row r="660" spans="1:2" hidden="1">
      <c r="A660" s="177" t="s">
        <v>2237</v>
      </c>
      <c r="B660" s="178" t="s">
        <v>2238</v>
      </c>
    </row>
    <row r="661" spans="1:2" hidden="1">
      <c r="A661" s="177" t="s">
        <v>2237</v>
      </c>
      <c r="B661" s="178" t="s">
        <v>2238</v>
      </c>
    </row>
    <row r="662" spans="1:2" hidden="1">
      <c r="A662" s="177" t="s">
        <v>2237</v>
      </c>
      <c r="B662" s="178" t="s">
        <v>2238</v>
      </c>
    </row>
    <row r="663" spans="1:2" hidden="1">
      <c r="A663" s="177" t="s">
        <v>2237</v>
      </c>
      <c r="B663" s="178" t="s">
        <v>2238</v>
      </c>
    </row>
    <row r="664" spans="1:2" hidden="1">
      <c r="A664" s="177" t="s">
        <v>2237</v>
      </c>
      <c r="B664" s="178" t="s">
        <v>2238</v>
      </c>
    </row>
    <row r="665" spans="1:2" hidden="1">
      <c r="A665" s="177" t="s">
        <v>2237</v>
      </c>
      <c r="B665" s="178" t="s">
        <v>2238</v>
      </c>
    </row>
    <row r="666" spans="1:2" hidden="1">
      <c r="A666" s="177" t="s">
        <v>2237</v>
      </c>
      <c r="B666" s="178" t="s">
        <v>2238</v>
      </c>
    </row>
    <row r="667" spans="1:2" hidden="1">
      <c r="A667" s="177" t="s">
        <v>2237</v>
      </c>
      <c r="B667" s="178" t="s">
        <v>2238</v>
      </c>
    </row>
    <row r="668" spans="1:2" hidden="1">
      <c r="A668" s="177" t="s">
        <v>2237</v>
      </c>
      <c r="B668" s="178" t="s">
        <v>2238</v>
      </c>
    </row>
    <row r="669" spans="1:2" hidden="1">
      <c r="A669" s="177" t="s">
        <v>2237</v>
      </c>
      <c r="B669" s="178" t="s">
        <v>2238</v>
      </c>
    </row>
    <row r="670" spans="1:2" hidden="1">
      <c r="A670" s="177" t="s">
        <v>2237</v>
      </c>
      <c r="B670" s="178" t="s">
        <v>2238</v>
      </c>
    </row>
    <row r="671" spans="1:2" hidden="1">
      <c r="A671" s="177" t="s">
        <v>2237</v>
      </c>
      <c r="B671" s="178" t="s">
        <v>2238</v>
      </c>
    </row>
    <row r="672" spans="1:2" hidden="1">
      <c r="A672" s="177" t="s">
        <v>2237</v>
      </c>
      <c r="B672" s="178" t="s">
        <v>2238</v>
      </c>
    </row>
    <row r="673" spans="1:2" hidden="1">
      <c r="A673" s="177" t="s">
        <v>2237</v>
      </c>
      <c r="B673" s="178" t="s">
        <v>2238</v>
      </c>
    </row>
    <row r="674" spans="1:2" hidden="1">
      <c r="A674" s="177" t="s">
        <v>2237</v>
      </c>
      <c r="B674" s="178" t="s">
        <v>2238</v>
      </c>
    </row>
    <row r="675" spans="1:2" hidden="1">
      <c r="A675" s="177" t="s">
        <v>2237</v>
      </c>
      <c r="B675" s="178" t="s">
        <v>2238</v>
      </c>
    </row>
    <row r="676" spans="1:2" hidden="1">
      <c r="A676" s="177" t="s">
        <v>2237</v>
      </c>
      <c r="B676" s="178" t="s">
        <v>2238</v>
      </c>
    </row>
    <row r="677" spans="1:2" hidden="1">
      <c r="A677" s="177" t="s">
        <v>2237</v>
      </c>
      <c r="B677" s="178" t="s">
        <v>2238</v>
      </c>
    </row>
    <row r="678" spans="1:2" hidden="1">
      <c r="A678" s="177" t="s">
        <v>2237</v>
      </c>
      <c r="B678" s="178" t="s">
        <v>2238</v>
      </c>
    </row>
    <row r="679" spans="1:2" hidden="1">
      <c r="A679" s="177" t="s">
        <v>2237</v>
      </c>
      <c r="B679" s="183" t="s">
        <v>2238</v>
      </c>
    </row>
    <row r="680" spans="1:2" hidden="1">
      <c r="A680" s="177" t="s">
        <v>2237</v>
      </c>
      <c r="B680" s="183" t="s">
        <v>2238</v>
      </c>
    </row>
    <row r="681" spans="1:2" hidden="1">
      <c r="A681" s="177" t="s">
        <v>2237</v>
      </c>
      <c r="B681" s="183" t="s">
        <v>2238</v>
      </c>
    </row>
    <row r="682" spans="1:2" hidden="1">
      <c r="A682" s="177" t="s">
        <v>2237</v>
      </c>
      <c r="B682" s="183" t="s">
        <v>2238</v>
      </c>
    </row>
    <row r="683" spans="1:2" hidden="1">
      <c r="A683" s="177" t="s">
        <v>2237</v>
      </c>
      <c r="B683" s="183" t="s">
        <v>2238</v>
      </c>
    </row>
    <row r="684" spans="1:2" hidden="1">
      <c r="A684" s="177" t="s">
        <v>2237</v>
      </c>
      <c r="B684" s="178" t="s">
        <v>2238</v>
      </c>
    </row>
    <row r="685" spans="1:2" hidden="1">
      <c r="A685" s="177" t="s">
        <v>2237</v>
      </c>
      <c r="B685" s="178" t="s">
        <v>2238</v>
      </c>
    </row>
    <row r="686" spans="1:2" hidden="1">
      <c r="A686" s="177" t="s">
        <v>2237</v>
      </c>
      <c r="B686" s="178" t="s">
        <v>2238</v>
      </c>
    </row>
    <row r="687" spans="1:2" hidden="1">
      <c r="A687" s="177" t="s">
        <v>2237</v>
      </c>
      <c r="B687" s="178" t="s">
        <v>2238</v>
      </c>
    </row>
    <row r="688" spans="1:2" hidden="1">
      <c r="A688" s="177" t="s">
        <v>2237</v>
      </c>
      <c r="B688" s="178" t="s">
        <v>2238</v>
      </c>
    </row>
    <row r="689" spans="1:2">
      <c r="A689" s="179" t="s">
        <v>3034</v>
      </c>
      <c r="B689" s="178" t="s">
        <v>265</v>
      </c>
    </row>
    <row r="690" spans="1:2">
      <c r="A690" s="177" t="s">
        <v>2512</v>
      </c>
      <c r="B690" s="178" t="s">
        <v>2238</v>
      </c>
    </row>
    <row r="691" spans="1:2">
      <c r="A691" s="179" t="s">
        <v>3051</v>
      </c>
      <c r="B691" s="180" t="s">
        <v>265</v>
      </c>
    </row>
    <row r="692" spans="1:2" hidden="1">
      <c r="A692" s="177" t="s">
        <v>3051</v>
      </c>
      <c r="B692" s="178" t="s">
        <v>265</v>
      </c>
    </row>
    <row r="693" spans="1:2" hidden="1">
      <c r="A693" s="177" t="s">
        <v>3051</v>
      </c>
      <c r="B693" s="178" t="s">
        <v>265</v>
      </c>
    </row>
    <row r="694" spans="1:2" hidden="1">
      <c r="A694" s="177" t="s">
        <v>1061</v>
      </c>
      <c r="B694" s="183" t="s">
        <v>265</v>
      </c>
    </row>
    <row r="695" spans="1:2" hidden="1">
      <c r="A695" s="177" t="s">
        <v>1061</v>
      </c>
      <c r="B695" s="183" t="s">
        <v>265</v>
      </c>
    </row>
    <row r="696" spans="1:2" hidden="1">
      <c r="A696" s="177" t="s">
        <v>1061</v>
      </c>
      <c r="B696" s="183" t="s">
        <v>265</v>
      </c>
    </row>
    <row r="697" spans="1:2" hidden="1">
      <c r="A697" s="177" t="s">
        <v>1061</v>
      </c>
      <c r="B697" s="183" t="s">
        <v>265</v>
      </c>
    </row>
    <row r="698" spans="1:2" hidden="1">
      <c r="A698" s="177" t="s">
        <v>1061</v>
      </c>
      <c r="B698" s="178"/>
    </row>
    <row r="699" spans="1:2" hidden="1">
      <c r="A699" s="177" t="s">
        <v>1061</v>
      </c>
      <c r="B699" s="178"/>
    </row>
    <row r="700" spans="1:2">
      <c r="A700" s="177" t="s">
        <v>502</v>
      </c>
      <c r="B700" s="178" t="s">
        <v>265</v>
      </c>
    </row>
    <row r="701" spans="1:2" hidden="1">
      <c r="A701" s="177" t="s">
        <v>502</v>
      </c>
      <c r="B701" s="178" t="s">
        <v>265</v>
      </c>
    </row>
    <row r="702" spans="1:2" hidden="1">
      <c r="A702" s="177" t="s">
        <v>502</v>
      </c>
      <c r="B702" s="183" t="s">
        <v>265</v>
      </c>
    </row>
    <row r="703" spans="1:2" hidden="1">
      <c r="A703" s="177" t="s">
        <v>502</v>
      </c>
      <c r="B703" s="183" t="s">
        <v>265</v>
      </c>
    </row>
    <row r="704" spans="1:2" hidden="1">
      <c r="A704" s="177" t="s">
        <v>502</v>
      </c>
      <c r="B704" s="183" t="s">
        <v>265</v>
      </c>
    </row>
    <row r="705" spans="1:2" hidden="1">
      <c r="A705" s="177" t="s">
        <v>502</v>
      </c>
      <c r="B705" s="183" t="s">
        <v>265</v>
      </c>
    </row>
    <row r="706" spans="1:2" hidden="1">
      <c r="A706" s="177" t="s">
        <v>502</v>
      </c>
      <c r="B706" s="183" t="s">
        <v>265</v>
      </c>
    </row>
    <row r="707" spans="1:2" hidden="1">
      <c r="A707" s="177" t="s">
        <v>502</v>
      </c>
      <c r="B707" s="183" t="s">
        <v>265</v>
      </c>
    </row>
    <row r="708" spans="1:2" hidden="1">
      <c r="A708" s="177" t="s">
        <v>502</v>
      </c>
      <c r="B708" s="183" t="s">
        <v>265</v>
      </c>
    </row>
    <row r="709" spans="1:2" hidden="1">
      <c r="A709" s="177" t="s">
        <v>502</v>
      </c>
      <c r="B709" s="183" t="s">
        <v>265</v>
      </c>
    </row>
    <row r="710" spans="1:2" hidden="1">
      <c r="A710" s="177" t="s">
        <v>502</v>
      </c>
      <c r="B710" s="183" t="s">
        <v>265</v>
      </c>
    </row>
    <row r="711" spans="1:2" hidden="1">
      <c r="A711" s="177" t="s">
        <v>502</v>
      </c>
      <c r="B711" s="183" t="s">
        <v>265</v>
      </c>
    </row>
    <row r="712" spans="1:2" hidden="1">
      <c r="A712" s="177" t="s">
        <v>502</v>
      </c>
      <c r="B712" s="183" t="s">
        <v>265</v>
      </c>
    </row>
    <row r="713" spans="1:2" hidden="1">
      <c r="A713" s="177" t="s">
        <v>502</v>
      </c>
      <c r="B713" s="183" t="s">
        <v>265</v>
      </c>
    </row>
    <row r="714" spans="1:2" hidden="1">
      <c r="A714" s="177" t="s">
        <v>502</v>
      </c>
      <c r="B714" s="183" t="s">
        <v>265</v>
      </c>
    </row>
    <row r="715" spans="1:2" hidden="1">
      <c r="A715" s="177" t="s">
        <v>502</v>
      </c>
      <c r="B715" s="183" t="s">
        <v>265</v>
      </c>
    </row>
    <row r="716" spans="1:2" hidden="1">
      <c r="A716" s="177" t="s">
        <v>502</v>
      </c>
      <c r="B716" s="178" t="s">
        <v>265</v>
      </c>
    </row>
    <row r="717" spans="1:2" hidden="1">
      <c r="A717" s="177" t="s">
        <v>502</v>
      </c>
      <c r="B717" s="178" t="s">
        <v>265</v>
      </c>
    </row>
    <row r="718" spans="1:2" hidden="1">
      <c r="A718" s="177" t="s">
        <v>502</v>
      </c>
      <c r="B718" s="178" t="s">
        <v>265</v>
      </c>
    </row>
    <row r="719" spans="1:2" hidden="1">
      <c r="A719" s="177" t="s">
        <v>502</v>
      </c>
      <c r="B719" s="178"/>
    </row>
    <row r="720" spans="1:2" hidden="1">
      <c r="A720" s="177" t="s">
        <v>502</v>
      </c>
      <c r="B720" s="178"/>
    </row>
    <row r="721" spans="1:2" hidden="1">
      <c r="A721" s="177" t="s">
        <v>502</v>
      </c>
      <c r="B721" s="178"/>
    </row>
    <row r="722" spans="1:2" hidden="1">
      <c r="A722" s="177" t="s">
        <v>502</v>
      </c>
      <c r="B722" s="178" t="s">
        <v>265</v>
      </c>
    </row>
    <row r="723" spans="1:2">
      <c r="A723" s="179" t="s">
        <v>1218</v>
      </c>
      <c r="B723" s="180" t="s">
        <v>265</v>
      </c>
    </row>
    <row r="724" spans="1:2" hidden="1">
      <c r="A724" s="179" t="s">
        <v>1218</v>
      </c>
      <c r="B724" s="180" t="s">
        <v>265</v>
      </c>
    </row>
    <row r="725" spans="1:2" hidden="1">
      <c r="A725" s="179" t="s">
        <v>950</v>
      </c>
      <c r="B725" s="180" t="s">
        <v>265</v>
      </c>
    </row>
    <row r="726" spans="1:2" hidden="1">
      <c r="A726" s="177" t="s">
        <v>950</v>
      </c>
      <c r="B726" s="178" t="s">
        <v>265</v>
      </c>
    </row>
    <row r="727" spans="1:2" hidden="1">
      <c r="A727" s="177" t="s">
        <v>950</v>
      </c>
      <c r="B727" s="183" t="s">
        <v>265</v>
      </c>
    </row>
    <row r="728" spans="1:2" hidden="1">
      <c r="A728" s="177" t="s">
        <v>950</v>
      </c>
      <c r="B728" s="183" t="s">
        <v>265</v>
      </c>
    </row>
    <row r="729" spans="1:2" hidden="1">
      <c r="A729" s="177" t="s">
        <v>950</v>
      </c>
      <c r="B729" s="183" t="s">
        <v>265</v>
      </c>
    </row>
    <row r="730" spans="1:2" hidden="1">
      <c r="A730" s="177" t="s">
        <v>950</v>
      </c>
      <c r="B730" s="183" t="s">
        <v>265</v>
      </c>
    </row>
    <row r="731" spans="1:2" hidden="1">
      <c r="A731" s="177" t="s">
        <v>1219</v>
      </c>
      <c r="B731" s="183" t="s">
        <v>265</v>
      </c>
    </row>
    <row r="732" spans="1:2" hidden="1">
      <c r="A732" s="177" t="s">
        <v>950</v>
      </c>
      <c r="B732" s="178" t="s">
        <v>265</v>
      </c>
    </row>
    <row r="733" spans="1:2" hidden="1">
      <c r="A733" s="177" t="s">
        <v>1219</v>
      </c>
      <c r="B733" s="178" t="s">
        <v>265</v>
      </c>
    </row>
    <row r="734" spans="1:2">
      <c r="A734" s="177" t="s">
        <v>1219</v>
      </c>
      <c r="B734" s="178" t="s">
        <v>265</v>
      </c>
    </row>
    <row r="735" spans="1:2" hidden="1">
      <c r="A735" s="177" t="s">
        <v>950</v>
      </c>
      <c r="B735" s="178"/>
    </row>
    <row r="736" spans="1:2">
      <c r="A736" s="177" t="s">
        <v>1185</v>
      </c>
      <c r="B736" s="183" t="s">
        <v>265</v>
      </c>
    </row>
    <row r="737" spans="1:2" hidden="1">
      <c r="A737" s="177" t="s">
        <v>1185</v>
      </c>
      <c r="B737" s="178" t="s">
        <v>265</v>
      </c>
    </row>
    <row r="738" spans="1:2">
      <c r="A738" s="177" t="s">
        <v>1836</v>
      </c>
      <c r="B738" s="183" t="s">
        <v>265</v>
      </c>
    </row>
    <row r="739" spans="1:2" hidden="1">
      <c r="A739" s="177" t="s">
        <v>1836</v>
      </c>
      <c r="B739" s="183" t="s">
        <v>265</v>
      </c>
    </row>
    <row r="740" spans="1:2" hidden="1">
      <c r="A740" s="177" t="s">
        <v>1836</v>
      </c>
      <c r="B740" s="183" t="s">
        <v>265</v>
      </c>
    </row>
    <row r="741" spans="1:2">
      <c r="A741" s="179" t="s">
        <v>1923</v>
      </c>
      <c r="B741" s="180" t="s">
        <v>265</v>
      </c>
    </row>
    <row r="742" spans="1:2" hidden="1">
      <c r="A742" s="179" t="s">
        <v>1923</v>
      </c>
      <c r="B742" s="180" t="s">
        <v>265</v>
      </c>
    </row>
    <row r="743" spans="1:2" hidden="1">
      <c r="A743" s="177" t="s">
        <v>1923</v>
      </c>
      <c r="B743" s="183" t="s">
        <v>265</v>
      </c>
    </row>
    <row r="744" spans="1:2" hidden="1">
      <c r="A744" s="177" t="s">
        <v>1923</v>
      </c>
      <c r="B744" s="183" t="s">
        <v>265</v>
      </c>
    </row>
    <row r="745" spans="1:2" hidden="1">
      <c r="A745" s="179" t="s">
        <v>516</v>
      </c>
      <c r="B745" s="178" t="s">
        <v>265</v>
      </c>
    </row>
    <row r="746" spans="1:2" hidden="1">
      <c r="A746" s="177" t="s">
        <v>516</v>
      </c>
      <c r="B746" s="183" t="s">
        <v>265</v>
      </c>
    </row>
    <row r="747" spans="1:2" hidden="1">
      <c r="A747" s="177" t="s">
        <v>516</v>
      </c>
      <c r="B747" s="183" t="s">
        <v>265</v>
      </c>
    </row>
    <row r="748" spans="1:2" hidden="1">
      <c r="A748" s="177" t="s">
        <v>516</v>
      </c>
      <c r="B748" s="183" t="s">
        <v>265</v>
      </c>
    </row>
    <row r="749" spans="1:2" hidden="1">
      <c r="A749" s="177" t="s">
        <v>516</v>
      </c>
      <c r="B749" s="183" t="s">
        <v>265</v>
      </c>
    </row>
    <row r="750" spans="1:2" hidden="1">
      <c r="A750" s="177" t="s">
        <v>516</v>
      </c>
      <c r="B750" s="183" t="s">
        <v>265</v>
      </c>
    </row>
    <row r="751" spans="1:2" hidden="1">
      <c r="A751" s="177" t="s">
        <v>516</v>
      </c>
      <c r="B751" s="183" t="s">
        <v>265</v>
      </c>
    </row>
    <row r="752" spans="1:2" hidden="1">
      <c r="A752" s="177" t="s">
        <v>516</v>
      </c>
      <c r="B752" s="183" t="s">
        <v>265</v>
      </c>
    </row>
    <row r="753" spans="1:2" hidden="1">
      <c r="A753" s="177" t="s">
        <v>516</v>
      </c>
      <c r="B753" s="183" t="s">
        <v>265</v>
      </c>
    </row>
    <row r="754" spans="1:2" hidden="1">
      <c r="A754" s="177" t="s">
        <v>516</v>
      </c>
      <c r="B754" s="183" t="s">
        <v>265</v>
      </c>
    </row>
    <row r="755" spans="1:2" hidden="1">
      <c r="A755" s="177" t="s">
        <v>516</v>
      </c>
      <c r="B755" s="183" t="s">
        <v>265</v>
      </c>
    </row>
    <row r="756" spans="1:2" hidden="1">
      <c r="A756" s="177" t="s">
        <v>516</v>
      </c>
      <c r="B756" s="183" t="s">
        <v>265</v>
      </c>
    </row>
    <row r="757" spans="1:2" hidden="1">
      <c r="A757" s="177" t="s">
        <v>516</v>
      </c>
      <c r="B757" s="183" t="s">
        <v>265</v>
      </c>
    </row>
    <row r="758" spans="1:2" hidden="1">
      <c r="A758" s="177" t="s">
        <v>516</v>
      </c>
      <c r="B758" s="183" t="s">
        <v>265</v>
      </c>
    </row>
    <row r="759" spans="1:2" hidden="1">
      <c r="A759" s="177" t="s">
        <v>516</v>
      </c>
      <c r="B759" s="183" t="s">
        <v>265</v>
      </c>
    </row>
    <row r="760" spans="1:2" hidden="1">
      <c r="A760" s="177" t="s">
        <v>516</v>
      </c>
      <c r="B760" s="183" t="s">
        <v>265</v>
      </c>
    </row>
    <row r="761" spans="1:2" hidden="1">
      <c r="A761" s="177" t="s">
        <v>516</v>
      </c>
      <c r="B761" s="178" t="s">
        <v>265</v>
      </c>
    </row>
    <row r="762" spans="1:2" hidden="1">
      <c r="A762" s="177" t="s">
        <v>1239</v>
      </c>
      <c r="B762" s="178" t="s">
        <v>265</v>
      </c>
    </row>
    <row r="763" spans="1:2">
      <c r="A763" s="177" t="s">
        <v>929</v>
      </c>
      <c r="B763" s="183" t="s">
        <v>265</v>
      </c>
    </row>
    <row r="764" spans="1:2" hidden="1">
      <c r="A764" s="177" t="s">
        <v>929</v>
      </c>
      <c r="B764" s="183" t="s">
        <v>265</v>
      </c>
    </row>
    <row r="765" spans="1:2" hidden="1">
      <c r="A765" s="177" t="s">
        <v>929</v>
      </c>
      <c r="B765" s="178" t="s">
        <v>265</v>
      </c>
    </row>
    <row r="766" spans="1:2" hidden="1">
      <c r="A766" s="179" t="s">
        <v>929</v>
      </c>
      <c r="B766" s="180"/>
    </row>
    <row r="767" spans="1:2" hidden="1">
      <c r="A767" s="177" t="s">
        <v>3043</v>
      </c>
      <c r="B767" s="178" t="s">
        <v>2238</v>
      </c>
    </row>
    <row r="768" spans="1:2" hidden="1">
      <c r="A768" s="177" t="s">
        <v>3043</v>
      </c>
      <c r="B768" s="178" t="s">
        <v>2238</v>
      </c>
    </row>
    <row r="769" spans="1:2">
      <c r="A769" s="177" t="s">
        <v>2962</v>
      </c>
      <c r="B769" s="178" t="s">
        <v>2238</v>
      </c>
    </row>
    <row r="770" spans="1:2" hidden="1">
      <c r="A770" s="179" t="s">
        <v>2962</v>
      </c>
      <c r="B770" s="180" t="s">
        <v>2238</v>
      </c>
    </row>
    <row r="771" spans="1:2" hidden="1">
      <c r="A771" s="179" t="s">
        <v>2962</v>
      </c>
      <c r="B771" s="180" t="s">
        <v>2238</v>
      </c>
    </row>
    <row r="772" spans="1:2" hidden="1">
      <c r="A772" s="177" t="s">
        <v>2962</v>
      </c>
      <c r="B772" s="178" t="s">
        <v>2238</v>
      </c>
    </row>
    <row r="773" spans="1:2" hidden="1">
      <c r="A773" s="179" t="s">
        <v>2962</v>
      </c>
      <c r="B773" s="180" t="s">
        <v>2238</v>
      </c>
    </row>
    <row r="774" spans="1:2" hidden="1">
      <c r="A774" s="179" t="s">
        <v>2962</v>
      </c>
      <c r="B774" s="180" t="s">
        <v>2238</v>
      </c>
    </row>
    <row r="775" spans="1:2" hidden="1">
      <c r="A775" s="177" t="s">
        <v>2962</v>
      </c>
      <c r="B775" s="178" t="s">
        <v>2238</v>
      </c>
    </row>
    <row r="776" spans="1:2" hidden="1">
      <c r="A776" s="179" t="s">
        <v>2962</v>
      </c>
      <c r="B776" s="180" t="s">
        <v>2238</v>
      </c>
    </row>
    <row r="777" spans="1:2" hidden="1">
      <c r="A777" s="177" t="s">
        <v>2962</v>
      </c>
      <c r="B777" s="178" t="s">
        <v>2238</v>
      </c>
    </row>
    <row r="778" spans="1:2" hidden="1">
      <c r="A778" s="177" t="s">
        <v>2962</v>
      </c>
      <c r="B778" s="178" t="s">
        <v>2238</v>
      </c>
    </row>
    <row r="779" spans="1:2" hidden="1">
      <c r="A779" s="179" t="s">
        <v>2962</v>
      </c>
      <c r="B779" s="178" t="s">
        <v>2238</v>
      </c>
    </row>
    <row r="780" spans="1:2" hidden="1">
      <c r="A780" s="177" t="s">
        <v>2962</v>
      </c>
      <c r="B780" s="178" t="s">
        <v>2238</v>
      </c>
    </row>
    <row r="781" spans="1:2" hidden="1">
      <c r="A781" s="179" t="s">
        <v>2962</v>
      </c>
      <c r="B781" s="178" t="s">
        <v>2238</v>
      </c>
    </row>
    <row r="782" spans="1:2" hidden="1">
      <c r="A782" s="177" t="s">
        <v>2962</v>
      </c>
      <c r="B782" s="178" t="s">
        <v>2238</v>
      </c>
    </row>
    <row r="783" spans="1:2" hidden="1">
      <c r="A783" s="179" t="s">
        <v>2962</v>
      </c>
      <c r="B783" s="178" t="s">
        <v>2238</v>
      </c>
    </row>
    <row r="784" spans="1:2" hidden="1">
      <c r="A784" s="177" t="s">
        <v>2962</v>
      </c>
      <c r="B784" s="178" t="s">
        <v>2238</v>
      </c>
    </row>
    <row r="785" spans="1:2" hidden="1">
      <c r="A785" s="177" t="s">
        <v>2962</v>
      </c>
      <c r="B785" s="178" t="s">
        <v>2238</v>
      </c>
    </row>
    <row r="786" spans="1:2" hidden="1">
      <c r="A786" s="177" t="s">
        <v>2962</v>
      </c>
      <c r="B786" s="178" t="s">
        <v>2238</v>
      </c>
    </row>
    <row r="787" spans="1:2" hidden="1">
      <c r="A787" s="177" t="s">
        <v>2962</v>
      </c>
      <c r="B787" s="178" t="s">
        <v>2238</v>
      </c>
    </row>
    <row r="788" spans="1:2" hidden="1">
      <c r="A788" s="177" t="s">
        <v>2241</v>
      </c>
      <c r="B788" s="178" t="s">
        <v>2238</v>
      </c>
    </row>
    <row r="789" spans="1:2" hidden="1">
      <c r="A789" s="177" t="s">
        <v>2241</v>
      </c>
      <c r="B789" s="178" t="s">
        <v>2238</v>
      </c>
    </row>
    <row r="790" spans="1:2" hidden="1">
      <c r="A790" s="177" t="s">
        <v>2241</v>
      </c>
      <c r="B790" s="178" t="s">
        <v>2238</v>
      </c>
    </row>
    <row r="791" spans="1:2" hidden="1">
      <c r="A791" s="177" t="s">
        <v>2241</v>
      </c>
      <c r="B791" s="178" t="s">
        <v>2238</v>
      </c>
    </row>
    <row r="792" spans="1:2" hidden="1">
      <c r="A792" s="177" t="s">
        <v>2241</v>
      </c>
      <c r="B792" s="178" t="s">
        <v>2238</v>
      </c>
    </row>
    <row r="793" spans="1:2" hidden="1">
      <c r="A793" s="177" t="s">
        <v>2241</v>
      </c>
      <c r="B793" s="178" t="s">
        <v>2238</v>
      </c>
    </row>
    <row r="794" spans="1:2" hidden="1">
      <c r="A794" s="177" t="s">
        <v>2241</v>
      </c>
      <c r="B794" s="178" t="s">
        <v>2238</v>
      </c>
    </row>
    <row r="795" spans="1:2" hidden="1">
      <c r="A795" s="177" t="s">
        <v>2241</v>
      </c>
      <c r="B795" s="178" t="s">
        <v>2238</v>
      </c>
    </row>
    <row r="796" spans="1:2" hidden="1">
      <c r="A796" s="177" t="s">
        <v>2241</v>
      </c>
      <c r="B796" s="178" t="s">
        <v>2238</v>
      </c>
    </row>
    <row r="797" spans="1:2" hidden="1">
      <c r="A797" s="177" t="s">
        <v>2241</v>
      </c>
      <c r="B797" s="178" t="s">
        <v>2238</v>
      </c>
    </row>
    <row r="798" spans="1:2" hidden="1">
      <c r="A798" s="177" t="s">
        <v>2241</v>
      </c>
      <c r="B798" s="178" t="s">
        <v>2238</v>
      </c>
    </row>
    <row r="799" spans="1:2" hidden="1">
      <c r="A799" s="177" t="s">
        <v>2241</v>
      </c>
      <c r="B799" s="178" t="s">
        <v>2238</v>
      </c>
    </row>
    <row r="800" spans="1:2" hidden="1">
      <c r="A800" s="177" t="s">
        <v>2241</v>
      </c>
      <c r="B800" s="178" t="s">
        <v>2238</v>
      </c>
    </row>
    <row r="801" spans="1:2" hidden="1">
      <c r="A801" s="177" t="s">
        <v>2241</v>
      </c>
      <c r="B801" s="178" t="s">
        <v>2238</v>
      </c>
    </row>
    <row r="802" spans="1:2" hidden="1">
      <c r="A802" s="177" t="s">
        <v>2241</v>
      </c>
      <c r="B802" s="178" t="s">
        <v>2238</v>
      </c>
    </row>
    <row r="803" spans="1:2" hidden="1">
      <c r="A803" s="177" t="s">
        <v>2241</v>
      </c>
      <c r="B803" s="178" t="s">
        <v>2238</v>
      </c>
    </row>
    <row r="804" spans="1:2" hidden="1">
      <c r="A804" s="177" t="s">
        <v>2241</v>
      </c>
      <c r="B804" s="178" t="s">
        <v>2238</v>
      </c>
    </row>
    <row r="805" spans="1:2" hidden="1">
      <c r="A805" s="177" t="s">
        <v>2241</v>
      </c>
      <c r="B805" s="178" t="s">
        <v>2238</v>
      </c>
    </row>
    <row r="806" spans="1:2" hidden="1">
      <c r="A806" s="177" t="s">
        <v>2241</v>
      </c>
      <c r="B806" s="178" t="s">
        <v>2238</v>
      </c>
    </row>
    <row r="807" spans="1:2" hidden="1">
      <c r="A807" s="177" t="s">
        <v>2241</v>
      </c>
      <c r="B807" s="178" t="s">
        <v>2238</v>
      </c>
    </row>
    <row r="808" spans="1:2" hidden="1">
      <c r="A808" s="177" t="s">
        <v>2241</v>
      </c>
      <c r="B808" s="178" t="s">
        <v>2238</v>
      </c>
    </row>
    <row r="809" spans="1:2" hidden="1">
      <c r="A809" s="177" t="s">
        <v>2241</v>
      </c>
      <c r="B809" s="178" t="s">
        <v>2238</v>
      </c>
    </row>
    <row r="810" spans="1:2" hidden="1">
      <c r="A810" s="177" t="s">
        <v>2241</v>
      </c>
      <c r="B810" s="178" t="s">
        <v>2238</v>
      </c>
    </row>
    <row r="811" spans="1:2" hidden="1">
      <c r="A811" s="177" t="s">
        <v>2241</v>
      </c>
      <c r="B811" s="178" t="s">
        <v>2238</v>
      </c>
    </row>
    <row r="812" spans="1:2" hidden="1">
      <c r="A812" s="177" t="s">
        <v>2241</v>
      </c>
      <c r="B812" s="183" t="s">
        <v>2238</v>
      </c>
    </row>
    <row r="813" spans="1:2" hidden="1">
      <c r="A813" s="177" t="s">
        <v>2241</v>
      </c>
      <c r="B813" s="183" t="s">
        <v>2238</v>
      </c>
    </row>
    <row r="814" spans="1:2" hidden="1">
      <c r="A814" s="177" t="s">
        <v>2241</v>
      </c>
      <c r="B814" s="183" t="s">
        <v>2238</v>
      </c>
    </row>
    <row r="815" spans="1:2" hidden="1">
      <c r="A815" s="177" t="s">
        <v>2241</v>
      </c>
      <c r="B815" s="178" t="s">
        <v>2238</v>
      </c>
    </row>
    <row r="816" spans="1:2" hidden="1">
      <c r="A816" s="177" t="s">
        <v>2241</v>
      </c>
      <c r="B816" s="178" t="s">
        <v>2238</v>
      </c>
    </row>
    <row r="817" spans="1:2">
      <c r="A817" s="179" t="s">
        <v>2309</v>
      </c>
      <c r="B817" s="180" t="s">
        <v>2238</v>
      </c>
    </row>
    <row r="818" spans="1:2" hidden="1">
      <c r="A818" s="177" t="s">
        <v>2309</v>
      </c>
      <c r="B818" s="178" t="s">
        <v>2238</v>
      </c>
    </row>
    <row r="819" spans="1:2" hidden="1">
      <c r="A819" s="179" t="s">
        <v>2309</v>
      </c>
      <c r="B819" s="180" t="s">
        <v>2238</v>
      </c>
    </row>
    <row r="820" spans="1:2" hidden="1">
      <c r="A820" s="177" t="s">
        <v>2309</v>
      </c>
      <c r="B820" s="178" t="s">
        <v>2238</v>
      </c>
    </row>
    <row r="821" spans="1:2" hidden="1">
      <c r="A821" s="179" t="s">
        <v>2309</v>
      </c>
      <c r="B821" s="180" t="s">
        <v>2238</v>
      </c>
    </row>
    <row r="822" spans="1:2" hidden="1">
      <c r="A822" s="179" t="s">
        <v>2309</v>
      </c>
      <c r="B822" s="180" t="s">
        <v>2238</v>
      </c>
    </row>
    <row r="823" spans="1:2" hidden="1">
      <c r="A823" s="179" t="s">
        <v>2309</v>
      </c>
      <c r="B823" s="180" t="s">
        <v>2238</v>
      </c>
    </row>
    <row r="824" spans="1:2" hidden="1">
      <c r="A824" s="177" t="s">
        <v>2309</v>
      </c>
      <c r="B824" s="178" t="s">
        <v>2238</v>
      </c>
    </row>
    <row r="825" spans="1:2" hidden="1">
      <c r="A825" s="177" t="s">
        <v>2309</v>
      </c>
      <c r="B825" s="178" t="s">
        <v>2238</v>
      </c>
    </row>
    <row r="826" spans="1:2" hidden="1">
      <c r="A826" s="177" t="s">
        <v>2309</v>
      </c>
      <c r="B826" s="178" t="s">
        <v>2238</v>
      </c>
    </row>
    <row r="827" spans="1:2" hidden="1">
      <c r="A827" s="177" t="s">
        <v>2309</v>
      </c>
      <c r="B827" s="178" t="s">
        <v>2238</v>
      </c>
    </row>
    <row r="828" spans="1:2" hidden="1">
      <c r="A828" s="177" t="s">
        <v>2309</v>
      </c>
      <c r="B828" s="178" t="s">
        <v>2238</v>
      </c>
    </row>
    <row r="829" spans="1:2" hidden="1">
      <c r="A829" s="177" t="s">
        <v>2309</v>
      </c>
      <c r="B829" s="178" t="s">
        <v>2238</v>
      </c>
    </row>
    <row r="830" spans="1:2" hidden="1">
      <c r="A830" s="177" t="s">
        <v>2309</v>
      </c>
      <c r="B830" s="178" t="s">
        <v>2238</v>
      </c>
    </row>
    <row r="831" spans="1:2" hidden="1">
      <c r="A831" s="177" t="s">
        <v>2309</v>
      </c>
      <c r="B831" s="178" t="s">
        <v>2238</v>
      </c>
    </row>
    <row r="832" spans="1:2">
      <c r="A832" s="177" t="s">
        <v>2346</v>
      </c>
      <c r="B832" s="183" t="s">
        <v>265</v>
      </c>
    </row>
    <row r="833" spans="1:2" hidden="1">
      <c r="A833" s="179" t="s">
        <v>1203</v>
      </c>
      <c r="B833" s="180" t="s">
        <v>265</v>
      </c>
    </row>
    <row r="834" spans="1:2" hidden="1">
      <c r="A834" s="177" t="s">
        <v>1203</v>
      </c>
      <c r="B834" s="183" t="s">
        <v>265</v>
      </c>
    </row>
    <row r="835" spans="1:2" hidden="1">
      <c r="A835" s="177" t="s">
        <v>1203</v>
      </c>
      <c r="B835" s="183" t="s">
        <v>265</v>
      </c>
    </row>
    <row r="836" spans="1:2" hidden="1">
      <c r="A836" s="177" t="s">
        <v>1203</v>
      </c>
      <c r="B836" s="183" t="s">
        <v>265</v>
      </c>
    </row>
    <row r="837" spans="1:2" hidden="1">
      <c r="A837" s="177" t="s">
        <v>1203</v>
      </c>
      <c r="B837" s="183" t="s">
        <v>265</v>
      </c>
    </row>
    <row r="838" spans="1:2" hidden="1">
      <c r="A838" s="177" t="s">
        <v>1203</v>
      </c>
      <c r="B838" s="183" t="s">
        <v>265</v>
      </c>
    </row>
    <row r="839" spans="1:2" hidden="1">
      <c r="A839" s="177" t="s">
        <v>1203</v>
      </c>
      <c r="B839" s="183" t="s">
        <v>265</v>
      </c>
    </row>
    <row r="840" spans="1:2" hidden="1">
      <c r="A840" s="177" t="s">
        <v>1203</v>
      </c>
      <c r="B840" s="183" t="s">
        <v>265</v>
      </c>
    </row>
    <row r="841" spans="1:2" hidden="1">
      <c r="A841" s="177" t="s">
        <v>1203</v>
      </c>
      <c r="B841" s="183" t="s">
        <v>265</v>
      </c>
    </row>
    <row r="842" spans="1:2" hidden="1">
      <c r="A842" s="177" t="s">
        <v>1203</v>
      </c>
      <c r="B842" s="183" t="s">
        <v>265</v>
      </c>
    </row>
    <row r="843" spans="1:2" hidden="1">
      <c r="A843" s="177" t="s">
        <v>1203</v>
      </c>
      <c r="B843" s="183" t="s">
        <v>265</v>
      </c>
    </row>
    <row r="844" spans="1:2" hidden="1">
      <c r="A844" s="177" t="s">
        <v>1203</v>
      </c>
      <c r="B844" s="183" t="s">
        <v>265</v>
      </c>
    </row>
    <row r="845" spans="1:2" hidden="1">
      <c r="A845" s="177" t="s">
        <v>1203</v>
      </c>
      <c r="B845" s="183" t="s">
        <v>265</v>
      </c>
    </row>
    <row r="846" spans="1:2" hidden="1">
      <c r="A846" s="177" t="s">
        <v>1203</v>
      </c>
      <c r="B846" s="183" t="s">
        <v>265</v>
      </c>
    </row>
    <row r="847" spans="1:2" hidden="1">
      <c r="A847" s="177" t="s">
        <v>1203</v>
      </c>
      <c r="B847" s="183" t="s">
        <v>265</v>
      </c>
    </row>
    <row r="848" spans="1:2" hidden="1">
      <c r="A848" s="177" t="s">
        <v>1203</v>
      </c>
      <c r="B848" s="183" t="s">
        <v>265</v>
      </c>
    </row>
    <row r="849" spans="1:2" hidden="1">
      <c r="A849" s="177" t="s">
        <v>1203</v>
      </c>
      <c r="B849" s="183" t="s">
        <v>265</v>
      </c>
    </row>
    <row r="850" spans="1:2" hidden="1">
      <c r="A850" s="177" t="s">
        <v>1203</v>
      </c>
      <c r="B850" s="178" t="s">
        <v>265</v>
      </c>
    </row>
    <row r="851" spans="1:2" hidden="1">
      <c r="A851" s="177" t="s">
        <v>1203</v>
      </c>
      <c r="B851" s="178" t="s">
        <v>265</v>
      </c>
    </row>
    <row r="852" spans="1:2" hidden="1">
      <c r="A852" s="177" t="s">
        <v>999</v>
      </c>
      <c r="B852" s="178"/>
    </row>
    <row r="853" spans="1:2" hidden="1">
      <c r="A853" s="179" t="s">
        <v>999</v>
      </c>
      <c r="B853" s="180"/>
    </row>
    <row r="854" spans="1:2" hidden="1">
      <c r="A854" s="179" t="s">
        <v>999</v>
      </c>
      <c r="B854" s="180"/>
    </row>
    <row r="855" spans="1:2">
      <c r="A855" s="177" t="s">
        <v>1912</v>
      </c>
      <c r="B855" s="183" t="s">
        <v>265</v>
      </c>
    </row>
    <row r="856" spans="1:2">
      <c r="A856" s="177" t="s">
        <v>1845</v>
      </c>
      <c r="B856" s="183" t="s">
        <v>265</v>
      </c>
    </row>
    <row r="857" spans="1:2">
      <c r="A857" s="182" t="s">
        <v>147</v>
      </c>
      <c r="B857" s="183" t="s">
        <v>265</v>
      </c>
    </row>
    <row r="858" spans="1:2" hidden="1">
      <c r="A858" s="182" t="s">
        <v>147</v>
      </c>
      <c r="B858" s="183" t="s">
        <v>265</v>
      </c>
    </row>
    <row r="859" spans="1:2" hidden="1">
      <c r="A859" s="182" t="s">
        <v>147</v>
      </c>
      <c r="B859" s="183" t="s">
        <v>265</v>
      </c>
    </row>
    <row r="860" spans="1:2" hidden="1">
      <c r="A860" s="182" t="s">
        <v>147</v>
      </c>
      <c r="B860" s="183" t="s">
        <v>265</v>
      </c>
    </row>
    <row r="861" spans="1:2" hidden="1">
      <c r="A861" s="182" t="s">
        <v>147</v>
      </c>
      <c r="B861" s="183" t="s">
        <v>265</v>
      </c>
    </row>
    <row r="862" spans="1:2">
      <c r="A862" s="179" t="s">
        <v>1304</v>
      </c>
      <c r="B862" s="178" t="s">
        <v>265</v>
      </c>
    </row>
    <row r="863" spans="1:2" hidden="1">
      <c r="A863" s="179" t="s">
        <v>1304</v>
      </c>
      <c r="B863" s="178" t="s">
        <v>265</v>
      </c>
    </row>
    <row r="864" spans="1:2" hidden="1">
      <c r="A864" s="177" t="s">
        <v>1304</v>
      </c>
      <c r="B864" s="183" t="s">
        <v>265</v>
      </c>
    </row>
    <row r="865" spans="1:2" hidden="1">
      <c r="A865" s="177" t="s">
        <v>1304</v>
      </c>
      <c r="B865" s="183" t="s">
        <v>265</v>
      </c>
    </row>
    <row r="866" spans="1:2" hidden="1">
      <c r="A866" s="177" t="s">
        <v>1304</v>
      </c>
      <c r="B866" s="183" t="s">
        <v>265</v>
      </c>
    </row>
    <row r="867" spans="1:2" hidden="1">
      <c r="A867" s="177" t="s">
        <v>1304</v>
      </c>
      <c r="B867" s="178" t="s">
        <v>265</v>
      </c>
    </row>
    <row r="868" spans="1:2">
      <c r="A868" s="177" t="s">
        <v>1890</v>
      </c>
      <c r="B868" s="183" t="s">
        <v>265</v>
      </c>
    </row>
    <row r="869" spans="1:2" hidden="1">
      <c r="A869" s="177" t="s">
        <v>1890</v>
      </c>
      <c r="B869" s="183" t="s">
        <v>265</v>
      </c>
    </row>
    <row r="870" spans="1:2" hidden="1">
      <c r="A870" s="177" t="s">
        <v>819</v>
      </c>
      <c r="B870" s="178"/>
    </row>
    <row r="871" spans="1:2" hidden="1">
      <c r="A871" s="177" t="s">
        <v>819</v>
      </c>
      <c r="B871" s="183" t="s">
        <v>265</v>
      </c>
    </row>
    <row r="872" spans="1:2" hidden="1">
      <c r="A872" s="177" t="s">
        <v>819</v>
      </c>
      <c r="B872" s="183" t="s">
        <v>265</v>
      </c>
    </row>
    <row r="873" spans="1:2" hidden="1">
      <c r="A873" s="177" t="s">
        <v>819</v>
      </c>
      <c r="B873" s="183" t="s">
        <v>265</v>
      </c>
    </row>
    <row r="874" spans="1:2" hidden="1">
      <c r="A874" s="177" t="s">
        <v>819</v>
      </c>
      <c r="B874" s="183" t="s">
        <v>265</v>
      </c>
    </row>
    <row r="875" spans="1:2" hidden="1">
      <c r="A875" s="177" t="s">
        <v>819</v>
      </c>
      <c r="B875" s="183" t="s">
        <v>265</v>
      </c>
    </row>
    <row r="876" spans="1:2" hidden="1">
      <c r="A876" s="179" t="s">
        <v>819</v>
      </c>
      <c r="B876" s="180" t="s">
        <v>265</v>
      </c>
    </row>
    <row r="877" spans="1:2" hidden="1">
      <c r="A877" s="177" t="s">
        <v>819</v>
      </c>
      <c r="B877" s="178" t="s">
        <v>265</v>
      </c>
    </row>
    <row r="878" spans="1:2" hidden="1">
      <c r="A878" s="177" t="s">
        <v>819</v>
      </c>
      <c r="B878" s="178"/>
    </row>
    <row r="879" spans="1:2" hidden="1">
      <c r="A879" s="177" t="s">
        <v>819</v>
      </c>
      <c r="B879" s="178"/>
    </row>
    <row r="880" spans="1:2">
      <c r="A880" s="177" t="s">
        <v>686</v>
      </c>
      <c r="B880" s="178" t="s">
        <v>688</v>
      </c>
    </row>
    <row r="881" spans="1:2">
      <c r="A881" s="179" t="s">
        <v>107</v>
      </c>
      <c r="B881" s="180" t="s">
        <v>265</v>
      </c>
    </row>
    <row r="882" spans="1:2" hidden="1">
      <c r="A882" s="179" t="s">
        <v>107</v>
      </c>
      <c r="B882" s="180" t="s">
        <v>265</v>
      </c>
    </row>
    <row r="883" spans="1:2" hidden="1">
      <c r="A883" s="179" t="s">
        <v>107</v>
      </c>
      <c r="B883" s="180" t="s">
        <v>265</v>
      </c>
    </row>
    <row r="884" spans="1:2" hidden="1">
      <c r="A884" s="177" t="s">
        <v>107</v>
      </c>
      <c r="B884" s="183" t="s">
        <v>265</v>
      </c>
    </row>
    <row r="885" spans="1:2" hidden="1">
      <c r="A885" s="177" t="s">
        <v>107</v>
      </c>
      <c r="B885" s="183" t="s">
        <v>265</v>
      </c>
    </row>
    <row r="886" spans="1:2" hidden="1">
      <c r="A886" s="177" t="s">
        <v>107</v>
      </c>
      <c r="B886" s="183" t="s">
        <v>265</v>
      </c>
    </row>
    <row r="887" spans="1:2" hidden="1">
      <c r="A887" s="177" t="s">
        <v>107</v>
      </c>
      <c r="B887" s="183" t="s">
        <v>265</v>
      </c>
    </row>
    <row r="888" spans="1:2" hidden="1">
      <c r="A888" s="177" t="s">
        <v>107</v>
      </c>
      <c r="B888" s="183" t="s">
        <v>265</v>
      </c>
    </row>
    <row r="889" spans="1:2" hidden="1">
      <c r="A889" s="177" t="s">
        <v>107</v>
      </c>
      <c r="B889" s="183" t="s">
        <v>265</v>
      </c>
    </row>
    <row r="890" spans="1:2" hidden="1">
      <c r="A890" s="177" t="s">
        <v>107</v>
      </c>
      <c r="B890" s="183" t="s">
        <v>265</v>
      </c>
    </row>
    <row r="891" spans="1:2" hidden="1">
      <c r="A891" s="177" t="s">
        <v>107</v>
      </c>
      <c r="B891" s="183" t="s">
        <v>265</v>
      </c>
    </row>
    <row r="892" spans="1:2" hidden="1">
      <c r="A892" s="177" t="s">
        <v>107</v>
      </c>
      <c r="B892" s="183" t="s">
        <v>265</v>
      </c>
    </row>
    <row r="893" spans="1:2" hidden="1">
      <c r="A893" s="177" t="s">
        <v>107</v>
      </c>
      <c r="B893" s="183" t="s">
        <v>265</v>
      </c>
    </row>
    <row r="894" spans="1:2" hidden="1">
      <c r="A894" s="177" t="s">
        <v>107</v>
      </c>
      <c r="B894" s="183" t="s">
        <v>265</v>
      </c>
    </row>
    <row r="895" spans="1:2" hidden="1">
      <c r="A895" s="177" t="s">
        <v>107</v>
      </c>
      <c r="B895" s="183" t="s">
        <v>265</v>
      </c>
    </row>
    <row r="896" spans="1:2" hidden="1">
      <c r="A896" s="177" t="s">
        <v>107</v>
      </c>
      <c r="B896" s="183" t="s">
        <v>265</v>
      </c>
    </row>
    <row r="897" spans="1:2" hidden="1">
      <c r="A897" s="177" t="s">
        <v>107</v>
      </c>
      <c r="B897" s="183" t="s">
        <v>265</v>
      </c>
    </row>
    <row r="898" spans="1:2" hidden="1">
      <c r="A898" s="177" t="s">
        <v>107</v>
      </c>
      <c r="B898" s="183" t="s">
        <v>265</v>
      </c>
    </row>
    <row r="899" spans="1:2" hidden="1">
      <c r="A899" s="177" t="s">
        <v>107</v>
      </c>
      <c r="B899" s="183" t="s">
        <v>265</v>
      </c>
    </row>
    <row r="900" spans="1:2" hidden="1">
      <c r="A900" s="177" t="s">
        <v>107</v>
      </c>
      <c r="B900" s="183" t="s">
        <v>265</v>
      </c>
    </row>
    <row r="901" spans="1:2" hidden="1">
      <c r="A901" s="177" t="s">
        <v>107</v>
      </c>
      <c r="B901" s="183" t="s">
        <v>265</v>
      </c>
    </row>
    <row r="902" spans="1:2" hidden="1">
      <c r="A902" s="177" t="s">
        <v>107</v>
      </c>
      <c r="B902" s="183" t="s">
        <v>265</v>
      </c>
    </row>
    <row r="903" spans="1:2" hidden="1">
      <c r="A903" s="177" t="s">
        <v>107</v>
      </c>
      <c r="B903" s="178" t="s">
        <v>265</v>
      </c>
    </row>
    <row r="904" spans="1:2" hidden="1">
      <c r="A904" s="177" t="s">
        <v>107</v>
      </c>
      <c r="B904" s="178"/>
    </row>
    <row r="905" spans="1:2" hidden="1">
      <c r="A905" s="177" t="s">
        <v>107</v>
      </c>
      <c r="B905" s="178" t="s">
        <v>265</v>
      </c>
    </row>
    <row r="906" spans="1:2" hidden="1">
      <c r="A906" s="179" t="s">
        <v>107</v>
      </c>
      <c r="B906" s="180" t="s">
        <v>265</v>
      </c>
    </row>
    <row r="907" spans="1:2" hidden="1">
      <c r="A907" s="179" t="s">
        <v>107</v>
      </c>
      <c r="B907" s="180" t="s">
        <v>265</v>
      </c>
    </row>
    <row r="908" spans="1:2" hidden="1">
      <c r="A908" s="179" t="s">
        <v>107</v>
      </c>
      <c r="B908" s="180" t="s">
        <v>265</v>
      </c>
    </row>
    <row r="909" spans="1:2" hidden="1">
      <c r="A909" s="182" t="s">
        <v>107</v>
      </c>
      <c r="B909" s="183" t="s">
        <v>265</v>
      </c>
    </row>
    <row r="910" spans="1:2" hidden="1">
      <c r="A910" s="182" t="s">
        <v>107</v>
      </c>
      <c r="B910" s="183" t="s">
        <v>265</v>
      </c>
    </row>
    <row r="911" spans="1:2">
      <c r="A911" s="177" t="s">
        <v>1674</v>
      </c>
      <c r="B911" s="183" t="s">
        <v>265</v>
      </c>
    </row>
    <row r="912" spans="1:2">
      <c r="A912" s="177" t="s">
        <v>499</v>
      </c>
      <c r="B912" s="178" t="s">
        <v>265</v>
      </c>
    </row>
    <row r="913" spans="1:2" hidden="1">
      <c r="A913" s="179" t="s">
        <v>3256</v>
      </c>
      <c r="B913" s="180" t="s">
        <v>265</v>
      </c>
    </row>
    <row r="914" spans="1:2" hidden="1">
      <c r="A914" s="179" t="s">
        <v>1589</v>
      </c>
      <c r="B914" s="183" t="s">
        <v>265</v>
      </c>
    </row>
    <row r="915" spans="1:2" hidden="1">
      <c r="A915" s="177" t="s">
        <v>1589</v>
      </c>
      <c r="B915" s="183" t="s">
        <v>265</v>
      </c>
    </row>
    <row r="916" spans="1:2" hidden="1">
      <c r="A916" s="177" t="s">
        <v>1589</v>
      </c>
      <c r="B916" s="183" t="s">
        <v>265</v>
      </c>
    </row>
    <row r="917" spans="1:2" hidden="1">
      <c r="A917" s="177" t="s">
        <v>1589</v>
      </c>
      <c r="B917" s="178" t="s">
        <v>265</v>
      </c>
    </row>
    <row r="918" spans="1:2" hidden="1">
      <c r="A918" s="179" t="s">
        <v>1589</v>
      </c>
      <c r="B918" s="183" t="s">
        <v>265</v>
      </c>
    </row>
    <row r="919" spans="1:2" hidden="1">
      <c r="A919" s="179" t="s">
        <v>650</v>
      </c>
      <c r="B919" s="178" t="s">
        <v>265</v>
      </c>
    </row>
    <row r="920" spans="1:2" hidden="1">
      <c r="A920" s="177" t="s">
        <v>650</v>
      </c>
      <c r="B920" s="183" t="s">
        <v>265</v>
      </c>
    </row>
    <row r="921" spans="1:2" hidden="1">
      <c r="A921" s="177" t="s">
        <v>650</v>
      </c>
      <c r="B921" s="178" t="s">
        <v>265</v>
      </c>
    </row>
    <row r="922" spans="1:2" hidden="1">
      <c r="A922" s="179" t="s">
        <v>650</v>
      </c>
      <c r="B922" s="180" t="s">
        <v>265</v>
      </c>
    </row>
    <row r="923" spans="1:2" hidden="1">
      <c r="A923" s="177" t="s">
        <v>650</v>
      </c>
      <c r="B923" s="178"/>
    </row>
    <row r="924" spans="1:2">
      <c r="A924" s="177" t="s">
        <v>650</v>
      </c>
      <c r="B924" s="178" t="s">
        <v>265</v>
      </c>
    </row>
    <row r="925" spans="1:2">
      <c r="A925" s="177" t="s">
        <v>345</v>
      </c>
      <c r="B925" s="178" t="s">
        <v>265</v>
      </c>
    </row>
    <row r="926" spans="1:2">
      <c r="A926" s="179" t="s">
        <v>1758</v>
      </c>
      <c r="B926" s="180" t="s">
        <v>265</v>
      </c>
    </row>
    <row r="927" spans="1:2">
      <c r="A927" s="177" t="s">
        <v>1758</v>
      </c>
      <c r="B927" s="183" t="s">
        <v>265</v>
      </c>
    </row>
    <row r="928" spans="1:2">
      <c r="A928" s="179" t="s">
        <v>89</v>
      </c>
      <c r="B928" s="180" t="s">
        <v>265</v>
      </c>
    </row>
    <row r="929" spans="1:2" hidden="1">
      <c r="A929" s="179" t="s">
        <v>89</v>
      </c>
      <c r="B929" s="178" t="s">
        <v>265</v>
      </c>
    </row>
    <row r="930" spans="1:2" hidden="1">
      <c r="A930" s="179" t="s">
        <v>89</v>
      </c>
      <c r="B930" s="178" t="s">
        <v>265</v>
      </c>
    </row>
    <row r="931" spans="1:2" hidden="1">
      <c r="A931" s="177" t="s">
        <v>89</v>
      </c>
      <c r="B931" s="178" t="s">
        <v>265</v>
      </c>
    </row>
    <row r="932" spans="1:2" hidden="1">
      <c r="A932" s="177" t="s">
        <v>89</v>
      </c>
      <c r="B932" s="183" t="s">
        <v>265</v>
      </c>
    </row>
    <row r="933" spans="1:2" hidden="1">
      <c r="A933" s="177" t="s">
        <v>89</v>
      </c>
      <c r="B933" s="183" t="s">
        <v>265</v>
      </c>
    </row>
    <row r="934" spans="1:2" hidden="1">
      <c r="A934" s="177" t="s">
        <v>89</v>
      </c>
      <c r="B934" s="183" t="s">
        <v>265</v>
      </c>
    </row>
    <row r="935" spans="1:2" hidden="1">
      <c r="A935" s="177" t="s">
        <v>89</v>
      </c>
      <c r="B935" s="183" t="s">
        <v>265</v>
      </c>
    </row>
    <row r="936" spans="1:2" hidden="1">
      <c r="A936" s="177" t="s">
        <v>89</v>
      </c>
      <c r="B936" s="183" t="s">
        <v>265</v>
      </c>
    </row>
    <row r="937" spans="1:2" hidden="1">
      <c r="A937" s="177" t="s">
        <v>89</v>
      </c>
      <c r="B937" s="183" t="s">
        <v>265</v>
      </c>
    </row>
    <row r="938" spans="1:2" hidden="1">
      <c r="A938" s="177" t="s">
        <v>89</v>
      </c>
      <c r="B938" s="183" t="s">
        <v>265</v>
      </c>
    </row>
    <row r="939" spans="1:2" hidden="1">
      <c r="A939" s="177" t="s">
        <v>89</v>
      </c>
      <c r="B939" s="183" t="s">
        <v>265</v>
      </c>
    </row>
    <row r="940" spans="1:2" hidden="1">
      <c r="A940" s="177" t="s">
        <v>89</v>
      </c>
      <c r="B940" s="183" t="s">
        <v>265</v>
      </c>
    </row>
    <row r="941" spans="1:2" hidden="1">
      <c r="A941" s="177" t="s">
        <v>89</v>
      </c>
      <c r="B941" s="183" t="s">
        <v>265</v>
      </c>
    </row>
    <row r="942" spans="1:2" hidden="1">
      <c r="A942" s="177" t="s">
        <v>89</v>
      </c>
      <c r="B942" s="183" t="s">
        <v>265</v>
      </c>
    </row>
    <row r="943" spans="1:2" hidden="1">
      <c r="A943" s="177" t="s">
        <v>89</v>
      </c>
      <c r="B943" s="183" t="s">
        <v>265</v>
      </c>
    </row>
    <row r="944" spans="1:2" hidden="1">
      <c r="A944" s="177" t="s">
        <v>89</v>
      </c>
      <c r="B944" s="183" t="s">
        <v>265</v>
      </c>
    </row>
    <row r="945" spans="1:2" hidden="1">
      <c r="A945" s="177" t="s">
        <v>89</v>
      </c>
      <c r="B945" s="183" t="s">
        <v>265</v>
      </c>
    </row>
    <row r="946" spans="1:2" hidden="1">
      <c r="A946" s="177" t="s">
        <v>89</v>
      </c>
      <c r="B946" s="183" t="s">
        <v>265</v>
      </c>
    </row>
    <row r="947" spans="1:2" hidden="1">
      <c r="A947" s="177" t="s">
        <v>89</v>
      </c>
      <c r="B947" s="183" t="s">
        <v>265</v>
      </c>
    </row>
    <row r="948" spans="1:2" hidden="1">
      <c r="A948" s="177" t="s">
        <v>89</v>
      </c>
      <c r="B948" s="183" t="s">
        <v>265</v>
      </c>
    </row>
    <row r="949" spans="1:2" hidden="1">
      <c r="A949" s="177" t="s">
        <v>89</v>
      </c>
      <c r="B949" s="183" t="s">
        <v>265</v>
      </c>
    </row>
    <row r="950" spans="1:2" hidden="1">
      <c r="A950" s="177" t="s">
        <v>89</v>
      </c>
      <c r="B950" s="178" t="s">
        <v>265</v>
      </c>
    </row>
    <row r="951" spans="1:2" hidden="1">
      <c r="A951" s="179" t="s">
        <v>89</v>
      </c>
      <c r="B951" s="180" t="s">
        <v>265</v>
      </c>
    </row>
    <row r="952" spans="1:2" hidden="1">
      <c r="A952" s="177" t="s">
        <v>89</v>
      </c>
      <c r="B952" s="178" t="s">
        <v>265</v>
      </c>
    </row>
    <row r="953" spans="1:2" hidden="1">
      <c r="A953" s="177" t="s">
        <v>89</v>
      </c>
      <c r="B953" s="178" t="s">
        <v>265</v>
      </c>
    </row>
    <row r="954" spans="1:2" hidden="1">
      <c r="A954" s="177" t="s">
        <v>89</v>
      </c>
      <c r="B954" s="178" t="s">
        <v>265</v>
      </c>
    </row>
    <row r="955" spans="1:2" hidden="1">
      <c r="A955" s="177" t="s">
        <v>89</v>
      </c>
      <c r="B955" s="178" t="s">
        <v>265</v>
      </c>
    </row>
    <row r="956" spans="1:2" hidden="1">
      <c r="A956" s="177" t="s">
        <v>89</v>
      </c>
      <c r="B956" s="178" t="s">
        <v>265</v>
      </c>
    </row>
    <row r="957" spans="1:2" hidden="1">
      <c r="A957" s="182" t="s">
        <v>89</v>
      </c>
      <c r="B957" s="183" t="s">
        <v>265</v>
      </c>
    </row>
    <row r="958" spans="1:2" hidden="1">
      <c r="A958" s="177" t="s">
        <v>89</v>
      </c>
      <c r="B958" s="178"/>
    </row>
    <row r="959" spans="1:2" hidden="1">
      <c r="A959" s="182" t="s">
        <v>89</v>
      </c>
      <c r="B959" s="183" t="s">
        <v>265</v>
      </c>
    </row>
    <row r="960" spans="1:2" hidden="1">
      <c r="A960" s="177" t="s">
        <v>89</v>
      </c>
      <c r="B960" s="178"/>
    </row>
    <row r="961" spans="1:2" hidden="1">
      <c r="A961" s="177" t="s">
        <v>89</v>
      </c>
      <c r="B961" s="178"/>
    </row>
    <row r="962" spans="1:2" hidden="1">
      <c r="A962" s="177" t="s">
        <v>89</v>
      </c>
      <c r="B962" s="178"/>
    </row>
    <row r="963" spans="1:2" hidden="1">
      <c r="A963" s="179" t="s">
        <v>89</v>
      </c>
      <c r="B963" s="180"/>
    </row>
    <row r="964" spans="1:2" hidden="1">
      <c r="A964" s="179" t="s">
        <v>89</v>
      </c>
      <c r="B964" s="180"/>
    </row>
    <row r="965" spans="1:2" hidden="1">
      <c r="A965" s="177" t="s">
        <v>89</v>
      </c>
      <c r="B965" s="178"/>
    </row>
    <row r="966" spans="1:2" hidden="1">
      <c r="A966" s="179" t="s">
        <v>89</v>
      </c>
      <c r="B966" s="180"/>
    </row>
    <row r="967" spans="1:2" hidden="1">
      <c r="A967" s="177" t="s">
        <v>89</v>
      </c>
      <c r="B967" s="178" t="s">
        <v>265</v>
      </c>
    </row>
    <row r="968" spans="1:2" hidden="1">
      <c r="A968" s="184" t="s">
        <v>89</v>
      </c>
      <c r="B968" s="185"/>
    </row>
    <row r="969" spans="1:2" hidden="1">
      <c r="A969" s="179" t="s">
        <v>89</v>
      </c>
      <c r="B969" s="180"/>
    </row>
    <row r="970" spans="1:2" hidden="1">
      <c r="A970" s="177" t="s">
        <v>89</v>
      </c>
      <c r="B970" s="178"/>
    </row>
    <row r="971" spans="1:2" hidden="1">
      <c r="A971" s="179" t="s">
        <v>89</v>
      </c>
      <c r="B971" s="180" t="s">
        <v>265</v>
      </c>
    </row>
    <row r="972" spans="1:2" hidden="1">
      <c r="A972" s="177" t="s">
        <v>89</v>
      </c>
      <c r="B972" s="178" t="s">
        <v>265</v>
      </c>
    </row>
    <row r="973" spans="1:2" hidden="1">
      <c r="A973" s="177" t="s">
        <v>89</v>
      </c>
      <c r="B973" s="178"/>
    </row>
    <row r="974" spans="1:2" hidden="1">
      <c r="A974" s="177" t="s">
        <v>89</v>
      </c>
      <c r="B974" s="178"/>
    </row>
    <row r="975" spans="1:2" hidden="1">
      <c r="A975" s="177" t="s">
        <v>89</v>
      </c>
      <c r="B975" s="178" t="s">
        <v>265</v>
      </c>
    </row>
    <row r="976" spans="1:2" hidden="1">
      <c r="A976" s="177" t="s">
        <v>89</v>
      </c>
      <c r="B976" s="178" t="s">
        <v>265</v>
      </c>
    </row>
    <row r="977" spans="1:2" hidden="1">
      <c r="A977" s="179" t="s">
        <v>89</v>
      </c>
      <c r="B977" s="180" t="s">
        <v>265</v>
      </c>
    </row>
    <row r="978" spans="1:2" hidden="1">
      <c r="A978" s="177" t="s">
        <v>89</v>
      </c>
      <c r="B978" s="178" t="s">
        <v>265</v>
      </c>
    </row>
    <row r="979" spans="1:2" hidden="1">
      <c r="A979" s="179" t="s">
        <v>89</v>
      </c>
      <c r="B979" s="180" t="s">
        <v>265</v>
      </c>
    </row>
    <row r="980" spans="1:2" hidden="1">
      <c r="A980" s="182" t="s">
        <v>89</v>
      </c>
      <c r="B980" s="183" t="s">
        <v>265</v>
      </c>
    </row>
    <row r="981" spans="1:2" hidden="1">
      <c r="A981" s="182" t="s">
        <v>89</v>
      </c>
      <c r="B981" s="183" t="s">
        <v>265</v>
      </c>
    </row>
    <row r="982" spans="1:2" hidden="1">
      <c r="A982" s="182" t="s">
        <v>89</v>
      </c>
      <c r="B982" s="183" t="s">
        <v>265</v>
      </c>
    </row>
    <row r="983" spans="1:2" hidden="1">
      <c r="A983" s="182" t="s">
        <v>89</v>
      </c>
      <c r="B983" s="183" t="s">
        <v>265</v>
      </c>
    </row>
    <row r="984" spans="1:2" hidden="1">
      <c r="A984" s="182" t="s">
        <v>89</v>
      </c>
      <c r="B984" s="183" t="s">
        <v>265</v>
      </c>
    </row>
    <row r="985" spans="1:2" hidden="1">
      <c r="A985" s="182" t="s">
        <v>89</v>
      </c>
      <c r="B985" s="183" t="s">
        <v>265</v>
      </c>
    </row>
    <row r="986" spans="1:2" hidden="1">
      <c r="A986" s="177" t="s">
        <v>89</v>
      </c>
      <c r="B986" s="178" t="s">
        <v>265</v>
      </c>
    </row>
    <row r="987" spans="1:2" hidden="1">
      <c r="A987" s="182" t="s">
        <v>89</v>
      </c>
      <c r="B987" s="183" t="s">
        <v>265</v>
      </c>
    </row>
    <row r="988" spans="1:2" hidden="1">
      <c r="A988" s="182" t="s">
        <v>89</v>
      </c>
      <c r="B988" s="183" t="s">
        <v>265</v>
      </c>
    </row>
    <row r="989" spans="1:2" hidden="1">
      <c r="A989" s="182" t="s">
        <v>89</v>
      </c>
      <c r="B989" s="183" t="s">
        <v>265</v>
      </c>
    </row>
    <row r="990" spans="1:2" hidden="1">
      <c r="A990" s="177" t="s">
        <v>89</v>
      </c>
      <c r="B990" s="178" t="s">
        <v>265</v>
      </c>
    </row>
    <row r="991" spans="1:2" hidden="1">
      <c r="A991" s="182" t="s">
        <v>89</v>
      </c>
      <c r="B991" s="183" t="s">
        <v>265</v>
      </c>
    </row>
    <row r="992" spans="1:2" hidden="1">
      <c r="A992" s="182" t="s">
        <v>89</v>
      </c>
      <c r="B992" s="183" t="s">
        <v>265</v>
      </c>
    </row>
    <row r="993" spans="1:2" hidden="1">
      <c r="A993" s="182" t="s">
        <v>89</v>
      </c>
      <c r="B993" s="183" t="s">
        <v>265</v>
      </c>
    </row>
    <row r="994" spans="1:2" hidden="1">
      <c r="A994" s="182" t="s">
        <v>89</v>
      </c>
      <c r="B994" s="183" t="s">
        <v>265</v>
      </c>
    </row>
    <row r="995" spans="1:2" hidden="1">
      <c r="A995" s="182" t="s">
        <v>89</v>
      </c>
      <c r="B995" s="183" t="s">
        <v>265</v>
      </c>
    </row>
    <row r="996" spans="1:2" hidden="1">
      <c r="A996" s="182" t="s">
        <v>89</v>
      </c>
      <c r="B996" s="183" t="s">
        <v>265</v>
      </c>
    </row>
    <row r="997" spans="1:2" hidden="1">
      <c r="A997" s="182" t="s">
        <v>89</v>
      </c>
      <c r="B997" s="183" t="s">
        <v>265</v>
      </c>
    </row>
    <row r="998" spans="1:2" hidden="1">
      <c r="A998" s="182" t="s">
        <v>89</v>
      </c>
      <c r="B998" s="183" t="s">
        <v>265</v>
      </c>
    </row>
    <row r="999" spans="1:2" hidden="1">
      <c r="A999" s="182" t="s">
        <v>89</v>
      </c>
      <c r="B999" s="183" t="s">
        <v>265</v>
      </c>
    </row>
    <row r="1000" spans="1:2">
      <c r="A1000" s="179" t="s">
        <v>2408</v>
      </c>
      <c r="B1000" s="178" t="s">
        <v>2238</v>
      </c>
    </row>
    <row r="1001" spans="1:2">
      <c r="A1001" s="177" t="s">
        <v>2408</v>
      </c>
      <c r="B1001" s="178" t="s">
        <v>2238</v>
      </c>
    </row>
    <row r="1002" spans="1:2" hidden="1">
      <c r="A1002" s="177" t="s">
        <v>2408</v>
      </c>
      <c r="B1002" s="178" t="s">
        <v>2238</v>
      </c>
    </row>
    <row r="1003" spans="1:2">
      <c r="A1003" s="177" t="s">
        <v>2316</v>
      </c>
      <c r="B1003" s="178" t="s">
        <v>2238</v>
      </c>
    </row>
    <row r="1004" spans="1:2">
      <c r="A1004" s="177" t="s">
        <v>2704</v>
      </c>
      <c r="B1004" s="183" t="s">
        <v>265</v>
      </c>
    </row>
    <row r="1005" spans="1:2">
      <c r="A1005" s="179" t="s">
        <v>2434</v>
      </c>
      <c r="B1005" s="180" t="s">
        <v>265</v>
      </c>
    </row>
    <row r="1006" spans="1:2">
      <c r="A1006" s="177" t="s">
        <v>2434</v>
      </c>
      <c r="B1006" s="183" t="s">
        <v>265</v>
      </c>
    </row>
    <row r="1007" spans="1:2" hidden="1">
      <c r="A1007" s="179" t="s">
        <v>2190</v>
      </c>
      <c r="B1007" s="180" t="s">
        <v>265</v>
      </c>
    </row>
    <row r="1008" spans="1:2" hidden="1">
      <c r="A1008" s="179" t="s">
        <v>2190</v>
      </c>
      <c r="B1008" s="180" t="s">
        <v>265</v>
      </c>
    </row>
    <row r="1009" spans="1:2" hidden="1">
      <c r="A1009" s="179" t="s">
        <v>2190</v>
      </c>
      <c r="B1009" s="180" t="s">
        <v>265</v>
      </c>
    </row>
    <row r="1010" spans="1:2" hidden="1">
      <c r="A1010" s="177" t="s">
        <v>2190</v>
      </c>
      <c r="B1010" s="178" t="s">
        <v>265</v>
      </c>
    </row>
    <row r="1011" spans="1:2" hidden="1">
      <c r="A1011" s="177" t="s">
        <v>2190</v>
      </c>
      <c r="B1011" s="183" t="s">
        <v>265</v>
      </c>
    </row>
    <row r="1012" spans="1:2" hidden="1">
      <c r="A1012" s="177" t="s">
        <v>2190</v>
      </c>
      <c r="B1012" s="183" t="s">
        <v>265</v>
      </c>
    </row>
    <row r="1013" spans="1:2">
      <c r="A1013" s="177" t="s">
        <v>175</v>
      </c>
      <c r="B1013" s="183" t="s">
        <v>265</v>
      </c>
    </row>
    <row r="1014" spans="1:2" hidden="1">
      <c r="A1014" s="177" t="s">
        <v>175</v>
      </c>
      <c r="B1014" s="183" t="s">
        <v>265</v>
      </c>
    </row>
    <row r="1015" spans="1:2" hidden="1">
      <c r="A1015" s="177" t="s">
        <v>175</v>
      </c>
      <c r="B1015" s="183" t="s">
        <v>265</v>
      </c>
    </row>
    <row r="1016" spans="1:2" hidden="1">
      <c r="A1016" s="177" t="s">
        <v>175</v>
      </c>
      <c r="B1016" s="183" t="s">
        <v>265</v>
      </c>
    </row>
    <row r="1017" spans="1:2" hidden="1">
      <c r="A1017" s="177" t="s">
        <v>175</v>
      </c>
      <c r="B1017" s="178" t="s">
        <v>265</v>
      </c>
    </row>
    <row r="1018" spans="1:2" hidden="1">
      <c r="A1018" s="177" t="s">
        <v>175</v>
      </c>
      <c r="B1018" s="178"/>
    </row>
    <row r="1019" spans="1:2" hidden="1">
      <c r="A1019" s="177" t="s">
        <v>175</v>
      </c>
      <c r="B1019" s="178" t="s">
        <v>265</v>
      </c>
    </row>
    <row r="1020" spans="1:2" hidden="1">
      <c r="A1020" s="177" t="s">
        <v>175</v>
      </c>
      <c r="B1020" s="178" t="s">
        <v>265</v>
      </c>
    </row>
    <row r="1021" spans="1:2" hidden="1">
      <c r="A1021" s="177" t="s">
        <v>175</v>
      </c>
      <c r="B1021" s="178" t="s">
        <v>265</v>
      </c>
    </row>
    <row r="1022" spans="1:2" hidden="1">
      <c r="A1022" s="182" t="s">
        <v>175</v>
      </c>
      <c r="B1022" s="183" t="s">
        <v>265</v>
      </c>
    </row>
    <row r="1023" spans="1:2" hidden="1">
      <c r="A1023" s="182" t="s">
        <v>175</v>
      </c>
      <c r="B1023" s="183" t="s">
        <v>265</v>
      </c>
    </row>
    <row r="1024" spans="1:2">
      <c r="A1024" s="177" t="s">
        <v>1150</v>
      </c>
      <c r="B1024" s="178" t="s">
        <v>265</v>
      </c>
    </row>
    <row r="1025" spans="1:2">
      <c r="A1025" s="177" t="s">
        <v>552</v>
      </c>
      <c r="B1025" s="178" t="s">
        <v>265</v>
      </c>
    </row>
    <row r="1026" spans="1:2" hidden="1">
      <c r="A1026" s="179" t="s">
        <v>552</v>
      </c>
      <c r="B1026" s="178" t="s">
        <v>265</v>
      </c>
    </row>
    <row r="1027" spans="1:2" hidden="1">
      <c r="A1027" s="177" t="s">
        <v>552</v>
      </c>
      <c r="B1027" s="183" t="s">
        <v>265</v>
      </c>
    </row>
    <row r="1028" spans="1:2" hidden="1">
      <c r="A1028" s="177" t="s">
        <v>552</v>
      </c>
      <c r="B1028" s="183" t="s">
        <v>265</v>
      </c>
    </row>
    <row r="1029" spans="1:2" hidden="1">
      <c r="A1029" s="177" t="s">
        <v>552</v>
      </c>
      <c r="B1029" s="183" t="s">
        <v>265</v>
      </c>
    </row>
    <row r="1030" spans="1:2" hidden="1">
      <c r="A1030" s="177" t="s">
        <v>552</v>
      </c>
      <c r="B1030" s="183" t="s">
        <v>265</v>
      </c>
    </row>
    <row r="1031" spans="1:2" hidden="1">
      <c r="A1031" s="177" t="s">
        <v>552</v>
      </c>
      <c r="B1031" s="183" t="s">
        <v>265</v>
      </c>
    </row>
    <row r="1032" spans="1:2" hidden="1">
      <c r="A1032" s="177" t="s">
        <v>552</v>
      </c>
      <c r="B1032" s="183" t="s">
        <v>265</v>
      </c>
    </row>
    <row r="1033" spans="1:2" hidden="1">
      <c r="A1033" s="177" t="s">
        <v>552</v>
      </c>
      <c r="B1033" s="183" t="s">
        <v>265</v>
      </c>
    </row>
    <row r="1034" spans="1:2" hidden="1">
      <c r="A1034" s="177" t="s">
        <v>552</v>
      </c>
      <c r="B1034" s="183" t="s">
        <v>265</v>
      </c>
    </row>
    <row r="1035" spans="1:2" hidden="1">
      <c r="A1035" s="177" t="s">
        <v>552</v>
      </c>
      <c r="B1035" s="183" t="s">
        <v>265</v>
      </c>
    </row>
    <row r="1036" spans="1:2" hidden="1">
      <c r="A1036" s="177" t="s">
        <v>552</v>
      </c>
      <c r="B1036" s="183" t="s">
        <v>265</v>
      </c>
    </row>
    <row r="1037" spans="1:2" hidden="1">
      <c r="A1037" s="177" t="s">
        <v>552</v>
      </c>
      <c r="B1037" s="183" t="s">
        <v>265</v>
      </c>
    </row>
    <row r="1038" spans="1:2" hidden="1">
      <c r="A1038" s="179" t="s">
        <v>552</v>
      </c>
      <c r="B1038" s="183" t="s">
        <v>265</v>
      </c>
    </row>
    <row r="1039" spans="1:2" hidden="1">
      <c r="A1039" s="177" t="s">
        <v>552</v>
      </c>
      <c r="B1039" s="178"/>
    </row>
    <row r="1040" spans="1:2" hidden="1">
      <c r="A1040" s="177" t="s">
        <v>552</v>
      </c>
      <c r="B1040" s="178"/>
    </row>
    <row r="1041" spans="1:2" hidden="1">
      <c r="A1041" s="177" t="s">
        <v>552</v>
      </c>
      <c r="B1041" s="178"/>
    </row>
    <row r="1042" spans="1:2" hidden="1">
      <c r="A1042" s="177" t="s">
        <v>552</v>
      </c>
      <c r="B1042" s="178"/>
    </row>
    <row r="1043" spans="1:2" hidden="1">
      <c r="A1043" s="177" t="s">
        <v>552</v>
      </c>
      <c r="B1043" s="178"/>
    </row>
    <row r="1044" spans="1:2" hidden="1">
      <c r="A1044" s="179" t="s">
        <v>552</v>
      </c>
      <c r="B1044" s="180"/>
    </row>
    <row r="1045" spans="1:2" hidden="1">
      <c r="A1045" s="179" t="s">
        <v>552</v>
      </c>
      <c r="B1045" s="180" t="s">
        <v>265</v>
      </c>
    </row>
    <row r="1046" spans="1:2" hidden="1">
      <c r="A1046" s="177" t="s">
        <v>552</v>
      </c>
      <c r="B1046" s="178" t="s">
        <v>265</v>
      </c>
    </row>
    <row r="1047" spans="1:2">
      <c r="A1047" s="179" t="s">
        <v>1032</v>
      </c>
      <c r="B1047" s="180"/>
    </row>
    <row r="1048" spans="1:2">
      <c r="A1048" s="177" t="s">
        <v>953</v>
      </c>
      <c r="B1048" s="178"/>
    </row>
    <row r="1049" spans="1:2">
      <c r="A1049" s="179" t="s">
        <v>953</v>
      </c>
      <c r="B1049" s="180"/>
    </row>
    <row r="1050" spans="1:2">
      <c r="A1050" s="177" t="s">
        <v>953</v>
      </c>
      <c r="B1050" s="178"/>
    </row>
    <row r="1051" spans="1:2">
      <c r="A1051" s="177" t="s">
        <v>1015</v>
      </c>
      <c r="B1051" s="178"/>
    </row>
    <row r="1052" spans="1:2">
      <c r="A1052" s="177" t="s">
        <v>765</v>
      </c>
      <c r="B1052" s="178"/>
    </row>
    <row r="1053" spans="1:2">
      <c r="A1053" s="179" t="s">
        <v>750</v>
      </c>
      <c r="B1053" s="180"/>
    </row>
    <row r="1054" spans="1:2">
      <c r="A1054" s="177" t="s">
        <v>92</v>
      </c>
      <c r="B1054" s="178"/>
    </row>
    <row r="1055" spans="1:2">
      <c r="A1055" s="179" t="s">
        <v>92</v>
      </c>
      <c r="B1055" s="180"/>
    </row>
    <row r="1056" spans="1:2">
      <c r="A1056" s="177" t="s">
        <v>92</v>
      </c>
      <c r="B1056" s="178"/>
    </row>
    <row r="1057" spans="1:2">
      <c r="A1057" s="179" t="s">
        <v>92</v>
      </c>
      <c r="B1057" s="180"/>
    </row>
    <row r="1058" spans="1:2">
      <c r="A1058" s="182" t="s">
        <v>92</v>
      </c>
      <c r="B1058" s="183" t="s">
        <v>265</v>
      </c>
    </row>
    <row r="1059" spans="1:2">
      <c r="A1059" s="182" t="s">
        <v>92</v>
      </c>
      <c r="B1059" s="183" t="s">
        <v>265</v>
      </c>
    </row>
    <row r="1060" spans="1:2">
      <c r="A1060" s="177" t="s">
        <v>1013</v>
      </c>
      <c r="B1060" s="178"/>
    </row>
    <row r="1061" spans="1:2">
      <c r="A1061" s="177" t="s">
        <v>1014</v>
      </c>
      <c r="B1061" s="178"/>
    </row>
    <row r="1062" spans="1:2">
      <c r="A1062" s="177" t="s">
        <v>752</v>
      </c>
      <c r="B1062" s="178"/>
    </row>
    <row r="1063" spans="1:2">
      <c r="A1063" s="177" t="s">
        <v>505</v>
      </c>
      <c r="B1063" s="178"/>
    </row>
    <row r="1064" spans="1:2">
      <c r="A1064" s="179" t="s">
        <v>505</v>
      </c>
      <c r="B1064" s="180" t="s">
        <v>265</v>
      </c>
    </row>
    <row r="1065" spans="1:2">
      <c r="A1065" s="179" t="s">
        <v>1081</v>
      </c>
      <c r="B1065" s="180"/>
    </row>
    <row r="1066" spans="1:2">
      <c r="A1066" s="179" t="s">
        <v>504</v>
      </c>
      <c r="B1066" s="180" t="s">
        <v>265</v>
      </c>
    </row>
    <row r="1067" spans="1:2">
      <c r="A1067" s="177" t="s">
        <v>675</v>
      </c>
      <c r="B1067" s="178"/>
    </row>
    <row r="1068" spans="1:2">
      <c r="A1068" s="177" t="s">
        <v>675</v>
      </c>
      <c r="B1068" s="178"/>
    </row>
    <row r="1069" spans="1:2">
      <c r="A1069" s="179" t="s">
        <v>675</v>
      </c>
      <c r="B1069" s="180" t="s">
        <v>265</v>
      </c>
    </row>
    <row r="1070" spans="1:2">
      <c r="A1070" s="177" t="s">
        <v>838</v>
      </c>
      <c r="B1070" s="178"/>
    </row>
    <row r="1071" spans="1:2">
      <c r="A1071" s="177" t="s">
        <v>508</v>
      </c>
      <c r="B1071" s="178" t="s">
        <v>265</v>
      </c>
    </row>
    <row r="1072" spans="1:2">
      <c r="A1072" s="177" t="s">
        <v>508</v>
      </c>
      <c r="B1072" s="178" t="s">
        <v>265</v>
      </c>
    </row>
    <row r="1073" spans="1:2">
      <c r="A1073" s="179" t="s">
        <v>508</v>
      </c>
      <c r="B1073" s="180" t="s">
        <v>265</v>
      </c>
    </row>
    <row r="1074" spans="1:2">
      <c r="A1074" s="179" t="s">
        <v>1069</v>
      </c>
      <c r="B1074" s="180" t="s">
        <v>265</v>
      </c>
    </row>
    <row r="1075" spans="1:2">
      <c r="A1075" s="179" t="s">
        <v>1067</v>
      </c>
      <c r="B1075" s="180"/>
    </row>
    <row r="1076" spans="1:2">
      <c r="A1076" s="177" t="s">
        <v>835</v>
      </c>
      <c r="B1076" s="178"/>
    </row>
    <row r="1077" spans="1:2">
      <c r="A1077" s="177" t="s">
        <v>544</v>
      </c>
      <c r="B1077" s="178"/>
    </row>
    <row r="1078" spans="1:2">
      <c r="A1078" s="177" t="s">
        <v>544</v>
      </c>
      <c r="B1078" s="178"/>
    </row>
    <row r="1079" spans="1:2">
      <c r="A1079" s="177" t="s">
        <v>544</v>
      </c>
      <c r="B1079" s="178" t="s">
        <v>265</v>
      </c>
    </row>
    <row r="1080" spans="1:2">
      <c r="A1080" s="177" t="s">
        <v>2215</v>
      </c>
      <c r="B1080" s="183" t="s">
        <v>265</v>
      </c>
    </row>
    <row r="1081" spans="1:2">
      <c r="A1081" s="177" t="s">
        <v>1880</v>
      </c>
      <c r="B1081" s="183" t="s">
        <v>265</v>
      </c>
    </row>
    <row r="1082" spans="1:2">
      <c r="A1082" s="177" t="s">
        <v>1880</v>
      </c>
      <c r="B1082" s="183" t="s">
        <v>265</v>
      </c>
    </row>
    <row r="1083" spans="1:2">
      <c r="A1083" s="177" t="s">
        <v>1734</v>
      </c>
      <c r="B1083" s="183" t="s">
        <v>265</v>
      </c>
    </row>
    <row r="1084" spans="1:2" hidden="1">
      <c r="A1084" s="177" t="s">
        <v>1734</v>
      </c>
      <c r="B1084" s="183" t="s">
        <v>265</v>
      </c>
    </row>
    <row r="1085" spans="1:2" hidden="1">
      <c r="A1085" s="177" t="s">
        <v>1734</v>
      </c>
      <c r="B1085" s="183" t="s">
        <v>265</v>
      </c>
    </row>
    <row r="1086" spans="1:2" hidden="1">
      <c r="A1086" s="177" t="s">
        <v>1734</v>
      </c>
      <c r="B1086" s="183" t="s">
        <v>265</v>
      </c>
    </row>
    <row r="1087" spans="1:2" hidden="1">
      <c r="A1087" s="177" t="s">
        <v>1734</v>
      </c>
      <c r="B1087" s="183" t="s">
        <v>265</v>
      </c>
    </row>
    <row r="1088" spans="1:2" hidden="1">
      <c r="A1088" s="177" t="s">
        <v>1734</v>
      </c>
      <c r="B1088" s="183" t="s">
        <v>265</v>
      </c>
    </row>
    <row r="1089" spans="1:2" hidden="1">
      <c r="A1089" s="177" t="s">
        <v>1934</v>
      </c>
      <c r="B1089" s="178" t="s">
        <v>265</v>
      </c>
    </row>
    <row r="1090" spans="1:2" hidden="1">
      <c r="A1090" s="179" t="s">
        <v>1934</v>
      </c>
      <c r="B1090" s="180" t="s">
        <v>265</v>
      </c>
    </row>
    <row r="1091" spans="1:2" hidden="1">
      <c r="A1091" s="177" t="s">
        <v>1934</v>
      </c>
      <c r="B1091" s="183" t="s">
        <v>265</v>
      </c>
    </row>
    <row r="1092" spans="1:2" hidden="1">
      <c r="A1092" s="177" t="s">
        <v>1934</v>
      </c>
      <c r="B1092" s="183" t="s">
        <v>265</v>
      </c>
    </row>
    <row r="1093" spans="1:2" hidden="1">
      <c r="A1093" s="177" t="s">
        <v>1934</v>
      </c>
      <c r="B1093" s="183" t="s">
        <v>265</v>
      </c>
    </row>
    <row r="1094" spans="1:2" hidden="1">
      <c r="A1094" s="177" t="s">
        <v>1934</v>
      </c>
      <c r="B1094" s="183" t="s">
        <v>265</v>
      </c>
    </row>
    <row r="1095" spans="1:2" hidden="1">
      <c r="A1095" s="177" t="s">
        <v>1934</v>
      </c>
      <c r="B1095" s="183" t="s">
        <v>265</v>
      </c>
    </row>
    <row r="1096" spans="1:2" hidden="1">
      <c r="A1096" s="177" t="s">
        <v>1934</v>
      </c>
      <c r="B1096" s="183" t="s">
        <v>265</v>
      </c>
    </row>
    <row r="1097" spans="1:2">
      <c r="A1097" s="177" t="s">
        <v>1858</v>
      </c>
      <c r="B1097" s="183" t="s">
        <v>265</v>
      </c>
    </row>
    <row r="1098" spans="1:2">
      <c r="A1098" s="177" t="s">
        <v>1858</v>
      </c>
      <c r="B1098" s="183" t="s">
        <v>265</v>
      </c>
    </row>
    <row r="1099" spans="1:2">
      <c r="A1099" s="177" t="s">
        <v>1895</v>
      </c>
      <c r="B1099" s="183" t="s">
        <v>265</v>
      </c>
    </row>
    <row r="1100" spans="1:2">
      <c r="A1100" s="177" t="s">
        <v>1868</v>
      </c>
      <c r="B1100" s="183" t="s">
        <v>265</v>
      </c>
    </row>
    <row r="1101" spans="1:2">
      <c r="A1101" s="177" t="s">
        <v>1292</v>
      </c>
      <c r="B1101" s="178" t="s">
        <v>265</v>
      </c>
    </row>
    <row r="1102" spans="1:2">
      <c r="A1102" s="179" t="s">
        <v>1264</v>
      </c>
      <c r="B1102" s="180" t="s">
        <v>265</v>
      </c>
    </row>
    <row r="1103" spans="1:2">
      <c r="A1103" s="177" t="s">
        <v>3096</v>
      </c>
      <c r="B1103" s="178" t="s">
        <v>265</v>
      </c>
    </row>
    <row r="1104" spans="1:2">
      <c r="A1104" s="177" t="s">
        <v>2547</v>
      </c>
      <c r="B1104" s="178" t="s">
        <v>265</v>
      </c>
    </row>
    <row r="1105" spans="1:2">
      <c r="A1105" s="177" t="s">
        <v>2547</v>
      </c>
      <c r="B1105" s="183" t="s">
        <v>265</v>
      </c>
    </row>
    <row r="1106" spans="1:2">
      <c r="A1106" s="177" t="s">
        <v>2547</v>
      </c>
      <c r="B1106" s="178"/>
    </row>
    <row r="1107" spans="1:2">
      <c r="A1107" s="177" t="s">
        <v>2547</v>
      </c>
      <c r="B1107" s="178"/>
    </row>
    <row r="1108" spans="1:2">
      <c r="A1108" s="177" t="s">
        <v>2252</v>
      </c>
      <c r="B1108" s="183" t="s">
        <v>265</v>
      </c>
    </row>
    <row r="1109" spans="1:2">
      <c r="A1109" s="177" t="s">
        <v>1916</v>
      </c>
      <c r="B1109" s="183" t="s">
        <v>265</v>
      </c>
    </row>
    <row r="1110" spans="1:2">
      <c r="A1110" s="177" t="s">
        <v>2710</v>
      </c>
      <c r="B1110" s="183" t="s">
        <v>265</v>
      </c>
    </row>
    <row r="1111" spans="1:2">
      <c r="A1111" s="177" t="s">
        <v>1635</v>
      </c>
      <c r="B1111" s="183" t="s">
        <v>265</v>
      </c>
    </row>
    <row r="1112" spans="1:2" hidden="1">
      <c r="A1112" s="177" t="s">
        <v>1635</v>
      </c>
      <c r="B1112" s="183" t="s">
        <v>265</v>
      </c>
    </row>
    <row r="1113" spans="1:2" hidden="1">
      <c r="A1113" s="177" t="s">
        <v>1635</v>
      </c>
      <c r="B1113" s="183" t="s">
        <v>265</v>
      </c>
    </row>
    <row r="1114" spans="1:2" hidden="1">
      <c r="A1114" s="177" t="s">
        <v>1635</v>
      </c>
      <c r="B1114" s="183" t="s">
        <v>265</v>
      </c>
    </row>
    <row r="1115" spans="1:2" hidden="1">
      <c r="A1115" s="177" t="s">
        <v>1635</v>
      </c>
      <c r="B1115" s="183" t="s">
        <v>265</v>
      </c>
    </row>
    <row r="1116" spans="1:2" hidden="1">
      <c r="A1116" s="177" t="s">
        <v>1635</v>
      </c>
      <c r="B1116" s="183" t="s">
        <v>265</v>
      </c>
    </row>
    <row r="1117" spans="1:2" hidden="1">
      <c r="A1117" s="177" t="s">
        <v>1635</v>
      </c>
      <c r="B1117" s="183" t="s">
        <v>265</v>
      </c>
    </row>
    <row r="1118" spans="1:2" hidden="1">
      <c r="A1118" s="177" t="s">
        <v>1635</v>
      </c>
      <c r="B1118" s="183" t="s">
        <v>265</v>
      </c>
    </row>
    <row r="1119" spans="1:2" hidden="1">
      <c r="A1119" s="177" t="s">
        <v>1635</v>
      </c>
      <c r="B1119" s="183" t="s">
        <v>265</v>
      </c>
    </row>
    <row r="1120" spans="1:2">
      <c r="A1120" s="177" t="s">
        <v>2159</v>
      </c>
      <c r="B1120" s="183" t="s">
        <v>265</v>
      </c>
    </row>
    <row r="1121" spans="1:2">
      <c r="A1121" s="177" t="s">
        <v>1602</v>
      </c>
      <c r="B1121" s="183" t="s">
        <v>265</v>
      </c>
    </row>
    <row r="1122" spans="1:2">
      <c r="A1122" s="177" t="s">
        <v>2083</v>
      </c>
      <c r="B1122" s="183" t="s">
        <v>265</v>
      </c>
    </row>
    <row r="1123" spans="1:2">
      <c r="A1123" s="179" t="s">
        <v>1742</v>
      </c>
      <c r="B1123" s="180" t="s">
        <v>265</v>
      </c>
    </row>
    <row r="1124" spans="1:2" hidden="1">
      <c r="A1124" s="177" t="s">
        <v>1742</v>
      </c>
      <c r="B1124" s="183" t="s">
        <v>265</v>
      </c>
    </row>
    <row r="1125" spans="1:2" hidden="1">
      <c r="A1125" s="177" t="s">
        <v>1742</v>
      </c>
      <c r="B1125" s="183" t="s">
        <v>265</v>
      </c>
    </row>
    <row r="1126" spans="1:2" hidden="1">
      <c r="A1126" s="177" t="s">
        <v>1742</v>
      </c>
      <c r="B1126" s="183" t="s">
        <v>265</v>
      </c>
    </row>
    <row r="1127" spans="1:2" hidden="1">
      <c r="A1127" s="177" t="s">
        <v>1742</v>
      </c>
      <c r="B1127" s="183" t="s">
        <v>265</v>
      </c>
    </row>
    <row r="1128" spans="1:2" hidden="1">
      <c r="A1128" s="177" t="s">
        <v>1742</v>
      </c>
      <c r="B1128" s="183" t="s">
        <v>265</v>
      </c>
    </row>
    <row r="1129" spans="1:2" hidden="1">
      <c r="A1129" s="177" t="s">
        <v>1742</v>
      </c>
      <c r="B1129" s="183" t="s">
        <v>265</v>
      </c>
    </row>
    <row r="1130" spans="1:2" hidden="1">
      <c r="A1130" s="177" t="s">
        <v>1742</v>
      </c>
      <c r="B1130" s="183" t="s">
        <v>265</v>
      </c>
    </row>
    <row r="1131" spans="1:2" hidden="1">
      <c r="A1131" s="177" t="s">
        <v>1742</v>
      </c>
      <c r="B1131" s="183" t="s">
        <v>265</v>
      </c>
    </row>
    <row r="1132" spans="1:2" hidden="1">
      <c r="A1132" s="177" t="s">
        <v>1742</v>
      </c>
      <c r="B1132" s="183" t="s">
        <v>265</v>
      </c>
    </row>
    <row r="1133" spans="1:2" hidden="1">
      <c r="A1133" s="177" t="s">
        <v>1742</v>
      </c>
      <c r="B1133" s="183" t="s">
        <v>265</v>
      </c>
    </row>
    <row r="1134" spans="1:2" hidden="1">
      <c r="A1134" s="177" t="s">
        <v>1742</v>
      </c>
      <c r="B1134" s="183" t="s">
        <v>265</v>
      </c>
    </row>
    <row r="1135" spans="1:2" hidden="1">
      <c r="A1135" s="177" t="s">
        <v>1742</v>
      </c>
      <c r="B1135" s="183" t="s">
        <v>265</v>
      </c>
    </row>
    <row r="1136" spans="1:2" hidden="1">
      <c r="A1136" s="177" t="s">
        <v>1742</v>
      </c>
      <c r="B1136" s="183" t="s">
        <v>265</v>
      </c>
    </row>
    <row r="1137" spans="1:2" hidden="1">
      <c r="A1137" s="177" t="s">
        <v>1742</v>
      </c>
      <c r="B1137" s="183" t="s">
        <v>265</v>
      </c>
    </row>
    <row r="1138" spans="1:2" hidden="1">
      <c r="A1138" s="177" t="s">
        <v>1742</v>
      </c>
      <c r="B1138" s="183" t="s">
        <v>265</v>
      </c>
    </row>
    <row r="1139" spans="1:2" hidden="1">
      <c r="A1139" s="177" t="s">
        <v>1742</v>
      </c>
      <c r="B1139" s="183" t="s">
        <v>265</v>
      </c>
    </row>
    <row r="1140" spans="1:2">
      <c r="A1140" s="177" t="s">
        <v>1871</v>
      </c>
      <c r="B1140" s="183" t="s">
        <v>265</v>
      </c>
    </row>
    <row r="1141" spans="1:2">
      <c r="A1141" s="177" t="s">
        <v>2703</v>
      </c>
      <c r="B1141" s="183" t="s">
        <v>265</v>
      </c>
    </row>
    <row r="1142" spans="1:2">
      <c r="A1142" s="177" t="s">
        <v>1767</v>
      </c>
      <c r="B1142" s="178" t="s">
        <v>265</v>
      </c>
    </row>
    <row r="1143" spans="1:2">
      <c r="A1143" s="177" t="s">
        <v>1767</v>
      </c>
      <c r="B1143" s="183" t="s">
        <v>265</v>
      </c>
    </row>
    <row r="1144" spans="1:2">
      <c r="A1144" s="177" t="s">
        <v>1767</v>
      </c>
      <c r="B1144" s="183" t="s">
        <v>265</v>
      </c>
    </row>
    <row r="1145" spans="1:2">
      <c r="A1145" s="177" t="s">
        <v>1767</v>
      </c>
      <c r="B1145" s="183" t="s">
        <v>265</v>
      </c>
    </row>
    <row r="1146" spans="1:2">
      <c r="A1146" s="177" t="s">
        <v>1767</v>
      </c>
      <c r="B1146" s="183" t="s">
        <v>265</v>
      </c>
    </row>
    <row r="1147" spans="1:2">
      <c r="A1147" s="177" t="s">
        <v>1767</v>
      </c>
      <c r="B1147" s="183" t="s">
        <v>265</v>
      </c>
    </row>
    <row r="1148" spans="1:2">
      <c r="A1148" s="177" t="s">
        <v>1767</v>
      </c>
      <c r="B1148" s="183" t="s">
        <v>265</v>
      </c>
    </row>
    <row r="1149" spans="1:2">
      <c r="A1149" s="177" t="s">
        <v>1767</v>
      </c>
      <c r="B1149" s="183" t="s">
        <v>265</v>
      </c>
    </row>
    <row r="1150" spans="1:2">
      <c r="A1150" s="177" t="s">
        <v>1767</v>
      </c>
      <c r="B1150" s="183" t="s">
        <v>265</v>
      </c>
    </row>
    <row r="1151" spans="1:2">
      <c r="A1151" s="177" t="s">
        <v>1107</v>
      </c>
      <c r="B1151" s="183" t="s">
        <v>265</v>
      </c>
    </row>
    <row r="1152" spans="1:2">
      <c r="A1152" s="177" t="s">
        <v>1107</v>
      </c>
      <c r="B1152" s="183" t="s">
        <v>265</v>
      </c>
    </row>
    <row r="1153" spans="1:2">
      <c r="A1153" s="179" t="s">
        <v>1107</v>
      </c>
      <c r="B1153" s="180" t="s">
        <v>265</v>
      </c>
    </row>
    <row r="1154" spans="1:2">
      <c r="A1154" s="179" t="s">
        <v>1142</v>
      </c>
      <c r="B1154" s="180" t="s">
        <v>265</v>
      </c>
    </row>
    <row r="1155" spans="1:2">
      <c r="A1155" s="177" t="s">
        <v>1885</v>
      </c>
      <c r="B1155" s="183" t="s">
        <v>265</v>
      </c>
    </row>
    <row r="1156" spans="1:2">
      <c r="A1156" s="177" t="s">
        <v>1748</v>
      </c>
      <c r="B1156" s="183" t="s">
        <v>265</v>
      </c>
    </row>
    <row r="1157" spans="1:2">
      <c r="A1157" s="177" t="s">
        <v>1174</v>
      </c>
      <c r="B1157" s="178" t="s">
        <v>265</v>
      </c>
    </row>
    <row r="1158" spans="1:2">
      <c r="A1158" s="177" t="s">
        <v>1174</v>
      </c>
      <c r="B1158" s="178" t="s">
        <v>265</v>
      </c>
    </row>
    <row r="1159" spans="1:2">
      <c r="A1159" s="177" t="s">
        <v>1174</v>
      </c>
      <c r="B1159" s="183" t="s">
        <v>265</v>
      </c>
    </row>
    <row r="1160" spans="1:2">
      <c r="A1160" s="177" t="s">
        <v>1174</v>
      </c>
      <c r="B1160" s="178" t="s">
        <v>265</v>
      </c>
    </row>
    <row r="1161" spans="1:2">
      <c r="A1161" s="177" t="s">
        <v>1174</v>
      </c>
      <c r="B1161" s="178" t="s">
        <v>265</v>
      </c>
    </row>
    <row r="1162" spans="1:2">
      <c r="A1162" s="177" t="s">
        <v>1670</v>
      </c>
      <c r="B1162" s="183" t="s">
        <v>265</v>
      </c>
    </row>
    <row r="1163" spans="1:2">
      <c r="A1163" s="177" t="s">
        <v>1670</v>
      </c>
      <c r="B1163" s="183" t="s">
        <v>265</v>
      </c>
    </row>
    <row r="1164" spans="1:2">
      <c r="A1164" s="177" t="s">
        <v>2136</v>
      </c>
      <c r="B1164" s="183" t="s">
        <v>265</v>
      </c>
    </row>
    <row r="1165" spans="1:2">
      <c r="A1165" s="177" t="s">
        <v>1826</v>
      </c>
      <c r="B1165" s="183" t="s">
        <v>265</v>
      </c>
    </row>
    <row r="1166" spans="1:2">
      <c r="A1166" s="177" t="s">
        <v>1826</v>
      </c>
      <c r="B1166" s="183" t="s">
        <v>265</v>
      </c>
    </row>
    <row r="1167" spans="1:2">
      <c r="A1167" s="177" t="s">
        <v>2784</v>
      </c>
      <c r="B1167" s="183" t="s">
        <v>265</v>
      </c>
    </row>
    <row r="1168" spans="1:2">
      <c r="A1168" s="177" t="s">
        <v>2096</v>
      </c>
      <c r="B1168" s="183" t="s">
        <v>265</v>
      </c>
    </row>
    <row r="1169" spans="1:2">
      <c r="A1169" s="177" t="s">
        <v>1826</v>
      </c>
      <c r="B1169" s="183" t="s">
        <v>265</v>
      </c>
    </row>
    <row r="1170" spans="1:2">
      <c r="A1170" s="177" t="s">
        <v>2096</v>
      </c>
      <c r="B1170" s="183" t="s">
        <v>265</v>
      </c>
    </row>
    <row r="1171" spans="1:2">
      <c r="A1171" s="177" t="s">
        <v>1826</v>
      </c>
      <c r="B1171" s="183" t="s">
        <v>265</v>
      </c>
    </row>
    <row r="1172" spans="1:2">
      <c r="A1172" s="177" t="s">
        <v>1631</v>
      </c>
      <c r="B1172" s="183" t="s">
        <v>265</v>
      </c>
    </row>
    <row r="1173" spans="1:2" hidden="1">
      <c r="A1173" s="177" t="s">
        <v>1631</v>
      </c>
      <c r="B1173" s="183" t="s">
        <v>265</v>
      </c>
    </row>
    <row r="1174" spans="1:2" hidden="1">
      <c r="A1174" s="177" t="s">
        <v>1631</v>
      </c>
      <c r="B1174" s="183" t="s">
        <v>265</v>
      </c>
    </row>
    <row r="1175" spans="1:2" hidden="1">
      <c r="A1175" s="177" t="s">
        <v>1631</v>
      </c>
      <c r="B1175" s="183" t="s">
        <v>265</v>
      </c>
    </row>
    <row r="1176" spans="1:2" hidden="1">
      <c r="A1176" s="177" t="s">
        <v>1631</v>
      </c>
      <c r="B1176" s="183" t="s">
        <v>265</v>
      </c>
    </row>
    <row r="1177" spans="1:2" hidden="1">
      <c r="A1177" s="177" t="s">
        <v>1631</v>
      </c>
      <c r="B1177" s="183" t="s">
        <v>265</v>
      </c>
    </row>
    <row r="1178" spans="1:2" hidden="1">
      <c r="A1178" s="177" t="s">
        <v>1631</v>
      </c>
      <c r="B1178" s="183" t="s">
        <v>265</v>
      </c>
    </row>
    <row r="1179" spans="1:2" hidden="1">
      <c r="A1179" s="177" t="s">
        <v>1631</v>
      </c>
      <c r="B1179" s="183" t="s">
        <v>265</v>
      </c>
    </row>
    <row r="1180" spans="1:2" hidden="1">
      <c r="A1180" s="177" t="s">
        <v>1631</v>
      </c>
      <c r="B1180" s="183" t="s">
        <v>265</v>
      </c>
    </row>
    <row r="1181" spans="1:2" hidden="1">
      <c r="A1181" s="177" t="s">
        <v>1631</v>
      </c>
      <c r="B1181" s="183" t="s">
        <v>265</v>
      </c>
    </row>
    <row r="1182" spans="1:2" hidden="1">
      <c r="A1182" s="177" t="s">
        <v>1631</v>
      </c>
      <c r="B1182" s="183" t="s">
        <v>265</v>
      </c>
    </row>
    <row r="1183" spans="1:2" hidden="1">
      <c r="A1183" s="177" t="s">
        <v>1631</v>
      </c>
      <c r="B1183" s="183" t="s">
        <v>265</v>
      </c>
    </row>
    <row r="1184" spans="1:2" hidden="1">
      <c r="A1184" s="177" t="s">
        <v>1631</v>
      </c>
      <c r="B1184" s="183" t="s">
        <v>265</v>
      </c>
    </row>
    <row r="1185" spans="1:2">
      <c r="A1185" s="177" t="s">
        <v>2711</v>
      </c>
      <c r="B1185" s="183" t="s">
        <v>265</v>
      </c>
    </row>
    <row r="1186" spans="1:2">
      <c r="A1186" s="177" t="s">
        <v>1102</v>
      </c>
      <c r="B1186" s="178" t="s">
        <v>265</v>
      </c>
    </row>
    <row r="1187" spans="1:2">
      <c r="A1187" s="177" t="s">
        <v>1284</v>
      </c>
      <c r="B1187" s="178" t="s">
        <v>265</v>
      </c>
    </row>
    <row r="1188" spans="1:2">
      <c r="A1188" s="179" t="s">
        <v>1284</v>
      </c>
      <c r="B1188" s="178" t="s">
        <v>265</v>
      </c>
    </row>
    <row r="1189" spans="1:2">
      <c r="A1189" s="177" t="s">
        <v>1284</v>
      </c>
      <c r="B1189" s="183" t="s">
        <v>265</v>
      </c>
    </row>
    <row r="1190" spans="1:2">
      <c r="A1190" s="177" t="s">
        <v>1284</v>
      </c>
      <c r="B1190" s="183" t="s">
        <v>265</v>
      </c>
    </row>
    <row r="1191" spans="1:2">
      <c r="A1191" s="177" t="s">
        <v>1284</v>
      </c>
      <c r="B1191" s="178" t="s">
        <v>265</v>
      </c>
    </row>
    <row r="1192" spans="1:2">
      <c r="A1192" s="177" t="s">
        <v>1921</v>
      </c>
      <c r="B1192" s="178" t="s">
        <v>265</v>
      </c>
    </row>
    <row r="1193" spans="1:2">
      <c r="A1193" s="177" t="s">
        <v>1921</v>
      </c>
      <c r="B1193" s="178" t="s">
        <v>265</v>
      </c>
    </row>
    <row r="1194" spans="1:2">
      <c r="A1194" s="177" t="s">
        <v>1921</v>
      </c>
      <c r="B1194" s="183" t="s">
        <v>265</v>
      </c>
    </row>
    <row r="1195" spans="1:2">
      <c r="A1195" s="177" t="s">
        <v>1921</v>
      </c>
      <c r="B1195" s="183" t="s">
        <v>265</v>
      </c>
    </row>
    <row r="1196" spans="1:2">
      <c r="A1196" s="177" t="s">
        <v>1921</v>
      </c>
      <c r="B1196" s="183" t="s">
        <v>265</v>
      </c>
    </row>
    <row r="1197" spans="1:2">
      <c r="A1197" s="177" t="s">
        <v>1921</v>
      </c>
      <c r="B1197" s="183" t="s">
        <v>265</v>
      </c>
    </row>
    <row r="1198" spans="1:2">
      <c r="A1198" s="177" t="s">
        <v>1921</v>
      </c>
      <c r="B1198" s="183" t="s">
        <v>265</v>
      </c>
    </row>
    <row r="1199" spans="1:2">
      <c r="A1199" s="177" t="s">
        <v>1921</v>
      </c>
      <c r="B1199" s="183" t="s">
        <v>265</v>
      </c>
    </row>
    <row r="1200" spans="1:2">
      <c r="A1200" s="177" t="s">
        <v>1921</v>
      </c>
      <c r="B1200" s="183" t="s">
        <v>265</v>
      </c>
    </row>
    <row r="1201" spans="1:2">
      <c r="A1201" s="177" t="s">
        <v>3135</v>
      </c>
      <c r="B1201" s="178" t="s">
        <v>265</v>
      </c>
    </row>
    <row r="1202" spans="1:2">
      <c r="A1202" s="177" t="s">
        <v>2098</v>
      </c>
      <c r="B1202" s="183" t="s">
        <v>265</v>
      </c>
    </row>
    <row r="1203" spans="1:2">
      <c r="A1203" s="177" t="s">
        <v>2098</v>
      </c>
      <c r="B1203" s="183" t="s">
        <v>265</v>
      </c>
    </row>
    <row r="1204" spans="1:2">
      <c r="A1204" s="177" t="s">
        <v>2098</v>
      </c>
      <c r="B1204" s="183" t="s">
        <v>265</v>
      </c>
    </row>
    <row r="1205" spans="1:2">
      <c r="A1205" s="177" t="s">
        <v>1839</v>
      </c>
      <c r="B1205" s="183" t="s">
        <v>265</v>
      </c>
    </row>
    <row r="1206" spans="1:2">
      <c r="A1206" s="177" t="s">
        <v>2789</v>
      </c>
      <c r="B1206" s="183" t="s">
        <v>265</v>
      </c>
    </row>
    <row r="1207" spans="1:2">
      <c r="A1207" s="177" t="s">
        <v>1790</v>
      </c>
      <c r="B1207" s="183" t="s">
        <v>265</v>
      </c>
    </row>
    <row r="1208" spans="1:2">
      <c r="A1208" s="177" t="s">
        <v>1790</v>
      </c>
      <c r="B1208" s="183" t="s">
        <v>265</v>
      </c>
    </row>
    <row r="1209" spans="1:2">
      <c r="A1209" s="177" t="s">
        <v>1790</v>
      </c>
      <c r="B1209" s="183" t="s">
        <v>265</v>
      </c>
    </row>
    <row r="1210" spans="1:2">
      <c r="A1210" s="177" t="s">
        <v>1132</v>
      </c>
      <c r="B1210" s="183" t="s">
        <v>265</v>
      </c>
    </row>
    <row r="1211" spans="1:2">
      <c r="A1211" s="177" t="s">
        <v>1244</v>
      </c>
      <c r="B1211" s="178" t="s">
        <v>265</v>
      </c>
    </row>
    <row r="1212" spans="1:2">
      <c r="A1212" s="179" t="s">
        <v>1132</v>
      </c>
      <c r="B1212" s="180" t="s">
        <v>265</v>
      </c>
    </row>
    <row r="1213" spans="1:2">
      <c r="A1213" s="177" t="s">
        <v>2861</v>
      </c>
      <c r="B1213" s="178" t="s">
        <v>265</v>
      </c>
    </row>
    <row r="1214" spans="1:2">
      <c r="A1214" s="177" t="s">
        <v>2861</v>
      </c>
      <c r="B1214" s="178" t="s">
        <v>265</v>
      </c>
    </row>
    <row r="1215" spans="1:2">
      <c r="A1215" s="177" t="s">
        <v>2861</v>
      </c>
      <c r="B1215" s="183" t="s">
        <v>265</v>
      </c>
    </row>
    <row r="1216" spans="1:2">
      <c r="A1216" s="177" t="s">
        <v>1140</v>
      </c>
      <c r="B1216" s="183" t="s">
        <v>265</v>
      </c>
    </row>
    <row r="1217" spans="1:2">
      <c r="A1217" s="177" t="s">
        <v>1140</v>
      </c>
      <c r="B1217" s="178" t="s">
        <v>265</v>
      </c>
    </row>
    <row r="1218" spans="1:2">
      <c r="A1218" s="177" t="s">
        <v>2131</v>
      </c>
      <c r="B1218" s="183" t="s">
        <v>265</v>
      </c>
    </row>
    <row r="1219" spans="1:2">
      <c r="A1219" s="177" t="s">
        <v>2440</v>
      </c>
      <c r="B1219" s="183" t="s">
        <v>265</v>
      </c>
    </row>
    <row r="1220" spans="1:2">
      <c r="A1220" s="177" t="s">
        <v>1177</v>
      </c>
      <c r="B1220" s="183" t="s">
        <v>265</v>
      </c>
    </row>
    <row r="1221" spans="1:2">
      <c r="A1221" s="179" t="s">
        <v>1177</v>
      </c>
      <c r="B1221" s="180" t="s">
        <v>265</v>
      </c>
    </row>
    <row r="1222" spans="1:2">
      <c r="A1222" s="177" t="s">
        <v>1105</v>
      </c>
      <c r="B1222" s="178" t="s">
        <v>265</v>
      </c>
    </row>
    <row r="1223" spans="1:2">
      <c r="A1223" s="177" t="s">
        <v>1633</v>
      </c>
      <c r="B1223" s="183" t="s">
        <v>265</v>
      </c>
    </row>
    <row r="1224" spans="1:2">
      <c r="A1224" s="177" t="s">
        <v>1851</v>
      </c>
      <c r="B1224" s="183" t="s">
        <v>265</v>
      </c>
    </row>
    <row r="1225" spans="1:2">
      <c r="A1225" s="177" t="s">
        <v>1711</v>
      </c>
      <c r="B1225" s="178" t="s">
        <v>265</v>
      </c>
    </row>
    <row r="1226" spans="1:2" hidden="1">
      <c r="A1226" s="177" t="s">
        <v>1711</v>
      </c>
      <c r="B1226" s="178" t="s">
        <v>265</v>
      </c>
    </row>
    <row r="1227" spans="1:2" hidden="1">
      <c r="A1227" s="179" t="s">
        <v>1711</v>
      </c>
      <c r="B1227" s="180" t="s">
        <v>265</v>
      </c>
    </row>
    <row r="1228" spans="1:2" hidden="1">
      <c r="A1228" s="177" t="s">
        <v>1711</v>
      </c>
      <c r="B1228" s="183" t="s">
        <v>265</v>
      </c>
    </row>
    <row r="1229" spans="1:2" hidden="1">
      <c r="A1229" s="177" t="s">
        <v>1711</v>
      </c>
      <c r="B1229" s="183" t="s">
        <v>265</v>
      </c>
    </row>
    <row r="1230" spans="1:2" hidden="1">
      <c r="A1230" s="177" t="s">
        <v>1711</v>
      </c>
      <c r="B1230" s="183" t="s">
        <v>265</v>
      </c>
    </row>
    <row r="1231" spans="1:2" hidden="1">
      <c r="A1231" s="177" t="s">
        <v>1711</v>
      </c>
      <c r="B1231" s="183" t="s">
        <v>265</v>
      </c>
    </row>
    <row r="1232" spans="1:2" hidden="1">
      <c r="A1232" s="177" t="s">
        <v>1711</v>
      </c>
      <c r="B1232" s="183" t="s">
        <v>265</v>
      </c>
    </row>
    <row r="1233" spans="1:2" hidden="1">
      <c r="A1233" s="177" t="s">
        <v>1711</v>
      </c>
      <c r="B1233" s="183" t="s">
        <v>265</v>
      </c>
    </row>
    <row r="1234" spans="1:2" hidden="1">
      <c r="A1234" s="177" t="s">
        <v>1711</v>
      </c>
      <c r="B1234" s="183" t="s">
        <v>265</v>
      </c>
    </row>
    <row r="1235" spans="1:2" hidden="1">
      <c r="A1235" s="177" t="s">
        <v>1711</v>
      </c>
      <c r="B1235" s="183" t="s">
        <v>265</v>
      </c>
    </row>
    <row r="1236" spans="1:2" hidden="1">
      <c r="A1236" s="177" t="s">
        <v>1711</v>
      </c>
      <c r="B1236" s="183" t="s">
        <v>265</v>
      </c>
    </row>
    <row r="1237" spans="1:2" hidden="1">
      <c r="A1237" s="177" t="s">
        <v>1711</v>
      </c>
      <c r="B1237" s="183" t="s">
        <v>265</v>
      </c>
    </row>
    <row r="1238" spans="1:2" hidden="1">
      <c r="A1238" s="177" t="s">
        <v>1711</v>
      </c>
      <c r="B1238" s="183" t="s">
        <v>265</v>
      </c>
    </row>
    <row r="1239" spans="1:2" hidden="1">
      <c r="A1239" s="177" t="s">
        <v>1711</v>
      </c>
      <c r="B1239" s="183" t="s">
        <v>265</v>
      </c>
    </row>
    <row r="1240" spans="1:2" hidden="1">
      <c r="A1240" s="177" t="s">
        <v>1711</v>
      </c>
      <c r="B1240" s="183" t="s">
        <v>265</v>
      </c>
    </row>
    <row r="1241" spans="1:2" hidden="1">
      <c r="A1241" s="177" t="s">
        <v>1711</v>
      </c>
      <c r="B1241" s="183" t="s">
        <v>265</v>
      </c>
    </row>
    <row r="1242" spans="1:2" hidden="1">
      <c r="A1242" s="177" t="s">
        <v>1711</v>
      </c>
      <c r="B1242" s="183" t="s">
        <v>265</v>
      </c>
    </row>
    <row r="1243" spans="1:2" hidden="1">
      <c r="A1243" s="177" t="s">
        <v>1711</v>
      </c>
      <c r="B1243" s="183" t="s">
        <v>265</v>
      </c>
    </row>
    <row r="1244" spans="1:2" hidden="1">
      <c r="A1244" s="177" t="s">
        <v>1711</v>
      </c>
      <c r="B1244" s="183" t="s">
        <v>265</v>
      </c>
    </row>
    <row r="1245" spans="1:2">
      <c r="A1245" s="179" t="s">
        <v>1679</v>
      </c>
      <c r="B1245" s="180" t="s">
        <v>265</v>
      </c>
    </row>
    <row r="1246" spans="1:2">
      <c r="A1246" s="177" t="s">
        <v>1679</v>
      </c>
      <c r="B1246" s="178" t="s">
        <v>265</v>
      </c>
    </row>
    <row r="1247" spans="1:2">
      <c r="A1247" s="177" t="s">
        <v>2079</v>
      </c>
      <c r="B1247" s="183" t="s">
        <v>265</v>
      </c>
    </row>
    <row r="1248" spans="1:2">
      <c r="A1248" s="177" t="s">
        <v>2079</v>
      </c>
      <c r="B1248" s="183" t="s">
        <v>265</v>
      </c>
    </row>
    <row r="1249" spans="1:2">
      <c r="A1249" s="177" t="s">
        <v>2079</v>
      </c>
      <c r="B1249" s="183" t="s">
        <v>265</v>
      </c>
    </row>
    <row r="1250" spans="1:2">
      <c r="A1250" s="177" t="s">
        <v>2079</v>
      </c>
      <c r="B1250" s="183" t="s">
        <v>265</v>
      </c>
    </row>
    <row r="1251" spans="1:2">
      <c r="A1251" s="177" t="s">
        <v>2079</v>
      </c>
      <c r="B1251" s="183" t="s">
        <v>265</v>
      </c>
    </row>
    <row r="1252" spans="1:2">
      <c r="A1252" s="177" t="s">
        <v>2079</v>
      </c>
      <c r="B1252" s="183" t="s">
        <v>265</v>
      </c>
    </row>
    <row r="1253" spans="1:2">
      <c r="A1253" s="177" t="s">
        <v>2079</v>
      </c>
      <c r="B1253" s="183" t="s">
        <v>265</v>
      </c>
    </row>
    <row r="1254" spans="1:2">
      <c r="A1254" s="179" t="s">
        <v>3111</v>
      </c>
      <c r="B1254" s="180" t="s">
        <v>265</v>
      </c>
    </row>
    <row r="1255" spans="1:2">
      <c r="A1255" s="177" t="s">
        <v>1774</v>
      </c>
      <c r="B1255" s="183" t="s">
        <v>265</v>
      </c>
    </row>
    <row r="1256" spans="1:2">
      <c r="A1256" s="177" t="s">
        <v>1774</v>
      </c>
      <c r="B1256" s="183" t="s">
        <v>265</v>
      </c>
    </row>
    <row r="1257" spans="1:2">
      <c r="A1257" s="177"/>
      <c r="B1257" s="178" t="s">
        <v>265</v>
      </c>
    </row>
    <row r="1258" spans="1:2">
      <c r="A1258" s="177"/>
      <c r="B1258" s="178" t="s">
        <v>265</v>
      </c>
    </row>
    <row r="1259" spans="1:2">
      <c r="A1259" s="177"/>
      <c r="B1259" s="178" t="s">
        <v>265</v>
      </c>
    </row>
    <row r="1260" spans="1:2">
      <c r="A1260" s="177"/>
      <c r="B1260" s="178" t="s">
        <v>265</v>
      </c>
    </row>
    <row r="1261" spans="1:2">
      <c r="A1261" s="182"/>
      <c r="B1261" s="183" t="s">
        <v>265</v>
      </c>
    </row>
    <row r="1262" spans="1:2">
      <c r="A1262" s="179"/>
      <c r="B1262" s="180" t="s">
        <v>265</v>
      </c>
    </row>
    <row r="1263" spans="1:2">
      <c r="A1263" s="182"/>
      <c r="B1263" s="183" t="s">
        <v>265</v>
      </c>
    </row>
    <row r="1264" spans="1:2">
      <c r="A1264" s="179"/>
      <c r="B1264" s="180" t="s">
        <v>265</v>
      </c>
    </row>
    <row r="1265" spans="1:2">
      <c r="A1265" s="179"/>
      <c r="B1265" s="180" t="s">
        <v>265</v>
      </c>
    </row>
    <row r="1266" spans="1:2">
      <c r="A1266" s="177"/>
      <c r="B1266" s="178" t="s">
        <v>265</v>
      </c>
    </row>
    <row r="1267" spans="1:2">
      <c r="A1267" s="179"/>
      <c r="B1267" s="180" t="s">
        <v>265</v>
      </c>
    </row>
    <row r="1268" spans="1:2">
      <c r="A1268" s="182"/>
      <c r="B1268" s="183" t="s">
        <v>265</v>
      </c>
    </row>
    <row r="1269" spans="1:2">
      <c r="A1269" s="182"/>
      <c r="B1269" s="183" t="s">
        <v>265</v>
      </c>
    </row>
    <row r="1270" spans="1:2">
      <c r="A1270" s="182"/>
      <c r="B1270" s="183" t="s">
        <v>265</v>
      </c>
    </row>
  </sheetData>
  <sortState ref="A2:B2152">
    <sortCondition ref="A1"/>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Y105"/>
  <sheetViews>
    <sheetView topLeftCell="B6" workbookViewId="0">
      <selection activeCell="E119" sqref="E119"/>
    </sheetView>
  </sheetViews>
  <sheetFormatPr baseColWidth="10" defaultRowHeight="15"/>
  <cols>
    <col min="1" max="1" width="0" hidden="1" customWidth="1"/>
    <col min="4" max="4" width="16.85546875" bestFit="1" customWidth="1"/>
    <col min="8" max="23" width="0" hidden="1" customWidth="1"/>
    <col min="24" max="24" width="15.140625" bestFit="1" customWidth="1"/>
    <col min="25" max="25" width="23" customWidth="1"/>
  </cols>
  <sheetData>
    <row r="1" spans="1:25" hidden="1">
      <c r="A1" s="188" t="str">
        <f t="shared" ref="A1:A5" si="0">IF(OR(F1="",R1=""),"",IF((F1-R1)/12/30&lt;18,"Pediátrico","Adulto"))</f>
        <v>Adulto</v>
      </c>
      <c r="B1" s="177" t="s">
        <v>3437</v>
      </c>
      <c r="C1" s="177" t="s">
        <v>169</v>
      </c>
      <c r="D1" s="177" t="s">
        <v>3438</v>
      </c>
      <c r="E1" s="177">
        <v>4119877</v>
      </c>
      <c r="F1" s="189">
        <v>44762</v>
      </c>
      <c r="G1" s="177">
        <v>2.8340000000000001E-2</v>
      </c>
      <c r="H1" s="177"/>
      <c r="I1" s="177"/>
      <c r="J1" s="177"/>
      <c r="K1" s="177"/>
      <c r="L1" s="177"/>
      <c r="M1" s="177"/>
      <c r="N1" s="177"/>
      <c r="O1" s="177"/>
      <c r="P1" s="177"/>
      <c r="Q1" s="177"/>
      <c r="R1" s="189">
        <v>23179</v>
      </c>
      <c r="S1" s="177"/>
      <c r="T1" s="177" t="s">
        <v>3077</v>
      </c>
      <c r="U1" s="190" t="str">
        <f t="shared" ref="U1:U5" si="1">CONCATENATE(B1,$A$591,C1,",",D1)</f>
        <v>RizoValero,Alfredo Elias</v>
      </c>
      <c r="V1" s="177">
        <f t="shared" ref="V1:V2" si="2">MONTH(F1)</f>
        <v>7</v>
      </c>
      <c r="W1" s="177">
        <f t="shared" ref="W1:W2" si="3">YEAR(F1)</f>
        <v>2022</v>
      </c>
      <c r="X1" s="178" t="s">
        <v>2238</v>
      </c>
    </row>
    <row r="2" spans="1:25" hidden="1">
      <c r="A2" s="191" t="str">
        <f t="shared" si="0"/>
        <v>Adulto</v>
      </c>
      <c r="B2" s="179" t="s">
        <v>3436</v>
      </c>
      <c r="C2" s="179" t="s">
        <v>2111</v>
      </c>
      <c r="D2" s="179" t="s">
        <v>88</v>
      </c>
      <c r="E2" s="179">
        <v>1207927</v>
      </c>
      <c r="F2" s="192">
        <v>44762</v>
      </c>
      <c r="G2" s="179">
        <v>1.214E-2</v>
      </c>
      <c r="H2" s="179"/>
      <c r="I2" s="179"/>
      <c r="J2" s="179"/>
      <c r="K2" s="179"/>
      <c r="L2" s="179"/>
      <c r="M2" s="179"/>
      <c r="N2" s="179"/>
      <c r="O2" s="179"/>
      <c r="P2" s="179"/>
      <c r="Q2" s="179"/>
      <c r="R2" s="192">
        <v>16331</v>
      </c>
      <c r="S2" s="179"/>
      <c r="T2" s="179" t="s">
        <v>2309</v>
      </c>
      <c r="U2" s="190" t="str">
        <f t="shared" si="1"/>
        <v>EstorsGuillot,Vicente</v>
      </c>
      <c r="V2" s="179">
        <f t="shared" si="2"/>
        <v>7</v>
      </c>
      <c r="W2" s="179">
        <f t="shared" si="3"/>
        <v>2022</v>
      </c>
      <c r="X2" s="180" t="s">
        <v>2238</v>
      </c>
    </row>
    <row r="3" spans="1:25" hidden="1">
      <c r="A3" s="188" t="str">
        <f t="shared" si="0"/>
        <v>Adulto</v>
      </c>
      <c r="B3" s="177" t="s">
        <v>772</v>
      </c>
      <c r="C3" s="177" t="s">
        <v>641</v>
      </c>
      <c r="D3" s="177" t="s">
        <v>3435</v>
      </c>
      <c r="E3" s="177">
        <v>2594237</v>
      </c>
      <c r="F3" s="189">
        <v>44762</v>
      </c>
      <c r="G3" s="177">
        <v>0.11698</v>
      </c>
      <c r="H3" s="177"/>
      <c r="I3" s="177"/>
      <c r="J3" s="177"/>
      <c r="K3" s="177"/>
      <c r="L3" s="177"/>
      <c r="M3" s="177"/>
      <c r="N3" s="177"/>
      <c r="O3" s="177"/>
      <c r="P3" s="177"/>
      <c r="Q3" s="177"/>
      <c r="R3" s="189">
        <v>24241</v>
      </c>
      <c r="S3" s="177"/>
      <c r="T3" s="177" t="s">
        <v>2383</v>
      </c>
      <c r="U3" s="190" t="str">
        <f t="shared" si="1"/>
        <v>SanchezParra,Antonio Francisco</v>
      </c>
      <c r="V3" s="177">
        <f t="shared" ref="V3" si="4">MONTH(F1)</f>
        <v>7</v>
      </c>
      <c r="W3" s="177">
        <f t="shared" ref="W3" si="5">YEAR(F1)</f>
        <v>2022</v>
      </c>
      <c r="X3" s="178" t="s">
        <v>266</v>
      </c>
    </row>
    <row r="4" spans="1:25" hidden="1">
      <c r="A4" s="191" t="str">
        <f t="shared" si="0"/>
        <v>Adulto</v>
      </c>
      <c r="B4" s="179" t="s">
        <v>3434</v>
      </c>
      <c r="C4" s="179" t="s">
        <v>962</v>
      </c>
      <c r="D4" s="179" t="s">
        <v>774</v>
      </c>
      <c r="E4" s="179">
        <v>2020095</v>
      </c>
      <c r="F4" s="192">
        <v>44762</v>
      </c>
      <c r="G4" s="179">
        <v>0.27338000000000001</v>
      </c>
      <c r="H4" s="179"/>
      <c r="I4" s="179"/>
      <c r="J4" s="179"/>
      <c r="K4" s="179"/>
      <c r="L4" s="179"/>
      <c r="M4" s="179"/>
      <c r="N4" s="179"/>
      <c r="O4" s="179"/>
      <c r="P4" s="179"/>
      <c r="Q4" s="179"/>
      <c r="R4" s="192">
        <v>21688</v>
      </c>
      <c r="S4" s="179"/>
      <c r="T4" s="179" t="s">
        <v>2383</v>
      </c>
      <c r="U4" s="190" t="str">
        <f t="shared" si="1"/>
        <v>ConsuegraGarcia,Antonia</v>
      </c>
      <c r="V4" s="179">
        <f t="shared" ref="V4:V5" si="6">MONTH(F4)</f>
        <v>7</v>
      </c>
      <c r="W4" s="179">
        <f t="shared" ref="W4:W5" si="7">YEAR(F4)</f>
        <v>2022</v>
      </c>
      <c r="X4" s="180" t="s">
        <v>266</v>
      </c>
    </row>
    <row r="5" spans="1:25" hidden="1">
      <c r="A5" s="188" t="str">
        <f t="shared" si="0"/>
        <v>Adulto</v>
      </c>
      <c r="B5" s="177" t="s">
        <v>631</v>
      </c>
      <c r="C5" s="177" t="s">
        <v>1275</v>
      </c>
      <c r="D5" s="177" t="s">
        <v>3433</v>
      </c>
      <c r="E5" s="177">
        <v>4234621</v>
      </c>
      <c r="F5" s="189">
        <v>44762</v>
      </c>
      <c r="G5" s="177">
        <v>6.5960000000000005E-2</v>
      </c>
      <c r="H5" s="177"/>
      <c r="I5" s="177"/>
      <c r="J5" s="177"/>
      <c r="K5" s="177"/>
      <c r="L5" s="177"/>
      <c r="M5" s="177"/>
      <c r="N5" s="177"/>
      <c r="O5" s="177"/>
      <c r="P5" s="177"/>
      <c r="Q5" s="177"/>
      <c r="R5" s="189">
        <v>15731</v>
      </c>
      <c r="S5" s="177"/>
      <c r="T5" s="177" t="s">
        <v>2383</v>
      </c>
      <c r="U5" s="190" t="str">
        <f t="shared" si="1"/>
        <v>MolinaRamirez,Paz</v>
      </c>
      <c r="V5" s="177">
        <f t="shared" si="6"/>
        <v>7</v>
      </c>
      <c r="W5" s="177">
        <f t="shared" si="7"/>
        <v>2022</v>
      </c>
      <c r="X5" s="178" t="s">
        <v>266</v>
      </c>
    </row>
    <row r="6" spans="1:25">
      <c r="A6" s="278"/>
      <c r="B6" s="179" t="s">
        <v>3490</v>
      </c>
      <c r="C6" s="179" t="s">
        <v>2317</v>
      </c>
      <c r="D6" s="179" t="s">
        <v>3085</v>
      </c>
      <c r="E6" s="179">
        <v>2454161</v>
      </c>
      <c r="F6" s="192">
        <v>44770</v>
      </c>
      <c r="G6" s="179">
        <v>4.6000000000000001E-4</v>
      </c>
      <c r="H6" s="177"/>
      <c r="I6" s="177"/>
      <c r="J6" s="177"/>
      <c r="K6" s="177"/>
      <c r="L6" s="177"/>
      <c r="M6" s="177"/>
      <c r="N6" s="177"/>
      <c r="O6" s="177"/>
      <c r="P6" s="177"/>
      <c r="Q6" s="177"/>
      <c r="R6" s="189">
        <v>12986</v>
      </c>
      <c r="S6" s="177"/>
      <c r="T6" s="177" t="s">
        <v>2383</v>
      </c>
      <c r="U6" s="190" t="str">
        <f t="shared" ref="U6:U37" si="8">CONCATENATE(B6,$A$591,C6,",",D6)</f>
        <v>Sanchez de TocaCatalan,Maria Pilar</v>
      </c>
      <c r="V6" s="177">
        <f>MONTH(F6)</f>
        <v>7</v>
      </c>
      <c r="W6" s="177">
        <f>YEAR(F6)</f>
        <v>2022</v>
      </c>
      <c r="X6" s="178" t="s">
        <v>266</v>
      </c>
      <c r="Y6" s="187"/>
    </row>
    <row r="7" spans="1:25" hidden="1">
      <c r="A7" s="188" t="str">
        <f>IF(OR(F5="",R7=""),"",IF((F5-R7)/12/30&lt;18,"Pediátrico","Adulto"))</f>
        <v>Adulto</v>
      </c>
      <c r="B7" s="179" t="s">
        <v>3415</v>
      </c>
      <c r="C7" s="179" t="s">
        <v>3416</v>
      </c>
      <c r="D7" s="179" t="s">
        <v>71</v>
      </c>
      <c r="E7" s="179">
        <v>297575</v>
      </c>
      <c r="F7" s="192">
        <v>44763</v>
      </c>
      <c r="G7" s="179">
        <v>1.4829999999999999E-2</v>
      </c>
      <c r="H7" s="179"/>
      <c r="I7" s="179"/>
      <c r="J7" s="179"/>
      <c r="K7" s="179"/>
      <c r="L7" s="179"/>
      <c r="M7" s="179"/>
      <c r="N7" s="179"/>
      <c r="O7" s="179"/>
      <c r="P7" s="179"/>
      <c r="Q7" s="179"/>
      <c r="R7" s="192">
        <v>24051</v>
      </c>
      <c r="S7" s="179"/>
      <c r="T7" s="179" t="s">
        <v>1116</v>
      </c>
      <c r="U7" s="190" t="str">
        <f t="shared" si="8"/>
        <v>GualdeSellens,Rafael</v>
      </c>
      <c r="V7" s="179">
        <f>MONTH(F5)</f>
        <v>7</v>
      </c>
      <c r="W7" s="179">
        <f>YEAR(F5)</f>
        <v>2022</v>
      </c>
      <c r="X7" s="180" t="s">
        <v>265</v>
      </c>
      <c r="Y7" s="187"/>
    </row>
    <row r="8" spans="1:25" hidden="1">
      <c r="A8" s="191" t="str">
        <f>IF(OR(F6="",R8=""),"",IF((F6-R8)/12/30&lt;18,"Pediátrico","Adulto"))</f>
        <v>Adulto</v>
      </c>
      <c r="B8" s="177" t="s">
        <v>83</v>
      </c>
      <c r="C8" s="177" t="s">
        <v>3439</v>
      </c>
      <c r="D8" s="177" t="s">
        <v>1192</v>
      </c>
      <c r="E8" s="177">
        <v>2852493</v>
      </c>
      <c r="F8" s="189">
        <v>44763</v>
      </c>
      <c r="G8" s="177">
        <v>4.4400000000000004E-3</v>
      </c>
      <c r="H8" s="177"/>
      <c r="I8" s="177"/>
      <c r="J8" s="177"/>
      <c r="K8" s="177"/>
      <c r="L8" s="177"/>
      <c r="M8" s="177"/>
      <c r="N8" s="177"/>
      <c r="O8" s="177"/>
      <c r="P8" s="177"/>
      <c r="Q8" s="177"/>
      <c r="R8" s="189">
        <v>18221</v>
      </c>
      <c r="S8" s="177"/>
      <c r="T8" s="177" t="s">
        <v>2434</v>
      </c>
      <c r="U8" s="190" t="str">
        <f t="shared" si="8"/>
        <v>Franciscode Cordero,M Teresa</v>
      </c>
      <c r="V8" s="177">
        <f>MONTH(F8)</f>
        <v>7</v>
      </c>
      <c r="W8" s="177">
        <f>YEAR(F8)</f>
        <v>2022</v>
      </c>
      <c r="X8" s="178" t="s">
        <v>265</v>
      </c>
      <c r="Y8" s="187"/>
    </row>
    <row r="9" spans="1:25" hidden="1">
      <c r="A9" s="188" t="str">
        <f>IF(OR(F9="",R9=""),"",IF((F9-R9)/12/30&lt;18,"Pediátrico","Adulto"))</f>
        <v>Adulto</v>
      </c>
      <c r="B9" s="179" t="s">
        <v>2284</v>
      </c>
      <c r="C9" s="179" t="s">
        <v>2285</v>
      </c>
      <c r="D9" s="179" t="s">
        <v>2286</v>
      </c>
      <c r="E9" s="179">
        <v>2323595</v>
      </c>
      <c r="F9" s="192">
        <v>44763</v>
      </c>
      <c r="G9" s="179">
        <v>1.6979999999999999E-2</v>
      </c>
      <c r="H9" s="179"/>
      <c r="I9" s="179"/>
      <c r="J9" s="179"/>
      <c r="K9" s="179"/>
      <c r="L9" s="179"/>
      <c r="M9" s="179"/>
      <c r="N9" s="179"/>
      <c r="O9" s="179"/>
      <c r="P9" s="179"/>
      <c r="Q9" s="179"/>
      <c r="R9" s="192">
        <v>18227</v>
      </c>
      <c r="S9" s="179"/>
      <c r="T9" s="179" t="s">
        <v>1086</v>
      </c>
      <c r="U9" s="190" t="str">
        <f t="shared" si="8"/>
        <v>ArayaAlarcon,Eladia de la Cruz</v>
      </c>
      <c r="V9" s="179">
        <f>MONTH(F9)</f>
        <v>7</v>
      </c>
      <c r="W9" s="179">
        <f>YEAR(F9)</f>
        <v>2022</v>
      </c>
      <c r="X9" s="180" t="s">
        <v>265</v>
      </c>
      <c r="Y9" s="187"/>
    </row>
    <row r="10" spans="1:25" hidden="1">
      <c r="A10" s="191" t="str">
        <f>IF(OR(F8="",R10=""),"",IF((F8-R10)/12/30&lt;18,"Pediátrico","Adulto"))</f>
        <v>Adulto</v>
      </c>
      <c r="B10" s="265" t="s">
        <v>2506</v>
      </c>
      <c r="C10" s="265" t="s">
        <v>1587</v>
      </c>
      <c r="D10" s="265" t="s">
        <v>54</v>
      </c>
      <c r="E10" s="265">
        <v>2570760</v>
      </c>
      <c r="F10" s="266">
        <v>44763</v>
      </c>
      <c r="G10" s="265">
        <v>3.0999999999999999E-3</v>
      </c>
      <c r="H10" s="265"/>
      <c r="I10" s="265"/>
      <c r="J10" s="265"/>
      <c r="K10" s="265"/>
      <c r="L10" s="265"/>
      <c r="M10" s="265"/>
      <c r="N10" s="265"/>
      <c r="O10" s="265"/>
      <c r="P10" s="265"/>
      <c r="Q10" s="265"/>
      <c r="R10" s="266">
        <v>20544</v>
      </c>
      <c r="S10" s="265"/>
      <c r="T10" s="265" t="s">
        <v>1113</v>
      </c>
      <c r="U10" s="249" t="str">
        <f t="shared" si="8"/>
        <v>SolazJimenez,Isabel</v>
      </c>
      <c r="V10" s="265">
        <f>MONTH(F8)</f>
        <v>7</v>
      </c>
      <c r="W10" s="265">
        <f>YEAR(F8)</f>
        <v>2022</v>
      </c>
      <c r="X10" s="269" t="s">
        <v>265</v>
      </c>
      <c r="Y10" s="187"/>
    </row>
    <row r="11" spans="1:25" hidden="1">
      <c r="A11" s="188" t="str">
        <f>IF(OR(F11="",R11=""),"",IF((F11-R11)/12/30&lt;18,"Pediátrico","Adulto"))</f>
        <v>Adulto</v>
      </c>
      <c r="B11" s="179" t="s">
        <v>2516</v>
      </c>
      <c r="C11" s="179" t="s">
        <v>2092</v>
      </c>
      <c r="D11" s="179" t="s">
        <v>2815</v>
      </c>
      <c r="E11" s="179">
        <v>2407977</v>
      </c>
      <c r="F11" s="192">
        <v>44764</v>
      </c>
      <c r="G11" s="179">
        <v>4.8399999999999997E-3</v>
      </c>
      <c r="H11" s="179"/>
      <c r="I11" s="179"/>
      <c r="J11" s="179"/>
      <c r="K11" s="179"/>
      <c r="L11" s="179"/>
      <c r="M11" s="179"/>
      <c r="N11" s="179"/>
      <c r="O11" s="179"/>
      <c r="P11" s="179"/>
      <c r="Q11" s="179"/>
      <c r="R11" s="192">
        <v>23120</v>
      </c>
      <c r="S11" s="179"/>
      <c r="T11" s="179" t="s">
        <v>1622</v>
      </c>
      <c r="U11" s="190" t="str">
        <f t="shared" si="8"/>
        <v>IbarFranco,Encarnacion</v>
      </c>
      <c r="V11" s="179">
        <f>MONTH(F9)</f>
        <v>7</v>
      </c>
      <c r="W11" s="179">
        <f>YEAR(F9)</f>
        <v>2022</v>
      </c>
      <c r="X11" s="180" t="s">
        <v>265</v>
      </c>
      <c r="Y11" s="187"/>
    </row>
    <row r="12" spans="1:25" hidden="1">
      <c r="A12" s="191" t="str">
        <f>IF(OR(F12="",R12=""),"",IF((F12-R12)/12/30&lt;18,"Pediátrico","Adulto"))</f>
        <v>Adulto</v>
      </c>
      <c r="B12" s="177" t="s">
        <v>3415</v>
      </c>
      <c r="C12" s="177" t="s">
        <v>3416</v>
      </c>
      <c r="D12" s="177" t="s">
        <v>71</v>
      </c>
      <c r="E12" s="177">
        <v>297575</v>
      </c>
      <c r="F12" s="189">
        <v>44764</v>
      </c>
      <c r="G12" s="177">
        <v>0.15923999999999999</v>
      </c>
      <c r="H12" s="177"/>
      <c r="I12" s="177"/>
      <c r="J12" s="177"/>
      <c r="K12" s="177"/>
      <c r="L12" s="177"/>
      <c r="M12" s="177"/>
      <c r="N12" s="177"/>
      <c r="O12" s="177"/>
      <c r="P12" s="177"/>
      <c r="Q12" s="177"/>
      <c r="R12" s="189">
        <v>24051</v>
      </c>
      <c r="S12" s="177"/>
      <c r="T12" s="177" t="s">
        <v>1174</v>
      </c>
      <c r="U12" s="190" t="str">
        <f t="shared" si="8"/>
        <v>GualdeSellens,Rafael</v>
      </c>
      <c r="V12" s="177">
        <f>MONTH(F10)</f>
        <v>7</v>
      </c>
      <c r="W12" s="177">
        <f>YEAR(F10)</f>
        <v>2022</v>
      </c>
      <c r="X12" s="178" t="s">
        <v>265</v>
      </c>
      <c r="Y12" s="187"/>
    </row>
    <row r="13" spans="1:25" hidden="1">
      <c r="A13" s="188" t="str">
        <f>IF(OR(F13="",R13=""),"",IF((F13-R13)/12/30&lt;18,"Pediátrico","Adulto"))</f>
        <v>Adulto</v>
      </c>
      <c r="B13" s="179" t="s">
        <v>3447</v>
      </c>
      <c r="C13" s="179" t="s">
        <v>960</v>
      </c>
      <c r="D13" s="179" t="s">
        <v>1050</v>
      </c>
      <c r="E13" s="179">
        <v>769722</v>
      </c>
      <c r="F13" s="192">
        <v>44764</v>
      </c>
      <c r="G13" s="179">
        <v>3.1700000000000001E-3</v>
      </c>
      <c r="H13" s="179"/>
      <c r="I13" s="179"/>
      <c r="J13" s="179"/>
      <c r="K13" s="179"/>
      <c r="L13" s="179"/>
      <c r="M13" s="179"/>
      <c r="N13" s="179"/>
      <c r="O13" s="179"/>
      <c r="P13" s="179"/>
      <c r="Q13" s="179"/>
      <c r="R13" s="192">
        <v>25716</v>
      </c>
      <c r="S13" s="179"/>
      <c r="T13" s="179" t="s">
        <v>1203</v>
      </c>
      <c r="U13" s="190" t="str">
        <f t="shared" si="8"/>
        <v>IrurzunLopez,Francisco Javier</v>
      </c>
      <c r="V13" s="179">
        <f>MONTH(F13)</f>
        <v>7</v>
      </c>
      <c r="W13" s="179">
        <f>YEAR(F13)</f>
        <v>2022</v>
      </c>
      <c r="X13" s="180" t="s">
        <v>265</v>
      </c>
      <c r="Y13" s="187"/>
    </row>
    <row r="14" spans="1:25">
      <c r="A14" s="278"/>
      <c r="B14" s="177" t="s">
        <v>77</v>
      </c>
      <c r="C14" s="177" t="s">
        <v>3489</v>
      </c>
      <c r="D14" s="177" t="s">
        <v>2450</v>
      </c>
      <c r="E14" s="177">
        <v>2189459</v>
      </c>
      <c r="F14" s="189">
        <v>44770</v>
      </c>
      <c r="G14" s="177">
        <v>5.6999999999999998E-4</v>
      </c>
      <c r="H14" s="177"/>
      <c r="I14" s="177"/>
      <c r="J14" s="177"/>
      <c r="K14" s="177"/>
      <c r="L14" s="177"/>
      <c r="M14" s="177"/>
      <c r="N14" s="177"/>
      <c r="O14" s="177"/>
      <c r="P14" s="177"/>
      <c r="Q14" s="177"/>
      <c r="R14" s="189">
        <v>25722</v>
      </c>
      <c r="S14" s="177"/>
      <c r="T14" s="177" t="s">
        <v>1086</v>
      </c>
      <c r="U14" s="190" t="str">
        <f t="shared" si="8"/>
        <v>TorresCaraballo,Julian</v>
      </c>
      <c r="V14" s="177">
        <f>MONTH(F14)</f>
        <v>7</v>
      </c>
      <c r="W14" s="177">
        <f>YEAR(F14)</f>
        <v>2022</v>
      </c>
      <c r="X14" s="178" t="s">
        <v>265</v>
      </c>
      <c r="Y14" s="187"/>
    </row>
    <row r="15" spans="1:25" ht="15.75" thickBot="1">
      <c r="A15" s="193" t="str">
        <f>IF(OR(F15="",R15=""),"",IF((F15-R15)/12/30&lt;18,"Pediátrico","Adulto"))</f>
        <v>Adulto</v>
      </c>
      <c r="B15" s="177" t="s">
        <v>917</v>
      </c>
      <c r="C15" s="177" t="s">
        <v>772</v>
      </c>
      <c r="D15" s="177" t="s">
        <v>2652</v>
      </c>
      <c r="E15" s="177">
        <v>4269734</v>
      </c>
      <c r="F15" s="189">
        <v>44764</v>
      </c>
      <c r="G15" s="177">
        <v>6.9999999999999999E-4</v>
      </c>
      <c r="H15" s="179"/>
      <c r="I15" s="179"/>
      <c r="J15" s="179"/>
      <c r="K15" s="179"/>
      <c r="L15" s="179"/>
      <c r="M15" s="179"/>
      <c r="N15" s="179"/>
      <c r="O15" s="179"/>
      <c r="P15" s="179"/>
      <c r="Q15" s="179"/>
      <c r="R15" s="192">
        <v>26162</v>
      </c>
      <c r="S15" s="179"/>
      <c r="T15" s="179" t="s">
        <v>1622</v>
      </c>
      <c r="U15" s="190" t="str">
        <f t="shared" si="8"/>
        <v>CarmonaSanchez,Vicente Antonio</v>
      </c>
      <c r="V15" s="179">
        <f>MONTH(F13)</f>
        <v>7</v>
      </c>
      <c r="W15" s="179">
        <f>YEAR(F13)</f>
        <v>2022</v>
      </c>
      <c r="X15" s="180" t="s">
        <v>265</v>
      </c>
      <c r="Y15" s="187"/>
    </row>
    <row r="16" spans="1:25" hidden="1">
      <c r="A16" s="191" t="str">
        <f>IF(OR(F16="",R16=""),"",IF((F16-R16)/12/30&lt;18,"Pediátrico","Adulto"))</f>
        <v>Adulto</v>
      </c>
      <c r="B16" s="177" t="s">
        <v>189</v>
      </c>
      <c r="C16" s="177" t="s">
        <v>663</v>
      </c>
      <c r="D16" s="177" t="s">
        <v>2012</v>
      </c>
      <c r="E16" s="177">
        <v>1858417</v>
      </c>
      <c r="F16" s="189">
        <v>44764</v>
      </c>
      <c r="G16" s="177">
        <v>0.12628</v>
      </c>
      <c r="H16" s="177"/>
      <c r="I16" s="177"/>
      <c r="J16" s="177"/>
      <c r="K16" s="177"/>
      <c r="L16" s="177"/>
      <c r="M16" s="177"/>
      <c r="N16" s="177"/>
      <c r="O16" s="177"/>
      <c r="P16" s="177"/>
      <c r="Q16" s="177"/>
      <c r="R16" s="189">
        <v>22958</v>
      </c>
      <c r="S16" s="177"/>
      <c r="T16" s="177" t="s">
        <v>1152</v>
      </c>
      <c r="U16" s="190" t="str">
        <f t="shared" si="8"/>
        <v>GinerSanchis,Mari Carmen</v>
      </c>
      <c r="V16" s="177">
        <f>MONTH(F14)</f>
        <v>7</v>
      </c>
      <c r="W16" s="177">
        <f>YEAR(F14)</f>
        <v>2022</v>
      </c>
      <c r="X16" s="178" t="s">
        <v>265</v>
      </c>
      <c r="Y16" s="187"/>
    </row>
    <row r="17" spans="1:25" hidden="1">
      <c r="A17" s="188" t="str">
        <f>IF(OR(F17="",R17=""),"",IF((F17-R17)/12/30&lt;18,"Pediátrico","Adulto"))</f>
        <v>Adulto</v>
      </c>
      <c r="B17" s="179" t="s">
        <v>741</v>
      </c>
      <c r="C17" s="179" t="s">
        <v>2779</v>
      </c>
      <c r="D17" s="179" t="s">
        <v>991</v>
      </c>
      <c r="E17" s="179">
        <v>2805929</v>
      </c>
      <c r="F17" s="192">
        <v>44764</v>
      </c>
      <c r="G17" s="179" t="s">
        <v>3331</v>
      </c>
      <c r="H17" s="179"/>
      <c r="I17" s="179"/>
      <c r="J17" s="179"/>
      <c r="K17" s="179"/>
      <c r="L17" s="179"/>
      <c r="M17" s="179"/>
      <c r="N17" s="179"/>
      <c r="O17" s="179"/>
      <c r="P17" s="179"/>
      <c r="Q17" s="179"/>
      <c r="R17" s="192">
        <v>13891</v>
      </c>
      <c r="S17" s="179"/>
      <c r="T17" s="179" t="s">
        <v>2383</v>
      </c>
      <c r="U17" s="190" t="str">
        <f t="shared" si="8"/>
        <v>IzquierdoMulet,Jose</v>
      </c>
      <c r="V17" s="179">
        <f>MONTH(F15)</f>
        <v>7</v>
      </c>
      <c r="W17" s="179">
        <f>YEAR(F15)</f>
        <v>2022</v>
      </c>
      <c r="X17" s="180" t="s">
        <v>266</v>
      </c>
      <c r="Y17" s="187"/>
    </row>
    <row r="18" spans="1:25" hidden="1">
      <c r="A18" s="191" t="str">
        <f>IF(OR(F16="",R18=""),"",IF((F16-R18)/12/30&lt;18,"Pediátrico","Adulto"))</f>
        <v>Adulto</v>
      </c>
      <c r="B18" s="177" t="s">
        <v>3449</v>
      </c>
      <c r="C18" s="177" t="s">
        <v>319</v>
      </c>
      <c r="D18" s="177" t="s">
        <v>1946</v>
      </c>
      <c r="E18" s="177">
        <v>950490</v>
      </c>
      <c r="F18" s="189">
        <v>44764</v>
      </c>
      <c r="G18" s="177">
        <v>0.42914999999999998</v>
      </c>
      <c r="H18" s="177"/>
      <c r="I18" s="177"/>
      <c r="J18" s="177"/>
      <c r="K18" s="177"/>
      <c r="L18" s="177"/>
      <c r="M18" s="177"/>
      <c r="N18" s="177"/>
      <c r="O18" s="177"/>
      <c r="P18" s="177"/>
      <c r="Q18" s="177"/>
      <c r="R18" s="189">
        <v>20233</v>
      </c>
      <c r="S18" s="177"/>
      <c r="T18" s="177" t="s">
        <v>2383</v>
      </c>
      <c r="U18" s="190" t="str">
        <f t="shared" si="8"/>
        <v>HerbosaGonzalez,Joaquin</v>
      </c>
      <c r="V18" s="177">
        <f>MONTH(F18)</f>
        <v>7</v>
      </c>
      <c r="W18" s="177">
        <f>YEAR(F18)</f>
        <v>2022</v>
      </c>
      <c r="X18" s="178" t="s">
        <v>266</v>
      </c>
      <c r="Y18" s="187"/>
    </row>
    <row r="19" spans="1:25" hidden="1">
      <c r="A19" s="188" t="str">
        <f>IF(OR(F17="",R19=""),"",IF((F17-R19)/12/30&lt;18,"Pediátrico","Adulto"))</f>
        <v>Adulto</v>
      </c>
      <c r="B19" s="179" t="s">
        <v>1721</v>
      </c>
      <c r="C19" s="179" t="s">
        <v>1722</v>
      </c>
      <c r="D19" s="179" t="s">
        <v>1112</v>
      </c>
      <c r="E19" s="179">
        <v>2247191</v>
      </c>
      <c r="F19" s="192">
        <v>44764</v>
      </c>
      <c r="G19" s="179">
        <v>0.10299</v>
      </c>
      <c r="H19" s="179"/>
      <c r="I19" s="179"/>
      <c r="J19" s="179"/>
      <c r="K19" s="179"/>
      <c r="L19" s="179"/>
      <c r="M19" s="179"/>
      <c r="N19" s="179"/>
      <c r="O19" s="179"/>
      <c r="P19" s="179"/>
      <c r="Q19" s="179"/>
      <c r="R19" s="192">
        <v>16952</v>
      </c>
      <c r="S19" s="179"/>
      <c r="T19" s="179" t="s">
        <v>2383</v>
      </c>
      <c r="U19" s="190" t="str">
        <f t="shared" si="8"/>
        <v>RequenaCentellas,Ascension</v>
      </c>
      <c r="V19" s="179">
        <f>MONTH(F19)</f>
        <v>7</v>
      </c>
      <c r="W19" s="179">
        <f>YEAR(F19)</f>
        <v>2022</v>
      </c>
      <c r="X19" s="180" t="s">
        <v>266</v>
      </c>
      <c r="Y19" s="187"/>
    </row>
    <row r="20" spans="1:25">
      <c r="A20" s="278"/>
      <c r="B20" s="179" t="s">
        <v>948</v>
      </c>
      <c r="C20" s="179" t="s">
        <v>534</v>
      </c>
      <c r="D20" s="179" t="s">
        <v>3500</v>
      </c>
      <c r="E20" s="179">
        <v>3299604</v>
      </c>
      <c r="F20" s="192">
        <v>44771</v>
      </c>
      <c r="G20" s="179">
        <v>9.7999999999999997E-4</v>
      </c>
      <c r="H20" s="177"/>
      <c r="I20" s="177"/>
      <c r="J20" s="177"/>
      <c r="K20" s="177"/>
      <c r="L20" s="177"/>
      <c r="M20" s="177"/>
      <c r="N20" s="177"/>
      <c r="O20" s="177"/>
      <c r="P20" s="177"/>
      <c r="Q20" s="177"/>
      <c r="R20" s="189">
        <v>17052</v>
      </c>
      <c r="S20" s="177"/>
      <c r="T20" s="177" t="s">
        <v>2383</v>
      </c>
      <c r="U20" s="190" t="str">
        <f t="shared" si="8"/>
        <v>MartinezHurtado,Jacobo</v>
      </c>
      <c r="V20" s="177">
        <f>MONTH(F18)</f>
        <v>7</v>
      </c>
      <c r="W20" s="177">
        <f>YEAR(F18)</f>
        <v>2022</v>
      </c>
      <c r="X20" s="178" t="s">
        <v>266</v>
      </c>
      <c r="Y20" s="187"/>
    </row>
    <row r="21" spans="1:25" hidden="1">
      <c r="A21" s="188" t="str">
        <f>IF(OR(F21="",R21=""),"",IF((F21-R21)/12/30&lt;18,"Pediátrico","Adulto"))</f>
        <v>Adulto</v>
      </c>
      <c r="B21" s="179" t="s">
        <v>2597</v>
      </c>
      <c r="C21" s="179" t="s">
        <v>641</v>
      </c>
      <c r="D21" s="179" t="s">
        <v>3452</v>
      </c>
      <c r="E21" s="179">
        <v>5065270</v>
      </c>
      <c r="F21" s="192">
        <v>44764</v>
      </c>
      <c r="G21" s="179">
        <v>0.11305999999999999</v>
      </c>
      <c r="H21" s="179"/>
      <c r="I21" s="179"/>
      <c r="J21" s="179"/>
      <c r="K21" s="179"/>
      <c r="L21" s="179"/>
      <c r="M21" s="179"/>
      <c r="N21" s="179"/>
      <c r="O21" s="179"/>
      <c r="P21" s="179"/>
      <c r="Q21" s="179"/>
      <c r="R21" s="192">
        <v>23802</v>
      </c>
      <c r="S21" s="179"/>
      <c r="T21" s="179" t="s">
        <v>2383</v>
      </c>
      <c r="U21" s="190" t="str">
        <f t="shared" si="8"/>
        <v>OsorioParra,Carlos Hector</v>
      </c>
      <c r="V21" s="179">
        <f>MONTH(F19)</f>
        <v>7</v>
      </c>
      <c r="W21" s="179">
        <f>YEAR(F19)</f>
        <v>2022</v>
      </c>
      <c r="X21" s="180" t="s">
        <v>266</v>
      </c>
      <c r="Y21" s="187"/>
    </row>
    <row r="22" spans="1:25" hidden="1">
      <c r="A22" s="191" t="str">
        <f>IF(OR(F22="",R22=""),"",IF((F22-R22)/12/30&lt;18,"Pediátrico","Adulto"))</f>
        <v>Adulto</v>
      </c>
      <c r="B22" s="177" t="s">
        <v>2531</v>
      </c>
      <c r="C22" s="177" t="s">
        <v>992</v>
      </c>
      <c r="D22" s="177" t="s">
        <v>3453</v>
      </c>
      <c r="E22" s="177">
        <v>3767295</v>
      </c>
      <c r="F22" s="189">
        <v>44764</v>
      </c>
      <c r="G22" s="177">
        <v>0.21471999999999999</v>
      </c>
      <c r="H22" s="177"/>
      <c r="I22" s="177"/>
      <c r="J22" s="177"/>
      <c r="K22" s="177"/>
      <c r="L22" s="177"/>
      <c r="M22" s="177"/>
      <c r="N22" s="177"/>
      <c r="O22" s="177"/>
      <c r="P22" s="177"/>
      <c r="Q22" s="177"/>
      <c r="R22" s="189">
        <v>22481</v>
      </c>
      <c r="S22" s="177"/>
      <c r="T22" s="177" t="s">
        <v>2383</v>
      </c>
      <c r="U22" s="190" t="str">
        <f t="shared" si="8"/>
        <v>SelmaCosta,Pelegrin Antoni</v>
      </c>
      <c r="V22" s="177">
        <f>MONTH(F22)</f>
        <v>7</v>
      </c>
      <c r="W22" s="177">
        <f>YEAR(F22)</f>
        <v>2022</v>
      </c>
      <c r="X22" s="178" t="s">
        <v>266</v>
      </c>
      <c r="Y22" s="187"/>
    </row>
    <row r="23" spans="1:25" hidden="1">
      <c r="A23" s="188" t="str">
        <f>IF(OR(F23="",R23=""),"",IF((F23-R23)/12/30&lt;18,"Pediátrico","Adulto"))</f>
        <v>Adulto</v>
      </c>
      <c r="B23" s="179" t="s">
        <v>319</v>
      </c>
      <c r="C23" s="179" t="s">
        <v>1617</v>
      </c>
      <c r="D23" s="179" t="s">
        <v>1759</v>
      </c>
      <c r="E23" s="179">
        <v>3732036</v>
      </c>
      <c r="F23" s="192">
        <v>44764</v>
      </c>
      <c r="G23" s="179">
        <v>0.11037</v>
      </c>
      <c r="H23" s="179"/>
      <c r="I23" s="179"/>
      <c r="J23" s="179"/>
      <c r="K23" s="179"/>
      <c r="L23" s="179"/>
      <c r="M23" s="179"/>
      <c r="N23" s="179"/>
      <c r="O23" s="179"/>
      <c r="P23" s="179"/>
      <c r="Q23" s="179"/>
      <c r="R23" s="192">
        <v>18980</v>
      </c>
      <c r="S23" s="179"/>
      <c r="T23" s="179" t="s">
        <v>2962</v>
      </c>
      <c r="U23" s="190" t="str">
        <f t="shared" si="8"/>
        <v>GonzalezAdrian,Martin</v>
      </c>
      <c r="V23" s="179">
        <f t="shared" ref="V23:V54" si="9">MONTH(F21)</f>
        <v>7</v>
      </c>
      <c r="W23" s="179">
        <f t="shared" ref="W23:W54" si="10">YEAR(F21)</f>
        <v>2022</v>
      </c>
      <c r="X23" s="180" t="s">
        <v>2238</v>
      </c>
      <c r="Y23" s="187"/>
    </row>
    <row r="24" spans="1:25" hidden="1">
      <c r="A24" s="191" t="str">
        <f>IF(OR(F24="",R24=""),"",IF((F24-R24)/12/30&lt;18,"Pediátrico","Adulto"))</f>
        <v>Adulto</v>
      </c>
      <c r="B24" s="265" t="s">
        <v>1157</v>
      </c>
      <c r="C24" s="265" t="s">
        <v>681</v>
      </c>
      <c r="D24" s="265" t="s">
        <v>167</v>
      </c>
      <c r="E24" s="265">
        <v>3122794</v>
      </c>
      <c r="F24" s="266">
        <v>44764</v>
      </c>
      <c r="G24" s="265">
        <v>1.3699999999999999E-3</v>
      </c>
      <c r="H24" s="265"/>
      <c r="I24" s="265"/>
      <c r="J24" s="265"/>
      <c r="K24" s="265"/>
      <c r="L24" s="265"/>
      <c r="M24" s="265"/>
      <c r="N24" s="265"/>
      <c r="O24" s="265"/>
      <c r="P24" s="265"/>
      <c r="Q24" s="265"/>
      <c r="R24" s="266">
        <v>9324</v>
      </c>
      <c r="S24" s="265"/>
      <c r="T24" s="265" t="s">
        <v>2962</v>
      </c>
      <c r="U24" s="249" t="str">
        <f t="shared" si="8"/>
        <v>GalindoBlasco,Milagros</v>
      </c>
      <c r="V24" s="265">
        <f t="shared" si="9"/>
        <v>7</v>
      </c>
      <c r="W24" s="265">
        <f t="shared" si="10"/>
        <v>2022</v>
      </c>
      <c r="X24" s="269" t="s">
        <v>2238</v>
      </c>
      <c r="Y24" s="187"/>
    </row>
    <row r="25" spans="1:25">
      <c r="A25" s="278"/>
      <c r="B25" s="267" t="s">
        <v>3496</v>
      </c>
      <c r="C25" s="267" t="s">
        <v>677</v>
      </c>
      <c r="D25" s="267" t="s">
        <v>3497</v>
      </c>
      <c r="E25" s="267">
        <v>3369396</v>
      </c>
      <c r="F25" s="268">
        <v>44771</v>
      </c>
      <c r="G25" s="267">
        <v>1.42E-3</v>
      </c>
      <c r="H25" s="267"/>
      <c r="I25" s="267"/>
      <c r="J25" s="267"/>
      <c r="K25" s="267"/>
      <c r="L25" s="267"/>
      <c r="M25" s="267"/>
      <c r="N25" s="267"/>
      <c r="O25" s="267"/>
      <c r="P25" s="267"/>
      <c r="Q25" s="267"/>
      <c r="R25" s="268">
        <v>14906</v>
      </c>
      <c r="S25" s="267"/>
      <c r="T25" s="267" t="s">
        <v>2383</v>
      </c>
      <c r="U25" s="190" t="str">
        <f t="shared" si="8"/>
        <v>GandiaAliaga,Herminia Amparo</v>
      </c>
      <c r="V25" s="179">
        <f t="shared" si="9"/>
        <v>7</v>
      </c>
      <c r="W25" s="179">
        <f t="shared" si="10"/>
        <v>2022</v>
      </c>
      <c r="X25" s="270" t="s">
        <v>266</v>
      </c>
      <c r="Y25" s="187"/>
    </row>
    <row r="26" spans="1:25" hidden="1">
      <c r="A26" s="191" t="str">
        <f t="shared" ref="A26:A32" si="11">IF(OR(F26="",R26=""),"",IF((F26-R26)/12/30&lt;18,"Pediátrico","Adulto"))</f>
        <v>Adulto</v>
      </c>
      <c r="B26" s="177" t="s">
        <v>1186</v>
      </c>
      <c r="C26" s="177" t="s">
        <v>3456</v>
      </c>
      <c r="D26" s="177" t="s">
        <v>1747</v>
      </c>
      <c r="E26" s="177">
        <v>7461662</v>
      </c>
      <c r="F26" s="189">
        <v>44766</v>
      </c>
      <c r="G26" s="177">
        <v>8.3820000000000006E-2</v>
      </c>
      <c r="H26" s="177"/>
      <c r="I26" s="177"/>
      <c r="J26" s="177"/>
      <c r="K26" s="177"/>
      <c r="L26" s="177"/>
      <c r="M26" s="177"/>
      <c r="N26" s="177"/>
      <c r="O26" s="177"/>
      <c r="P26" s="177"/>
      <c r="Q26" s="177"/>
      <c r="R26" s="189">
        <v>31776</v>
      </c>
      <c r="S26" s="177"/>
      <c r="T26" s="177" t="s">
        <v>2383</v>
      </c>
      <c r="U26" s="249" t="str">
        <f t="shared" si="8"/>
        <v>MonteroCobo de Guzman,Alvaro</v>
      </c>
      <c r="V26" s="265">
        <f t="shared" si="9"/>
        <v>7</v>
      </c>
      <c r="W26" s="265">
        <f t="shared" si="10"/>
        <v>2022</v>
      </c>
      <c r="X26" s="178" t="s">
        <v>266</v>
      </c>
      <c r="Y26" s="187"/>
    </row>
    <row r="27" spans="1:25" hidden="1">
      <c r="A27" s="188" t="str">
        <f t="shared" si="11"/>
        <v>Adulto</v>
      </c>
      <c r="B27" s="179" t="s">
        <v>960</v>
      </c>
      <c r="C27" s="179" t="s">
        <v>3457</v>
      </c>
      <c r="D27" s="179" t="s">
        <v>967</v>
      </c>
      <c r="E27" s="179">
        <v>4974143</v>
      </c>
      <c r="F27" s="192">
        <v>44766</v>
      </c>
      <c r="G27" s="179">
        <v>0.15229999999999999</v>
      </c>
      <c r="H27" s="179"/>
      <c r="I27" s="179"/>
      <c r="J27" s="179"/>
      <c r="K27" s="179"/>
      <c r="L27" s="179"/>
      <c r="M27" s="179"/>
      <c r="N27" s="179"/>
      <c r="O27" s="179"/>
      <c r="P27" s="179"/>
      <c r="Q27" s="179"/>
      <c r="R27" s="192">
        <v>25702</v>
      </c>
      <c r="S27" s="179"/>
      <c r="T27" s="179" t="s">
        <v>2383</v>
      </c>
      <c r="U27" s="190" t="str">
        <f t="shared" si="8"/>
        <v>LopezDoval,Jose Manuel</v>
      </c>
      <c r="V27" s="179">
        <f t="shared" si="9"/>
        <v>7</v>
      </c>
      <c r="W27" s="179">
        <f t="shared" si="10"/>
        <v>2022</v>
      </c>
      <c r="X27" s="180" t="s">
        <v>266</v>
      </c>
      <c r="Y27" s="187"/>
    </row>
    <row r="28" spans="1:25" hidden="1">
      <c r="A28" s="191" t="str">
        <f t="shared" si="11"/>
        <v>Adulto</v>
      </c>
      <c r="B28" s="177" t="s">
        <v>669</v>
      </c>
      <c r="C28" s="177" t="s">
        <v>20</v>
      </c>
      <c r="D28" s="177" t="s">
        <v>967</v>
      </c>
      <c r="E28" s="177">
        <v>2944290</v>
      </c>
      <c r="F28" s="189">
        <v>44766</v>
      </c>
      <c r="G28" s="177">
        <v>0.11280999999999999</v>
      </c>
      <c r="H28" s="177"/>
      <c r="I28" s="177"/>
      <c r="J28" s="177"/>
      <c r="K28" s="177"/>
      <c r="L28" s="177"/>
      <c r="M28" s="177"/>
      <c r="N28" s="177"/>
      <c r="O28" s="177"/>
      <c r="P28" s="177"/>
      <c r="Q28" s="177"/>
      <c r="R28" s="189">
        <v>21490</v>
      </c>
      <c r="S28" s="177"/>
      <c r="T28" s="177" t="s">
        <v>2383</v>
      </c>
      <c r="U28" s="249" t="str">
        <f t="shared" si="8"/>
        <v>SantamariaAntonio,Jose Manuel</v>
      </c>
      <c r="V28" s="265">
        <f t="shared" si="9"/>
        <v>7</v>
      </c>
      <c r="W28" s="265">
        <f t="shared" si="10"/>
        <v>2022</v>
      </c>
      <c r="X28" s="178" t="s">
        <v>266</v>
      </c>
      <c r="Y28" s="187"/>
    </row>
    <row r="29" spans="1:25" hidden="1">
      <c r="A29" s="188" t="str">
        <f t="shared" si="11"/>
        <v>Adulto</v>
      </c>
      <c r="B29" s="247" t="s">
        <v>1186</v>
      </c>
      <c r="C29" s="247" t="s">
        <v>3456</v>
      </c>
      <c r="D29" s="247" t="s">
        <v>1747</v>
      </c>
      <c r="E29" s="247">
        <v>7461662</v>
      </c>
      <c r="F29" s="248">
        <v>44766</v>
      </c>
      <c r="G29" s="247">
        <v>0.28277999999999998</v>
      </c>
      <c r="H29" s="247"/>
      <c r="I29" s="247"/>
      <c r="J29" s="247"/>
      <c r="K29" s="247"/>
      <c r="L29" s="247"/>
      <c r="M29" s="247"/>
      <c r="N29" s="247"/>
      <c r="O29" s="247"/>
      <c r="P29" s="247"/>
      <c r="Q29" s="247"/>
      <c r="R29" s="248">
        <v>31776</v>
      </c>
      <c r="S29" s="247"/>
      <c r="T29" s="247" t="s">
        <v>2383</v>
      </c>
      <c r="U29" s="190" t="str">
        <f t="shared" si="8"/>
        <v>MonteroCobo de Guzman,Alvaro</v>
      </c>
      <c r="V29" s="179">
        <f t="shared" si="9"/>
        <v>7</v>
      </c>
      <c r="W29" s="179">
        <f t="shared" si="10"/>
        <v>2022</v>
      </c>
      <c r="X29" s="250" t="s">
        <v>266</v>
      </c>
      <c r="Y29" s="187"/>
    </row>
    <row r="30" spans="1:25" hidden="1">
      <c r="A30" s="191" t="str">
        <f t="shared" si="11"/>
        <v>Adulto</v>
      </c>
      <c r="B30" s="177" t="s">
        <v>21</v>
      </c>
      <c r="C30" s="177" t="s">
        <v>3458</v>
      </c>
      <c r="D30" s="177" t="s">
        <v>300</v>
      </c>
      <c r="E30" s="177">
        <v>3272872</v>
      </c>
      <c r="F30" s="189">
        <v>44767</v>
      </c>
      <c r="G30" s="177">
        <v>0.6421</v>
      </c>
      <c r="H30" s="177"/>
      <c r="I30" s="177"/>
      <c r="J30" s="177"/>
      <c r="K30" s="177"/>
      <c r="L30" s="177"/>
      <c r="M30" s="177"/>
      <c r="N30" s="177"/>
      <c r="O30" s="177"/>
      <c r="P30" s="177"/>
      <c r="Q30" s="177"/>
      <c r="R30" s="189">
        <v>20444</v>
      </c>
      <c r="S30" s="177"/>
      <c r="T30" s="177" t="s">
        <v>1116</v>
      </c>
      <c r="U30" s="249" t="str">
        <f t="shared" si="8"/>
        <v>CerveraCadalas,Carlos</v>
      </c>
      <c r="V30" s="265">
        <f t="shared" si="9"/>
        <v>7</v>
      </c>
      <c r="W30" s="265">
        <f t="shared" si="10"/>
        <v>2022</v>
      </c>
      <c r="X30" s="178" t="s">
        <v>265</v>
      </c>
      <c r="Y30" s="187"/>
    </row>
    <row r="31" spans="1:25" ht="15.75" hidden="1" thickBot="1">
      <c r="A31" s="193" t="str">
        <f t="shared" si="11"/>
        <v>Adulto</v>
      </c>
      <c r="B31" s="179" t="s">
        <v>1090</v>
      </c>
      <c r="C31" s="179" t="s">
        <v>1320</v>
      </c>
      <c r="D31" s="179" t="s">
        <v>117</v>
      </c>
      <c r="E31" s="179">
        <v>3519128</v>
      </c>
      <c r="F31" s="192">
        <v>44767</v>
      </c>
      <c r="G31" s="179">
        <v>2.4399999999999999E-3</v>
      </c>
      <c r="H31" s="179"/>
      <c r="I31" s="179"/>
      <c r="J31" s="179"/>
      <c r="K31" s="179"/>
      <c r="L31" s="179"/>
      <c r="M31" s="179"/>
      <c r="N31" s="179"/>
      <c r="O31" s="179"/>
      <c r="P31" s="179"/>
      <c r="Q31" s="179"/>
      <c r="R31" s="192">
        <v>19096</v>
      </c>
      <c r="S31" s="179"/>
      <c r="T31" s="179" t="s">
        <v>1113</v>
      </c>
      <c r="U31" s="190" t="str">
        <f t="shared" si="8"/>
        <v>IbañezCalleja,M Carmen</v>
      </c>
      <c r="V31" s="179">
        <f t="shared" si="9"/>
        <v>7</v>
      </c>
      <c r="W31" s="179">
        <f t="shared" si="10"/>
        <v>2022</v>
      </c>
      <c r="X31" s="180" t="s">
        <v>265</v>
      </c>
      <c r="Y31" s="187"/>
    </row>
    <row r="32" spans="1:25" hidden="1">
      <c r="A32" s="191" t="str">
        <f t="shared" si="11"/>
        <v>Adulto</v>
      </c>
      <c r="B32" s="177" t="s">
        <v>2882</v>
      </c>
      <c r="C32" s="177" t="s">
        <v>767</v>
      </c>
      <c r="D32" s="177" t="s">
        <v>83</v>
      </c>
      <c r="E32" s="177">
        <v>3188463</v>
      </c>
      <c r="F32" s="189">
        <v>44767</v>
      </c>
      <c r="G32" s="177">
        <v>0.20788999999999999</v>
      </c>
      <c r="H32" s="177"/>
      <c r="I32" s="177"/>
      <c r="J32" s="177"/>
      <c r="K32" s="177"/>
      <c r="L32" s="177"/>
      <c r="M32" s="177"/>
      <c r="N32" s="177"/>
      <c r="O32" s="177"/>
      <c r="P32" s="177"/>
      <c r="Q32" s="177"/>
      <c r="R32" s="189">
        <v>16854</v>
      </c>
      <c r="S32" s="177"/>
      <c r="T32" s="177" t="s">
        <v>1929</v>
      </c>
      <c r="U32" s="190" t="str">
        <f t="shared" si="8"/>
        <v>OmbuenaSegarra,Francisco</v>
      </c>
      <c r="V32" s="177">
        <f t="shared" si="9"/>
        <v>7</v>
      </c>
      <c r="W32" s="177">
        <f t="shared" si="10"/>
        <v>2022</v>
      </c>
      <c r="X32" s="178" t="s">
        <v>265</v>
      </c>
      <c r="Y32" s="187"/>
    </row>
    <row r="33" spans="1:25">
      <c r="A33" s="278"/>
      <c r="B33" s="177" t="s">
        <v>966</v>
      </c>
      <c r="C33" s="177" t="s">
        <v>77</v>
      </c>
      <c r="D33" s="177" t="s">
        <v>538</v>
      </c>
      <c r="E33" s="177">
        <v>6302714</v>
      </c>
      <c r="F33" s="189">
        <v>44770</v>
      </c>
      <c r="G33" s="177">
        <v>3.5400000000000002E-3</v>
      </c>
      <c r="H33" s="179"/>
      <c r="I33" s="179"/>
      <c r="J33" s="179"/>
      <c r="K33" s="179"/>
      <c r="L33" s="179"/>
      <c r="M33" s="179"/>
      <c r="N33" s="179"/>
      <c r="O33" s="179"/>
      <c r="P33" s="179"/>
      <c r="Q33" s="179"/>
      <c r="R33" s="192">
        <v>25068</v>
      </c>
      <c r="S33" s="179"/>
      <c r="T33" s="179" t="s">
        <v>1132</v>
      </c>
      <c r="U33" s="190" t="str">
        <f t="shared" si="8"/>
        <v>MarcoTorres,Hugo</v>
      </c>
      <c r="V33" s="179">
        <f t="shared" si="9"/>
        <v>7</v>
      </c>
      <c r="W33" s="179">
        <f t="shared" si="10"/>
        <v>2022</v>
      </c>
      <c r="X33" s="180" t="s">
        <v>265</v>
      </c>
      <c r="Y33" s="187"/>
    </row>
    <row r="34" spans="1:25" hidden="1">
      <c r="A34" s="191" t="str">
        <f>IF(OR(F34="",R34=""),"",IF((F34-R34)/12/30&lt;18,"Pediátrico","Adulto"))</f>
        <v>Adulto</v>
      </c>
      <c r="B34" s="177" t="s">
        <v>2008</v>
      </c>
      <c r="C34" s="177" t="s">
        <v>3114</v>
      </c>
      <c r="D34" s="177" t="s">
        <v>1976</v>
      </c>
      <c r="E34" s="177">
        <v>3811460</v>
      </c>
      <c r="F34" s="189">
        <v>44767</v>
      </c>
      <c r="G34" s="177">
        <v>0.17552999999999999</v>
      </c>
      <c r="H34" s="177"/>
      <c r="I34" s="177"/>
      <c r="J34" s="177"/>
      <c r="K34" s="177"/>
      <c r="L34" s="177"/>
      <c r="M34" s="177"/>
      <c r="N34" s="177"/>
      <c r="O34" s="177"/>
      <c r="P34" s="177"/>
      <c r="Q34" s="177"/>
      <c r="R34" s="189">
        <v>28656</v>
      </c>
      <c r="S34" s="177"/>
      <c r="T34" s="177" t="s">
        <v>1246</v>
      </c>
      <c r="U34" s="190" t="str">
        <f t="shared" si="8"/>
        <v>PuchadesDolz,Sergio</v>
      </c>
      <c r="V34" s="177">
        <f t="shared" si="9"/>
        <v>7</v>
      </c>
      <c r="W34" s="177">
        <f t="shared" si="10"/>
        <v>2022</v>
      </c>
      <c r="X34" s="178" t="s">
        <v>265</v>
      </c>
      <c r="Y34" s="187"/>
    </row>
    <row r="35" spans="1:25" hidden="1">
      <c r="A35" s="188" t="str">
        <f>IF(OR(F35="",R35=""),"",IF((F35-R35)/12/30&lt;18,"Pediátrico","Adulto"))</f>
        <v>Adulto</v>
      </c>
      <c r="B35" s="179" t="s">
        <v>3459</v>
      </c>
      <c r="C35" s="179" t="s">
        <v>628</v>
      </c>
      <c r="D35" s="179" t="s">
        <v>68</v>
      </c>
      <c r="E35" s="179">
        <v>2212602</v>
      </c>
      <c r="F35" s="192">
        <v>44767</v>
      </c>
      <c r="G35" s="179" t="s">
        <v>3331</v>
      </c>
      <c r="H35" s="179"/>
      <c r="I35" s="179"/>
      <c r="J35" s="179"/>
      <c r="K35" s="179"/>
      <c r="L35" s="179"/>
      <c r="M35" s="179"/>
      <c r="N35" s="179"/>
      <c r="O35" s="179"/>
      <c r="P35" s="179"/>
      <c r="Q35" s="179"/>
      <c r="R35" s="192">
        <v>12392</v>
      </c>
      <c r="S35" s="179"/>
      <c r="T35" s="179" t="s">
        <v>2383</v>
      </c>
      <c r="U35" s="190" t="str">
        <f t="shared" si="8"/>
        <v>ContellesPons,Juan</v>
      </c>
      <c r="V35" s="179">
        <f t="shared" si="9"/>
        <v>7</v>
      </c>
      <c r="W35" s="179">
        <f t="shared" si="10"/>
        <v>2022</v>
      </c>
      <c r="X35" s="180" t="s">
        <v>266</v>
      </c>
      <c r="Y35" s="187"/>
    </row>
    <row r="36" spans="1:25" hidden="1">
      <c r="A36" s="191" t="str">
        <f>IF(OR(F36="",R36=""),"",IF((F36-R36)/12/30&lt;18,"Pediátrico","Adulto"))</f>
        <v>Adulto</v>
      </c>
      <c r="B36" s="177" t="s">
        <v>1275</v>
      </c>
      <c r="C36" s="177" t="s">
        <v>3460</v>
      </c>
      <c r="D36" s="177" t="s">
        <v>1314</v>
      </c>
      <c r="E36" s="177">
        <v>2903349</v>
      </c>
      <c r="F36" s="189">
        <v>44767</v>
      </c>
      <c r="G36" s="177">
        <v>9.0740000000000001E-2</v>
      </c>
      <c r="H36" s="177"/>
      <c r="I36" s="177"/>
      <c r="J36" s="177"/>
      <c r="K36" s="177"/>
      <c r="L36" s="177"/>
      <c r="M36" s="177"/>
      <c r="N36" s="177"/>
      <c r="O36" s="177"/>
      <c r="P36" s="177"/>
      <c r="Q36" s="177"/>
      <c r="R36" s="189">
        <v>17755</v>
      </c>
      <c r="S36" s="177"/>
      <c r="T36" s="177" t="s">
        <v>2383</v>
      </c>
      <c r="U36" s="190" t="str">
        <f t="shared" si="8"/>
        <v>RamirezRuescas,Jose Enrique</v>
      </c>
      <c r="V36" s="177">
        <f t="shared" si="9"/>
        <v>7</v>
      </c>
      <c r="W36" s="177">
        <f t="shared" si="10"/>
        <v>2022</v>
      </c>
      <c r="X36" s="178" t="s">
        <v>266</v>
      </c>
      <c r="Y36" s="187"/>
    </row>
    <row r="37" spans="1:25">
      <c r="A37" s="278"/>
      <c r="B37" s="179" t="s">
        <v>3481</v>
      </c>
      <c r="C37" s="179" t="s">
        <v>962</v>
      </c>
      <c r="D37" s="179" t="s">
        <v>1733</v>
      </c>
      <c r="E37" s="179">
        <v>3570397</v>
      </c>
      <c r="F37" s="192">
        <v>44769</v>
      </c>
      <c r="G37" s="179">
        <v>4.4299999999999999E-3</v>
      </c>
      <c r="H37" s="179"/>
      <c r="I37" s="179"/>
      <c r="J37" s="179"/>
      <c r="K37" s="179"/>
      <c r="L37" s="179"/>
      <c r="M37" s="179"/>
      <c r="N37" s="179"/>
      <c r="O37" s="179"/>
      <c r="P37" s="179"/>
      <c r="Q37" s="179"/>
      <c r="R37" s="192">
        <v>24462</v>
      </c>
      <c r="S37" s="179"/>
      <c r="T37" s="179" t="s">
        <v>2383</v>
      </c>
      <c r="U37" s="190" t="str">
        <f t="shared" si="8"/>
        <v>LiñanGarcia,Esther</v>
      </c>
      <c r="V37" s="179">
        <f t="shared" si="9"/>
        <v>7</v>
      </c>
      <c r="W37" s="179">
        <f t="shared" si="10"/>
        <v>2022</v>
      </c>
      <c r="X37" s="180" t="s">
        <v>266</v>
      </c>
      <c r="Y37" s="187"/>
    </row>
    <row r="38" spans="1:25" hidden="1">
      <c r="A38" s="191" t="str">
        <f>IF(OR(F38="",R38=""),"",IF((F38-R38)/12/30&lt;18,"Pediátrico","Adulto"))</f>
        <v>Adulto</v>
      </c>
      <c r="B38" s="177" t="s">
        <v>3398</v>
      </c>
      <c r="C38" s="177" t="s">
        <v>2990</v>
      </c>
      <c r="D38" s="177" t="s">
        <v>991</v>
      </c>
      <c r="E38" s="177">
        <v>3074759</v>
      </c>
      <c r="F38" s="189">
        <v>44767</v>
      </c>
      <c r="G38" s="177" t="s">
        <v>3333</v>
      </c>
      <c r="H38" s="177"/>
      <c r="I38" s="177"/>
      <c r="J38" s="177"/>
      <c r="K38" s="177"/>
      <c r="L38" s="177"/>
      <c r="M38" s="177"/>
      <c r="N38" s="177"/>
      <c r="O38" s="177"/>
      <c r="P38" s="177"/>
      <c r="Q38" s="177"/>
      <c r="R38" s="189">
        <v>17637</v>
      </c>
      <c r="S38" s="177"/>
      <c r="T38" s="177" t="s">
        <v>2383</v>
      </c>
      <c r="U38" s="190" t="str">
        <f t="shared" ref="U38:U69" si="12">CONCATENATE(B38,$A$591,C38,",",D38)</f>
        <v>MinguezSayas,Jose</v>
      </c>
      <c r="V38" s="177">
        <f t="shared" si="9"/>
        <v>7</v>
      </c>
      <c r="W38" s="177">
        <f t="shared" si="10"/>
        <v>2022</v>
      </c>
      <c r="X38" s="178" t="s">
        <v>266</v>
      </c>
    </row>
    <row r="39" spans="1:25">
      <c r="B39" s="179" t="s">
        <v>3464</v>
      </c>
      <c r="C39" s="179" t="s">
        <v>1621</v>
      </c>
      <c r="D39" s="179" t="s">
        <v>333</v>
      </c>
      <c r="E39" s="179">
        <v>3797714</v>
      </c>
      <c r="F39" s="192">
        <v>44767</v>
      </c>
      <c r="G39" s="179">
        <v>7.2199999999999999E-3</v>
      </c>
      <c r="H39" s="179"/>
      <c r="I39" s="179"/>
      <c r="J39" s="179"/>
      <c r="K39" s="179"/>
      <c r="L39" s="179"/>
      <c r="M39" s="179"/>
      <c r="N39" s="179"/>
      <c r="O39" s="179"/>
      <c r="P39" s="179"/>
      <c r="Q39" s="179"/>
      <c r="R39" s="192">
        <v>25153</v>
      </c>
      <c r="S39" s="179"/>
      <c r="T39" s="179" t="s">
        <v>2383</v>
      </c>
      <c r="U39" s="190" t="str">
        <f t="shared" si="12"/>
        <v>GregoriRamon,Vicenta</v>
      </c>
      <c r="V39" s="179">
        <f t="shared" si="9"/>
        <v>7</v>
      </c>
      <c r="W39" s="179">
        <f t="shared" si="10"/>
        <v>2022</v>
      </c>
      <c r="X39" s="180" t="s">
        <v>266</v>
      </c>
    </row>
    <row r="40" spans="1:25">
      <c r="B40" s="177" t="s">
        <v>3116</v>
      </c>
      <c r="C40" s="177" t="s">
        <v>2801</v>
      </c>
      <c r="D40" s="177" t="s">
        <v>519</v>
      </c>
      <c r="E40" s="177">
        <v>3376224</v>
      </c>
      <c r="F40" s="189">
        <v>44770</v>
      </c>
      <c r="G40" s="177">
        <v>1.0149999999999999E-2</v>
      </c>
      <c r="H40" s="177"/>
      <c r="I40" s="177"/>
      <c r="J40" s="177"/>
      <c r="K40" s="177"/>
      <c r="L40" s="177"/>
      <c r="M40" s="177"/>
      <c r="N40" s="177"/>
      <c r="O40" s="177"/>
      <c r="P40" s="177"/>
      <c r="Q40" s="177"/>
      <c r="R40" s="189">
        <v>17056</v>
      </c>
      <c r="S40" s="177"/>
      <c r="T40" s="177" t="s">
        <v>2383</v>
      </c>
      <c r="U40" s="190" t="str">
        <f t="shared" si="12"/>
        <v>LladosaTorro,Fernando</v>
      </c>
      <c r="V40" s="177">
        <f t="shared" si="9"/>
        <v>7</v>
      </c>
      <c r="W40" s="177">
        <f t="shared" si="10"/>
        <v>2022</v>
      </c>
      <c r="X40" s="178" t="s">
        <v>266</v>
      </c>
    </row>
    <row r="41" spans="1:25">
      <c r="B41" s="179" t="s">
        <v>1796</v>
      </c>
      <c r="C41" s="179" t="s">
        <v>694</v>
      </c>
      <c r="D41" s="179" t="s">
        <v>2141</v>
      </c>
      <c r="E41" s="179">
        <v>2461357</v>
      </c>
      <c r="F41" s="192">
        <v>44770</v>
      </c>
      <c r="G41" s="179">
        <v>1.0449999999999999E-2</v>
      </c>
      <c r="H41" s="179"/>
      <c r="I41" s="179"/>
      <c r="J41" s="179"/>
      <c r="K41" s="179"/>
      <c r="L41" s="179"/>
      <c r="M41" s="179"/>
      <c r="N41" s="179"/>
      <c r="O41" s="179"/>
      <c r="P41" s="179"/>
      <c r="Q41" s="179"/>
      <c r="R41" s="192">
        <v>21633</v>
      </c>
      <c r="S41" s="179"/>
      <c r="T41" s="179" t="s">
        <v>2383</v>
      </c>
      <c r="U41" s="190" t="str">
        <f t="shared" si="12"/>
        <v>PelechaLlopis,Jesus</v>
      </c>
      <c r="V41" s="179">
        <f t="shared" si="9"/>
        <v>7</v>
      </c>
      <c r="W41" s="179">
        <f t="shared" si="10"/>
        <v>2022</v>
      </c>
      <c r="X41" s="180" t="s">
        <v>266</v>
      </c>
    </row>
    <row r="42" spans="1:25">
      <c r="B42" s="177" t="s">
        <v>3507</v>
      </c>
      <c r="C42" s="177"/>
      <c r="D42" s="177" t="s">
        <v>3508</v>
      </c>
      <c r="E42" s="177">
        <v>12839811</v>
      </c>
      <c r="F42" s="189">
        <v>44771</v>
      </c>
      <c r="G42" s="177">
        <v>1.055E-2</v>
      </c>
      <c r="H42" s="177"/>
      <c r="I42" s="177"/>
      <c r="J42" s="177"/>
      <c r="K42" s="177"/>
      <c r="L42" s="177"/>
      <c r="M42" s="177"/>
      <c r="N42" s="177"/>
      <c r="O42" s="177"/>
      <c r="P42" s="177"/>
      <c r="Q42" s="177"/>
      <c r="R42" s="189">
        <v>47303</v>
      </c>
      <c r="S42" s="177"/>
      <c r="T42" s="177" t="s">
        <v>2383</v>
      </c>
      <c r="U42" s="190" t="str">
        <f t="shared" si="12"/>
        <v>Todorova,Mariyka</v>
      </c>
      <c r="V42" s="177">
        <f t="shared" si="9"/>
        <v>7</v>
      </c>
      <c r="W42" s="177">
        <f t="shared" si="10"/>
        <v>2022</v>
      </c>
      <c r="X42" s="178" t="s">
        <v>266</v>
      </c>
    </row>
    <row r="43" spans="1:25">
      <c r="B43" s="179" t="s">
        <v>3449</v>
      </c>
      <c r="C43" s="179" t="s">
        <v>319</v>
      </c>
      <c r="D43" s="179" t="s">
        <v>1946</v>
      </c>
      <c r="E43" s="179">
        <v>950490</v>
      </c>
      <c r="F43" s="192">
        <v>44769</v>
      </c>
      <c r="G43" s="179">
        <v>1.4749999999999999E-2</v>
      </c>
      <c r="H43" s="179"/>
      <c r="I43" s="179"/>
      <c r="J43" s="179"/>
      <c r="K43" s="179"/>
      <c r="L43" s="179"/>
      <c r="M43" s="179"/>
      <c r="N43" s="179"/>
      <c r="O43" s="179"/>
      <c r="P43" s="179"/>
      <c r="Q43" s="179"/>
      <c r="R43" s="192">
        <v>19204</v>
      </c>
      <c r="S43" s="179"/>
      <c r="T43" s="179" t="s">
        <v>2383</v>
      </c>
      <c r="U43" s="190" t="str">
        <f t="shared" si="12"/>
        <v>HerbosaGonzalez,Joaquin</v>
      </c>
      <c r="V43" s="179">
        <f t="shared" si="9"/>
        <v>7</v>
      </c>
      <c r="W43" s="179">
        <f t="shared" si="10"/>
        <v>2022</v>
      </c>
      <c r="X43" s="180" t="s">
        <v>266</v>
      </c>
    </row>
    <row r="44" spans="1:25">
      <c r="B44" s="177" t="s">
        <v>1162</v>
      </c>
      <c r="C44" s="177" t="s">
        <v>856</v>
      </c>
      <c r="D44" s="177" t="s">
        <v>1163</v>
      </c>
      <c r="E44" s="177">
        <v>2918980</v>
      </c>
      <c r="F44" s="189">
        <v>44769</v>
      </c>
      <c r="G44" s="177">
        <v>2.4580000000000001E-2</v>
      </c>
      <c r="H44" s="177"/>
      <c r="I44" s="177"/>
      <c r="J44" s="177"/>
      <c r="K44" s="177"/>
      <c r="L44" s="177"/>
      <c r="M44" s="177"/>
      <c r="N44" s="177"/>
      <c r="O44" s="177"/>
      <c r="P44" s="177"/>
      <c r="Q44" s="177"/>
      <c r="R44" s="189">
        <v>19719</v>
      </c>
      <c r="S44" s="177"/>
      <c r="T44" s="177" t="s">
        <v>2383</v>
      </c>
      <c r="U44" s="190" t="str">
        <f t="shared" si="12"/>
        <v>YesteGomez,M Blanca</v>
      </c>
      <c r="V44" s="177">
        <f t="shared" si="9"/>
        <v>7</v>
      </c>
      <c r="W44" s="177">
        <f t="shared" si="10"/>
        <v>2022</v>
      </c>
      <c r="X44" s="178" t="s">
        <v>266</v>
      </c>
    </row>
    <row r="45" spans="1:25">
      <c r="B45" s="247" t="s">
        <v>3494</v>
      </c>
      <c r="C45" s="247"/>
      <c r="D45" s="247" t="s">
        <v>3495</v>
      </c>
      <c r="E45" s="247">
        <v>10796900</v>
      </c>
      <c r="F45" s="248">
        <v>44770</v>
      </c>
      <c r="G45" s="247">
        <v>2.4680000000000001E-2</v>
      </c>
      <c r="H45" s="247"/>
      <c r="I45" s="247"/>
      <c r="J45" s="247"/>
      <c r="K45" s="247"/>
      <c r="L45" s="247"/>
      <c r="M45" s="247"/>
      <c r="N45" s="247"/>
      <c r="O45" s="247"/>
      <c r="P45" s="247"/>
      <c r="Q45" s="247"/>
      <c r="R45" s="248">
        <v>13358</v>
      </c>
      <c r="S45" s="247"/>
      <c r="T45" s="247" t="s">
        <v>2962</v>
      </c>
      <c r="U45" s="249" t="str">
        <f t="shared" si="12"/>
        <v>Depraetere,Johan</v>
      </c>
      <c r="V45" s="247">
        <f t="shared" si="9"/>
        <v>7</v>
      </c>
      <c r="W45" s="247">
        <f t="shared" si="10"/>
        <v>2022</v>
      </c>
      <c r="X45" s="250" t="s">
        <v>2238</v>
      </c>
    </row>
    <row r="46" spans="1:25">
      <c r="A46" s="154" t="str">
        <f>IF(OR(F46="",R46=""),"",IF((F46-R46)/12/30&lt;18,"Pediátrico","Adulto"))</f>
        <v>Adulto</v>
      </c>
      <c r="B46" s="179" t="s">
        <v>321</v>
      </c>
      <c r="C46" s="179" t="s">
        <v>1322</v>
      </c>
      <c r="D46" s="179" t="s">
        <v>3448</v>
      </c>
      <c r="E46" s="179">
        <v>1810734</v>
      </c>
      <c r="F46" s="192">
        <v>44764</v>
      </c>
      <c r="G46" s="179">
        <v>3.2219999999999999E-2</v>
      </c>
      <c r="H46" s="177"/>
      <c r="I46" s="177"/>
      <c r="J46" s="177"/>
      <c r="K46" s="177"/>
      <c r="L46" s="177"/>
      <c r="M46" s="177"/>
      <c r="N46" s="177"/>
      <c r="O46" s="177"/>
      <c r="P46" s="177"/>
      <c r="Q46" s="177"/>
      <c r="R46" s="189">
        <v>31993</v>
      </c>
      <c r="S46" s="177"/>
      <c r="T46" s="177" t="s">
        <v>1152</v>
      </c>
      <c r="U46" s="190" t="str">
        <f t="shared" si="12"/>
        <v>EstebanSelva,Encarnacion Maria</v>
      </c>
      <c r="V46" s="177">
        <f t="shared" si="9"/>
        <v>7</v>
      </c>
      <c r="W46" s="177">
        <f t="shared" si="10"/>
        <v>2022</v>
      </c>
      <c r="X46" s="178" t="s">
        <v>265</v>
      </c>
    </row>
    <row r="47" spans="1:25">
      <c r="B47" s="177" t="s">
        <v>2357</v>
      </c>
      <c r="C47" s="177" t="s">
        <v>3487</v>
      </c>
      <c r="D47" s="177" t="s">
        <v>1946</v>
      </c>
      <c r="E47" s="177">
        <v>2327873</v>
      </c>
      <c r="F47" s="189">
        <v>44769</v>
      </c>
      <c r="G47" s="177">
        <v>3.2770000000000001E-2</v>
      </c>
      <c r="H47" s="179"/>
      <c r="I47" s="179"/>
      <c r="J47" s="179"/>
      <c r="K47" s="179"/>
      <c r="L47" s="179"/>
      <c r="M47" s="179"/>
      <c r="N47" s="179"/>
      <c r="O47" s="179"/>
      <c r="P47" s="179"/>
      <c r="Q47" s="179"/>
      <c r="R47" s="192">
        <v>21242</v>
      </c>
      <c r="S47" s="179"/>
      <c r="T47" s="179" t="s">
        <v>3468</v>
      </c>
      <c r="U47" s="190" t="str">
        <f t="shared" si="12"/>
        <v>GarzonCalomarde,Joaquin</v>
      </c>
      <c r="V47" s="179">
        <f t="shared" si="9"/>
        <v>7</v>
      </c>
      <c r="W47" s="179">
        <f t="shared" si="10"/>
        <v>2022</v>
      </c>
      <c r="X47" s="180" t="s">
        <v>265</v>
      </c>
    </row>
    <row r="48" spans="1:25">
      <c r="B48" s="177" t="s">
        <v>2008</v>
      </c>
      <c r="C48" s="177" t="s">
        <v>1176</v>
      </c>
      <c r="D48" s="177" t="s">
        <v>1621</v>
      </c>
      <c r="E48" s="177">
        <v>2837459</v>
      </c>
      <c r="F48" s="189">
        <v>44770</v>
      </c>
      <c r="G48" s="177">
        <v>3.4410000000000003E-2</v>
      </c>
      <c r="H48" s="177"/>
      <c r="I48" s="177"/>
      <c r="J48" s="177"/>
      <c r="K48" s="177"/>
      <c r="L48" s="177"/>
      <c r="M48" s="177"/>
      <c r="N48" s="177"/>
      <c r="O48" s="177"/>
      <c r="P48" s="177"/>
      <c r="Q48" s="177"/>
      <c r="R48" s="189">
        <v>14659</v>
      </c>
      <c r="S48" s="177"/>
      <c r="T48" s="177" t="s">
        <v>89</v>
      </c>
      <c r="U48" s="190" t="str">
        <f t="shared" si="12"/>
        <v>PuchadesPeiro,Ramon</v>
      </c>
      <c r="V48" s="177">
        <f t="shared" si="9"/>
        <v>7</v>
      </c>
      <c r="W48" s="177">
        <f t="shared" si="10"/>
        <v>2022</v>
      </c>
      <c r="X48" s="178" t="s">
        <v>265</v>
      </c>
    </row>
    <row r="49" spans="1:24">
      <c r="B49" s="177" t="s">
        <v>1590</v>
      </c>
      <c r="C49" s="177" t="s">
        <v>3473</v>
      </c>
      <c r="D49" s="177" t="s">
        <v>7</v>
      </c>
      <c r="E49" s="177">
        <v>3700936</v>
      </c>
      <c r="F49" s="189">
        <v>44768</v>
      </c>
      <c r="G49" s="177">
        <v>4.6100000000000002E-2</v>
      </c>
      <c r="H49" s="179"/>
      <c r="I49" s="179"/>
      <c r="J49" s="179"/>
      <c r="K49" s="179"/>
      <c r="L49" s="179"/>
      <c r="M49" s="179"/>
      <c r="N49" s="179"/>
      <c r="O49" s="179"/>
      <c r="P49" s="179"/>
      <c r="Q49" s="179"/>
      <c r="R49" s="192">
        <v>20405</v>
      </c>
      <c r="S49" s="179"/>
      <c r="T49" s="179" t="s">
        <v>89</v>
      </c>
      <c r="U49" s="190" t="str">
        <f t="shared" si="12"/>
        <v>RagaChardi,Francisca</v>
      </c>
      <c r="V49" s="179">
        <f t="shared" si="9"/>
        <v>7</v>
      </c>
      <c r="W49" s="179">
        <f t="shared" si="10"/>
        <v>2022</v>
      </c>
      <c r="X49" s="180" t="s">
        <v>265</v>
      </c>
    </row>
    <row r="50" spans="1:24">
      <c r="B50" s="177" t="s">
        <v>3465</v>
      </c>
      <c r="C50" s="177" t="s">
        <v>916</v>
      </c>
      <c r="D50" s="177" t="s">
        <v>3466</v>
      </c>
      <c r="E50" s="177">
        <v>5118971</v>
      </c>
      <c r="F50" s="189">
        <v>44768</v>
      </c>
      <c r="G50" s="177">
        <v>4.861E-2</v>
      </c>
      <c r="H50" s="177"/>
      <c r="I50" s="177"/>
      <c r="J50" s="177"/>
      <c r="K50" s="177"/>
      <c r="L50" s="177"/>
      <c r="M50" s="177"/>
      <c r="N50" s="177"/>
      <c r="O50" s="177"/>
      <c r="P50" s="177"/>
      <c r="Q50" s="177"/>
      <c r="R50" s="189">
        <v>15092</v>
      </c>
      <c r="S50" s="177"/>
      <c r="T50" s="177" t="s">
        <v>2383</v>
      </c>
      <c r="U50" s="190" t="str">
        <f t="shared" si="12"/>
        <v>VerdugaSalazar,Mayra Cristina</v>
      </c>
      <c r="V50" s="177">
        <f t="shared" si="9"/>
        <v>7</v>
      </c>
      <c r="W50" s="177">
        <f t="shared" si="10"/>
        <v>2022</v>
      </c>
      <c r="X50" s="178" t="s">
        <v>266</v>
      </c>
    </row>
    <row r="51" spans="1:24">
      <c r="B51" s="179" t="s">
        <v>948</v>
      </c>
      <c r="C51" s="179" t="s">
        <v>3467</v>
      </c>
      <c r="D51" s="179" t="s">
        <v>369</v>
      </c>
      <c r="E51" s="179">
        <v>2875718</v>
      </c>
      <c r="F51" s="192">
        <v>44768</v>
      </c>
      <c r="G51" s="179">
        <v>5.1429999999999997E-2</v>
      </c>
      <c r="H51" s="179"/>
      <c r="I51" s="179"/>
      <c r="J51" s="179"/>
      <c r="K51" s="179"/>
      <c r="L51" s="179"/>
      <c r="M51" s="179"/>
      <c r="N51" s="179"/>
      <c r="O51" s="179"/>
      <c r="P51" s="179"/>
      <c r="Q51" s="179"/>
      <c r="R51" s="192">
        <v>20217</v>
      </c>
      <c r="S51" s="179"/>
      <c r="T51" s="179" t="s">
        <v>2383</v>
      </c>
      <c r="U51" s="190" t="str">
        <f t="shared" si="12"/>
        <v>MartinezOrea,Alejandro</v>
      </c>
      <c r="V51" s="179">
        <f t="shared" si="9"/>
        <v>7</v>
      </c>
      <c r="W51" s="179">
        <f t="shared" si="10"/>
        <v>2022</v>
      </c>
      <c r="X51" s="180" t="s">
        <v>266</v>
      </c>
    </row>
    <row r="52" spans="1:24">
      <c r="B52" s="179" t="s">
        <v>634</v>
      </c>
      <c r="C52" s="179" t="s">
        <v>2123</v>
      </c>
      <c r="D52" s="179" t="s">
        <v>2652</v>
      </c>
      <c r="E52" s="179">
        <v>2988103</v>
      </c>
      <c r="F52" s="192">
        <v>44768</v>
      </c>
      <c r="G52" s="179">
        <v>5.2109999999999997E-2</v>
      </c>
      <c r="H52" s="177"/>
      <c r="I52" s="177"/>
      <c r="J52" s="177"/>
      <c r="K52" s="177"/>
      <c r="L52" s="177"/>
      <c r="M52" s="177"/>
      <c r="N52" s="177"/>
      <c r="O52" s="177"/>
      <c r="P52" s="177"/>
      <c r="Q52" s="177"/>
      <c r="R52" s="189">
        <v>14677</v>
      </c>
      <c r="S52" s="177"/>
      <c r="T52" s="177" t="s">
        <v>2383</v>
      </c>
      <c r="U52" s="190" t="str">
        <f t="shared" si="12"/>
        <v>GilDiez,Vicente Antonio</v>
      </c>
      <c r="V52" s="177">
        <f t="shared" si="9"/>
        <v>7</v>
      </c>
      <c r="W52" s="177">
        <f t="shared" si="10"/>
        <v>2022</v>
      </c>
      <c r="X52" s="178" t="s">
        <v>266</v>
      </c>
    </row>
    <row r="53" spans="1:24">
      <c r="B53" s="179" t="s">
        <v>22</v>
      </c>
      <c r="C53" s="179" t="s">
        <v>159</v>
      </c>
      <c r="D53" s="179" t="s">
        <v>3484</v>
      </c>
      <c r="E53" s="179">
        <v>2034592</v>
      </c>
      <c r="F53" s="192">
        <v>44769</v>
      </c>
      <c r="G53" s="179">
        <v>5.9330000000000001E-2</v>
      </c>
      <c r="H53" s="179"/>
      <c r="I53" s="179"/>
      <c r="J53" s="179"/>
      <c r="K53" s="179"/>
      <c r="L53" s="179"/>
      <c r="M53" s="179"/>
      <c r="N53" s="179"/>
      <c r="O53" s="179"/>
      <c r="P53" s="179"/>
      <c r="Q53" s="179"/>
      <c r="R53" s="192">
        <v>24049</v>
      </c>
      <c r="S53" s="179"/>
      <c r="T53" s="179" t="s">
        <v>2383</v>
      </c>
      <c r="U53" s="190" t="str">
        <f t="shared" si="12"/>
        <v>RuizVillar,Aranzazu</v>
      </c>
      <c r="V53" s="179">
        <f t="shared" si="9"/>
        <v>7</v>
      </c>
      <c r="W53" s="179">
        <f t="shared" si="10"/>
        <v>2022</v>
      </c>
      <c r="X53" s="180" t="s">
        <v>266</v>
      </c>
    </row>
    <row r="54" spans="1:24">
      <c r="B54" s="177" t="s">
        <v>2376</v>
      </c>
      <c r="C54" s="177" t="s">
        <v>960</v>
      </c>
      <c r="D54" s="177" t="s">
        <v>991</v>
      </c>
      <c r="E54" s="177">
        <v>1857545</v>
      </c>
      <c r="F54" s="189">
        <v>44768</v>
      </c>
      <c r="G54" s="177">
        <v>6.0130000000000003E-2</v>
      </c>
      <c r="H54" s="177"/>
      <c r="I54" s="177"/>
      <c r="J54" s="177"/>
      <c r="K54" s="177"/>
      <c r="L54" s="177"/>
      <c r="M54" s="177"/>
      <c r="N54" s="177"/>
      <c r="O54" s="177"/>
      <c r="P54" s="177"/>
      <c r="Q54" s="177"/>
      <c r="R54" s="189">
        <v>31832</v>
      </c>
      <c r="S54" s="177"/>
      <c r="T54" s="177" t="s">
        <v>2383</v>
      </c>
      <c r="U54" s="190" t="str">
        <f t="shared" si="12"/>
        <v>CeronLopez,Jose</v>
      </c>
      <c r="V54" s="177">
        <f t="shared" si="9"/>
        <v>7</v>
      </c>
      <c r="W54" s="177">
        <f t="shared" si="10"/>
        <v>2022</v>
      </c>
      <c r="X54" s="178" t="s">
        <v>266</v>
      </c>
    </row>
    <row r="55" spans="1:24">
      <c r="A55" s="154" t="str">
        <f>IF(OR(F55="",R55=""),"",IF((F55-R55)/12/30&lt;18,"Pediátrico","Adulto"))</f>
        <v>Adulto</v>
      </c>
      <c r="B55" s="179" t="s">
        <v>159</v>
      </c>
      <c r="C55" s="179" t="s">
        <v>156</v>
      </c>
      <c r="D55" s="179" t="s">
        <v>961</v>
      </c>
      <c r="E55" s="179">
        <v>4254575</v>
      </c>
      <c r="F55" s="192">
        <v>44767</v>
      </c>
      <c r="G55" s="179">
        <v>7.306E-2</v>
      </c>
      <c r="H55" s="179"/>
      <c r="I55" s="179"/>
      <c r="J55" s="179"/>
      <c r="K55" s="179"/>
      <c r="L55" s="179"/>
      <c r="M55" s="179"/>
      <c r="N55" s="179"/>
      <c r="O55" s="179"/>
      <c r="P55" s="179"/>
      <c r="Q55" s="179"/>
      <c r="R55" s="192">
        <v>18207</v>
      </c>
      <c r="S55" s="179"/>
      <c r="T55" s="179" t="s">
        <v>2383</v>
      </c>
      <c r="U55" s="190" t="str">
        <f t="shared" si="12"/>
        <v>VillarPastor,Teresa</v>
      </c>
      <c r="V55" s="179">
        <f t="shared" ref="V55:V86" si="13">MONTH(F53)</f>
        <v>7</v>
      </c>
      <c r="W55" s="179">
        <f t="shared" ref="W55:W86" si="14">YEAR(F53)</f>
        <v>2022</v>
      </c>
      <c r="X55" s="180" t="s">
        <v>266</v>
      </c>
    </row>
    <row r="56" spans="1:24">
      <c r="B56" s="177" t="s">
        <v>3498</v>
      </c>
      <c r="C56" s="177" t="s">
        <v>2124</v>
      </c>
      <c r="D56" s="177" t="s">
        <v>1621</v>
      </c>
      <c r="E56" s="177">
        <v>2425149</v>
      </c>
      <c r="F56" s="189">
        <v>44771</v>
      </c>
      <c r="G56" s="177">
        <v>7.4389999999999998E-2</v>
      </c>
      <c r="H56" s="177"/>
      <c r="I56" s="177"/>
      <c r="J56" s="177"/>
      <c r="K56" s="177"/>
      <c r="L56" s="177"/>
      <c r="M56" s="177"/>
      <c r="N56" s="177"/>
      <c r="O56" s="177"/>
      <c r="P56" s="177"/>
      <c r="Q56" s="177"/>
      <c r="R56" s="189">
        <v>23484</v>
      </c>
      <c r="S56" s="177"/>
      <c r="T56" s="177" t="s">
        <v>2383</v>
      </c>
      <c r="U56" s="190" t="str">
        <f t="shared" si="12"/>
        <v>AmorosSerena,Ramon</v>
      </c>
      <c r="V56" s="177">
        <f t="shared" si="13"/>
        <v>7</v>
      </c>
      <c r="W56" s="177">
        <f t="shared" si="14"/>
        <v>2022</v>
      </c>
      <c r="X56" s="178" t="s">
        <v>266</v>
      </c>
    </row>
    <row r="57" spans="1:24">
      <c r="B57" s="177" t="s">
        <v>3503</v>
      </c>
      <c r="C57" s="177"/>
      <c r="D57" s="177" t="s">
        <v>3504</v>
      </c>
      <c r="E57" s="177">
        <v>7697330</v>
      </c>
      <c r="F57" s="189">
        <v>44771</v>
      </c>
      <c r="G57" s="177">
        <v>7.8710000000000002E-2</v>
      </c>
      <c r="H57" s="179"/>
      <c r="I57" s="179"/>
      <c r="J57" s="179"/>
      <c r="K57" s="179"/>
      <c r="L57" s="179"/>
      <c r="M57" s="179"/>
      <c r="N57" s="179"/>
      <c r="O57" s="179"/>
      <c r="P57" s="179"/>
      <c r="Q57" s="179"/>
      <c r="R57" s="192">
        <v>23145</v>
      </c>
      <c r="S57" s="179"/>
      <c r="T57" s="179" t="s">
        <v>2383</v>
      </c>
      <c r="U57" s="190" t="str">
        <f t="shared" si="12"/>
        <v>Malnati,Herve</v>
      </c>
      <c r="V57" s="179">
        <f t="shared" si="13"/>
        <v>7</v>
      </c>
      <c r="W57" s="179">
        <f t="shared" si="14"/>
        <v>2022</v>
      </c>
      <c r="X57" s="180" t="s">
        <v>266</v>
      </c>
    </row>
    <row r="58" spans="1:24">
      <c r="B58" s="179" t="s">
        <v>2436</v>
      </c>
      <c r="C58" s="179" t="s">
        <v>966</v>
      </c>
      <c r="D58" s="179" t="s">
        <v>786</v>
      </c>
      <c r="E58" s="179">
        <v>2152403</v>
      </c>
      <c r="F58" s="192">
        <v>44767</v>
      </c>
      <c r="G58" s="179">
        <v>9.196E-2</v>
      </c>
      <c r="H58" s="177"/>
      <c r="I58" s="177"/>
      <c r="J58" s="177"/>
      <c r="K58" s="177"/>
      <c r="L58" s="177"/>
      <c r="M58" s="177"/>
      <c r="N58" s="177"/>
      <c r="O58" s="177"/>
      <c r="P58" s="177"/>
      <c r="Q58" s="177"/>
      <c r="R58" s="189">
        <v>18840</v>
      </c>
      <c r="S58" s="177"/>
      <c r="T58" s="177" t="s">
        <v>2383</v>
      </c>
      <c r="U58" s="190" t="str">
        <f t="shared" si="12"/>
        <v>ArnauMarco,Maria Carmen</v>
      </c>
      <c r="V58" s="177">
        <f t="shared" si="13"/>
        <v>7</v>
      </c>
      <c r="W58" s="177">
        <f t="shared" si="14"/>
        <v>2022</v>
      </c>
      <c r="X58" s="178" t="s">
        <v>266</v>
      </c>
    </row>
    <row r="59" spans="1:24">
      <c r="B59" s="179" t="s">
        <v>3450</v>
      </c>
      <c r="C59" s="179" t="s">
        <v>3451</v>
      </c>
      <c r="D59" s="179" t="s">
        <v>1050</v>
      </c>
      <c r="E59" s="179">
        <v>2664891</v>
      </c>
      <c r="F59" s="192">
        <v>44770</v>
      </c>
      <c r="G59" s="179">
        <v>9.9519999999999997E-2</v>
      </c>
      <c r="H59" s="179"/>
      <c r="I59" s="179"/>
      <c r="J59" s="179"/>
      <c r="K59" s="179"/>
      <c r="L59" s="179"/>
      <c r="M59" s="179"/>
      <c r="N59" s="179"/>
      <c r="O59" s="179"/>
      <c r="P59" s="179"/>
      <c r="Q59" s="179"/>
      <c r="R59" s="192">
        <v>18014</v>
      </c>
      <c r="S59" s="179"/>
      <c r="T59" s="179" t="s">
        <v>2383</v>
      </c>
      <c r="U59" s="190" t="str">
        <f t="shared" si="12"/>
        <v>MontullAguaron,Francisco Javier</v>
      </c>
      <c r="V59" s="179">
        <f t="shared" si="13"/>
        <v>7</v>
      </c>
      <c r="W59" s="179">
        <f t="shared" si="14"/>
        <v>2022</v>
      </c>
      <c r="X59" s="180" t="s">
        <v>266</v>
      </c>
    </row>
    <row r="60" spans="1:24">
      <c r="B60" s="177" t="s">
        <v>1614</v>
      </c>
      <c r="C60" s="177" t="s">
        <v>288</v>
      </c>
      <c r="D60" s="177" t="s">
        <v>3482</v>
      </c>
      <c r="E60" s="177">
        <v>1860244</v>
      </c>
      <c r="F60" s="189">
        <v>44769</v>
      </c>
      <c r="G60" s="177">
        <v>0.10034999999999999</v>
      </c>
      <c r="H60" s="177"/>
      <c r="I60" s="177"/>
      <c r="J60" s="177"/>
      <c r="K60" s="177"/>
      <c r="L60" s="177"/>
      <c r="M60" s="177"/>
      <c r="N60" s="177"/>
      <c r="O60" s="177"/>
      <c r="P60" s="177"/>
      <c r="Q60" s="177"/>
      <c r="R60" s="189">
        <v>19501</v>
      </c>
      <c r="S60" s="177"/>
      <c r="T60" s="177" t="s">
        <v>3077</v>
      </c>
      <c r="U60" s="190" t="str">
        <f t="shared" si="12"/>
        <v>HiguerasOrtiz,Adolfo</v>
      </c>
      <c r="V60" s="177">
        <f t="shared" si="13"/>
        <v>7</v>
      </c>
      <c r="W60" s="177">
        <f t="shared" si="14"/>
        <v>2022</v>
      </c>
      <c r="X60" s="178" t="s">
        <v>2238</v>
      </c>
    </row>
    <row r="61" spans="1:24">
      <c r="B61" s="247" t="s">
        <v>2411</v>
      </c>
      <c r="C61" s="247" t="s">
        <v>3477</v>
      </c>
      <c r="D61" s="247" t="s">
        <v>3045</v>
      </c>
      <c r="E61" s="247">
        <v>186781</v>
      </c>
      <c r="F61" s="248">
        <v>44768</v>
      </c>
      <c r="G61" s="247">
        <v>0.13555</v>
      </c>
      <c r="H61" s="247"/>
      <c r="I61" s="247"/>
      <c r="J61" s="247"/>
      <c r="K61" s="247"/>
      <c r="L61" s="247"/>
      <c r="M61" s="247"/>
      <c r="N61" s="247"/>
      <c r="O61" s="247"/>
      <c r="P61" s="247"/>
      <c r="Q61" s="247"/>
      <c r="R61" s="248">
        <v>15476</v>
      </c>
      <c r="S61" s="247"/>
      <c r="T61" s="247" t="s">
        <v>3077</v>
      </c>
      <c r="U61" s="249" t="str">
        <f t="shared" si="12"/>
        <v>AsensiOsca,Blas</v>
      </c>
      <c r="V61" s="247">
        <f t="shared" si="13"/>
        <v>7</v>
      </c>
      <c r="W61" s="247">
        <f t="shared" si="14"/>
        <v>2022</v>
      </c>
      <c r="X61" s="250" t="s">
        <v>2238</v>
      </c>
    </row>
    <row r="62" spans="1:24">
      <c r="B62" s="179" t="s">
        <v>2546</v>
      </c>
      <c r="C62" s="179" t="s">
        <v>962</v>
      </c>
      <c r="D62" s="179" t="s">
        <v>88</v>
      </c>
      <c r="E62" s="179">
        <v>2266689</v>
      </c>
      <c r="F62" s="192">
        <v>44770</v>
      </c>
      <c r="G62" s="179">
        <v>0.14019999999999999</v>
      </c>
      <c r="H62" s="177"/>
      <c r="I62" s="177"/>
      <c r="J62" s="177"/>
      <c r="K62" s="177"/>
      <c r="L62" s="177"/>
      <c r="M62" s="177"/>
      <c r="N62" s="177"/>
      <c r="O62" s="177"/>
      <c r="P62" s="177"/>
      <c r="Q62" s="177"/>
      <c r="R62" s="189">
        <v>21753</v>
      </c>
      <c r="S62" s="177"/>
      <c r="T62" s="177" t="s">
        <v>1622</v>
      </c>
      <c r="U62" s="190" t="str">
        <f t="shared" si="12"/>
        <v>CaudetGarcia,Vicente</v>
      </c>
      <c r="V62" s="177">
        <f t="shared" si="13"/>
        <v>7</v>
      </c>
      <c r="W62" s="177">
        <f t="shared" si="14"/>
        <v>2022</v>
      </c>
      <c r="X62" s="178" t="s">
        <v>265</v>
      </c>
    </row>
    <row r="63" spans="1:24">
      <c r="B63" s="177" t="s">
        <v>3491</v>
      </c>
      <c r="C63" s="177" t="s">
        <v>2476</v>
      </c>
      <c r="D63" s="177" t="s">
        <v>2183</v>
      </c>
      <c r="E63" s="177">
        <v>2815943</v>
      </c>
      <c r="F63" s="189">
        <v>44770</v>
      </c>
      <c r="G63" s="177">
        <v>0.14054</v>
      </c>
      <c r="H63" s="179"/>
      <c r="I63" s="179"/>
      <c r="J63" s="179"/>
      <c r="K63" s="179"/>
      <c r="L63" s="179"/>
      <c r="M63" s="179"/>
      <c r="N63" s="179"/>
      <c r="O63" s="179"/>
      <c r="P63" s="179"/>
      <c r="Q63" s="179"/>
      <c r="R63" s="192">
        <v>26151</v>
      </c>
      <c r="S63" s="179"/>
      <c r="T63" s="179" t="s">
        <v>3468</v>
      </c>
      <c r="U63" s="190" t="str">
        <f t="shared" si="12"/>
        <v>del CerroLatre,Agustin</v>
      </c>
      <c r="V63" s="179">
        <f t="shared" si="13"/>
        <v>7</v>
      </c>
      <c r="W63" s="179">
        <f t="shared" si="14"/>
        <v>2022</v>
      </c>
      <c r="X63" s="180" t="s">
        <v>265</v>
      </c>
    </row>
    <row r="64" spans="1:24">
      <c r="B64" s="177" t="s">
        <v>2366</v>
      </c>
      <c r="C64" s="177" t="s">
        <v>66</v>
      </c>
      <c r="D64" s="177" t="s">
        <v>1621</v>
      </c>
      <c r="E64" s="177">
        <v>2310518</v>
      </c>
      <c r="F64" s="189">
        <v>44768</v>
      </c>
      <c r="G64" s="177">
        <v>0.15103</v>
      </c>
      <c r="H64" s="177"/>
      <c r="I64" s="177"/>
      <c r="J64" s="177"/>
      <c r="K64" s="177"/>
      <c r="L64" s="177"/>
      <c r="M64" s="177"/>
      <c r="N64" s="177"/>
      <c r="O64" s="177"/>
      <c r="P64" s="177"/>
      <c r="Q64" s="177"/>
      <c r="R64" s="189">
        <v>18790</v>
      </c>
      <c r="S64" s="177"/>
      <c r="T64" s="177" t="s">
        <v>3483</v>
      </c>
      <c r="U64" s="190" t="str">
        <f t="shared" si="12"/>
        <v>GimenoNavarro,Ramon</v>
      </c>
      <c r="V64" s="177">
        <f t="shared" si="13"/>
        <v>7</v>
      </c>
      <c r="W64" s="177">
        <f t="shared" si="14"/>
        <v>2022</v>
      </c>
      <c r="X64" s="178" t="s">
        <v>265</v>
      </c>
    </row>
    <row r="65" spans="1:24">
      <c r="B65" s="179" t="s">
        <v>2868</v>
      </c>
      <c r="C65" s="179" t="s">
        <v>1253</v>
      </c>
      <c r="D65" s="179" t="s">
        <v>3474</v>
      </c>
      <c r="E65" s="179">
        <v>2863254</v>
      </c>
      <c r="F65" s="192">
        <v>44768</v>
      </c>
      <c r="G65" s="179">
        <v>0.15375</v>
      </c>
      <c r="H65" s="179"/>
      <c r="I65" s="179"/>
      <c r="J65" s="179"/>
      <c r="K65" s="179"/>
      <c r="L65" s="179"/>
      <c r="M65" s="179"/>
      <c r="N65" s="179"/>
      <c r="O65" s="179"/>
      <c r="P65" s="179"/>
      <c r="Q65" s="179"/>
      <c r="R65" s="192">
        <v>29983</v>
      </c>
      <c r="S65" s="179"/>
      <c r="T65" s="179" t="s">
        <v>2383</v>
      </c>
      <c r="U65" s="190" t="str">
        <f t="shared" si="12"/>
        <v>GurreaAnton,Francisco Cayetano</v>
      </c>
      <c r="V65" s="179">
        <f t="shared" si="13"/>
        <v>7</v>
      </c>
      <c r="W65" s="179">
        <f t="shared" si="14"/>
        <v>2022</v>
      </c>
      <c r="X65" s="180" t="s">
        <v>266</v>
      </c>
    </row>
    <row r="66" spans="1:24">
      <c r="B66" s="179" t="s">
        <v>176</v>
      </c>
      <c r="C66" s="179" t="s">
        <v>3463</v>
      </c>
      <c r="D66" s="179" t="s">
        <v>991</v>
      </c>
      <c r="E66" s="179">
        <v>2270226</v>
      </c>
      <c r="F66" s="192">
        <v>44767</v>
      </c>
      <c r="G66" s="179">
        <v>0.17166000000000001</v>
      </c>
      <c r="H66" s="177"/>
      <c r="I66" s="177"/>
      <c r="J66" s="177"/>
      <c r="K66" s="177"/>
      <c r="L66" s="177"/>
      <c r="M66" s="177"/>
      <c r="N66" s="177"/>
      <c r="O66" s="177"/>
      <c r="P66" s="177"/>
      <c r="Q66" s="177"/>
      <c r="R66" s="189">
        <v>14644</v>
      </c>
      <c r="S66" s="177"/>
      <c r="T66" s="177" t="s">
        <v>2383</v>
      </c>
      <c r="U66" s="190" t="str">
        <f t="shared" si="12"/>
        <v>CamposBermejo,Jose</v>
      </c>
      <c r="V66" s="177">
        <f t="shared" si="13"/>
        <v>7</v>
      </c>
      <c r="W66" s="177">
        <f t="shared" si="14"/>
        <v>2022</v>
      </c>
      <c r="X66" s="178" t="s">
        <v>266</v>
      </c>
    </row>
    <row r="67" spans="1:24">
      <c r="B67" s="179" t="s">
        <v>3444</v>
      </c>
      <c r="C67" s="179" t="s">
        <v>1587</v>
      </c>
      <c r="D67" s="179" t="s">
        <v>1104</v>
      </c>
      <c r="E67" s="179">
        <v>9217126</v>
      </c>
      <c r="F67" s="192">
        <v>44769</v>
      </c>
      <c r="G67" s="179">
        <v>0.17607999999999999</v>
      </c>
      <c r="H67" s="179"/>
      <c r="I67" s="179"/>
      <c r="J67" s="179"/>
      <c r="K67" s="179"/>
      <c r="L67" s="179"/>
      <c r="M67" s="179"/>
      <c r="N67" s="179"/>
      <c r="O67" s="179"/>
      <c r="P67" s="179"/>
      <c r="Q67" s="179"/>
      <c r="R67" s="192">
        <v>23807</v>
      </c>
      <c r="S67" s="179"/>
      <c r="T67" s="179" t="s">
        <v>2383</v>
      </c>
      <c r="U67" s="190" t="str">
        <f t="shared" si="12"/>
        <v>PiñaJimenez,Jose Luis</v>
      </c>
      <c r="V67" s="179">
        <f t="shared" si="13"/>
        <v>7</v>
      </c>
      <c r="W67" s="179">
        <f t="shared" si="14"/>
        <v>2022</v>
      </c>
      <c r="X67" s="180" t="s">
        <v>266</v>
      </c>
    </row>
    <row r="68" spans="1:24">
      <c r="A68" s="202" t="str">
        <f>IF(OR(F68="",R68=""),"",IF((F68-R68)/12/30&lt;18,"Pediátrico","Adulto"))</f>
        <v>Adulto</v>
      </c>
      <c r="B68" s="177" t="s">
        <v>3450</v>
      </c>
      <c r="C68" s="177" t="s">
        <v>3451</v>
      </c>
      <c r="D68" s="177" t="s">
        <v>1050</v>
      </c>
      <c r="E68" s="177">
        <v>2664891</v>
      </c>
      <c r="F68" s="189">
        <v>44764</v>
      </c>
      <c r="G68" s="177">
        <v>0.17942</v>
      </c>
      <c r="H68" s="177"/>
      <c r="I68" s="177"/>
      <c r="J68" s="177"/>
      <c r="K68" s="177"/>
      <c r="L68" s="177"/>
      <c r="M68" s="177"/>
      <c r="N68" s="177"/>
      <c r="O68" s="177"/>
      <c r="P68" s="177"/>
      <c r="Q68" s="177"/>
      <c r="R68" s="189">
        <v>13697</v>
      </c>
      <c r="S68" s="177"/>
      <c r="T68" s="177" t="s">
        <v>2383</v>
      </c>
      <c r="U68" s="190" t="str">
        <f t="shared" si="12"/>
        <v>MontullAguaron,Francisco Javier</v>
      </c>
      <c r="V68" s="177">
        <f t="shared" si="13"/>
        <v>7</v>
      </c>
      <c r="W68" s="177">
        <f t="shared" si="14"/>
        <v>2022</v>
      </c>
      <c r="X68" s="178" t="s">
        <v>266</v>
      </c>
    </row>
    <row r="69" spans="1:24">
      <c r="B69" s="179" t="s">
        <v>3478</v>
      </c>
      <c r="C69" s="179" t="s">
        <v>3479</v>
      </c>
      <c r="D69" s="179" t="s">
        <v>3480</v>
      </c>
      <c r="E69" s="179">
        <v>2851790</v>
      </c>
      <c r="F69" s="192">
        <v>44768</v>
      </c>
      <c r="G69" s="179">
        <v>0.21725</v>
      </c>
      <c r="H69" s="179"/>
      <c r="I69" s="179"/>
      <c r="J69" s="179"/>
      <c r="K69" s="179"/>
      <c r="L69" s="179"/>
      <c r="M69" s="179"/>
      <c r="N69" s="179"/>
      <c r="O69" s="179"/>
      <c r="P69" s="179"/>
      <c r="Q69" s="179"/>
      <c r="R69" s="192">
        <v>22520</v>
      </c>
      <c r="S69" s="179"/>
      <c r="T69" s="179" t="s">
        <v>2383</v>
      </c>
      <c r="U69" s="190" t="str">
        <f t="shared" si="12"/>
        <v>GuaitaPiles,Juan F</v>
      </c>
      <c r="V69" s="179">
        <f t="shared" si="13"/>
        <v>7</v>
      </c>
      <c r="W69" s="179">
        <f t="shared" si="14"/>
        <v>2022</v>
      </c>
      <c r="X69" s="180" t="s">
        <v>266</v>
      </c>
    </row>
    <row r="70" spans="1:24">
      <c r="B70" s="177" t="s">
        <v>2366</v>
      </c>
      <c r="C70" s="177" t="s">
        <v>3462</v>
      </c>
      <c r="D70" s="177" t="s">
        <v>356</v>
      </c>
      <c r="E70" s="177">
        <v>1984648</v>
      </c>
      <c r="F70" s="189">
        <v>44767</v>
      </c>
      <c r="G70" s="177">
        <v>0.23072000000000001</v>
      </c>
      <c r="H70" s="177"/>
      <c r="I70" s="177"/>
      <c r="J70" s="177"/>
      <c r="K70" s="177"/>
      <c r="L70" s="177"/>
      <c r="M70" s="177"/>
      <c r="N70" s="177"/>
      <c r="O70" s="177"/>
      <c r="P70" s="177"/>
      <c r="Q70" s="177"/>
      <c r="R70" s="189">
        <v>23910</v>
      </c>
      <c r="S70" s="177"/>
      <c r="T70" s="177" t="s">
        <v>2309</v>
      </c>
      <c r="U70" s="190" t="str">
        <f t="shared" ref="U70:U105" si="15">CONCATENATE(B70,$A$591,C70,",",D70)</f>
        <v>GimenoPuchal,Manuel</v>
      </c>
      <c r="V70" s="177">
        <f t="shared" si="13"/>
        <v>7</v>
      </c>
      <c r="W70" s="177">
        <f t="shared" si="14"/>
        <v>2022</v>
      </c>
      <c r="X70" s="178" t="s">
        <v>2238</v>
      </c>
    </row>
    <row r="71" spans="1:24">
      <c r="B71" s="177" t="s">
        <v>2366</v>
      </c>
      <c r="C71" s="177" t="s">
        <v>677</v>
      </c>
      <c r="D71" s="177" t="s">
        <v>356</v>
      </c>
      <c r="E71" s="177">
        <v>3169407</v>
      </c>
      <c r="F71" s="189">
        <v>44770</v>
      </c>
      <c r="G71" s="177">
        <v>0.25720999999999999</v>
      </c>
      <c r="H71" s="179"/>
      <c r="I71" s="179"/>
      <c r="J71" s="179"/>
      <c r="K71" s="179"/>
      <c r="L71" s="179"/>
      <c r="M71" s="179"/>
      <c r="N71" s="179"/>
      <c r="O71" s="179"/>
      <c r="P71" s="179"/>
      <c r="Q71" s="179"/>
      <c r="R71" s="192">
        <v>20233</v>
      </c>
      <c r="S71" s="179"/>
      <c r="T71" s="179" t="s">
        <v>2962</v>
      </c>
      <c r="U71" s="190" t="str">
        <f t="shared" si="15"/>
        <v>GimenoAliaga,Manuel</v>
      </c>
      <c r="V71" s="179">
        <f t="shared" si="13"/>
        <v>7</v>
      </c>
      <c r="W71" s="179">
        <f t="shared" si="14"/>
        <v>2022</v>
      </c>
      <c r="X71" s="180" t="s">
        <v>2238</v>
      </c>
    </row>
    <row r="72" spans="1:24">
      <c r="B72" s="265" t="s">
        <v>3428</v>
      </c>
      <c r="C72" s="265" t="s">
        <v>3429</v>
      </c>
      <c r="D72" s="265" t="s">
        <v>2444</v>
      </c>
      <c r="E72" s="265">
        <v>4698759</v>
      </c>
      <c r="F72" s="266">
        <v>44767</v>
      </c>
      <c r="G72" s="265">
        <v>0.29550999999999999</v>
      </c>
      <c r="H72" s="265"/>
      <c r="I72" s="265"/>
      <c r="J72" s="265"/>
      <c r="K72" s="265"/>
      <c r="L72" s="265"/>
      <c r="M72" s="265"/>
      <c r="N72" s="265"/>
      <c r="O72" s="265"/>
      <c r="P72" s="265"/>
      <c r="Q72" s="265"/>
      <c r="R72" s="266">
        <v>23027</v>
      </c>
      <c r="S72" s="265"/>
      <c r="T72" s="265" t="s">
        <v>3077</v>
      </c>
      <c r="U72" s="249" t="str">
        <f t="shared" si="15"/>
        <v>PelayoMachancoses,Francisco J</v>
      </c>
      <c r="V72" s="265">
        <f t="shared" si="13"/>
        <v>7</v>
      </c>
      <c r="W72" s="265">
        <f t="shared" si="14"/>
        <v>2022</v>
      </c>
      <c r="X72" s="269" t="s">
        <v>2238</v>
      </c>
    </row>
    <row r="73" spans="1:24">
      <c r="B73" s="177" t="s">
        <v>548</v>
      </c>
      <c r="C73" s="177" t="s">
        <v>78</v>
      </c>
      <c r="D73" s="177" t="s">
        <v>991</v>
      </c>
      <c r="E73" s="177">
        <v>367564</v>
      </c>
      <c r="F73" s="189">
        <v>44768</v>
      </c>
      <c r="G73" s="177">
        <v>0.30570000000000003</v>
      </c>
      <c r="H73" s="179"/>
      <c r="I73" s="179"/>
      <c r="J73" s="179"/>
      <c r="K73" s="179"/>
      <c r="L73" s="179"/>
      <c r="M73" s="179"/>
      <c r="N73" s="179"/>
      <c r="O73" s="179"/>
      <c r="P73" s="179"/>
      <c r="Q73" s="179"/>
      <c r="R73" s="192">
        <v>27755</v>
      </c>
      <c r="S73" s="179"/>
      <c r="T73" s="179" t="s">
        <v>1126</v>
      </c>
      <c r="U73" s="190" t="str">
        <f t="shared" si="15"/>
        <v>BenitoBallester,Jose</v>
      </c>
      <c r="V73" s="179">
        <f t="shared" si="13"/>
        <v>7</v>
      </c>
      <c r="W73" s="179">
        <f t="shared" si="14"/>
        <v>2022</v>
      </c>
      <c r="X73" s="180" t="s">
        <v>265</v>
      </c>
    </row>
    <row r="74" spans="1:24">
      <c r="B74" s="177" t="s">
        <v>2255</v>
      </c>
      <c r="C74" s="177" t="s">
        <v>1001</v>
      </c>
      <c r="D74" s="177" t="s">
        <v>3475</v>
      </c>
      <c r="E74" s="177">
        <v>3557378</v>
      </c>
      <c r="F74" s="189">
        <v>44768</v>
      </c>
      <c r="G74" s="177">
        <v>0.34459000000000001</v>
      </c>
      <c r="H74" s="177"/>
      <c r="I74" s="177"/>
      <c r="J74" s="177"/>
      <c r="K74" s="177"/>
      <c r="L74" s="177"/>
      <c r="M74" s="177"/>
      <c r="N74" s="177"/>
      <c r="O74" s="177"/>
      <c r="P74" s="177"/>
      <c r="Q74" s="177"/>
      <c r="R74" s="189">
        <v>20175</v>
      </c>
      <c r="S74" s="177"/>
      <c r="T74" s="177" t="s">
        <v>1883</v>
      </c>
      <c r="U74" s="190" t="str">
        <f t="shared" si="15"/>
        <v>CaboPerez,Jorge Angel</v>
      </c>
      <c r="V74" s="177">
        <f t="shared" si="13"/>
        <v>7</v>
      </c>
      <c r="W74" s="177">
        <f t="shared" si="14"/>
        <v>2022</v>
      </c>
      <c r="X74" s="178" t="s">
        <v>265</v>
      </c>
    </row>
    <row r="75" spans="1:24">
      <c r="B75" s="177" t="s">
        <v>15</v>
      </c>
      <c r="C75" s="177" t="s">
        <v>2332</v>
      </c>
      <c r="D75" s="177" t="s">
        <v>635</v>
      </c>
      <c r="E75" s="177">
        <v>2407845</v>
      </c>
      <c r="F75" s="189">
        <v>44770</v>
      </c>
      <c r="G75" s="177">
        <v>0.37833</v>
      </c>
      <c r="H75" s="179"/>
      <c r="I75" s="179"/>
      <c r="J75" s="179"/>
      <c r="K75" s="179"/>
      <c r="L75" s="179"/>
      <c r="M75" s="179"/>
      <c r="N75" s="179"/>
      <c r="O75" s="179"/>
      <c r="P75" s="179"/>
      <c r="Q75" s="179"/>
      <c r="R75" s="192">
        <v>12701</v>
      </c>
      <c r="S75" s="179"/>
      <c r="T75" s="179" t="s">
        <v>1883</v>
      </c>
      <c r="U75" s="190" t="str">
        <f t="shared" si="15"/>
        <v>MorenoAlbiach,Enrique</v>
      </c>
      <c r="V75" s="179">
        <f t="shared" si="13"/>
        <v>7</v>
      </c>
      <c r="W75" s="179">
        <f t="shared" si="14"/>
        <v>2022</v>
      </c>
      <c r="X75" s="180" t="s">
        <v>265</v>
      </c>
    </row>
    <row r="76" spans="1:24">
      <c r="B76" s="179" t="s">
        <v>3417</v>
      </c>
      <c r="C76" s="179" t="s">
        <v>3286</v>
      </c>
      <c r="D76" s="179" t="s">
        <v>3287</v>
      </c>
      <c r="E76" s="179">
        <v>3202601</v>
      </c>
      <c r="F76" s="192">
        <v>44770</v>
      </c>
      <c r="G76" s="179">
        <v>0.38868000000000003</v>
      </c>
      <c r="H76" s="177"/>
      <c r="I76" s="177"/>
      <c r="J76" s="177"/>
      <c r="K76" s="177"/>
      <c r="L76" s="177"/>
      <c r="M76" s="177"/>
      <c r="N76" s="177"/>
      <c r="O76" s="177"/>
      <c r="P76" s="177"/>
      <c r="Q76" s="177"/>
      <c r="R76" s="189">
        <v>23029</v>
      </c>
      <c r="S76" s="177"/>
      <c r="T76" s="177" t="s">
        <v>107</v>
      </c>
      <c r="U76" s="190" t="str">
        <f t="shared" si="15"/>
        <v>VallterraMusoles,M Julia</v>
      </c>
      <c r="V76" s="177">
        <f t="shared" si="13"/>
        <v>7</v>
      </c>
      <c r="W76" s="177">
        <f t="shared" si="14"/>
        <v>2022</v>
      </c>
      <c r="X76" s="178" t="s">
        <v>265</v>
      </c>
    </row>
    <row r="77" spans="1:24">
      <c r="B77" s="179" t="s">
        <v>1587</v>
      </c>
      <c r="C77" s="179" t="s">
        <v>1759</v>
      </c>
      <c r="D77" s="179" t="s">
        <v>989</v>
      </c>
      <c r="E77" s="179">
        <v>3640428</v>
      </c>
      <c r="F77" s="192">
        <v>44769</v>
      </c>
      <c r="G77" s="179">
        <v>0.41152</v>
      </c>
      <c r="H77" s="179"/>
      <c r="I77" s="179"/>
      <c r="J77" s="179"/>
      <c r="K77" s="179"/>
      <c r="L77" s="179"/>
      <c r="M77" s="179"/>
      <c r="N77" s="179"/>
      <c r="O77" s="179"/>
      <c r="P77" s="179"/>
      <c r="Q77" s="179"/>
      <c r="R77" s="192">
        <v>16202</v>
      </c>
      <c r="S77" s="179"/>
      <c r="T77" s="179" t="s">
        <v>1635</v>
      </c>
      <c r="U77" s="190" t="str">
        <f t="shared" si="15"/>
        <v>JimenezMartin,Mateo</v>
      </c>
      <c r="V77" s="179">
        <f t="shared" si="13"/>
        <v>7</v>
      </c>
      <c r="W77" s="179">
        <f t="shared" si="14"/>
        <v>2022</v>
      </c>
      <c r="X77" s="180" t="s">
        <v>265</v>
      </c>
    </row>
    <row r="78" spans="1:24">
      <c r="B78" s="177" t="s">
        <v>962</v>
      </c>
      <c r="C78" s="177" t="s">
        <v>962</v>
      </c>
      <c r="D78" s="177" t="s">
        <v>1238</v>
      </c>
      <c r="E78" s="177">
        <v>3315538</v>
      </c>
      <c r="F78" s="189">
        <v>44769</v>
      </c>
      <c r="G78" s="177">
        <v>0.45373000000000002</v>
      </c>
      <c r="H78" s="177"/>
      <c r="I78" s="177"/>
      <c r="J78" s="177"/>
      <c r="K78" s="177"/>
      <c r="L78" s="177"/>
      <c r="M78" s="177"/>
      <c r="N78" s="177"/>
      <c r="O78" s="177"/>
      <c r="P78" s="177"/>
      <c r="Q78" s="177"/>
      <c r="R78" s="189">
        <v>20302</v>
      </c>
      <c r="S78" s="177"/>
      <c r="T78" s="177" t="s">
        <v>2383</v>
      </c>
      <c r="U78" s="190" t="str">
        <f t="shared" si="15"/>
        <v>GarciaGarcia,Angel</v>
      </c>
      <c r="V78" s="177">
        <f t="shared" si="13"/>
        <v>7</v>
      </c>
      <c r="W78" s="177">
        <f t="shared" si="14"/>
        <v>2022</v>
      </c>
      <c r="X78" s="178" t="s">
        <v>266</v>
      </c>
    </row>
    <row r="79" spans="1:24">
      <c r="B79" s="177" t="s">
        <v>962</v>
      </c>
      <c r="C79" s="177" t="s">
        <v>3510</v>
      </c>
      <c r="D79" s="177" t="s">
        <v>28</v>
      </c>
      <c r="E79" s="177">
        <v>3366933</v>
      </c>
      <c r="F79" s="189">
        <v>44772</v>
      </c>
      <c r="G79" s="177">
        <v>0.49329000000000001</v>
      </c>
      <c r="H79" s="179"/>
      <c r="I79" s="179"/>
      <c r="J79" s="179"/>
      <c r="K79" s="179"/>
      <c r="L79" s="179"/>
      <c r="M79" s="179"/>
      <c r="N79" s="179"/>
      <c r="O79" s="179"/>
      <c r="P79" s="179"/>
      <c r="Q79" s="179"/>
      <c r="R79" s="192">
        <v>17052</v>
      </c>
      <c r="S79" s="179"/>
      <c r="T79" s="179" t="s">
        <v>2383</v>
      </c>
      <c r="U79" s="190" t="str">
        <f t="shared" si="15"/>
        <v>GarciaAvivar,Josefa</v>
      </c>
      <c r="V79" s="179">
        <f t="shared" si="13"/>
        <v>7</v>
      </c>
      <c r="W79" s="179">
        <f t="shared" si="14"/>
        <v>2022</v>
      </c>
      <c r="X79" s="180" t="s">
        <v>266</v>
      </c>
    </row>
    <row r="80" spans="1:24">
      <c r="B80" s="177" t="s">
        <v>288</v>
      </c>
      <c r="C80" s="177" t="s">
        <v>62</v>
      </c>
      <c r="D80" s="177" t="s">
        <v>369</v>
      </c>
      <c r="E80" s="177">
        <v>2426255</v>
      </c>
      <c r="F80" s="189">
        <v>44768</v>
      </c>
      <c r="G80" s="177">
        <v>0.50146000000000002</v>
      </c>
      <c r="H80" s="177"/>
      <c r="I80" s="177"/>
      <c r="J80" s="177"/>
      <c r="K80" s="177"/>
      <c r="L80" s="177"/>
      <c r="M80" s="177"/>
      <c r="N80" s="177"/>
      <c r="O80" s="177"/>
      <c r="P80" s="177"/>
      <c r="Q80" s="177"/>
      <c r="R80" s="189">
        <v>26046</v>
      </c>
      <c r="S80" s="177"/>
      <c r="T80" s="177" t="s">
        <v>2383</v>
      </c>
      <c r="U80" s="190" t="str">
        <f t="shared" si="15"/>
        <v>OrtizJacinto,Alejandro</v>
      </c>
      <c r="V80" s="177">
        <f t="shared" si="13"/>
        <v>7</v>
      </c>
      <c r="W80" s="177">
        <f t="shared" si="14"/>
        <v>2022</v>
      </c>
      <c r="X80" s="178" t="s">
        <v>266</v>
      </c>
    </row>
    <row r="81" spans="1:25">
      <c r="B81" s="179" t="s">
        <v>1837</v>
      </c>
      <c r="C81" s="179" t="s">
        <v>856</v>
      </c>
      <c r="D81" s="179" t="s">
        <v>2047</v>
      </c>
      <c r="E81" s="179">
        <v>2190592</v>
      </c>
      <c r="F81" s="192">
        <v>44767</v>
      </c>
      <c r="G81" s="179">
        <v>0.52683999999999997</v>
      </c>
      <c r="H81" s="179"/>
      <c r="I81" s="179"/>
      <c r="J81" s="179"/>
      <c r="K81" s="179"/>
      <c r="L81" s="179"/>
      <c r="M81" s="179"/>
      <c r="N81" s="179"/>
      <c r="O81" s="179"/>
      <c r="P81" s="179"/>
      <c r="Q81" s="179"/>
      <c r="R81" s="192">
        <v>19229</v>
      </c>
      <c r="S81" s="179"/>
      <c r="T81" s="179" t="s">
        <v>2383</v>
      </c>
      <c r="U81" s="190" t="str">
        <f t="shared" si="15"/>
        <v>RodriguezGomez,Federico</v>
      </c>
      <c r="V81" s="179">
        <f t="shared" si="13"/>
        <v>7</v>
      </c>
      <c r="W81" s="179">
        <f t="shared" si="14"/>
        <v>2022</v>
      </c>
      <c r="X81" s="180" t="s">
        <v>266</v>
      </c>
    </row>
    <row r="82" spans="1:25">
      <c r="B82" s="179" t="s">
        <v>2164</v>
      </c>
      <c r="C82" s="179" t="s">
        <v>308</v>
      </c>
      <c r="D82" s="179" t="s">
        <v>68</v>
      </c>
      <c r="E82" s="179">
        <v>3595373</v>
      </c>
      <c r="F82" s="192">
        <v>44773</v>
      </c>
      <c r="G82" s="179">
        <v>0.59804000000000002</v>
      </c>
      <c r="H82" s="177"/>
      <c r="I82" s="177"/>
      <c r="J82" s="177"/>
      <c r="K82" s="177"/>
      <c r="L82" s="177"/>
      <c r="M82" s="177"/>
      <c r="N82" s="177"/>
      <c r="O82" s="177"/>
      <c r="P82" s="177"/>
      <c r="Q82" s="177"/>
      <c r="R82" s="189">
        <v>11694</v>
      </c>
      <c r="S82" s="177"/>
      <c r="T82" s="177" t="s">
        <v>2383</v>
      </c>
      <c r="U82" s="190" t="str">
        <f t="shared" si="15"/>
        <v>AragoMontañana,Juan</v>
      </c>
      <c r="V82" s="177">
        <f t="shared" si="13"/>
        <v>7</v>
      </c>
      <c r="W82" s="177">
        <f t="shared" si="14"/>
        <v>2022</v>
      </c>
      <c r="X82" s="178" t="s">
        <v>266</v>
      </c>
    </row>
    <row r="83" spans="1:25">
      <c r="B83" s="177" t="s">
        <v>35</v>
      </c>
      <c r="C83" s="177" t="s">
        <v>35</v>
      </c>
      <c r="D83" s="177" t="s">
        <v>68</v>
      </c>
      <c r="E83" s="177">
        <v>3593893</v>
      </c>
      <c r="F83" s="189">
        <v>44767</v>
      </c>
      <c r="G83" s="177">
        <v>0.61324999999999996</v>
      </c>
      <c r="H83" s="179"/>
      <c r="I83" s="179"/>
      <c r="J83" s="179"/>
      <c r="K83" s="179"/>
      <c r="L83" s="179"/>
      <c r="M83" s="179"/>
      <c r="N83" s="179"/>
      <c r="O83" s="179"/>
      <c r="P83" s="179"/>
      <c r="Q83" s="179"/>
      <c r="R83" s="192">
        <v>14685</v>
      </c>
      <c r="S83" s="179"/>
      <c r="T83" s="179" t="s">
        <v>2383</v>
      </c>
      <c r="U83" s="190" t="str">
        <f t="shared" si="15"/>
        <v>LozanoLozano,Juan</v>
      </c>
      <c r="V83" s="179">
        <f t="shared" si="13"/>
        <v>7</v>
      </c>
      <c r="W83" s="179">
        <f t="shared" si="14"/>
        <v>2022</v>
      </c>
      <c r="X83" s="180" t="s">
        <v>266</v>
      </c>
    </row>
    <row r="84" spans="1:25">
      <c r="A84" s="202" t="str">
        <f>IF(OR(F84="",R84=""),"",IF((F84-R84)/12/30&lt;18,"Pediátrico","Adulto"))</f>
        <v>Adulto</v>
      </c>
      <c r="B84" s="179" t="s">
        <v>634</v>
      </c>
      <c r="C84" s="179" t="s">
        <v>3461</v>
      </c>
      <c r="D84" s="179" t="s">
        <v>88</v>
      </c>
      <c r="E84" s="179">
        <v>2345280</v>
      </c>
      <c r="F84" s="192">
        <v>44767</v>
      </c>
      <c r="G84" s="179">
        <v>0.76102000000000003</v>
      </c>
      <c r="H84" s="177"/>
      <c r="I84" s="177"/>
      <c r="J84" s="177"/>
      <c r="K84" s="177"/>
      <c r="L84" s="177"/>
      <c r="M84" s="177"/>
      <c r="N84" s="177"/>
      <c r="O84" s="177"/>
      <c r="P84" s="177"/>
      <c r="Q84" s="177"/>
      <c r="R84" s="189">
        <v>22325</v>
      </c>
      <c r="S84" s="177"/>
      <c r="T84" s="177" t="s">
        <v>2962</v>
      </c>
      <c r="U84" s="190" t="str">
        <f t="shared" si="15"/>
        <v>GilWillemsz,Vicente</v>
      </c>
      <c r="V84" s="177">
        <f t="shared" si="13"/>
        <v>7</v>
      </c>
      <c r="W84" s="177">
        <f t="shared" si="14"/>
        <v>2022</v>
      </c>
      <c r="X84" s="178" t="s">
        <v>2238</v>
      </c>
    </row>
    <row r="85" spans="1:25">
      <c r="B85" s="179" t="s">
        <v>962</v>
      </c>
      <c r="C85" s="179" t="s">
        <v>3493</v>
      </c>
      <c r="D85" s="179" t="s">
        <v>3042</v>
      </c>
      <c r="E85" s="179">
        <v>160383</v>
      </c>
      <c r="F85" s="192">
        <v>44770</v>
      </c>
      <c r="G85" s="179">
        <v>0.78571999999999997</v>
      </c>
      <c r="H85" s="179"/>
      <c r="I85" s="179"/>
      <c r="J85" s="179"/>
      <c r="K85" s="179"/>
      <c r="L85" s="179"/>
      <c r="M85" s="179"/>
      <c r="N85" s="179"/>
      <c r="O85" s="179"/>
      <c r="P85" s="179"/>
      <c r="Q85" s="179"/>
      <c r="R85" s="192">
        <v>27199</v>
      </c>
      <c r="S85" s="179"/>
      <c r="T85" s="179" t="s">
        <v>2309</v>
      </c>
      <c r="U85" s="190" t="str">
        <f t="shared" si="15"/>
        <v>GarciaAlcala,Maria del Carmen</v>
      </c>
      <c r="V85" s="179">
        <f t="shared" si="13"/>
        <v>7</v>
      </c>
      <c r="W85" s="179">
        <f t="shared" si="14"/>
        <v>2022</v>
      </c>
      <c r="X85" s="180" t="s">
        <v>2238</v>
      </c>
    </row>
    <row r="86" spans="1:25">
      <c r="B86" s="177" t="s">
        <v>634</v>
      </c>
      <c r="C86" s="177" t="s">
        <v>1001</v>
      </c>
      <c r="D86" s="177" t="s">
        <v>3486</v>
      </c>
      <c r="E86" s="177">
        <v>2927396</v>
      </c>
      <c r="F86" s="189">
        <v>44769</v>
      </c>
      <c r="G86" s="177">
        <v>0.78605999999999998</v>
      </c>
      <c r="H86" s="177"/>
      <c r="I86" s="177"/>
      <c r="J86" s="177"/>
      <c r="K86" s="177"/>
      <c r="L86" s="177"/>
      <c r="M86" s="177"/>
      <c r="N86" s="177"/>
      <c r="O86" s="177"/>
      <c r="P86" s="177"/>
      <c r="Q86" s="177"/>
      <c r="R86" s="189">
        <v>16496</v>
      </c>
      <c r="S86" s="177"/>
      <c r="T86" s="177" t="s">
        <v>2309</v>
      </c>
      <c r="U86" s="190" t="str">
        <f t="shared" si="15"/>
        <v>GilPerez,Emerano</v>
      </c>
      <c r="V86" s="177">
        <f t="shared" si="13"/>
        <v>7</v>
      </c>
      <c r="W86" s="177">
        <f t="shared" si="14"/>
        <v>2022</v>
      </c>
      <c r="X86" s="178" t="s">
        <v>2238</v>
      </c>
    </row>
    <row r="87" spans="1:25">
      <c r="A87" s="202" t="str">
        <f>IF(OR(F87="",R87=""),"",IF((F87-R87)/12/30&lt;18,"Pediátrico","Adulto"))</f>
        <v>Adulto</v>
      </c>
      <c r="B87" s="179" t="s">
        <v>3454</v>
      </c>
      <c r="C87" s="179"/>
      <c r="D87" s="179" t="s">
        <v>3455</v>
      </c>
      <c r="E87" s="179">
        <v>5390546</v>
      </c>
      <c r="F87" s="192">
        <v>44765</v>
      </c>
      <c r="G87" s="179">
        <v>1.19641</v>
      </c>
      <c r="H87" s="179"/>
      <c r="I87" s="179"/>
      <c r="J87" s="179"/>
      <c r="K87" s="179"/>
      <c r="L87" s="179"/>
      <c r="M87" s="179"/>
      <c r="N87" s="179"/>
      <c r="O87" s="179"/>
      <c r="P87" s="179"/>
      <c r="Q87" s="179"/>
      <c r="R87" s="192">
        <v>22327</v>
      </c>
      <c r="S87" s="179"/>
      <c r="T87" s="179" t="s">
        <v>2309</v>
      </c>
      <c r="U87" s="190" t="str">
        <f t="shared" si="15"/>
        <v>Winbolt,Leonard Sunley</v>
      </c>
      <c r="V87" s="179">
        <f t="shared" ref="V87:V105" si="16">MONTH(F85)</f>
        <v>7</v>
      </c>
      <c r="W87" s="179">
        <f t="shared" ref="W87:W105" si="17">YEAR(F85)</f>
        <v>2022</v>
      </c>
      <c r="X87" s="180" t="s">
        <v>2238</v>
      </c>
    </row>
    <row r="88" spans="1:25">
      <c r="B88" s="247" t="s">
        <v>3469</v>
      </c>
      <c r="C88" s="247" t="s">
        <v>2187</v>
      </c>
      <c r="D88" s="247" t="s">
        <v>20</v>
      </c>
      <c r="E88" s="247">
        <v>3269240</v>
      </c>
      <c r="F88" s="248">
        <v>44768</v>
      </c>
      <c r="G88" s="247">
        <v>1.2082599999999999</v>
      </c>
      <c r="H88" s="265"/>
      <c r="I88" s="265"/>
      <c r="J88" s="265"/>
      <c r="K88" s="265"/>
      <c r="L88" s="265"/>
      <c r="M88" s="265"/>
      <c r="N88" s="265"/>
      <c r="O88" s="265"/>
      <c r="P88" s="265"/>
      <c r="Q88" s="265"/>
      <c r="R88" s="266">
        <v>38860</v>
      </c>
      <c r="S88" s="265"/>
      <c r="T88" s="265" t="s">
        <v>2309</v>
      </c>
      <c r="U88" s="249" t="str">
        <f t="shared" si="15"/>
        <v>CascalesPeñafiel,Antonio</v>
      </c>
      <c r="V88" s="265">
        <f t="shared" si="16"/>
        <v>7</v>
      </c>
      <c r="W88" s="265">
        <f t="shared" si="17"/>
        <v>2022</v>
      </c>
      <c r="X88" s="269" t="s">
        <v>2238</v>
      </c>
    </row>
    <row r="89" spans="1:25">
      <c r="B89" s="179" t="s">
        <v>332</v>
      </c>
      <c r="C89" s="179" t="s">
        <v>3488</v>
      </c>
      <c r="D89" s="179" t="s">
        <v>1859</v>
      </c>
      <c r="E89" s="179">
        <v>1939480</v>
      </c>
      <c r="F89" s="192">
        <v>44770</v>
      </c>
      <c r="G89" s="179" t="s">
        <v>3330</v>
      </c>
      <c r="H89" s="179"/>
      <c r="I89" s="179"/>
      <c r="J89" s="179"/>
      <c r="K89" s="179"/>
      <c r="L89" s="179"/>
      <c r="M89" s="179"/>
      <c r="N89" s="179"/>
      <c r="O89" s="179"/>
      <c r="P89" s="179"/>
      <c r="Q89" s="179"/>
      <c r="R89" s="192">
        <v>21043</v>
      </c>
      <c r="S89" s="179"/>
      <c r="T89" s="179" t="s">
        <v>3468</v>
      </c>
      <c r="U89" s="190" t="str">
        <f t="shared" si="15"/>
        <v>AlbertGuerola,Jose Rafael</v>
      </c>
      <c r="V89" s="179">
        <f t="shared" si="16"/>
        <v>7</v>
      </c>
      <c r="W89" s="179">
        <f t="shared" si="17"/>
        <v>2022</v>
      </c>
      <c r="X89" s="179" t="s">
        <v>265</v>
      </c>
      <c r="Y89" s="187"/>
    </row>
    <row r="90" spans="1:25">
      <c r="A90" s="154" t="str">
        <f>IF(OR(F90="",R90=""),"",IF((F90-R90)/12/30&lt;18,"Pediátrico","Adulto"))</f>
        <v>Adulto</v>
      </c>
      <c r="B90" s="177" t="s">
        <v>35</v>
      </c>
      <c r="C90" s="177" t="s">
        <v>285</v>
      </c>
      <c r="D90" s="177" t="s">
        <v>98</v>
      </c>
      <c r="E90" s="177">
        <v>3159597</v>
      </c>
      <c r="F90" s="189">
        <v>44763</v>
      </c>
      <c r="G90" s="177" t="s">
        <v>3331</v>
      </c>
      <c r="H90" s="177"/>
      <c r="I90" s="177"/>
      <c r="J90" s="177"/>
      <c r="K90" s="177"/>
      <c r="L90" s="177"/>
      <c r="M90" s="177"/>
      <c r="N90" s="177"/>
      <c r="O90" s="177"/>
      <c r="P90" s="177"/>
      <c r="Q90" s="177"/>
      <c r="R90" s="189">
        <v>26080</v>
      </c>
      <c r="S90" s="177"/>
      <c r="T90" s="177" t="s">
        <v>3499</v>
      </c>
      <c r="U90" s="190" t="str">
        <f t="shared" si="15"/>
        <v>LozanoDefez,Felipe</v>
      </c>
      <c r="V90" s="177">
        <f t="shared" si="16"/>
        <v>7</v>
      </c>
      <c r="W90" s="177">
        <f t="shared" si="17"/>
        <v>2022</v>
      </c>
      <c r="X90" s="177" t="s">
        <v>265</v>
      </c>
      <c r="Y90" s="187"/>
    </row>
    <row r="91" spans="1:25">
      <c r="B91" s="177" t="s">
        <v>3470</v>
      </c>
      <c r="C91" s="177" t="s">
        <v>3470</v>
      </c>
      <c r="D91" s="177" t="s">
        <v>375</v>
      </c>
      <c r="E91" s="177">
        <v>4695405</v>
      </c>
      <c r="F91" s="189">
        <v>44768</v>
      </c>
      <c r="G91" s="177" t="s">
        <v>3331</v>
      </c>
      <c r="H91" s="179"/>
      <c r="I91" s="179"/>
      <c r="J91" s="179"/>
      <c r="K91" s="179"/>
      <c r="L91" s="179"/>
      <c r="M91" s="179"/>
      <c r="N91" s="179"/>
      <c r="O91" s="179"/>
      <c r="P91" s="179"/>
      <c r="Q91" s="179"/>
      <c r="R91" s="192">
        <v>27370</v>
      </c>
      <c r="S91" s="179"/>
      <c r="T91" s="179" t="s">
        <v>1883</v>
      </c>
      <c r="U91" s="190" t="str">
        <f t="shared" si="15"/>
        <v>LlacerLlacer,Alberto</v>
      </c>
      <c r="V91" s="179">
        <f t="shared" si="16"/>
        <v>7</v>
      </c>
      <c r="W91" s="179">
        <f t="shared" si="17"/>
        <v>2022</v>
      </c>
      <c r="X91" s="179" t="s">
        <v>265</v>
      </c>
      <c r="Y91" s="187"/>
    </row>
    <row r="92" spans="1:25">
      <c r="B92" s="179" t="s">
        <v>3471</v>
      </c>
      <c r="C92" s="179" t="s">
        <v>3472</v>
      </c>
      <c r="D92" s="179" t="s">
        <v>322</v>
      </c>
      <c r="E92" s="179">
        <v>3523627</v>
      </c>
      <c r="F92" s="192">
        <v>44768</v>
      </c>
      <c r="G92" s="179" t="s">
        <v>3331</v>
      </c>
      <c r="H92" s="177"/>
      <c r="I92" s="177"/>
      <c r="J92" s="177"/>
      <c r="K92" s="177"/>
      <c r="L92" s="177"/>
      <c r="M92" s="177"/>
      <c r="N92" s="177"/>
      <c r="O92" s="177"/>
      <c r="P92" s="177"/>
      <c r="Q92" s="177"/>
      <c r="R92" s="189">
        <v>19560</v>
      </c>
      <c r="S92" s="177"/>
      <c r="T92" s="177" t="s">
        <v>2383</v>
      </c>
      <c r="U92" s="190" t="str">
        <f t="shared" si="15"/>
        <v>LiebanaVencesla,Juana</v>
      </c>
      <c r="V92" s="177">
        <f t="shared" si="16"/>
        <v>7</v>
      </c>
      <c r="W92" s="177">
        <f t="shared" si="17"/>
        <v>2022</v>
      </c>
      <c r="X92" s="177" t="s">
        <v>266</v>
      </c>
      <c r="Y92" s="187"/>
    </row>
    <row r="93" spans="1:25">
      <c r="B93" s="177" t="s">
        <v>2463</v>
      </c>
      <c r="C93" s="177"/>
      <c r="D93" s="177" t="s">
        <v>3492</v>
      </c>
      <c r="E93" s="177">
        <v>4583961</v>
      </c>
      <c r="F93" s="189">
        <v>44770</v>
      </c>
      <c r="G93" s="177" t="s">
        <v>3331</v>
      </c>
      <c r="H93" s="179"/>
      <c r="I93" s="179"/>
      <c r="J93" s="179"/>
      <c r="K93" s="179"/>
      <c r="L93" s="179"/>
      <c r="M93" s="179"/>
      <c r="N93" s="179"/>
      <c r="O93" s="179"/>
      <c r="P93" s="179"/>
      <c r="Q93" s="179"/>
      <c r="R93" s="192">
        <v>19656</v>
      </c>
      <c r="S93" s="179"/>
      <c r="T93" s="179" t="s">
        <v>2383</v>
      </c>
      <c r="U93" s="190" t="str">
        <f t="shared" si="15"/>
        <v>Jackson,Christopher</v>
      </c>
      <c r="V93" s="179">
        <f t="shared" si="16"/>
        <v>7</v>
      </c>
      <c r="W93" s="179">
        <f t="shared" si="17"/>
        <v>2022</v>
      </c>
      <c r="X93" s="179" t="s">
        <v>266</v>
      </c>
      <c r="Y93" s="187"/>
    </row>
    <row r="94" spans="1:25">
      <c r="B94" s="177" t="s">
        <v>1093</v>
      </c>
      <c r="C94" s="177" t="s">
        <v>2384</v>
      </c>
      <c r="D94" s="177" t="s">
        <v>88</v>
      </c>
      <c r="E94" s="177">
        <v>1899186</v>
      </c>
      <c r="F94" s="189">
        <v>44771</v>
      </c>
      <c r="G94" s="177" t="s">
        <v>3331</v>
      </c>
      <c r="H94" s="177"/>
      <c r="I94" s="177"/>
      <c r="J94" s="177"/>
      <c r="K94" s="177"/>
      <c r="L94" s="177"/>
      <c r="M94" s="177"/>
      <c r="N94" s="177"/>
      <c r="O94" s="177"/>
      <c r="P94" s="177"/>
      <c r="Q94" s="177"/>
      <c r="R94" s="189">
        <v>13994</v>
      </c>
      <c r="S94" s="177"/>
      <c r="T94" s="177" t="s">
        <v>2383</v>
      </c>
      <c r="U94" s="190" t="str">
        <f t="shared" si="15"/>
        <v>BañulsBataller,Vicente</v>
      </c>
      <c r="V94" s="177">
        <f t="shared" si="16"/>
        <v>7</v>
      </c>
      <c r="W94" s="177">
        <f t="shared" si="17"/>
        <v>2022</v>
      </c>
      <c r="X94" s="177" t="s">
        <v>266</v>
      </c>
      <c r="Y94" s="187"/>
    </row>
    <row r="95" spans="1:25">
      <c r="B95" s="179" t="s">
        <v>2084</v>
      </c>
      <c r="C95" s="179" t="s">
        <v>1001</v>
      </c>
      <c r="D95" s="179" t="s">
        <v>3476</v>
      </c>
      <c r="E95" s="179">
        <v>2289277</v>
      </c>
      <c r="F95" s="192">
        <v>44768</v>
      </c>
      <c r="G95" s="179" t="s">
        <v>3333</v>
      </c>
      <c r="H95" s="179"/>
      <c r="I95" s="179"/>
      <c r="J95" s="179"/>
      <c r="K95" s="179"/>
      <c r="L95" s="179"/>
      <c r="M95" s="179"/>
      <c r="N95" s="179"/>
      <c r="O95" s="179"/>
      <c r="P95" s="179"/>
      <c r="Q95" s="179"/>
      <c r="R95" s="192">
        <v>15410</v>
      </c>
      <c r="S95" s="179"/>
      <c r="T95" s="179" t="s">
        <v>2383</v>
      </c>
      <c r="U95" s="190" t="str">
        <f t="shared" si="15"/>
        <v>GutierrezPerez,Yvonne</v>
      </c>
      <c r="V95" s="179">
        <f t="shared" si="16"/>
        <v>7</v>
      </c>
      <c r="W95" s="179">
        <f t="shared" si="17"/>
        <v>2022</v>
      </c>
      <c r="X95" s="179" t="s">
        <v>266</v>
      </c>
      <c r="Y95" s="187"/>
    </row>
    <row r="96" spans="1:25">
      <c r="B96" s="177" t="s">
        <v>3485</v>
      </c>
      <c r="C96" s="177" t="s">
        <v>1819</v>
      </c>
      <c r="D96" s="177" t="s">
        <v>356</v>
      </c>
      <c r="E96" s="177">
        <v>2210166</v>
      </c>
      <c r="F96" s="189">
        <v>44769</v>
      </c>
      <c r="G96" s="177" t="s">
        <v>3333</v>
      </c>
      <c r="H96" s="177"/>
      <c r="I96" s="177"/>
      <c r="J96" s="177"/>
      <c r="K96" s="177"/>
      <c r="L96" s="177"/>
      <c r="M96" s="177"/>
      <c r="N96" s="177"/>
      <c r="O96" s="177"/>
      <c r="P96" s="177"/>
      <c r="Q96" s="177"/>
      <c r="R96" s="189">
        <v>23056</v>
      </c>
      <c r="S96" s="177"/>
      <c r="T96" s="177" t="s">
        <v>2383</v>
      </c>
      <c r="U96" s="190" t="str">
        <f t="shared" si="15"/>
        <v>GalanRincon,Manuel</v>
      </c>
      <c r="V96" s="177">
        <f t="shared" si="16"/>
        <v>7</v>
      </c>
      <c r="W96" s="177">
        <f t="shared" si="17"/>
        <v>2022</v>
      </c>
      <c r="X96" s="177" t="s">
        <v>266</v>
      </c>
      <c r="Y96" s="187"/>
    </row>
    <row r="97" spans="2:25">
      <c r="B97" s="179" t="s">
        <v>751</v>
      </c>
      <c r="C97" s="179" t="s">
        <v>948</v>
      </c>
      <c r="D97" s="179" t="s">
        <v>2302</v>
      </c>
      <c r="E97" s="179">
        <v>2277458</v>
      </c>
      <c r="F97" s="192">
        <v>44771</v>
      </c>
      <c r="G97" s="179" t="s">
        <v>3333</v>
      </c>
      <c r="H97" s="179"/>
      <c r="I97" s="179"/>
      <c r="J97" s="179"/>
      <c r="K97" s="179"/>
      <c r="L97" s="179"/>
      <c r="M97" s="179"/>
      <c r="N97" s="179"/>
      <c r="O97" s="179"/>
      <c r="P97" s="179"/>
      <c r="Q97" s="179"/>
      <c r="R97" s="192">
        <v>20276</v>
      </c>
      <c r="S97" s="179"/>
      <c r="T97" s="179" t="s">
        <v>2383</v>
      </c>
      <c r="U97" s="190" t="str">
        <f t="shared" si="15"/>
        <v>ZaragozaMartinez,Ismael</v>
      </c>
      <c r="V97" s="179">
        <f t="shared" si="16"/>
        <v>7</v>
      </c>
      <c r="W97" s="179">
        <f t="shared" si="17"/>
        <v>2022</v>
      </c>
      <c r="X97" s="179" t="s">
        <v>266</v>
      </c>
      <c r="Y97" s="187"/>
    </row>
    <row r="98" spans="2:25">
      <c r="B98" s="265" t="s">
        <v>1262</v>
      </c>
      <c r="C98" s="265" t="s">
        <v>1276</v>
      </c>
      <c r="D98" s="265" t="s">
        <v>3501</v>
      </c>
      <c r="E98" s="265">
        <v>4650815</v>
      </c>
      <c r="F98" s="266">
        <v>44771</v>
      </c>
      <c r="G98" s="265" t="s">
        <v>3333</v>
      </c>
      <c r="H98" s="265"/>
      <c r="I98" s="265"/>
      <c r="J98" s="265"/>
      <c r="K98" s="265"/>
      <c r="L98" s="265"/>
      <c r="M98" s="265"/>
      <c r="N98" s="265"/>
      <c r="O98" s="265"/>
      <c r="P98" s="265"/>
      <c r="Q98" s="265"/>
      <c r="R98" s="266">
        <v>12486</v>
      </c>
      <c r="S98" s="265"/>
      <c r="T98" s="265" t="s">
        <v>2962</v>
      </c>
      <c r="U98" s="249" t="str">
        <f t="shared" si="15"/>
        <v>DiazAlvarez,Eladio</v>
      </c>
      <c r="V98" s="265">
        <f t="shared" si="16"/>
        <v>7</v>
      </c>
      <c r="W98" s="265">
        <f t="shared" si="17"/>
        <v>2022</v>
      </c>
      <c r="X98" s="265" t="s">
        <v>2238</v>
      </c>
      <c r="Y98" s="187"/>
    </row>
    <row r="99" spans="2:25">
      <c r="B99" s="179" t="s">
        <v>3502</v>
      </c>
      <c r="C99" s="179" t="s">
        <v>2452</v>
      </c>
      <c r="D99" s="179" t="s">
        <v>715</v>
      </c>
      <c r="E99" s="179">
        <v>2809455</v>
      </c>
      <c r="F99" s="192">
        <v>44771</v>
      </c>
      <c r="G99" s="179" t="s">
        <v>3333</v>
      </c>
      <c r="H99" s="179"/>
      <c r="I99" s="179"/>
      <c r="J99" s="179"/>
      <c r="K99" s="179"/>
      <c r="L99" s="179"/>
      <c r="M99" s="179"/>
      <c r="N99" s="179"/>
      <c r="O99" s="179"/>
      <c r="P99" s="179"/>
      <c r="Q99" s="179"/>
      <c r="R99" s="192">
        <v>24845</v>
      </c>
      <c r="S99" s="179"/>
      <c r="T99" s="179" t="s">
        <v>2383</v>
      </c>
      <c r="U99" s="190" t="str">
        <f t="shared" si="15"/>
        <v>RelRibes,Amparo</v>
      </c>
      <c r="V99" s="179">
        <f t="shared" si="16"/>
        <v>7</v>
      </c>
      <c r="W99" s="179">
        <f t="shared" si="17"/>
        <v>2022</v>
      </c>
      <c r="X99" s="179" t="s">
        <v>266</v>
      </c>
      <c r="Y99" s="187"/>
    </row>
    <row r="100" spans="2:25">
      <c r="B100" s="247" t="s">
        <v>3505</v>
      </c>
      <c r="C100" s="247" t="s">
        <v>3506</v>
      </c>
      <c r="D100" s="247" t="s">
        <v>1889</v>
      </c>
      <c r="E100" s="247">
        <v>3198793</v>
      </c>
      <c r="F100" s="248">
        <v>44771</v>
      </c>
      <c r="G100" s="247" t="s">
        <v>3333</v>
      </c>
      <c r="H100" s="265"/>
      <c r="I100" s="265"/>
      <c r="J100" s="265"/>
      <c r="K100" s="265"/>
      <c r="L100" s="265"/>
      <c r="M100" s="265"/>
      <c r="N100" s="265"/>
      <c r="O100" s="265"/>
      <c r="P100" s="265"/>
      <c r="Q100" s="265"/>
      <c r="R100" s="266">
        <v>19149</v>
      </c>
      <c r="S100" s="265"/>
      <c r="T100" s="265" t="s">
        <v>2383</v>
      </c>
      <c r="U100" s="249" t="str">
        <f t="shared" si="15"/>
        <v>Gomez CambroneroCarranza,Miguel Angel</v>
      </c>
      <c r="V100" s="265">
        <f t="shared" si="16"/>
        <v>7</v>
      </c>
      <c r="W100" s="265">
        <f t="shared" si="17"/>
        <v>2022</v>
      </c>
      <c r="X100" s="265" t="s">
        <v>266</v>
      </c>
      <c r="Y100" s="187"/>
    </row>
    <row r="101" spans="2:25">
      <c r="B101" s="179" t="s">
        <v>77</v>
      </c>
      <c r="C101" s="179" t="s">
        <v>1759</v>
      </c>
      <c r="D101" s="179" t="s">
        <v>3509</v>
      </c>
      <c r="E101" s="179">
        <v>2604066</v>
      </c>
      <c r="F101" s="192">
        <v>44772</v>
      </c>
      <c r="G101" s="179" t="s">
        <v>3333</v>
      </c>
      <c r="H101" s="179"/>
      <c r="I101" s="179"/>
      <c r="J101" s="179"/>
      <c r="K101" s="179"/>
      <c r="L101" s="179"/>
      <c r="M101" s="179"/>
      <c r="N101" s="179"/>
      <c r="O101" s="179"/>
      <c r="P101" s="179"/>
      <c r="Q101" s="179"/>
      <c r="R101" s="192">
        <v>11877</v>
      </c>
      <c r="S101" s="179"/>
      <c r="T101" s="179" t="s">
        <v>3511</v>
      </c>
      <c r="U101" s="190" t="str">
        <f t="shared" si="15"/>
        <v>TorresMartin,Juan Manuel</v>
      </c>
      <c r="V101" s="179">
        <f t="shared" si="16"/>
        <v>7</v>
      </c>
      <c r="W101" s="179">
        <f t="shared" si="17"/>
        <v>2022</v>
      </c>
      <c r="X101" s="179" t="s">
        <v>266</v>
      </c>
      <c r="Y101" s="187"/>
    </row>
    <row r="102" spans="2:25">
      <c r="B102" s="177" t="s">
        <v>82</v>
      </c>
      <c r="C102" s="177" t="s">
        <v>937</v>
      </c>
      <c r="D102" s="177" t="s">
        <v>131</v>
      </c>
      <c r="E102" s="177">
        <v>196789</v>
      </c>
      <c r="F102" s="189">
        <v>44773</v>
      </c>
      <c r="G102" s="177" t="s">
        <v>3333</v>
      </c>
      <c r="H102" s="177"/>
      <c r="I102" s="177"/>
      <c r="J102" s="177"/>
      <c r="K102" s="177"/>
      <c r="L102" s="177"/>
      <c r="M102" s="177"/>
      <c r="N102" s="177"/>
      <c r="O102" s="177"/>
      <c r="P102" s="177"/>
      <c r="Q102" s="177"/>
      <c r="R102" s="189">
        <v>16809</v>
      </c>
      <c r="S102" s="177"/>
      <c r="T102" s="177" t="s">
        <v>2383</v>
      </c>
      <c r="U102" s="190" t="str">
        <f t="shared" si="15"/>
        <v>PascualSales,Salvador</v>
      </c>
      <c r="V102" s="177">
        <f t="shared" si="16"/>
        <v>7</v>
      </c>
      <c r="W102" s="177">
        <f t="shared" si="17"/>
        <v>2022</v>
      </c>
      <c r="X102" s="177" t="s">
        <v>266</v>
      </c>
      <c r="Y102" s="187"/>
    </row>
    <row r="103" spans="2:25">
      <c r="B103" s="179" t="s">
        <v>3512</v>
      </c>
      <c r="C103" s="179" t="s">
        <v>3513</v>
      </c>
      <c r="D103" s="179" t="s">
        <v>3514</v>
      </c>
      <c r="E103" s="179">
        <v>11452962</v>
      </c>
      <c r="F103" s="192">
        <v>44773</v>
      </c>
      <c r="G103" s="179" t="s">
        <v>3333</v>
      </c>
      <c r="H103" s="179"/>
      <c r="I103" s="179"/>
      <c r="J103" s="179"/>
      <c r="K103" s="179"/>
      <c r="L103" s="179"/>
      <c r="M103" s="179"/>
      <c r="N103" s="179"/>
      <c r="O103" s="179"/>
      <c r="P103" s="179"/>
      <c r="Q103" s="179"/>
      <c r="R103" s="192">
        <v>17441</v>
      </c>
      <c r="S103" s="179"/>
      <c r="T103" s="179" t="s">
        <v>2383</v>
      </c>
      <c r="U103" s="190" t="str">
        <f t="shared" si="15"/>
        <v>MohamadIbrahim,Mahgool</v>
      </c>
      <c r="V103" s="179">
        <f t="shared" si="16"/>
        <v>7</v>
      </c>
      <c r="W103" s="179">
        <f t="shared" si="17"/>
        <v>2022</v>
      </c>
      <c r="X103" s="179" t="s">
        <v>266</v>
      </c>
      <c r="Y103" s="187"/>
    </row>
    <row r="104" spans="2:25">
      <c r="B104" s="177" t="s">
        <v>962</v>
      </c>
      <c r="C104" s="177" t="s">
        <v>321</v>
      </c>
      <c r="D104" s="177" t="s">
        <v>3515</v>
      </c>
      <c r="E104" s="177">
        <v>5317047</v>
      </c>
      <c r="F104" s="189">
        <v>44773</v>
      </c>
      <c r="G104" s="189" t="s">
        <v>3333</v>
      </c>
      <c r="H104" s="177"/>
      <c r="I104" s="177"/>
      <c r="J104" s="177"/>
      <c r="K104" s="177"/>
      <c r="L104" s="177"/>
      <c r="M104" s="177"/>
      <c r="N104" s="177"/>
      <c r="O104" s="177"/>
      <c r="P104" s="177"/>
      <c r="Q104" s="177"/>
      <c r="R104" s="189">
        <v>24524</v>
      </c>
      <c r="S104" s="177"/>
      <c r="T104" s="177" t="s">
        <v>2383</v>
      </c>
      <c r="U104" s="190" t="str">
        <f t="shared" si="15"/>
        <v>GarciaEsteban,Oscar Javier</v>
      </c>
      <c r="V104" s="177">
        <f t="shared" si="16"/>
        <v>7</v>
      </c>
      <c r="W104" s="177">
        <f t="shared" si="17"/>
        <v>2022</v>
      </c>
      <c r="X104" s="177" t="s">
        <v>266</v>
      </c>
      <c r="Y104" s="187"/>
    </row>
    <row r="105" spans="2:25">
      <c r="B105" s="247" t="s">
        <v>3516</v>
      </c>
      <c r="C105" s="247" t="s">
        <v>116</v>
      </c>
      <c r="D105" s="247" t="s">
        <v>2183</v>
      </c>
      <c r="E105" s="247">
        <v>2870228</v>
      </c>
      <c r="F105" s="248">
        <v>44773</v>
      </c>
      <c r="G105" s="248" t="s">
        <v>3333</v>
      </c>
      <c r="H105" s="247"/>
      <c r="I105" s="247"/>
      <c r="J105" s="247"/>
      <c r="K105" s="247"/>
      <c r="L105" s="247"/>
      <c r="M105" s="247"/>
      <c r="N105" s="247"/>
      <c r="O105" s="247"/>
      <c r="P105" s="247"/>
      <c r="Q105" s="247"/>
      <c r="R105" s="248">
        <v>19663</v>
      </c>
      <c r="S105" s="247"/>
      <c r="T105" s="247" t="s">
        <v>2383</v>
      </c>
      <c r="U105" s="249" t="str">
        <f t="shared" si="15"/>
        <v>PovedaSerrano,Agustin</v>
      </c>
      <c r="V105" s="247">
        <f t="shared" si="16"/>
        <v>7</v>
      </c>
      <c r="W105" s="247">
        <f t="shared" si="17"/>
        <v>2022</v>
      </c>
      <c r="X105" s="247" t="s">
        <v>266</v>
      </c>
      <c r="Y105" s="187"/>
    </row>
  </sheetData>
  <sortState ref="A6:G105">
    <sortCondition ref="G6"/>
  </sortState>
  <conditionalFormatting sqref="G6:G9 G23:G46 G62:G105">
    <cfRule type="cellIs" dxfId="6" priority="6" operator="greaterThan">
      <formula>3</formula>
    </cfRule>
  </conditionalFormatting>
  <conditionalFormatting sqref="G10:G11 G16:G21">
    <cfRule type="cellIs" dxfId="5" priority="5" operator="greaterThan">
      <formula>3</formula>
    </cfRule>
  </conditionalFormatting>
  <conditionalFormatting sqref="G12:G15">
    <cfRule type="cellIs" dxfId="4" priority="4" operator="greaterThan">
      <formula>3</formula>
    </cfRule>
  </conditionalFormatting>
  <conditionalFormatting sqref="G22 G47:G55">
    <cfRule type="cellIs" dxfId="3" priority="3" operator="greaterThan">
      <formula>3</formula>
    </cfRule>
  </conditionalFormatting>
  <conditionalFormatting sqref="G56:G59">
    <cfRule type="cellIs" dxfId="2" priority="2" operator="greaterThan">
      <formula>3</formula>
    </cfRule>
  </conditionalFormatting>
  <conditionalFormatting sqref="G60:G61">
    <cfRule type="cellIs" dxfId="1" priority="1" operator="greaterThan">
      <formula>3</formula>
    </cfRule>
  </conditionalFormatting>
  <pageMargins left="0.7" right="0.7" top="0.75" bottom="0.75" header="0.3" footer="0.3"/>
  <pageSetup paperSize="9"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45"/>
  <sheetViews>
    <sheetView tabSelected="1" topLeftCell="A22" workbookViewId="0">
      <selection activeCell="L33" sqref="L33"/>
    </sheetView>
  </sheetViews>
  <sheetFormatPr baseColWidth="10" defaultRowHeight="15"/>
  <sheetData>
    <row r="1" spans="1:11" ht="60">
      <c r="A1" s="279" t="s">
        <v>396</v>
      </c>
      <c r="B1" s="279" t="s">
        <v>0</v>
      </c>
      <c r="C1" s="279" t="s">
        <v>1</v>
      </c>
      <c r="D1" s="279" t="s">
        <v>2</v>
      </c>
      <c r="E1" s="279" t="s">
        <v>10</v>
      </c>
      <c r="F1" s="279" t="s">
        <v>3</v>
      </c>
      <c r="G1" s="279" t="s">
        <v>1143</v>
      </c>
      <c r="H1" s="279" t="s">
        <v>76</v>
      </c>
      <c r="I1" s="280" t="s">
        <v>84</v>
      </c>
      <c r="J1" s="280" t="s">
        <v>264</v>
      </c>
    </row>
    <row r="2" spans="1:11">
      <c r="B2" t="s">
        <v>1287</v>
      </c>
      <c r="C2" t="s">
        <v>1288</v>
      </c>
      <c r="D2" t="s">
        <v>82</v>
      </c>
      <c r="E2">
        <v>2849235</v>
      </c>
      <c r="F2" s="13">
        <v>44777</v>
      </c>
      <c r="J2" t="s">
        <v>3330</v>
      </c>
    </row>
    <row r="3" spans="1:11">
      <c r="B3" t="s">
        <v>918</v>
      </c>
      <c r="C3" t="s">
        <v>919</v>
      </c>
      <c r="D3" t="s">
        <v>1946</v>
      </c>
      <c r="E3">
        <v>4335475</v>
      </c>
      <c r="F3" s="13">
        <v>44776</v>
      </c>
      <c r="J3" t="s">
        <v>3330</v>
      </c>
    </row>
    <row r="4" spans="1:11">
      <c r="B4" t="s">
        <v>1187</v>
      </c>
      <c r="C4" t="s">
        <v>3517</v>
      </c>
      <c r="D4" t="s">
        <v>1787</v>
      </c>
      <c r="E4">
        <v>7607229</v>
      </c>
      <c r="F4" s="13">
        <v>44774</v>
      </c>
      <c r="J4" t="s">
        <v>3330</v>
      </c>
    </row>
    <row r="5" spans="1:11">
      <c r="B5" t="s">
        <v>1672</v>
      </c>
      <c r="C5" t="s">
        <v>343</v>
      </c>
      <c r="D5" t="s">
        <v>3518</v>
      </c>
      <c r="E5">
        <v>3362051</v>
      </c>
      <c r="F5" s="13">
        <v>44777</v>
      </c>
      <c r="G5">
        <v>2271</v>
      </c>
      <c r="J5" t="s">
        <v>3332</v>
      </c>
      <c r="K5" t="s">
        <v>3548</v>
      </c>
    </row>
    <row r="6" spans="1:11">
      <c r="B6" t="s">
        <v>189</v>
      </c>
      <c r="C6" t="s">
        <v>663</v>
      </c>
      <c r="D6" t="s">
        <v>2012</v>
      </c>
      <c r="E6">
        <v>1858417</v>
      </c>
      <c r="F6" s="13">
        <v>44775</v>
      </c>
      <c r="G6">
        <v>1651</v>
      </c>
      <c r="J6" t="s">
        <v>3332</v>
      </c>
    </row>
    <row r="7" spans="1:11">
      <c r="B7" t="s">
        <v>1060</v>
      </c>
      <c r="C7" t="s">
        <v>3519</v>
      </c>
      <c r="D7" t="s">
        <v>991</v>
      </c>
      <c r="E7">
        <v>2860587</v>
      </c>
      <c r="F7" s="13">
        <v>44782</v>
      </c>
      <c r="J7" t="s">
        <v>3331</v>
      </c>
    </row>
    <row r="8" spans="1:11">
      <c r="B8" t="s">
        <v>962</v>
      </c>
      <c r="C8" t="s">
        <v>1972</v>
      </c>
      <c r="D8" t="s">
        <v>356</v>
      </c>
      <c r="E8">
        <v>3376458</v>
      </c>
      <c r="F8" s="13">
        <v>44782</v>
      </c>
      <c r="J8" t="s">
        <v>3331</v>
      </c>
    </row>
    <row r="9" spans="1:11">
      <c r="B9" t="s">
        <v>962</v>
      </c>
      <c r="C9" t="s">
        <v>3520</v>
      </c>
      <c r="D9" t="s">
        <v>377</v>
      </c>
      <c r="E9">
        <v>4526349</v>
      </c>
      <c r="F9" s="13">
        <v>44782</v>
      </c>
      <c r="J9" t="s">
        <v>3331</v>
      </c>
    </row>
    <row r="10" spans="1:11">
      <c r="B10" t="s">
        <v>3521</v>
      </c>
      <c r="C10" t="s">
        <v>1743</v>
      </c>
      <c r="D10" t="s">
        <v>1238</v>
      </c>
      <c r="E10">
        <v>5341932</v>
      </c>
      <c r="F10" s="13">
        <v>44781</v>
      </c>
      <c r="J10" t="s">
        <v>3331</v>
      </c>
    </row>
    <row r="11" spans="1:11">
      <c r="B11" t="s">
        <v>2313</v>
      </c>
      <c r="C11" t="s">
        <v>1662</v>
      </c>
      <c r="D11" t="s">
        <v>1725</v>
      </c>
      <c r="E11">
        <v>2364531</v>
      </c>
      <c r="F11" s="13">
        <v>44781</v>
      </c>
      <c r="J11" t="s">
        <v>3331</v>
      </c>
    </row>
    <row r="12" spans="1:11">
      <c r="B12" t="s">
        <v>66</v>
      </c>
      <c r="C12" t="s">
        <v>3522</v>
      </c>
      <c r="D12" t="s">
        <v>519</v>
      </c>
      <c r="E12">
        <v>2882436</v>
      </c>
      <c r="F12" s="13">
        <v>44779</v>
      </c>
      <c r="J12" t="s">
        <v>3331</v>
      </c>
    </row>
    <row r="13" spans="1:11">
      <c r="B13" t="s">
        <v>3523</v>
      </c>
      <c r="C13" t="s">
        <v>3524</v>
      </c>
      <c r="D13" t="s">
        <v>2405</v>
      </c>
      <c r="E13">
        <v>2580420</v>
      </c>
      <c r="F13" s="13">
        <v>44778</v>
      </c>
      <c r="J13" t="s">
        <v>3331</v>
      </c>
    </row>
    <row r="14" spans="1:11">
      <c r="B14" t="s">
        <v>960</v>
      </c>
      <c r="C14" t="s">
        <v>3525</v>
      </c>
      <c r="D14" t="s">
        <v>1596</v>
      </c>
      <c r="E14">
        <v>2350268</v>
      </c>
      <c r="F14" s="13">
        <v>44778</v>
      </c>
      <c r="J14" t="s">
        <v>3331</v>
      </c>
    </row>
    <row r="15" spans="1:11">
      <c r="B15" t="s">
        <v>3526</v>
      </c>
      <c r="D15" t="s">
        <v>3527</v>
      </c>
      <c r="E15">
        <v>5297830</v>
      </c>
      <c r="F15" s="13">
        <v>44778</v>
      </c>
      <c r="J15" t="s">
        <v>3331</v>
      </c>
    </row>
    <row r="16" spans="1:11">
      <c r="B16" t="s">
        <v>3528</v>
      </c>
      <c r="D16" t="s">
        <v>3529</v>
      </c>
      <c r="E16">
        <v>5450663</v>
      </c>
      <c r="F16" s="13">
        <v>44778</v>
      </c>
      <c r="J16" t="s">
        <v>3331</v>
      </c>
    </row>
    <row r="17" spans="1:11">
      <c r="B17" t="s">
        <v>3530</v>
      </c>
      <c r="C17" t="s">
        <v>915</v>
      </c>
      <c r="D17" t="s">
        <v>2639</v>
      </c>
      <c r="E17">
        <v>2273580</v>
      </c>
      <c r="F17" s="13">
        <v>44778</v>
      </c>
      <c r="J17" t="s">
        <v>3331</v>
      </c>
    </row>
    <row r="18" spans="1:11">
      <c r="B18" t="s">
        <v>1060</v>
      </c>
      <c r="C18" t="s">
        <v>3531</v>
      </c>
      <c r="D18" t="s">
        <v>54</v>
      </c>
      <c r="E18">
        <v>3819550</v>
      </c>
      <c r="F18" s="13">
        <v>44778</v>
      </c>
      <c r="J18" t="s">
        <v>3331</v>
      </c>
    </row>
    <row r="19" spans="1:11">
      <c r="B19" t="s">
        <v>1940</v>
      </c>
      <c r="C19" t="s">
        <v>3532</v>
      </c>
      <c r="D19" t="s">
        <v>28</v>
      </c>
      <c r="E19">
        <v>2831432</v>
      </c>
      <c r="F19" s="13">
        <v>44777</v>
      </c>
      <c r="J19" t="s">
        <v>3331</v>
      </c>
    </row>
    <row r="20" spans="1:11">
      <c r="B20" t="s">
        <v>3444</v>
      </c>
      <c r="C20" t="s">
        <v>3444</v>
      </c>
      <c r="D20" t="s">
        <v>20</v>
      </c>
      <c r="E20">
        <v>2415525</v>
      </c>
      <c r="F20" s="13">
        <v>44777</v>
      </c>
      <c r="J20" t="s">
        <v>3331</v>
      </c>
    </row>
    <row r="21" spans="1:11">
      <c r="B21" t="s">
        <v>77</v>
      </c>
      <c r="C21" t="s">
        <v>3533</v>
      </c>
      <c r="D21" t="s">
        <v>1104</v>
      </c>
      <c r="E21">
        <v>3587729</v>
      </c>
      <c r="F21" s="13">
        <v>44782</v>
      </c>
      <c r="J21" t="s">
        <v>3333</v>
      </c>
    </row>
    <row r="22" spans="1:11">
      <c r="B22" t="s">
        <v>2080</v>
      </c>
      <c r="C22" t="s">
        <v>3534</v>
      </c>
      <c r="D22" t="s">
        <v>68</v>
      </c>
      <c r="E22">
        <v>2354649</v>
      </c>
      <c r="F22" s="13">
        <v>44775</v>
      </c>
      <c r="J22" t="s">
        <v>3333</v>
      </c>
    </row>
    <row r="23" spans="1:11">
      <c r="B23" t="s">
        <v>1262</v>
      </c>
      <c r="C23" t="s">
        <v>77</v>
      </c>
      <c r="D23" t="s">
        <v>715</v>
      </c>
      <c r="E23">
        <v>4178237</v>
      </c>
      <c r="F23" s="13">
        <v>44774</v>
      </c>
      <c r="J23" t="s">
        <v>3333</v>
      </c>
    </row>
    <row r="24" spans="1:11">
      <c r="B24" t="s">
        <v>3535</v>
      </c>
      <c r="C24" t="s">
        <v>3536</v>
      </c>
      <c r="D24" t="s">
        <v>3537</v>
      </c>
      <c r="E24">
        <v>12371692</v>
      </c>
      <c r="F24" s="13">
        <v>44774</v>
      </c>
      <c r="J24" t="s">
        <v>3333</v>
      </c>
    </row>
    <row r="25" spans="1:11">
      <c r="B25" t="s">
        <v>948</v>
      </c>
      <c r="C25" t="s">
        <v>1133</v>
      </c>
      <c r="D25" t="s">
        <v>546</v>
      </c>
      <c r="E25">
        <v>2353288</v>
      </c>
      <c r="F25" s="13">
        <v>44774</v>
      </c>
      <c r="J25" t="s">
        <v>3333</v>
      </c>
    </row>
    <row r="26" spans="1:11">
      <c r="A26" s="251"/>
      <c r="B26" s="251" t="s">
        <v>784</v>
      </c>
      <c r="C26" s="251" t="s">
        <v>962</v>
      </c>
      <c r="D26" s="251" t="s">
        <v>88</v>
      </c>
      <c r="E26" s="251">
        <v>3519471</v>
      </c>
      <c r="F26" s="281">
        <v>44774</v>
      </c>
      <c r="G26" s="251"/>
      <c r="H26" s="251"/>
      <c r="I26" s="251"/>
      <c r="J26" s="251" t="s">
        <v>3333</v>
      </c>
    </row>
    <row r="27" spans="1:11">
      <c r="B27" s="282" t="s">
        <v>1187</v>
      </c>
      <c r="C27" s="282" t="s">
        <v>3517</v>
      </c>
      <c r="D27" s="282" t="s">
        <v>1787</v>
      </c>
      <c r="E27" s="282">
        <v>7607229</v>
      </c>
      <c r="F27" s="13">
        <v>44785</v>
      </c>
      <c r="J27" t="s">
        <v>3330</v>
      </c>
    </row>
    <row r="28" spans="1:11">
      <c r="B28" s="282" t="s">
        <v>1872</v>
      </c>
      <c r="C28" s="282" t="s">
        <v>948</v>
      </c>
      <c r="D28" s="282" t="s">
        <v>88</v>
      </c>
      <c r="E28" s="282">
        <v>3080041</v>
      </c>
      <c r="F28" s="13">
        <v>44785</v>
      </c>
      <c r="J28" t="s">
        <v>3332</v>
      </c>
    </row>
    <row r="29" spans="1:11">
      <c r="B29" s="282" t="s">
        <v>681</v>
      </c>
      <c r="C29" s="282" t="s">
        <v>1250</v>
      </c>
      <c r="D29" s="282" t="s">
        <v>131</v>
      </c>
      <c r="E29" s="282">
        <v>2914085</v>
      </c>
      <c r="F29" s="13">
        <v>44783</v>
      </c>
      <c r="G29">
        <v>1157</v>
      </c>
      <c r="J29" t="s">
        <v>3331</v>
      </c>
      <c r="K29" t="s">
        <v>3548</v>
      </c>
    </row>
    <row r="30" spans="1:11">
      <c r="B30" s="282" t="s">
        <v>3538</v>
      </c>
      <c r="C30" s="282" t="s">
        <v>2456</v>
      </c>
      <c r="D30" s="282" t="s">
        <v>1104</v>
      </c>
      <c r="E30" s="282">
        <v>2289036</v>
      </c>
      <c r="F30" s="13">
        <v>44792</v>
      </c>
      <c r="G30">
        <v>1369</v>
      </c>
      <c r="J30" t="s">
        <v>3333</v>
      </c>
      <c r="K30" t="s">
        <v>3548</v>
      </c>
    </row>
    <row r="31" spans="1:11">
      <c r="B31" s="282" t="s">
        <v>2982</v>
      </c>
      <c r="C31" s="282" t="s">
        <v>1009</v>
      </c>
      <c r="D31" s="282" t="s">
        <v>375</v>
      </c>
      <c r="E31" s="282">
        <v>174881</v>
      </c>
      <c r="F31" s="13">
        <v>44791</v>
      </c>
      <c r="J31" t="s">
        <v>3333</v>
      </c>
    </row>
    <row r="32" spans="1:11">
      <c r="B32" s="282" t="s">
        <v>2435</v>
      </c>
      <c r="C32" s="282" t="s">
        <v>948</v>
      </c>
      <c r="D32" s="282" t="s">
        <v>1621</v>
      </c>
      <c r="E32" s="282">
        <v>3737453</v>
      </c>
      <c r="F32" s="13">
        <v>44791</v>
      </c>
      <c r="J32" t="s">
        <v>3333</v>
      </c>
    </row>
    <row r="33" spans="2:11">
      <c r="B33" s="282" t="s">
        <v>3539</v>
      </c>
      <c r="C33" s="282" t="s">
        <v>948</v>
      </c>
      <c r="D33" s="282" t="s">
        <v>2382</v>
      </c>
      <c r="E33" s="282">
        <v>106788</v>
      </c>
      <c r="F33" s="13">
        <v>44790</v>
      </c>
      <c r="J33" t="s">
        <v>3333</v>
      </c>
    </row>
    <row r="34" spans="2:11">
      <c r="B34" s="282" t="s">
        <v>3540</v>
      </c>
      <c r="D34" s="282" t="s">
        <v>3541</v>
      </c>
      <c r="E34" s="282">
        <v>13621933</v>
      </c>
      <c r="F34" s="13">
        <v>44789</v>
      </c>
      <c r="G34">
        <v>1301</v>
      </c>
      <c r="J34" t="s">
        <v>3333</v>
      </c>
      <c r="K34" t="s">
        <v>3548</v>
      </c>
    </row>
    <row r="35" spans="2:11">
      <c r="B35" s="282" t="s">
        <v>3542</v>
      </c>
      <c r="C35" t="s">
        <v>948</v>
      </c>
      <c r="D35" s="282" t="s">
        <v>991</v>
      </c>
      <c r="E35" s="282">
        <v>2298712</v>
      </c>
      <c r="F35" s="13">
        <v>44783</v>
      </c>
      <c r="J35" t="s">
        <v>3333</v>
      </c>
    </row>
    <row r="36" spans="2:11">
      <c r="B36" s="282" t="s">
        <v>2435</v>
      </c>
      <c r="C36" t="s">
        <v>3125</v>
      </c>
      <c r="D36" s="282" t="s">
        <v>356</v>
      </c>
      <c r="E36" s="282">
        <v>2817166</v>
      </c>
      <c r="F36" s="13">
        <v>44785</v>
      </c>
      <c r="J36" t="s">
        <v>3333</v>
      </c>
    </row>
    <row r="37" spans="2:11">
      <c r="B37" s="282" t="s">
        <v>3543</v>
      </c>
      <c r="C37" t="s">
        <v>2285</v>
      </c>
      <c r="D37" s="282" t="s">
        <v>28</v>
      </c>
      <c r="E37" s="282">
        <v>2331312</v>
      </c>
      <c r="F37" s="13">
        <v>44785</v>
      </c>
      <c r="J37" t="s">
        <v>3333</v>
      </c>
    </row>
    <row r="38" spans="2:11">
      <c r="B38" s="282" t="s">
        <v>3544</v>
      </c>
      <c r="C38" t="s">
        <v>1781</v>
      </c>
      <c r="D38" s="282" t="s">
        <v>20</v>
      </c>
      <c r="E38" s="282">
        <v>1162243</v>
      </c>
      <c r="F38" s="13">
        <v>44785</v>
      </c>
      <c r="G38">
        <v>1001</v>
      </c>
      <c r="J38" t="s">
        <v>3333</v>
      </c>
    </row>
    <row r="39" spans="2:11">
      <c r="B39" s="282" t="s">
        <v>642</v>
      </c>
      <c r="C39" t="s">
        <v>938</v>
      </c>
      <c r="D39" s="282" t="s">
        <v>54</v>
      </c>
      <c r="E39" s="282">
        <v>1068307</v>
      </c>
      <c r="F39" s="13">
        <v>44784</v>
      </c>
      <c r="J39" t="s">
        <v>3333</v>
      </c>
    </row>
    <row r="40" spans="2:11">
      <c r="B40" s="282" t="s">
        <v>3526</v>
      </c>
      <c r="D40" s="282" t="s">
        <v>3527</v>
      </c>
      <c r="E40" s="282">
        <v>5297830</v>
      </c>
      <c r="F40" s="13">
        <v>44784</v>
      </c>
      <c r="J40" t="s">
        <v>3333</v>
      </c>
    </row>
    <row r="41" spans="2:11">
      <c r="B41" s="282" t="s">
        <v>131</v>
      </c>
      <c r="C41" t="s">
        <v>2366</v>
      </c>
      <c r="D41" s="282" t="s">
        <v>2028</v>
      </c>
      <c r="E41" s="282">
        <v>3056677</v>
      </c>
      <c r="F41" s="13">
        <v>44784</v>
      </c>
      <c r="J41" t="s">
        <v>3333</v>
      </c>
    </row>
    <row r="42" spans="2:11">
      <c r="B42" s="282" t="s">
        <v>741</v>
      </c>
      <c r="C42" t="s">
        <v>2779</v>
      </c>
      <c r="D42" s="282" t="s">
        <v>991</v>
      </c>
      <c r="E42" s="282">
        <v>2805929</v>
      </c>
      <c r="F42" s="13">
        <v>44791</v>
      </c>
      <c r="J42" t="s">
        <v>3545</v>
      </c>
    </row>
    <row r="43" spans="2:11">
      <c r="B43" s="282" t="s">
        <v>3546</v>
      </c>
      <c r="C43" t="s">
        <v>1262</v>
      </c>
      <c r="D43" s="282" t="s">
        <v>117</v>
      </c>
      <c r="E43" s="282">
        <v>3331233</v>
      </c>
      <c r="F43" s="13">
        <v>44789</v>
      </c>
      <c r="J43" t="s">
        <v>3545</v>
      </c>
    </row>
    <row r="44" spans="2:11">
      <c r="B44" s="282" t="s">
        <v>1176</v>
      </c>
      <c r="C44" t="s">
        <v>1672</v>
      </c>
      <c r="D44" s="282" t="s">
        <v>88</v>
      </c>
      <c r="E44" s="282">
        <v>2902397</v>
      </c>
      <c r="F44" s="13">
        <v>44789</v>
      </c>
      <c r="J44" t="s">
        <v>3545</v>
      </c>
    </row>
    <row r="45" spans="2:11">
      <c r="B45" s="282" t="s">
        <v>77</v>
      </c>
      <c r="C45" t="s">
        <v>2887</v>
      </c>
      <c r="D45" s="282" t="s">
        <v>562</v>
      </c>
      <c r="E45" s="282">
        <v>2915009</v>
      </c>
      <c r="F45" s="13">
        <v>44789</v>
      </c>
      <c r="G45">
        <f>2192+38</f>
        <v>2230</v>
      </c>
      <c r="J45" t="s">
        <v>3547</v>
      </c>
    </row>
  </sheetData>
  <conditionalFormatting sqref="G1">
    <cfRule type="cellIs" dxfId="0" priority="1" operator="greaterThan">
      <formula>3</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8</vt:i4>
      </vt:variant>
    </vt:vector>
  </HeadingPairs>
  <TitlesOfParts>
    <vt:vector size="8" baseType="lpstr">
      <vt:lpstr>PruebaTabla</vt:lpstr>
      <vt:lpstr>TablaResumen</vt:lpstr>
      <vt:lpstr>Graficas</vt:lpstr>
      <vt:lpstr>Datos</vt:lpstr>
      <vt:lpstr>CateterismoCardiacoPED</vt:lpstr>
      <vt:lpstr>Examenes</vt:lpstr>
      <vt:lpstr>Hoja1</vt:lpstr>
      <vt:lpstr>Hoja2</vt:lpstr>
    </vt:vector>
  </TitlesOfParts>
  <Company>Hospital La FE</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MANUEL CALATAYUD JORDAN</dc:creator>
  <cp:lastModifiedBy>JULIEN ALCAIDE</cp:lastModifiedBy>
  <cp:lastPrinted>2022-09-06T11:06:15Z</cp:lastPrinted>
  <dcterms:created xsi:type="dcterms:W3CDTF">2021-02-12T11:12:11Z</dcterms:created>
  <dcterms:modified xsi:type="dcterms:W3CDTF">2022-09-06T11:58:11Z</dcterms:modified>
</cp:coreProperties>
</file>